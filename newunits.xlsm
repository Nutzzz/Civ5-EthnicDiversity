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855" i="2" l="1"/>
  <c r="A431" i="2"/>
  <c r="A979" i="2"/>
  <c r="A1286" i="2"/>
  <c r="A1282" i="2"/>
  <c r="A2001" i="2" l="1"/>
  <c r="A2000" i="2"/>
  <c r="A1999" i="2"/>
  <c r="A1998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1997" i="2"/>
  <c r="A1987" i="2"/>
  <c r="A1983" i="2"/>
  <c r="A1961" i="2"/>
  <c r="A1958" i="2"/>
  <c r="A1968" i="2"/>
  <c r="A1963" i="2"/>
  <c r="A1962" i="2"/>
  <c r="A1965" i="2"/>
  <c r="A1957" i="2"/>
  <c r="A1956" i="2"/>
  <c r="A880" i="2"/>
  <c r="A1986" i="2"/>
  <c r="A1970" i="2"/>
  <c r="A1969" i="2"/>
  <c r="A1967" i="2"/>
  <c r="A1966" i="2"/>
  <c r="A1964" i="2"/>
  <c r="A1960" i="2"/>
  <c r="A1959" i="2"/>
  <c r="A1955" i="2"/>
  <c r="A1954" i="2"/>
  <c r="A1989" i="2"/>
  <c r="A1988" i="2"/>
  <c r="A1993" i="2"/>
  <c r="A1992" i="2"/>
  <c r="A1991" i="2"/>
  <c r="A1990" i="2"/>
  <c r="A1985" i="2"/>
  <c r="A1977" i="2"/>
  <c r="A1953" i="2"/>
  <c r="A1470" i="2"/>
  <c r="A413" i="2"/>
  <c r="A1285" i="2"/>
  <c r="A1284" i="2"/>
  <c r="A1283" i="2"/>
  <c r="A1281" i="2"/>
  <c r="A1280" i="2"/>
  <c r="A1534" i="2"/>
  <c r="A1530" i="2"/>
  <c r="A241" i="2"/>
  <c r="A1646" i="2"/>
  <c r="A709" i="2"/>
  <c r="A1533" i="2"/>
  <c r="A1532" i="2"/>
  <c r="A1531" i="2"/>
  <c r="A1529" i="2"/>
  <c r="A1528" i="2"/>
  <c r="A196" i="2"/>
  <c r="A203" i="2"/>
  <c r="A205" i="2"/>
  <c r="A204" i="2"/>
  <c r="A202" i="2"/>
  <c r="A201" i="2"/>
  <c r="A200" i="2"/>
  <c r="A199" i="2"/>
  <c r="A198" i="2"/>
  <c r="A197" i="2"/>
  <c r="A111" i="2" l="1"/>
  <c r="A1535" i="2"/>
  <c r="A1995" i="2"/>
  <c r="A1982" i="2"/>
  <c r="A1984" i="2"/>
  <c r="A786" i="2"/>
  <c r="A1698" i="2"/>
  <c r="A1157" i="2" l="1"/>
  <c r="A190" i="2" l="1"/>
  <c r="A193" i="2" l="1"/>
  <c r="A186" i="2"/>
  <c r="A1815" i="2" l="1"/>
  <c r="A1758" i="2"/>
  <c r="A1059" i="2"/>
  <c r="A266" i="2"/>
  <c r="A276" i="2"/>
  <c r="A279" i="2"/>
  <c r="A278" i="2"/>
  <c r="A277" i="2"/>
  <c r="A282" i="2"/>
  <c r="A281" i="2"/>
  <c r="A280" i="2"/>
  <c r="A269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5" i="2" l="1"/>
  <c r="A1052" i="2"/>
  <c r="A1600" i="2"/>
  <c r="A1726" i="2"/>
  <c r="A1841" i="2"/>
  <c r="A1916" i="2"/>
  <c r="A676" i="2"/>
  <c r="A817" i="2"/>
  <c r="A1055" i="2"/>
  <c r="A1099" i="2"/>
  <c r="A783" i="2"/>
  <c r="A570" i="2"/>
  <c r="A533" i="2"/>
  <c r="A399" i="2"/>
  <c r="A345" i="2"/>
  <c r="A315" i="2"/>
  <c r="A1890" i="2"/>
  <c r="A1703" i="2"/>
  <c r="A513" i="2"/>
  <c r="A383" i="2"/>
  <c r="A301" i="2"/>
  <c r="A1915" i="2"/>
  <c r="A1866" i="2"/>
  <c r="A1724" i="2"/>
  <c r="A1599" i="2"/>
  <c r="A1097" i="2"/>
  <c r="A672" i="2"/>
  <c r="A568" i="2"/>
  <c r="A532" i="2"/>
  <c r="A398" i="2"/>
  <c r="A344" i="2"/>
  <c r="A314" i="2"/>
  <c r="A1723" i="2"/>
  <c r="A1598" i="2"/>
  <c r="A1132" i="2"/>
  <c r="A530" i="2"/>
  <c r="A343" i="2"/>
  <c r="A1913" i="2"/>
  <c r="A1865" i="2"/>
  <c r="A1720" i="2"/>
  <c r="A1595" i="2"/>
  <c r="A1096" i="2"/>
  <c r="A811" i="2"/>
  <c r="A782" i="2"/>
  <c r="A781" i="2"/>
  <c r="A564" i="2"/>
  <c r="A528" i="2"/>
  <c r="A340" i="2"/>
  <c r="A312" i="2"/>
  <c r="A395" i="2"/>
  <c r="A1886" i="2"/>
  <c r="A1843" i="2"/>
  <c r="A1836" i="2"/>
  <c r="A1697" i="2"/>
  <c r="A1576" i="2"/>
  <c r="A1104" i="2"/>
  <c r="A1032" i="2"/>
  <c r="A785" i="2"/>
  <c r="A541" i="2"/>
  <c r="A643" i="2"/>
  <c r="A509" i="2"/>
  <c r="A379" i="2"/>
  <c r="A318" i="2"/>
  <c r="A297" i="2"/>
  <c r="A667" i="2"/>
  <c r="A362" i="2" l="1"/>
  <c r="A170" i="2" l="1"/>
  <c r="A1996" i="2"/>
  <c r="A1994" i="2"/>
  <c r="A1981" i="2"/>
  <c r="A1980" i="2"/>
  <c r="A1979" i="2"/>
  <c r="A1978" i="2"/>
  <c r="A1976" i="2"/>
  <c r="A1975" i="2"/>
  <c r="A1974" i="2"/>
  <c r="A1973" i="2"/>
  <c r="A1972" i="2"/>
  <c r="A1971" i="2"/>
  <c r="A1952" i="2"/>
  <c r="A567" i="2" l="1"/>
  <c r="A1897" i="2" l="1"/>
  <c r="A1856" i="2"/>
  <c r="A1853" i="2"/>
  <c r="A1838" i="2"/>
  <c r="A1837" i="2"/>
  <c r="A1709" i="2"/>
  <c r="A1587" i="2"/>
  <c r="A1585" i="2"/>
  <c r="A1183" i="2"/>
  <c r="A1182" i="2"/>
  <c r="A388" i="2"/>
  <c r="A519" i="2"/>
  <c r="A1116" i="2"/>
  <c r="A1115" i="2"/>
  <c r="A1114" i="2"/>
  <c r="A1042" i="2"/>
  <c r="A1041" i="2"/>
  <c r="A1040" i="2"/>
  <c r="A1039" i="2"/>
  <c r="A796" i="2"/>
  <c r="A774" i="2"/>
  <c r="A771" i="2"/>
  <c r="A773" i="2"/>
  <c r="A654" i="2"/>
  <c r="A552" i="2"/>
  <c r="A550" i="2"/>
  <c r="A306" i="2"/>
  <c r="A305" i="2"/>
  <c r="A328" i="2"/>
  <c r="A330" i="2"/>
  <c r="A389" i="2"/>
  <c r="A387" i="2"/>
  <c r="A520" i="2"/>
  <c r="A518" i="2"/>
  <c r="A1896" i="2"/>
  <c r="A1840" i="2"/>
  <c r="A1839" i="2"/>
  <c r="A1861" i="2"/>
  <c r="A1864" i="2"/>
  <c r="A1855" i="2"/>
  <c r="A259" i="2" l="1"/>
  <c r="A812" i="2"/>
  <c r="A1043" i="2"/>
  <c r="A1933" i="2"/>
  <c r="A1932" i="2"/>
  <c r="A1931" i="2"/>
  <c r="A1930" i="2"/>
  <c r="A1947" i="2"/>
  <c r="A1946" i="2"/>
  <c r="A1944" i="2"/>
  <c r="A1945" i="2"/>
  <c r="A1908" i="2"/>
  <c r="A798" i="2"/>
  <c r="A1900" i="2"/>
  <c r="A1711" i="2"/>
  <c r="A1903" i="2"/>
  <c r="A1314" i="2" l="1"/>
  <c r="A1315" i="2"/>
  <c r="A1318" i="2"/>
  <c r="A1317" i="2"/>
  <c r="A1316" i="2"/>
  <c r="A1313" i="2"/>
  <c r="A155" i="2"/>
  <c r="A179" i="2"/>
  <c r="A832" i="2" l="1"/>
  <c r="A128" i="2"/>
  <c r="A127" i="2"/>
  <c r="A406" i="2" l="1"/>
  <c r="A192" i="2"/>
  <c r="A629" i="2"/>
  <c r="A628" i="2"/>
  <c r="A627" i="2"/>
  <c r="A630" i="2"/>
  <c r="A631" i="2"/>
  <c r="A63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1190" i="2"/>
  <c r="A1189" i="2"/>
  <c r="A1188" i="2"/>
  <c r="A1191" i="2"/>
  <c r="A1192" i="2"/>
  <c r="A1258" i="2"/>
  <c r="A1257" i="2"/>
  <c r="A1256" i="2"/>
  <c r="A1255" i="2"/>
  <c r="A414" i="2"/>
  <c r="A412" i="2"/>
  <c r="A88" i="2"/>
  <c r="A895" i="2"/>
  <c r="A355" i="2"/>
  <c r="A354" i="2"/>
  <c r="A353" i="2"/>
  <c r="A352" i="2"/>
  <c r="A1634" i="2"/>
  <c r="A833" i="2"/>
  <c r="A189" i="2"/>
  <c r="A1082" i="2"/>
  <c r="A188" i="2"/>
  <c r="A1633" i="2"/>
  <c r="A1632" i="2"/>
  <c r="A191" i="2"/>
  <c r="A373" i="2" l="1"/>
  <c r="A375" i="2"/>
  <c r="A1155" i="2" l="1"/>
  <c r="A894" i="2"/>
  <c r="A1674" i="2"/>
  <c r="A1673" i="2"/>
  <c r="A1672" i="2"/>
  <c r="A1671" i="2"/>
  <c r="A1670" i="2"/>
  <c r="A1669" i="2"/>
  <c r="A1475" i="2"/>
  <c r="A686" i="2"/>
  <c r="A685" i="2"/>
  <c r="A684" i="2"/>
  <c r="A1925" i="2"/>
  <c r="A1924" i="2"/>
  <c r="A1467" i="2"/>
  <c r="A1474" i="2"/>
  <c r="A1463" i="2"/>
  <c r="A1462" i="2"/>
  <c r="A1468" i="2"/>
  <c r="A1466" i="2"/>
  <c r="A1476" i="2"/>
  <c r="A364" i="2" l="1"/>
  <c r="A366" i="2"/>
  <c r="A367" i="2"/>
  <c r="A368" i="2"/>
  <c r="A374" i="2"/>
  <c r="A376" i="2"/>
  <c r="A1090" i="2"/>
  <c r="A1089" i="2"/>
  <c r="A1088" i="2"/>
  <c r="A1087" i="2"/>
  <c r="A1086" i="2"/>
  <c r="A1085" i="2"/>
  <c r="A1084" i="2"/>
  <c r="A1083" i="2"/>
  <c r="A1080" i="2"/>
  <c r="A1081" i="2"/>
  <c r="A1079" i="2"/>
  <c r="A607" i="2"/>
  <c r="A820" i="2"/>
  <c r="A222" i="2"/>
  <c r="A417" i="2"/>
  <c r="A906" i="2"/>
  <c r="A905" i="2"/>
  <c r="A904" i="2"/>
  <c r="A903" i="2"/>
  <c r="A902" i="2"/>
  <c r="A901" i="2"/>
  <c r="A408" i="2"/>
  <c r="A471" i="2"/>
  <c r="A1302" i="2"/>
  <c r="A683" i="2"/>
  <c r="A371" i="2"/>
  <c r="A854" i="2"/>
  <c r="A372" i="2"/>
  <c r="A377" i="2"/>
  <c r="A369" i="2"/>
  <c r="A365" i="2"/>
  <c r="A370" i="2"/>
  <c r="A1627" i="2"/>
  <c r="A1626" i="2"/>
  <c r="A1625" i="2"/>
  <c r="A1624" i="2"/>
  <c r="A1623" i="2"/>
  <c r="A1021" i="2"/>
  <c r="A548" i="2"/>
  <c r="A545" i="2"/>
  <c r="A323" i="2"/>
  <c r="A1156" i="2"/>
  <c r="A1154" i="2"/>
  <c r="A1730" i="2"/>
  <c r="A1098" i="2" l="1"/>
  <c r="A1093" i="2"/>
  <c r="A1025" i="2"/>
  <c r="A1020" i="2"/>
  <c r="A320" i="2"/>
  <c r="A1873" i="2"/>
  <c r="A1705" i="2"/>
  <c r="A1700" i="2"/>
  <c r="A1578" i="2"/>
  <c r="A1581" i="2"/>
  <c r="A1178" i="2"/>
  <c r="A1179" i="2"/>
  <c r="A647" i="2"/>
  <c r="A650" i="2"/>
  <c r="A637" i="2"/>
  <c r="A793" i="2"/>
  <c r="A648" i="2"/>
  <c r="A788" i="2"/>
  <c r="A792" i="2"/>
  <c r="A384" i="2"/>
  <c r="A381" i="2"/>
  <c r="A303" i="2"/>
  <c r="A299" i="2"/>
  <c r="A514" i="2"/>
  <c r="A511" i="2"/>
  <c r="A1063" i="2"/>
  <c r="A1064" i="2"/>
  <c r="A1065" i="2"/>
  <c r="A1473" i="2"/>
  <c r="A164" i="2"/>
  <c r="A1867" i="2"/>
  <c r="A763" i="2"/>
  <c r="A769" i="2"/>
  <c r="A766" i="2"/>
  <c r="A767" i="2"/>
  <c r="A764" i="2"/>
  <c r="A779" i="2"/>
  <c r="A765" i="2"/>
  <c r="A770" i="2"/>
  <c r="A772" i="2"/>
  <c r="A775" i="2"/>
  <c r="A776" i="2"/>
  <c r="A777" i="2"/>
  <c r="A768" i="2"/>
  <c r="A778" i="2"/>
  <c r="A780" i="2"/>
  <c r="A1868" i="2"/>
  <c r="A1848" i="2"/>
  <c r="A1863" i="2"/>
  <c r="A1846" i="2"/>
  <c r="A1862" i="2"/>
  <c r="A236" i="2" l="1"/>
  <c r="A380" i="2"/>
  <c r="A1577" i="2"/>
  <c r="A1887" i="2"/>
  <c r="A1844" i="2"/>
  <c r="A1597" i="2"/>
  <c r="A1186" i="2"/>
  <c r="A1177" i="2"/>
  <c r="A1131" i="2"/>
  <c r="A1105" i="2"/>
  <c r="A1033" i="2"/>
  <c r="A1051" i="2"/>
  <c r="A813" i="2"/>
  <c r="A787" i="2"/>
  <c r="A670" i="2"/>
  <c r="A644" i="2"/>
  <c r="A510" i="2"/>
  <c r="A531" i="2"/>
  <c r="A397" i="2"/>
  <c r="A342" i="2"/>
  <c r="A319" i="2"/>
  <c r="A313" i="2"/>
  <c r="A298" i="2"/>
  <c r="A307" i="2"/>
  <c r="A331" i="2"/>
  <c r="A390" i="2"/>
  <c r="A521" i="2"/>
  <c r="A553" i="2"/>
  <c r="A655" i="2"/>
  <c r="A799" i="2"/>
  <c r="A1184" i="2"/>
  <c r="A1712" i="2"/>
  <c r="A1588" i="2"/>
  <c r="A1117" i="2"/>
  <c r="A1022" i="2"/>
  <c r="A1935" i="2"/>
  <c r="A1901" i="2"/>
  <c r="A1857" i="2"/>
  <c r="A1877" i="2"/>
  <c r="A246" i="2"/>
  <c r="A244" i="2"/>
  <c r="A1542" i="2" l="1"/>
  <c r="A1541" i="2"/>
  <c r="A1540" i="2"/>
  <c r="A1539" i="2"/>
  <c r="A1538" i="2"/>
  <c r="A1537" i="2"/>
  <c r="A1293" i="2"/>
  <c r="A1292" i="2"/>
  <c r="A1291" i="2"/>
  <c r="A1290" i="2"/>
  <c r="A1289" i="2"/>
  <c r="A178" i="2"/>
  <c r="A254" i="2"/>
  <c r="A1472" i="2"/>
  <c r="A1621" i="2"/>
  <c r="A1616" i="2"/>
  <c r="A1615" i="2"/>
  <c r="A1610" i="2"/>
  <c r="A1613" i="2"/>
  <c r="A1614" i="2"/>
  <c r="A1686" i="2"/>
  <c r="A1685" i="2"/>
  <c r="A1688" i="2"/>
  <c r="A1687" i="2"/>
  <c r="A1683" i="2"/>
  <c r="A735" i="2"/>
  <c r="A743" i="2"/>
  <c r="A734" i="2"/>
  <c r="A681" i="2"/>
  <c r="A680" i="2"/>
  <c r="A679" i="2"/>
  <c r="A737" i="2"/>
  <c r="A738" i="2"/>
  <c r="A671" i="2"/>
  <c r="A172" i="2"/>
  <c r="A1677" i="2"/>
  <c r="A1478" i="2"/>
  <c r="A161" i="2"/>
  <c r="A162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5" i="2"/>
  <c r="A112" i="2"/>
  <c r="A1628" i="2"/>
  <c r="A1629" i="2"/>
  <c r="A1630" i="2"/>
  <c r="A1631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6" i="2"/>
  <c r="A157" i="2"/>
  <c r="A158" i="2"/>
  <c r="A159" i="2"/>
  <c r="A160" i="2"/>
  <c r="A163" i="2"/>
  <c r="A166" i="2"/>
  <c r="A167" i="2"/>
  <c r="A168" i="2"/>
  <c r="A169" i="2"/>
  <c r="A171" i="2"/>
  <c r="A173" i="2"/>
  <c r="A174" i="2"/>
  <c r="A176" i="2"/>
  <c r="A177" i="2"/>
  <c r="A180" i="2"/>
  <c r="A181" i="2"/>
  <c r="A182" i="2"/>
  <c r="A183" i="2"/>
  <c r="A184" i="2"/>
  <c r="A185" i="2"/>
  <c r="A187" i="2"/>
  <c r="A194" i="2"/>
  <c r="A19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7" i="2"/>
  <c r="A238" i="2"/>
  <c r="A239" i="2"/>
  <c r="A240" i="2"/>
  <c r="A242" i="2"/>
  <c r="A243" i="2"/>
  <c r="A245" i="2"/>
  <c r="A247" i="2"/>
  <c r="A248" i="2"/>
  <c r="A249" i="2"/>
  <c r="A250" i="2"/>
  <c r="A251" i="2"/>
  <c r="A252" i="2"/>
  <c r="A253" i="2"/>
  <c r="A255" i="2"/>
  <c r="A256" i="2"/>
  <c r="A257" i="2"/>
  <c r="A258" i="2"/>
  <c r="A260" i="2"/>
  <c r="A261" i="2"/>
  <c r="A262" i="2"/>
  <c r="A263" i="2"/>
  <c r="A264" i="2"/>
  <c r="A265" i="2"/>
  <c r="A267" i="2"/>
  <c r="A268" i="2"/>
  <c r="A270" i="2"/>
  <c r="A271" i="2"/>
  <c r="A272" i="2"/>
  <c r="A273" i="2"/>
  <c r="A274" i="2"/>
  <c r="A275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300" i="2"/>
  <c r="A302" i="2"/>
  <c r="A304" i="2"/>
  <c r="A308" i="2"/>
  <c r="A309" i="2"/>
  <c r="A310" i="2"/>
  <c r="A311" i="2"/>
  <c r="A316" i="2"/>
  <c r="A317" i="2"/>
  <c r="A321" i="2"/>
  <c r="A322" i="2"/>
  <c r="A324" i="2"/>
  <c r="A325" i="2"/>
  <c r="A326" i="2"/>
  <c r="A327" i="2"/>
  <c r="A329" i="2"/>
  <c r="A332" i="2"/>
  <c r="A333" i="2"/>
  <c r="A334" i="2"/>
  <c r="A335" i="2"/>
  <c r="A336" i="2"/>
  <c r="A337" i="2"/>
  <c r="A338" i="2"/>
  <c r="A339" i="2"/>
  <c r="A341" i="2"/>
  <c r="A346" i="2"/>
  <c r="A347" i="2"/>
  <c r="A348" i="2"/>
  <c r="A349" i="2"/>
  <c r="A350" i="2"/>
  <c r="A351" i="2"/>
  <c r="A356" i="2"/>
  <c r="A357" i="2"/>
  <c r="A358" i="2"/>
  <c r="A359" i="2"/>
  <c r="A360" i="2"/>
  <c r="A361" i="2"/>
  <c r="A363" i="2"/>
  <c r="A378" i="2"/>
  <c r="A382" i="2"/>
  <c r="A385" i="2"/>
  <c r="A386" i="2"/>
  <c r="A391" i="2"/>
  <c r="A392" i="2"/>
  <c r="A393" i="2"/>
  <c r="A394" i="2"/>
  <c r="A396" i="2"/>
  <c r="A400" i="2"/>
  <c r="A401" i="2"/>
  <c r="A402" i="2"/>
  <c r="A403" i="2"/>
  <c r="A404" i="2"/>
  <c r="A405" i="2"/>
  <c r="A407" i="2"/>
  <c r="A409" i="2"/>
  <c r="A410" i="2"/>
  <c r="A411" i="2"/>
  <c r="A415" i="2"/>
  <c r="A416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9" i="2"/>
  <c r="A498" i="2"/>
  <c r="A500" i="2"/>
  <c r="A501" i="2"/>
  <c r="A502" i="2"/>
  <c r="A503" i="2"/>
  <c r="A504" i="2"/>
  <c r="A505" i="2"/>
  <c r="A506" i="2"/>
  <c r="A507" i="2"/>
  <c r="A508" i="2"/>
  <c r="A512" i="2"/>
  <c r="A515" i="2"/>
  <c r="A516" i="2"/>
  <c r="A517" i="2"/>
  <c r="A522" i="2"/>
  <c r="A523" i="2"/>
  <c r="A524" i="2"/>
  <c r="A525" i="2"/>
  <c r="A526" i="2"/>
  <c r="A527" i="2"/>
  <c r="A529" i="2"/>
  <c r="A534" i="2"/>
  <c r="A535" i="2"/>
  <c r="A536" i="2"/>
  <c r="A537" i="2"/>
  <c r="A538" i="2"/>
  <c r="A539" i="2"/>
  <c r="A540" i="2"/>
  <c r="A542" i="2"/>
  <c r="A543" i="2"/>
  <c r="A544" i="2"/>
  <c r="A546" i="2"/>
  <c r="A547" i="2"/>
  <c r="A549" i="2"/>
  <c r="A551" i="2"/>
  <c r="A554" i="2"/>
  <c r="A555" i="2"/>
  <c r="A556" i="2"/>
  <c r="A557" i="2"/>
  <c r="A558" i="2"/>
  <c r="A559" i="2"/>
  <c r="A560" i="2"/>
  <c r="A561" i="2"/>
  <c r="A562" i="2"/>
  <c r="A563" i="2"/>
  <c r="A565" i="2"/>
  <c r="A566" i="2"/>
  <c r="A569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33" i="2"/>
  <c r="A634" i="2"/>
  <c r="A635" i="2"/>
  <c r="A636" i="2"/>
  <c r="A638" i="2"/>
  <c r="A639" i="2"/>
  <c r="A640" i="2"/>
  <c r="A641" i="2"/>
  <c r="A642" i="2"/>
  <c r="A645" i="2"/>
  <c r="A646" i="2"/>
  <c r="A649" i="2"/>
  <c r="A651" i="2"/>
  <c r="A652" i="2"/>
  <c r="A653" i="2"/>
  <c r="A656" i="2"/>
  <c r="A657" i="2"/>
  <c r="A658" i="2"/>
  <c r="A659" i="2"/>
  <c r="A668" i="2"/>
  <c r="A660" i="2"/>
  <c r="A661" i="2"/>
  <c r="A662" i="2"/>
  <c r="A663" i="2"/>
  <c r="A664" i="2"/>
  <c r="A665" i="2"/>
  <c r="A666" i="2"/>
  <c r="A669" i="2"/>
  <c r="A673" i="2"/>
  <c r="A674" i="2"/>
  <c r="A675" i="2"/>
  <c r="A677" i="2"/>
  <c r="A678" i="2"/>
  <c r="A682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1918" i="2"/>
  <c r="A1919" i="2"/>
  <c r="A1920" i="2"/>
  <c r="A1921" i="2"/>
  <c r="A1922" i="2"/>
  <c r="A1923" i="2"/>
  <c r="A1926" i="2"/>
  <c r="A1927" i="2"/>
  <c r="A1928" i="2"/>
  <c r="A1929" i="2"/>
  <c r="A1934" i="2"/>
  <c r="A1936" i="2"/>
  <c r="A1937" i="2"/>
  <c r="A1938" i="2"/>
  <c r="A1939" i="2"/>
  <c r="A1940" i="2"/>
  <c r="A1941" i="2"/>
  <c r="A1942" i="2"/>
  <c r="A1943" i="2"/>
  <c r="A1948" i="2"/>
  <c r="A1949" i="2"/>
  <c r="A730" i="2"/>
  <c r="A731" i="2"/>
  <c r="A732" i="2"/>
  <c r="A733" i="2"/>
  <c r="A736" i="2"/>
  <c r="A739" i="2"/>
  <c r="A740" i="2"/>
  <c r="A741" i="2"/>
  <c r="A742" i="2"/>
  <c r="A744" i="2"/>
  <c r="A745" i="2"/>
  <c r="A762" i="2"/>
  <c r="A784" i="2"/>
  <c r="A789" i="2"/>
  <c r="A790" i="2"/>
  <c r="A791" i="2"/>
  <c r="A794" i="2"/>
  <c r="A795" i="2"/>
  <c r="A797" i="2"/>
  <c r="A800" i="2"/>
  <c r="A801" i="2"/>
  <c r="A802" i="2"/>
  <c r="A803" i="2"/>
  <c r="A804" i="2"/>
  <c r="A805" i="2"/>
  <c r="A806" i="2"/>
  <c r="A807" i="2"/>
  <c r="A808" i="2"/>
  <c r="A809" i="2"/>
  <c r="A810" i="2"/>
  <c r="A814" i="2"/>
  <c r="A815" i="2"/>
  <c r="A816" i="2"/>
  <c r="A818" i="2"/>
  <c r="A819" i="2"/>
  <c r="A821" i="2"/>
  <c r="A822" i="2"/>
  <c r="A823" i="2"/>
  <c r="A824" i="2"/>
  <c r="A825" i="2"/>
  <c r="A826" i="2"/>
  <c r="A827" i="2"/>
  <c r="A828" i="2"/>
  <c r="A829" i="2"/>
  <c r="A830" i="2"/>
  <c r="A831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995" i="2"/>
  <c r="A900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4" i="2"/>
  <c r="A993" i="2"/>
  <c r="A996" i="2"/>
  <c r="A997" i="2"/>
  <c r="A998" i="2"/>
  <c r="A999" i="2"/>
  <c r="A1000" i="2"/>
  <c r="A1001" i="2"/>
  <c r="A1002" i="2"/>
  <c r="A1003" i="2"/>
  <c r="A1004" i="2"/>
  <c r="A1005" i="2"/>
  <c r="A1006" i="2"/>
  <c r="A175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3" i="2"/>
  <c r="A1024" i="2"/>
  <c r="A1026" i="2"/>
  <c r="A1027" i="2"/>
  <c r="A1028" i="2"/>
  <c r="A1029" i="2"/>
  <c r="A1030" i="2"/>
  <c r="A1031" i="2"/>
  <c r="A1034" i="2"/>
  <c r="A1035" i="2"/>
  <c r="A1036" i="2"/>
  <c r="A1037" i="2"/>
  <c r="A1038" i="2"/>
  <c r="A1044" i="2"/>
  <c r="A1050" i="2"/>
  <c r="A1045" i="2"/>
  <c r="A1046" i="2"/>
  <c r="A1047" i="2"/>
  <c r="A1048" i="2"/>
  <c r="A1049" i="2"/>
  <c r="A1053" i="2"/>
  <c r="A1054" i="2"/>
  <c r="A1056" i="2"/>
  <c r="A1057" i="2"/>
  <c r="A1058" i="2"/>
  <c r="A1060" i="2"/>
  <c r="A1061" i="2"/>
  <c r="A1062" i="2"/>
  <c r="A1066" i="2"/>
  <c r="A1067" i="2"/>
  <c r="A1068" i="2"/>
  <c r="A1070" i="2"/>
  <c r="A1071" i="2"/>
  <c r="A1072" i="2"/>
  <c r="A1073" i="2"/>
  <c r="A1074" i="2"/>
  <c r="A1075" i="2"/>
  <c r="A1076" i="2"/>
  <c r="A1077" i="2"/>
  <c r="A1078" i="2"/>
  <c r="A1091" i="2"/>
  <c r="A1092" i="2"/>
  <c r="A1094" i="2"/>
  <c r="A1095" i="2"/>
  <c r="A1100" i="2"/>
  <c r="A1101" i="2"/>
  <c r="A1102" i="2"/>
  <c r="A1103" i="2"/>
  <c r="A1106" i="2"/>
  <c r="A1107" i="2"/>
  <c r="A1108" i="2"/>
  <c r="A1109" i="2"/>
  <c r="A1110" i="2"/>
  <c r="A1111" i="2"/>
  <c r="A1112" i="2"/>
  <c r="A1113" i="2"/>
  <c r="A1118" i="2"/>
  <c r="A1119" i="2"/>
  <c r="A1120" i="2"/>
  <c r="A1121" i="2"/>
  <c r="A1130" i="2"/>
  <c r="A1122" i="2"/>
  <c r="A1123" i="2"/>
  <c r="A1124" i="2"/>
  <c r="A1126" i="2"/>
  <c r="A1127" i="2"/>
  <c r="A1128" i="2"/>
  <c r="A1129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9" i="2"/>
  <c r="A1161" i="2"/>
  <c r="A1160" i="2"/>
  <c r="A1158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80" i="2"/>
  <c r="A1181" i="2"/>
  <c r="A1185" i="2"/>
  <c r="A1187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7" i="2"/>
  <c r="A1288" i="2"/>
  <c r="A1294" i="2"/>
  <c r="A1295" i="2"/>
  <c r="A1296" i="2"/>
  <c r="A1297" i="2"/>
  <c r="A1298" i="2"/>
  <c r="A1299" i="2"/>
  <c r="A1300" i="2"/>
  <c r="A1301" i="2"/>
  <c r="A1303" i="2"/>
  <c r="A1304" i="2"/>
  <c r="A1305" i="2"/>
  <c r="A1306" i="2"/>
  <c r="A1307" i="2"/>
  <c r="A1308" i="2"/>
  <c r="A1309" i="2"/>
  <c r="A1310" i="2"/>
  <c r="A1311" i="2"/>
  <c r="A1312" i="2"/>
  <c r="A1426" i="2"/>
  <c r="A1427" i="2"/>
  <c r="A1428" i="2"/>
  <c r="A1429" i="2"/>
  <c r="A1430" i="2"/>
  <c r="A1431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069" i="2"/>
  <c r="A1457" i="2"/>
  <c r="A1458" i="2"/>
  <c r="A1459" i="2"/>
  <c r="A1460" i="2"/>
  <c r="A1461" i="2"/>
  <c r="A1464" i="2"/>
  <c r="A1465" i="2"/>
  <c r="A1469" i="2"/>
  <c r="A1471" i="2"/>
  <c r="A1477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36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9" i="2"/>
  <c r="A1580" i="2"/>
  <c r="A1582" i="2"/>
  <c r="A1583" i="2"/>
  <c r="A1584" i="2"/>
  <c r="A1586" i="2"/>
  <c r="A1589" i="2"/>
  <c r="A1590" i="2"/>
  <c r="A1591" i="2"/>
  <c r="A1592" i="2"/>
  <c r="A1593" i="2"/>
  <c r="A1594" i="2"/>
  <c r="A1596" i="2"/>
  <c r="A1601" i="2"/>
  <c r="A1602" i="2"/>
  <c r="A1603" i="2"/>
  <c r="A1604" i="2"/>
  <c r="A1605" i="2"/>
  <c r="A1606" i="2"/>
  <c r="A1607" i="2"/>
  <c r="A1608" i="2"/>
  <c r="A1609" i="2"/>
  <c r="A1611" i="2"/>
  <c r="A1612" i="2"/>
  <c r="A1617" i="2"/>
  <c r="A1618" i="2"/>
  <c r="A1619" i="2"/>
  <c r="A1620" i="2"/>
  <c r="A1622" i="2"/>
  <c r="A1635" i="2"/>
  <c r="A1636" i="2"/>
  <c r="A1637" i="2"/>
  <c r="A1638" i="2"/>
  <c r="A1639" i="2"/>
  <c r="A1640" i="2"/>
  <c r="A1641" i="2"/>
  <c r="A1642" i="2"/>
  <c r="A1643" i="2"/>
  <c r="A1644" i="2"/>
  <c r="A1645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75" i="2"/>
  <c r="A1676" i="2"/>
  <c r="A1678" i="2"/>
  <c r="A1679" i="2"/>
  <c r="A1680" i="2"/>
  <c r="A1681" i="2"/>
  <c r="A1682" i="2"/>
  <c r="A1684" i="2"/>
  <c r="A1689" i="2"/>
  <c r="A1690" i="2"/>
  <c r="A1691" i="2"/>
  <c r="A1692" i="2"/>
  <c r="A1693" i="2"/>
  <c r="A1694" i="2"/>
  <c r="A1695" i="2"/>
  <c r="A1696" i="2"/>
  <c r="A1699" i="2"/>
  <c r="A1701" i="2"/>
  <c r="A1702" i="2"/>
  <c r="A1704" i="2"/>
  <c r="A1706" i="2"/>
  <c r="A1707" i="2"/>
  <c r="A1708" i="2"/>
  <c r="A1710" i="2"/>
  <c r="A1713" i="2"/>
  <c r="A1714" i="2"/>
  <c r="A1715" i="2"/>
  <c r="A1716" i="2"/>
  <c r="A1717" i="2"/>
  <c r="A1718" i="2"/>
  <c r="A1719" i="2"/>
  <c r="A1721" i="2"/>
  <c r="A1722" i="2"/>
  <c r="A1725" i="2"/>
  <c r="A1727" i="2"/>
  <c r="A1728" i="2"/>
  <c r="A1729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42" i="2"/>
  <c r="A1845" i="2"/>
  <c r="A1847" i="2"/>
  <c r="A1849" i="2"/>
  <c r="A1850" i="2"/>
  <c r="A1851" i="2"/>
  <c r="A1852" i="2"/>
  <c r="A1854" i="2"/>
  <c r="A1858" i="2"/>
  <c r="A1859" i="2"/>
  <c r="A1860" i="2"/>
  <c r="A1869" i="2"/>
  <c r="A1870" i="2"/>
  <c r="A1871" i="2"/>
  <c r="A1872" i="2"/>
  <c r="A1874" i="2"/>
  <c r="A1875" i="2"/>
  <c r="A1876" i="2"/>
  <c r="A1878" i="2"/>
  <c r="A1879" i="2"/>
  <c r="A1880" i="2"/>
  <c r="A1881" i="2"/>
  <c r="A1882" i="2"/>
  <c r="A1883" i="2"/>
  <c r="A1884" i="2"/>
  <c r="A1885" i="2"/>
  <c r="A1888" i="2"/>
  <c r="A1889" i="2"/>
  <c r="A1891" i="2"/>
  <c r="A1892" i="2"/>
  <c r="A1893" i="2"/>
  <c r="A1894" i="2"/>
  <c r="A1895" i="2"/>
  <c r="A1898" i="2"/>
  <c r="A1899" i="2"/>
  <c r="A1902" i="2"/>
  <c r="A1904" i="2"/>
  <c r="A1905" i="2"/>
  <c r="A1906" i="2"/>
  <c r="A1907" i="2"/>
  <c r="A1909" i="2"/>
  <c r="A1910" i="2"/>
  <c r="A1911" i="2"/>
  <c r="A1912" i="2"/>
  <c r="A1914" i="2"/>
  <c r="A1917" i="2"/>
  <c r="A1950" i="2"/>
  <c r="A1951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U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AR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5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3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7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6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2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1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8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09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29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19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6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4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5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80" authorId="0" shapeId="0">
      <text>
        <r>
          <rPr>
            <sz val="9"/>
            <color indexed="81"/>
            <rFont val="Tahoma"/>
            <family val="2"/>
          </rPr>
          <t xml:space="preserve">[not used by Siam]
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C888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0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6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2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49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48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15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<sst xmlns="http://schemas.openxmlformats.org/spreadsheetml/2006/main" count="18771" uniqueCount="2706">
  <si>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</si>
  <si>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</si>
  <si>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</si>
  <si>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</si>
  <si>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</si>
  <si>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</si>
  <si>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</si>
  <si>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</si>
  <si>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</si>
  <si>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</si>
  <si>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</si>
  <si>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</si>
  <si>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</si>
  <si>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</si>
  <si>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</si>
  <si>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</si>
  <si>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</si>
  <si>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</si>
  <si>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</si>
  <si>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</si>
  <si>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</si>
  <si>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</si>
  <si>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</si>
  <si>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</si>
  <si>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</si>
  <si>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</si>
  <si>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</si>
  <si>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</si>
  <si>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</si>
  <si>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</si>
  <si>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</si>
  <si>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</si>
  <si>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</si>
  <si>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</si>
  <si>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</si>
  <si>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</si>
  <si>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</si>
  <si>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</si>
  <si>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</si>
  <si>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</si>
  <si>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</si>
  <si>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</si>
  <si>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</si>
  <si>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</si>
  <si>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</si>
  <si>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</si>
  <si>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</si>
  <si>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</si>
  <si>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</si>
  <si>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</si>
  <si>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</si>
  <si>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</si>
  <si>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</si>
  <si>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</si>
  <si>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</si>
  <si>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</si>
  <si>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</si>
  <si>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</si>
  <si>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</si>
  <si>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</si>
  <si>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</si>
  <si>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</si>
  <si>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</si>
  <si>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</si>
  <si>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</si>
  <si>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</si>
  <si>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</si>
  <si>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</si>
  <si>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</si>
  <si>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</si>
  <si>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</si>
  <si>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</si>
  <si>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</si>
  <si>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</si>
  <si>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</si>
  <si>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</si>
  <si>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</si>
  <si>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</si>
  <si>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</si>
  <si>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</si>
  <si>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</si>
  <si>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</si>
  <si>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</si>
  <si>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</si>
  <si>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</si>
  <si>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</si>
  <si>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</si>
  <si>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</si>
  <si>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</si>
  <si>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</si>
  <si>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</si>
  <si>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</si>
  <si>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</si>
  <si>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</si>
  <si>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</si>
  <si>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</si>
  <si>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</si>
  <si>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</si>
  <si>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</si>
  <si>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</si>
  <si>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</si>
  <si>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</si>
  <si>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</si>
  <si>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</si>
  <si>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</si>
  <si>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</si>
  <si>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</si>
  <si>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</si>
  <si>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</si>
  <si>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</si>
  <si>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</si>
  <si>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</si>
  <si>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</si>
  <si>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</si>
  <si>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</si>
  <si>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</si>
  <si>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</si>
  <si>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</si>
  <si>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</si>
  <si>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</si>
  <si>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</si>
  <si>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</si>
  <si>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</si>
  <si>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</si>
  <si>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</si>
  <si>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</si>
  <si>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</si>
  <si>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</si>
  <si>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</si>
  <si>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</si>
  <si>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</si>
  <si>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</si>
  <si>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</si>
  <si>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</si>
  <si>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</si>
  <si>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</si>
  <si>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</si>
  <si>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</si>
  <si>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</si>
  <si>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</si>
  <si>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</si>
  <si>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</si>
  <si>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</si>
  <si>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</si>
  <si>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</si>
  <si>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</si>
  <si>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</si>
  <si>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</si>
  <si>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</si>
  <si>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</si>
  <si>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</si>
  <si>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</si>
  <si>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</si>
  <si>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</si>
  <si>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</si>
  <si>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</si>
  <si>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</si>
  <si>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</si>
  <si>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</si>
  <si>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</si>
  <si>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</si>
  <si>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</si>
  <si>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</si>
  <si>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</si>
  <si>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</si>
  <si>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</si>
  <si>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</si>
  <si>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</si>
  <si>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</si>
  <si>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</si>
  <si>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</si>
  <si>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</si>
  <si>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</si>
  <si>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</si>
  <si>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</si>
  <si>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</si>
  <si>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</si>
  <si>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</si>
  <si>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</si>
  <si>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</si>
  <si>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</si>
  <si>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</si>
  <si>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</si>
  <si>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</si>
  <si>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</si>
  <si>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</si>
  <si>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</si>
  <si>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</si>
  <si>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</si>
  <si>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</si>
  <si>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</si>
  <si>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</si>
  <si>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</si>
  <si>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</si>
  <si>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</si>
  <si>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</si>
  <si>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</si>
  <si>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</si>
  <si>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</si>
  <si>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</si>
  <si>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</si>
  <si>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</si>
  <si>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</si>
  <si>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</si>
  <si>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</si>
  <si>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</si>
  <si>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</si>
  <si>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</si>
  <si>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</si>
  <si>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</si>
  <si>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</si>
  <si>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</si>
  <si>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</si>
  <si>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</si>
  <si>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</si>
  <si>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</si>
  <si>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</si>
  <si>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</si>
  <si>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</si>
  <si>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</si>
  <si>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</si>
  <si>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</si>
  <si>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</si>
  <si>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</si>
  <si>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</si>
  <si>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</si>
  <si>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</si>
  <si>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</si>
  <si>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</si>
  <si>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</si>
  <si>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</si>
  <si>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</si>
  <si>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</si>
  <si>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</si>
  <si>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</si>
  <si>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</si>
  <si>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</si>
  <si>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</si>
  <si>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</si>
  <si>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</si>
  <si>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</si>
  <si>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</si>
  <si>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</si>
  <si>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</si>
  <si>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</si>
  <si>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</si>
  <si>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</si>
  <si>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</si>
  <si>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</si>
  <si>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</si>
  <si>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</si>
  <si>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</si>
  <si>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</si>
  <si>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</si>
  <si>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</si>
  <si>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</si>
  <si>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</si>
  <si>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</si>
  <si>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</si>
  <si>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</si>
  <si>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</si>
  <si>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</si>
  <si>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</si>
  <si>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</si>
  <si>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</si>
  <si>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</si>
  <si>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</si>
  <si>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</si>
  <si>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</si>
  <si>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</si>
  <si>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</si>
  <si>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</si>
  <si>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</si>
  <si>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</si>
  <si>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</si>
  <si>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</si>
  <si>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</si>
  <si>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</si>
  <si>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</si>
  <si>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</si>
  <si>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</si>
  <si>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</si>
  <si>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</si>
  <si>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</si>
  <si>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</si>
  <si>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</si>
  <si>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</si>
  <si>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</si>
  <si>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</si>
  <si>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</si>
  <si>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</si>
  <si>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</si>
  <si>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</si>
  <si>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</si>
  <si>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</si>
  <si>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</si>
  <si>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</si>
  <si>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</si>
  <si>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</si>
  <si>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</si>
  <si>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</si>
  <si>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</si>
  <si>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</si>
  <si>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</si>
  <si>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</si>
  <si>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</si>
  <si>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</si>
  <si>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</si>
  <si>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</si>
  <si>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</si>
  <si>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</si>
  <si>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</si>
  <si>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</si>
  <si>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</si>
  <si>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</si>
  <si>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</si>
  <si>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</si>
  <si>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</si>
  <si>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</si>
  <si>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</si>
  <si>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</si>
  <si>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</si>
  <si>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</si>
  <si>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</si>
  <si>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</si>
  <si>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</si>
  <si>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</si>
  <si>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</si>
  <si>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</si>
  <si>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</si>
  <si>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</si>
  <si>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</si>
  <si>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</si>
  <si>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</si>
  <si>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</si>
  <si>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</si>
  <si>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</si>
  <si>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</si>
  <si>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</si>
  <si>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</si>
  <si>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</si>
  <si>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</si>
  <si>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</si>
  <si>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</si>
  <si>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</si>
  <si>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</si>
  <si>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</si>
  <si>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</si>
  <si>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</si>
  <si>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</si>
  <si>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</si>
  <si>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</si>
  <si>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</si>
  <si>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</si>
  <si>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</si>
  <si>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</si>
  <si>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</si>
  <si>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</si>
  <si>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</si>
  <si>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</si>
  <si>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</si>
  <si>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</si>
  <si>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</si>
  <si>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</si>
  <si>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</si>
  <si>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</si>
  <si>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</si>
  <si>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</si>
  <si>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</si>
  <si>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</si>
  <si>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</si>
  <si>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</si>
  <si>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</si>
  <si>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</si>
  <si>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</si>
  <si>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</si>
  <si>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</si>
  <si>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</si>
  <si>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</si>
  <si>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</si>
  <si>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</si>
  <si>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</si>
  <si>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</si>
  <si>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</si>
  <si>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</si>
  <si>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</si>
  <si>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</si>
  <si>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</si>
  <si>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</si>
  <si>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</si>
  <si>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</si>
  <si>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</si>
  <si>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</si>
  <si>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</si>
  <si>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</si>
  <si>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</si>
  <si>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</si>
  <si>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</si>
  <si>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</si>
  <si>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</si>
  <si>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</si>
  <si>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</si>
  <si>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</si>
  <si>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</si>
  <si>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</si>
  <si>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</si>
  <si>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</si>
  <si>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</si>
  <si>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</si>
  <si>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</si>
  <si>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</si>
  <si>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</si>
  <si>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</si>
  <si>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</si>
  <si>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</si>
  <si>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</si>
  <si>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</si>
  <si>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</si>
  <si>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</si>
  <si>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</si>
  <si>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</si>
  <si>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</si>
  <si>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</si>
  <si>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</si>
  <si>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</si>
  <si>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</si>
  <si>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</si>
  <si>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</si>
  <si>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</si>
  <si>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</si>
  <si>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</si>
  <si>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</si>
  <si>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</si>
  <si>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</si>
  <si>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</si>
  <si>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</si>
  <si>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</si>
  <si>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</si>
  <si>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</si>
  <si>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</si>
  <si>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</si>
  <si>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</si>
  <si>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</si>
  <si>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</si>
  <si>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</si>
  <si>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</si>
  <si>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</si>
  <si>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</si>
  <si>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</si>
  <si>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</si>
  <si>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</si>
  <si>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</si>
  <si>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</si>
  <si>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</si>
  <si>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</si>
  <si>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</si>
  <si>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</si>
  <si>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</si>
  <si>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</si>
  <si>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</si>
  <si>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</si>
  <si>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</si>
  <si>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</si>
  <si>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</si>
  <si>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</si>
  <si>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</si>
  <si>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</si>
  <si>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</si>
  <si>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</si>
  <si>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</si>
  <si>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</si>
  <si>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</si>
  <si>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</si>
  <si>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</si>
  <si>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</si>
  <si>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</si>
  <si>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</si>
  <si>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</si>
  <si>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</si>
  <si>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</si>
  <si>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</si>
  <si>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</si>
  <si>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</si>
  <si>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</si>
  <si>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</si>
  <si>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</si>
  <si>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</si>
  <si>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</si>
  <si>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</si>
  <si>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</si>
  <si>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</si>
  <si>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</si>
  <si>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</si>
  <si>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</si>
  <si>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</si>
  <si>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</si>
  <si>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</si>
  <si>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</si>
  <si>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</si>
  <si>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</si>
  <si>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</si>
  <si>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</si>
  <si>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</si>
  <si>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</si>
  <si>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</si>
  <si>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</si>
  <si>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</si>
  <si>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</si>
  <si>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</si>
  <si>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</si>
  <si>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</si>
  <si>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</si>
  <si>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</si>
  <si>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</si>
  <si>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</si>
  <si>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</si>
  <si>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</si>
  <si>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</si>
  <si>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</si>
  <si>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</si>
  <si>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</si>
  <si>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</si>
  <si>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</si>
  <si>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</si>
  <si>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</si>
  <si>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</si>
  <si>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</si>
  <si>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</si>
  <si>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</si>
  <si>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</si>
  <si>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</si>
  <si>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</si>
  <si>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</si>
  <si>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</si>
  <si>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</si>
  <si>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</si>
  <si>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</si>
  <si>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</si>
  <si>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</si>
  <si>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</si>
  <si>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</si>
  <si>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</si>
  <si>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</si>
  <si>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</si>
  <si>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</si>
  <si>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</si>
  <si>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</si>
  <si>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</si>
  <si>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</si>
  <si>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</si>
  <si>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</si>
  <si>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</si>
  <si>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</si>
  <si>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</si>
  <si>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</si>
  <si>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</si>
  <si>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</si>
  <si>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</si>
  <si>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</si>
  <si>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</si>
  <si>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</si>
  <si>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</si>
  <si>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</si>
  <si>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</si>
  <si>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</si>
  <si>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</si>
  <si>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</si>
  <si>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</si>
  <si>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</si>
  <si>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</si>
  <si>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</si>
  <si>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</si>
  <si>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</si>
  <si>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</si>
  <si>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</si>
  <si>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</si>
  <si>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</si>
  <si>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</si>
  <si>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</si>
  <si>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</si>
  <si>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</si>
  <si>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</si>
  <si>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</si>
  <si>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</si>
  <si>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</si>
  <si>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</si>
  <si>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</si>
  <si>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</si>
  <si>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</si>
  <si>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</si>
  <si>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</si>
  <si>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</si>
  <si>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</si>
  <si>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</si>
  <si>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</si>
  <si>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</si>
  <si>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</si>
  <si>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</si>
  <si>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</si>
  <si>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</si>
  <si>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</si>
  <si>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</si>
  <si>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</si>
  <si>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</si>
  <si>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</si>
  <si>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</si>
  <si>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</si>
  <si>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</si>
  <si>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</si>
  <si>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</si>
  <si>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</si>
  <si>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</si>
  <si>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</si>
  <si>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</si>
  <si>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</si>
  <si>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</si>
  <si>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</si>
  <si>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</si>
  <si>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</si>
  <si>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</si>
  <si>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</si>
  <si>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</si>
  <si>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</si>
  <si>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</si>
  <si>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</si>
  <si>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</si>
  <si>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</si>
  <si>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</si>
  <si>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</si>
  <si>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</si>
  <si>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</si>
  <si>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</si>
  <si>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</si>
  <si>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</si>
  <si>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</si>
  <si>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</si>
  <si>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</si>
  <si>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</si>
  <si>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</si>
  <si>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</si>
  <si>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</si>
  <si>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</si>
  <si>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</si>
  <si>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</si>
  <si>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</si>
  <si>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</si>
  <si>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</si>
  <si>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</si>
  <si>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</si>
  <si>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</si>
  <si>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</si>
  <si>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</si>
  <si>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</si>
  <si>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</si>
  <si>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</si>
  <si>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</si>
  <si>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</si>
  <si>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</si>
  <si>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</si>
  <si>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</si>
  <si>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</si>
  <si>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</si>
  <si>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</si>
  <si>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</si>
  <si>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</si>
  <si>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</si>
  <si>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</si>
  <si>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</si>
  <si>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</si>
  <si>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</si>
  <si>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</si>
  <si>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</si>
  <si>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</si>
  <si>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</si>
  <si>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</si>
  <si>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</si>
  <si>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</si>
  <si>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</si>
  <si>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</si>
  <si>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</si>
  <si>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</si>
  <si>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</si>
  <si>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</si>
  <si>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</si>
  <si>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</si>
  <si>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</si>
  <si>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</si>
  <si>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</si>
  <si>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</si>
  <si>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</si>
  <si>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</si>
  <si>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</si>
  <si>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</si>
  <si>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</si>
  <si>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</si>
  <si>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</si>
  <si>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</si>
  <si>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</si>
  <si>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</si>
  <si>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</si>
  <si>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</si>
  <si>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</si>
  <si>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</si>
  <si>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</si>
  <si>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</si>
  <si>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</si>
  <si>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</si>
  <si>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</si>
  <si>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</si>
  <si>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</si>
  <si>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</si>
  <si>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</si>
  <si>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</si>
  <si>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</si>
  <si>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</si>
  <si>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</si>
  <si>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</si>
  <si>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</si>
  <si>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</si>
  <si>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</si>
  <si>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</si>
  <si>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</si>
  <si>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</si>
  <si>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</si>
  <si>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</si>
  <si>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</si>
  <si>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</si>
  <si>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</si>
  <si>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</si>
  <si>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</si>
  <si>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</si>
  <si>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</si>
  <si>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</si>
  <si>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</si>
  <si>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</si>
  <si>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</si>
  <si>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</si>
  <si>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</si>
  <si>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</si>
  <si>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</si>
  <si>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</si>
  <si>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</si>
  <si>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</si>
  <si>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</si>
  <si>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</si>
  <si>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</si>
  <si>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</si>
  <si>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</si>
  <si>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</si>
  <si>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</si>
  <si>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</si>
  <si>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</si>
  <si>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</si>
  <si>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</si>
  <si>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</si>
  <si>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</si>
  <si>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</si>
  <si>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</si>
  <si>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</si>
  <si>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</si>
  <si>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</si>
  <si>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</si>
  <si>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</si>
  <si>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</si>
  <si>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</si>
  <si>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</si>
  <si>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</si>
  <si>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</si>
  <si>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</si>
  <si>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</si>
  <si>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</si>
  <si>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</si>
  <si>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</si>
  <si>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</si>
  <si>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</si>
  <si>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</si>
  <si>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</si>
  <si>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</si>
  <si>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</si>
  <si>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</si>
  <si>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</si>
  <si>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</si>
  <si>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</si>
  <si>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</si>
  <si>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</si>
  <si>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</si>
  <si>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</si>
  <si>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</si>
  <si>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</si>
  <si>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</si>
  <si>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</si>
  <si>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</si>
  <si>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</si>
  <si>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</si>
  <si>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</si>
  <si>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</si>
  <si>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</si>
  <si>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</si>
  <si>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</si>
  <si>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</si>
  <si>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</si>
  <si>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</si>
  <si>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</si>
  <si>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</si>
  <si>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</si>
  <si>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</si>
  <si>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</si>
  <si>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</si>
  <si>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</si>
  <si>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</si>
  <si>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</si>
  <si>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</si>
  <si>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</si>
  <si>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</si>
  <si>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</si>
  <si>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</si>
  <si>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</si>
  <si>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</si>
  <si>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</si>
  <si>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</si>
  <si>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</si>
  <si>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</si>
  <si>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</si>
  <si>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</si>
  <si>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</si>
  <si>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</si>
  <si>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</si>
  <si>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</si>
  <si>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</si>
  <si>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</si>
  <si>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</si>
  <si>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</si>
  <si>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</si>
  <si>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</si>
  <si>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</si>
  <si>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</si>
  <si>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</si>
  <si>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</si>
  <si>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</si>
  <si>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</si>
  <si>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</si>
  <si>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</si>
  <si>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</si>
  <si>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</si>
  <si>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</si>
  <si>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</si>
  <si>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</si>
  <si>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</si>
  <si>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</si>
  <si>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</si>
  <si>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</si>
  <si>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</si>
  <si>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</si>
  <si>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</si>
  <si>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</si>
  <si>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</si>
  <si>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</si>
  <si>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</si>
  <si>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</si>
  <si>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</si>
  <si>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</si>
  <si>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</si>
  <si>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</si>
  <si>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</si>
  <si>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</si>
  <si>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</si>
  <si>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</si>
  <si>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</si>
  <si>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</si>
  <si>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</si>
  <si>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</si>
  <si>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</si>
  <si>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</si>
  <si>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</si>
  <si>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</si>
  <si>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</si>
  <si>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</si>
  <si>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</si>
  <si>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</si>
  <si>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</si>
  <si>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</si>
  <si>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</si>
  <si>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</si>
  <si>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</si>
  <si>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</si>
  <si>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</si>
  <si>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</si>
  <si>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</si>
  <si>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</si>
  <si>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</si>
  <si>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</si>
  <si>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</si>
  <si>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</si>
  <si>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</si>
  <si>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</si>
  <si>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</si>
  <si>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</si>
  <si>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</si>
  <si>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</si>
  <si>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</si>
  <si>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</si>
  <si>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</si>
  <si>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</si>
  <si>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</si>
  <si>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</si>
  <si>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</si>
  <si>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</si>
  <si>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</si>
  <si>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</si>
  <si>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</si>
  <si>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</si>
  <si>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</si>
  <si>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</si>
  <si>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</si>
  <si>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</si>
  <si>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</si>
  <si>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</si>
  <si>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</si>
  <si>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</si>
  <si>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</si>
  <si>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</si>
  <si>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</si>
  <si>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</si>
  <si>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</si>
  <si>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</si>
  <si>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</si>
  <si>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</si>
  <si>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</si>
  <si>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</si>
  <si>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</si>
  <si>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</si>
  <si>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</si>
  <si>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</si>
  <si>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</si>
  <si>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</si>
  <si>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</si>
  <si>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</si>
  <si>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</si>
  <si>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</si>
  <si>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</si>
  <si>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</si>
  <si>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</si>
  <si>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</si>
  <si>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</si>
  <si>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</si>
  <si>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</si>
  <si>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</si>
  <si>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</si>
  <si>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</si>
  <si>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</si>
  <si>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</si>
  <si>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</si>
  <si>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</si>
  <si>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</si>
  <si>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</si>
  <si>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</si>
  <si>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</si>
  <si>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</si>
  <si>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</si>
  <si>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</si>
  <si>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</si>
  <si>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</si>
  <si>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</si>
  <si>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</si>
  <si>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</si>
  <si>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</si>
  <si>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</si>
  <si>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</si>
  <si>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</si>
  <si>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</si>
  <si>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</si>
  <si>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</si>
  <si>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</si>
  <si>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</si>
  <si>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</si>
  <si>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</si>
  <si>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</si>
  <si>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</si>
  <si>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</si>
  <si>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</si>
  <si>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</si>
  <si>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</si>
  <si>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</si>
  <si>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</si>
  <si>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</si>
  <si>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</si>
  <si>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</si>
  <si>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</si>
  <si>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</si>
  <si>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</si>
  <si>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</si>
  <si>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</si>
  <si>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</si>
  <si>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</si>
  <si>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</si>
  <si>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</si>
  <si>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</si>
  <si>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</si>
  <si>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</si>
  <si>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</si>
  <si>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</si>
  <si>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</si>
  <si>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</si>
  <si>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</si>
  <si>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</si>
  <si>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</si>
  <si>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</si>
  <si>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</si>
  <si>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</si>
  <si>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</si>
  <si>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</si>
  <si>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</si>
  <si>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</si>
  <si>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</si>
  <si>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</si>
  <si>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</si>
  <si>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</si>
  <si>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</si>
  <si>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</si>
  <si>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</si>
  <si>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</si>
  <si>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</si>
  <si>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</si>
  <si>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</si>
  <si>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</si>
  <si>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</si>
  <si>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</si>
  <si>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</si>
  <si>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</si>
  <si>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</si>
  <si>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</si>
  <si>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</si>
  <si>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</si>
  <si>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</si>
  <si>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</si>
  <si>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</si>
  <si>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</si>
  <si>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</si>
  <si>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</si>
  <si>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</si>
  <si>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</si>
  <si>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</si>
  <si>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</si>
  <si>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</si>
  <si>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</si>
  <si>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</si>
  <si>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</si>
  <si>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</si>
  <si>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</si>
  <si>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</si>
  <si>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</si>
  <si>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</si>
  <si>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</si>
  <si>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</si>
  <si>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</si>
  <si>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</si>
  <si>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</si>
  <si>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</si>
  <si>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</si>
  <si>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</si>
  <si>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</si>
  <si>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</si>
  <si>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</si>
  <si>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</si>
  <si>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</si>
  <si>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</si>
  <si>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</si>
  <si>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</si>
  <si>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</si>
  <si>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</si>
  <si>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</si>
  <si>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</si>
  <si>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</si>
  <si>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</si>
  <si>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</si>
  <si>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</si>
  <si>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</si>
  <si>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</si>
  <si>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</si>
  <si>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</si>
  <si>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</si>
  <si>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</si>
  <si>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</si>
  <si>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</si>
  <si>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</si>
  <si>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</si>
  <si>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</si>
  <si>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</si>
  <si>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</si>
  <si>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</si>
  <si>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</si>
  <si>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</si>
  <si>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</si>
  <si>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</si>
  <si>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</si>
  <si>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</si>
  <si>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</si>
  <si>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</si>
  <si>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</si>
  <si>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</si>
  <si>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</si>
  <si>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</si>
  <si>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</si>
  <si>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</si>
  <si>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</si>
  <si>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</si>
  <si>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</si>
  <si>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</si>
  <si>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</si>
  <si>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</si>
  <si>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</si>
  <si>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</si>
  <si>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</si>
  <si>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</si>
  <si>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</si>
  <si>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</si>
  <si>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</si>
  <si>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</si>
  <si>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</si>
  <si>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</si>
  <si>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</si>
  <si>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</si>
  <si>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</si>
  <si>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</si>
  <si>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</si>
  <si>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</si>
  <si>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</si>
  <si>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</si>
  <si>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</si>
  <si>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</si>
  <si>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</si>
  <si>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</si>
  <si>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</si>
  <si>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</si>
  <si>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</si>
  <si>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</si>
  <si>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</si>
  <si>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</si>
  <si>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</si>
  <si>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</si>
  <si>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</si>
  <si>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</si>
  <si>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</si>
  <si>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</si>
  <si>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</si>
  <si>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</si>
  <si>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</si>
  <si>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</si>
  <si>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</si>
  <si>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</si>
  <si>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</si>
  <si>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</si>
  <si>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</si>
  <si>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</si>
  <si>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</si>
  <si>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</si>
  <si>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</si>
  <si>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</si>
  <si>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</si>
  <si>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</si>
  <si>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</si>
  <si>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</si>
  <si>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</si>
  <si>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</si>
  <si>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</si>
  <si>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</si>
  <si>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</si>
  <si>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</si>
  <si>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</si>
  <si>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</si>
  <si>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</si>
  <si>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</si>
  <si>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</si>
  <si>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</si>
  <si>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</si>
  <si>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</si>
  <si>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</si>
  <si>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</si>
  <si>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</si>
  <si>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</si>
  <si>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</si>
  <si>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</si>
  <si>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</si>
  <si>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</si>
  <si>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</si>
  <si>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</si>
  <si>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</si>
  <si>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</si>
  <si>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</si>
  <si>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</si>
  <si>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</si>
  <si>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</si>
  <si>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</si>
  <si>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</si>
  <si>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</si>
  <si>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</si>
  <si>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</si>
  <si>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</si>
  <si>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</si>
  <si>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</si>
  <si>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</si>
  <si>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</si>
  <si>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</si>
  <si>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</si>
  <si>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</si>
  <si>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</si>
  <si>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</si>
  <si>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</si>
  <si>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</si>
  <si>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</si>
  <si>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</si>
  <si>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</si>
  <si>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</si>
  <si>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</si>
  <si>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</si>
  <si>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</si>
  <si>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</si>
  <si>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</si>
  <si>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</si>
  <si>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</si>
  <si>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</si>
  <si>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</si>
  <si>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</si>
  <si>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</si>
  <si>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</si>
  <si>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</si>
  <si>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</si>
  <si>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</si>
  <si>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</si>
  <si>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</si>
  <si>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</si>
  <si>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</si>
  <si>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</si>
  <si>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</si>
  <si>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</si>
  <si>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</si>
  <si>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</si>
  <si>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</si>
  <si>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</si>
  <si>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</si>
  <si>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</si>
  <si>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</si>
  <si>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</si>
  <si>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</si>
  <si>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</si>
  <si>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</si>
  <si>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</si>
  <si>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</si>
  <si>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</si>
  <si>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</si>
  <si>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</si>
  <si>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</si>
  <si>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</si>
  <si>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</si>
  <si>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</si>
  <si>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</si>
  <si>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</si>
  <si>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</si>
  <si>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</si>
  <si>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</si>
  <si>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</si>
  <si>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</si>
  <si>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</si>
  <si>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</si>
  <si>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</si>
  <si>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</si>
  <si>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</si>
  <si>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</si>
  <si>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</si>
  <si>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</si>
  <si>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</si>
  <si>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</si>
  <si>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</si>
  <si>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</si>
  <si>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</si>
  <si>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</si>
  <si>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</si>
  <si>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</si>
  <si>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</si>
  <si>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</si>
  <si>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</si>
  <si>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</si>
  <si>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</si>
  <si>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</si>
  <si>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</si>
  <si>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</si>
  <si>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</si>
  <si>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</si>
  <si>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</si>
  <si>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</si>
  <si>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</si>
  <si>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</si>
  <si>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</si>
  <si>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</si>
  <si>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</si>
  <si>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</si>
  <si>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</si>
  <si>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</si>
  <si>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</si>
  <si>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</si>
  <si>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</si>
  <si>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</si>
  <si>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</si>
  <si>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</si>
  <si>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</si>
  <si>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</si>
  <si>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</si>
  <si>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</si>
  <si>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</si>
  <si>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</si>
  <si>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</si>
  <si>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</si>
  <si>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</si>
  <si>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</si>
  <si>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</si>
  <si>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</si>
  <si>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</si>
  <si>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</si>
  <si>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</si>
  <si>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</si>
  <si>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</si>
  <si>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</si>
  <si>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</si>
  <si>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</si>
  <si>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</si>
  <si>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</si>
  <si>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</si>
  <si>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</si>
  <si>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</si>
  <si>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</si>
  <si>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</si>
  <si>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</si>
  <si>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</si>
  <si>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</si>
  <si>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</si>
  <si>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</si>
  <si>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</si>
  <si>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</si>
  <si>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</si>
  <si>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</si>
  <si>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</si>
  <si>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</si>
  <si>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</si>
  <si>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</si>
  <si>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</si>
  <si>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</si>
  <si>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</si>
  <si>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</si>
  <si>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</si>
  <si>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</si>
  <si>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</si>
  <si>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</si>
  <si>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</si>
  <si>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</si>
  <si>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</si>
  <si>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</si>
  <si>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</si>
  <si>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</si>
  <si>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</si>
  <si>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</si>
  <si>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</si>
  <si>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</si>
  <si>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</si>
  <si>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</si>
  <si>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</si>
  <si>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</si>
  <si>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</si>
  <si>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</si>
  <si>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</si>
  <si>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</si>
  <si>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</si>
  <si>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</si>
  <si>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</si>
  <si>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</si>
  <si>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</si>
  <si>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</si>
  <si>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</si>
  <si>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</si>
  <si>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</si>
  <si>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</si>
  <si>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</si>
  <si>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</si>
  <si>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</si>
  <si>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</si>
  <si>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</si>
  <si>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</si>
  <si>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</si>
  <si>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</si>
  <si>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</si>
  <si>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</si>
  <si>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</si>
  <si>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</si>
  <si>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</si>
  <si>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</si>
  <si>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</si>
  <si>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</si>
  <si>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</si>
  <si>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</si>
  <si>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</si>
  <si>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</si>
  <si>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</si>
  <si>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</si>
  <si>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</si>
  <si>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</si>
  <si>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</si>
  <si>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</si>
  <si>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</si>
  <si>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</si>
  <si>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</si>
  <si>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</si>
  <si>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</si>
  <si>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</si>
  <si>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</si>
  <si>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</si>
  <si>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</si>
  <si>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</si>
  <si>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</si>
  <si>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</si>
  <si>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</si>
  <si>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</si>
  <si>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</si>
  <si>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</si>
  <si>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</si>
  <si>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</si>
  <si>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</si>
  <si>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</si>
  <si>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</si>
  <si>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</si>
  <si>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</si>
  <si>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</si>
  <si>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</si>
  <si>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</si>
  <si>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</si>
  <si>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</si>
  <si>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</si>
  <si>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</si>
  <si>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</si>
  <si>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</si>
  <si>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</si>
  <si>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</si>
  <si>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</si>
  <si>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</si>
  <si>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</si>
  <si>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</si>
  <si>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</si>
  <si>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</si>
  <si>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</si>
  <si>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</si>
  <si>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</si>
  <si>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</si>
  <si>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</si>
  <si>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</si>
  <si>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</si>
  <si>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</si>
  <si>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</si>
  <si>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</si>
  <si>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</si>
  <si>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</si>
  <si>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</si>
  <si>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</si>
  <si>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</si>
  <si>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</si>
  <si>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</si>
  <si>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</si>
  <si>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</si>
  <si>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</si>
  <si>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</si>
  <si>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</si>
  <si>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</si>
  <si>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</si>
  <si>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</si>
  <si>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</si>
  <si>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</si>
  <si>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</si>
  <si>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</si>
  <si>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</si>
  <si>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</si>
  <si>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</si>
  <si>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</si>
  <si>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</si>
  <si>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</si>
  <si>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</si>
  <si>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</si>
  <si>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</si>
  <si>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</si>
  <si>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</si>
  <si>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</si>
  <si>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</si>
  <si>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</si>
  <si>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</si>
  <si>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</si>
  <si>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</si>
  <si>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</si>
  <si>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</si>
  <si>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</si>
  <si>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</si>
  <si>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</si>
  <si>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</si>
  <si>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</si>
  <si>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</si>
  <si>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</si>
  <si>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</si>
  <si>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</si>
  <si>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</si>
  <si>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</si>
  <si>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</si>
  <si>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</si>
  <si>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</si>
  <si>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</si>
  <si>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</si>
  <si>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</si>
  <si>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</si>
  <si>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</si>
  <si>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</si>
  <si>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</si>
  <si>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</si>
  <si>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</si>
  <si>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</si>
  <si>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</si>
  <si>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</si>
  <si>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</si>
  <si>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</si>
  <si>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</si>
  <si>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</si>
  <si>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</si>
  <si>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</si>
  <si>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</si>
  <si>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</si>
  <si>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</si>
  <si>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</si>
  <si>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</si>
  <si>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</si>
  <si>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</si>
  <si>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</si>
  <si>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</si>
  <si>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</si>
  <si>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</si>
  <si>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</si>
  <si>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</si>
  <si>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</si>
  <si>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</si>
  <si>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</si>
  <si>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</si>
  <si>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</si>
  <si>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</si>
  <si>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</si>
  <si>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</si>
  <si>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</si>
  <si>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</si>
  <si>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</si>
  <si>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</si>
  <si>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</si>
  <si>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</si>
  <si>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</si>
  <si>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</si>
  <si>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</si>
  <si>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</si>
  <si>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</si>
  <si>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</si>
  <si>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</si>
  <si>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</si>
  <si>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</si>
  <si>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</si>
  <si>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</si>
  <si>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</si>
  <si>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</si>
  <si>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</si>
  <si>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</si>
  <si>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</si>
  <si>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</si>
  <si>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</si>
  <si>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</si>
  <si>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</si>
  <si>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</si>
  <si>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</si>
  <si>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</si>
  <si>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</si>
  <si>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</si>
  <si>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</si>
  <si>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</si>
  <si>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</si>
  <si>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</si>
  <si>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</si>
  <si>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</si>
  <si>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</si>
  <si>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</si>
  <si>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</si>
  <si>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</si>
  <si>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</si>
  <si>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</si>
  <si>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</si>
  <si>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</si>
  <si>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</si>
  <si>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</si>
  <si>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</si>
  <si>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</si>
  <si>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</si>
  <si>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</si>
  <si>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</si>
  <si>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</si>
  <si>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</si>
  <si>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</si>
  <si>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</si>
  <si>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</si>
  <si>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</si>
  <si>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</si>
  <si>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</si>
  <si>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</si>
  <si>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</si>
  <si>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</si>
  <si>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</si>
  <si>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</si>
  <si>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</si>
  <si>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</si>
  <si>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</si>
  <si>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</si>
  <si>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</si>
  <si>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</si>
  <si>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</si>
  <si>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</si>
  <si>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</si>
  <si>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</si>
  <si>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</si>
  <si>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</si>
  <si>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</si>
  <si>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</si>
  <si>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</si>
  <si>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</si>
  <si>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</si>
  <si>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</si>
  <si>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</si>
  <si>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</si>
  <si>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</si>
  <si>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</si>
  <si>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</si>
  <si>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</si>
  <si>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</si>
  <si>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</si>
  <si>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</si>
  <si>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</si>
  <si>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</si>
  <si>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</si>
  <si>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</si>
  <si>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</si>
  <si>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</si>
  <si>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</si>
  <si>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</si>
  <si>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</si>
  <si>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</si>
  <si>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</si>
  <si>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</si>
  <si>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</si>
  <si>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</si>
  <si>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</si>
  <si>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</si>
  <si>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</si>
  <si>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</si>
  <si>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</si>
  <si>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</si>
  <si>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</si>
  <si>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</si>
  <si>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</si>
  <si>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</si>
  <si>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</si>
  <si>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</si>
  <si>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</si>
  <si>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</si>
  <si>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</si>
  <si>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</si>
  <si>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</si>
  <si>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</si>
  <si>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</si>
  <si>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</si>
  <si>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</si>
  <si>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</si>
  <si>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</si>
  <si>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</si>
  <si>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</si>
  <si>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</si>
  <si>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</si>
  <si>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</si>
  <si>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</si>
  <si>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</si>
  <si>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</si>
  <si>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</si>
  <si>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</si>
  <si>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</si>
  <si>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</si>
  <si>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</si>
  <si>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</si>
  <si>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</si>
  <si>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</si>
  <si>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</si>
  <si>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</si>
  <si>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</si>
  <si>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</si>
  <si>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</si>
  <si>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</si>
  <si>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</si>
  <si>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</si>
  <si>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</si>
  <si>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</si>
  <si>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</si>
  <si>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</si>
  <si>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</si>
  <si>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</si>
  <si>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</si>
  <si>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</si>
  <si>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</si>
  <si>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</si>
  <si>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</si>
  <si>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</si>
  <si>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</si>
  <si>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</si>
  <si>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</si>
  <si>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</si>
  <si>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</si>
  <si>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</si>
  <si>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</si>
  <si>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</si>
  <si>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</si>
  <si>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</si>
  <si>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</si>
  <si>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</si>
  <si>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</si>
  <si>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</si>
  <si>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</si>
  <si>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</si>
  <si>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</si>
  <si>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</si>
  <si>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</si>
  <si>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</si>
  <si>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</si>
  <si>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</si>
  <si>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</si>
  <si>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</si>
  <si>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</si>
  <si>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</si>
  <si>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</si>
  <si>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</si>
  <si>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</si>
  <si>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</si>
  <si>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</si>
  <si>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</si>
  <si>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</si>
  <si>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</si>
  <si>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</si>
  <si>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</si>
  <si>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</si>
  <si>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</si>
  <si>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</si>
  <si>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</si>
  <si>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</si>
  <si>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</si>
  <si>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</si>
  <si>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</si>
  <si>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</si>
  <si>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</si>
  <si>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</si>
  <si>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</si>
  <si>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</si>
  <si>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</si>
  <si>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</si>
  <si>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</si>
  <si>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</si>
  <si>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</si>
  <si>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</si>
  <si>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</si>
  <si>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</si>
  <si>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</si>
  <si>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</si>
  <si>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</si>
  <si>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</si>
  <si>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</si>
  <si>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</si>
  <si>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</si>
  <si>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</si>
  <si>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</si>
  <si>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</si>
  <si>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</si>
  <si>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</si>
  <si>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</si>
  <si>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</si>
  <si>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</si>
  <si>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</si>
  <si>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</si>
  <si>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</si>
  <si>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</si>
  <si>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</si>
  <si>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</si>
  <si>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</si>
  <si>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</si>
  <si>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</si>
  <si>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</si>
  <si>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</si>
  <si>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</si>
  <si>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</si>
  <si>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</si>
  <si>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</si>
  <si>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</si>
  <si>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</si>
  <si>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</si>
  <si>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</si>
  <si>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</si>
  <si>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</si>
  <si>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</si>
  <si>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</si>
  <si>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</si>
  <si>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</si>
  <si>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</si>
  <si>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</si>
  <si>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</si>
  <si>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</si>
  <si>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</si>
  <si>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</si>
  <si>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</si>
  <si>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</si>
  <si>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</si>
  <si>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</si>
  <si>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</si>
  <si>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</si>
  <si>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</si>
  <si>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</si>
  <si>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</si>
  <si>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</si>
  <si>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</si>
  <si>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</si>
  <si>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</si>
  <si>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</si>
  <si>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</si>
  <si>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</si>
  <si>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</si>
  <si>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</si>
  <si>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</si>
  <si>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</si>
  <si>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</si>
  <si>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</si>
  <si>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</si>
  <si>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</si>
  <si>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</si>
  <si>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</si>
  <si>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</si>
  <si>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</si>
  <si>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</si>
  <si>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</si>
  <si>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</si>
  <si>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</si>
  <si>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</si>
  <si>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</si>
  <si>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</si>
  <si>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</si>
  <si>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</si>
  <si>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</si>
  <si>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</si>
  <si>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</si>
  <si>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</si>
  <si>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</si>
  <si>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</si>
  <si>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</si>
  <si>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</si>
  <si>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</si>
  <si>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</si>
  <si>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</si>
  <si>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</si>
  <si>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</si>
  <si>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</si>
  <si>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</si>
  <si>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</si>
  <si>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</si>
  <si>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</si>
  <si>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</si>
  <si>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</si>
  <si>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</si>
  <si>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</si>
  <si>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</si>
  <si>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</si>
  <si>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</si>
  <si>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</si>
  <si>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</si>
  <si>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</si>
  <si>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</si>
  <si>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</si>
  <si>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</si>
  <si>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</si>
  <si>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</si>
  <si>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</si>
  <si>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</si>
  <si>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</si>
  <si>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</si>
  <si>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</si>
  <si>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</si>
  <si>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</si>
  <si>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</si>
  <si>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</si>
  <si>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</si>
  <si>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</si>
  <si>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</si>
  <si>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</si>
  <si>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</si>
  <si>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</si>
  <si>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</si>
  <si>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</si>
  <si>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</si>
  <si>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</si>
  <si>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</si>
  <si>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</si>
  <si>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</si>
  <si>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</si>
  <si>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</si>
  <si>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</si>
  <si>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</si>
  <si>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</si>
  <si>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</si>
  <si>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</si>
  <si>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</si>
  <si>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</si>
  <si>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</si>
  <si>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</si>
  <si>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</si>
  <si>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</si>
  <si>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</si>
  <si>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</si>
  <si>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</si>
  <si>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</si>
  <si>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</si>
  <si>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</si>
  <si>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</si>
  <si>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</si>
  <si>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</si>
  <si>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</si>
  <si>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</si>
  <si>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</si>
  <si>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</si>
  <si>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</si>
  <si>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</si>
  <si>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</si>
  <si>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</si>
  <si>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</si>
  <si>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</si>
  <si>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</si>
  <si>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</si>
  <si>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</si>
  <si>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</si>
  <si>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</si>
  <si>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</si>
  <si>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</si>
  <si>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</si>
  <si>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</si>
  <si>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</si>
  <si>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</si>
  <si>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</si>
  <si>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</si>
  <si>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</si>
  <si>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</si>
  <si>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</si>
  <si>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</si>
  <si>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</si>
  <si>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</si>
  <si>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</si>
  <si>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</si>
  <si>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</si>
  <si>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</si>
  <si>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</si>
  <si>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</si>
  <si>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</si>
  <si>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</si>
  <si>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</si>
  <si>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</si>
  <si>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</si>
  <si>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</si>
  <si>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</si>
  <si>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</si>
  <si>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</si>
  <si>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</si>
  <si>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</si>
  <si>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</si>
  <si>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</si>
  <si>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</si>
  <si>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</si>
  <si>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</si>
  <si>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</si>
  <si>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</si>
  <si>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</si>
  <si>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</si>
  <si>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</si>
  <si>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</si>
  <si>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</si>
  <si>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</si>
  <si>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</si>
  <si>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</si>
  <si>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</si>
  <si>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</si>
  <si>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</si>
  <si>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</si>
  <si>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</si>
  <si>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</si>
  <si>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</si>
  <si>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</si>
  <si>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</si>
  <si>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</si>
  <si>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</si>
  <si>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</si>
  <si>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</si>
  <si>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</si>
  <si>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</si>
  <si>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</si>
  <si>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</si>
  <si>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</si>
  <si>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</si>
  <si>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</si>
  <si>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</si>
  <si>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</si>
  <si>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</si>
  <si>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</si>
  <si>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</si>
  <si>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</si>
  <si>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</si>
  <si>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</si>
  <si>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</si>
  <si>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</si>
  <si>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</si>
  <si>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</si>
  <si>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</si>
  <si>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</si>
  <si>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</si>
  <si>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</si>
  <si>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</si>
  <si>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</si>
  <si>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</si>
  <si>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</si>
  <si>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</si>
  <si>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</si>
  <si>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</si>
  <si>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</si>
  <si>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</si>
  <si>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</si>
  <si>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</si>
  <si>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</si>
  <si>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</si>
  <si>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</si>
  <si>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</si>
  <si>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</si>
  <si>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</si>
  <si>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</si>
  <si>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</si>
  <si>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</si>
  <si>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</si>
  <si>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</si>
  <si>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</si>
  <si>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</si>
  <si>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</si>
  <si>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</si>
  <si>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</si>
  <si>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</si>
  <si>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</si>
  <si>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</si>
  <si>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</si>
  <si>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</si>
  <si>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</si>
  <si>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</si>
  <si>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</si>
  <si>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</si>
  <si>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</si>
  <si>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</si>
  <si>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</si>
  <si>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</si>
  <si>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</si>
  <si>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</si>
  <si>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</si>
  <si>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</si>
  <si>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</si>
  <si>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</si>
  <si>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</si>
  <si>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</si>
  <si>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</si>
  <si>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</si>
  <si>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</si>
  <si>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</si>
  <si>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</si>
  <si>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</si>
  <si>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</si>
  <si>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</si>
  <si>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</si>
  <si>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</si>
  <si>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</si>
  <si>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</si>
  <si>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</si>
  <si>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</si>
  <si>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</si>
  <si>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</si>
  <si>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</si>
  <si>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</si>
  <si>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</si>
  <si>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</si>
  <si>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</si>
  <si>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</si>
  <si>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</si>
  <si>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</si>
  <si>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</si>
  <si>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</si>
  <si>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</si>
  <si>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</si>
  <si>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</si>
  <si>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</si>
  <si>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</si>
  <si>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</si>
  <si>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</si>
  <si>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</si>
  <si>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</si>
  <si>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</si>
  <si>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</si>
  <si>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</si>
  <si>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</si>
  <si>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</si>
  <si>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</si>
  <si>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</si>
  <si>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</si>
  <si>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</si>
  <si>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</si>
  <si>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</si>
  <si>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</si>
  <si>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</si>
  <si>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</si>
  <si>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</si>
  <si>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</si>
  <si>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</si>
  <si>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</si>
  <si>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</si>
  <si>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</si>
  <si>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</si>
  <si>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</si>
  <si>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</si>
  <si>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</si>
  <si>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</si>
  <si>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</si>
  <si>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</si>
  <si>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</si>
  <si>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</si>
  <si>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</si>
  <si>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</si>
  <si>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</si>
  <si>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</si>
  <si>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</si>
  <si>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</si>
  <si>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</si>
  <si>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</si>
  <si>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</si>
  <si>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</si>
  <si>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</si>
  <si>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</si>
  <si>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</si>
  <si>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</si>
  <si>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</si>
  <si>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</si>
  <si>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</si>
  <si>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</si>
  <si>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</si>
  <si>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</si>
  <si>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</si>
  <si>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</si>
  <si>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</si>
  <si>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</si>
  <si>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</si>
  <si>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</si>
  <si>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</si>
  <si>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</si>
  <si>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</si>
  <si>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</si>
  <si>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</si>
  <si>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</si>
  <si>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</si>
  <si>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</si>
  <si>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</si>
  <si>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</si>
  <si>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</si>
  <si>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</si>
  <si>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</si>
  <si>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</si>
  <si>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</si>
  <si>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</si>
  <si>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</si>
  <si>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</si>
  <si>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</si>
  <si>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</si>
  <si>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</si>
  <si>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</si>
  <si>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</si>
  <si>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</si>
  <si>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</si>
  <si>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</si>
  <si>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</si>
  <si>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</si>
  <si>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</si>
  <si>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</si>
  <si>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</si>
  <si>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</si>
  <si>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</si>
  <si>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</si>
  <si>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</si>
  <si>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</si>
  <si>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</si>
  <si>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</si>
  <si>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</si>
  <si>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</si>
  <si>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</si>
  <si>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</si>
  <si>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</si>
  <si>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</si>
  <si>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</si>
  <si>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</si>
  <si>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</si>
  <si>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</si>
  <si>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</si>
  <si>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</si>
  <si>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</si>
  <si>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</si>
  <si>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</si>
  <si>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</si>
  <si>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</si>
  <si>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</si>
  <si>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</si>
  <si>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</si>
  <si>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</si>
  <si>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</si>
  <si>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</si>
  <si>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</si>
  <si>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</si>
  <si>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</si>
  <si>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</si>
  <si>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</si>
  <si>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</si>
  <si>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</si>
  <si>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</si>
  <si>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</si>
  <si>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</si>
  <si>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</si>
  <si>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</si>
  <si>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</si>
  <si>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</si>
  <si>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</si>
  <si>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</si>
  <si>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</si>
  <si>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</si>
  <si>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</si>
  <si>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</si>
  <si>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</si>
  <si>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</si>
  <si>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</si>
  <si>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</si>
  <si>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</si>
  <si>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</si>
  <si>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</si>
  <si>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</si>
  <si>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</si>
  <si>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</si>
  <si>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</si>
  <si>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</si>
  <si>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</si>
  <si>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</si>
  <si>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</si>
  <si>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</si>
  <si>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</si>
  <si>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</si>
  <si>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</si>
  <si>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</si>
  <si>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</si>
  <si>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</si>
  <si>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</si>
  <si>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</si>
  <si>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</si>
  <si>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</si>
  <si>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</si>
  <si>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</si>
  <si>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</si>
  <si>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</si>
  <si>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</si>
  <si>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</si>
  <si>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</si>
  <si>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</si>
  <si>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</si>
  <si>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</si>
  <si>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</si>
  <si>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</si>
  <si>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</si>
  <si>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</si>
  <si>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</si>
  <si>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</si>
  <si>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</si>
  <si>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</si>
  <si>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</si>
  <si>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</si>
  <si>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</si>
  <si>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</si>
  <si>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</si>
  <si>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</si>
  <si>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</si>
  <si>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</si>
  <si>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</si>
  <si>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</si>
  <si>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</si>
  <si>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</si>
  <si>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</si>
  <si>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</si>
  <si>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</si>
  <si>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</si>
  <si>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</si>
  <si>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</si>
  <si>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</si>
  <si>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</si>
  <si>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</si>
  <si>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</si>
  <si>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</si>
  <si>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</si>
  <si>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</si>
  <si>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</si>
  <si>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</si>
  <si>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</si>
  <si>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</si>
  <si>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</si>
  <si>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</si>
  <si>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</si>
  <si>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</si>
  <si>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</si>
  <si>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</si>
  <si>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</si>
  <si>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</si>
  <si>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</si>
  <si>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</si>
  <si>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</si>
  <si>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</si>
  <si>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</si>
  <si>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</si>
  <si>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</si>
  <si>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</si>
  <si>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</si>
  <si>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</si>
  <si>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</si>
  <si>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</si>
  <si>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</si>
  <si>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</si>
  <si>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</si>
  <si>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</si>
  <si>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</si>
  <si>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</si>
  <si>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</si>
  <si>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</si>
  <si>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</si>
  <si>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</si>
  <si>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</si>
  <si>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</si>
  <si>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</si>
  <si>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</si>
  <si>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</si>
  <si>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</si>
  <si>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</si>
  <si>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</si>
  <si>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</si>
  <si>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</si>
  <si>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</si>
  <si>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</si>
  <si>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</si>
  <si>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</si>
  <si>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</si>
  <si>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</si>
  <si>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</si>
  <si>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</si>
  <si>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</si>
  <si>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</si>
  <si>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</si>
  <si>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</si>
  <si>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</si>
  <si>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</si>
  <si>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</si>
  <si>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</si>
  <si>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</si>
  <si>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</si>
  <si>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</si>
  <si>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</si>
  <si>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</si>
  <si>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</si>
  <si>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</si>
  <si>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</si>
  <si>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</si>
  <si>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</si>
  <si>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</si>
  <si>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</si>
  <si>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</si>
  <si>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</si>
  <si>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</si>
  <si>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</si>
  <si>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</si>
  <si>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</si>
  <si>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</si>
  <si>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</si>
  <si>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</si>
  <si>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</si>
  <si>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</si>
  <si>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</si>
  <si>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</si>
  <si>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</si>
  <si>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</si>
  <si>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</si>
  <si>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</si>
  <si>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</si>
  <si>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</si>
  <si>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</si>
  <si>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</si>
  <si>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</si>
  <si>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</si>
  <si>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</si>
  <si>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</si>
  <si>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</si>
  <si>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</si>
  <si>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</si>
  <si>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</si>
  <si>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</si>
  <si>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</si>
  <si>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</si>
  <si>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</si>
  <si>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</si>
  <si>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</si>
  <si>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</si>
  <si>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</si>
  <si>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</si>
  <si>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</si>
  <si>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</si>
  <si>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</si>
  <si>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</si>
  <si>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</si>
  <si>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</si>
  <si>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</si>
  <si>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</si>
  <si>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</si>
  <si>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</si>
  <si>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</si>
  <si>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</si>
  <si>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</si>
  <si>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</si>
  <si>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</si>
  <si>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</si>
  <si>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</si>
  <si>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</si>
  <si>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</si>
  <si>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</si>
  <si>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</si>
  <si>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</si>
  <si>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</si>
  <si>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</si>
  <si>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</si>
  <si>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</si>
  <si>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</si>
  <si>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</si>
  <si>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</si>
  <si>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</si>
  <si>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</si>
  <si>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</si>
  <si>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</si>
  <si>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</si>
  <si>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</si>
  <si>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</si>
  <si>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</si>
  <si>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</si>
  <si>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</si>
  <si>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</si>
  <si>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</si>
  <si>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</si>
  <si>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</si>
  <si>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</si>
  <si>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</si>
  <si>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</si>
  <si>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</si>
  <si>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</si>
  <si>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</si>
  <si>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</si>
  <si>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</si>
  <si>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</si>
  <si>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</si>
  <si>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</si>
  <si>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</si>
  <si>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</si>
  <si>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</si>
  <si>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</si>
  <si>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</si>
  <si>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</si>
  <si>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</si>
  <si>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</si>
  <si>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</si>
  <si>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</si>
  <si>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</si>
  <si>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</si>
  <si>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</si>
  <si>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</si>
  <si>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</si>
  <si>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</si>
  <si>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</si>
  <si>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</si>
  <si>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</si>
  <si>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</si>
  <si>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</si>
  <si>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</si>
  <si>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</si>
  <si>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</si>
  <si>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</si>
  <si>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</si>
  <si>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</si>
  <si>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</si>
  <si>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</si>
  <si>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</si>
  <si>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</si>
  <si>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</si>
  <si>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</si>
  <si>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</si>
  <si>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</si>
  <si>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</si>
  <si>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</si>
  <si>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</si>
  <si>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</si>
  <si>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</si>
  <si>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</si>
  <si>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</si>
  <si>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</si>
  <si>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</si>
  <si>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</si>
  <si>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</si>
  <si>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</si>
  <si>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</si>
  <si>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</si>
  <si>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</si>
  <si>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</si>
  <si>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</si>
  <si>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</si>
  <si>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</si>
  <si>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</si>
  <si>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</si>
  <si>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</si>
  <si>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</si>
  <si>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</si>
  <si>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</si>
  <si>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</si>
  <si>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</si>
  <si>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</si>
  <si>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</si>
  <si>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</si>
  <si>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</si>
  <si>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</si>
  <si>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</si>
  <si>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</si>
  <si>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</si>
  <si>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</si>
  <si>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</si>
  <si>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</si>
  <si>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</si>
  <si>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</si>
  <si>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</si>
  <si>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</si>
  <si>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</si>
  <si>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</si>
  <si>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</si>
  <si>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</si>
  <si>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</si>
  <si>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</si>
  <si>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</si>
  <si>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</si>
  <si>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</si>
  <si>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</si>
  <si>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</si>
  <si>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</si>
  <si>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</si>
  <si>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</si>
  <si>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</si>
  <si>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</si>
  <si>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</si>
  <si>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</si>
  <si>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</si>
  <si>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</si>
  <si>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</si>
  <si>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</si>
  <si>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</si>
  <si>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</si>
  <si>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</si>
  <si>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</si>
  <si>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</si>
  <si>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</si>
  <si>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</si>
  <si>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</si>
  <si>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</si>
  <si>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</si>
  <si>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</si>
  <si>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</si>
  <si>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</si>
  <si>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</si>
  <si>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</si>
  <si>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</si>
  <si>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</si>
  <si>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</si>
  <si>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</si>
  <si>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</si>
  <si>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</si>
  <si>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</si>
  <si>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</si>
  <si>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</si>
  <si>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</si>
  <si>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</si>
  <si>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</si>
  <si>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</si>
  <si>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</si>
  <si>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</si>
  <si>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</si>
  <si>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</si>
  <si>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</si>
  <si>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</si>
  <si>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</si>
  <si>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</si>
  <si>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</si>
  <si>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</si>
  <si>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</si>
  <si>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</si>
  <si>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</si>
  <si>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</si>
  <si>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</si>
  <si>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</si>
  <si>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</si>
  <si>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</si>
  <si>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</si>
  <si>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</si>
  <si>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</si>
  <si>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</si>
  <si>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</si>
  <si>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</si>
  <si>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</si>
  <si>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</si>
  <si>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</si>
  <si>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</si>
  <si>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</si>
  <si>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</si>
  <si>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</si>
  <si>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</si>
  <si>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</si>
  <si>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</si>
  <si>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</si>
  <si>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</si>
  <si>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</si>
  <si>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</si>
  <si>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</si>
  <si>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</si>
  <si>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</si>
  <si>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</si>
  <si>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</si>
  <si>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</si>
  <si>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</si>
  <si>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</si>
  <si>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</si>
  <si>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</si>
  <si>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</si>
  <si>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</si>
  <si>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</si>
  <si>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</si>
  <si>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</si>
  <si>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</si>
  <si>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</si>
  <si>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Future Worlds</t>
  </si>
  <si>
    <t>FW_BIODRONE</t>
  </si>
  <si>
    <t>FW_HYPERMISSILE</t>
  </si>
  <si>
    <t>BioDrone</t>
  </si>
  <si>
    <t>Railgun Armor france = invisible</t>
  </si>
  <si>
    <t>Bio-Trooper OCEAN and Hybrid Drone ASIA/EURO and Drone Fighter EURO cause crashes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</si>
  <si>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</si>
  <si>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</si>
  <si>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</si>
  <si>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</si>
  <si>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</si>
  <si>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</si>
  <si>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</si>
  <si>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</si>
  <si>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</si>
  <si>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</si>
  <si>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</si>
  <si>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</si>
  <si>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</si>
  <si>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</si>
  <si>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</si>
  <si>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</si>
  <si>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</si>
  <si>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</si>
  <si>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</si>
  <si>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</si>
  <si>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</si>
  <si>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</si>
  <si>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</si>
  <si>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</si>
  <si>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</si>
  <si>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</si>
  <si>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</si>
  <si>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</si>
  <si>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</si>
  <si>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</si>
  <si>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</si>
  <si>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</si>
  <si>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</si>
  <si>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</si>
  <si>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GUIDED_MISSILE_ED</t>
  </si>
  <si>
    <t>GUIDEDMISSILE_ED</t>
  </si>
  <si>
    <t>Carthage_Med_Spearman</t>
  </si>
  <si>
    <t>Carthage_Med_Swordsman</t>
  </si>
  <si>
    <t>Carthage_CompBow</t>
  </si>
  <si>
    <t>Carthage_Med_Horseman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</si>
</sst>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15" t="s">
        <v>100</v>
      </c>
      <c r="C1" s="215"/>
      <c r="D1" s="215"/>
      <c r="E1" s="215"/>
      <c r="F1" s="215"/>
      <c r="G1" s="215"/>
      <c r="H1" s="215"/>
      <c r="I1" s="216"/>
      <c r="J1" s="230" t="s">
        <v>1294</v>
      </c>
      <c r="K1" s="231"/>
      <c r="L1" s="232"/>
      <c r="M1" s="230" t="s">
        <v>1295</v>
      </c>
      <c r="N1" s="231"/>
      <c r="O1" s="232"/>
      <c r="P1" s="214" t="s">
        <v>99</v>
      </c>
      <c r="Q1" s="215"/>
      <c r="R1" s="215"/>
      <c r="S1" s="215"/>
      <c r="T1" s="215"/>
      <c r="U1" s="215"/>
      <c r="V1" s="215"/>
      <c r="W1" s="216"/>
      <c r="X1" s="214" t="s">
        <v>98</v>
      </c>
      <c r="Y1" s="215"/>
      <c r="Z1" s="215"/>
      <c r="AA1" s="215"/>
      <c r="AB1" s="215"/>
      <c r="AC1" s="216"/>
      <c r="AD1" s="214" t="s">
        <v>2011</v>
      </c>
      <c r="AE1" s="215"/>
      <c r="AF1" s="216"/>
      <c r="AG1" s="214" t="s">
        <v>97</v>
      </c>
      <c r="AH1" s="215"/>
      <c r="AI1" s="215"/>
      <c r="AJ1" s="216"/>
      <c r="AK1" s="230" t="s">
        <v>1292</v>
      </c>
      <c r="AL1" s="231"/>
      <c r="AM1" s="232"/>
      <c r="AN1" s="230" t="s">
        <v>1293</v>
      </c>
      <c r="AO1" s="232"/>
      <c r="AP1" s="214" t="s">
        <v>96</v>
      </c>
      <c r="AQ1" s="215"/>
      <c r="AR1" s="215"/>
      <c r="AS1" s="215"/>
      <c r="AT1" s="216"/>
      <c r="AU1" s="231" t="s">
        <v>95</v>
      </c>
      <c r="AV1" s="231"/>
      <c r="AW1" s="232"/>
      <c r="AX1" s="214" t="s">
        <v>1296</v>
      </c>
      <c r="AY1" s="215"/>
      <c r="AZ1" s="216"/>
      <c r="BA1" s="214" t="s">
        <v>1297</v>
      </c>
      <c r="BB1" s="215"/>
      <c r="BC1" s="215"/>
      <c r="BD1" s="216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15" t="s">
        <v>93</v>
      </c>
      <c r="BM1" s="216"/>
    </row>
    <row r="2" spans="1:131" s="38" customFormat="1" ht="12.75" customHeight="1" x14ac:dyDescent="0.2">
      <c r="A2" s="46" t="s">
        <v>1915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608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540</v>
      </c>
      <c r="BK2" s="48">
        <f>(9+2+8+6+3+2+1+4+2+2+3+1)*59</f>
        <v>2537</v>
      </c>
      <c r="BL2" s="217"/>
      <c r="BM2" s="218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2010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0.23965313362238866</v>
      </c>
      <c r="BJ3" s="204" t="s">
        <v>1744</v>
      </c>
      <c r="BK3" s="205" t="str">
        <f>CONCATENATE(ROUND(($BI$2+$BJ$2)/$BK$2,3)*100,"%*")</f>
        <v>45.3%*</v>
      </c>
      <c r="BL3" s="206" t="s">
        <v>2402</v>
      </c>
      <c r="BM3" s="207" t="s">
        <v>2401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List'!$A$23:$H$3256,2,FALSE)),"+","")</f>
        <v/>
      </c>
      <c r="C4" s="57" t="str">
        <f>IF(ISTEXT(VLOOKUP(CONCATENATE($A4,"_",C$3),'Unit List'!$A$23:$H$3256,2,FALSE)),"X",$B4)</f>
        <v>X</v>
      </c>
      <c r="D4" s="58" t="str">
        <f>IF(ISTEXT(VLOOKUP(CONCATENATE($A4,"_",D$3),'Unit List'!$A$23:$H$3256,2,FALSE)),"X",$B4)</f>
        <v/>
      </c>
      <c r="E4" s="51" t="str">
        <f>IF(ISTEXT(VLOOKUP(CONCATENATE($A4,"_",E$3),'Unit List'!$A$23:$H$3256,2,FALSE)),"X",$B4)</f>
        <v/>
      </c>
      <c r="F4" s="58" t="str">
        <f>IF(ISTEXT(VLOOKUP(CONCATENATE($A4,"_",F$3),'Unit List'!$A$23:$H$3256,2,FALSE)),"X",$B4)</f>
        <v/>
      </c>
      <c r="G4" s="67" t="str">
        <f>IF(ISTEXT(VLOOKUP(CONCATENATE($A4,"_",G$3),'Unit List'!$A$23:$H$3256,2,FALSE)),"X",$B4)</f>
        <v>X</v>
      </c>
      <c r="H4" s="58" t="str">
        <f>IF(ISTEXT(VLOOKUP(CONCATENATE($A4,"_",H$3),'Unit List'!$A$23:$H$3256,2,FALSE)),"X",$B4)</f>
        <v/>
      </c>
      <c r="I4" s="53" t="str">
        <f>IF(ISTEXT(VLOOKUP(CONCATENATE($A4,"_",I$3),'Unit List'!$A$23:$H$3256,2,FALSE)),"X",$B4)</f>
        <v/>
      </c>
      <c r="J4" s="172" t="str">
        <f>IF(ISTEXT(VLOOKUP(CONCATENATE($A4,"_",J$3),'Unit List'!$A$23:$H$3256,2,FALSE)),"+","")</f>
        <v/>
      </c>
      <c r="K4" s="51" t="str">
        <f>IF(ISTEXT(VLOOKUP(CONCATENATE($A4,"_",K$3),'Unit List'!$A$23:$H$3256,2,FALSE)),"X",$J4)</f>
        <v/>
      </c>
      <c r="L4" s="59" t="str">
        <f>IF(ISTEXT(VLOOKUP(CONCATENATE($A4,"_",L$3),'Unit List'!$A$23:$H$3256,2,FALSE)),"X",$J4)</f>
        <v/>
      </c>
      <c r="M4" s="172" t="str">
        <f>IF(ISTEXT(VLOOKUP(CONCATENATE($A4,"_",M$3),'Unit List'!$A$23:$H$3256,2,FALSE)),"+","")</f>
        <v/>
      </c>
      <c r="N4" s="51" t="str">
        <f>IF(ISTEXT(VLOOKUP(CONCATENATE($A4,"_",N$3),'Unit List'!$A$23:$H$3256,2,FALSE)),"X",$M4)</f>
        <v/>
      </c>
      <c r="O4" s="61" t="str">
        <f>IF(ISTEXT(VLOOKUP(CONCATENATE($A4,"_",O$3),'Unit List'!$A$23:$H$3256,2,FALSE)),"X",$M4)</f>
        <v/>
      </c>
      <c r="P4" s="172" t="str">
        <f>IF(ISTEXT(VLOOKUP(CONCATENATE($A4,"_",P$3),'Unit List'!$A$23:$H$3256,2,FALSE)),"+","")</f>
        <v>+</v>
      </c>
      <c r="Q4" s="51" t="str">
        <f>IF(ISTEXT(VLOOKUP(CONCATENATE($A4,"_",Q$3),'Unit List'!$A$23:$H$3256,2,FALSE)),"X",$P4)</f>
        <v>+</v>
      </c>
      <c r="R4" s="51" t="str">
        <f>IF(ISTEXT(VLOOKUP(CONCATENATE($A4,"_",R$3),'Unit List'!$A$23:$H$3256,2,FALSE)),"X",$P4)</f>
        <v>+</v>
      </c>
      <c r="S4" s="51" t="str">
        <f>IF(ISTEXT(VLOOKUP(CONCATENATE($A4,"_",S$3),'Unit List'!$A$23:$H$3256,2,FALSE)),"X",$P4)</f>
        <v>+</v>
      </c>
      <c r="T4" s="52" t="str">
        <f>IF(ISTEXT(VLOOKUP(CONCATENATE($A4,"_",T$3),'Unit List'!$A$23:$H$3256,2,FALSE)),"X",$P4)</f>
        <v>+</v>
      </c>
      <c r="U4" s="67" t="str">
        <f>IF(ISTEXT(VLOOKUP(CONCATENATE($A4,"_",U$3),'Unit List'!$A$23:$H$3256,2,FALSE)),"X",$P4)</f>
        <v>X</v>
      </c>
      <c r="V4" s="51" t="str">
        <f>IF(ISTEXT(VLOOKUP(CONCATENATE($A4,"_",V$3),'Unit List'!$A$23:$H$3256,2,FALSE)),"X",$P4)</f>
        <v>+</v>
      </c>
      <c r="W4" s="53" t="str">
        <f>IF(ISTEXT(VLOOKUP(CONCATENATE($A4,"_",W$3),'Unit List'!$A$23:$H$3256,2,FALSE)),"X",$P4)</f>
        <v>+</v>
      </c>
      <c r="X4" s="172" t="str">
        <f>IF(ISTEXT(VLOOKUP(CONCATENATE($A4,"_",X$3),'Unit List'!$A$23:$H$3256,2,FALSE)),"+","")</f>
        <v/>
      </c>
      <c r="Y4" s="51" t="str">
        <f>IF(ISTEXT(VLOOKUP(CONCATENATE($A4,"_",Y$3),'Unit List'!$A$23:$H$3256,2,FALSE)),"X",$X4)</f>
        <v/>
      </c>
      <c r="Z4" s="51" t="str">
        <f>IF(ISTEXT(VLOOKUP(CONCATENATE($A4,"_",Z$3),'Unit List'!$A$23:$H$3256,2,FALSE)),"X",$X4)</f>
        <v/>
      </c>
      <c r="AA4" s="51" t="str">
        <f>IF(ISTEXT(VLOOKUP(CONCATENATE($A4,"_",AA$3),'Unit List'!$A$23:$H$3256,2,FALSE)),"X",$X4)</f>
        <v/>
      </c>
      <c r="AB4" s="51" t="str">
        <f>IF(ISTEXT(VLOOKUP(CONCATENATE($A4,"_",AB$3),'Unit List'!$A$23:$H$3256,2,FALSE)),"X",$X4)</f>
        <v/>
      </c>
      <c r="AC4" s="62" t="str">
        <f>IF(ISTEXT(VLOOKUP(CONCATENATE($A4,"_",AC$3),'Unit List'!$A$23:$H$3256,2,FALSE)),"X",$X4)</f>
        <v/>
      </c>
      <c r="AD4" s="172" t="str">
        <f>IF(ISTEXT(VLOOKUP(CONCATENATE($A4,"_",AD$3),'Unit List'!$A$23:$H$3256,2,FALSE)),"+","")</f>
        <v>+</v>
      </c>
      <c r="AE4" s="51" t="str">
        <f>IF(ISTEXT(VLOOKUP(CONCATENATE($A4,"_",AE$3),'Unit List'!$A$23:$H$3256,2,FALSE)),"X",$AD4)</f>
        <v>+</v>
      </c>
      <c r="AF4" s="51" t="str">
        <f>IF(ISTEXT(VLOOKUP(CONCATENATE($A4,"_",AF$3),'Unit List'!$A$23:$H$3256,2,FALSE)),"X",$AD4)</f>
        <v>+</v>
      </c>
      <c r="AG4" s="172" t="str">
        <f>IF(ISTEXT(VLOOKUP(CONCATENATE($A4,"_",AG$3),'Unit List'!$A$23:$H$3256,2,FALSE)),"+","")</f>
        <v/>
      </c>
      <c r="AH4" s="51" t="str">
        <f>IF(ISTEXT(VLOOKUP(CONCATENATE($A4,"_",AH$3),'Unit List'!$A$23:$H$3256,2,FALSE)),"X",$AG4)</f>
        <v/>
      </c>
      <c r="AI4" s="51" t="str">
        <f>IF(ISTEXT(VLOOKUP(CONCATENATE($A4,"_",AI$3),'Unit List'!$A$23:$H$3256,2,FALSE)),"X",$AG4)</f>
        <v/>
      </c>
      <c r="AJ4" s="53" t="str">
        <f>IF(ISTEXT(VLOOKUP(CONCATENATE($A4,"_",AJ$3),'Unit List'!$A$23:$H$3256,2,FALSE)),"X",$AG4)</f>
        <v/>
      </c>
      <c r="AK4" s="172" t="str">
        <f>IF(ISTEXT(VLOOKUP(CONCATENATE($A4,"_",AK$3),'Unit List'!$A$23:$H$3256,2,FALSE)),"+","")</f>
        <v/>
      </c>
      <c r="AL4" s="63" t="str">
        <f>IF(ISTEXT(VLOOKUP(CONCATENATE($A4,"_",AL$3),'Unit List'!$A$23:$H$3256,2,FALSE)),"X",$AK4)</f>
        <v/>
      </c>
      <c r="AM4" s="53" t="str">
        <f>IF(ISTEXT(VLOOKUP(CONCATENATE($A4,"_",AM$3),'Unit List'!$A$23:$H$3256,2,FALSE)),"X",$AK4)</f>
        <v/>
      </c>
      <c r="AN4" s="125" t="str">
        <f>IF(ISTEXT(VLOOKUP(CONCATENATE($A4,"_",AN$3),'Unit List'!$A$23:$H$3256,2,FALSE)),"+","")</f>
        <v/>
      </c>
      <c r="AO4" s="53" t="str">
        <f>IF(ISTEXT(VLOOKUP(CONCATENATE($A4,"_",AO$3),'Unit List'!$A$23:$H$3256,2,FALSE)),"X",$AN4)</f>
        <v/>
      </c>
      <c r="AP4" s="172" t="str">
        <f>IF(ISTEXT(VLOOKUP(CONCATENATE($A4,"_",AP$3),'Unit List'!$A$23:$H$3256,2,FALSE)),"+","")</f>
        <v>+</v>
      </c>
      <c r="AQ4" s="51" t="str">
        <f>IF(ISTEXT(VLOOKUP(CONCATENATE($A4,"_",AQ$3),'Unit List'!$A$23:$H$3256,2,FALSE)),"X",$AP4)</f>
        <v>+</v>
      </c>
      <c r="AR4" s="67" t="str">
        <f>IF(ISTEXT(VLOOKUP(CONCATENATE($A4,"_",AR$3),'Unit List'!$A$23:$H$3256,2,FALSE)),"X",$AP4)</f>
        <v>X</v>
      </c>
      <c r="AS4" s="51" t="str">
        <f>IF(ISTEXT(VLOOKUP(CONCATENATE($A4,"_",AS$3),'Unit List'!$A$23:$H$3256,2,FALSE)),"X",$AP4)</f>
        <v>+</v>
      </c>
      <c r="AT4" s="53" t="str">
        <f>IF(ISTEXT(VLOOKUP(CONCATENATE($A4,"_",AT$3),'Unit List'!$A$23:$H$3256,2,FALSE)),"X",$AP4)</f>
        <v>+</v>
      </c>
      <c r="AU4" s="124" t="str">
        <f>IF(ISTEXT(VLOOKUP(CONCATENATE($A4,"_",AU$3),'Unit List'!$A$23:$H$3256,2,FALSE)),"+","")</f>
        <v>+</v>
      </c>
      <c r="AV4" s="51" t="str">
        <f>IF(ISTEXT(VLOOKUP(CONCATENATE($A4,"_",AV$3),'Unit List'!$A$23:$H$3256,2,FALSE)),"X",$AU4)</f>
        <v>+</v>
      </c>
      <c r="AW4" s="53" t="str">
        <f>IF(ISTEXT(VLOOKUP(CONCATENATE($A4,"_",AW$3),'Unit List'!$A$23:$H$3256,2,FALSE)),"X",$AU4)</f>
        <v>+</v>
      </c>
      <c r="AX4" s="172" t="str">
        <f>IF(ISTEXT(VLOOKUP(CONCATENATE($A4,"_",AX$3),'Unit List'!$A$23:$H$3256,2,FALSE)),"+","")</f>
        <v>+</v>
      </c>
      <c r="AY4" s="51" t="str">
        <f>IF(ISTEXT(VLOOKUP(CONCATENATE($A4,"_",AY$3),'Unit List'!$A$23:$H$3256,2,FALSE)),"X",$AX4)</f>
        <v>+</v>
      </c>
      <c r="AZ4" s="53" t="str">
        <f>IF(ISTEXT(VLOOKUP(CONCATENATE($A4,"_",AZ$3),'Unit List'!$A$23:$H$3256,2,FALSE)),"X",$AX4)</f>
        <v>+</v>
      </c>
      <c r="BA4" s="182" t="str">
        <f>IF(ISTEXT(VLOOKUP(CONCATENATE($A4,"_",BA$3),'Unit List'!$A$23:$H$3256,2,FALSE)),"+","")</f>
        <v/>
      </c>
      <c r="BB4" s="51" t="str">
        <f>IF(ISTEXT(VLOOKUP(CONCATENATE($A4,"_",BB$3),'Unit List'!$A$23:$H$3256,2,FALSE)),"X",$BA4)</f>
        <v/>
      </c>
      <c r="BC4" s="51" t="str">
        <f>IF(ISTEXT(VLOOKUP(CONCATENATE($A4,"_",BC$3),'Unit List'!$A$23:$H$3256,2,FALSE)),"X",$BA4)</f>
        <v/>
      </c>
      <c r="BD4" s="53" t="str">
        <f>IF(ISTEXT(VLOOKUP(CONCATENATE($A4,"_",BD$3),'Unit List'!$A$23:$H$3256,2,FALSE)),"X",$BA4)</f>
        <v/>
      </c>
      <c r="BE4" s="125" t="str">
        <f>IF(ISTEXT(VLOOKUP(CONCATENATE($A4,"_",BE$3),'Unit List'!$A$23:$H$3256,2,FALSE)),"+","")</f>
        <v>+</v>
      </c>
      <c r="BF4" s="62" t="str">
        <f>IF(ISTEXT(VLOOKUP(CONCATENATE($A4,"_",BF$3),'Unit List'!$A$23:$H$3256,2,FALSE)),"X",$BE4)</f>
        <v>+</v>
      </c>
      <c r="BG4" s="64"/>
      <c r="BH4" s="65" t="s">
        <v>0</v>
      </c>
      <c r="BI4" s="233"/>
      <c r="BJ4" s="234"/>
      <c r="BK4" s="234"/>
      <c r="BL4" s="223" t="s">
        <v>1746</v>
      </c>
      <c r="BM4" s="224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List'!$A$23:$H$3256,2,FALSE)),"+","")</f>
        <v/>
      </c>
      <c r="C5" s="57" t="str">
        <f>IF(ISTEXT(VLOOKUP(CONCATENATE($A5,"_",C$3),'Unit List'!$A$23:$H$3256,2,FALSE)),"X",$B5)</f>
        <v/>
      </c>
      <c r="D5" s="58" t="str">
        <f>IF(ISTEXT(VLOOKUP(CONCATENATE($A5,"_",D$3),'Unit List'!$A$23:$H$3256,2,FALSE)),"X",$B5)</f>
        <v/>
      </c>
      <c r="E5" s="51" t="str">
        <f>IF(ISTEXT(VLOOKUP(CONCATENATE($A5,"_",E$3),'Unit List'!$A$23:$H$3256,2,FALSE)),"X",$B5)</f>
        <v/>
      </c>
      <c r="F5" s="58" t="str">
        <f>IF(ISTEXT(VLOOKUP(CONCATENATE($A5,"_",F$3),'Unit List'!$A$23:$H$3256,2,FALSE)),"X",$B5)</f>
        <v/>
      </c>
      <c r="G5" s="58" t="str">
        <f>IF(ISTEXT(VLOOKUP(CONCATENATE($A5,"_",G$3),'Unit List'!$A$23:$H$3256,2,FALSE)),"X",$B5)</f>
        <v/>
      </c>
      <c r="H5" s="58" t="str">
        <f>IF(ISTEXT(VLOOKUP(CONCATENATE($A5,"_",H$3),'Unit List'!$A$23:$H$3256,2,FALSE)),"X",$B5)</f>
        <v/>
      </c>
      <c r="I5" s="53" t="str">
        <f>IF(ISTEXT(VLOOKUP(CONCATENATE($A5,"_",I$3),'Unit List'!$A$23:$H$3256,2,FALSE)),"X",$B5)</f>
        <v/>
      </c>
      <c r="J5" s="172" t="str">
        <f>IF(ISTEXT(VLOOKUP(CONCATENATE($A5,"_",J$3),'Unit List'!$A$23:$H$3256,2,FALSE)),"+","")</f>
        <v/>
      </c>
      <c r="K5" s="51" t="str">
        <f>IF(ISTEXT(VLOOKUP(CONCATENATE($A5,"_",K$3),'Unit List'!$A$23:$H$3256,2,FALSE)),"X",$J5)</f>
        <v/>
      </c>
      <c r="L5" s="59" t="str">
        <f>IF(ISTEXT(VLOOKUP(CONCATENATE($A5,"_",L$3),'Unit List'!$A$23:$H$3256,2,FALSE)),"X",$J5)</f>
        <v/>
      </c>
      <c r="M5" s="172" t="str">
        <f>IF(ISTEXT(VLOOKUP(CONCATENATE($A5,"_",M$3),'Unit List'!$A$23:$H$3256,2,FALSE)),"+","")</f>
        <v/>
      </c>
      <c r="N5" s="60" t="str">
        <f>IF(ISTEXT(VLOOKUP(CONCATENATE($A5,"_",N$3),'Unit List'!$A$23:$H$3256,2,FALSE)),"X",$M5)</f>
        <v/>
      </c>
      <c r="O5" s="61" t="str">
        <f>IF(ISTEXT(VLOOKUP(CONCATENATE($A5,"_",O$3),'Unit List'!$A$23:$H$3256,2,FALSE)),"X",$M5)</f>
        <v/>
      </c>
      <c r="P5" s="172" t="str">
        <f>IF(ISTEXT(VLOOKUP(CONCATENATE($A5,"_",P$3),'Unit List'!$A$23:$H$3256,2,FALSE)),"+","")</f>
        <v/>
      </c>
      <c r="Q5" s="51" t="str">
        <f>IF(ISTEXT(VLOOKUP(CONCATENATE($A5,"_",Q$3),'Unit List'!$A$23:$H$3256,2,FALSE)),"X",$P5)</f>
        <v/>
      </c>
      <c r="R5" s="51" t="str">
        <f>IF(ISTEXT(VLOOKUP(CONCATENATE($A5,"_",R$3),'Unit List'!$A$23:$H$3256,2,FALSE)),"X",$P5)</f>
        <v/>
      </c>
      <c r="S5" s="51" t="str">
        <f>IF(ISTEXT(VLOOKUP(CONCATENATE($A5,"_",S$3),'Unit List'!$A$23:$H$3256,2,FALSE)),"X",$P5)</f>
        <v/>
      </c>
      <c r="T5" s="52" t="str">
        <f>IF(ISTEXT(VLOOKUP(CONCATENATE($A5,"_",T$3),'Unit List'!$A$23:$H$3256,2,FALSE)),"X",$P5)</f>
        <v/>
      </c>
      <c r="U5" s="60" t="str">
        <f>IF(ISTEXT(VLOOKUP(CONCATENATE($A5,"_",U$3),'Unit List'!$A$23:$H$3256,2,FALSE)),"X",$P5)</f>
        <v/>
      </c>
      <c r="V5" s="60" t="str">
        <f>IF(ISTEXT(VLOOKUP(CONCATENATE($A5,"_",V$3),'Unit List'!$A$23:$H$3256,2,FALSE)),"X",$P5)</f>
        <v/>
      </c>
      <c r="W5" s="53" t="str">
        <f>IF(ISTEXT(VLOOKUP(CONCATENATE($A5,"_",W$3),'Unit List'!$A$23:$H$3256,2,FALSE)),"X",$P5)</f>
        <v/>
      </c>
      <c r="X5" s="172" t="str">
        <f>IF(ISTEXT(VLOOKUP(CONCATENATE($A5,"_",X$3),'Unit List'!$A$23:$H$3256,2,FALSE)),"+","")</f>
        <v/>
      </c>
      <c r="Y5" s="51" t="str">
        <f>IF(ISTEXT(VLOOKUP(CONCATENATE($A5,"_",Y$3),'Unit List'!$A$23:$H$3256,2,FALSE)),"X",$X5)</f>
        <v/>
      </c>
      <c r="Z5" s="51" t="str">
        <f>IF(ISTEXT(VLOOKUP(CONCATENATE($A5,"_",Z$3),'Unit List'!$A$23:$H$3256,2,FALSE)),"X",$X5)</f>
        <v/>
      </c>
      <c r="AA5" s="51" t="str">
        <f>IF(ISTEXT(VLOOKUP(CONCATENATE($A5,"_",AA$3),'Unit List'!$A$23:$H$3256,2,FALSE)),"X",$X5)</f>
        <v/>
      </c>
      <c r="AB5" s="51" t="str">
        <f>IF(ISTEXT(VLOOKUP(CONCATENATE($A5,"_",AB$3),'Unit List'!$A$23:$H$3256,2,FALSE)),"X",$X5)</f>
        <v/>
      </c>
      <c r="AC5" s="62" t="str">
        <f>IF(ISTEXT(VLOOKUP(CONCATENATE($A5,"_",AC$3),'Unit List'!$A$23:$H$3256,2,FALSE)),"X",$X5)</f>
        <v/>
      </c>
      <c r="AD5" s="172" t="str">
        <f>IF(ISTEXT(VLOOKUP(CONCATENATE($A5,"_",AD$3),'Unit List'!$A$23:$H$3256,2,FALSE)),"+","")</f>
        <v/>
      </c>
      <c r="AE5" s="51" t="str">
        <f>IF(ISTEXT(VLOOKUP(CONCATENATE($A5,"_",AE$3),'Unit List'!$A$23:$H$3256,2,FALSE)),"X",$AD5)</f>
        <v/>
      </c>
      <c r="AF5" s="51" t="str">
        <f>IF(ISTEXT(VLOOKUP(CONCATENATE($A5,"_",AF$3),'Unit List'!$A$23:$H$3256,2,FALSE)),"X",$AD5)</f>
        <v/>
      </c>
      <c r="AG5" s="172" t="str">
        <f>IF(ISTEXT(VLOOKUP(CONCATENATE($A5,"_",AG$3),'Unit List'!$A$23:$H$3256,2,FALSE)),"+","")</f>
        <v/>
      </c>
      <c r="AH5" s="51" t="str">
        <f>IF(ISTEXT(VLOOKUP(CONCATENATE($A5,"_",AH$3),'Unit List'!$A$23:$H$3256,2,FALSE)),"X",$AG5)</f>
        <v/>
      </c>
      <c r="AI5" s="51" t="str">
        <f>IF(ISTEXT(VLOOKUP(CONCATENATE($A5,"_",AI$3),'Unit List'!$A$23:$H$3256,2,FALSE)),"X",$AG5)</f>
        <v/>
      </c>
      <c r="AJ5" s="53" t="str">
        <f>IF(ISTEXT(VLOOKUP(CONCATENATE($A5,"_",AJ$3),'Unit List'!$A$23:$H$3256,2,FALSE)),"X",$AG5)</f>
        <v/>
      </c>
      <c r="AK5" s="172" t="str">
        <f>IF(ISTEXT(VLOOKUP(CONCATENATE($A5,"_",AK$3),'Unit List'!$A$23:$H$3256,2,FALSE)),"+","")</f>
        <v/>
      </c>
      <c r="AL5" s="63" t="str">
        <f>IF(ISTEXT(VLOOKUP(CONCATENATE($A5,"_",AL$3),'Unit List'!$A$23:$H$3256,2,FALSE)),"X",$AK5)</f>
        <v/>
      </c>
      <c r="AM5" s="53" t="str">
        <f>IF(ISTEXT(VLOOKUP(CONCATENATE($A5,"_",AM$3),'Unit List'!$A$23:$H$3256,2,FALSE)),"X",$AK5)</f>
        <v/>
      </c>
      <c r="AN5" s="125" t="str">
        <f>IF(ISTEXT(VLOOKUP(CONCATENATE($A5,"_",AN$3),'Unit List'!$A$23:$H$3256,2,FALSE)),"+","")</f>
        <v/>
      </c>
      <c r="AO5" s="53" t="str">
        <f>IF(ISTEXT(VLOOKUP(CONCATENATE($A5,"_",AO$3),'Unit List'!$A$23:$H$3256,2,FALSE)),"X",$AN5)</f>
        <v/>
      </c>
      <c r="AP5" s="172" t="str">
        <f>IF(ISTEXT(VLOOKUP(CONCATENATE($A5,"_",AP$3),'Unit List'!$A$23:$H$3256,2,FALSE)),"+","")</f>
        <v/>
      </c>
      <c r="AQ5" s="60" t="str">
        <f>IF(ISTEXT(VLOOKUP(CONCATENATE($A5,"_",AQ$3),'Unit List'!$A$23:$H$3256,2,FALSE)),"X",$AP5)</f>
        <v/>
      </c>
      <c r="AR5" s="60" t="str">
        <f>IF(ISTEXT(VLOOKUP(CONCATENATE($A5,"_",AR$3),'Unit List'!$A$23:$H$3256,2,FALSE)),"X",$AP5)</f>
        <v/>
      </c>
      <c r="AS5" s="51" t="str">
        <f>IF(ISTEXT(VLOOKUP(CONCATENATE($A5,"_",AS$3),'Unit List'!$A$23:$H$3256,2,FALSE)),"X",$AP5)</f>
        <v/>
      </c>
      <c r="AT5" s="53" t="str">
        <f>IF(ISTEXT(VLOOKUP(CONCATENATE($A5,"_",AT$3),'Unit List'!$A$23:$H$3256,2,FALSE)),"X",$AP5)</f>
        <v/>
      </c>
      <c r="AU5" s="124" t="str">
        <f>IF(ISTEXT(VLOOKUP(CONCATENATE($A5,"_",AU$3),'Unit List'!$A$23:$H$3256,2,FALSE)),"+","")</f>
        <v/>
      </c>
      <c r="AV5" s="51" t="str">
        <f>IF(ISTEXT(VLOOKUP(CONCATENATE($A5,"_",AV$3),'Unit List'!$A$23:$H$3256,2,FALSE)),"X",$AU5)</f>
        <v/>
      </c>
      <c r="AW5" s="53" t="str">
        <f>IF(ISTEXT(VLOOKUP(CONCATENATE($A5,"_",AW$3),'Unit List'!$A$23:$H$3256,2,FALSE)),"X",$AU5)</f>
        <v/>
      </c>
      <c r="AX5" s="172" t="str">
        <f>IF(ISTEXT(VLOOKUP(CONCATENATE($A5,"_",AX$3),'Unit List'!$A$23:$H$3256,2,FALSE)),"+","")</f>
        <v/>
      </c>
      <c r="AY5" s="51" t="str">
        <f>IF(ISTEXT(VLOOKUP(CONCATENATE($A5,"_",AY$3),'Unit List'!$A$23:$H$3256,2,FALSE)),"X",$AX5)</f>
        <v/>
      </c>
      <c r="AZ5" s="53" t="str">
        <f>IF(ISTEXT(VLOOKUP(CONCATENATE($A5,"_",AZ$3),'Unit List'!$A$23:$H$3256,2,FALSE)),"X",$AX5)</f>
        <v/>
      </c>
      <c r="BA5" s="182" t="str">
        <f>IF(ISTEXT(VLOOKUP(CONCATENATE($A5,"_",BA$3),'Unit List'!$A$23:$H$3256,2,FALSE)),"+","")</f>
        <v/>
      </c>
      <c r="BB5" s="51" t="str">
        <f>IF(ISTEXT(VLOOKUP(CONCATENATE($A5,"_",BB$3),'Unit List'!$A$23:$H$3256,2,FALSE)),"X",$BA5)</f>
        <v/>
      </c>
      <c r="BC5" s="51" t="str">
        <f>IF(ISTEXT(VLOOKUP(CONCATENATE($A5,"_",BC$3),'Unit List'!$A$23:$H$3256,2,FALSE)),"X",$BA5)</f>
        <v/>
      </c>
      <c r="BD5" s="53" t="str">
        <f>IF(ISTEXT(VLOOKUP(CONCATENATE($A5,"_",BD$3),'Unit List'!$A$23:$H$3256,2,FALSE)),"X",$BA5)</f>
        <v/>
      </c>
      <c r="BE5" s="125" t="str">
        <f>IF(ISTEXT(VLOOKUP(CONCATENATE($A5,"_",BE$3),'Unit List'!$A$23:$H$3256,2,FALSE)),"+","")</f>
        <v/>
      </c>
      <c r="BF5" s="62" t="str">
        <f>IF(ISTEXT(VLOOKUP(CONCATENATE($A5,"_",BF$3),'Unit List'!$A$23:$H$3256,2,FALSE)),"X",$BE5)</f>
        <v/>
      </c>
      <c r="BG5" s="64"/>
      <c r="BH5" s="65" t="s">
        <v>0</v>
      </c>
      <c r="BI5" s="225"/>
      <c r="BJ5" s="226"/>
      <c r="BK5" s="226"/>
      <c r="BL5" s="221" t="s">
        <v>1747</v>
      </c>
      <c r="BM5" s="222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List'!$A$23:$H$3256,2,FALSE)),"+","")</f>
        <v/>
      </c>
      <c r="C6" s="66" t="str">
        <f>IF(ISTEXT(VLOOKUP(CONCATENATE($A6,"_",C$3),'Unit List'!$A$23:$H$3256,2,FALSE)),"X",$B6)</f>
        <v/>
      </c>
      <c r="D6" s="67" t="str">
        <f>IF(ISTEXT(VLOOKUP(CONCATENATE($A6,"_",D$3),'Unit List'!$A$23:$H$3256,2,FALSE)),"X",$B6)</f>
        <v>X</v>
      </c>
      <c r="E6" s="51" t="str">
        <f>IF(ISTEXT(VLOOKUP(CONCATENATE($A6,"_",E$3),'Unit List'!$A$23:$H$3256,2,FALSE)),"X",$B6)</f>
        <v/>
      </c>
      <c r="F6" s="67" t="str">
        <f>IF(ISTEXT(VLOOKUP(CONCATENATE($A6,"_",F$3),'Unit List'!$A$23:$H$3256,2,FALSE)),"X",$B6)</f>
        <v>X</v>
      </c>
      <c r="G6" s="67" t="str">
        <f>IF(ISTEXT(VLOOKUP(CONCATENATE($A6,"_",G$3),'Unit List'!$A$23:$H$3256,2,FALSE)),"X",$B6)</f>
        <v>X</v>
      </c>
      <c r="H6" s="67" t="str">
        <f>IF(ISTEXT(VLOOKUP(CONCATENATE($A6,"_",H$3),'Unit List'!$A$23:$H$3256,2,FALSE)),"X",$B6)</f>
        <v>X</v>
      </c>
      <c r="I6" s="61" t="str">
        <f>IF(ISTEXT(VLOOKUP(CONCATENATE($A6,"_",I$3),'Unit List'!$A$23:$H$3256,2,FALSE)),"X",$B6)</f>
        <v/>
      </c>
      <c r="J6" s="172" t="str">
        <f>IF(ISTEXT(VLOOKUP(CONCATENATE($A6,"_",J$3),'Unit List'!$A$23:$H$3256,2,FALSE)),"+","")</f>
        <v>+</v>
      </c>
      <c r="K6" s="67" t="str">
        <f>IF(ISTEXT(VLOOKUP(CONCATENATE($A6,"_",K$3),'Unit List'!$A$23:$H$3256,2,FALSE)),"X",$J6)</f>
        <v>+</v>
      </c>
      <c r="L6" s="68" t="str">
        <f>IF(ISTEXT(VLOOKUP(CONCATENATE($A6,"_",L$3),'Unit List'!$A$23:$H$3256,2,FALSE)),"X",$J6)</f>
        <v>+</v>
      </c>
      <c r="M6" s="172" t="str">
        <f>IF(ISTEXT(VLOOKUP(CONCATENATE($A6,"_",M$3),'Unit List'!$A$23:$H$3256,2,FALSE)),"+","")</f>
        <v>+</v>
      </c>
      <c r="N6" s="69" t="str">
        <f>IF(ISTEXT(VLOOKUP(CONCATENATE($A6,"_",N$3),'Unit List'!$A$23:$H$3256,2,FALSE)),"X",$M6)</f>
        <v>+</v>
      </c>
      <c r="O6" s="70" t="str">
        <f>IF(ISTEXT(VLOOKUP(CONCATENATE($A6,"_",O$3),'Unit List'!$A$23:$H$3256,2,FALSE)),"X",$M6)</f>
        <v>+</v>
      </c>
      <c r="P6" s="171" t="str">
        <f>IF(ISTEXT(VLOOKUP(CONCATENATE($A6,"_",P$3),'Unit List'!$A$23:$H$3256,2,FALSE)),"+","")</f>
        <v>+</v>
      </c>
      <c r="Q6" s="69" t="str">
        <f>IF(ISTEXT(VLOOKUP(CONCATENATE($A6,"_",Q$3),'Unit List'!$A$23:$H$3256,2,FALSE)),"X",$P6)</f>
        <v>+</v>
      </c>
      <c r="R6" s="69" t="str">
        <f>IF(ISTEXT(VLOOKUP(CONCATENATE($A6,"_",R$3),'Unit List'!$A$23:$H$3256,2,FALSE)),"X",$P6)</f>
        <v>+</v>
      </c>
      <c r="S6" s="67" t="str">
        <f>IF(ISTEXT(VLOOKUP(CONCATENATE($A6,"_",S$3),'Unit List'!$A$23:$H$3256,2,FALSE)),"X",$P6)</f>
        <v>X</v>
      </c>
      <c r="T6" s="183" t="str">
        <f>IF(ISTEXT(VLOOKUP(CONCATENATE($A6,"_",T$3),'Unit List'!$A$23:$H$3256,2,FALSE)),"X",$P6)</f>
        <v>+</v>
      </c>
      <c r="U6" s="67" t="str">
        <f>IF(ISTEXT(VLOOKUP(CONCATENATE($A6,"_",U$3),'Unit List'!$A$23:$H$3256,2,FALSE)),"X",$P6)</f>
        <v>X</v>
      </c>
      <c r="V6" s="67" t="str">
        <f>IF(ISTEXT(VLOOKUP(CONCATENATE($A6,"_",V$3),'Unit List'!$A$23:$H$3256,2,FALSE)),"X",$P6)</f>
        <v>X</v>
      </c>
      <c r="W6" s="71" t="str">
        <f>IF(ISTEXT(VLOOKUP(CONCATENATE($A6,"_",W$3),'Unit List'!$A$23:$H$3256,2,FALSE)),"X",$P6)</f>
        <v>+</v>
      </c>
      <c r="X6" s="171" t="str">
        <f>IF(ISTEXT(VLOOKUP(CONCATENATE($A6,"_",X$3),'Unit List'!$A$23:$H$3256,2,FALSE)),"+","")</f>
        <v>+</v>
      </c>
      <c r="Y6" s="67" t="str">
        <f>IF(ISTEXT(VLOOKUP(CONCATENATE($A6,"_",Y$3),'Unit List'!$A$23:$H$3256,2,FALSE)),"X",$X6)</f>
        <v>X</v>
      </c>
      <c r="Z6" s="69" t="str">
        <f>IF(ISTEXT(VLOOKUP(CONCATENATE($A6,"_",Z$3),'Unit List'!$A$23:$H$3256,2,FALSE)),"X",$X6)</f>
        <v>+</v>
      </c>
      <c r="AA6" s="72" t="s">
        <v>0</v>
      </c>
      <c r="AB6" s="67" t="str">
        <f>IF(ISTEXT(VLOOKUP(CONCATENATE($A6,"_",AB$3),'Unit List'!$A$23:$H$3256,2,FALSE)),"X",$X6)</f>
        <v>X</v>
      </c>
      <c r="AC6" s="68" t="str">
        <f>IF(ISTEXT(VLOOKUP(CONCATENATE($A6,"_",AC$3),'Unit List'!$A$23:$H$3256,2,FALSE)),"X",$X6)</f>
        <v>X</v>
      </c>
      <c r="AD6" s="171" t="str">
        <f>IF(ISTEXT(VLOOKUP(CONCATENATE($A6,"_",AD$3),'Unit List'!$A$23:$H$3256,2,FALSE)),"+","")</f>
        <v/>
      </c>
      <c r="AE6" s="51" t="str">
        <f>IF(ISTEXT(VLOOKUP(CONCATENATE($A6,"_",AE$3),'Unit List'!$A$23:$H$3256,2,FALSE)),"X",$AD6)</f>
        <v>X</v>
      </c>
      <c r="AF6" s="51" t="str">
        <f>IF(ISTEXT(VLOOKUP(CONCATENATE($A6,"_",AF$3),'Unit List'!$A$23:$H$3256,2,FALSE)),"X",$AD6)</f>
        <v/>
      </c>
      <c r="AG6" s="171" t="str">
        <f>IF(ISTEXT(VLOOKUP(CONCATENATE($A6,"_",AG$3),'Unit List'!$A$23:$H$3256,2,FALSE)),"+","")</f>
        <v>+</v>
      </c>
      <c r="AH6" s="67" t="str">
        <f>IF(ISTEXT(VLOOKUP(CONCATENATE($A6,"_",AH$3),'Unit List'!$A$23:$H$3256,2,FALSE)),"X",$AG6)</f>
        <v>X</v>
      </c>
      <c r="AI6" s="69" t="str">
        <f>IF(ISTEXT(VLOOKUP(CONCATENATE($A6,"_",AI$3),'Unit List'!$A$23:$H$3256,2,FALSE)),"X",$AG6)</f>
        <v>X</v>
      </c>
      <c r="AJ6" s="73" t="str">
        <f>IF(ISTEXT(VLOOKUP(CONCATENATE($A6,"_",AJ$3),'Unit List'!$A$23:$H$3256,2,FALSE)),"X",$AG6)</f>
        <v>+</v>
      </c>
      <c r="AK6" s="171" t="str">
        <f>IF(ISTEXT(VLOOKUP(CONCATENATE($A6,"_",AK$3),'Unit List'!$A$23:$H$3256,2,FALSE)),"+","")</f>
        <v>+</v>
      </c>
      <c r="AL6" s="183" t="str">
        <f>IF(ISTEXT(VLOOKUP(CONCATENATE($A6,"_",AL$3),'Unit List'!$A$23:$H$3256,2,FALSE)),"X",$AK6)</f>
        <v>+</v>
      </c>
      <c r="AM6" s="73" t="str">
        <f>IF(ISTEXT(VLOOKUP(CONCATENATE($A6,"_",AM$3),'Unit List'!$A$23:$H$3256,2,FALSE)),"X",$AK6)</f>
        <v>+</v>
      </c>
      <c r="AN6" s="125" t="str">
        <f>IF(ISTEXT(VLOOKUP(CONCATENATE($A6,"_",AN$3),'Unit List'!$A$23:$H$3256,2,FALSE)),"+","")</f>
        <v>+</v>
      </c>
      <c r="AO6" s="70" t="str">
        <f>IF(ISTEXT(VLOOKUP(CONCATENATE($A6,"_",AO$3),'Unit List'!$A$23:$H$3256,2,FALSE)),"X",$AN6)</f>
        <v>X</v>
      </c>
      <c r="AP6" s="171" t="str">
        <f>IF(ISTEXT(VLOOKUP(CONCATENATE($A6,"_",AP$3),'Unit List'!$A$23:$H$3256,2,FALSE)),"+","")</f>
        <v>+</v>
      </c>
      <c r="AQ6" s="67" t="str">
        <f>IF(ISTEXT(VLOOKUP(CONCATENATE($A6,"_",AQ$3),'Unit List'!$A$23:$H$3256,2,FALSE)),"X",$AP6)</f>
        <v>X</v>
      </c>
      <c r="AR6" s="67" t="str">
        <f>IF(ISTEXT(VLOOKUP(CONCATENATE($A6,"_",AR$3),'Unit List'!$A$23:$H$3256,2,FALSE)),"X",$AP6)</f>
        <v>X</v>
      </c>
      <c r="AS6" s="67" t="str">
        <f>IF(ISTEXT(VLOOKUP(CONCATENATE($A6,"_",AS$3),'Unit List'!$A$23:$H$3256,2,FALSE)),"X",$AP6)</f>
        <v>X</v>
      </c>
      <c r="AT6" s="73" t="str">
        <f>IF(ISTEXT(VLOOKUP(CONCATENATE($A6,"_",AT$3),'Unit List'!$A$23:$H$3256,2,FALSE)),"X",$AP6)</f>
        <v>X</v>
      </c>
      <c r="AU6" s="177" t="str">
        <f>IF(ISTEXT(VLOOKUP(CONCATENATE($A6,"_",AU$3),'Unit List'!$A$23:$H$3256,2,FALSE)),"+","")</f>
        <v>+</v>
      </c>
      <c r="AV6" s="69" t="str">
        <f>IF(ISTEXT(VLOOKUP(CONCATENATE($A6,"_",AV$3),'Unit List'!$A$23:$H$3256,2,FALSE)),"X",$AU6)</f>
        <v>+</v>
      </c>
      <c r="AW6" s="71" t="str">
        <f>IF(ISTEXT(VLOOKUP(CONCATENATE($A6,"_",AW$3),'Unit List'!$A$23:$H$3256,2,FALSE)),"X",$AU6)</f>
        <v>+</v>
      </c>
      <c r="AX6" s="171" t="str">
        <f>IF(ISTEXT(VLOOKUP(CONCATENATE($A6,"_",AX$3),'Unit List'!$A$23:$H$3256,2,FALSE)),"+","")</f>
        <v>+</v>
      </c>
      <c r="AY6" s="67" t="str">
        <f>IF(ISTEXT(VLOOKUP(CONCATENATE($A6,"_",AY$3),'Unit List'!$A$23:$H$3256,2,FALSE)),"X",$AX6)</f>
        <v>+</v>
      </c>
      <c r="AZ6" s="70" t="str">
        <f>IF(ISTEXT(VLOOKUP(CONCATENATE($A6,"_",AZ$3),'Unit List'!$A$23:$H$3256,2,FALSE)),"X",$AX6)</f>
        <v>+</v>
      </c>
      <c r="BA6" s="174" t="str">
        <f>IF(ISTEXT(VLOOKUP(CONCATENATE($A6,"_",BA$3),'Unit List'!$A$23:$H$3256,2,FALSE)),"+","")</f>
        <v>+</v>
      </c>
      <c r="BB6" s="67" t="str">
        <f>IF(ISTEXT(VLOOKUP(CONCATENATE($A6,"_",BB$3),'Unit List'!$A$23:$H$3256,2,FALSE)),"X",$BA6)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List'!$A$23:$H$3256,2,FALSE)),"+","")</f>
        <v>+</v>
      </c>
      <c r="BF6" s="184" t="str">
        <f>IF(ISTEXT(VLOOKUP(CONCATENATE($A6,"_",BF$3),'Unit List'!$A$23:$H$3256,2,FALSE)),"X",$BE6)</f>
        <v>+</v>
      </c>
      <c r="BG6" s="75"/>
      <c r="BH6" s="76" t="s">
        <v>0</v>
      </c>
      <c r="BI6" s="225" t="s">
        <v>12</v>
      </c>
      <c r="BJ6" s="228"/>
      <c r="BK6" s="228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List'!$A$23:$H$3256,2,FALSE)),"+","")</f>
        <v/>
      </c>
      <c r="C7" s="57" t="str">
        <f>IF(ISTEXT(VLOOKUP(CONCATENATE($A7,"_",C$3),'Unit List'!$A$23:$H$3256,2,FALSE)),"X",$B7)</f>
        <v/>
      </c>
      <c r="D7" s="51" t="str">
        <f>IF(ISTEXT(VLOOKUP(CONCATENATE($A7,"_",D$3),'Unit List'!$A$23:$H$3256,2,FALSE)),"X",$B7)</f>
        <v/>
      </c>
      <c r="E7" s="51" t="str">
        <f>IF(ISTEXT(VLOOKUP(CONCATENATE($A7,"_",E$3),'Unit List'!$A$23:$H$3256,2,FALSE)),"X",$B7)</f>
        <v/>
      </c>
      <c r="F7" s="51" t="str">
        <f>IF(ISTEXT(VLOOKUP(CONCATENATE($A7,"_",F$3),'Unit List'!$A$23:$H$3256,2,FALSE)),"X",$B7)</f>
        <v/>
      </c>
      <c r="G7" s="51" t="str">
        <f>IF(ISTEXT(VLOOKUP(CONCATENATE($A7,"_",G$3),'Unit List'!$A$23:$H$3256,2,FALSE)),"X",$B7)</f>
        <v>X</v>
      </c>
      <c r="H7" s="51" t="str">
        <f>IF(ISTEXT(VLOOKUP(CONCATENATE($A7,"_",H$3),'Unit List'!$A$23:$H$3256,2,FALSE)),"X",$B7)</f>
        <v/>
      </c>
      <c r="I7" s="53" t="str">
        <f>IF(ISTEXT(VLOOKUP(CONCATENATE($A7,"_",I$3),'Unit List'!$A$23:$H$3256,2,FALSE)),"X",$B7)</f>
        <v/>
      </c>
      <c r="J7" s="172" t="str">
        <f>IF(ISTEXT(VLOOKUP(CONCATENATE($A7,"_",J$3),'Unit List'!$A$23:$H$3256,2,FALSE)),"+","")</f>
        <v/>
      </c>
      <c r="K7" s="51" t="str">
        <f>IF(ISTEXT(VLOOKUP(CONCATENATE($A7,"_",K$3),'Unit List'!$A$23:$H$3256,2,FALSE)),"X",$J7)</f>
        <v/>
      </c>
      <c r="L7" s="62" t="str">
        <f>IF(ISTEXT(VLOOKUP(CONCATENATE($A7,"_",L$3),'Unit List'!$A$23:$H$3256,2,FALSE)),"X",$J7)</f>
        <v/>
      </c>
      <c r="M7" s="172" t="str">
        <f>IF(ISTEXT(VLOOKUP(CONCATENATE($A7,"_",M$3),'Unit List'!$A$23:$H$3256,2,FALSE)),"+","")</f>
        <v>+</v>
      </c>
      <c r="N7" s="51" t="str">
        <f>IF(ISTEXT(VLOOKUP(CONCATENATE($A7,"_",N$3),'Unit List'!$A$23:$H$3256,2,FALSE)),"X",$M7)</f>
        <v>+</v>
      </c>
      <c r="O7" s="70" t="str">
        <f>IF(ISTEXT(VLOOKUP(CONCATENATE($A7,"_",O$3),'Unit List'!$A$23:$H$3256,2,FALSE)),"X",$M7)</f>
        <v>+</v>
      </c>
      <c r="P7" s="171" t="str">
        <f>IF(ISTEXT(VLOOKUP(CONCATENATE($A7,"_",P$3),'Unit List'!$A$23:$H$3256,2,FALSE)),"+","")</f>
        <v/>
      </c>
      <c r="Q7" s="51" t="str">
        <f>IF(ISTEXT(VLOOKUP(CONCATENATE($A7,"_",Q$3),'Unit List'!$A$23:$H$3256,2,FALSE)),"X",$P7)</f>
        <v/>
      </c>
      <c r="R7" s="51" t="str">
        <f>IF(ISTEXT(VLOOKUP(CONCATENATE($A7,"_",R$3),'Unit List'!$A$23:$H$3256,2,FALSE)),"X",$P7)</f>
        <v/>
      </c>
      <c r="S7" s="51" t="str">
        <f>IF(ISTEXT(VLOOKUP(CONCATENATE($A7,"_",S$3),'Unit List'!$A$23:$H$3256,2,FALSE)),"X",$P7)</f>
        <v/>
      </c>
      <c r="T7" s="52" t="str">
        <f>IF(ISTEXT(VLOOKUP(CONCATENATE($A7,"_",T$3),'Unit List'!$A$23:$H$3256,2,FALSE)),"X",$P7)</f>
        <v/>
      </c>
      <c r="U7" s="51" t="str">
        <f>IF(ISTEXT(VLOOKUP(CONCATENATE($A7,"_",U$3),'Unit List'!$A$23:$H$3256,2,FALSE)),"X",$P7)</f>
        <v/>
      </c>
      <c r="V7" s="51" t="str">
        <f>IF(ISTEXT(VLOOKUP(CONCATENATE($A7,"_",V$3),'Unit List'!$A$23:$H$3256,2,FALSE)),"X",$P7)</f>
        <v/>
      </c>
      <c r="W7" s="53" t="str">
        <f>IF(ISTEXT(VLOOKUP(CONCATENATE($A7,"_",W$3),'Unit List'!$A$23:$H$3256,2,FALSE)),"X",$P7)</f>
        <v/>
      </c>
      <c r="X7" s="172" t="str">
        <f>IF(ISTEXT(VLOOKUP(CONCATENATE($A7,"_",X$3),'Unit List'!$A$23:$H$3256,2,FALSE)),"+","")</f>
        <v/>
      </c>
      <c r="Y7" s="51" t="str">
        <f>IF(ISTEXT(VLOOKUP(CONCATENATE($A7,"_",Y$3),'Unit List'!$A$23:$H$3256,2,FALSE)),"X",$X7)</f>
        <v/>
      </c>
      <c r="Z7" s="51" t="str">
        <f>IF(ISTEXT(VLOOKUP(CONCATENATE($A7,"_",Z$3),'Unit List'!$A$23:$H$3256,2,FALSE)),"X",$X7)</f>
        <v/>
      </c>
      <c r="AA7" s="51" t="str">
        <f>IF(ISTEXT(VLOOKUP(CONCATENATE($A7,"_",AA$3),'Unit List'!$A$23:$H$3256,2,FALSE)),"X",$X7)</f>
        <v/>
      </c>
      <c r="AB7" s="51" t="str">
        <f>IF(ISTEXT(VLOOKUP(CONCATENATE($A7,"_",AB$3),'Unit List'!$A$23:$H$3256,2,FALSE)),"X",$X7)</f>
        <v/>
      </c>
      <c r="AC7" s="62" t="str">
        <f>IF(ISTEXT(VLOOKUP(CONCATENATE($A7,"_",AC$3),'Unit List'!$A$23:$H$3256,2,FALSE)),"X",$X7)</f>
        <v/>
      </c>
      <c r="AD7" s="172" t="str">
        <f>IF(ISTEXT(VLOOKUP(CONCATENATE($A7,"_",AD$3),'Unit List'!$A$23:$H$3256,2,FALSE)),"+","")</f>
        <v/>
      </c>
      <c r="AE7" s="51" t="str">
        <f>IF(ISTEXT(VLOOKUP(CONCATENATE($A7,"_",AE$3),'Unit List'!$A$23:$H$3256,2,FALSE)),"X",$AD7)</f>
        <v/>
      </c>
      <c r="AF7" s="51" t="str">
        <f>IF(ISTEXT(VLOOKUP(CONCATENATE($A7,"_",AF$3),'Unit List'!$A$23:$H$3256,2,FALSE)),"X",$AD7)</f>
        <v/>
      </c>
      <c r="AG7" s="172" t="str">
        <f>IF(ISTEXT(VLOOKUP(CONCATENATE($A7,"_",AG$3),'Unit List'!$A$23:$H$3256,2,FALSE)),"+","")</f>
        <v/>
      </c>
      <c r="AH7" s="51" t="str">
        <f>IF(ISTEXT(VLOOKUP(CONCATENATE($A7,"_",AH$3),'Unit List'!$A$23:$H$3256,2,FALSE)),"X",$AG7)</f>
        <v/>
      </c>
      <c r="AI7" s="51" t="str">
        <f>IF(ISTEXT(VLOOKUP(CONCATENATE($A7,"_",AI$3),'Unit List'!$A$23:$H$3256,2,FALSE)),"X",$AG7)</f>
        <v/>
      </c>
      <c r="AJ7" s="53" t="str">
        <f>IF(ISTEXT(VLOOKUP(CONCATENATE($A7,"_",AJ$3),'Unit List'!$A$23:$H$3256,2,FALSE)),"X",$AG7)</f>
        <v/>
      </c>
      <c r="AK7" s="172" t="str">
        <f>IF(ISTEXT(VLOOKUP(CONCATENATE($A7,"_",AK$3),'Unit List'!$A$23:$H$3256,2,FALSE)),"+","")</f>
        <v/>
      </c>
      <c r="AL7" s="52" t="str">
        <f>IF(ISTEXT(VLOOKUP(CONCATENATE($A7,"_",AL$3),'Unit List'!$A$23:$H$3256,2,FALSE)),"X",$AK7)</f>
        <v/>
      </c>
      <c r="AM7" s="53" t="str">
        <f>IF(ISTEXT(VLOOKUP(CONCATENATE($A7,"_",AM$3),'Unit List'!$A$23:$H$3256,2,FALSE)),"X",$AK7)</f>
        <v/>
      </c>
      <c r="AN7" s="125" t="str">
        <f>IF(ISTEXT(VLOOKUP(CONCATENATE($A7,"_",AN$3),'Unit List'!$A$23:$H$3256,2,FALSE)),"+","")</f>
        <v/>
      </c>
      <c r="AO7" s="53" t="str">
        <f>IF(ISTEXT(VLOOKUP(CONCATENATE($A7,"_",AO$3),'Unit List'!$A$23:$H$3256,2,FALSE)),"X",$AN7)</f>
        <v/>
      </c>
      <c r="AP7" s="172" t="str">
        <f>IF(ISTEXT(VLOOKUP(CONCATENATE($A7,"_",AP$3),'Unit List'!$A$23:$H$3256,2,FALSE)),"+","")</f>
        <v/>
      </c>
      <c r="AQ7" s="51" t="str">
        <f>IF(ISTEXT(VLOOKUP(CONCATENATE($A7,"_",AQ$3),'Unit List'!$A$23:$H$3256,2,FALSE)),"X",$AP7)</f>
        <v/>
      </c>
      <c r="AR7" s="51" t="str">
        <f>IF(ISTEXT(VLOOKUP(CONCATENATE($A7,"_",AR$3),'Unit List'!$A$23:$H$3256,2,FALSE)),"X",$AP7)</f>
        <v/>
      </c>
      <c r="AS7" s="51" t="str">
        <f>IF(ISTEXT(VLOOKUP(CONCATENATE($A7,"_",AS$3),'Unit List'!$A$23:$H$3256,2,FALSE)),"X",$AP7)</f>
        <v/>
      </c>
      <c r="AT7" s="53" t="str">
        <f>IF(ISTEXT(VLOOKUP(CONCATENATE($A7,"_",AT$3),'Unit List'!$A$23:$H$3256,2,FALSE)),"X",$AP7)</f>
        <v/>
      </c>
      <c r="AU7" s="124" t="str">
        <f>IF(ISTEXT(VLOOKUP(CONCATENATE($A7,"_",AU$3),'Unit List'!$A$23:$H$3256,2,FALSE)),"+","")</f>
        <v/>
      </c>
      <c r="AV7" s="51" t="str">
        <f>IF(ISTEXT(VLOOKUP(CONCATENATE($A7,"_",AV$3),'Unit List'!$A$23:$H$3256,2,FALSE)),"X",$AU7)</f>
        <v/>
      </c>
      <c r="AW7" s="53" t="str">
        <f>IF(ISTEXT(VLOOKUP(CONCATENATE($A7,"_",AW$3),'Unit List'!$A$23:$H$3256,2,FALSE)),"X",$AU7)</f>
        <v/>
      </c>
      <c r="AX7" s="172" t="str">
        <f>IF(ISTEXT(VLOOKUP(CONCATENATE($A7,"_",AX$3),'Unit List'!$A$23:$H$3256,2,FALSE)),"+","")</f>
        <v/>
      </c>
      <c r="AY7" s="51" t="str">
        <f>IF(ISTEXT(VLOOKUP(CONCATENATE($A7,"_",AY$3),'Unit List'!$A$23:$H$3256,2,FALSE)),"X",$AX7)</f>
        <v/>
      </c>
      <c r="AZ7" s="53" t="str">
        <f>IF(ISTEXT(VLOOKUP(CONCATENATE($A7,"_",AZ$3),'Unit List'!$A$23:$H$3256,2,FALSE)),"X",$AX7)</f>
        <v/>
      </c>
      <c r="BA7" s="182" t="str">
        <f>IF(ISTEXT(VLOOKUP(CONCATENATE($A7,"_",BA$3),'Unit List'!$A$23:$H$3256,2,FALSE)),"+","")</f>
        <v/>
      </c>
      <c r="BB7" s="51" t="str">
        <f>IF(ISTEXT(VLOOKUP(CONCATENATE($A7,"_",BB$3),'Unit List'!$A$23:$H$3256,2,FALSE)),"X",$BA7)</f>
        <v/>
      </c>
      <c r="BC7" s="51" t="str">
        <f>IF(ISTEXT(VLOOKUP(CONCATENATE($A7,"_",BC$3),'Unit List'!$A$23:$H$3256,2,FALSE)),"X",$BA7)</f>
        <v/>
      </c>
      <c r="BD7" s="53" t="str">
        <f>IF(ISTEXT(VLOOKUP(CONCATENATE($A7,"_",BD$3),'Unit List'!$A$23:$H$3256,2,FALSE)),"X",$BA7)</f>
        <v/>
      </c>
      <c r="BE7" s="125" t="str">
        <f>IF(ISTEXT(VLOOKUP(CONCATENATE($A7,"_",BE$3),'Unit List'!$A$23:$H$3256,2,FALSE)),"+","")</f>
        <v/>
      </c>
      <c r="BF7" s="62" t="str">
        <f>IF(ISTEXT(VLOOKUP(CONCATENATE($A7,"_",BF$3),'Unit List'!$A$23:$H$3256,2,FALSE)),"X",$BE7)</f>
        <v/>
      </c>
      <c r="BG7" s="64"/>
      <c r="BH7" s="65" t="s">
        <v>0</v>
      </c>
      <c r="BI7" s="225"/>
      <c r="BJ7" s="226"/>
      <c r="BK7" s="226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List'!$A$23:$H$3256,2,FALSE)),"+","")</f>
        <v/>
      </c>
      <c r="C8" s="57" t="str">
        <f>IF(ISTEXT(VLOOKUP(CONCATENATE($A8,"_",C$3),'Unit List'!$A$23:$H$3256,2,FALSE)),"X",$B8)</f>
        <v/>
      </c>
      <c r="D8" s="51" t="str">
        <f>IF(ISTEXT(VLOOKUP(CONCATENATE($A8,"_",D$3),'Unit List'!$A$23:$H$3256,2,FALSE)),"X",$B8)</f>
        <v/>
      </c>
      <c r="E8" s="51" t="str">
        <f>IF(ISTEXT(VLOOKUP(CONCATENATE($A8,"_",E$3),'Unit List'!$A$23:$H$3256,2,FALSE)),"X",$B8)</f>
        <v/>
      </c>
      <c r="F8" s="51" t="str">
        <f>IF(ISTEXT(VLOOKUP(CONCATENATE($A8,"_",F$3),'Unit List'!$A$23:$H$3256,2,FALSE)),"X",$B8)</f>
        <v/>
      </c>
      <c r="G8" s="51" t="str">
        <f>IF(ISTEXT(VLOOKUP(CONCATENATE($A8,"_",G$3),'Unit List'!$A$23:$H$3256,2,FALSE)),"X",$B8)</f>
        <v/>
      </c>
      <c r="H8" s="51" t="str">
        <f>IF(ISTEXT(VLOOKUP(CONCATENATE($A8,"_",H$3),'Unit List'!$A$23:$H$3256,2,FALSE)),"X",$B8)</f>
        <v/>
      </c>
      <c r="I8" s="53" t="str">
        <f>IF(ISTEXT(VLOOKUP(CONCATENATE($A8,"_",I$3),'Unit List'!$A$23:$H$3256,2,FALSE)),"X",$B8)</f>
        <v/>
      </c>
      <c r="J8" s="172" t="str">
        <f>IF(ISTEXT(VLOOKUP(CONCATENATE($A8,"_",J$3),'Unit List'!$A$23:$H$3256,2,FALSE)),"+","")</f>
        <v/>
      </c>
      <c r="K8" s="51" t="str">
        <f>IF(ISTEXT(VLOOKUP(CONCATENATE($A8,"_",K$3),'Unit List'!$A$23:$H$3256,2,FALSE)),"X",$J8)</f>
        <v/>
      </c>
      <c r="L8" s="62" t="str">
        <f>IF(ISTEXT(VLOOKUP(CONCATENATE($A8,"_",L$3),'Unit List'!$A$23:$H$3256,2,FALSE)),"X",$J8)</f>
        <v/>
      </c>
      <c r="M8" s="172" t="str">
        <f>IF(ISTEXT(VLOOKUP(CONCATENATE($A8,"_",M$3),'Unit List'!$A$23:$H$3256,2,FALSE)),"+","")</f>
        <v/>
      </c>
      <c r="N8" s="51" t="str">
        <f>IF(ISTEXT(VLOOKUP(CONCATENATE($A8,"_",N$3),'Unit List'!$A$23:$H$3256,2,FALSE)),"X",$M8)</f>
        <v/>
      </c>
      <c r="O8" s="53" t="str">
        <f>IF(ISTEXT(VLOOKUP(CONCATENATE($A8,"_",O$3),'Unit List'!$A$23:$H$3256,2,FALSE)),"X",$M8)</f>
        <v/>
      </c>
      <c r="P8" s="172" t="str">
        <f>IF(ISTEXT(VLOOKUP(CONCATENATE($A8,"_",P$3),'Unit List'!$A$23:$H$3256,2,FALSE)),"+","")</f>
        <v/>
      </c>
      <c r="Q8" s="51" t="str">
        <f>IF(ISTEXT(VLOOKUP(CONCATENATE($A8,"_",Q$3),'Unit List'!$A$23:$H$3256,2,FALSE)),"X",$P8)</f>
        <v/>
      </c>
      <c r="R8" s="51" t="str">
        <f>IF(ISTEXT(VLOOKUP(CONCATENATE($A8,"_",R$3),'Unit List'!$A$23:$H$3256,2,FALSE)),"X",$P8)</f>
        <v/>
      </c>
      <c r="S8" s="51" t="str">
        <f>IF(ISTEXT(VLOOKUP(CONCATENATE($A8,"_",S$3),'Unit List'!$A$23:$H$3256,2,FALSE)),"X",$P8)</f>
        <v/>
      </c>
      <c r="T8" s="52" t="str">
        <f>IF(ISTEXT(VLOOKUP(CONCATENATE($A8,"_",T$3),'Unit List'!$A$23:$H$3256,2,FALSE)),"X",$P8)</f>
        <v/>
      </c>
      <c r="U8" s="51" t="str">
        <f>IF(ISTEXT(VLOOKUP(CONCATENATE($A8,"_",U$3),'Unit List'!$A$23:$H$3256,2,FALSE)),"X",$P8)</f>
        <v/>
      </c>
      <c r="V8" s="51" t="str">
        <f>IF(ISTEXT(VLOOKUP(CONCATENATE($A8,"_",V$3),'Unit List'!$A$23:$H$3256,2,FALSE)),"X",$P8)</f>
        <v/>
      </c>
      <c r="W8" s="53" t="str">
        <f>IF(ISTEXT(VLOOKUP(CONCATENATE($A8,"_",W$3),'Unit List'!$A$23:$H$3256,2,FALSE)),"X",$P8)</f>
        <v/>
      </c>
      <c r="X8" s="172" t="str">
        <f>IF(ISTEXT(VLOOKUP(CONCATENATE($A8,"_",X$3),'Unit List'!$A$23:$H$3256,2,FALSE)),"+","")</f>
        <v/>
      </c>
      <c r="Y8" s="51" t="str">
        <f>IF(ISTEXT(VLOOKUP(CONCATENATE($A8,"_",Y$3),'Unit List'!$A$23:$H$3256,2,FALSE)),"X",$X8)</f>
        <v/>
      </c>
      <c r="Z8" s="51" t="str">
        <f>IF(ISTEXT(VLOOKUP(CONCATENATE($A8,"_",Z$3),'Unit List'!$A$23:$H$3256,2,FALSE)),"X",$X8)</f>
        <v/>
      </c>
      <c r="AA8" s="51" t="str">
        <f>IF(ISTEXT(VLOOKUP(CONCATENATE($A8,"_",AA$3),'Unit List'!$A$23:$H$3256,2,FALSE)),"X",$X8)</f>
        <v/>
      </c>
      <c r="AB8" s="51" t="str">
        <f>IF(ISTEXT(VLOOKUP(CONCATENATE($A8,"_",AB$3),'Unit List'!$A$23:$H$3256,2,FALSE)),"X",$X8)</f>
        <v/>
      </c>
      <c r="AC8" s="62" t="str">
        <f>IF(ISTEXT(VLOOKUP(CONCATENATE($A8,"_",AC$3),'Unit List'!$A$23:$H$3256,2,FALSE)),"X",$X8)</f>
        <v/>
      </c>
      <c r="AD8" s="172" t="str">
        <f>IF(ISTEXT(VLOOKUP(CONCATENATE($A8,"_",AD$3),'Unit List'!$A$23:$H$3256,2,FALSE)),"+","")</f>
        <v/>
      </c>
      <c r="AE8" s="51" t="str">
        <f>IF(ISTEXT(VLOOKUP(CONCATENATE($A8,"_",AE$3),'Unit List'!$A$23:$H$3256,2,FALSE)),"X",$AD8)</f>
        <v/>
      </c>
      <c r="AF8" s="51" t="str">
        <f>IF(ISTEXT(VLOOKUP(CONCATENATE($A8,"_",AF$3),'Unit List'!$A$23:$H$3256,2,FALSE)),"X",$AD8)</f>
        <v/>
      </c>
      <c r="AG8" s="172" t="str">
        <f>IF(ISTEXT(VLOOKUP(CONCATENATE($A8,"_",AG$3),'Unit List'!$A$23:$H$3256,2,FALSE)),"+","")</f>
        <v/>
      </c>
      <c r="AH8" s="51" t="str">
        <f>IF(ISTEXT(VLOOKUP(CONCATENATE($A8,"_",AH$3),'Unit List'!$A$23:$H$3256,2,FALSE)),"X",$AG8)</f>
        <v/>
      </c>
      <c r="AI8" s="51" t="str">
        <f>IF(ISTEXT(VLOOKUP(CONCATENATE($A8,"_",AI$3),'Unit List'!$A$23:$H$3256,2,FALSE)),"X",$AG8)</f>
        <v/>
      </c>
      <c r="AJ8" s="53" t="str">
        <f>IF(ISTEXT(VLOOKUP(CONCATENATE($A8,"_",AJ$3),'Unit List'!$A$23:$H$3256,2,FALSE)),"X",$AG8)</f>
        <v/>
      </c>
      <c r="AK8" s="172" t="str">
        <f>IF(ISTEXT(VLOOKUP(CONCATENATE($A8,"_",AK$3),'Unit List'!$A$23:$H$3256,2,FALSE)),"+","")</f>
        <v/>
      </c>
      <c r="AL8" s="52" t="str">
        <f>IF(ISTEXT(VLOOKUP(CONCATENATE($A8,"_",AL$3),'Unit List'!$A$23:$H$3256,2,FALSE)),"X",$AK8)</f>
        <v/>
      </c>
      <c r="AM8" s="53" t="str">
        <f>IF(ISTEXT(VLOOKUP(CONCATENATE($A8,"_",AM$3),'Unit List'!$A$23:$H$3256,2,FALSE)),"X",$AK8)</f>
        <v/>
      </c>
      <c r="AN8" s="125" t="str">
        <f>IF(ISTEXT(VLOOKUP(CONCATENATE($A8,"_",AN$3),'Unit List'!$A$23:$H$3256,2,FALSE)),"+","")</f>
        <v/>
      </c>
      <c r="AO8" s="53" t="str">
        <f>IF(ISTEXT(VLOOKUP(CONCATENATE($A8,"_",AO$3),'Unit List'!$A$23:$H$3256,2,FALSE)),"X",$AN8)</f>
        <v/>
      </c>
      <c r="AP8" s="172" t="str">
        <f>IF(ISTEXT(VLOOKUP(CONCATENATE($A8,"_",AP$3),'Unit List'!$A$23:$H$3256,2,FALSE)),"+","")</f>
        <v/>
      </c>
      <c r="AQ8" s="51" t="str">
        <f>IF(ISTEXT(VLOOKUP(CONCATENATE($A8,"_",AQ$3),'Unit List'!$A$23:$H$3256,2,FALSE)),"X",$AP8)</f>
        <v/>
      </c>
      <c r="AR8" s="51" t="str">
        <f>IF(ISTEXT(VLOOKUP(CONCATENATE($A8,"_",AR$3),'Unit List'!$A$23:$H$3256,2,FALSE)),"X",$AP8)</f>
        <v/>
      </c>
      <c r="AS8" s="51" t="str">
        <f>IF(ISTEXT(VLOOKUP(CONCATENATE($A8,"_",AS$3),'Unit List'!$A$23:$H$3256,2,FALSE)),"X",$AP8)</f>
        <v/>
      </c>
      <c r="AT8" s="53" t="str">
        <f>IF(ISTEXT(VLOOKUP(CONCATENATE($A8,"_",AT$3),'Unit List'!$A$23:$H$3256,2,FALSE)),"X",$AP8)</f>
        <v/>
      </c>
      <c r="AU8" s="124" t="str">
        <f>IF(ISTEXT(VLOOKUP(CONCATENATE($A8,"_",AU$3),'Unit List'!$A$23:$H$3256,2,FALSE)),"+","")</f>
        <v/>
      </c>
      <c r="AV8" s="51" t="str">
        <f>IF(ISTEXT(VLOOKUP(CONCATENATE($A8,"_",AV$3),'Unit List'!$A$23:$H$3256,2,FALSE)),"X",$AU8)</f>
        <v/>
      </c>
      <c r="AW8" s="53" t="str">
        <f>IF(ISTEXT(VLOOKUP(CONCATENATE($A8,"_",AW$3),'Unit List'!$A$23:$H$3256,2,FALSE)),"X",$AU8)</f>
        <v/>
      </c>
      <c r="AX8" s="172" t="str">
        <f>IF(ISTEXT(VLOOKUP(CONCATENATE($A8,"_",AX$3),'Unit List'!$A$23:$H$3256,2,FALSE)),"+","")</f>
        <v/>
      </c>
      <c r="AY8" s="51" t="str">
        <f>IF(ISTEXT(VLOOKUP(CONCATENATE($A8,"_",AY$3),'Unit List'!$A$23:$H$3256,2,FALSE)),"X",$AX8)</f>
        <v/>
      </c>
      <c r="AZ8" s="53" t="str">
        <f>IF(ISTEXT(VLOOKUP(CONCATENATE($A8,"_",AZ$3),'Unit List'!$A$23:$H$3256,2,FALSE)),"X",$AX8)</f>
        <v/>
      </c>
      <c r="BA8" s="182" t="str">
        <f>IF(ISTEXT(VLOOKUP(CONCATENATE($A8,"_",BA$3),'Unit List'!$A$23:$H$3256,2,FALSE)),"+","")</f>
        <v/>
      </c>
      <c r="BB8" s="51" t="str">
        <f>IF(ISTEXT(VLOOKUP(CONCATENATE($A8,"_",BB$3),'Unit List'!$A$23:$H$3256,2,FALSE)),"X",$BA8)</f>
        <v/>
      </c>
      <c r="BC8" s="51" t="str">
        <f>IF(ISTEXT(VLOOKUP(CONCATENATE($A8,"_",BC$3),'Unit List'!$A$23:$H$3256,2,FALSE)),"X",$BA8)</f>
        <v/>
      </c>
      <c r="BD8" s="53" t="str">
        <f>IF(ISTEXT(VLOOKUP(CONCATENATE($A8,"_",BD$3),'Unit List'!$A$23:$H$3256,2,FALSE)),"X",$BA8)</f>
        <v/>
      </c>
      <c r="BE8" s="125" t="str">
        <f>IF(ISTEXT(VLOOKUP(CONCATENATE($A8,"_",BE$3),'Unit List'!$A$23:$H$3256,2,FALSE)),"+","")</f>
        <v/>
      </c>
      <c r="BF8" s="62" t="str">
        <f>IF(ISTEXT(VLOOKUP(CONCATENATE($A8,"_",BF$3),'Unit List'!$A$23:$H$3256,2,FALSE)),"X",$BE8)</f>
        <v/>
      </c>
      <c r="BG8" s="64" t="s">
        <v>0</v>
      </c>
      <c r="BH8" s="65" t="s">
        <v>0</v>
      </c>
      <c r="BI8" s="219"/>
      <c r="BJ8" s="220"/>
      <c r="BK8" s="220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List'!$A$23:$H$3256,2,FALSE)),"+","")</f>
        <v/>
      </c>
      <c r="C9" s="82" t="str">
        <f>IF(ISTEXT(VLOOKUP(CONCATENATE($A9,"_",C$3),'Unit List'!$A$23:$H$3256,2,FALSE)),"X",$B9)</f>
        <v>X</v>
      </c>
      <c r="D9" s="51" t="str">
        <f>IF(ISTEXT(VLOOKUP(CONCATENATE($A9,"_",D$3),'Unit List'!$A$23:$H$3256,2,FALSE)),"X",$B9)</f>
        <v/>
      </c>
      <c r="E9" s="51" t="str">
        <f>IF(ISTEXT(VLOOKUP(CONCATENATE($A9,"_",E$3),'Unit List'!$A$23:$H$3256,2,FALSE)),"X",$B9)</f>
        <v>X</v>
      </c>
      <c r="F9" s="67" t="str">
        <f>IF(ISTEXT(VLOOKUP(CONCATENATE($A9,"_",F$3),'Unit List'!$A$23:$H$3256,2,FALSE)),"X",$B9)</f>
        <v>X</v>
      </c>
      <c r="G9" s="67" t="str">
        <f>IF(ISTEXT(VLOOKUP(CONCATENATE($A9,"_",G$3),'Unit List'!$A$23:$H$3256,2,FALSE)),"X",$B9)</f>
        <v>X</v>
      </c>
      <c r="H9" s="67" t="str">
        <f>IF(ISTEXT(VLOOKUP(CONCATENATE($A9,"_",H$3),'Unit List'!$A$23:$H$3256,2,FALSE)),"X",$B9)</f>
        <v>X</v>
      </c>
      <c r="I9" s="53" t="str">
        <f>IF(ISTEXT(VLOOKUP(CONCATENATE($A9,"_",I$3),'Unit List'!$A$23:$H$3256,2,FALSE)),"X",$B9)</f>
        <v/>
      </c>
      <c r="J9" s="172" t="str">
        <f>IF(ISTEXT(VLOOKUP(CONCATENATE($A9,"_",J$3),'Unit List'!$A$23:$H$3256,2,FALSE)),"+","")</f>
        <v/>
      </c>
      <c r="K9" s="51" t="str">
        <f>IF(ISTEXT(VLOOKUP(CONCATENATE($A9,"_",K$3),'Unit List'!$A$23:$H$3256,2,FALSE)),"X",$J9)</f>
        <v/>
      </c>
      <c r="L9" s="62" t="str">
        <f>IF(ISTEXT(VLOOKUP(CONCATENATE($A9,"_",L$3),'Unit List'!$A$23:$H$3256,2,FALSE)),"X",$J9)</f>
        <v/>
      </c>
      <c r="M9" s="172" t="str">
        <f>IF(ISTEXT(VLOOKUP(CONCATENATE($A9,"_",M$3),'Unit List'!$A$23:$H$3256,2,FALSE)),"+","")</f>
        <v>+</v>
      </c>
      <c r="N9" s="60" t="str">
        <f>IF(ISTEXT(VLOOKUP(CONCATENATE($A9,"_",N$3),'Unit List'!$A$23:$H$3256,2,FALSE)),"X",$M9)</f>
        <v>+</v>
      </c>
      <c r="O9" s="70" t="str">
        <f>IF(ISTEXT(VLOOKUP(CONCATENATE($A9,"_",O$3),'Unit List'!$A$23:$H$3256,2,FALSE)),"X",$M9)</f>
        <v>X</v>
      </c>
      <c r="P9" s="172" t="str">
        <f>IF(ISTEXT(VLOOKUP(CONCATENATE($A9,"_",P$3),'Unit List'!$A$23:$H$3256,2,FALSE)),"+","")</f>
        <v/>
      </c>
      <c r="Q9" s="51" t="str">
        <f>IF(ISTEXT(VLOOKUP(CONCATENATE($A9,"_",Q$3),'Unit List'!$A$23:$H$3256,2,FALSE)),"X",$P9)</f>
        <v/>
      </c>
      <c r="R9" s="51" t="str">
        <f>IF(ISTEXT(VLOOKUP(CONCATENATE($A9,"_",R$3),'Unit List'!$A$23:$H$3256,2,FALSE)),"X",$P9)</f>
        <v/>
      </c>
      <c r="S9" s="51" t="str">
        <f>IF(ISTEXT(VLOOKUP(CONCATENATE($A9,"_",S$3),'Unit List'!$A$23:$H$3256,2,FALSE)),"X",$P9)</f>
        <v/>
      </c>
      <c r="T9" s="52" t="str">
        <f>IF(ISTEXT(VLOOKUP(CONCATENATE($A9,"_",T$3),'Unit List'!$A$23:$H$3256,2,FALSE)),"X",$P9)</f>
        <v/>
      </c>
      <c r="U9" s="67" t="str">
        <f>IF(ISTEXT(VLOOKUP(CONCATENATE($A9,"_",U$3),'Unit List'!$A$23:$H$3256,2,FALSE)),"X",$P9)</f>
        <v>X</v>
      </c>
      <c r="V9" s="51" t="str">
        <f>IF(ISTEXT(VLOOKUP(CONCATENATE($A9,"_",V$3),'Unit List'!$A$23:$H$3256,2,FALSE)),"X",$P9)</f>
        <v/>
      </c>
      <c r="W9" s="53" t="str">
        <f>IF(ISTEXT(VLOOKUP(CONCATENATE($A9,"_",W$3),'Unit List'!$A$23:$H$3256,2,FALSE)),"X",$P9)</f>
        <v/>
      </c>
      <c r="X9" s="172" t="str">
        <f>IF(ISTEXT(VLOOKUP(CONCATENATE($A9,"_",X$3),'Unit List'!$A$23:$H$3256,2,FALSE)),"+","")</f>
        <v/>
      </c>
      <c r="Y9" s="51" t="str">
        <f>IF(ISTEXT(VLOOKUP(CONCATENATE($A9,"_",Y$3),'Unit List'!$A$23:$H$3256,2,FALSE)),"X",$X9)</f>
        <v/>
      </c>
      <c r="Z9" s="51" t="str">
        <f>IF(ISTEXT(VLOOKUP(CONCATENATE($A9,"_",Z$3),'Unit List'!$A$23:$H$3256,2,FALSE)),"X",$X9)</f>
        <v/>
      </c>
      <c r="AA9" s="51" t="str">
        <f>IF(ISTEXT(VLOOKUP(CONCATENATE($A9,"_",AA$3),'Unit List'!$A$23:$H$3256,2,FALSE)),"X",$X9)</f>
        <v/>
      </c>
      <c r="AB9" s="51" t="str">
        <f>IF(ISTEXT(VLOOKUP(CONCATENATE($A9,"_",AB$3),'Unit List'!$A$23:$H$3256,2,FALSE)),"X",$X9)</f>
        <v/>
      </c>
      <c r="AC9" s="62" t="str">
        <f>IF(ISTEXT(VLOOKUP(CONCATENATE($A9,"_",AC$3),'Unit List'!$A$23:$H$3256,2,FALSE)),"X",$X9)</f>
        <v/>
      </c>
      <c r="AD9" s="172" t="str">
        <f>IF(ISTEXT(VLOOKUP(CONCATENATE($A9,"_",AD$3),'Unit List'!$A$23:$H$3256,2,FALSE)),"+","")</f>
        <v>+</v>
      </c>
      <c r="AE9" s="51" t="str">
        <f>IF(ISTEXT(VLOOKUP(CONCATENATE($A9,"_",AE$3),'Unit List'!$A$23:$H$3256,2,FALSE)),"X",$AD9)</f>
        <v>+</v>
      </c>
      <c r="AF9" s="51" t="str">
        <f>IF(ISTEXT(VLOOKUP(CONCATENATE($A9,"_",AF$3),'Unit List'!$A$23:$H$3256,2,FALSE)),"X",$AD9)</f>
        <v>+</v>
      </c>
      <c r="AG9" s="172" t="str">
        <f>IF(ISTEXT(VLOOKUP(CONCATENATE($A9,"_",AG$3),'Unit List'!$A$23:$H$3256,2,FALSE)),"+","")</f>
        <v/>
      </c>
      <c r="AH9" s="51" t="str">
        <f>IF(ISTEXT(VLOOKUP(CONCATENATE($A9,"_",AH$3),'Unit List'!$A$23:$H$3256,2,FALSE)),"X",$AG9)</f>
        <v/>
      </c>
      <c r="AI9" s="51" t="str">
        <f>IF(ISTEXT(VLOOKUP(CONCATENATE($A9,"_",AI$3),'Unit List'!$A$23:$H$3256,2,FALSE)),"X",$AG9)</f>
        <v/>
      </c>
      <c r="AJ9" s="53" t="str">
        <f>IF(ISTEXT(VLOOKUP(CONCATENATE($A9,"_",AJ$3),'Unit List'!$A$23:$H$3256,2,FALSE)),"X",$AG9)</f>
        <v>X</v>
      </c>
      <c r="AK9" s="172" t="str">
        <f>IF(ISTEXT(VLOOKUP(CONCATENATE($A9,"_",AK$3),'Unit List'!$A$23:$H$3256,2,FALSE)),"+","")</f>
        <v/>
      </c>
      <c r="AL9" s="52" t="str">
        <f>IF(ISTEXT(VLOOKUP(CONCATENATE($A9,"_",AL$3),'Unit List'!$A$23:$H$3256,2,FALSE)),"X",$AK9)</f>
        <v/>
      </c>
      <c r="AM9" s="53" t="str">
        <f>IF(ISTEXT(VLOOKUP(CONCATENATE($A9,"_",AM$3),'Unit List'!$A$23:$H$3256,2,FALSE)),"X",$AK9)</f>
        <v/>
      </c>
      <c r="AN9" s="125" t="str">
        <f>IF(ISTEXT(VLOOKUP(CONCATENATE($A9,"_",AN$3),'Unit List'!$A$23:$H$3256,2,FALSE)),"+","")</f>
        <v>+</v>
      </c>
      <c r="AO9" s="53" t="str">
        <f>IF(ISTEXT(VLOOKUP(CONCATENATE($A9,"_",AO$3),'Unit List'!$A$23:$H$3256,2,FALSE)),"X",$AN9)</f>
        <v>+</v>
      </c>
      <c r="AP9" s="172" t="str">
        <f>IF(ISTEXT(VLOOKUP(CONCATENATE($A9,"_",AP$3),'Unit List'!$A$23:$H$3256,2,FALSE)),"+","")</f>
        <v>+</v>
      </c>
      <c r="AQ9" s="51" t="str">
        <f>IF(ISTEXT(VLOOKUP(CONCATENATE($A9,"_",AQ$3),'Unit List'!$A$23:$H$3256,2,FALSE)),"X",$AP9)</f>
        <v>+</v>
      </c>
      <c r="AR9" s="67" t="str">
        <f>IF(ISTEXT(VLOOKUP(CONCATENATE($A9,"_",AR$3),'Unit List'!$A$23:$H$3256,2,FALSE)),"X",$AP9)</f>
        <v>X</v>
      </c>
      <c r="AS9" s="51" t="str">
        <f>IF(ISTEXT(VLOOKUP(CONCATENATE($A9,"_",AS$3),'Unit List'!$A$23:$H$3256,2,FALSE)),"X",$AP9)</f>
        <v>X</v>
      </c>
      <c r="AT9" s="53" t="str">
        <f>IF(ISTEXT(VLOOKUP(CONCATENATE($A9,"_",AT$3),'Unit List'!$A$23:$H$3256,2,FALSE)),"X",$AP9)</f>
        <v>+</v>
      </c>
      <c r="AU9" s="124" t="str">
        <f>IF(ISTEXT(VLOOKUP(CONCATENATE($A9,"_",AU$3),'Unit List'!$A$23:$H$3256,2,FALSE)),"+","")</f>
        <v>+</v>
      </c>
      <c r="AV9" s="51" t="str">
        <f>IF(ISTEXT(VLOOKUP(CONCATENATE($A9,"_",AV$3),'Unit List'!$A$23:$H$3256,2,FALSE)),"X",$AU9)</f>
        <v>+</v>
      </c>
      <c r="AW9" s="53" t="str">
        <f>IF(ISTEXT(VLOOKUP(CONCATENATE($A9,"_",AW$3),'Unit List'!$A$23:$H$3256,2,FALSE)),"X",$AU9)</f>
        <v>+</v>
      </c>
      <c r="AX9" s="172" t="str">
        <f>IF(ISTEXT(VLOOKUP(CONCATENATE($A9,"_",AX$3),'Unit List'!$A$23:$H$3256,2,FALSE)),"+","")</f>
        <v>+</v>
      </c>
      <c r="AY9" s="51" t="str">
        <f>IF(ISTEXT(VLOOKUP(CONCATENATE($A9,"_",AY$3),'Unit List'!$A$23:$H$3256,2,FALSE)),"X",$AX9)</f>
        <v>+</v>
      </c>
      <c r="AZ9" s="53" t="str">
        <f>IF(ISTEXT(VLOOKUP(CONCATENATE($A9,"_",AZ$3),'Unit List'!$A$23:$H$3256,2,FALSE)),"X",$AX9)</f>
        <v>+</v>
      </c>
      <c r="BA9" s="182" t="str">
        <f>IF(ISTEXT(VLOOKUP(CONCATENATE($A9,"_",BA$3),'Unit List'!$A$23:$H$3256,2,FALSE)),"+","")</f>
        <v/>
      </c>
      <c r="BB9" s="51" t="str">
        <f>IF(ISTEXT(VLOOKUP(CONCATENATE($A9,"_",BB$3),'Unit List'!$A$23:$H$3256,2,FALSE)),"X",$BA9)</f>
        <v/>
      </c>
      <c r="BC9" s="51" t="str">
        <f>IF(ISTEXT(VLOOKUP(CONCATENATE($A9,"_",BC$3),'Unit List'!$A$23:$H$3256,2,FALSE)),"X",$BA9)</f>
        <v/>
      </c>
      <c r="BD9" s="53" t="str">
        <f>IF(ISTEXT(VLOOKUP(CONCATENATE($A9,"_",BD$3),'Unit List'!$A$23:$H$3256,2,FALSE)),"X",$BA9)</f>
        <v/>
      </c>
      <c r="BE9" s="125" t="str">
        <f>IF(ISTEXT(VLOOKUP(CONCATENATE($A9,"_",BE$3),'Unit List'!$A$23:$H$3256,2,FALSE)),"+","")</f>
        <v>+</v>
      </c>
      <c r="BF9" s="62" t="str">
        <f>IF(ISTEXT(VLOOKUP(CONCATENATE($A9,"_",BF$3),'Unit List'!$A$23:$H$3256,2,FALSE)),"X",$BE9)</f>
        <v>+</v>
      </c>
      <c r="BG9" s="64"/>
      <c r="BH9" s="65" t="s">
        <v>0</v>
      </c>
      <c r="BI9" s="225"/>
      <c r="BJ9" s="226"/>
      <c r="BK9" s="226"/>
      <c r="BL9" s="226"/>
      <c r="BM9" s="227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List'!$A$23:$H$3256,2,FALSE)),"+","")</f>
        <v/>
      </c>
      <c r="C10" s="57" t="str">
        <f>IF(ISTEXT(VLOOKUP(CONCATENATE($A10,"_",C$3),'Unit List'!$A$23:$H$3256,2,FALSE)),"X",$B10)</f>
        <v/>
      </c>
      <c r="D10" s="51" t="str">
        <f>IF(ISTEXT(VLOOKUP(CONCATENATE($A10,"_",D$3),'Unit List'!$A$23:$H$3256,2,FALSE)),"X",$B10)</f>
        <v/>
      </c>
      <c r="E10" s="51" t="str">
        <f>IF(ISTEXT(VLOOKUP(CONCATENATE($A10,"_",E$3),'Unit List'!$A$23:$H$3256,2,FALSE)),"X",$B10)</f>
        <v/>
      </c>
      <c r="F10" s="51" t="str">
        <f>IF(ISTEXT(VLOOKUP(CONCATENATE($A10,"_",F$3),'Unit List'!$A$23:$H$3256,2,FALSE)),"X",$B10)</f>
        <v/>
      </c>
      <c r="G10" s="51" t="str">
        <f>IF(ISTEXT(VLOOKUP(CONCATENATE($A10,"_",G$3),'Unit List'!$A$23:$H$3256,2,FALSE)),"X",$B10)</f>
        <v/>
      </c>
      <c r="H10" s="51" t="str">
        <f>IF(ISTEXT(VLOOKUP(CONCATENATE($A10,"_",H$3),'Unit List'!$A$23:$H$3256,2,FALSE)),"X",$B10)</f>
        <v/>
      </c>
      <c r="I10" s="53" t="str">
        <f>IF(ISTEXT(VLOOKUP(CONCATENATE($A10,"_",I$3),'Unit List'!$A$23:$H$3256,2,FALSE)),"X",$B10)</f>
        <v/>
      </c>
      <c r="J10" s="172" t="str">
        <f>IF(ISTEXT(VLOOKUP(CONCATENATE($A10,"_",J$3),'Unit List'!$A$23:$H$3256,2,FALSE)),"+","")</f>
        <v/>
      </c>
      <c r="K10" s="51" t="str">
        <f>IF(ISTEXT(VLOOKUP(CONCATENATE($A10,"_",K$3),'Unit List'!$A$23:$H$3256,2,FALSE)),"X",$J10)</f>
        <v/>
      </c>
      <c r="L10" s="62" t="str">
        <f>IF(ISTEXT(VLOOKUP(CONCATENATE($A10,"_",L$3),'Unit List'!$A$23:$H$3256,2,FALSE)),"X",$J10)</f>
        <v/>
      </c>
      <c r="M10" s="172" t="str">
        <f>IF(ISTEXT(VLOOKUP(CONCATENATE($A10,"_",M$3),'Unit List'!$A$23:$H$3256,2,FALSE)),"+","")</f>
        <v/>
      </c>
      <c r="N10" s="51" t="str">
        <f>IF(ISTEXT(VLOOKUP(CONCATENATE($A10,"_",N$3),'Unit List'!$A$23:$H$3256,2,FALSE)),"X",$M10)</f>
        <v/>
      </c>
      <c r="O10" s="53" t="str">
        <f>IF(ISTEXT(VLOOKUP(CONCATENATE($A10,"_",O$3),'Unit List'!$A$23:$H$3256,2,FALSE)),"X",$M10)</f>
        <v/>
      </c>
      <c r="P10" s="172" t="str">
        <f>IF(ISTEXT(VLOOKUP(CONCATENATE($A10,"_",P$3),'Unit List'!$A$23:$H$3256,2,FALSE)),"+","")</f>
        <v/>
      </c>
      <c r="Q10" s="51" t="str">
        <f>IF(ISTEXT(VLOOKUP(CONCATENATE($A10,"_",Q$3),'Unit List'!$A$23:$H$3256,2,FALSE)),"X",$P10)</f>
        <v/>
      </c>
      <c r="R10" s="51" t="str">
        <f>IF(ISTEXT(VLOOKUP(CONCATENATE($A10,"_",R$3),'Unit List'!$A$23:$H$3256,2,FALSE)),"X",$P10)</f>
        <v/>
      </c>
      <c r="S10" s="51" t="str">
        <f>IF(ISTEXT(VLOOKUP(CONCATENATE($A10,"_",S$3),'Unit List'!$A$23:$H$3256,2,FALSE)),"X",$P10)</f>
        <v/>
      </c>
      <c r="T10" s="52" t="str">
        <f>IF(ISTEXT(VLOOKUP(CONCATENATE($A10,"_",T$3),'Unit List'!$A$23:$H$3256,2,FALSE)),"X",$P10)</f>
        <v/>
      </c>
      <c r="U10" s="51" t="str">
        <f>IF(ISTEXT(VLOOKUP(CONCATENATE($A10,"_",U$3),'Unit List'!$A$23:$H$3256,2,FALSE)),"X",$P10)</f>
        <v/>
      </c>
      <c r="V10" s="51" t="str">
        <f>IF(ISTEXT(VLOOKUP(CONCATENATE($A10,"_",V$3),'Unit List'!$A$23:$H$3256,2,FALSE)),"X",$P10)</f>
        <v/>
      </c>
      <c r="W10" s="53" t="str">
        <f>IF(ISTEXT(VLOOKUP(CONCATENATE($A10,"_",W$3),'Unit List'!$A$23:$H$3256,2,FALSE)),"X",$P10)</f>
        <v/>
      </c>
      <c r="X10" s="172" t="str">
        <f>IF(ISTEXT(VLOOKUP(CONCATENATE($A10,"_",X$3),'Unit List'!$A$23:$H$3256,2,FALSE)),"+","")</f>
        <v/>
      </c>
      <c r="Y10" s="51" t="str">
        <f>IF(ISTEXT(VLOOKUP(CONCATENATE($A10,"_",Y$3),'Unit List'!$A$23:$H$3256,2,FALSE)),"X",$X10)</f>
        <v/>
      </c>
      <c r="Z10" s="51" t="str">
        <f>IF(ISTEXT(VLOOKUP(CONCATENATE($A10,"_",Z$3),'Unit List'!$A$23:$H$3256,2,FALSE)),"X",$X10)</f>
        <v/>
      </c>
      <c r="AA10" s="51" t="str">
        <f>IF(ISTEXT(VLOOKUP(CONCATENATE($A10,"_",AA$3),'Unit List'!$A$23:$H$3256,2,FALSE)),"X",$X10)</f>
        <v/>
      </c>
      <c r="AB10" s="51" t="str">
        <f>IF(ISTEXT(VLOOKUP(CONCATENATE($A10,"_",AB$3),'Unit List'!$A$23:$H$3256,2,FALSE)),"X",$X10)</f>
        <v/>
      </c>
      <c r="AC10" s="62" t="str">
        <f>IF(ISTEXT(VLOOKUP(CONCATENATE($A10,"_",AC$3),'Unit List'!$A$23:$H$3256,2,FALSE)),"X",$X10)</f>
        <v/>
      </c>
      <c r="AD10" s="172" t="str">
        <f>IF(ISTEXT(VLOOKUP(CONCATENATE($A10,"_",AD$3),'Unit List'!$A$23:$H$3256,2,FALSE)),"+","")</f>
        <v/>
      </c>
      <c r="AE10" s="51" t="str">
        <f>IF(ISTEXT(VLOOKUP(CONCATENATE($A10,"_",AE$3),'Unit List'!$A$23:$H$3256,2,FALSE)),"X",$AD10)</f>
        <v/>
      </c>
      <c r="AF10" s="51" t="str">
        <f>IF(ISTEXT(VLOOKUP(CONCATENATE($A10,"_",AF$3),'Unit List'!$A$23:$H$3256,2,FALSE)),"X",$AD10)</f>
        <v/>
      </c>
      <c r="AG10" s="172" t="str">
        <f>IF(ISTEXT(VLOOKUP(CONCATENATE($A10,"_",AG$3),'Unit List'!$A$23:$H$3256,2,FALSE)),"+","")</f>
        <v/>
      </c>
      <c r="AH10" s="83" t="str">
        <f>IF(ISTEXT(VLOOKUP(CONCATENATE($A10,"_",AH$3),'Unit List'!$A$23:$H$3256,2,FALSE)),"X",$AG10)</f>
        <v/>
      </c>
      <c r="AI10" s="83" t="str">
        <f>IF(ISTEXT(VLOOKUP(CONCATENATE($A10,"_",AI$3),'Unit List'!$A$23:$H$3256,2,FALSE)),"X",$AG10)</f>
        <v/>
      </c>
      <c r="AJ10" s="53" t="str">
        <f>IF(ISTEXT(VLOOKUP(CONCATENATE($A10,"_",AJ$3),'Unit List'!$A$23:$H$3256,2,FALSE)),"X",$AG10)</f>
        <v/>
      </c>
      <c r="AK10" s="172" t="str">
        <f>IF(ISTEXT(VLOOKUP(CONCATENATE($A10,"_",AK$3),'Unit List'!$A$23:$H$3256,2,FALSE)),"+","")</f>
        <v/>
      </c>
      <c r="AL10" s="52" t="str">
        <f>IF(ISTEXT(VLOOKUP(CONCATENATE($A10,"_",AL$3),'Unit List'!$A$23:$H$3256,2,FALSE)),"X",$AK10)</f>
        <v/>
      </c>
      <c r="AM10" s="53" t="str">
        <f>IF(ISTEXT(VLOOKUP(CONCATENATE($A10,"_",AM$3),'Unit List'!$A$23:$H$3256,2,FALSE)),"X",$AK10)</f>
        <v/>
      </c>
      <c r="AN10" s="125" t="str">
        <f>IF(ISTEXT(VLOOKUP(CONCATENATE($A10,"_",AN$3),'Unit List'!$A$23:$H$3256,2,FALSE)),"+","")</f>
        <v/>
      </c>
      <c r="AO10" s="53" t="str">
        <f>IF(ISTEXT(VLOOKUP(CONCATENATE($A10,"_",AO$3),'Unit List'!$A$23:$H$3256,2,FALSE)),"X",$AN10)</f>
        <v/>
      </c>
      <c r="AP10" s="172" t="str">
        <f>IF(ISTEXT(VLOOKUP(CONCATENATE($A10,"_",AP$3),'Unit List'!$A$23:$H$3256,2,FALSE)),"+","")</f>
        <v/>
      </c>
      <c r="AQ10" s="51" t="str">
        <f>IF(ISTEXT(VLOOKUP(CONCATENATE($A10,"_",AQ$3),'Unit List'!$A$23:$H$3256,2,FALSE)),"X",$AP10)</f>
        <v/>
      </c>
      <c r="AR10" s="51" t="str">
        <f>IF(ISTEXT(VLOOKUP(CONCATENATE($A10,"_",AR$3),'Unit List'!$A$23:$H$3256,2,FALSE)),"X",$AP10)</f>
        <v/>
      </c>
      <c r="AS10" s="51" t="str">
        <f>IF(ISTEXT(VLOOKUP(CONCATENATE($A10,"_",AS$3),'Unit List'!$A$23:$H$3256,2,FALSE)),"X",$AP10)</f>
        <v/>
      </c>
      <c r="AT10" s="53" t="str">
        <f>IF(ISTEXT(VLOOKUP(CONCATENATE($A10,"_",AT$3),'Unit List'!$A$23:$H$3256,2,FALSE)),"X",$AP10)</f>
        <v/>
      </c>
      <c r="AU10" s="124" t="str">
        <f>IF(ISTEXT(VLOOKUP(CONCATENATE($A10,"_",AU$3),'Unit List'!$A$23:$H$3256,2,FALSE)),"+","")</f>
        <v/>
      </c>
      <c r="AV10" s="51" t="str">
        <f>IF(ISTEXT(VLOOKUP(CONCATENATE($A10,"_",AV$3),'Unit List'!$A$23:$H$3256,2,FALSE)),"X",$AU10)</f>
        <v/>
      </c>
      <c r="AW10" s="53" t="str">
        <f>IF(ISTEXT(VLOOKUP(CONCATENATE($A10,"_",AW$3),'Unit List'!$A$23:$H$3256,2,FALSE)),"X",$AU10)</f>
        <v/>
      </c>
      <c r="AX10" s="172" t="str">
        <f>IF(ISTEXT(VLOOKUP(CONCATENATE($A10,"_",AX$3),'Unit List'!$A$23:$H$3256,2,FALSE)),"+","")</f>
        <v/>
      </c>
      <c r="AY10" s="51" t="str">
        <f>IF(ISTEXT(VLOOKUP(CONCATENATE($A10,"_",AY$3),'Unit List'!$A$23:$H$3256,2,FALSE)),"X",$AX10)</f>
        <v/>
      </c>
      <c r="AZ10" s="53" t="str">
        <f>IF(ISTEXT(VLOOKUP(CONCATENATE($A10,"_",AZ$3),'Unit List'!$A$23:$H$3256,2,FALSE)),"X",$AX10)</f>
        <v/>
      </c>
      <c r="BA10" s="182" t="str">
        <f>IF(ISTEXT(VLOOKUP(CONCATENATE($A10,"_",BA$3),'Unit List'!$A$23:$H$3256,2,FALSE)),"+","")</f>
        <v/>
      </c>
      <c r="BB10" s="51" t="str">
        <f>IF(ISTEXT(VLOOKUP(CONCATENATE($A10,"_",BB$3),'Unit List'!$A$23:$H$3256,2,FALSE)),"X",$BA10)</f>
        <v/>
      </c>
      <c r="BC10" s="51" t="str">
        <f>IF(ISTEXT(VLOOKUP(CONCATENATE($A10,"_",BC$3),'Unit List'!$A$23:$H$3256,2,FALSE)),"X",$BA10)</f>
        <v/>
      </c>
      <c r="BD10" s="53" t="str">
        <f>IF(ISTEXT(VLOOKUP(CONCATENATE($A10,"_",BD$3),'Unit List'!$A$23:$H$3256,2,FALSE)),"X",$BA10)</f>
        <v/>
      </c>
      <c r="BE10" s="125" t="str">
        <f>IF(ISTEXT(VLOOKUP(CONCATENATE($A10,"_",BE$3),'Unit List'!$A$23:$H$3256,2,FALSE)),"+","")</f>
        <v/>
      </c>
      <c r="BF10" s="62" t="str">
        <f>IF(ISTEXT(VLOOKUP(CONCATENATE($A10,"_",BF$3),'Unit List'!$A$23:$H$3256,2,FALSE)),"X",$BE10)</f>
        <v/>
      </c>
      <c r="BG10" s="75"/>
      <c r="BH10" s="84"/>
      <c r="BI10" s="225"/>
      <c r="BJ10" s="226"/>
      <c r="BK10" s="226"/>
      <c r="BL10" s="226"/>
      <c r="BM10" s="227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List'!$A$23:$H$3256,2,FALSE)),"+","")</f>
        <v/>
      </c>
      <c r="C11" s="85" t="str">
        <f>IF(ISTEXT(VLOOKUP(CONCATENATE($A11,"_",C$3),'Unit List'!$A$23:$H$3256,2,FALSE)),"X",$B11)</f>
        <v>X</v>
      </c>
      <c r="D11" s="67" t="str">
        <f>IF(ISTEXT(VLOOKUP(CONCATENATE($A11,"_",D$3),'Unit List'!$A$23:$H$3256,2,FALSE)),"X",$B11)</f>
        <v>X</v>
      </c>
      <c r="E11" s="51" t="str">
        <f>IF(ISTEXT(VLOOKUP(CONCATENATE($A11,"_",E$3),'Unit List'!$A$23:$H$3256,2,FALSE)),"X",$B11)</f>
        <v>X</v>
      </c>
      <c r="F11" s="67" t="str">
        <f>IF(ISTEXT(VLOOKUP(CONCATENATE($A11,"_",F$3),'Unit List'!$A$23:$H$3256,2,FALSE)),"X",$B11)</f>
        <v>X</v>
      </c>
      <c r="G11" s="67" t="str">
        <f>IF(ISTEXT(VLOOKUP(CONCATENATE($A11,"_",G$3),'Unit List'!$A$23:$H$3256,2,FALSE)),"X",$B11)</f>
        <v>X</v>
      </c>
      <c r="H11" s="51" t="str">
        <f>IF(ISTEXT(VLOOKUP(CONCATENATE($A11,"_",H$3),'Unit List'!$A$23:$H$3256,2,FALSE)),"X",$B11)</f>
        <v>X</v>
      </c>
      <c r="I11" s="70" t="str">
        <f>IF(ISTEXT(VLOOKUP(CONCATENATE($A11,"_",I$3),'Unit List'!$A$23:$H$3256,2,FALSE)),"X",$B11)</f>
        <v>X</v>
      </c>
      <c r="J11" s="172" t="str">
        <f>IF(ISTEXT(VLOOKUP(CONCATENATE($A11,"_",J$3),'Unit List'!$A$23:$H$3256,2,FALSE)),"+","")</f>
        <v/>
      </c>
      <c r="K11" s="51" t="str">
        <f>IF(ISTEXT(VLOOKUP(CONCATENATE($A11,"_",K$3),'Unit List'!$A$23:$H$3256,2,FALSE)),"X",$J11)</f>
        <v/>
      </c>
      <c r="L11" s="86" t="str">
        <f>IF(ISTEXT(VLOOKUP(CONCATENATE($A11,"_",L$3),'Unit List'!$A$23:$H$3256,2,FALSE)),"X",$J11)</f>
        <v>X</v>
      </c>
      <c r="M11" s="172" t="str">
        <f>IF(ISTEXT(VLOOKUP(CONCATENATE($A11,"_",M$3),'Unit List'!$A$23:$H$3256,2,FALSE)),"+","")</f>
        <v>+</v>
      </c>
      <c r="N11" s="67" t="str">
        <f>IF(ISTEXT(VLOOKUP(CONCATENATE($A11,"_",N$3),'Unit List'!$A$23:$H$3256,2,FALSE)),"X",$M11)</f>
        <v>X</v>
      </c>
      <c r="O11" s="70" t="str">
        <f>IF(ISTEXT(VLOOKUP(CONCATENATE($A11,"_",O$3),'Unit List'!$A$23:$H$3256,2,FALSE)),"X",$M11)</f>
        <v>X</v>
      </c>
      <c r="P11" s="172" t="str">
        <f>IF(ISTEXT(VLOOKUP(CONCATENATE($A11,"_",P$3),'Unit List'!$A$23:$H$3256,2,FALSE)),"+","")</f>
        <v/>
      </c>
      <c r="Q11" s="51" t="str">
        <f>IF(ISTEXT(VLOOKUP(CONCATENATE($A11,"_",Q$3),'Unit List'!$A$23:$H$3256,2,FALSE)),"X",$P11)</f>
        <v/>
      </c>
      <c r="R11" s="51" t="str">
        <f>IF(ISTEXT(VLOOKUP(CONCATENATE($A11,"_",R$3),'Unit List'!$A$23:$H$3256,2,FALSE)),"X",$P11)</f>
        <v/>
      </c>
      <c r="S11" s="67" t="str">
        <f>IF(ISTEXT(VLOOKUP(CONCATENATE($A11,"_",S$3),'Unit List'!$A$23:$H$3256,2,FALSE)),"X",$P11)</f>
        <v>X</v>
      </c>
      <c r="T11" s="52" t="str">
        <f>IF(ISTEXT(VLOOKUP(CONCATENATE($A11,"_",T$3),'Unit List'!$A$23:$H$3256,2,FALSE)),"X",$P11)</f>
        <v/>
      </c>
      <c r="U11" s="67" t="str">
        <f>IF(ISTEXT(VLOOKUP(CONCATENATE($A11,"_",U$3),'Unit List'!$A$23:$H$3256,2,FALSE)),"X",$P11)</f>
        <v>X</v>
      </c>
      <c r="V11" s="67" t="str">
        <f>IF(ISTEXT(VLOOKUP(CONCATENATE($A11,"_",V$3),'Unit List'!$A$23:$H$3256,2,FALSE)),"X",$P11)</f>
        <v>X</v>
      </c>
      <c r="W11" s="53" t="str">
        <f>IF(ISTEXT(VLOOKUP(CONCATENATE($A11,"_",W$3),'Unit List'!$A$23:$H$3256,2,FALSE)),"X",$P11)</f>
        <v/>
      </c>
      <c r="X11" s="172" t="str">
        <f>IF(ISTEXT(VLOOKUP(CONCATENATE($A11,"_",X$3),'Unit List'!$A$23:$H$3256,2,FALSE)),"+","")</f>
        <v/>
      </c>
      <c r="Y11" s="51" t="str">
        <f>IF(ISTEXT(VLOOKUP(CONCATENATE($A11,"_",Y$3),'Unit List'!$A$23:$H$3256,2,FALSE)),"X",$X11)</f>
        <v/>
      </c>
      <c r="Z11" s="51" t="str">
        <f>IF(ISTEXT(VLOOKUP(CONCATENATE($A11,"_",Z$3),'Unit List'!$A$23:$H$3256,2,FALSE)),"X",$X11)</f>
        <v/>
      </c>
      <c r="AA11" s="51" t="str">
        <f>IF(ISTEXT(VLOOKUP(CONCATENATE($A11,"_",AA$3),'Unit List'!$A$23:$H$3256,2,FALSE)),"X",$X11)</f>
        <v/>
      </c>
      <c r="AB11" s="67" t="str">
        <f>IF(ISTEXT(VLOOKUP(CONCATENATE($A11,"_",AB$3),'Unit List'!$A$23:$H$3256,2,FALSE)),"X",$X11)</f>
        <v>X</v>
      </c>
      <c r="AC11" s="62" t="str">
        <f>IF(ISTEXT(VLOOKUP(CONCATENATE($A11,"_",AC$3),'Unit List'!$A$23:$H$3256,2,FALSE)),"X",$X11)</f>
        <v/>
      </c>
      <c r="AD11" s="172" t="str">
        <f>IF(ISTEXT(VLOOKUP(CONCATENATE($A11,"_",AD$3),'Unit List'!$A$23:$H$3256,2,FALSE)),"+","")</f>
        <v>+</v>
      </c>
      <c r="AE11" s="51" t="str">
        <f>IF(ISTEXT(VLOOKUP(CONCATENATE($A11,"_",AE$3),'Unit List'!$A$23:$H$3256,2,FALSE)),"X",$AD11)</f>
        <v>+</v>
      </c>
      <c r="AF11" s="51" t="str">
        <f>IF(ISTEXT(VLOOKUP(CONCATENATE($A11,"_",AF$3),'Unit List'!$A$23:$H$3256,2,FALSE)),"X",$AD11)</f>
        <v>+</v>
      </c>
      <c r="AG11" s="172" t="str">
        <f>IF(ISTEXT(VLOOKUP(CONCATENATE($A11,"_",AG$3),'Unit List'!$A$23:$H$3256,2,FALSE)),"+","")</f>
        <v/>
      </c>
      <c r="AH11" s="51" t="str">
        <f>IF(ISTEXT(VLOOKUP(CONCATENATE($A11,"_",AH$3),'Unit List'!$A$23:$H$3256,2,FALSE)),"X",$AG11)</f>
        <v/>
      </c>
      <c r="AI11" s="51" t="str">
        <f>IF(ISTEXT(VLOOKUP(CONCATENATE($A11,"_",AI$3),'Unit List'!$A$23:$H$3256,2,FALSE)),"X",$AG11)</f>
        <v/>
      </c>
      <c r="AJ11" s="53" t="str">
        <f>IF(ISTEXT(VLOOKUP(CONCATENATE($A11,"_",AJ$3),'Unit List'!$A$23:$H$3256,2,FALSE)),"X",$AG11)</f>
        <v>X</v>
      </c>
      <c r="AK11" s="172" t="str">
        <f>IF(ISTEXT(VLOOKUP(CONCATENATE($A11,"_",AK$3),'Unit List'!$A$23:$H$3256,2,FALSE)),"+","")</f>
        <v/>
      </c>
      <c r="AL11" s="87" t="str">
        <f>IF(ISTEXT(VLOOKUP(CONCATENATE($A11,"_",AL$3),'Unit List'!$A$23:$H$3256,2,FALSE)),"X",$AK11)</f>
        <v>X</v>
      </c>
      <c r="AM11" s="53" t="str">
        <f>IF(ISTEXT(VLOOKUP(CONCATENATE($A11,"_",AM$3),'Unit List'!$A$23:$H$3256,2,FALSE)),"X",$AK11)</f>
        <v/>
      </c>
      <c r="AN11" s="125" t="str">
        <f>IF(ISTEXT(VLOOKUP(CONCATENATE($A11,"_",AN$3),'Unit List'!$A$23:$H$3256,2,FALSE)),"+","")</f>
        <v>+</v>
      </c>
      <c r="AO11" s="53" t="str">
        <f>IF(ISTEXT(VLOOKUP(CONCATENATE($A11,"_",AO$3),'Unit List'!$A$23:$H$3256,2,FALSE)),"X",$AN11)</f>
        <v>+</v>
      </c>
      <c r="AP11" s="172" t="str">
        <f>IF(ISTEXT(VLOOKUP(CONCATENATE($A11,"_",AP$3),'Unit List'!$A$23:$H$3256,2,FALSE)),"+","")</f>
        <v>+</v>
      </c>
      <c r="AQ11" s="67" t="str">
        <f>IF(ISTEXT(VLOOKUP(CONCATENATE($A11,"_",AQ$3),'Unit List'!$A$23:$H$3256,2,FALSE)),"X",$AP11)</f>
        <v>X</v>
      </c>
      <c r="AR11" s="67" t="str">
        <f>IF(ISTEXT(VLOOKUP(CONCATENATE($A11,"_",AR$3),'Unit List'!$A$23:$H$3256,2,FALSE)),"X",$AP11)</f>
        <v>X</v>
      </c>
      <c r="AS11" s="51" t="str">
        <f>IF(ISTEXT(VLOOKUP(CONCATENATE($A11,"_",AS$3),'Unit List'!$A$23:$H$3256,2,FALSE)),"X",$AP11)</f>
        <v>+</v>
      </c>
      <c r="AT11" s="53" t="str">
        <f>IF(ISTEXT(VLOOKUP(CONCATENATE($A11,"_",AT$3),'Unit List'!$A$23:$H$3256,2,FALSE)),"X",$AP11)</f>
        <v>+</v>
      </c>
      <c r="AU11" s="124" t="str">
        <f>IF(ISTEXT(VLOOKUP(CONCATENATE($A11,"_",AU$3),'Unit List'!$A$23:$H$3256,2,FALSE)),"+","")</f>
        <v>+</v>
      </c>
      <c r="AV11" s="51" t="str">
        <f>IF(ISTEXT(VLOOKUP(CONCATENATE($A11,"_",AV$3),'Unit List'!$A$23:$H$3256,2,FALSE)),"X",$AU11)</f>
        <v>+</v>
      </c>
      <c r="AW11" s="53" t="str">
        <f>IF(ISTEXT(VLOOKUP(CONCATENATE($A11,"_",AW$3),'Unit List'!$A$23:$H$3256,2,FALSE)),"X",$AU11)</f>
        <v>+</v>
      </c>
      <c r="AX11" s="172" t="str">
        <f>IF(ISTEXT(VLOOKUP(CONCATENATE($A11,"_",AX$3),'Unit List'!$A$23:$H$3256,2,FALSE)),"+","")</f>
        <v>+</v>
      </c>
      <c r="AY11" s="51" t="str">
        <f>IF(ISTEXT(VLOOKUP(CONCATENATE($A11,"_",AY$3),'Unit List'!$A$23:$H$3256,2,FALSE)),"X",$AX11)</f>
        <v>+</v>
      </c>
      <c r="AZ11" s="53" t="str">
        <f>IF(ISTEXT(VLOOKUP(CONCATENATE($A11,"_",AZ$3),'Unit List'!$A$23:$H$3256,2,FALSE)),"X",$AX11)</f>
        <v>+</v>
      </c>
      <c r="BA11" s="182" t="str">
        <f>IF(ISTEXT(VLOOKUP(CONCATENATE($A11,"_",BA$3),'Unit List'!$A$23:$H$3256,2,FALSE)),"+","")</f>
        <v/>
      </c>
      <c r="BB11" s="51" t="str">
        <f>IF(ISTEXT(VLOOKUP(CONCATENATE($A11,"_",BB$3),'Unit List'!$A$23:$H$3256,2,FALSE)),"X",$BA11)</f>
        <v/>
      </c>
      <c r="BC11" s="51" t="str">
        <f>IF(ISTEXT(VLOOKUP(CONCATENATE($A11,"_",BC$3),'Unit List'!$A$23:$H$3256,2,FALSE)),"X",$BA11)</f>
        <v/>
      </c>
      <c r="BD11" s="53" t="str">
        <f>IF(ISTEXT(VLOOKUP(CONCATENATE($A11,"_",BD$3),'Unit List'!$A$23:$H$3256,2,FALSE)),"X",$BA11)</f>
        <v/>
      </c>
      <c r="BE11" s="125" t="str">
        <f>IF(ISTEXT(VLOOKUP(CONCATENATE($A11,"_",BE$3),'Unit List'!$A$23:$H$3256,2,FALSE)),"+","")</f>
        <v>+</v>
      </c>
      <c r="BF11" s="62" t="str">
        <f>IF(ISTEXT(VLOOKUP(CONCATENATE($A11,"_",BF$3),'Unit List'!$A$23:$H$3256,2,FALSE)),"X",$BE11)</f>
        <v>+</v>
      </c>
      <c r="BG11" s="64"/>
      <c r="BH11" s="65" t="s">
        <v>0</v>
      </c>
      <c r="BI11" s="225"/>
      <c r="BJ11" s="226"/>
      <c r="BK11" s="226"/>
      <c r="BL11" s="226"/>
      <c r="BM11" s="227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List'!$A$23:$H$3256,2,FALSE)),"+","")</f>
        <v/>
      </c>
      <c r="C12" s="57" t="str">
        <f>IF(ISTEXT(VLOOKUP(CONCATENATE($A12,"_",C$3),'Unit List'!$A$23:$H$3256,2,FALSE)),"X",$B12)</f>
        <v/>
      </c>
      <c r="D12" s="51" t="str">
        <f>IF(ISTEXT(VLOOKUP(CONCATENATE($A12,"_",D$3),'Unit List'!$A$23:$H$3256,2,FALSE)),"X",$B12)</f>
        <v/>
      </c>
      <c r="E12" s="51" t="str">
        <f>IF(ISTEXT(VLOOKUP(CONCATENATE($A12,"_",E$3),'Unit List'!$A$23:$H$3256,2,FALSE)),"X",$B12)</f>
        <v/>
      </c>
      <c r="F12" s="51" t="str">
        <f>IF(ISTEXT(VLOOKUP(CONCATENATE($A12,"_",F$3),'Unit List'!$A$23:$H$3256,2,FALSE)),"X",$B12)</f>
        <v>X</v>
      </c>
      <c r="G12" s="67" t="str">
        <f>IF(ISTEXT(VLOOKUP(CONCATENATE($A12,"_",G$3),'Unit List'!$A$23:$H$3256,2,FALSE)),"X",$B12)</f>
        <v>X</v>
      </c>
      <c r="H12" s="51" t="str">
        <f>IF(ISTEXT(VLOOKUP(CONCATENATE($A12,"_",H$3),'Unit List'!$A$23:$H$3256,2,FALSE)),"X",$B12)</f>
        <v/>
      </c>
      <c r="I12" s="53" t="str">
        <f>IF(ISTEXT(VLOOKUP(CONCATENATE($A12,"_",I$3),'Unit List'!$A$23:$H$3256,2,FALSE)),"X",$B12)</f>
        <v/>
      </c>
      <c r="J12" s="172" t="str">
        <f>IF(ISTEXT(VLOOKUP(CONCATENATE($A12,"_",J$3),'Unit List'!$A$23:$H$3256,2,FALSE)),"+","")</f>
        <v/>
      </c>
      <c r="K12" s="51" t="str">
        <f>IF(ISTEXT(VLOOKUP(CONCATENATE($A12,"_",K$3),'Unit List'!$A$23:$H$3256,2,FALSE)),"X",$J12)</f>
        <v/>
      </c>
      <c r="L12" s="62" t="str">
        <f>IF(ISTEXT(VLOOKUP(CONCATENATE($A12,"_",L$3),'Unit List'!$A$23:$H$3256,2,FALSE)),"X",$J12)</f>
        <v/>
      </c>
      <c r="M12" s="172" t="str">
        <f>IF(ISTEXT(VLOOKUP(CONCATENATE($A12,"_",M$3),'Unit List'!$A$23:$H$3256,2,FALSE)),"+","")</f>
        <v/>
      </c>
      <c r="N12" s="51" t="str">
        <f>IF(ISTEXT(VLOOKUP(CONCATENATE($A12,"_",N$3),'Unit List'!$A$23:$H$3256,2,FALSE)),"X",$M12)</f>
        <v/>
      </c>
      <c r="O12" s="53" t="str">
        <f>IF(ISTEXT(VLOOKUP(CONCATENATE($A12,"_",O$3),'Unit List'!$A$23:$H$3256,2,FALSE)),"X",$M12)</f>
        <v/>
      </c>
      <c r="P12" s="172" t="str">
        <f>IF(ISTEXT(VLOOKUP(CONCATENATE($A12,"_",P$3),'Unit List'!$A$23:$H$3256,2,FALSE)),"+","")</f>
        <v/>
      </c>
      <c r="Q12" s="51" t="str">
        <f>IF(ISTEXT(VLOOKUP(CONCATENATE($A12,"_",Q$3),'Unit List'!$A$23:$H$3256,2,FALSE)),"X",$P12)</f>
        <v/>
      </c>
      <c r="R12" s="51" t="str">
        <f>IF(ISTEXT(VLOOKUP(CONCATENATE($A12,"_",R$3),'Unit List'!$A$23:$H$3256,2,FALSE)),"X",$P12)</f>
        <v/>
      </c>
      <c r="S12" s="51" t="str">
        <f>IF(ISTEXT(VLOOKUP(CONCATENATE($A12,"_",S$3),'Unit List'!$A$23:$H$3256,2,FALSE)),"X",$P12)</f>
        <v/>
      </c>
      <c r="T12" s="52" t="str">
        <f>IF(ISTEXT(VLOOKUP(CONCATENATE($A12,"_",T$3),'Unit List'!$A$23:$H$3256,2,FALSE)),"X",$P12)</f>
        <v/>
      </c>
      <c r="U12" s="51" t="str">
        <f>IF(ISTEXT(VLOOKUP(CONCATENATE($A12,"_",U$3),'Unit List'!$A$23:$H$3256,2,FALSE)),"X",$P12)</f>
        <v/>
      </c>
      <c r="V12" s="51" t="str">
        <f>IF(ISTEXT(VLOOKUP(CONCATENATE($A12,"_",V$3),'Unit List'!$A$23:$H$3256,2,FALSE)),"X",$P12)</f>
        <v/>
      </c>
      <c r="W12" s="53" t="str">
        <f>IF(ISTEXT(VLOOKUP(CONCATENATE($A12,"_",W$3),'Unit List'!$A$23:$H$3256,2,FALSE)),"X",$P12)</f>
        <v/>
      </c>
      <c r="X12" s="172" t="str">
        <f>IF(ISTEXT(VLOOKUP(CONCATENATE($A12,"_",X$3),'Unit List'!$A$23:$H$3256,2,FALSE)),"+","")</f>
        <v/>
      </c>
      <c r="Y12" s="51" t="str">
        <f>IF(ISTEXT(VLOOKUP(CONCATENATE($A12,"_",Y$3),'Unit List'!$A$23:$H$3256,2,FALSE)),"X",$X12)</f>
        <v/>
      </c>
      <c r="Z12" s="51" t="str">
        <f>IF(ISTEXT(VLOOKUP(CONCATENATE($A12,"_",Z$3),'Unit List'!$A$23:$H$3256,2,FALSE)),"X",$X12)</f>
        <v/>
      </c>
      <c r="AA12" s="51" t="str">
        <f>IF(ISTEXT(VLOOKUP(CONCATENATE($A12,"_",AA$3),'Unit List'!$A$23:$H$3256,2,FALSE)),"X",$X12)</f>
        <v/>
      </c>
      <c r="AB12" s="51" t="str">
        <f>IF(ISTEXT(VLOOKUP(CONCATENATE($A12,"_",AB$3),'Unit List'!$A$23:$H$3256,2,FALSE)),"X",$X12)</f>
        <v/>
      </c>
      <c r="AC12" s="62" t="str">
        <f>IF(ISTEXT(VLOOKUP(CONCATENATE($A12,"_",AC$3),'Unit List'!$A$23:$H$3256,2,FALSE)),"X",$X12)</f>
        <v/>
      </c>
      <c r="AD12" s="172" t="str">
        <f>IF(ISTEXT(VLOOKUP(CONCATENATE($A12,"_",AD$3),'Unit List'!$A$23:$H$3256,2,FALSE)),"+","")</f>
        <v/>
      </c>
      <c r="AE12" s="51" t="str">
        <f>IF(ISTEXT(VLOOKUP(CONCATENATE($A12,"_",AE$3),'Unit List'!$A$23:$H$3256,2,FALSE)),"X",$AD12)</f>
        <v/>
      </c>
      <c r="AF12" s="51" t="str">
        <f>IF(ISTEXT(VLOOKUP(CONCATENATE($A12,"_",AF$3),'Unit List'!$A$23:$H$3256,2,FALSE)),"X",$AD12)</f>
        <v/>
      </c>
      <c r="AG12" s="172" t="str">
        <f>IF(ISTEXT(VLOOKUP(CONCATENATE($A12,"_",AG$3),'Unit List'!$A$23:$H$3256,2,FALSE)),"+","")</f>
        <v/>
      </c>
      <c r="AH12" s="51" t="str">
        <f>IF(ISTEXT(VLOOKUP(CONCATENATE($A12,"_",AH$3),'Unit List'!$A$23:$H$3256,2,FALSE)),"X",$AG12)</f>
        <v/>
      </c>
      <c r="AI12" s="51" t="str">
        <f>IF(ISTEXT(VLOOKUP(CONCATENATE($A12,"_",AI$3),'Unit List'!$A$23:$H$3256,2,FALSE)),"X",$AG12)</f>
        <v/>
      </c>
      <c r="AJ12" s="53" t="str">
        <f>IF(ISTEXT(VLOOKUP(CONCATENATE($A12,"_",AJ$3),'Unit List'!$A$23:$H$3256,2,FALSE)),"X",$AG12)</f>
        <v/>
      </c>
      <c r="AK12" s="172" t="str">
        <f>IF(ISTEXT(VLOOKUP(CONCATENATE($A12,"_",AK$3),'Unit List'!$A$23:$H$3256,2,FALSE)),"+","")</f>
        <v/>
      </c>
      <c r="AL12" s="52" t="str">
        <f>IF(ISTEXT(VLOOKUP(CONCATENATE($A12,"_",AL$3),'Unit List'!$A$23:$H$3256,2,FALSE)),"X",$AK12)</f>
        <v/>
      </c>
      <c r="AM12" s="61" t="str">
        <f>IF(ISTEXT(VLOOKUP(CONCATENATE($A12,"_",AM$3),'Unit List'!$A$23:$H$3256,2,FALSE)),"X",$AK12)</f>
        <v/>
      </c>
      <c r="AN12" s="125" t="str">
        <f>IF(ISTEXT(VLOOKUP(CONCATENATE($A12,"_",AN$3),'Unit List'!$A$23:$H$3256,2,FALSE)),"+","")</f>
        <v/>
      </c>
      <c r="AO12" s="53" t="str">
        <f>IF(ISTEXT(VLOOKUP(CONCATENATE($A12,"_",AO$3),'Unit List'!$A$23:$H$3256,2,FALSE)),"X",$AN12)</f>
        <v/>
      </c>
      <c r="AP12" s="172" t="str">
        <f>IF(ISTEXT(VLOOKUP(CONCATENATE($A12,"_",AP$3),'Unit List'!$A$23:$H$3256,2,FALSE)),"+","")</f>
        <v/>
      </c>
      <c r="AQ12" s="51" t="str">
        <f>IF(ISTEXT(VLOOKUP(CONCATENATE($A12,"_",AQ$3),'Unit List'!$A$23:$H$3256,2,FALSE)),"X",$AP12)</f>
        <v/>
      </c>
      <c r="AR12" s="51" t="str">
        <f>IF(ISTEXT(VLOOKUP(CONCATENATE($A12,"_",AR$3),'Unit List'!$A$23:$H$3256,2,FALSE)),"X",$AP12)</f>
        <v/>
      </c>
      <c r="AS12" s="51" t="str">
        <f>IF(ISTEXT(VLOOKUP(CONCATENATE($A12,"_",AS$3),'Unit List'!$A$23:$H$3256,2,FALSE)),"X",$AP12)</f>
        <v/>
      </c>
      <c r="AT12" s="53" t="str">
        <f>IF(ISTEXT(VLOOKUP(CONCATENATE($A12,"_",AT$3),'Unit List'!$A$23:$H$3256,2,FALSE)),"X",$AP12)</f>
        <v/>
      </c>
      <c r="AU12" s="124" t="str">
        <f>IF(ISTEXT(VLOOKUP(CONCATENATE($A12,"_",AU$3),'Unit List'!$A$23:$H$3256,2,FALSE)),"+","")</f>
        <v/>
      </c>
      <c r="AV12" s="51" t="str">
        <f>IF(ISTEXT(VLOOKUP(CONCATENATE($A12,"_",AV$3),'Unit List'!$A$23:$H$3256,2,FALSE)),"X",$AU12)</f>
        <v/>
      </c>
      <c r="AW12" s="53" t="str">
        <f>IF(ISTEXT(VLOOKUP(CONCATENATE($A12,"_",AW$3),'Unit List'!$A$23:$H$3256,2,FALSE)),"X",$AU12)</f>
        <v/>
      </c>
      <c r="AX12" s="172" t="str">
        <f>IF(ISTEXT(VLOOKUP(CONCATENATE($A12,"_",AX$3),'Unit List'!$A$23:$H$3256,2,FALSE)),"+","")</f>
        <v/>
      </c>
      <c r="AY12" s="51" t="str">
        <f>IF(ISTEXT(VLOOKUP(CONCATENATE($A12,"_",AY$3),'Unit List'!$A$23:$H$3256,2,FALSE)),"X",$AX12)</f>
        <v/>
      </c>
      <c r="AZ12" s="53" t="str">
        <f>IF(ISTEXT(VLOOKUP(CONCATENATE($A12,"_",AZ$3),'Unit List'!$A$23:$H$3256,2,FALSE)),"X",$AX12)</f>
        <v/>
      </c>
      <c r="BA12" s="182" t="str">
        <f>IF(ISTEXT(VLOOKUP(CONCATENATE($A12,"_",BA$3),'Unit List'!$A$23:$H$3256,2,FALSE)),"+","")</f>
        <v/>
      </c>
      <c r="BB12" s="51" t="str">
        <f>IF(ISTEXT(VLOOKUP(CONCATENATE($A12,"_",BB$3),'Unit List'!$A$23:$H$3256,2,FALSE)),"X",$BA12)</f>
        <v/>
      </c>
      <c r="BC12" s="51" t="str">
        <f>IF(ISTEXT(VLOOKUP(CONCATENATE($A12,"_",BC$3),'Unit List'!$A$23:$H$3256,2,FALSE)),"X",$BA12)</f>
        <v/>
      </c>
      <c r="BD12" s="53" t="str">
        <f>IF(ISTEXT(VLOOKUP(CONCATENATE($A12,"_",BD$3),'Unit List'!$A$23:$H$3256,2,FALSE)),"X",$BA12)</f>
        <v/>
      </c>
      <c r="BE12" s="125" t="str">
        <f>IF(ISTEXT(VLOOKUP(CONCATENATE($A12,"_",BE$3),'Unit List'!$A$23:$H$3256,2,FALSE)),"+","")</f>
        <v/>
      </c>
      <c r="BF12" s="62" t="str">
        <f>IF(ISTEXT(VLOOKUP(CONCATENATE($A12,"_",BF$3),'Unit List'!$A$23:$H$3256,2,FALSE)),"X",$BE12)</f>
        <v/>
      </c>
      <c r="BG12" s="64"/>
      <c r="BH12" s="65" t="s">
        <v>0</v>
      </c>
      <c r="BI12" s="225"/>
      <c r="BJ12" s="226"/>
      <c r="BK12" s="226"/>
      <c r="BL12" s="226"/>
      <c r="BM12" s="227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List'!$A$23:$H$3256,2,FALSE)),"+","")</f>
        <v/>
      </c>
      <c r="C13" s="57" t="str">
        <f>IF(ISTEXT(VLOOKUP(CONCATENATE($A13,"_",C$3),'Unit List'!$A$23:$H$3256,2,FALSE)),"X",$B13)</f>
        <v/>
      </c>
      <c r="D13" s="51" t="str">
        <f>IF(ISTEXT(VLOOKUP(CONCATENATE($A13,"_",D$3),'Unit List'!$A$23:$H$3256,2,FALSE)),"X",$B13)</f>
        <v/>
      </c>
      <c r="E13" s="51" t="str">
        <f>IF(ISTEXT(VLOOKUP(CONCATENATE($A13,"_",E$3),'Unit List'!$A$23:$H$3256,2,FALSE)),"X",$B13)</f>
        <v/>
      </c>
      <c r="F13" s="51" t="str">
        <f>IF(ISTEXT(VLOOKUP(CONCATENATE($A13,"_",F$3),'Unit List'!$A$23:$H$3256,2,FALSE)),"X",$B13)</f>
        <v/>
      </c>
      <c r="G13" s="51" t="str">
        <f>IF(ISTEXT(VLOOKUP(CONCATENATE($A13,"_",G$3),'Unit List'!$A$23:$H$3256,2,FALSE)),"X",$B13)</f>
        <v/>
      </c>
      <c r="H13" s="51" t="str">
        <f>IF(ISTEXT(VLOOKUP(CONCATENATE($A13,"_",H$3),'Unit List'!$A$23:$H$3256,2,FALSE)),"X",$B13)</f>
        <v/>
      </c>
      <c r="I13" s="53" t="str">
        <f>IF(ISTEXT(VLOOKUP(CONCATENATE($A13,"_",I$3),'Unit List'!$A$23:$H$3256,2,FALSE)),"X",$B13)</f>
        <v/>
      </c>
      <c r="J13" s="172" t="str">
        <f>IF(ISTEXT(VLOOKUP(CONCATENATE($A13,"_",J$3),'Unit List'!$A$23:$H$3256,2,FALSE)),"+","")</f>
        <v/>
      </c>
      <c r="K13" s="51" t="str">
        <f>IF(ISTEXT(VLOOKUP(CONCATENATE($A13,"_",K$3),'Unit List'!$A$23:$H$3256,2,FALSE)),"X",$J13)</f>
        <v/>
      </c>
      <c r="L13" s="62" t="str">
        <f>IF(ISTEXT(VLOOKUP(CONCATENATE($A13,"_",L$3),'Unit List'!$A$23:$H$3256,2,FALSE)),"X",$J13)</f>
        <v/>
      </c>
      <c r="M13" s="172" t="str">
        <f>IF(ISTEXT(VLOOKUP(CONCATENATE($A13,"_",M$3),'Unit List'!$A$23:$H$3256,2,FALSE)),"+","")</f>
        <v/>
      </c>
      <c r="N13" s="51" t="str">
        <f>IF(ISTEXT(VLOOKUP(CONCATENATE($A13,"_",N$3),'Unit List'!$A$23:$H$3256,2,FALSE)),"X",$M13)</f>
        <v/>
      </c>
      <c r="O13" s="53" t="str">
        <f>IF(ISTEXT(VLOOKUP(CONCATENATE($A13,"_",O$3),'Unit List'!$A$23:$H$3256,2,FALSE)),"X",$M13)</f>
        <v/>
      </c>
      <c r="P13" s="172" t="str">
        <f>IF(ISTEXT(VLOOKUP(CONCATENATE($A13,"_",P$3),'Unit List'!$A$23:$H$3256,2,FALSE)),"+","")</f>
        <v/>
      </c>
      <c r="Q13" s="51" t="str">
        <f>IF(ISTEXT(VLOOKUP(CONCATENATE($A13,"_",Q$3),'Unit List'!$A$23:$H$3256,2,FALSE)),"X",$P13)</f>
        <v/>
      </c>
      <c r="R13" s="51" t="str">
        <f>IF(ISTEXT(VLOOKUP(CONCATENATE($A13,"_",R$3),'Unit List'!$A$23:$H$3256,2,FALSE)),"X",$P13)</f>
        <v/>
      </c>
      <c r="S13" s="51" t="str">
        <f>IF(ISTEXT(VLOOKUP(CONCATENATE($A13,"_",S$3),'Unit List'!$A$23:$H$3256,2,FALSE)),"X",$P13)</f>
        <v/>
      </c>
      <c r="T13" s="88" t="s">
        <v>0</v>
      </c>
      <c r="U13" s="51" t="str">
        <f>IF(ISTEXT(VLOOKUP(CONCATENATE($A13,"_",U$3),'Unit List'!$A$23:$H$3256,2,FALSE)),"X",$P13)</f>
        <v/>
      </c>
      <c r="V13" s="51" t="str">
        <f>IF(ISTEXT(VLOOKUP(CONCATENATE($A13,"_",V$3),'Unit List'!$A$23:$H$3256,2,FALSE)),"X",$P13)</f>
        <v/>
      </c>
      <c r="W13" s="53" t="str">
        <f>IF(ISTEXT(VLOOKUP(CONCATENATE($A13,"_",W$3),'Unit List'!$A$23:$H$3256,2,FALSE)),"X",$P13)</f>
        <v/>
      </c>
      <c r="X13" s="172" t="str">
        <f>IF(ISTEXT(VLOOKUP(CONCATENATE($A13,"_",X$3),'Unit List'!$A$23:$H$3256,2,FALSE)),"+","")</f>
        <v/>
      </c>
      <c r="Y13" s="51" t="str">
        <f>IF(ISTEXT(VLOOKUP(CONCATENATE($A13,"_",Y$3),'Unit List'!$A$23:$H$3256,2,FALSE)),"X",$X13)</f>
        <v/>
      </c>
      <c r="Z13" s="51" t="str">
        <f>IF(ISTEXT(VLOOKUP(CONCATENATE($A13,"_",Z$3),'Unit List'!$A$23:$H$3256,2,FALSE)),"X",$X13)</f>
        <v/>
      </c>
      <c r="AA13" s="51" t="str">
        <f>IF(ISTEXT(VLOOKUP(CONCATENATE($A13,"_",AA$3),'Unit List'!$A$23:$H$3256,2,FALSE)),"X",$X13)</f>
        <v/>
      </c>
      <c r="AB13" s="51" t="str">
        <f>IF(ISTEXT(VLOOKUP(CONCATENATE($A13,"_",AB$3),'Unit List'!$A$23:$H$3256,2,FALSE)),"X",$X13)</f>
        <v/>
      </c>
      <c r="AC13" s="62" t="str">
        <f>IF(ISTEXT(VLOOKUP(CONCATENATE($A13,"_",AC$3),'Unit List'!$A$23:$H$3256,2,FALSE)),"X",$X13)</f>
        <v/>
      </c>
      <c r="AD13" s="172" t="str">
        <f>IF(ISTEXT(VLOOKUP(CONCATENATE($A13,"_",AD$3),'Unit List'!$A$23:$H$3256,2,FALSE)),"+","")</f>
        <v/>
      </c>
      <c r="AE13" s="51" t="str">
        <f>IF(ISTEXT(VLOOKUP(CONCATENATE($A13,"_",AE$3),'Unit List'!$A$23:$H$3256,2,FALSE)),"X",$AD13)</f>
        <v/>
      </c>
      <c r="AF13" s="51" t="str">
        <f>IF(ISTEXT(VLOOKUP(CONCATENATE($A13,"_",AF$3),'Unit List'!$A$23:$H$3256,2,FALSE)),"X",$AD13)</f>
        <v/>
      </c>
      <c r="AG13" s="172" t="str">
        <f>IF(ISTEXT(VLOOKUP(CONCATENATE($A13,"_",AG$3),'Unit List'!$A$23:$H$3256,2,FALSE)),"+","")</f>
        <v/>
      </c>
      <c r="AH13" s="51" t="str">
        <f>IF(ISTEXT(VLOOKUP(CONCATENATE($A13,"_",AH$3),'Unit List'!$A$23:$H$3256,2,FALSE)),"X",$AG13)</f>
        <v/>
      </c>
      <c r="AI13" s="51" t="str">
        <f>IF(ISTEXT(VLOOKUP(CONCATENATE($A13,"_",AI$3),'Unit List'!$A$23:$H$3256,2,FALSE)),"X",$AG13)</f>
        <v/>
      </c>
      <c r="AJ13" s="53" t="str">
        <f>IF(ISTEXT(VLOOKUP(CONCATENATE($A13,"_",AJ$3),'Unit List'!$A$23:$H$3256,2,FALSE)),"X",$AG13)</f>
        <v/>
      </c>
      <c r="AK13" s="172" t="str">
        <f>IF(ISTEXT(VLOOKUP(CONCATENATE($A13,"_",AK$3),'Unit List'!$A$23:$H$3256,2,FALSE)),"+","")</f>
        <v/>
      </c>
      <c r="AL13" s="52" t="str">
        <f>IF(ISTEXT(VLOOKUP(CONCATENATE($A13,"_",AL$3),'Unit List'!$A$23:$H$3256,2,FALSE)),"X",$AK13)</f>
        <v/>
      </c>
      <c r="AM13" s="53" t="str">
        <f>IF(ISTEXT(VLOOKUP(CONCATENATE($A13,"_",AM$3),'Unit List'!$A$23:$H$3256,2,FALSE)),"X",$AK13)</f>
        <v/>
      </c>
      <c r="AN13" s="125" t="str">
        <f>IF(ISTEXT(VLOOKUP(CONCATENATE($A13,"_",AN$3),'Unit List'!$A$23:$H$3256,2,FALSE)),"+","")</f>
        <v/>
      </c>
      <c r="AO13" s="53" t="str">
        <f>IF(ISTEXT(VLOOKUP(CONCATENATE($A13,"_",AO$3),'Unit List'!$A$23:$H$3256,2,FALSE)),"X",$AN13)</f>
        <v/>
      </c>
      <c r="AP13" s="172" t="str">
        <f>IF(ISTEXT(VLOOKUP(CONCATENATE($A13,"_",AP$3),'Unit List'!$A$23:$H$3256,2,FALSE)),"+","")</f>
        <v/>
      </c>
      <c r="AQ13" s="51" t="str">
        <f>IF(ISTEXT(VLOOKUP(CONCATENATE($A13,"_",AQ$3),'Unit List'!$A$23:$H$3256,2,FALSE)),"X",$AP13)</f>
        <v/>
      </c>
      <c r="AR13" s="51" t="str">
        <f>IF(ISTEXT(VLOOKUP(CONCATENATE($A13,"_",AR$3),'Unit List'!$A$23:$H$3256,2,FALSE)),"X",$AP13)</f>
        <v/>
      </c>
      <c r="AS13" s="89" t="s">
        <v>0</v>
      </c>
      <c r="AT13" s="53" t="str">
        <f>IF(ISTEXT(VLOOKUP(CONCATENATE($A13,"_",AT$3),'Unit List'!$A$23:$H$3256,2,FALSE)),"X",$AP13)</f>
        <v/>
      </c>
      <c r="AU13" s="124" t="str">
        <f>IF(ISTEXT(VLOOKUP(CONCATENATE($A13,"_",AU$3),'Unit List'!$A$23:$H$3256,2,FALSE)),"+","")</f>
        <v/>
      </c>
      <c r="AV13" s="51" t="str">
        <f>IF(ISTEXT(VLOOKUP(CONCATENATE($A13,"_",AV$3),'Unit List'!$A$23:$H$3256,2,FALSE)),"X",$AU13)</f>
        <v/>
      </c>
      <c r="AW13" s="53" t="str">
        <f>IF(ISTEXT(VLOOKUP(CONCATENATE($A13,"_",AW$3),'Unit List'!$A$23:$H$3256,2,FALSE)),"X",$AU13)</f>
        <v/>
      </c>
      <c r="AX13" s="172" t="str">
        <f>IF(ISTEXT(VLOOKUP(CONCATENATE($A13,"_",AX$3),'Unit List'!$A$23:$H$3256,2,FALSE)),"+","")</f>
        <v/>
      </c>
      <c r="AY13" s="51" t="str">
        <f>IF(ISTEXT(VLOOKUP(CONCATENATE($A13,"_",AY$3),'Unit List'!$A$23:$H$3256,2,FALSE)),"X",$AX13)</f>
        <v/>
      </c>
      <c r="AZ13" s="53" t="str">
        <f>IF(ISTEXT(VLOOKUP(CONCATENATE($A13,"_",AZ$3),'Unit List'!$A$23:$H$3256,2,FALSE)),"X",$AX13)</f>
        <v/>
      </c>
      <c r="BA13" s="182" t="str">
        <f>IF(ISTEXT(VLOOKUP(CONCATENATE($A13,"_",BA$3),'Unit List'!$A$23:$H$3256,2,FALSE)),"+","")</f>
        <v/>
      </c>
      <c r="BB13" s="51" t="str">
        <f>IF(ISTEXT(VLOOKUP(CONCATENATE($A13,"_",BB$3),'Unit List'!$A$23:$H$3256,2,FALSE)),"X",$BA13)</f>
        <v/>
      </c>
      <c r="BC13" s="51" t="str">
        <f>IF(ISTEXT(VLOOKUP(CONCATENATE($A13,"_",BC$3),'Unit List'!$A$23:$H$3256,2,FALSE)),"X",$BA13)</f>
        <v/>
      </c>
      <c r="BD13" s="53" t="str">
        <f>IF(ISTEXT(VLOOKUP(CONCATENATE($A13,"_",BD$3),'Unit List'!$A$23:$H$3256,2,FALSE)),"X",$BA13)</f>
        <v/>
      </c>
      <c r="BE13" s="125" t="str">
        <f>IF(ISTEXT(VLOOKUP(CONCATENATE($A13,"_",BE$3),'Unit List'!$A$23:$H$3256,2,FALSE)),"+","")</f>
        <v/>
      </c>
      <c r="BF13" s="62" t="str">
        <f>IF(ISTEXT(VLOOKUP(CONCATENATE($A13,"_",BF$3),'Unit List'!$A$23:$H$3256,2,FALSE)),"X",$BE13)</f>
        <v/>
      </c>
      <c r="BG13" s="75"/>
      <c r="BH13" s="84"/>
      <c r="BI13" s="225"/>
      <c r="BJ13" s="226"/>
      <c r="BK13" s="226"/>
      <c r="BL13" s="226"/>
      <c r="BM13" s="227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List'!$A$23:$H$3256,2,FALSE)),"+","")</f>
        <v/>
      </c>
      <c r="C14" s="82" t="str">
        <f>IF(ISTEXT(VLOOKUP(CONCATENATE($A14,"_",C$3),'Unit List'!$A$23:$H$3256,2,FALSE)),"X",$B14)</f>
        <v>X</v>
      </c>
      <c r="D14" s="51" t="str">
        <f>IF(ISTEXT(VLOOKUP(CONCATENATE($A14,"_",D$3),'Unit List'!$A$23:$H$3256,2,FALSE)),"X",$B14)</f>
        <v>X</v>
      </c>
      <c r="E14" s="51" t="str">
        <f>IF(ISTEXT(VLOOKUP(CONCATENATE($A14,"_",E$3),'Unit List'!$A$23:$H$3256,2,FALSE)),"X",$B14)</f>
        <v>X</v>
      </c>
      <c r="F14" s="67" t="str">
        <f>IF(ISTEXT(VLOOKUP(CONCATENATE($A14,"_",F$3),'Unit List'!$A$23:$H$3256,2,FALSE)),"X",$B14)</f>
        <v>X</v>
      </c>
      <c r="G14" s="67" t="str">
        <f>IF(ISTEXT(VLOOKUP(CONCATENATE($A14,"_",G$3),'Unit List'!$A$23:$H$3256,2,FALSE)),"X",$B14)</f>
        <v>X</v>
      </c>
      <c r="H14" s="67" t="str">
        <f>IF(ISTEXT(VLOOKUP(CONCATENATE($A14,"_",H$3),'Unit List'!$A$23:$H$3256,2,FALSE)),"X",$B14)</f>
        <v>X</v>
      </c>
      <c r="I14" s="53" t="str">
        <f>IF(ISTEXT(VLOOKUP(CONCATENATE($A14,"_",I$3),'Unit List'!$A$23:$H$3256,2,FALSE)),"X",$B14)</f>
        <v/>
      </c>
      <c r="J14" s="172" t="str">
        <f>IF(ISTEXT(VLOOKUP(CONCATENATE($A14,"_",J$3),'Unit List'!$A$23:$H$3256,2,FALSE)),"+","")</f>
        <v/>
      </c>
      <c r="K14" s="51" t="str">
        <f>IF(ISTEXT(VLOOKUP(CONCATENATE($A14,"_",K$3),'Unit List'!$A$23:$H$3256,2,FALSE)),"X",$J14)</f>
        <v/>
      </c>
      <c r="L14" s="86" t="str">
        <f>IF(ISTEXT(VLOOKUP(CONCATENATE($A14,"_",L$3),'Unit List'!$A$23:$H$3256,2,FALSE)),"X",$J14)</f>
        <v>X</v>
      </c>
      <c r="M14" s="172" t="str">
        <f>IF(ISTEXT(VLOOKUP(CONCATENATE($A14,"_",M$3),'Unit List'!$A$23:$H$3256,2,FALSE)),"+","")</f>
        <v>+</v>
      </c>
      <c r="N14" s="51" t="str">
        <f>IF(ISTEXT(VLOOKUP(CONCATENATE($A14,"_",N$3),'Unit List'!$A$23:$H$3256,2,FALSE)),"X",$M14)</f>
        <v>+</v>
      </c>
      <c r="O14" s="70" t="str">
        <f>IF(ISTEXT(VLOOKUP(CONCATENATE($A14,"_",O$3),'Unit List'!$A$23:$H$3256,2,FALSE)),"X",$M14)</f>
        <v>X</v>
      </c>
      <c r="P14" s="172" t="str">
        <f>IF(ISTEXT(VLOOKUP(CONCATENATE($A14,"_",P$3),'Unit List'!$A$23:$H$3256,2,FALSE)),"+","")</f>
        <v/>
      </c>
      <c r="Q14" s="51" t="str">
        <f>IF(ISTEXT(VLOOKUP(CONCATENATE($A14,"_",Q$3),'Unit List'!$A$23:$H$3256,2,FALSE)),"X",$P14)</f>
        <v/>
      </c>
      <c r="R14" s="51" t="str">
        <f>IF(ISTEXT(VLOOKUP(CONCATENATE($A14,"_",R$3),'Unit List'!$A$23:$H$3256,2,FALSE)),"X",$P14)</f>
        <v/>
      </c>
      <c r="S14" s="51" t="str">
        <f>IF(ISTEXT(VLOOKUP(CONCATENATE($A14,"_",S$3),'Unit List'!$A$23:$H$3256,2,FALSE)),"X",$P14)</f>
        <v/>
      </c>
      <c r="T14" s="52" t="str">
        <f>IF(ISTEXT(VLOOKUP(CONCATENATE($A14,"_",T$3),'Unit List'!$A$23:$H$3256,2,FALSE)),"X",$P14)</f>
        <v/>
      </c>
      <c r="U14" s="67" t="str">
        <f>IF(ISTEXT(VLOOKUP(CONCATENATE($A14,"_",U$3),'Unit List'!$A$23:$H$3256,2,FALSE)),"X",$P14)</f>
        <v>X</v>
      </c>
      <c r="V14" s="51" t="str">
        <f>IF(ISTEXT(VLOOKUP(CONCATENATE($A14,"_",V$3),'Unit List'!$A$23:$H$3256,2,FALSE)),"X",$P14)</f>
        <v/>
      </c>
      <c r="W14" s="53" t="str">
        <f>IF(ISTEXT(VLOOKUP(CONCATENATE($A14,"_",W$3),'Unit List'!$A$23:$H$3256,2,FALSE)),"X",$P14)</f>
        <v/>
      </c>
      <c r="X14" s="172" t="str">
        <f>IF(ISTEXT(VLOOKUP(CONCATENATE($A14,"_",X$3),'Unit List'!$A$23:$H$3256,2,FALSE)),"+","")</f>
        <v/>
      </c>
      <c r="Y14" s="51" t="str">
        <f>IF(ISTEXT(VLOOKUP(CONCATENATE($A14,"_",Y$3),'Unit List'!$A$23:$H$3256,2,FALSE)),"X",$X14)</f>
        <v/>
      </c>
      <c r="Z14" s="51" t="str">
        <f>IF(ISTEXT(VLOOKUP(CONCATENATE($A14,"_",Z$3),'Unit List'!$A$23:$H$3256,2,FALSE)),"X",$X14)</f>
        <v/>
      </c>
      <c r="AA14" s="51" t="str">
        <f>IF(ISTEXT(VLOOKUP(CONCATENATE($A14,"_",AA$3),'Unit List'!$A$23:$H$3256,2,FALSE)),"X",$X14)</f>
        <v/>
      </c>
      <c r="AB14" s="51" t="str">
        <f>IF(ISTEXT(VLOOKUP(CONCATENATE($A14,"_",AB$3),'Unit List'!$A$23:$H$3256,2,FALSE)),"X",$X14)</f>
        <v/>
      </c>
      <c r="AC14" s="62" t="str">
        <f>IF(ISTEXT(VLOOKUP(CONCATENATE($A14,"_",AC$3),'Unit List'!$A$23:$H$3256,2,FALSE)),"X",$X14)</f>
        <v/>
      </c>
      <c r="AD14" s="172" t="str">
        <f>IF(ISTEXT(VLOOKUP(CONCATENATE($A14,"_",AD$3),'Unit List'!$A$23:$H$3256,2,FALSE)),"+","")</f>
        <v>+</v>
      </c>
      <c r="AE14" s="51" t="str">
        <f>IF(ISTEXT(VLOOKUP(CONCATENATE($A14,"_",AE$3),'Unit List'!$A$23:$H$3256,2,FALSE)),"X",$AD14)</f>
        <v>+</v>
      </c>
      <c r="AF14" s="51" t="str">
        <f>IF(ISTEXT(VLOOKUP(CONCATENATE($A14,"_",AF$3),'Unit List'!$A$23:$H$3256,2,FALSE)),"X",$AD14)</f>
        <v>+</v>
      </c>
      <c r="AG14" s="172" t="str">
        <f>IF(ISTEXT(VLOOKUP(CONCATENATE($A14,"_",AG$3),'Unit List'!$A$23:$H$3256,2,FALSE)),"+","")</f>
        <v/>
      </c>
      <c r="AH14" s="51" t="str">
        <f>IF(ISTEXT(VLOOKUP(CONCATENATE($A14,"_",AH$3),'Unit List'!$A$23:$H$3256,2,FALSE)),"X",$AG14)</f>
        <v/>
      </c>
      <c r="AI14" s="51" t="str">
        <f>IF(ISTEXT(VLOOKUP(CONCATENATE($A14,"_",AI$3),'Unit List'!$A$23:$H$3256,2,FALSE)),"X",$AG14)</f>
        <v/>
      </c>
      <c r="AJ14" s="53" t="str">
        <f>IF(ISTEXT(VLOOKUP(CONCATENATE($A14,"_",AJ$3),'Unit List'!$A$23:$H$3256,2,FALSE)),"X",$AG14)</f>
        <v>X</v>
      </c>
      <c r="AK14" s="172" t="str">
        <f>IF(ISTEXT(VLOOKUP(CONCATENATE($A14,"_",AK$3),'Unit List'!$A$23:$H$3256,2,FALSE)),"+","")</f>
        <v/>
      </c>
      <c r="AL14" s="52" t="str">
        <f>IF(ISTEXT(VLOOKUP(CONCATENATE($A14,"_",AL$3),'Unit List'!$A$23:$H$3256,2,FALSE)),"X",$AK14)</f>
        <v/>
      </c>
      <c r="AM14" s="53" t="str">
        <f>IF(ISTEXT(VLOOKUP(CONCATENATE($A14,"_",AM$3),'Unit List'!$A$23:$H$3256,2,FALSE)),"X",$AK14)</f>
        <v/>
      </c>
      <c r="AN14" s="125" t="str">
        <f>IF(ISTEXT(VLOOKUP(CONCATENATE($A14,"_",AN$3),'Unit List'!$A$23:$H$3256,2,FALSE)),"+","")</f>
        <v>+</v>
      </c>
      <c r="AO14" s="53" t="str">
        <f>IF(ISTEXT(VLOOKUP(CONCATENATE($A14,"_",AO$3),'Unit List'!$A$23:$H$3256,2,FALSE)),"X",$AN14)</f>
        <v>+</v>
      </c>
      <c r="AP14" s="172" t="str">
        <f>IF(ISTEXT(VLOOKUP(CONCATENATE($A14,"_",AP$3),'Unit List'!$A$23:$H$3256,2,FALSE)),"+","")</f>
        <v>+</v>
      </c>
      <c r="AQ14" s="51" t="str">
        <f>IF(ISTEXT(VLOOKUP(CONCATENATE($A14,"_",AQ$3),'Unit List'!$A$23:$H$3256,2,FALSE)),"X",$AP14)</f>
        <v>+</v>
      </c>
      <c r="AR14" s="67" t="str">
        <f>IF(ISTEXT(VLOOKUP(CONCATENATE($A14,"_",AR$3),'Unit List'!$A$23:$H$3256,2,FALSE)),"X",$AP14)</f>
        <v>X</v>
      </c>
      <c r="AS14" s="51" t="str">
        <f>IF(ISTEXT(VLOOKUP(CONCATENATE($A14,"_",AS$3),'Unit List'!$A$23:$H$3256,2,FALSE)),"X",$AP14)</f>
        <v>X</v>
      </c>
      <c r="AT14" s="53" t="str">
        <f>IF(ISTEXT(VLOOKUP(CONCATENATE($A14,"_",AT$3),'Unit List'!$A$23:$H$3256,2,FALSE)),"X",$AP14)</f>
        <v>+</v>
      </c>
      <c r="AU14" s="124" t="str">
        <f>IF(ISTEXT(VLOOKUP(CONCATENATE($A14,"_",AU$3),'Unit List'!$A$23:$H$3256,2,FALSE)),"+","")</f>
        <v>+</v>
      </c>
      <c r="AV14" s="51" t="str">
        <f>IF(ISTEXT(VLOOKUP(CONCATENATE($A14,"_",AV$3),'Unit List'!$A$23:$H$3256,2,FALSE)),"X",$AU14)</f>
        <v>+</v>
      </c>
      <c r="AW14" s="53" t="str">
        <f>IF(ISTEXT(VLOOKUP(CONCATENATE($A14,"_",AW$3),'Unit List'!$A$23:$H$3256,2,FALSE)),"X",$AU14)</f>
        <v>+</v>
      </c>
      <c r="AX14" s="172" t="str">
        <f>IF(ISTEXT(VLOOKUP(CONCATENATE($A14,"_",AX$3),'Unit List'!$A$23:$H$3256,2,FALSE)),"+","")</f>
        <v>+</v>
      </c>
      <c r="AY14" s="51" t="str">
        <f>IF(ISTEXT(VLOOKUP(CONCATENATE($A14,"_",AY$3),'Unit List'!$A$23:$H$3256,2,FALSE)),"X",$AX14)</f>
        <v>+</v>
      </c>
      <c r="AZ14" s="53" t="str">
        <f>IF(ISTEXT(VLOOKUP(CONCATENATE($A14,"_",AZ$3),'Unit List'!$A$23:$H$3256,2,FALSE)),"X",$AX14)</f>
        <v>+</v>
      </c>
      <c r="BA14" s="182" t="str">
        <f>IF(ISTEXT(VLOOKUP(CONCATENATE($A14,"_",BA$3),'Unit List'!$A$23:$H$3256,2,FALSE)),"+","")</f>
        <v/>
      </c>
      <c r="BB14" s="51" t="str">
        <f>IF(ISTEXT(VLOOKUP(CONCATENATE($A14,"_",BB$3),'Unit List'!$A$23:$H$3256,2,FALSE)),"X",$BA14)</f>
        <v/>
      </c>
      <c r="BC14" s="51" t="str">
        <f>IF(ISTEXT(VLOOKUP(CONCATENATE($A14,"_",BC$3),'Unit List'!$A$23:$H$3256,2,FALSE)),"X",$BA14)</f>
        <v/>
      </c>
      <c r="BD14" s="53" t="str">
        <f>IF(ISTEXT(VLOOKUP(CONCATENATE($A14,"_",BD$3),'Unit List'!$A$23:$H$3256,2,FALSE)),"X",$BA14)</f>
        <v/>
      </c>
      <c r="BE14" s="125" t="str">
        <f>IF(ISTEXT(VLOOKUP(CONCATENATE($A14,"_",BE$3),'Unit List'!$A$23:$H$3256,2,FALSE)),"+","")</f>
        <v>+</v>
      </c>
      <c r="BF14" s="62" t="str">
        <f>IF(ISTEXT(VLOOKUP(CONCATENATE($A14,"_",BF$3),'Unit List'!$A$23:$H$3256,2,FALSE)),"X",$BE14)</f>
        <v>+</v>
      </c>
      <c r="BG14" s="64" t="s">
        <v>0</v>
      </c>
      <c r="BH14" s="65" t="s">
        <v>0</v>
      </c>
      <c r="BI14" s="225"/>
      <c r="BJ14" s="226"/>
      <c r="BK14" s="226"/>
      <c r="BL14" s="226"/>
      <c r="BM14" s="227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List'!$A$23:$H$3256,2,FALSE)),"+","")</f>
        <v/>
      </c>
      <c r="C15" s="57" t="str">
        <f>IF(ISTEXT(VLOOKUP(CONCATENATE($A15,"_",C$3),'Unit List'!$A$23:$H$3256,2,FALSE)),"X",$B15)</f>
        <v/>
      </c>
      <c r="D15" s="51" t="str">
        <f>IF(ISTEXT(VLOOKUP(CONCATENATE($A15,"_",D$3),'Unit List'!$A$23:$H$3256,2,FALSE)),"X",$B15)</f>
        <v/>
      </c>
      <c r="E15" s="51" t="str">
        <f>IF(ISTEXT(VLOOKUP(CONCATENATE($A15,"_",E$3),'Unit List'!$A$23:$H$3256,2,FALSE)),"X",$B15)</f>
        <v/>
      </c>
      <c r="F15" s="51" t="str">
        <f>IF(ISTEXT(VLOOKUP(CONCATENATE($A15,"_",F$3),'Unit List'!$A$23:$H$3256,2,FALSE)),"X",$B15)</f>
        <v/>
      </c>
      <c r="G15" s="51" t="str">
        <f>IF(ISTEXT(VLOOKUP(CONCATENATE($A15,"_",G$3),'Unit List'!$A$23:$H$3256,2,FALSE)),"X",$B15)</f>
        <v/>
      </c>
      <c r="H15" s="51" t="str">
        <f>IF(ISTEXT(VLOOKUP(CONCATENATE($A15,"_",H$3),'Unit List'!$A$23:$H$3256,2,FALSE)),"X",$B15)</f>
        <v/>
      </c>
      <c r="I15" s="53" t="str">
        <f>IF(ISTEXT(VLOOKUP(CONCATENATE($A15,"_",I$3),'Unit List'!$A$23:$H$3256,2,FALSE)),"X",$B15)</f>
        <v/>
      </c>
      <c r="J15" s="172" t="str">
        <f>IF(ISTEXT(VLOOKUP(CONCATENATE($A15,"_",J$3),'Unit List'!$A$23:$H$3256,2,FALSE)),"+","")</f>
        <v/>
      </c>
      <c r="K15" s="51" t="str">
        <f>IF(ISTEXT(VLOOKUP(CONCATENATE($A15,"_",K$3),'Unit List'!$A$23:$H$3256,2,FALSE)),"X",$J15)</f>
        <v/>
      </c>
      <c r="L15" s="62" t="str">
        <f>IF(ISTEXT(VLOOKUP(CONCATENATE($A15,"_",L$3),'Unit List'!$A$23:$H$3256,2,FALSE)),"X",$J15)</f>
        <v/>
      </c>
      <c r="M15" s="172" t="str">
        <f>IF(ISTEXT(VLOOKUP(CONCATENATE($A15,"_",M$3),'Unit List'!$A$23:$H$3256,2,FALSE)),"+","")</f>
        <v/>
      </c>
      <c r="N15" s="51" t="str">
        <f>IF(ISTEXT(VLOOKUP(CONCATENATE($A15,"_",N$3),'Unit List'!$A$23:$H$3256,2,FALSE)),"X",$M15)</f>
        <v/>
      </c>
      <c r="O15" s="53" t="str">
        <f>IF(ISTEXT(VLOOKUP(CONCATENATE($A15,"_",O$3),'Unit List'!$A$23:$H$3256,2,FALSE)),"X",$M15)</f>
        <v/>
      </c>
      <c r="P15" s="172" t="str">
        <f>IF(ISTEXT(VLOOKUP(CONCATENATE($A15,"_",P$3),'Unit List'!$A$23:$H$3256,2,FALSE)),"+","")</f>
        <v/>
      </c>
      <c r="Q15" s="51" t="str">
        <f>IF(ISTEXT(VLOOKUP(CONCATENATE($A15,"_",Q$3),'Unit List'!$A$23:$H$3256,2,FALSE)),"X",$P15)</f>
        <v/>
      </c>
      <c r="R15" s="51" t="str">
        <f>IF(ISTEXT(VLOOKUP(CONCATENATE($A15,"_",R$3),'Unit List'!$A$23:$H$3256,2,FALSE)),"X",$P15)</f>
        <v/>
      </c>
      <c r="S15" s="51" t="str">
        <f>IF(ISTEXT(VLOOKUP(CONCATENATE($A15,"_",S$3),'Unit List'!$A$23:$H$3256,2,FALSE)),"X",$P15)</f>
        <v/>
      </c>
      <c r="T15" s="52" t="str">
        <f>IF(ISTEXT(VLOOKUP(CONCATENATE($A15,"_",T$3),'Unit List'!$A$23:$H$3256,2,FALSE)),"X",$P15)</f>
        <v/>
      </c>
      <c r="U15" s="89" t="s">
        <v>0</v>
      </c>
      <c r="V15" s="51" t="str">
        <f>IF(ISTEXT(VLOOKUP(CONCATENATE($A15,"_",V$3),'Unit List'!$A$23:$H$3256,2,FALSE)),"X",$P15)</f>
        <v/>
      </c>
      <c r="W15" s="53" t="str">
        <f>IF(ISTEXT(VLOOKUP(CONCATENATE($A15,"_",W$3),'Unit List'!$A$23:$H$3256,2,FALSE)),"X",$P15)</f>
        <v/>
      </c>
      <c r="X15" s="172" t="str">
        <f>IF(ISTEXT(VLOOKUP(CONCATENATE($A15,"_",X$3),'Unit List'!$A$23:$H$3256,2,FALSE)),"+","")</f>
        <v/>
      </c>
      <c r="Y15" s="51" t="str">
        <f>IF(ISTEXT(VLOOKUP(CONCATENATE($A15,"_",Y$3),'Unit List'!$A$23:$H$3256,2,FALSE)),"X",$X15)</f>
        <v/>
      </c>
      <c r="Z15" s="90" t="s">
        <v>0</v>
      </c>
      <c r="AA15" s="51" t="str">
        <f>IF(ISTEXT(VLOOKUP(CONCATENATE($A15,"_",AA$3),'Unit List'!$A$23:$H$3256,2,FALSE)),"X",$X15)</f>
        <v/>
      </c>
      <c r="AB15" s="51" t="str">
        <f>IF(ISTEXT(VLOOKUP(CONCATENATE($A15,"_",AB$3),'Unit List'!$A$23:$H$3256,2,FALSE)),"X",$X15)</f>
        <v/>
      </c>
      <c r="AC15" s="62" t="str">
        <f>IF(ISTEXT(VLOOKUP(CONCATENATE($A15,"_",AC$3),'Unit List'!$A$23:$H$3256,2,FALSE)),"X",$X15)</f>
        <v/>
      </c>
      <c r="AD15" s="172" t="str">
        <f>IF(ISTEXT(VLOOKUP(CONCATENATE($A15,"_",AD$3),'Unit List'!$A$23:$H$3256,2,FALSE)),"+","")</f>
        <v/>
      </c>
      <c r="AE15" s="51" t="str">
        <f>IF(ISTEXT(VLOOKUP(CONCATENATE($A15,"_",AE$3),'Unit List'!$A$23:$H$3256,2,FALSE)),"X",$AD15)</f>
        <v/>
      </c>
      <c r="AF15" s="51" t="str">
        <f>IF(ISTEXT(VLOOKUP(CONCATENATE($A15,"_",AF$3),'Unit List'!$A$23:$H$3256,2,FALSE)),"X",$AD15)</f>
        <v/>
      </c>
      <c r="AG15" s="172" t="str">
        <f>IF(ISTEXT(VLOOKUP(CONCATENATE($A15,"_",AG$3),'Unit List'!$A$23:$H$3256,2,FALSE)),"+","")</f>
        <v/>
      </c>
      <c r="AH15" s="51" t="str">
        <f>IF(ISTEXT(VLOOKUP(CONCATENATE($A15,"_",AH$3),'Unit List'!$A$23:$H$3256,2,FALSE)),"X",$AG15)</f>
        <v/>
      </c>
      <c r="AI15" s="51" t="str">
        <f>IF(ISTEXT(VLOOKUP(CONCATENATE($A15,"_",AI$3),'Unit List'!$A$23:$H$3256,2,FALSE)),"X",$AG15)</f>
        <v/>
      </c>
      <c r="AJ15" s="53" t="str">
        <f>IF(ISTEXT(VLOOKUP(CONCATENATE($A15,"_",AJ$3),'Unit List'!$A$23:$H$3256,2,FALSE)),"X",$AG15)</f>
        <v/>
      </c>
      <c r="AK15" s="172" t="str">
        <f>IF(ISTEXT(VLOOKUP(CONCATENATE($A15,"_",AK$3),'Unit List'!$A$23:$H$3256,2,FALSE)),"+","")</f>
        <v/>
      </c>
      <c r="AL15" s="52" t="str">
        <f>IF(ISTEXT(VLOOKUP(CONCATENATE($A15,"_",AL$3),'Unit List'!$A$23:$H$3256,2,FALSE)),"X",$AK15)</f>
        <v/>
      </c>
      <c r="AM15" s="53" t="str">
        <f>IF(ISTEXT(VLOOKUP(CONCATENATE($A15,"_",AM$3),'Unit List'!$A$23:$H$3256,2,FALSE)),"X",$AK15)</f>
        <v/>
      </c>
      <c r="AN15" s="125" t="str">
        <f>IF(ISTEXT(VLOOKUP(CONCATENATE($A15,"_",AN$3),'Unit List'!$A$23:$H$3256,2,FALSE)),"+","")</f>
        <v/>
      </c>
      <c r="AO15" s="53" t="str">
        <f>IF(ISTEXT(VLOOKUP(CONCATENATE($A15,"_",AO$3),'Unit List'!$A$23:$H$3256,2,FALSE)),"X",$AN15)</f>
        <v/>
      </c>
      <c r="AP15" s="172" t="str">
        <f>IF(ISTEXT(VLOOKUP(CONCATENATE($A15,"_",AP$3),'Unit List'!$A$23:$H$3256,2,FALSE)),"+","")</f>
        <v/>
      </c>
      <c r="AQ15" s="51" t="str">
        <f>IF(ISTEXT(VLOOKUP(CONCATENATE($A15,"_",AQ$3),'Unit List'!$A$23:$H$3256,2,FALSE)),"X",$AP15)</f>
        <v/>
      </c>
      <c r="AR15" s="51" t="str">
        <f>IF(ISTEXT(VLOOKUP(CONCATENATE($A15,"_",AR$3),'Unit List'!$A$23:$H$3256,2,FALSE)),"X",$AP15)</f>
        <v/>
      </c>
      <c r="AS15" s="51" t="str">
        <f>IF(ISTEXT(VLOOKUP(CONCATENATE($A15,"_",AS$3),'Unit List'!$A$23:$H$3256,2,FALSE)),"X",$AP15)</f>
        <v/>
      </c>
      <c r="AT15" s="53" t="str">
        <f>IF(ISTEXT(VLOOKUP(CONCATENATE($A15,"_",AT$3),'Unit List'!$A$23:$H$3256,2,FALSE)),"X",$AP15)</f>
        <v/>
      </c>
      <c r="AU15" s="124" t="str">
        <f>IF(ISTEXT(VLOOKUP(CONCATENATE($A15,"_",AU$3),'Unit List'!$A$23:$H$3256,2,FALSE)),"+","")</f>
        <v/>
      </c>
      <c r="AV15" s="51" t="str">
        <f>IF(ISTEXT(VLOOKUP(CONCATENATE($A15,"_",AV$3),'Unit List'!$A$23:$H$3256,2,FALSE)),"X",$AU15)</f>
        <v/>
      </c>
      <c r="AW15" s="53" t="str">
        <f>IF(ISTEXT(VLOOKUP(CONCATENATE($A15,"_",AW$3),'Unit List'!$A$23:$H$3256,2,FALSE)),"X",$AU15)</f>
        <v/>
      </c>
      <c r="AX15" s="172" t="str">
        <f>IF(ISTEXT(VLOOKUP(CONCATENATE($A15,"_",AX$3),'Unit List'!$A$23:$H$3256,2,FALSE)),"+","")</f>
        <v/>
      </c>
      <c r="AY15" s="51" t="str">
        <f>IF(ISTEXT(VLOOKUP(CONCATENATE($A15,"_",AY$3),'Unit List'!$A$23:$H$3256,2,FALSE)),"X",$AX15)</f>
        <v/>
      </c>
      <c r="AZ15" s="53" t="str">
        <f>IF(ISTEXT(VLOOKUP(CONCATENATE($A15,"_",AZ$3),'Unit List'!$A$23:$H$3256,2,FALSE)),"X",$AX15)</f>
        <v/>
      </c>
      <c r="BA15" s="182" t="str">
        <f>IF(ISTEXT(VLOOKUP(CONCATENATE($A15,"_",BA$3),'Unit List'!$A$23:$H$3256,2,FALSE)),"+","")</f>
        <v/>
      </c>
      <c r="BB15" s="51" t="str">
        <f>IF(ISTEXT(VLOOKUP(CONCATENATE($A15,"_",BB$3),'Unit List'!$A$23:$H$3256,2,FALSE)),"X",$BA15)</f>
        <v/>
      </c>
      <c r="BC15" s="51" t="str">
        <f>IF(ISTEXT(VLOOKUP(CONCATENATE($A15,"_",BC$3),'Unit List'!$A$23:$H$3256,2,FALSE)),"X",$BA15)</f>
        <v/>
      </c>
      <c r="BD15" s="53" t="str">
        <f>IF(ISTEXT(VLOOKUP(CONCATENATE($A15,"_",BD$3),'Unit List'!$A$23:$H$3256,2,FALSE)),"X",$BA15)</f>
        <v/>
      </c>
      <c r="BE15" s="125" t="str">
        <f>IF(ISTEXT(VLOOKUP(CONCATENATE($A15,"_",BE$3),'Unit List'!$A$23:$H$3256,2,FALSE)),"+","")</f>
        <v/>
      </c>
      <c r="BF15" s="62" t="str">
        <f>IF(ISTEXT(VLOOKUP(CONCATENATE($A15,"_",BF$3),'Unit List'!$A$23:$H$3256,2,FALSE)),"X",$BE15)</f>
        <v/>
      </c>
      <c r="BG15" s="64"/>
      <c r="BH15" s="65" t="s">
        <v>0</v>
      </c>
      <c r="BI15" s="225"/>
      <c r="BJ15" s="226"/>
      <c r="BK15" s="226"/>
      <c r="BL15" s="226"/>
      <c r="BM15" s="227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List'!$A$23:$H$3256,2,FALSE)),"+","")</f>
        <v/>
      </c>
      <c r="C16" s="57" t="str">
        <f>IF(ISTEXT(VLOOKUP(CONCATENATE($A16,"_",C$3),'Unit List'!$A$23:$H$3256,2,FALSE)),"X",$B16)</f>
        <v/>
      </c>
      <c r="D16" s="89" t="s">
        <v>0</v>
      </c>
      <c r="E16" s="51" t="str">
        <f>IF(ISTEXT(VLOOKUP(CONCATENATE($A16,"_",E$3),'Unit List'!$A$23:$H$3256,2,FALSE)),"X",$B16)</f>
        <v/>
      </c>
      <c r="F16" s="51" t="str">
        <f>IF(ISTEXT(VLOOKUP(CONCATENATE($A16,"_",F$3),'Unit List'!$A$23:$H$3256,2,FALSE)),"X",$B16)</f>
        <v/>
      </c>
      <c r="G16" s="67" t="str">
        <f>IF(ISTEXT(VLOOKUP(CONCATENATE($A16,"_",G$3),'Unit List'!$A$23:$H$3256,2,FALSE)),"X",$B16)</f>
        <v>X</v>
      </c>
      <c r="H16" s="67" t="str">
        <f>IF(ISTEXT(VLOOKUP(CONCATENATE($A16,"_",H$3),'Unit List'!$A$23:$H$3256,2,FALSE)),"X",$B16)</f>
        <v>X</v>
      </c>
      <c r="I16" s="53" t="str">
        <f>IF(ISTEXT(VLOOKUP(CONCATENATE($A16,"_",I$3),'Unit List'!$A$23:$H$3256,2,FALSE)),"X",$B16)</f>
        <v/>
      </c>
      <c r="J16" s="172" t="str">
        <f>IF(ISTEXT(VLOOKUP(CONCATENATE($A16,"_",J$3),'Unit List'!$A$23:$H$3256,2,FALSE)),"+","")</f>
        <v/>
      </c>
      <c r="K16" s="51" t="str">
        <f>IF(ISTEXT(VLOOKUP(CONCATENATE($A16,"_",K$3),'Unit List'!$A$23:$H$3256,2,FALSE)),"X",$J16)</f>
        <v/>
      </c>
      <c r="L16" s="62" t="str">
        <f>IF(ISTEXT(VLOOKUP(CONCATENATE($A16,"_",L$3),'Unit List'!$A$23:$H$3256,2,FALSE)),"X",$J16)</f>
        <v/>
      </c>
      <c r="M16" s="172" t="str">
        <f>IF(ISTEXT(VLOOKUP(CONCATENATE($A16,"_",M$3),'Unit List'!$A$23:$H$3256,2,FALSE)),"+","")</f>
        <v/>
      </c>
      <c r="N16" s="51" t="str">
        <f>IF(ISTEXT(VLOOKUP(CONCATENATE($A16,"_",N$3),'Unit List'!$A$23:$H$3256,2,FALSE)),"X",$M16)</f>
        <v/>
      </c>
      <c r="O16" s="74" t="s">
        <v>0</v>
      </c>
      <c r="P16" s="172" t="str">
        <f>IF(ISTEXT(VLOOKUP(CONCATENATE($A16,"_",P$3),'Unit List'!$A$23:$H$3256,2,FALSE)),"+","")</f>
        <v/>
      </c>
      <c r="Q16" s="51" t="str">
        <f>IF(ISTEXT(VLOOKUP(CONCATENATE($A16,"_",Q$3),'Unit List'!$A$23:$H$3256,2,FALSE)),"X",$P16)</f>
        <v/>
      </c>
      <c r="R16" s="51" t="str">
        <f>IF(ISTEXT(VLOOKUP(CONCATENATE($A16,"_",R$3),'Unit List'!$A$23:$H$3256,2,FALSE)),"X",$P16)</f>
        <v/>
      </c>
      <c r="S16" s="51" t="str">
        <f>IF(ISTEXT(VLOOKUP(CONCATENATE($A16,"_",S$3),'Unit List'!$A$23:$H$3256,2,FALSE)),"X",$P16)</f>
        <v/>
      </c>
      <c r="T16" s="52" t="str">
        <f>IF(ISTEXT(VLOOKUP(CONCATENATE($A16,"_",T$3),'Unit List'!$A$23:$H$3256,2,FALSE)),"X",$P16)</f>
        <v/>
      </c>
      <c r="U16" s="51" t="str">
        <f>IF(ISTEXT(VLOOKUP(CONCATENATE($A16,"_",U$3),'Unit List'!$A$23:$H$3256,2,FALSE)),"X",$P16)</f>
        <v/>
      </c>
      <c r="V16" s="51" t="str">
        <f>IF(ISTEXT(VLOOKUP(CONCATENATE($A16,"_",V$3),'Unit List'!$A$23:$H$3256,2,FALSE)),"X",$P16)</f>
        <v/>
      </c>
      <c r="W16" s="53" t="str">
        <f>IF(ISTEXT(VLOOKUP(CONCATENATE($A16,"_",W$3),'Unit List'!$A$23:$H$3256,2,FALSE)),"X",$P16)</f>
        <v/>
      </c>
      <c r="X16" s="172" t="str">
        <f>IF(ISTEXT(VLOOKUP(CONCATENATE($A16,"_",X$3),'Unit List'!$A$23:$H$3256,2,FALSE)),"+","")</f>
        <v>+</v>
      </c>
      <c r="Y16" s="51" t="str">
        <f>IF(ISTEXT(VLOOKUP(CONCATENATE($A16,"_",Y$3),'Unit List'!$A$23:$H$3256,2,FALSE)),"X",$X16)</f>
        <v>+</v>
      </c>
      <c r="Z16" s="51" t="str">
        <f>IF(ISTEXT(VLOOKUP(CONCATENATE($A16,"_",Z$3),'Unit List'!$A$23:$H$3256,2,FALSE)),"X",$X16)</f>
        <v>+</v>
      </c>
      <c r="AA16" s="51" t="str">
        <f>IF(ISTEXT(VLOOKUP(CONCATENATE($A16,"_",AA$3),'Unit List'!$A$23:$H$3256,2,FALSE)),"X",$X16)</f>
        <v>+</v>
      </c>
      <c r="AB16" s="51" t="str">
        <f>IF(ISTEXT(VLOOKUP(CONCATENATE($A16,"_",AB$3),'Unit List'!$A$23:$H$3256,2,FALSE)),"X",$X16)</f>
        <v>+</v>
      </c>
      <c r="AC16" s="62" t="str">
        <f>IF(ISTEXT(VLOOKUP(CONCATENATE($A16,"_",AC$3),'Unit List'!$A$23:$H$3256,2,FALSE)),"X",$X16)</f>
        <v>+</v>
      </c>
      <c r="AD16" s="172" t="str">
        <f>IF(ISTEXT(VLOOKUP(CONCATENATE($A16,"_",AD$3),'Unit List'!$A$23:$H$3256,2,FALSE)),"+","")</f>
        <v>+</v>
      </c>
      <c r="AE16" s="51" t="str">
        <f>IF(ISTEXT(VLOOKUP(CONCATENATE($A16,"_",AE$3),'Unit List'!$A$23:$H$3256,2,FALSE)),"X",$AD16)</f>
        <v>+</v>
      </c>
      <c r="AF16" s="90" t="s">
        <v>0</v>
      </c>
      <c r="AG16" s="172" t="str">
        <f>IF(ISTEXT(VLOOKUP(CONCATENATE($A16,"_",AG$3),'Unit List'!$A$23:$H$3256,2,FALSE)),"+","")</f>
        <v/>
      </c>
      <c r="AH16" s="51" t="str">
        <f>IF(ISTEXT(VLOOKUP(CONCATENATE($A16,"_",AH$3),'Unit List'!$A$23:$H$3256,2,FALSE)),"X",$AG16)</f>
        <v/>
      </c>
      <c r="AI16" s="51" t="str">
        <f>IF(ISTEXT(VLOOKUP(CONCATENATE($A16,"_",AI$3),'Unit List'!$A$23:$H$3256,2,FALSE)),"X",$AG16)</f>
        <v/>
      </c>
      <c r="AJ16" s="53" t="str">
        <f>IF(ISTEXT(VLOOKUP(CONCATENATE($A16,"_",AJ$3),'Unit List'!$A$23:$H$3256,2,FALSE)),"X",$AG16)</f>
        <v/>
      </c>
      <c r="AK16" s="172" t="str">
        <f>IF(ISTEXT(VLOOKUP(CONCATENATE($A16,"_",AK$3),'Unit List'!$A$23:$H$3256,2,FALSE)),"+","")</f>
        <v/>
      </c>
      <c r="AL16" s="52" t="str">
        <f>IF(ISTEXT(VLOOKUP(CONCATENATE($A16,"_",AL$3),'Unit List'!$A$23:$H$3256,2,FALSE)),"X",$AK16)</f>
        <v>X</v>
      </c>
      <c r="AM16" s="53" t="str">
        <f>IF(ISTEXT(VLOOKUP(CONCATENATE($A16,"_",AM$3),'Unit List'!$A$23:$H$3256,2,FALSE)),"X",$AK16)</f>
        <v/>
      </c>
      <c r="AN16" s="125" t="str">
        <f>IF(ISTEXT(VLOOKUP(CONCATENATE($A16,"_",AN$3),'Unit List'!$A$23:$H$3256,2,FALSE)),"+","")</f>
        <v/>
      </c>
      <c r="AO16" s="53" t="str">
        <f>IF(ISTEXT(VLOOKUP(CONCATENATE($A16,"_",AO$3),'Unit List'!$A$23:$H$3256,2,FALSE)),"X",$AN16)</f>
        <v/>
      </c>
      <c r="AP16" s="172" t="str">
        <f>IF(ISTEXT(VLOOKUP(CONCATENATE($A16,"_",AP$3),'Unit List'!$A$23:$H$3256,2,FALSE)),"+","")</f>
        <v/>
      </c>
      <c r="AQ16" s="51" t="str">
        <f>IF(ISTEXT(VLOOKUP(CONCATENATE($A16,"_",AQ$3),'Unit List'!$A$23:$H$3256,2,FALSE)),"X",$AP16)</f>
        <v/>
      </c>
      <c r="AR16" s="51" t="str">
        <f>IF(ISTEXT(VLOOKUP(CONCATENATE($A16,"_",AR$3),'Unit List'!$A$23:$H$3256,2,FALSE)),"X",$AP16)</f>
        <v/>
      </c>
      <c r="AS16" s="51" t="str">
        <f>IF(ISTEXT(VLOOKUP(CONCATENATE($A16,"_",AS$3),'Unit List'!$A$23:$H$3256,2,FALSE)),"X",$AP16)</f>
        <v/>
      </c>
      <c r="AT16" s="53" t="str">
        <f>IF(ISTEXT(VLOOKUP(CONCATENATE($A16,"_",AT$3),'Unit List'!$A$23:$H$3256,2,FALSE)),"X",$AP16)</f>
        <v/>
      </c>
      <c r="AU16" s="124" t="str">
        <f>IF(ISTEXT(VLOOKUP(CONCATENATE($A16,"_",AU$3),'Unit List'!$A$23:$H$3256,2,FALSE)),"+","")</f>
        <v/>
      </c>
      <c r="AV16" s="51" t="str">
        <f>IF(ISTEXT(VLOOKUP(CONCATENATE($A16,"_",AV$3),'Unit List'!$A$23:$H$3256,2,FALSE)),"X",$AU16)</f>
        <v/>
      </c>
      <c r="AW16" s="53" t="str">
        <f>IF(ISTEXT(VLOOKUP(CONCATENATE($A16,"_",AW$3),'Unit List'!$A$23:$H$3256,2,FALSE)),"X",$AU16)</f>
        <v/>
      </c>
      <c r="AX16" s="172" t="str">
        <f>IF(ISTEXT(VLOOKUP(CONCATENATE($A16,"_",AX$3),'Unit List'!$A$23:$H$3256,2,FALSE)),"+","")</f>
        <v/>
      </c>
      <c r="AY16" s="51" t="str">
        <f>IF(ISTEXT(VLOOKUP(CONCATENATE($A16,"_",AY$3),'Unit List'!$A$23:$H$3256,2,FALSE)),"X",$AX16)</f>
        <v/>
      </c>
      <c r="AZ16" s="91" t="s">
        <v>0</v>
      </c>
      <c r="BA16" s="182" t="str">
        <f>IF(ISTEXT(VLOOKUP(CONCATENATE($A16,"_",BA$3),'Unit List'!$A$23:$H$3256,2,FALSE)),"+","")</f>
        <v/>
      </c>
      <c r="BB16" s="51" t="str">
        <f>IF(ISTEXT(VLOOKUP(CONCATENATE($A16,"_",BB$3),'Unit List'!$A$23:$H$3256,2,FALSE)),"X",$BA16)</f>
        <v/>
      </c>
      <c r="BC16" s="51" t="str">
        <f>IF(ISTEXT(VLOOKUP(CONCATENATE($A16,"_",BC$3),'Unit List'!$A$23:$H$3256,2,FALSE)),"X",$BA16)</f>
        <v/>
      </c>
      <c r="BD16" s="53" t="str">
        <f>IF(ISTEXT(VLOOKUP(CONCATENATE($A16,"_",BD$3),'Unit List'!$A$23:$H$3256,2,FALSE)),"X",$BA16)</f>
        <v/>
      </c>
      <c r="BE16" s="125" t="str">
        <f>IF(ISTEXT(VLOOKUP(CONCATENATE($A16,"_",BE$3),'Unit List'!$A$23:$H$3256,2,FALSE)),"+","")</f>
        <v/>
      </c>
      <c r="BF16" s="62" t="str">
        <f>IF(ISTEXT(VLOOKUP(CONCATENATE($A16,"_",BF$3),'Unit List'!$A$23:$H$3256,2,FALSE)),"X",$BE16)</f>
        <v/>
      </c>
      <c r="BG16" s="64"/>
      <c r="BH16" s="65" t="s">
        <v>0</v>
      </c>
      <c r="BI16" s="225"/>
      <c r="BJ16" s="226"/>
      <c r="BK16" s="226"/>
      <c r="BL16" s="226"/>
      <c r="BM16" s="227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List'!$A$23:$H$3256,2,FALSE)),"+","")</f>
        <v/>
      </c>
      <c r="C17" s="57" t="str">
        <f>IF(ISTEXT(VLOOKUP(CONCATENATE($A17,"_",C$3),'Unit List'!$A$23:$H$3256,2,FALSE)),"X",$B17)</f>
        <v/>
      </c>
      <c r="D17" s="51" t="str">
        <f>IF(ISTEXT(VLOOKUP(CONCATENATE($A17,"_",D$3),'Unit List'!$A$23:$H$3256,2,FALSE)),"X",$B17)</f>
        <v/>
      </c>
      <c r="E17" s="51" t="str">
        <f>IF(ISTEXT(VLOOKUP(CONCATENATE($A17,"_",E$3),'Unit List'!$A$23:$H$3256,2,FALSE)),"X",$B17)</f>
        <v/>
      </c>
      <c r="F17" s="51" t="str">
        <f>IF(ISTEXT(VLOOKUP(CONCATENATE($A17,"_",F$3),'Unit List'!$A$23:$H$3256,2,FALSE)),"X",$B17)</f>
        <v/>
      </c>
      <c r="G17" s="51" t="str">
        <f>IF(ISTEXT(VLOOKUP(CONCATENATE($A17,"_",G$3),'Unit List'!$A$23:$H$3256,2,FALSE)),"X",$B17)</f>
        <v/>
      </c>
      <c r="H17" s="51" t="str">
        <f>IF(ISTEXT(VLOOKUP(CONCATENATE($A17,"_",H$3),'Unit List'!$A$23:$H$3256,2,FALSE)),"X",$B17)</f>
        <v/>
      </c>
      <c r="I17" s="53" t="str">
        <f>IF(ISTEXT(VLOOKUP(CONCATENATE($A17,"_",I$3),'Unit List'!$A$23:$H$3256,2,FALSE)),"X",$B17)</f>
        <v/>
      </c>
      <c r="J17" s="172" t="str">
        <f>IF(ISTEXT(VLOOKUP(CONCATENATE($A17,"_",J$3),'Unit List'!$A$23:$H$3256,2,FALSE)),"+","")</f>
        <v/>
      </c>
      <c r="K17" s="51" t="str">
        <f>IF(ISTEXT(VLOOKUP(CONCATENATE($A17,"_",K$3),'Unit List'!$A$23:$H$3256,2,FALSE)),"X",$J17)</f>
        <v/>
      </c>
      <c r="L17" s="62" t="str">
        <f>IF(ISTEXT(VLOOKUP(CONCATENATE($A17,"_",L$3),'Unit List'!$A$23:$H$3256,2,FALSE)),"X",$J17)</f>
        <v/>
      </c>
      <c r="M17" s="172" t="str">
        <f>IF(ISTEXT(VLOOKUP(CONCATENATE($A17,"_",M$3),'Unit List'!$A$23:$H$3256,2,FALSE)),"+","")</f>
        <v/>
      </c>
      <c r="N17" s="51" t="str">
        <f>IF(ISTEXT(VLOOKUP(CONCATENATE($A17,"_",N$3),'Unit List'!$A$23:$H$3256,2,FALSE)),"X",$M17)</f>
        <v/>
      </c>
      <c r="O17" s="53" t="str">
        <f>IF(ISTEXT(VLOOKUP(CONCATENATE($A17,"_",O$3),'Unit List'!$A$23:$H$3256,2,FALSE)),"X",$M17)</f>
        <v/>
      </c>
      <c r="P17" s="172" t="str">
        <f>IF(ISTEXT(VLOOKUP(CONCATENATE($A17,"_",P$3),'Unit List'!$A$23:$H$3256,2,FALSE)),"+","")</f>
        <v>+</v>
      </c>
      <c r="Q17" s="51" t="str">
        <f>IF(ISTEXT(VLOOKUP(CONCATENATE($A17,"_",Q$3),'Unit List'!$A$23:$H$3256,2,FALSE)),"X",$P17)</f>
        <v>+</v>
      </c>
      <c r="R17" s="51" t="str">
        <f>IF(ISTEXT(VLOOKUP(CONCATENATE($A17,"_",R$3),'Unit List'!$A$23:$H$3256,2,FALSE)),"X",$P17)</f>
        <v>+</v>
      </c>
      <c r="S17" s="51" t="str">
        <f>IF(ISTEXT(VLOOKUP(CONCATENATE($A17,"_",S$3),'Unit List'!$A$23:$H$3256,2,FALSE)),"X",$P17)</f>
        <v>+</v>
      </c>
      <c r="T17" s="52" t="str">
        <f>IF(ISTEXT(VLOOKUP(CONCATENATE($A17,"_",T$3),'Unit List'!$A$23:$H$3256,2,FALSE)),"X",$P17)</f>
        <v>+</v>
      </c>
      <c r="U17" s="51" t="str">
        <f>IF(ISTEXT(VLOOKUP(CONCATENATE($A17,"_",U$3),'Unit List'!$A$23:$H$3256,2,FALSE)),"X",$P17)</f>
        <v>+</v>
      </c>
      <c r="V17" s="51" t="str">
        <f>IF(ISTEXT(VLOOKUP(CONCATENATE($A17,"_",V$3),'Unit List'!$A$23:$H$3256,2,FALSE)),"X",$P17)</f>
        <v>+</v>
      </c>
      <c r="W17" s="53" t="str">
        <f>IF(ISTEXT(VLOOKUP(CONCATENATE($A17,"_",W$3),'Unit List'!$A$23:$H$3256,2,FALSE)),"X",$P17)</f>
        <v>+</v>
      </c>
      <c r="X17" s="172" t="str">
        <f>IF(ISTEXT(VLOOKUP(CONCATENATE($A17,"_",X$3),'Unit List'!$A$23:$H$3256,2,FALSE)),"+","")</f>
        <v/>
      </c>
      <c r="Y17" s="51" t="str">
        <f>IF(ISTEXT(VLOOKUP(CONCATENATE($A17,"_",Y$3),'Unit List'!$A$23:$H$3256,2,FALSE)),"X",$X17)</f>
        <v/>
      </c>
      <c r="Z17" s="51" t="str">
        <f>IF(ISTEXT(VLOOKUP(CONCATENATE($A17,"_",Z$3),'Unit List'!$A$23:$H$3256,2,FALSE)),"X",$X17)</f>
        <v/>
      </c>
      <c r="AA17" s="51" t="str">
        <f>IF(ISTEXT(VLOOKUP(CONCATENATE($A17,"_",AA$3),'Unit List'!$A$23:$H$3256,2,FALSE)),"X",$X17)</f>
        <v/>
      </c>
      <c r="AB17" s="89" t="s">
        <v>0</v>
      </c>
      <c r="AC17" s="62" t="str">
        <f>IF(ISTEXT(VLOOKUP(CONCATENATE($A17,"_",AC$3),'Unit List'!$A$23:$H$3256,2,FALSE)),"X",$X17)</f>
        <v/>
      </c>
      <c r="AD17" s="172" t="str">
        <f>IF(ISTEXT(VLOOKUP(CONCATENATE($A17,"_",AD$3),'Unit List'!$A$23:$H$3256,2,FALSE)),"+","")</f>
        <v>+</v>
      </c>
      <c r="AE17" s="51" t="str">
        <f>IF(ISTEXT(VLOOKUP(CONCATENATE($A17,"_",AE$3),'Unit List'!$A$23:$H$3256,2,FALSE)),"X",$AD17)</f>
        <v>+</v>
      </c>
      <c r="AF17" s="51" t="str">
        <f>IF(ISTEXT(VLOOKUP(CONCATENATE($A17,"_",AF$3),'Unit List'!$A$23:$H$3256,2,FALSE)),"X",$AD17)</f>
        <v>+</v>
      </c>
      <c r="AG17" s="172" t="str">
        <f>IF(ISTEXT(VLOOKUP(CONCATENATE($A17,"_",AG$3),'Unit List'!$A$23:$H$3256,2,FALSE)),"+","")</f>
        <v>+</v>
      </c>
      <c r="AH17" s="51" t="str">
        <f>IF(ISTEXT(VLOOKUP(CONCATENATE($A17,"_",AH$3),'Unit List'!$A$23:$H$3256,2,FALSE)),"X",$AG17)</f>
        <v>+</v>
      </c>
      <c r="AI17" s="51" t="str">
        <f>IF(ISTEXT(VLOOKUP(CONCATENATE($A17,"_",AI$3),'Unit List'!$A$23:$H$3256,2,FALSE)),"X",$AG17)</f>
        <v>+</v>
      </c>
      <c r="AJ17" s="53" t="str">
        <f>IF(ISTEXT(VLOOKUP(CONCATENATE($A17,"_",AJ$3),'Unit List'!$A$23:$H$3256,2,FALSE)),"X",$AG17)</f>
        <v>+</v>
      </c>
      <c r="AK17" s="172" t="str">
        <f>IF(ISTEXT(VLOOKUP(CONCATENATE($A17,"_",AK$3),'Unit List'!$A$23:$H$3256,2,FALSE)),"+","")</f>
        <v/>
      </c>
      <c r="AL17" s="92" t="s">
        <v>0</v>
      </c>
      <c r="AM17" s="53" t="str">
        <f>IF(ISTEXT(VLOOKUP(CONCATENATE($A17,"_",AM$3),'Unit List'!$A$23:$H$3256,2,FALSE)),"X",$AK17)</f>
        <v/>
      </c>
      <c r="AN17" s="125" t="str">
        <f>IF(ISTEXT(VLOOKUP(CONCATENATE($A17,"_",AN$3),'Unit List'!$A$23:$H$3256,2,FALSE)),"+","")</f>
        <v/>
      </c>
      <c r="AO17" s="74" t="s">
        <v>0</v>
      </c>
      <c r="AP17" s="172" t="str">
        <f>IF(ISTEXT(VLOOKUP(CONCATENATE($A17,"_",AP$3),'Unit List'!$A$23:$H$3256,2,FALSE)),"+","")</f>
        <v>+</v>
      </c>
      <c r="AQ17" s="51" t="str">
        <f>IF(ISTEXT(VLOOKUP(CONCATENATE($A17,"_",AQ$3),'Unit List'!$A$23:$H$3256,2,FALSE)),"X",$AP17)</f>
        <v>+</v>
      </c>
      <c r="AR17" s="51" t="str">
        <f>IF(ISTEXT(VLOOKUP(CONCATENATE($A17,"_",AR$3),'Unit List'!$A$23:$H$3256,2,FALSE)),"X",$AP17)</f>
        <v>+</v>
      </c>
      <c r="AS17" s="51" t="str">
        <f>IF(ISTEXT(VLOOKUP(CONCATENATE($A17,"_",AS$3),'Unit List'!$A$23:$H$3256,2,FALSE)),"X",$AP17)</f>
        <v>+</v>
      </c>
      <c r="AT17" s="53" t="str">
        <f>IF(ISTEXT(VLOOKUP(CONCATENATE($A17,"_",AT$3),'Unit List'!$A$23:$H$3256,2,FALSE)),"X",$AP17)</f>
        <v>+</v>
      </c>
      <c r="AU17" s="124" t="str">
        <f>IF(ISTEXT(VLOOKUP(CONCATENATE($A17,"_",AU$3),'Unit List'!$A$23:$H$3256,2,FALSE)),"+","")</f>
        <v/>
      </c>
      <c r="AV17" s="51" t="str">
        <f>IF(ISTEXT(VLOOKUP(CONCATENATE($A17,"_",AV$3),'Unit List'!$A$23:$H$3256,2,FALSE)),"X",$AU17)</f>
        <v/>
      </c>
      <c r="AW17" s="53" t="str">
        <f>IF(ISTEXT(VLOOKUP(CONCATENATE($A17,"_",AW$3),'Unit List'!$A$23:$H$3256,2,FALSE)),"X",$AU17)</f>
        <v/>
      </c>
      <c r="AX17" s="171" t="str">
        <f>IF(ISTEXT(VLOOKUP(CONCATENATE($A17,"_",AX$3),'Unit List'!$A$23:$H$3256,2,FALSE)),"+","")</f>
        <v>+</v>
      </c>
      <c r="AY17" s="67" t="str">
        <f>IF(ISTEXT(VLOOKUP(CONCATENATE($A17,"_",AY$3),'Unit List'!$A$23:$H$3256,2,FALSE)),"X",$AX17)</f>
        <v>+</v>
      </c>
      <c r="AZ17" s="70" t="str">
        <f>IF(ISTEXT(VLOOKUP(CONCATENATE($A17,"_",AZ$3),'Unit List'!$A$23:$H$3256,2,FALSE)),"X",$AX17)</f>
        <v>+</v>
      </c>
      <c r="BA17" s="182" t="str">
        <f>IF(ISTEXT(VLOOKUP(CONCATENATE($A17,"_",BA$3),'Unit List'!$A$23:$H$3256,2,FALSE)),"+","")</f>
        <v/>
      </c>
      <c r="BB17" s="51" t="str">
        <f>IF(ISTEXT(VLOOKUP(CONCATENATE($A17,"_",BB$3),'Unit List'!$A$23:$H$3256,2,FALSE)),"X",$BA17)</f>
        <v/>
      </c>
      <c r="BC17" s="51" t="str">
        <f>IF(ISTEXT(VLOOKUP(CONCATENATE($A17,"_",BC$3),'Unit List'!$A$23:$H$3256,2,FALSE)),"X",$BA17)</f>
        <v/>
      </c>
      <c r="BD17" s="53" t="str">
        <f>IF(ISTEXT(VLOOKUP(CONCATENATE($A17,"_",BD$3),'Unit List'!$A$23:$H$3256,2,FALSE)),"X",$BA17)</f>
        <v/>
      </c>
      <c r="BE17" s="125" t="str">
        <f>IF(ISTEXT(VLOOKUP(CONCATENATE($A17,"_",BE$3),'Unit List'!$A$23:$H$3256,2,FALSE)),"+","")</f>
        <v/>
      </c>
      <c r="BF17" s="62" t="str">
        <f>IF(ISTEXT(VLOOKUP(CONCATENATE($A17,"_",BF$3),'Unit List'!$A$23:$H$3256,2,FALSE)),"X",$BE17)</f>
        <v/>
      </c>
      <c r="BG17" s="75"/>
      <c r="BH17" s="76" t="s">
        <v>0</v>
      </c>
      <c r="BI17" s="225" t="s">
        <v>1301</v>
      </c>
      <c r="BJ17" s="226"/>
      <c r="BK17" s="226"/>
      <c r="BL17" s="226"/>
      <c r="BM17" s="227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List'!$A$23:$H$3256,2,FALSE)),"+","")</f>
        <v/>
      </c>
      <c r="C18" s="93" t="str">
        <f>IF(ISTEXT(VLOOKUP(CONCATENATE($A18,"_",C$3),'Unit List'!$A$23:$H$3256,2,FALSE)),"X",$B18)</f>
        <v/>
      </c>
      <c r="D18" s="60" t="str">
        <f>IF(ISTEXT(VLOOKUP(CONCATENATE($A18,"_",D$3),'Unit List'!$A$23:$H$3256,2,FALSE)),"X",$B18)</f>
        <v/>
      </c>
      <c r="E18" s="51" t="str">
        <f>IF(ISTEXT(VLOOKUP(CONCATENATE($A18,"_",E$3),'Unit List'!$A$23:$H$3256,2,FALSE)),"X",$B18)</f>
        <v/>
      </c>
      <c r="F18" s="67" t="str">
        <f>IF(ISTEXT(VLOOKUP(CONCATENATE($A18,"_",F$3),'Unit List'!$A$23:$H$3256,2,FALSE)),"X",$B18)</f>
        <v>X</v>
      </c>
      <c r="G18" s="67" t="str">
        <f>IF(ISTEXT(VLOOKUP(CONCATENATE($A18,"_",G$3),'Unit List'!$A$23:$H$3256,2,FALSE)),"X",$B18)</f>
        <v>X</v>
      </c>
      <c r="H18" s="67" t="str">
        <f>IF(ISTEXT(VLOOKUP(CONCATENATE($A18,"_",H$3),'Unit List'!$A$23:$H$3256,2,FALSE)),"X",$B18)</f>
        <v>X</v>
      </c>
      <c r="I18" s="53" t="str">
        <f>IF(ISTEXT(VLOOKUP(CONCATENATE($A18,"_",I$3),'Unit List'!$A$23:$H$3256,2,FALSE)),"X",$B18)</f>
        <v>X</v>
      </c>
      <c r="J18" s="172" t="str">
        <f>IF(ISTEXT(VLOOKUP(CONCATENATE($A18,"_",J$3),'Unit List'!$A$23:$H$3256,2,FALSE)),"+","")</f>
        <v>+</v>
      </c>
      <c r="K18" s="94" t="str">
        <f>IF(ISTEXT(VLOOKUP(CONCATENATE($A18,"_",K$3),'Unit List'!$A$23:$H$3256,2,FALSE)),"X",$J18)</f>
        <v>+</v>
      </c>
      <c r="L18" s="68" t="str">
        <f>IF(ISTEXT(VLOOKUP(CONCATENATE($A18,"_",L$3),'Unit List'!$A$23:$H$3256,2,FALSE)),"X",$J18)</f>
        <v>+</v>
      </c>
      <c r="M18" s="172" t="str">
        <f>IF(ISTEXT(VLOOKUP(CONCATENATE($A18,"_",M$3),'Unit List'!$A$23:$H$3256,2,FALSE)),"+","")</f>
        <v>+</v>
      </c>
      <c r="N18" s="51" t="str">
        <f>IF(ISTEXT(VLOOKUP(CONCATENATE($A18,"_",N$3),'Unit List'!$A$23:$H$3256,2,FALSE)),"X",$M18)</f>
        <v>+</v>
      </c>
      <c r="O18" s="70" t="str">
        <f>IF(ISTEXT(VLOOKUP(CONCATENATE($A18,"_",O$3),'Unit List'!$A$23:$H$3256,2,FALSE)),"X",$M18)</f>
        <v>X</v>
      </c>
      <c r="P18" s="172" t="str">
        <f>IF(ISTEXT(VLOOKUP(CONCATENATE($A18,"_",P$3),'Unit List'!$A$23:$H$3256,2,FALSE)),"+","")</f>
        <v>+</v>
      </c>
      <c r="Q18" s="51" t="str">
        <f>IF(ISTEXT(VLOOKUP(CONCATENATE($A18,"_",Q$3),'Unit List'!$A$23:$H$3256,2,FALSE)),"X",$P18)</f>
        <v>+</v>
      </c>
      <c r="R18" s="51" t="str">
        <f>IF(ISTEXT(VLOOKUP(CONCATENATE($A18,"_",R$3),'Unit List'!$A$23:$H$3256,2,FALSE)),"X",$P18)</f>
        <v>+</v>
      </c>
      <c r="S18" s="67" t="str">
        <f>IF(ISTEXT(VLOOKUP(CONCATENATE($A18,"_",S$3),'Unit List'!$A$23:$H$3256,2,FALSE)),"X",$P18)</f>
        <v>X</v>
      </c>
      <c r="T18" s="52" t="str">
        <f>IF(ISTEXT(VLOOKUP(CONCATENATE($A18,"_",T$3),'Unit List'!$A$23:$H$3256,2,FALSE)),"X",$P18)</f>
        <v>+</v>
      </c>
      <c r="U18" s="67" t="str">
        <f>IF(ISTEXT(VLOOKUP(CONCATENATE($A18,"_",U$3),'Unit List'!$A$23:$H$3256,2,FALSE)),"X",$P18)</f>
        <v>X</v>
      </c>
      <c r="V18" s="67" t="str">
        <f>IF(ISTEXT(VLOOKUP(CONCATENATE($A18,"_",V$3),'Unit List'!$A$23:$H$3256,2,FALSE)),"X",$P18)</f>
        <v>X</v>
      </c>
      <c r="W18" s="53" t="str">
        <f>IF(ISTEXT(VLOOKUP(CONCATENATE($A18,"_",W$3),'Unit List'!$A$23:$H$3256,2,FALSE)),"X",$P18)</f>
        <v>+</v>
      </c>
      <c r="X18" s="171" t="str">
        <f>IF(ISTEXT(VLOOKUP(CONCATENATE($A18,"_",X$3),'Unit List'!$A$23:$H$3256,2,FALSE)),"+","")</f>
        <v>+</v>
      </c>
      <c r="Y18" s="67" t="str">
        <f>IF(ISTEXT(VLOOKUP(CONCATENATE($A18,"_",Y$3),'Unit List'!$A$23:$H$3256,2,FALSE)),"X",$X18)</f>
        <v>+</v>
      </c>
      <c r="Z18" s="51" t="str">
        <f>IF(ISTEXT(VLOOKUP(CONCATENATE($A18,"_",Z$3),'Unit List'!$A$23:$H$3256,2,FALSE)),"X",$X18)</f>
        <v>+</v>
      </c>
      <c r="AA18" s="67" t="str">
        <f>IF(ISTEXT(VLOOKUP(CONCATENATE($A18,"_",AA$3),'Unit List'!$A$23:$H$3256,2,FALSE)),"X",$X18)</f>
        <v>X</v>
      </c>
      <c r="AB18" s="67" t="str">
        <f>IF(ISTEXT(VLOOKUP(CONCATENATE($A18,"_",AB$3),'Unit List'!$A$23:$H$3256,2,FALSE)),"X",$X18)</f>
        <v>X</v>
      </c>
      <c r="AC18" s="86" t="str">
        <f>IF(ISTEXT(VLOOKUP(CONCATENATE($A18,"_",AC$3),'Unit List'!$A$23:$H$3256,2,FALSE)),"X",$X18)</f>
        <v>X</v>
      </c>
      <c r="AD18" s="171" t="str">
        <f>IF(ISTEXT(VLOOKUP(CONCATENATE($A18,"_",AD$3),'Unit List'!$A$23:$H$3256,2,FALSE)),"+","")</f>
        <v/>
      </c>
      <c r="AE18" s="51" t="str">
        <f>IF(ISTEXT(VLOOKUP(CONCATENATE($A18,"_",AE$3),'Unit List'!$A$23:$H$3256,2,FALSE)),"X",$AD18)</f>
        <v>X</v>
      </c>
      <c r="AF18" s="51" t="str">
        <f>IF(ISTEXT(VLOOKUP(CONCATENATE($A18,"_",AF$3),'Unit List'!$A$23:$H$3256,2,FALSE)),"X",$AD18)</f>
        <v/>
      </c>
      <c r="AG18" s="171" t="str">
        <f>IF(ISTEXT(VLOOKUP(CONCATENATE($A18,"_",AG$3),'Unit List'!$A$23:$H$3256,2,FALSE)),"+","")</f>
        <v>+</v>
      </c>
      <c r="AH18" s="67" t="str">
        <f>IF(ISTEXT(VLOOKUP(CONCATENATE($A18,"_",AH$3),'Unit List'!$A$23:$H$3256,2,FALSE)),"X",$AG18)</f>
        <v>+</v>
      </c>
      <c r="AI18" s="51" t="str">
        <f>IF(ISTEXT(VLOOKUP(CONCATENATE($A18,"_",AI$3),'Unit List'!$A$23:$H$3256,2,FALSE)),"X",$AG18)</f>
        <v>X</v>
      </c>
      <c r="AJ18" s="53" t="str">
        <f>IF(ISTEXT(VLOOKUP(CONCATENATE($A18,"_",AJ$3),'Unit List'!$A$23:$H$3256,2,FALSE)),"X",$AG18)</f>
        <v>+</v>
      </c>
      <c r="AK18" s="171" t="str">
        <f>IF(ISTEXT(VLOOKUP(CONCATENATE($A18,"_",AK$3),'Unit List'!$A$23:$H$3256,2,FALSE)),"+","")</f>
        <v>+</v>
      </c>
      <c r="AL18" s="52" t="str">
        <f>IF(ISTEXT(VLOOKUP(CONCATENATE($A18,"_",AL$3),'Unit List'!$A$23:$H$3256,2,FALSE)),"X",$AK18)</f>
        <v>+</v>
      </c>
      <c r="AM18" s="70" t="str">
        <f>IF(ISTEXT(VLOOKUP(CONCATENATE($A18,"_",AM$3),'Unit List'!$A$23:$H$3256,2,FALSE)),"X",$AK18)</f>
        <v>+</v>
      </c>
      <c r="AN18" s="125" t="str">
        <f>IF(ISTEXT(VLOOKUP(CONCATENATE($A18,"_",AN$3),'Unit List'!$A$23:$H$3256,2,FALSE)),"+","")</f>
        <v>+</v>
      </c>
      <c r="AO18" s="70" t="str">
        <f>IF(ISTEXT(VLOOKUP(CONCATENATE($A18,"_",AO$3),'Unit List'!$A$23:$H$3256,2,FALSE)),"X",$AN18)</f>
        <v>X</v>
      </c>
      <c r="AP18" s="171" t="str">
        <f>IF(ISTEXT(VLOOKUP(CONCATENATE($A18,"_",AP$3),'Unit List'!$A$23:$H$3256,2,FALSE)),"+","")</f>
        <v>+</v>
      </c>
      <c r="AQ18" s="67" t="str">
        <f>IF(ISTEXT(VLOOKUP(CONCATENATE($A18,"_",AQ$3),'Unit List'!$A$23:$H$3256,2,FALSE)),"X",$AP18)</f>
        <v>X</v>
      </c>
      <c r="AR18" s="67" t="str">
        <f>IF(ISTEXT(VLOOKUP(CONCATENATE($A18,"_",AR$3),'Unit List'!$A$23:$H$3256,2,FALSE)),"X",$AP18)</f>
        <v>X</v>
      </c>
      <c r="AS18" s="67" t="str">
        <f>IF(ISTEXT(VLOOKUP(CONCATENATE($A18,"_",AS$3),'Unit List'!$A$23:$H$3256,2,FALSE)),"X",$AP18)</f>
        <v>X</v>
      </c>
      <c r="AT18" s="70" t="str">
        <f>IF(ISTEXT(VLOOKUP(CONCATENATE($A18,"_",AT$3),'Unit List'!$A$23:$H$3256,2,FALSE)),"X",$AP18)</f>
        <v>X</v>
      </c>
      <c r="AU18" s="124" t="str">
        <f>IF(ISTEXT(VLOOKUP(CONCATENATE($A18,"_",AU$3),'Unit List'!$A$23:$H$3256,2,FALSE)),"+","")</f>
        <v>+</v>
      </c>
      <c r="AV18" s="51" t="str">
        <f>IF(ISTEXT(VLOOKUP(CONCATENATE($A18,"_",AV$3),'Unit List'!$A$23:$H$3256,2,FALSE)),"X",$AU18)</f>
        <v>+</v>
      </c>
      <c r="AW18" s="53" t="str">
        <f>IF(ISTEXT(VLOOKUP(CONCATENATE($A18,"_",AW$3),'Unit List'!$A$23:$H$3256,2,FALSE)),"X",$AU18)</f>
        <v>+</v>
      </c>
      <c r="AX18" s="171" t="str">
        <f>IF(ISTEXT(VLOOKUP(CONCATENATE($A18,"_",AX$3),'Unit List'!$A$23:$H$3256,2,FALSE)),"+","")</f>
        <v>+</v>
      </c>
      <c r="AY18" s="67" t="str">
        <f>IF(ISTEXT(VLOOKUP(CONCATENATE($A18,"_",AY$3),'Unit List'!$A$23:$H$3256,2,FALSE)),"X",$AX18)</f>
        <v>+</v>
      </c>
      <c r="AZ18" s="70" t="str">
        <f>IF(ISTEXT(VLOOKUP(CONCATENATE($A18,"_",AZ$3),'Unit List'!$A$23:$H$3256,2,FALSE)),"X",$AX18)</f>
        <v>+</v>
      </c>
      <c r="BA18" s="171" t="str">
        <f>IF(ISTEXT(VLOOKUP(CONCATENATE($A18,"_",BA$3),'Unit List'!$A$23:$H$3256,2,FALSE)),"+","")</f>
        <v>+</v>
      </c>
      <c r="BB18" s="67" t="str">
        <f>IF(ISTEXT(VLOOKUP(CONCATENATE($A18,"_",BB$3),'Unit List'!$A$23:$H$3256,2,FALSE)),"X",$BA18)</f>
        <v>X</v>
      </c>
      <c r="BC18" s="67" t="str">
        <f>IF(ISTEXT(VLOOKUP(CONCATENATE($A18,"_",BC$3),'Unit List'!$A$23:$H$3256,2,FALSE)),"X",$BA18)</f>
        <v>X</v>
      </c>
      <c r="BD18" s="70" t="str">
        <f>IF(ISTEXT(VLOOKUP(CONCATENATE($A18,"_",BD$3),'Unit List'!$A$23:$H$3256,2,FALSE)),"X",$BA18)</f>
        <v>X</v>
      </c>
      <c r="BE18" s="125" t="str">
        <f>IF(ISTEXT(VLOOKUP(CONCATENATE($A18,"_",BE$3),'Unit List'!$A$23:$H$3256,2,FALSE)),"+","")</f>
        <v>+</v>
      </c>
      <c r="BF18" s="62" t="str">
        <f>IF(ISTEXT(VLOOKUP(CONCATENATE($A18,"_",BF$3),'Unit List'!$A$23:$H$3256,2,FALSE)),"X",$BE18)</f>
        <v>+</v>
      </c>
      <c r="BG18" s="75"/>
      <c r="BH18" s="84"/>
      <c r="BI18" s="225" t="s">
        <v>12</v>
      </c>
      <c r="BJ18" s="228"/>
      <c r="BK18" s="228"/>
      <c r="BL18" s="228"/>
      <c r="BM18" s="229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List'!$A$23:$H$3256,2,FALSE)),"+","")</f>
        <v/>
      </c>
      <c r="C19" s="82" t="str">
        <f>IF(ISTEXT(VLOOKUP(CONCATENATE($A19,"_",C$3),'Unit List'!$A$23:$H$3256,2,FALSE)),"X",$B19)</f>
        <v>X</v>
      </c>
      <c r="D19" s="60" t="str">
        <f>IF(ISTEXT(VLOOKUP(CONCATENATE($A19,"_",D$3),'Unit List'!$A$23:$H$3256,2,FALSE)),"X",$B19)</f>
        <v/>
      </c>
      <c r="E19" s="51" t="str">
        <f>IF(ISTEXT(VLOOKUP(CONCATENATE($A19,"_",E$3),'Unit List'!$A$23:$H$3256,2,FALSE)),"X",$B19)</f>
        <v/>
      </c>
      <c r="F19" s="72" t="s">
        <v>0</v>
      </c>
      <c r="G19" s="67" t="str">
        <f>IF(ISTEXT(VLOOKUP(CONCATENATE($A19,"_",G$3),'Unit List'!$A$23:$H$3256,2,FALSE)),"X",$B19)</f>
        <v>X</v>
      </c>
      <c r="H19" s="67" t="str">
        <f>IF(ISTEXT(VLOOKUP(CONCATENATE($A19,"_",H$3),'Unit List'!$A$23:$H$3256,2,FALSE)),"X",$B19)</f>
        <v>X</v>
      </c>
      <c r="I19" s="53" t="str">
        <f>IF(ISTEXT(VLOOKUP(CONCATENATE($A19,"_",I$3),'Unit List'!$A$23:$H$3256,2,FALSE)),"X",$B19)</f>
        <v/>
      </c>
      <c r="J19" s="172" t="str">
        <f>IF(ISTEXT(VLOOKUP(CONCATENATE($A19,"_",J$3),'Unit List'!$A$23:$H$3256,2,FALSE)),"+","")</f>
        <v>+</v>
      </c>
      <c r="K19" s="94" t="str">
        <f>IF(ISTEXT(VLOOKUP(CONCATENATE($A19,"_",K$3),'Unit List'!$A$23:$H$3256,2,FALSE)),"X",$J19)</f>
        <v>+</v>
      </c>
      <c r="L19" s="68" t="str">
        <f>IF(ISTEXT(VLOOKUP(CONCATENATE($A19,"_",L$3),'Unit List'!$A$23:$H$3256,2,FALSE)),"X",$J19)</f>
        <v>+</v>
      </c>
      <c r="M19" s="172" t="str">
        <f>IF(ISTEXT(VLOOKUP(CONCATENATE($A19,"_",M$3),'Unit List'!$A$23:$H$3256,2,FALSE)),"+","")</f>
        <v/>
      </c>
      <c r="N19" s="51" t="str">
        <f>IF(ISTEXT(VLOOKUP(CONCATENATE($A19,"_",N$3),'Unit List'!$A$23:$H$3256,2,FALSE)),"X",$M19)</f>
        <v/>
      </c>
      <c r="O19" s="70" t="str">
        <f>IF(ISTEXT(VLOOKUP(CONCATENATE($A19,"_",O$3),'Unit List'!$A$23:$H$3256,2,FALSE)),"X",$M19)</f>
        <v>X</v>
      </c>
      <c r="P19" s="172" t="str">
        <f>IF(ISTEXT(VLOOKUP(CONCATENATE($A19,"_",P$3),'Unit List'!$A$23:$H$3256,2,FALSE)),"+","")</f>
        <v>+</v>
      </c>
      <c r="Q19" s="69" t="str">
        <f>IF(ISTEXT(VLOOKUP(CONCATENATE($A19,"_",Q$3),'Unit List'!$A$23:$H$3256,2,FALSE)),"X",$P19)</f>
        <v>+</v>
      </c>
      <c r="R19" s="69" t="str">
        <f>IF(ISTEXT(VLOOKUP(CONCATENATE($A19,"_",R$3),'Unit List'!$A$23:$H$3256,2,FALSE)),"X",$P19)</f>
        <v>+</v>
      </c>
      <c r="S19" s="51" t="str">
        <f>IF(ISTEXT(VLOOKUP(CONCATENATE($A19,"_",S$3),'Unit List'!$A$23:$H$3256,2,FALSE)),"X",$P19)</f>
        <v>X</v>
      </c>
      <c r="T19" s="183" t="str">
        <f>IF(ISTEXT(VLOOKUP(CONCATENATE($A19,"_",T$3),'Unit List'!$A$23:$H$3256,2,FALSE)),"X",$P19)</f>
        <v>+</v>
      </c>
      <c r="U19" s="67" t="str">
        <f>IF(ISTEXT(VLOOKUP(CONCATENATE($A19,"_",U$3),'Unit List'!$A$23:$H$3256,2,FALSE)),"X",$P19)</f>
        <v>X</v>
      </c>
      <c r="V19" s="67" t="str">
        <f>IF(ISTEXT(VLOOKUP(CONCATENATE($A19,"_",V$3),'Unit List'!$A$23:$H$3256,2,FALSE)),"X",$P19)</f>
        <v>X</v>
      </c>
      <c r="W19" s="71" t="str">
        <f>IF(ISTEXT(VLOOKUP(CONCATENATE($A19,"_",W$3),'Unit List'!$A$23:$H$3256,2,FALSE)),"X",$P19)</f>
        <v>+</v>
      </c>
      <c r="X19" s="171" t="str">
        <f>IF(ISTEXT(VLOOKUP(CONCATENATE($A19,"_",X$3),'Unit List'!$A$23:$H$3256,2,FALSE)),"+","")</f>
        <v>+</v>
      </c>
      <c r="Y19" s="67" t="str">
        <f>IF(ISTEXT(VLOOKUP(CONCATENATE($A19,"_",Y$3),'Unit List'!$A$23:$H$3256,2,FALSE)),"X",$X19)</f>
        <v>X</v>
      </c>
      <c r="Z19" s="69" t="str">
        <f>IF(ISTEXT(VLOOKUP(CONCATENATE($A19,"_",Z$3),'Unit List'!$A$23:$H$3256,2,FALSE)),"X",$X19)</f>
        <v>+</v>
      </c>
      <c r="AA19" s="67" t="str">
        <f>IF(ISTEXT(VLOOKUP(CONCATENATE($A19,"_",AA$3),'Unit List'!$A$23:$H$3256,2,FALSE)),"X",$X19)</f>
        <v>X</v>
      </c>
      <c r="AB19" s="67" t="str">
        <f>IF(ISTEXT(VLOOKUP(CONCATENATE($A19,"_",AB$3),'Unit List'!$A$23:$H$3256,2,FALSE)),"X",$X19)</f>
        <v>X</v>
      </c>
      <c r="AC19" s="68" t="str">
        <f>IF(ISTEXT(VLOOKUP(CONCATENATE($A19,"_",AC$3),'Unit List'!$A$23:$H$3256,2,FALSE)),"X",$X19)</f>
        <v>X</v>
      </c>
      <c r="AD19" s="171" t="str">
        <f>IF(ISTEXT(VLOOKUP(CONCATENATE($A19,"_",AD$3),'Unit List'!$A$23:$H$3256,2,FALSE)),"+","")</f>
        <v>+</v>
      </c>
      <c r="AE19" s="51" t="str">
        <f>IF(ISTEXT(VLOOKUP(CONCATENATE($A19,"_",AE$3),'Unit List'!$A$23:$H$3256,2,FALSE)),"X",$AD19)</f>
        <v>+</v>
      </c>
      <c r="AF19" s="51" t="str">
        <f>IF(ISTEXT(VLOOKUP(CONCATENATE($A19,"_",AF$3),'Unit List'!$A$23:$H$3256,2,FALSE)),"X",$AD19)</f>
        <v>+</v>
      </c>
      <c r="AG19" s="171" t="str">
        <f>IF(ISTEXT(VLOOKUP(CONCATENATE($A19,"_",AG$3),'Unit List'!$A$23:$H$3256,2,FALSE)),"+","")</f>
        <v>+</v>
      </c>
      <c r="AH19" s="67" t="str">
        <f>IF(ISTEXT(VLOOKUP(CONCATENATE($A19,"_",AH$3),'Unit List'!$A$23:$H$3256,2,FALSE)),"X",$AG19)</f>
        <v>+</v>
      </c>
      <c r="AI19" s="69" t="str">
        <f>IF(ISTEXT(VLOOKUP(CONCATENATE($A19,"_",AI$3),'Unit List'!$A$23:$H$3256,2,FALSE)),"X",$AG19)</f>
        <v>X</v>
      </c>
      <c r="AJ19" s="71" t="str">
        <f>IF(ISTEXT(VLOOKUP(CONCATENATE($A19,"_",AJ$3),'Unit List'!$A$23:$H$3256,2,FALSE)),"X",$AG19)</f>
        <v>+</v>
      </c>
      <c r="AK19" s="171" t="str">
        <f>IF(ISTEXT(VLOOKUP(CONCATENATE($A19,"_",AK$3),'Unit List'!$A$23:$H$3256,2,FALSE)),"+","")</f>
        <v>+</v>
      </c>
      <c r="AL19" s="183" t="str">
        <f>IF(ISTEXT(VLOOKUP(CONCATENATE($A19,"_",AL$3),'Unit List'!$A$23:$H$3256,2,FALSE)),"X",$AK19)</f>
        <v>+</v>
      </c>
      <c r="AM19" s="73" t="str">
        <f>IF(ISTEXT(VLOOKUP(CONCATENATE($A19,"_",AM$3),'Unit List'!$A$23:$H$3256,2,FALSE)),"X",$AK19)</f>
        <v>+</v>
      </c>
      <c r="AN19" s="175" t="str">
        <f>IF(ISTEXT(VLOOKUP(CONCATENATE($A19,"_",AN$3),'Unit List'!$A$23:$H$3256,2,FALSE)),"+","")</f>
        <v>+</v>
      </c>
      <c r="AO19" s="70" t="str">
        <f>IF(ISTEXT(VLOOKUP(CONCATENATE($A19,"_",AO$3),'Unit List'!$A$23:$H$3256,2,FALSE)),"X",$AN19)</f>
        <v>+</v>
      </c>
      <c r="AP19" s="171" t="str">
        <f>IF(ISTEXT(VLOOKUP(CONCATENATE($A19,"_",AP$3),'Unit List'!$A$23:$H$3256,2,FALSE)),"+","")</f>
        <v>+</v>
      </c>
      <c r="AQ19" s="89" t="s">
        <v>0</v>
      </c>
      <c r="AR19" s="67" t="str">
        <f>IF(ISTEXT(VLOOKUP(CONCATENATE($A19,"_",AR$3),'Unit List'!$A$23:$H$3256,2,FALSE)),"X",$AP19)</f>
        <v>X</v>
      </c>
      <c r="AS19" s="67" t="str">
        <f>IF(ISTEXT(VLOOKUP(CONCATENATE($A19,"_",AS$3),'Unit List'!$A$23:$H$3256,2,FALSE)),"X",$AP19)</f>
        <v>+</v>
      </c>
      <c r="AT19" s="73" t="str">
        <f>IF(ISTEXT(VLOOKUP(CONCATENATE($A19,"_",AT$3),'Unit List'!$A$23:$H$3256,2,FALSE)),"X",$AP19)</f>
        <v>X</v>
      </c>
      <c r="AU19" s="177" t="str">
        <f>IF(ISTEXT(VLOOKUP(CONCATENATE($A19,"_",AU$3),'Unit List'!$A$23:$H$3256,2,FALSE)),"+","")</f>
        <v>+</v>
      </c>
      <c r="AV19" s="69" t="str">
        <f>IF(ISTEXT(VLOOKUP(CONCATENATE($A19,"_",AV$3),'Unit List'!$A$23:$H$3256,2,FALSE)),"X",$AU19)</f>
        <v>+</v>
      </c>
      <c r="AW19" s="71" t="str">
        <f>IF(ISTEXT(VLOOKUP(CONCATENATE($A19,"_",AW$3),'Unit List'!$A$23:$H$3256,2,FALSE)),"X",$AU19)</f>
        <v>+</v>
      </c>
      <c r="AX19" s="171" t="str">
        <f>IF(ISTEXT(VLOOKUP(CONCATENATE($A19,"_",AX$3),'Unit List'!$A$23:$H$3256,2,FALSE)),"+","")</f>
        <v>+</v>
      </c>
      <c r="AY19" s="67" t="str">
        <f>IF(ISTEXT(VLOOKUP(CONCATENATE($A19,"_",AY$3),'Unit List'!$A$23:$H$3256,2,FALSE)),"X",$AX19)</f>
        <v>X</v>
      </c>
      <c r="AZ19" s="70" t="str">
        <f>IF(ISTEXT(VLOOKUP(CONCATENATE($A19,"_",AZ$3),'Unit List'!$A$23:$H$3256,2,FALSE)),"X",$AX19)</f>
        <v>+</v>
      </c>
      <c r="BA19" s="171" t="str">
        <f>IF(ISTEXT(VLOOKUP(CONCATENATE($A19,"_",BA$3),'Unit List'!$A$23:$H$3256,2,FALSE)),"+","")</f>
        <v>+</v>
      </c>
      <c r="BB19" s="67" t="str">
        <f>IF(ISTEXT(VLOOKUP(CONCATENATE($A19,"_",BB$3),'Unit List'!$A$23:$H$3256,2,FALSE)),"X",$BA19)</f>
        <v>X</v>
      </c>
      <c r="BC19" s="94" t="str">
        <f>IF(ISTEXT(VLOOKUP(CONCATENATE($A19,"_",BC$3),'Unit List'!$A$23:$H$3256,2,FALSE)),"X",$BA19)</f>
        <v>X</v>
      </c>
      <c r="BD19" s="73" t="str">
        <f>IF(ISTEXT(VLOOKUP(CONCATENATE($A19,"_",BD$3),'Unit List'!$A$23:$H$3256,2,FALSE)),"X",$BA19)</f>
        <v>X</v>
      </c>
      <c r="BE19" s="175" t="str">
        <f>IF(ISTEXT(VLOOKUP(CONCATENATE($A19,"_",BE$3),'Unit List'!$A$23:$H$3256,2,FALSE)),"+","")</f>
        <v>+</v>
      </c>
      <c r="BF19" s="184" t="str">
        <f>IF(ISTEXT(VLOOKUP(CONCATENATE($A19,"_",BF$3),'Unit List'!$A$23:$H$3256,2,FALSE)),"X",$BE19)</f>
        <v>+</v>
      </c>
      <c r="BG19" s="95"/>
      <c r="BH19" s="96"/>
      <c r="BI19" s="225" t="s">
        <v>12</v>
      </c>
      <c r="BJ19" s="228"/>
      <c r="BK19" s="228"/>
      <c r="BL19" s="228"/>
      <c r="BM19" s="229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List'!$A$23:$H$3256,2,FALSE)),"+","")</f>
        <v/>
      </c>
      <c r="C20" s="82" t="str">
        <f>IF(ISTEXT(VLOOKUP(CONCATENATE($A20,"_",C$3),'Unit List'!$A$23:$H$3256,2,FALSE)),"X",$B20)</f>
        <v>X</v>
      </c>
      <c r="D20" s="51" t="str">
        <f>IF(ISTEXT(VLOOKUP(CONCATENATE($A20,"_",D$3),'Unit List'!$A$23:$H$3256,2,FALSE)),"X",$B20)</f>
        <v>X</v>
      </c>
      <c r="E20" s="51" t="str">
        <f>IF(ISTEXT(VLOOKUP(CONCATENATE($A20,"_",E$3),'Unit List'!$A$23:$H$3256,2,FALSE)),"X",$B20)</f>
        <v>X</v>
      </c>
      <c r="F20" s="67" t="str">
        <f>IF(ISTEXT(VLOOKUP(CONCATENATE($A20,"_",F$3),'Unit List'!$A$23:$H$3256,2,FALSE)),"X",$B20)</f>
        <v>X</v>
      </c>
      <c r="G20" s="67" t="str">
        <f>IF(ISTEXT(VLOOKUP(CONCATENATE($A20,"_",G$3),'Unit List'!$A$23:$H$3256,2,FALSE)),"X",$B20)</f>
        <v>X</v>
      </c>
      <c r="H20" s="67" t="str">
        <f>IF(ISTEXT(VLOOKUP(CONCATENATE($A20,"_",H$3),'Unit List'!$A$23:$H$3256,2,FALSE)),"X",$B20)</f>
        <v>X</v>
      </c>
      <c r="I20" s="70" t="str">
        <f>IF(ISTEXT(VLOOKUP(CONCATENATE($A20,"_",I$3),'Unit List'!$A$23:$H$3256,2,FALSE)),"X",$B20)</f>
        <v>X</v>
      </c>
      <c r="J20" s="172" t="str">
        <f>IF(ISTEXT(VLOOKUP(CONCATENATE($A20,"_",J$3),'Unit List'!$A$23:$H$3256,2,FALSE)),"+","")</f>
        <v/>
      </c>
      <c r="K20" s="51" t="str">
        <f>IF(ISTEXT(VLOOKUP(CONCATENATE($A20,"_",K$3),'Unit List'!$A$23:$H$3256,2,FALSE)),"X",$J20)</f>
        <v/>
      </c>
      <c r="L20" s="86" t="str">
        <f>IF(ISTEXT(VLOOKUP(CONCATENATE($A20,"_",L$3),'Unit List'!$A$23:$H$3256,2,FALSE)),"X",$J20)</f>
        <v>X</v>
      </c>
      <c r="M20" s="172" t="str">
        <f>IF(ISTEXT(VLOOKUP(CONCATENATE($A20,"_",M$3),'Unit List'!$A$23:$H$3256,2,FALSE)),"+","")</f>
        <v>+</v>
      </c>
      <c r="N20" s="67" t="str">
        <f>IF(ISTEXT(VLOOKUP(CONCATENATE($A20,"_",N$3),'Unit List'!$A$23:$H$3256,2,FALSE)),"X",$M20)</f>
        <v>X</v>
      </c>
      <c r="O20" s="70" t="str">
        <f>IF(ISTEXT(VLOOKUP(CONCATENATE($A20,"_",O$3),'Unit List'!$A$23:$H$3256,2,FALSE)),"X",$M20)</f>
        <v>X</v>
      </c>
      <c r="P20" s="172" t="str">
        <f>IF(ISTEXT(VLOOKUP(CONCATENATE($A20,"_",P$3),'Unit List'!$A$23:$H$3256,2,FALSE)),"+","")</f>
        <v/>
      </c>
      <c r="Q20" s="51" t="str">
        <f>IF(ISTEXT(VLOOKUP(CONCATENATE($A20,"_",Q$3),'Unit List'!$A$23:$H$3256,2,FALSE)),"X",$P20)</f>
        <v/>
      </c>
      <c r="R20" s="51" t="str">
        <f>IF(ISTEXT(VLOOKUP(CONCATENATE($A20,"_",R$3),'Unit List'!$A$23:$H$3256,2,FALSE)),"X",$P20)</f>
        <v/>
      </c>
      <c r="S20" s="67" t="str">
        <f>IF(ISTEXT(VLOOKUP(CONCATENATE($A20,"_",S$3),'Unit List'!$A$23:$H$3256,2,FALSE)),"X",$P20)</f>
        <v>X</v>
      </c>
      <c r="T20" s="52" t="str">
        <f>IF(ISTEXT(VLOOKUP(CONCATENATE($A20,"_",T$3),'Unit List'!$A$23:$H$3256,2,FALSE)),"X",$P20)</f>
        <v/>
      </c>
      <c r="U20" s="67" t="str">
        <f>IF(ISTEXT(VLOOKUP(CONCATENATE($A20,"_",U$3),'Unit List'!$A$23:$H$3256,2,FALSE)),"X",$P20)</f>
        <v>X</v>
      </c>
      <c r="V20" s="51" t="str">
        <f>IF(ISTEXT(VLOOKUP(CONCATENATE($A20,"_",V$3),'Unit List'!$A$23:$H$3256,2,FALSE)),"X",$P20)</f>
        <v/>
      </c>
      <c r="W20" s="53" t="str">
        <f>IF(ISTEXT(VLOOKUP(CONCATENATE($A20,"_",W$3),'Unit List'!$A$23:$H$3256,2,FALSE)),"X",$P20)</f>
        <v/>
      </c>
      <c r="X20" s="172" t="str">
        <f>IF(ISTEXT(VLOOKUP(CONCATENATE($A20,"_",X$3),'Unit List'!$A$23:$H$3256,2,FALSE)),"+","")</f>
        <v/>
      </c>
      <c r="Y20" s="51" t="str">
        <f>IF(ISTEXT(VLOOKUP(CONCATENATE($A20,"_",Y$3),'Unit List'!$A$23:$H$3256,2,FALSE)),"X",$X20)</f>
        <v/>
      </c>
      <c r="Z20" s="51" t="str">
        <f>IF(ISTEXT(VLOOKUP(CONCATENATE($A20,"_",Z$3),'Unit List'!$A$23:$H$3256,2,FALSE)),"X",$X20)</f>
        <v/>
      </c>
      <c r="AA20" s="51" t="str">
        <f>IF(ISTEXT(VLOOKUP(CONCATENATE($A20,"_",AA$3),'Unit List'!$A$23:$H$3256,2,FALSE)),"X",$X20)</f>
        <v/>
      </c>
      <c r="AB20" s="51" t="str">
        <f>IF(ISTEXT(VLOOKUP(CONCATENATE($A20,"_",AB$3),'Unit List'!$A$23:$H$3256,2,FALSE)),"X",$X20)</f>
        <v/>
      </c>
      <c r="AC20" s="62" t="str">
        <f>IF(ISTEXT(VLOOKUP(CONCATENATE($A20,"_",AC$3),'Unit List'!$A$23:$H$3256,2,FALSE)),"X",$X20)</f>
        <v/>
      </c>
      <c r="AD20" s="172" t="str">
        <f>IF(ISTEXT(VLOOKUP(CONCATENATE($A20,"_",AD$3),'Unit List'!$A$23:$H$3256,2,FALSE)),"+","")</f>
        <v>+</v>
      </c>
      <c r="AE20" s="51" t="str">
        <f>IF(ISTEXT(VLOOKUP(CONCATENATE($A20,"_",AE$3),'Unit List'!$A$23:$H$3256,2,FALSE)),"X",$AD20)</f>
        <v>+</v>
      </c>
      <c r="AF20" s="51" t="str">
        <f>IF(ISTEXT(VLOOKUP(CONCATENATE($A20,"_",AF$3),'Unit List'!$A$23:$H$3256,2,FALSE)),"X",$AD20)</f>
        <v>+</v>
      </c>
      <c r="AG20" s="172" t="str">
        <f>IF(ISTEXT(VLOOKUP(CONCATENATE($A20,"_",AG$3),'Unit List'!$A$23:$H$3256,2,FALSE)),"+","")</f>
        <v/>
      </c>
      <c r="AH20" s="51" t="str">
        <f>IF(ISTEXT(VLOOKUP(CONCATENATE($A20,"_",AH$3),'Unit List'!$A$23:$H$3256,2,FALSE)),"X",$AG20)</f>
        <v/>
      </c>
      <c r="AI20" s="51" t="str">
        <f>IF(ISTEXT(VLOOKUP(CONCATENATE($A20,"_",AI$3),'Unit List'!$A$23:$H$3256,2,FALSE)),"X",$AG20)</f>
        <v/>
      </c>
      <c r="AJ20" s="53" t="str">
        <f>IF(ISTEXT(VLOOKUP(CONCATENATE($A20,"_",AJ$3),'Unit List'!$A$23:$H$3256,2,FALSE)),"X",$AG20)</f>
        <v>X</v>
      </c>
      <c r="AK20" s="172" t="str">
        <f>IF(ISTEXT(VLOOKUP(CONCATENATE($A20,"_",AK$3),'Unit List'!$A$23:$H$3256,2,FALSE)),"+","")</f>
        <v/>
      </c>
      <c r="AL20" s="52" t="str">
        <f>IF(ISTEXT(VLOOKUP(CONCATENATE($A20,"_",AL$3),'Unit List'!$A$23:$H$3256,2,FALSE)),"X",$AK20)</f>
        <v/>
      </c>
      <c r="AM20" s="53" t="str">
        <f>IF(ISTEXT(VLOOKUP(CONCATENATE($A20,"_",AM$3),'Unit List'!$A$23:$H$3256,2,FALSE)),"X",$AK20)</f>
        <v/>
      </c>
      <c r="AN20" s="125" t="str">
        <f>IF(ISTEXT(VLOOKUP(CONCATENATE($A20,"_",AN$3),'Unit List'!$A$23:$H$3256,2,FALSE)),"+","")</f>
        <v>+</v>
      </c>
      <c r="AO20" s="53" t="str">
        <f>IF(ISTEXT(VLOOKUP(CONCATENATE($A20,"_",AO$3),'Unit List'!$A$23:$H$3256,2,FALSE)),"X",$AN20)</f>
        <v>+</v>
      </c>
      <c r="AP20" s="172" t="str">
        <f>IF(ISTEXT(VLOOKUP(CONCATENATE($A20,"_",AP$3),'Unit List'!$A$23:$H$3256,2,FALSE)),"+","")</f>
        <v>+</v>
      </c>
      <c r="AQ20" s="51" t="str">
        <f>IF(ISTEXT(VLOOKUP(CONCATENATE($A20,"_",AQ$3),'Unit List'!$A$23:$H$3256,2,FALSE)),"X",$AP20)</f>
        <v>+</v>
      </c>
      <c r="AR20" s="67" t="str">
        <f>IF(ISTEXT(VLOOKUP(CONCATENATE($A20,"_",AR$3),'Unit List'!$A$23:$H$3256,2,FALSE)),"X",$AP20)</f>
        <v>X</v>
      </c>
      <c r="AS20" s="51" t="str">
        <f>IF(ISTEXT(VLOOKUP(CONCATENATE($A20,"_",AS$3),'Unit List'!$A$23:$H$3256,2,FALSE)),"X",$AP20)</f>
        <v>X</v>
      </c>
      <c r="AT20" s="53" t="str">
        <f>IF(ISTEXT(VLOOKUP(CONCATENATE($A20,"_",AT$3),'Unit List'!$A$23:$H$3256,2,FALSE)),"X",$AP20)</f>
        <v>+</v>
      </c>
      <c r="AU20" s="124" t="str">
        <f>IF(ISTEXT(VLOOKUP(CONCATENATE($A20,"_",AU$3),'Unit List'!$A$23:$H$3256,2,FALSE)),"+","")</f>
        <v>+</v>
      </c>
      <c r="AV20" s="51" t="str">
        <f>IF(ISTEXT(VLOOKUP(CONCATENATE($A20,"_",AV$3),'Unit List'!$A$23:$H$3256,2,FALSE)),"X",$AU20)</f>
        <v>+</v>
      </c>
      <c r="AW20" s="53" t="str">
        <f>IF(ISTEXT(VLOOKUP(CONCATENATE($A20,"_",AW$3),'Unit List'!$A$23:$H$3256,2,FALSE)),"X",$AU20)</f>
        <v>+</v>
      </c>
      <c r="AX20" s="172" t="str">
        <f>IF(ISTEXT(VLOOKUP(CONCATENATE($A20,"_",AX$3),'Unit List'!$A$23:$H$3256,2,FALSE)),"+","")</f>
        <v>+</v>
      </c>
      <c r="AY20" s="51" t="str">
        <f>IF(ISTEXT(VLOOKUP(CONCATENATE($A20,"_",AY$3),'Unit List'!$A$23:$H$3256,2,FALSE)),"X",$AX20)</f>
        <v>+</v>
      </c>
      <c r="AZ20" s="53" t="str">
        <f>IF(ISTEXT(VLOOKUP(CONCATENATE($A20,"_",AZ$3),'Unit List'!$A$23:$H$3256,2,FALSE)),"X",$AX20)</f>
        <v>+</v>
      </c>
      <c r="BA20" s="182" t="str">
        <f>IF(ISTEXT(VLOOKUP(CONCATENATE($A20,"_",BA$3),'Unit List'!$A$23:$H$3256,2,FALSE)),"+","")</f>
        <v/>
      </c>
      <c r="BB20" s="51" t="str">
        <f>IF(ISTEXT(VLOOKUP(CONCATENATE($A20,"_",BB$3),'Unit List'!$A$23:$H$3256,2,FALSE)),"X",$BA20)</f>
        <v/>
      </c>
      <c r="BC20" s="51" t="str">
        <f>IF(ISTEXT(VLOOKUP(CONCATENATE($A20,"_",BC$3),'Unit List'!$A$23:$H$3256,2,FALSE)),"X",$BA20)</f>
        <v/>
      </c>
      <c r="BD20" s="53" t="str">
        <f>IF(ISTEXT(VLOOKUP(CONCATENATE($A20,"_",BD$3),'Unit List'!$A$23:$H$3256,2,FALSE)),"X",$BA20)</f>
        <v/>
      </c>
      <c r="BE20" s="125" t="str">
        <f>IF(ISTEXT(VLOOKUP(CONCATENATE($A20,"_",BE$3),'Unit List'!$A$23:$H$3256,2,FALSE)),"+","")</f>
        <v>+</v>
      </c>
      <c r="BF20" s="62" t="str">
        <f>IF(ISTEXT(VLOOKUP(CONCATENATE($A20,"_",BF$3),'Unit List'!$A$23:$H$3256,2,FALSE)),"X",$BE20)</f>
        <v>+</v>
      </c>
      <c r="BG20" s="75"/>
      <c r="BH20" s="84"/>
      <c r="BI20" s="225"/>
      <c r="BJ20" s="226"/>
      <c r="BK20" s="226"/>
      <c r="BL20" s="226"/>
      <c r="BM20" s="227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List'!$A$23:$H$3256,2,FALSE)),"+","")</f>
        <v/>
      </c>
      <c r="C21" s="82" t="str">
        <f>IF(ISTEXT(VLOOKUP(CONCATENATE($A21,"_",C$3),'Unit List'!$A$23:$H$3256,2,FALSE)),"X",$B21)</f>
        <v>X</v>
      </c>
      <c r="D21" s="67" t="str">
        <f>IF(ISTEXT(VLOOKUP(CONCATENATE($A21,"_",D$3),'Unit List'!$A$23:$H$3256,2,FALSE)),"X",$B21)</f>
        <v>X</v>
      </c>
      <c r="E21" s="51" t="str">
        <f>IF(ISTEXT(VLOOKUP(CONCATENATE($A21,"_",E$3),'Unit List'!$A$23:$H$3256,2,FALSE)),"X",$B21)</f>
        <v>X</v>
      </c>
      <c r="F21" s="67" t="str">
        <f>IF(ISTEXT(VLOOKUP(CONCATENATE($A21,"_",F$3),'Unit List'!$A$23:$H$3256,2,FALSE)),"X",$B21)</f>
        <v>X</v>
      </c>
      <c r="G21" s="67" t="str">
        <f>IF(ISTEXT(VLOOKUP(CONCATENATE($A21,"_",G$3),'Unit List'!$A$23:$H$3256,2,FALSE)),"X",$B21)</f>
        <v>X</v>
      </c>
      <c r="H21" s="67" t="str">
        <f>IF(ISTEXT(VLOOKUP(CONCATENATE($A21,"_",H$3),'Unit List'!$A$23:$H$3256,2,FALSE)),"X",$B21)</f>
        <v>X</v>
      </c>
      <c r="I21" s="70" t="str">
        <f>IF(ISTEXT(VLOOKUP(CONCATENATE($A21,"_",I$3),'Unit List'!$A$23:$H$3256,2,FALSE)),"X",$B21)</f>
        <v>X</v>
      </c>
      <c r="J21" s="172" t="str">
        <f>IF(ISTEXT(VLOOKUP(CONCATENATE($A21,"_",J$3),'Unit List'!$A$23:$H$3256,2,FALSE)),"+","")</f>
        <v/>
      </c>
      <c r="K21" s="51" t="str">
        <f>IF(ISTEXT(VLOOKUP(CONCATENATE($A21,"_",K$3),'Unit List'!$A$23:$H$3256,2,FALSE)),"X",$J21)</f>
        <v/>
      </c>
      <c r="L21" s="86" t="str">
        <f>IF(ISTEXT(VLOOKUP(CONCATENATE($A21,"_",L$3),'Unit List'!$A$23:$H$3256,2,FALSE)),"X",$J21)</f>
        <v>X</v>
      </c>
      <c r="M21" s="172" t="str">
        <f>IF(ISTEXT(VLOOKUP(CONCATENATE($A21,"_",M$3),'Unit List'!$A$23:$H$3256,2,FALSE)),"+","")</f>
        <v>+</v>
      </c>
      <c r="N21" s="67" t="str">
        <f>IF(ISTEXT(VLOOKUP(CONCATENATE($A21,"_",N$3),'Unit List'!$A$23:$H$3256,2,FALSE)),"X",$M21)</f>
        <v>X</v>
      </c>
      <c r="O21" s="70" t="str">
        <f>IF(ISTEXT(VLOOKUP(CONCATENATE($A21,"_",O$3),'Unit List'!$A$23:$H$3256,2,FALSE)),"X",$M21)</f>
        <v>X</v>
      </c>
      <c r="P21" s="172" t="str">
        <f>IF(ISTEXT(VLOOKUP(CONCATENATE($A21,"_",P$3),'Unit List'!$A$23:$H$3256,2,FALSE)),"+","")</f>
        <v/>
      </c>
      <c r="Q21" s="51" t="str">
        <f>IF(ISTEXT(VLOOKUP(CONCATENATE($A21,"_",Q$3),'Unit List'!$A$23:$H$3256,2,FALSE)),"X",$P21)</f>
        <v>X</v>
      </c>
      <c r="R21" s="51" t="str">
        <f>IF(ISTEXT(VLOOKUP(CONCATENATE($A21,"_",R$3),'Unit List'!$A$23:$H$3256,2,FALSE)),"X",$P21)</f>
        <v/>
      </c>
      <c r="S21" s="67" t="str">
        <f>IF(ISTEXT(VLOOKUP(CONCATENATE($A21,"_",S$3),'Unit List'!$A$23:$H$3256,2,FALSE)),"X",$P21)</f>
        <v>X</v>
      </c>
      <c r="T21" s="52" t="str">
        <f>IF(ISTEXT(VLOOKUP(CONCATENATE($A21,"_",T$3),'Unit List'!$A$23:$H$3256,2,FALSE)),"X",$P21)</f>
        <v/>
      </c>
      <c r="U21" s="67" t="str">
        <f>IF(ISTEXT(VLOOKUP(CONCATENATE($A21,"_",U$3),'Unit List'!$A$23:$H$3256,2,FALSE)),"X",$P21)</f>
        <v>X</v>
      </c>
      <c r="V21" s="67" t="str">
        <f>IF(ISTEXT(VLOOKUP(CONCATENATE($A21,"_",V$3),'Unit List'!$A$23:$H$3256,2,FALSE)),"X",$P21)</f>
        <v>X</v>
      </c>
      <c r="W21" s="53" t="str">
        <f>IF(ISTEXT(VLOOKUP(CONCATENATE($A21,"_",W$3),'Unit List'!$A$23:$H$3256,2,FALSE)),"X",$P21)</f>
        <v/>
      </c>
      <c r="X21" s="171" t="str">
        <f>IF(ISTEXT(VLOOKUP(CONCATENATE($A21,"_",X$3),'Unit List'!$A$23:$H$3256,2,FALSE)),"+","")</f>
        <v>+</v>
      </c>
      <c r="Y21" s="69" t="str">
        <f>IF(ISTEXT(VLOOKUP(CONCATENATE($A21,"_",Y$3),'Unit List'!$A$23:$H$3256,2,FALSE)),"X",$X21)</f>
        <v>+</v>
      </c>
      <c r="Z21" s="69" t="str">
        <f>IF(ISTEXT(VLOOKUP(CONCATENATE($A21,"_",Z$3),'Unit List'!$A$23:$H$3256,2,FALSE)),"X",$X21)</f>
        <v>+</v>
      </c>
      <c r="AA21" s="69" t="str">
        <f>IF(ISTEXT(VLOOKUP(CONCATENATE($A21,"_",AA$3),'Unit List'!$A$23:$H$3256,2,FALSE)),"X",$X21)</f>
        <v>+</v>
      </c>
      <c r="AB21" s="67" t="str">
        <f>IF(ISTEXT(VLOOKUP(CONCATENATE($A21,"_",AB$3),'Unit List'!$A$23:$H$3256,2,FALSE)),"X",$X21)</f>
        <v>X</v>
      </c>
      <c r="AC21" s="184" t="str">
        <f>IF(ISTEXT(VLOOKUP(CONCATENATE($A21,"_",AC$3),'Unit List'!$A$23:$H$3256,2,FALSE)),"X",$X21)</f>
        <v>+</v>
      </c>
      <c r="AD21" s="171" t="str">
        <f>IF(ISTEXT(VLOOKUP(CONCATENATE($A21,"_",AD$3),'Unit List'!$A$23:$H$3256,2,FALSE)),"+","")</f>
        <v>+</v>
      </c>
      <c r="AE21" s="51" t="str">
        <f>IF(ISTEXT(VLOOKUP(CONCATENATE($A21,"_",AE$3),'Unit List'!$A$23:$H$3256,2,FALSE)),"X",$AD21)</f>
        <v>+</v>
      </c>
      <c r="AF21" s="51" t="str">
        <f>IF(ISTEXT(VLOOKUP(CONCATENATE($A21,"_",AF$3),'Unit List'!$A$23:$H$3256,2,FALSE)),"X",$AD21)</f>
        <v>+</v>
      </c>
      <c r="AG21" s="171" t="str">
        <f>IF(ISTEXT(VLOOKUP(CONCATENATE($A21,"_",AG$3),'Unit List'!$A$23:$H$3256,2,FALSE)),"+","")</f>
        <v>+</v>
      </c>
      <c r="AH21" s="69" t="str">
        <f>IF(ISTEXT(VLOOKUP(CONCATENATE($A21,"_",AH$3),'Unit List'!$A$23:$H$3256,2,FALSE)),"X",$AG21)</f>
        <v>+</v>
      </c>
      <c r="AI21" s="69" t="str">
        <f>IF(ISTEXT(VLOOKUP(CONCATENATE($A21,"_",AI$3),'Unit List'!$A$23:$H$3256,2,FALSE)),"X",$AG21)</f>
        <v>+</v>
      </c>
      <c r="AJ21" s="53" t="str">
        <f>IF(ISTEXT(VLOOKUP(CONCATENATE($A21,"_",AJ$3),'Unit List'!$A$23:$H$3256,2,FALSE)),"X",$AG21)</f>
        <v>X</v>
      </c>
      <c r="AK21" s="171" t="str">
        <f>IF(ISTEXT(VLOOKUP(CONCATENATE($A21,"_",AK$3),'Unit List'!$A$23:$H$3256,2,FALSE)),"+","")</f>
        <v/>
      </c>
      <c r="AL21" s="87" t="str">
        <f>IF(ISTEXT(VLOOKUP(CONCATENATE($A21,"_",AL$3),'Unit List'!$A$23:$H$3256,2,FALSE)),"X",$AK21)</f>
        <v>X</v>
      </c>
      <c r="AM21" s="53" t="str">
        <f>IF(ISTEXT(VLOOKUP(CONCATENATE($A21,"_",AM$3),'Unit List'!$A$23:$H$3256,2,FALSE)),"X",$AK21)</f>
        <v>X</v>
      </c>
      <c r="AN21" s="175" t="str">
        <f>IF(ISTEXT(VLOOKUP(CONCATENATE($A21,"_",AN$3),'Unit List'!$A$23:$H$3256,2,FALSE)),"+","")</f>
        <v>+</v>
      </c>
      <c r="AO21" s="53" t="str">
        <f>IF(ISTEXT(VLOOKUP(CONCATENATE($A21,"_",AO$3),'Unit List'!$A$23:$H$3256,2,FALSE)),"X",$AN21)</f>
        <v>+</v>
      </c>
      <c r="AP21" s="172" t="str">
        <f>IF(ISTEXT(VLOOKUP(CONCATENATE($A21,"_",AP$3),'Unit List'!$A$23:$H$3256,2,FALSE)),"+","")</f>
        <v/>
      </c>
      <c r="AQ21" s="67" t="str">
        <f>IF(ISTEXT(VLOOKUP(CONCATENATE($A21,"_",AQ$3),'Unit List'!$A$23:$H$3256,2,FALSE)),"X",$AP21)</f>
        <v>X</v>
      </c>
      <c r="AR21" s="89" t="s">
        <v>0</v>
      </c>
      <c r="AS21" s="51" t="str">
        <f>IF(ISTEXT(VLOOKUP(CONCATENATE($A21,"_",AS$3),'Unit List'!$A$23:$H$3256,2,FALSE)),"X",$AP21)</f>
        <v/>
      </c>
      <c r="AT21" s="53" t="str">
        <f>IF(ISTEXT(VLOOKUP(CONCATENATE($A21,"_",AT$3),'Unit List'!$A$23:$H$3256,2,FALSE)),"X",$AP21)</f>
        <v/>
      </c>
      <c r="AU21" s="124" t="str">
        <f>IF(ISTEXT(VLOOKUP(CONCATENATE($A21,"_",AU$3),'Unit List'!$A$23:$H$3256,2,FALSE)),"+","")</f>
        <v>+</v>
      </c>
      <c r="AV21" s="51" t="str">
        <f>IF(ISTEXT(VLOOKUP(CONCATENATE($A21,"_",AV$3),'Unit List'!$A$23:$H$3256,2,FALSE)),"X",$AU21)</f>
        <v>+</v>
      </c>
      <c r="AW21" s="53" t="str">
        <f>IF(ISTEXT(VLOOKUP(CONCATENATE($A21,"_",AW$3),'Unit List'!$A$23:$H$3256,2,FALSE)),"X",$AU21)</f>
        <v>+</v>
      </c>
      <c r="AX21" s="171" t="str">
        <f>IF(ISTEXT(VLOOKUP(CONCATENATE($A21,"_",AX$3),'Unit List'!$A$23:$H$3256,2,FALSE)),"+","")</f>
        <v>+</v>
      </c>
      <c r="AY21" s="69" t="str">
        <f>IF(ISTEXT(VLOOKUP(CONCATENATE($A21,"_",AY$3),'Unit List'!$A$23:$H$3256,2,FALSE)),"X",$AX21)</f>
        <v>+</v>
      </c>
      <c r="AZ21" s="53" t="str">
        <f>IF(ISTEXT(VLOOKUP(CONCATENATE($A21,"_",AZ$3),'Unit List'!$A$23:$H$3256,2,FALSE)),"X",$AX21)</f>
        <v>+</v>
      </c>
      <c r="BA21" s="171" t="str">
        <f>IF(ISTEXT(VLOOKUP(CONCATENATE($A21,"_",BA$3),'Unit List'!$A$23:$H$3256,2,FALSE)),"+","")</f>
        <v>+</v>
      </c>
      <c r="BB21" s="69" t="str">
        <f>IF(ISTEXT(VLOOKUP(CONCATENATE($A21,"_",BB$3),'Unit List'!$A$23:$H$3256,2,FALSE)),"X",$BA21)</f>
        <v>+</v>
      </c>
      <c r="BC21" s="69" t="str">
        <f>IF(ISTEXT(VLOOKUP(CONCATENATE($A21,"_",BC$3),'Unit List'!$A$23:$H$3256,2,FALSE)),"X",$BA21)</f>
        <v>+</v>
      </c>
      <c r="BD21" s="71" t="str">
        <f>IF(ISTEXT(VLOOKUP(CONCATENATE($A21,"_",BD$3),'Unit List'!$A$23:$H$3256,2,FALSE)),"X",$BA21)</f>
        <v>+</v>
      </c>
      <c r="BE21" s="175" t="str">
        <f>IF(ISTEXT(VLOOKUP(CONCATENATE($A21,"_",BE$3),'Unit List'!$A$23:$H$3256,2,FALSE)),"+","")</f>
        <v>+</v>
      </c>
      <c r="BF21" s="62" t="str">
        <f>IF(ISTEXT(VLOOKUP(CONCATENATE($A21,"_",BF$3),'Unit List'!$A$23:$H$3256,2,FALSE)),"X",$BE21)</f>
        <v>+</v>
      </c>
      <c r="BG21" s="97"/>
      <c r="BH21" s="98" t="s">
        <v>0</v>
      </c>
      <c r="BI21" s="225"/>
      <c r="BJ21" s="226"/>
      <c r="BK21" s="226"/>
      <c r="BL21" s="226"/>
      <c r="BM21" s="227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List'!$A$23:$H$3256,2,FALSE)),"+","")</f>
        <v/>
      </c>
      <c r="C22" s="57" t="str">
        <f>IF(ISTEXT(VLOOKUP(CONCATENATE($A22,"_",C$3),'Unit List'!$A$23:$H$3256,2,FALSE)),"X",$B22)</f>
        <v/>
      </c>
      <c r="D22" s="51" t="str">
        <f>IF(ISTEXT(VLOOKUP(CONCATENATE($A22,"_",D$3),'Unit List'!$A$23:$H$3256,2,FALSE)),"X",$B22)</f>
        <v/>
      </c>
      <c r="E22" s="51" t="str">
        <f>IF(ISTEXT(VLOOKUP(CONCATENATE($A22,"_",E$3),'Unit List'!$A$23:$H$3256,2,FALSE)),"X",$B22)</f>
        <v/>
      </c>
      <c r="F22" s="89" t="s">
        <v>0</v>
      </c>
      <c r="G22" s="51" t="str">
        <f>IF(ISTEXT(VLOOKUP(CONCATENATE($A22,"_",G$3),'Unit List'!$A$23:$H$3256,2,FALSE)),"X",$B22)</f>
        <v/>
      </c>
      <c r="H22" s="51" t="str">
        <f>IF(ISTEXT(VLOOKUP(CONCATENATE($A22,"_",H$3),'Unit List'!$A$23:$H$3256,2,FALSE)),"X",$B22)</f>
        <v/>
      </c>
      <c r="I22" s="53" t="str">
        <f>IF(ISTEXT(VLOOKUP(CONCATENATE($A22,"_",I$3),'Unit List'!$A$23:$H$3256,2,FALSE)),"X",$B22)</f>
        <v/>
      </c>
      <c r="J22" s="172" t="str">
        <f>IF(ISTEXT(VLOOKUP(CONCATENATE($A22,"_",J$3),'Unit List'!$A$23:$H$3256,2,FALSE)),"+","")</f>
        <v/>
      </c>
      <c r="K22" s="51" t="str">
        <f>IF(ISTEXT(VLOOKUP(CONCATENATE($A22,"_",K$3),'Unit List'!$A$23:$H$3256,2,FALSE)),"X",$J22)</f>
        <v/>
      </c>
      <c r="L22" s="62" t="str">
        <f>IF(ISTEXT(VLOOKUP(CONCATENATE($A22,"_",L$3),'Unit List'!$A$23:$H$3256,2,FALSE)),"X",$J22)</f>
        <v/>
      </c>
      <c r="M22" s="172" t="str">
        <f>IF(ISTEXT(VLOOKUP(CONCATENATE($A22,"_",M$3),'Unit List'!$A$23:$H$3256,2,FALSE)),"+","")</f>
        <v/>
      </c>
      <c r="N22" s="51" t="str">
        <f>IF(ISTEXT(VLOOKUP(CONCATENATE($A22,"_",N$3),'Unit List'!$A$23:$H$3256,2,FALSE)),"X",$M22)</f>
        <v/>
      </c>
      <c r="O22" s="53" t="str">
        <f>IF(ISTEXT(VLOOKUP(CONCATENATE($A22,"_",O$3),'Unit List'!$A$23:$H$3256,2,FALSE)),"X",$M22)</f>
        <v/>
      </c>
      <c r="P22" s="172" t="str">
        <f>IF(ISTEXT(VLOOKUP(CONCATENATE($A22,"_",P$3),'Unit List'!$A$23:$H$3256,2,FALSE)),"+","")</f>
        <v/>
      </c>
      <c r="Q22" s="51" t="str">
        <f>IF(ISTEXT(VLOOKUP(CONCATENATE($A22,"_",Q$3),'Unit List'!$A$23:$H$3256,2,FALSE)),"X",$P22)</f>
        <v/>
      </c>
      <c r="R22" s="51" t="str">
        <f>IF(ISTEXT(VLOOKUP(CONCATENATE($A22,"_",R$3),'Unit List'!$A$23:$H$3256,2,FALSE)),"X",$P22)</f>
        <v/>
      </c>
      <c r="S22" s="51" t="str">
        <f>IF(ISTEXT(VLOOKUP(CONCATENATE($A22,"_",S$3),'Unit List'!$A$23:$H$3256,2,FALSE)),"X",$P22)</f>
        <v/>
      </c>
      <c r="T22" s="52" t="str">
        <f>IF(ISTEXT(VLOOKUP(CONCATENATE($A22,"_",T$3),'Unit List'!$A$23:$H$3256,2,FALSE)),"X",$P22)</f>
        <v/>
      </c>
      <c r="U22" s="51" t="str">
        <f>IF(ISTEXT(VLOOKUP(CONCATENATE($A22,"_",U$3),'Unit List'!$A$23:$H$3256,2,FALSE)),"X",$P22)</f>
        <v/>
      </c>
      <c r="V22" s="51" t="str">
        <f>IF(ISTEXT(VLOOKUP(CONCATENATE($A22,"_",V$3),'Unit List'!$A$23:$H$3256,2,FALSE)),"X",$P22)</f>
        <v/>
      </c>
      <c r="W22" s="53" t="str">
        <f>IF(ISTEXT(VLOOKUP(CONCATENATE($A22,"_",W$3),'Unit List'!$A$23:$H$3256,2,FALSE)),"X",$P22)</f>
        <v/>
      </c>
      <c r="X22" s="172" t="str">
        <f>IF(ISTEXT(VLOOKUP(CONCATENATE($A22,"_",X$3),'Unit List'!$A$23:$H$3256,2,FALSE)),"+","")</f>
        <v/>
      </c>
      <c r="Y22" s="51" t="str">
        <f>IF(ISTEXT(VLOOKUP(CONCATENATE($A22,"_",Y$3),'Unit List'!$A$23:$H$3256,2,FALSE)),"X",$X22)</f>
        <v/>
      </c>
      <c r="Z22" s="51" t="str">
        <f>IF(ISTEXT(VLOOKUP(CONCATENATE($A22,"_",Z$3),'Unit List'!$A$23:$H$3256,2,FALSE)),"X",$X22)</f>
        <v/>
      </c>
      <c r="AA22" s="51" t="str">
        <f>IF(ISTEXT(VLOOKUP(CONCATENATE($A22,"_",AA$3),'Unit List'!$A$23:$H$3256,2,FALSE)),"X",$X22)</f>
        <v/>
      </c>
      <c r="AB22" s="51" t="str">
        <f>IF(ISTEXT(VLOOKUP(CONCATENATE($A22,"_",AB$3),'Unit List'!$A$23:$H$3256,2,FALSE)),"X",$X22)</f>
        <v/>
      </c>
      <c r="AC22" s="62" t="str">
        <f>IF(ISTEXT(VLOOKUP(CONCATENATE($A22,"_",AC$3),'Unit List'!$A$23:$H$3256,2,FALSE)),"X",$X22)</f>
        <v/>
      </c>
      <c r="AD22" s="172" t="str">
        <f>IF(ISTEXT(VLOOKUP(CONCATENATE($A22,"_",AD$3),'Unit List'!$A$23:$H$3256,2,FALSE)),"+","")</f>
        <v/>
      </c>
      <c r="AE22" s="51" t="str">
        <f>IF(ISTEXT(VLOOKUP(CONCATENATE($A22,"_",AE$3),'Unit List'!$A$23:$H$3256,2,FALSE)),"X",$AD22)</f>
        <v/>
      </c>
      <c r="AF22" s="51" t="str">
        <f>IF(ISTEXT(VLOOKUP(CONCATENATE($A22,"_",AF$3),'Unit List'!$A$23:$H$3256,2,FALSE)),"X",$AD22)</f>
        <v/>
      </c>
      <c r="AG22" s="172" t="str">
        <f>IF(ISTEXT(VLOOKUP(CONCATENATE($A22,"_",AG$3),'Unit List'!$A$23:$H$3256,2,FALSE)),"+","")</f>
        <v/>
      </c>
      <c r="AH22" s="51" t="str">
        <f>IF(ISTEXT(VLOOKUP(CONCATENATE($A22,"_",AH$3),'Unit List'!$A$23:$H$3256,2,FALSE)),"X",$AG22)</f>
        <v/>
      </c>
      <c r="AI22" s="51" t="str">
        <f>IF(ISTEXT(VLOOKUP(CONCATENATE($A22,"_",AI$3),'Unit List'!$A$23:$H$3256,2,FALSE)),"X",$AG22)</f>
        <v/>
      </c>
      <c r="AJ22" s="53" t="str">
        <f>IF(ISTEXT(VLOOKUP(CONCATENATE($A22,"_",AJ$3),'Unit List'!$A$23:$H$3256,2,FALSE)),"X",$AG22)</f>
        <v/>
      </c>
      <c r="AK22" s="172" t="str">
        <f>IF(ISTEXT(VLOOKUP(CONCATENATE($A22,"_",AK$3),'Unit List'!$A$23:$H$3256,2,FALSE)),"+","")</f>
        <v/>
      </c>
      <c r="AL22" s="52" t="str">
        <f>IF(ISTEXT(VLOOKUP(CONCATENATE($A22,"_",AL$3),'Unit List'!$A$23:$H$3256,2,FALSE)),"X",$AK22)</f>
        <v/>
      </c>
      <c r="AM22" s="53" t="str">
        <f>IF(ISTEXT(VLOOKUP(CONCATENATE($A22,"_",AM$3),'Unit List'!$A$23:$H$3256,2,FALSE)),"X",$AK22)</f>
        <v/>
      </c>
      <c r="AN22" s="125" t="str">
        <f>IF(ISTEXT(VLOOKUP(CONCATENATE($A22,"_",AN$3),'Unit List'!$A$23:$H$3256,2,FALSE)),"+","")</f>
        <v/>
      </c>
      <c r="AO22" s="53" t="str">
        <f>IF(ISTEXT(VLOOKUP(CONCATENATE($A22,"_",AO$3),'Unit List'!$A$23:$H$3256,2,FALSE)),"X",$AN22)</f>
        <v/>
      </c>
      <c r="AP22" s="172" t="str">
        <f>IF(ISTEXT(VLOOKUP(CONCATENATE($A22,"_",AP$3),'Unit List'!$A$23:$H$3256,2,FALSE)),"+","")</f>
        <v/>
      </c>
      <c r="AQ22" s="51" t="str">
        <f>IF(ISTEXT(VLOOKUP(CONCATENATE($A22,"_",AQ$3),'Unit List'!$A$23:$H$3256,2,FALSE)),"X",$AP22)</f>
        <v/>
      </c>
      <c r="AR22" s="51" t="str">
        <f>IF(ISTEXT(VLOOKUP(CONCATENATE($A22,"_",AR$3),'Unit List'!$A$23:$H$3256,2,FALSE)),"X",$AP22)</f>
        <v/>
      </c>
      <c r="AS22" s="51" t="str">
        <f>IF(ISTEXT(VLOOKUP(CONCATENATE($A22,"_",AS$3),'Unit List'!$A$23:$H$3256,2,FALSE)),"X",$AP22)</f>
        <v/>
      </c>
      <c r="AT22" s="53" t="str">
        <f>IF(ISTEXT(VLOOKUP(CONCATENATE($A22,"_",AT$3),'Unit List'!$A$23:$H$3256,2,FALSE)),"X",$AP22)</f>
        <v/>
      </c>
      <c r="AU22" s="124" t="str">
        <f>IF(ISTEXT(VLOOKUP(CONCATENATE($A22,"_",AU$3),'Unit List'!$A$23:$H$3256,2,FALSE)),"+","")</f>
        <v/>
      </c>
      <c r="AV22" s="51" t="str">
        <f>IF(ISTEXT(VLOOKUP(CONCATENATE($A22,"_",AV$3),'Unit List'!$A$23:$H$3256,2,FALSE)),"X",$AU22)</f>
        <v/>
      </c>
      <c r="AW22" s="53" t="str">
        <f>IF(ISTEXT(VLOOKUP(CONCATENATE($A22,"_",AW$3),'Unit List'!$A$23:$H$3256,2,FALSE)),"X",$AU22)</f>
        <v/>
      </c>
      <c r="AX22" s="172" t="str">
        <f>IF(ISTEXT(VLOOKUP(CONCATENATE($A22,"_",AX$3),'Unit List'!$A$23:$H$3256,2,FALSE)),"+","")</f>
        <v/>
      </c>
      <c r="AY22" s="51" t="str">
        <f>IF(ISTEXT(VLOOKUP(CONCATENATE($A22,"_",AY$3),'Unit List'!$A$23:$H$3256,2,FALSE)),"X",$AX22)</f>
        <v/>
      </c>
      <c r="AZ22" s="53" t="str">
        <f>IF(ISTEXT(VLOOKUP(CONCATENATE($A22,"_",AZ$3),'Unit List'!$A$23:$H$3256,2,FALSE)),"X",$AX22)</f>
        <v/>
      </c>
      <c r="BA22" s="182" t="str">
        <f>IF(ISTEXT(VLOOKUP(CONCATENATE($A22,"_",BA$3),'Unit List'!$A$23:$H$3256,2,FALSE)),"+","")</f>
        <v/>
      </c>
      <c r="BB22" s="51" t="str">
        <f>IF(ISTEXT(VLOOKUP(CONCATENATE($A22,"_",BB$3),'Unit List'!$A$23:$H$3256,2,FALSE)),"X",$BA22)</f>
        <v/>
      </c>
      <c r="BC22" s="51" t="str">
        <f>IF(ISTEXT(VLOOKUP(CONCATENATE($A22,"_",BC$3),'Unit List'!$A$23:$H$3256,2,FALSE)),"X",$BA22)</f>
        <v/>
      </c>
      <c r="BD22" s="53" t="str">
        <f>IF(ISTEXT(VLOOKUP(CONCATENATE($A22,"_",BD$3),'Unit List'!$A$23:$H$3256,2,FALSE)),"X",$BA22)</f>
        <v/>
      </c>
      <c r="BE22" s="125" t="str">
        <f>IF(ISTEXT(VLOOKUP(CONCATENATE($A22,"_",BE$3),'Unit List'!$A$23:$H$3256,2,FALSE)),"+","")</f>
        <v/>
      </c>
      <c r="BF22" s="62" t="str">
        <f>IF(ISTEXT(VLOOKUP(CONCATENATE($A22,"_",BF$3),'Unit List'!$A$23:$H$3256,2,FALSE)),"X",$BE22)</f>
        <v/>
      </c>
      <c r="BG22" s="75"/>
      <c r="BH22" s="84"/>
      <c r="BI22" s="225"/>
      <c r="BJ22" s="226"/>
      <c r="BK22" s="226"/>
      <c r="BL22" s="226"/>
      <c r="BM22" s="227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List'!$A$23:$H$3256,2,FALSE)),"+","")</f>
        <v/>
      </c>
      <c r="C23" s="57" t="str">
        <f>IF(ISTEXT(VLOOKUP(CONCATENATE($A23,"_",C$3),'Unit List'!$A$23:$H$3256,2,FALSE)),"X",$B23)</f>
        <v/>
      </c>
      <c r="D23" s="51" t="str">
        <f>IF(ISTEXT(VLOOKUP(CONCATENATE($A23,"_",D$3),'Unit List'!$A$23:$H$3256,2,FALSE)),"X",$B23)</f>
        <v/>
      </c>
      <c r="E23" s="51" t="str">
        <f>IF(ISTEXT(VLOOKUP(CONCATENATE($A23,"_",E$3),'Unit List'!$A$23:$H$3256,2,FALSE)),"X",$B23)</f>
        <v/>
      </c>
      <c r="F23" s="51" t="str">
        <f>IF(ISTEXT(VLOOKUP(CONCATENATE($A23,"_",F$3),'Unit List'!$A$23:$H$3256,2,FALSE)),"X",$B23)</f>
        <v/>
      </c>
      <c r="G23" s="51" t="str">
        <f>IF(ISTEXT(VLOOKUP(CONCATENATE($A23,"_",G$3),'Unit List'!$A$23:$H$3256,2,FALSE)),"X",$B23)</f>
        <v/>
      </c>
      <c r="H23" s="51" t="str">
        <f>IF(ISTEXT(VLOOKUP(CONCATENATE($A23,"_",H$3),'Unit List'!$A$23:$H$3256,2,FALSE)),"X",$B23)</f>
        <v/>
      </c>
      <c r="I23" s="53" t="str">
        <f>IF(ISTEXT(VLOOKUP(CONCATENATE($A23,"_",I$3),'Unit List'!$A$23:$H$3256,2,FALSE)),"X",$B23)</f>
        <v/>
      </c>
      <c r="J23" s="172" t="str">
        <f>IF(ISTEXT(VLOOKUP(CONCATENATE($A23,"_",J$3),'Unit List'!$A$23:$H$3256,2,FALSE)),"+","")</f>
        <v/>
      </c>
      <c r="K23" s="51" t="str">
        <f>IF(ISTEXT(VLOOKUP(CONCATENATE($A23,"_",K$3),'Unit List'!$A$23:$H$3256,2,FALSE)),"X",$J23)</f>
        <v/>
      </c>
      <c r="L23" s="62" t="str">
        <f>IF(ISTEXT(VLOOKUP(CONCATENATE($A23,"_",L$3),'Unit List'!$A$23:$H$3256,2,FALSE)),"X",$J23)</f>
        <v/>
      </c>
      <c r="M23" s="172" t="str">
        <f>IF(ISTEXT(VLOOKUP(CONCATENATE($A23,"_",M$3),'Unit List'!$A$23:$H$3256,2,FALSE)),"+","")</f>
        <v/>
      </c>
      <c r="N23" s="51" t="str">
        <f>IF(ISTEXT(VLOOKUP(CONCATENATE($A23,"_",N$3),'Unit List'!$A$23:$H$3256,2,FALSE)),"X",$M23)</f>
        <v/>
      </c>
      <c r="O23" s="53" t="str">
        <f>IF(ISTEXT(VLOOKUP(CONCATENATE($A23,"_",O$3),'Unit List'!$A$23:$H$3256,2,FALSE)),"X",$M23)</f>
        <v/>
      </c>
      <c r="P23" s="172" t="str">
        <f>IF(ISTEXT(VLOOKUP(CONCATENATE($A23,"_",P$3),'Unit List'!$A$23:$H$3256,2,FALSE)),"+","")</f>
        <v/>
      </c>
      <c r="Q23" s="51" t="str">
        <f>IF(ISTEXT(VLOOKUP(CONCATENATE($A23,"_",Q$3),'Unit List'!$A$23:$H$3256,2,FALSE)),"X",$P23)</f>
        <v/>
      </c>
      <c r="R23" s="51" t="str">
        <f>IF(ISTEXT(VLOOKUP(CONCATENATE($A23,"_",R$3),'Unit List'!$A$23:$H$3256,2,FALSE)),"X",$P23)</f>
        <v/>
      </c>
      <c r="S23" s="51" t="str">
        <f>IF(ISTEXT(VLOOKUP(CONCATENATE($A23,"_",S$3),'Unit List'!$A$23:$H$3256,2,FALSE)),"X",$P23)</f>
        <v/>
      </c>
      <c r="T23" s="52" t="str">
        <f>IF(ISTEXT(VLOOKUP(CONCATENATE($A23,"_",T$3),'Unit List'!$A$23:$H$3256,2,FALSE)),"X",$P23)</f>
        <v/>
      </c>
      <c r="U23" s="51" t="str">
        <f>IF(ISTEXT(VLOOKUP(CONCATENATE($A23,"_",U$3),'Unit List'!$A$23:$H$3256,2,FALSE)),"X",$P23)</f>
        <v/>
      </c>
      <c r="V23" s="51" t="str">
        <f>IF(ISTEXT(VLOOKUP(CONCATENATE($A23,"_",V$3),'Unit List'!$A$23:$H$3256,2,FALSE)),"X",$P23)</f>
        <v/>
      </c>
      <c r="W23" s="91" t="s">
        <v>0</v>
      </c>
      <c r="X23" s="172" t="str">
        <f>IF(ISTEXT(VLOOKUP(CONCATENATE($A23,"_",X$3),'Unit List'!$A$23:$H$3256,2,FALSE)),"+","")</f>
        <v/>
      </c>
      <c r="Y23" s="51" t="str">
        <f>IF(ISTEXT(VLOOKUP(CONCATENATE($A23,"_",Y$3),'Unit List'!$A$23:$H$3256,2,FALSE)),"X",$X23)</f>
        <v/>
      </c>
      <c r="Z23" s="51" t="str">
        <f>IF(ISTEXT(VLOOKUP(CONCATENATE($A23,"_",Z$3),'Unit List'!$A$23:$H$3256,2,FALSE)),"X",$X23)</f>
        <v/>
      </c>
      <c r="AA23" s="51" t="str">
        <f>IF(ISTEXT(VLOOKUP(CONCATENATE($A23,"_",AA$3),'Unit List'!$A$23:$H$3256,2,FALSE)),"X",$X23)</f>
        <v/>
      </c>
      <c r="AB23" s="51" t="str">
        <f>IF(ISTEXT(VLOOKUP(CONCATENATE($A23,"_",AB$3),'Unit List'!$A$23:$H$3256,2,FALSE)),"X",$X23)</f>
        <v/>
      </c>
      <c r="AC23" s="62" t="str">
        <f>IF(ISTEXT(VLOOKUP(CONCATENATE($A23,"_",AC$3),'Unit List'!$A$23:$H$3256,2,FALSE)),"X",$X23)</f>
        <v/>
      </c>
      <c r="AD23" s="172" t="str">
        <f>IF(ISTEXT(VLOOKUP(CONCATENATE($A23,"_",AD$3),'Unit List'!$A$23:$H$3256,2,FALSE)),"+","")</f>
        <v/>
      </c>
      <c r="AE23" s="51" t="str">
        <f>IF(ISTEXT(VLOOKUP(CONCATENATE($A23,"_",AE$3),'Unit List'!$A$23:$H$3256,2,FALSE)),"X",$AD23)</f>
        <v/>
      </c>
      <c r="AF23" s="51" t="str">
        <f>IF(ISTEXT(VLOOKUP(CONCATENATE($A23,"_",AF$3),'Unit List'!$A$23:$H$3256,2,FALSE)),"X",$AD23)</f>
        <v/>
      </c>
      <c r="AG23" s="172" t="str">
        <f>IF(ISTEXT(VLOOKUP(CONCATENATE($A23,"_",AG$3),'Unit List'!$A$23:$H$3256,2,FALSE)),"+","")</f>
        <v/>
      </c>
      <c r="AH23" s="51" t="str">
        <f>IF(ISTEXT(VLOOKUP(CONCATENATE($A23,"_",AH$3),'Unit List'!$A$23:$H$3256,2,FALSE)),"X",$AG23)</f>
        <v/>
      </c>
      <c r="AI23" s="51" t="str">
        <f>IF(ISTEXT(VLOOKUP(CONCATENATE($A23,"_",AI$3),'Unit List'!$A$23:$H$3256,2,FALSE)),"X",$AG23)</f>
        <v/>
      </c>
      <c r="AJ23" s="53" t="str">
        <f>IF(ISTEXT(VLOOKUP(CONCATENATE($A23,"_",AJ$3),'Unit List'!$A$23:$H$3256,2,FALSE)),"X",$AG23)</f>
        <v/>
      </c>
      <c r="AK23" s="172" t="str">
        <f>IF(ISTEXT(VLOOKUP(CONCATENATE($A23,"_",AK$3),'Unit List'!$A$23:$H$3256,2,FALSE)),"+","")</f>
        <v/>
      </c>
      <c r="AL23" s="52" t="str">
        <f>IF(ISTEXT(VLOOKUP(CONCATENATE($A23,"_",AL$3),'Unit List'!$A$23:$H$3256,2,FALSE)),"X",$AK23)</f>
        <v/>
      </c>
      <c r="AM23" s="53" t="str">
        <f>IF(ISTEXT(VLOOKUP(CONCATENATE($A23,"_",AM$3),'Unit List'!$A$23:$H$3256,2,FALSE)),"X",$AK23)</f>
        <v/>
      </c>
      <c r="AN23" s="125" t="str">
        <f>IF(ISTEXT(VLOOKUP(CONCATENATE($A23,"_",AN$3),'Unit List'!$A$23:$H$3256,2,FALSE)),"+","")</f>
        <v/>
      </c>
      <c r="AO23" s="53" t="str">
        <f>IF(ISTEXT(VLOOKUP(CONCATENATE($A23,"_",AO$3),'Unit List'!$A$23:$H$3256,2,FALSE)),"X",$AN23)</f>
        <v/>
      </c>
      <c r="AP23" s="172" t="str">
        <f>IF(ISTEXT(VLOOKUP(CONCATENATE($A23,"_",AP$3),'Unit List'!$A$23:$H$3256,2,FALSE)),"+","")</f>
        <v/>
      </c>
      <c r="AQ23" s="51" t="str">
        <f>IF(ISTEXT(VLOOKUP(CONCATENATE($A23,"_",AQ$3),'Unit List'!$A$23:$H$3256,2,FALSE)),"X",$AP23)</f>
        <v/>
      </c>
      <c r="AR23" s="51" t="str">
        <f>IF(ISTEXT(VLOOKUP(CONCATENATE($A23,"_",AR$3),'Unit List'!$A$23:$H$3256,2,FALSE)),"X",$AP23)</f>
        <v/>
      </c>
      <c r="AS23" s="51" t="str">
        <f>IF(ISTEXT(VLOOKUP(CONCATENATE($A23,"_",AS$3),'Unit List'!$A$23:$H$3256,2,FALSE)),"X",$AP23)</f>
        <v/>
      </c>
      <c r="AT23" s="53" t="str">
        <f>IF(ISTEXT(VLOOKUP(CONCATENATE($A23,"_",AT$3),'Unit List'!$A$23:$H$3256,2,FALSE)),"X",$AP23)</f>
        <v/>
      </c>
      <c r="AU23" s="124" t="str">
        <f>IF(ISTEXT(VLOOKUP(CONCATENATE($A23,"_",AU$3),'Unit List'!$A$23:$H$3256,2,FALSE)),"+","")</f>
        <v/>
      </c>
      <c r="AV23" s="51" t="str">
        <f>IF(ISTEXT(VLOOKUP(CONCATENATE($A23,"_",AV$3),'Unit List'!$A$23:$H$3256,2,FALSE)),"X",$AU23)</f>
        <v/>
      </c>
      <c r="AW23" s="53" t="str">
        <f>IF(ISTEXT(VLOOKUP(CONCATENATE($A23,"_",AW$3),'Unit List'!$A$23:$H$3256,2,FALSE)),"X",$AU23)</f>
        <v/>
      </c>
      <c r="AX23" s="172" t="str">
        <f>IF(ISTEXT(VLOOKUP(CONCATENATE($A23,"_",AX$3),'Unit List'!$A$23:$H$3256,2,FALSE)),"+","")</f>
        <v/>
      </c>
      <c r="AY23" s="51" t="str">
        <f>IF(ISTEXT(VLOOKUP(CONCATENATE($A23,"_",AY$3),'Unit List'!$A$23:$H$3256,2,FALSE)),"X",$AX23)</f>
        <v/>
      </c>
      <c r="AZ23" s="53" t="str">
        <f>IF(ISTEXT(VLOOKUP(CONCATENATE($A23,"_",AZ$3),'Unit List'!$A$23:$H$3256,2,FALSE)),"X",$AX23)</f>
        <v/>
      </c>
      <c r="BA23" s="182" t="str">
        <f>IF(ISTEXT(VLOOKUP(CONCATENATE($A23,"_",BA$3),'Unit List'!$A$23:$H$3256,2,FALSE)),"+","")</f>
        <v/>
      </c>
      <c r="BB23" s="51" t="str">
        <f>IF(ISTEXT(VLOOKUP(CONCATENATE($A23,"_",BB$3),'Unit List'!$A$23:$H$3256,2,FALSE)),"X",$BA23)</f>
        <v/>
      </c>
      <c r="BC23" s="51" t="str">
        <f>IF(ISTEXT(VLOOKUP(CONCATENATE($A23,"_",BC$3),'Unit List'!$A$23:$H$3256,2,FALSE)),"X",$BA23)</f>
        <v/>
      </c>
      <c r="BD23" s="53" t="str">
        <f>IF(ISTEXT(VLOOKUP(CONCATENATE($A23,"_",BD$3),'Unit List'!$A$23:$H$3256,2,FALSE)),"X",$BA23)</f>
        <v/>
      </c>
      <c r="BE23" s="125" t="str">
        <f>IF(ISTEXT(VLOOKUP(CONCATENATE($A23,"_",BE$3),'Unit List'!$A$23:$H$3256,2,FALSE)),"+","")</f>
        <v/>
      </c>
      <c r="BF23" s="62" t="str">
        <f>IF(ISTEXT(VLOOKUP(CONCATENATE($A23,"_",BF$3),'Unit List'!$A$23:$H$3256,2,FALSE)),"X",$BE23)</f>
        <v/>
      </c>
      <c r="BG23" s="75"/>
      <c r="BH23" s="84"/>
      <c r="BI23" s="225"/>
      <c r="BJ23" s="226"/>
      <c r="BK23" s="226"/>
      <c r="BL23" s="226"/>
      <c r="BM23" s="227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List'!$A$23:$H$3256,2,FALSE)),"+","")</f>
        <v/>
      </c>
      <c r="C24" s="57" t="str">
        <f>IF(ISTEXT(VLOOKUP(CONCATENATE($A24,"_",C$3),'Unit List'!$A$23:$H$3256,2,FALSE)),"X",$B24)</f>
        <v/>
      </c>
      <c r="D24" s="51" t="str">
        <f>IF(ISTEXT(VLOOKUP(CONCATENATE($A24,"_",D$3),'Unit List'!$A$23:$H$3256,2,FALSE)),"X",$B24)</f>
        <v/>
      </c>
      <c r="E24" s="51" t="str">
        <f>IF(ISTEXT(VLOOKUP(CONCATENATE($A24,"_",E$3),'Unit List'!$A$23:$H$3256,2,FALSE)),"X",$B24)</f>
        <v/>
      </c>
      <c r="F24" s="51" t="str">
        <f>IF(ISTEXT(VLOOKUP(CONCATENATE($A24,"_",F$3),'Unit List'!$A$23:$H$3256,2,FALSE)),"X",$B24)</f>
        <v/>
      </c>
      <c r="G24" s="51" t="str">
        <f>IF(ISTEXT(VLOOKUP(CONCATENATE($A24,"_",G$3),'Unit List'!$A$23:$H$3256,2,FALSE)),"X",$B24)</f>
        <v/>
      </c>
      <c r="H24" s="51" t="str">
        <f>IF(ISTEXT(VLOOKUP(CONCATENATE($A24,"_",H$3),'Unit List'!$A$23:$H$3256,2,FALSE)),"X",$B24)</f>
        <v/>
      </c>
      <c r="I24" s="53" t="str">
        <f>IF(ISTEXT(VLOOKUP(CONCATENATE($A24,"_",I$3),'Unit List'!$A$23:$H$3256,2,FALSE)),"X",$B24)</f>
        <v/>
      </c>
      <c r="J24" s="172" t="str">
        <f>IF(ISTEXT(VLOOKUP(CONCATENATE($A24,"_",J$3),'Unit List'!$A$23:$H$3256,2,FALSE)),"+","")</f>
        <v/>
      </c>
      <c r="K24" s="51" t="str">
        <f>IF(ISTEXT(VLOOKUP(CONCATENATE($A24,"_",K$3),'Unit List'!$A$23:$H$3256,2,FALSE)),"X",$J24)</f>
        <v/>
      </c>
      <c r="L24" s="62" t="str">
        <f>IF(ISTEXT(VLOOKUP(CONCATENATE($A24,"_",L$3),'Unit List'!$A$23:$H$3256,2,FALSE)),"X",$J24)</f>
        <v/>
      </c>
      <c r="M24" s="172" t="str">
        <f>IF(ISTEXT(VLOOKUP(CONCATENATE($A24,"_",M$3),'Unit List'!$A$23:$H$3256,2,FALSE)),"+","")</f>
        <v/>
      </c>
      <c r="N24" s="51" t="str">
        <f>IF(ISTEXT(VLOOKUP(CONCATENATE($A24,"_",N$3),'Unit List'!$A$23:$H$3256,2,FALSE)),"X",$M24)</f>
        <v/>
      </c>
      <c r="O24" s="53" t="str">
        <f>IF(ISTEXT(VLOOKUP(CONCATENATE($A24,"_",O$3),'Unit List'!$A$23:$H$3256,2,FALSE)),"X",$M24)</f>
        <v/>
      </c>
      <c r="P24" s="172" t="str">
        <f>IF(ISTEXT(VLOOKUP(CONCATENATE($A24,"_",P$3),'Unit List'!$A$23:$H$3256,2,FALSE)),"+","")</f>
        <v/>
      </c>
      <c r="Q24" s="51" t="str">
        <f>IF(ISTEXT(VLOOKUP(CONCATENATE($A24,"_",Q$3),'Unit List'!$A$23:$H$3256,2,FALSE)),"X",$P24)</f>
        <v/>
      </c>
      <c r="R24" s="51" t="str">
        <f>IF(ISTEXT(VLOOKUP(CONCATENATE($A24,"_",R$3),'Unit List'!$A$23:$H$3256,2,FALSE)),"X",$P24)</f>
        <v/>
      </c>
      <c r="S24" s="51" t="str">
        <f>IF(ISTEXT(VLOOKUP(CONCATENATE($A24,"_",S$3),'Unit List'!$A$23:$H$3256,2,FALSE)),"X",$P24)</f>
        <v/>
      </c>
      <c r="T24" s="52" t="str">
        <f>IF(ISTEXT(VLOOKUP(CONCATENATE($A24,"_",T$3),'Unit List'!$A$23:$H$3256,2,FALSE)),"X",$P24)</f>
        <v/>
      </c>
      <c r="U24" s="51" t="str">
        <f>IF(ISTEXT(VLOOKUP(CONCATENATE($A24,"_",U$3),'Unit List'!$A$23:$H$3256,2,FALSE)),"X",$P24)</f>
        <v/>
      </c>
      <c r="V24" s="51" t="str">
        <f>IF(ISTEXT(VLOOKUP(CONCATENATE($A24,"_",V$3),'Unit List'!$A$23:$H$3256,2,FALSE)),"X",$P24)</f>
        <v/>
      </c>
      <c r="W24" s="53" t="str">
        <f>IF(ISTEXT(VLOOKUP(CONCATENATE($A24,"_",W$3),'Unit List'!$A$23:$H$3256,2,FALSE)),"X",$P24)</f>
        <v/>
      </c>
      <c r="X24" s="172" t="str">
        <f>IF(ISTEXT(VLOOKUP(CONCATENATE($A24,"_",X$3),'Unit List'!$A$23:$H$3256,2,FALSE)),"+","")</f>
        <v/>
      </c>
      <c r="Y24" s="51" t="str">
        <f>IF(ISTEXT(VLOOKUP(CONCATENATE($A24,"_",Y$3),'Unit List'!$A$23:$H$3256,2,FALSE)),"X",$X24)</f>
        <v/>
      </c>
      <c r="Z24" s="51" t="str">
        <f>IF(ISTEXT(VLOOKUP(CONCATENATE($A24,"_",Z$3),'Unit List'!$A$23:$H$3256,2,FALSE)),"X",$X24)</f>
        <v/>
      </c>
      <c r="AA24" s="51" t="str">
        <f>IF(ISTEXT(VLOOKUP(CONCATENATE($A24,"_",AA$3),'Unit List'!$A$23:$H$3256,2,FALSE)),"X",$X24)</f>
        <v/>
      </c>
      <c r="AB24" s="51" t="str">
        <f>IF(ISTEXT(VLOOKUP(CONCATENATE($A24,"_",AB$3),'Unit List'!$A$23:$H$3256,2,FALSE)),"X",$X24)</f>
        <v/>
      </c>
      <c r="AC24" s="62" t="str">
        <f>IF(ISTEXT(VLOOKUP(CONCATENATE($A24,"_",AC$3),'Unit List'!$A$23:$H$3256,2,FALSE)),"X",$X24)</f>
        <v/>
      </c>
      <c r="AD24" s="172" t="str">
        <f>IF(ISTEXT(VLOOKUP(CONCATENATE($A24,"_",AD$3),'Unit List'!$A$23:$H$3256,2,FALSE)),"+","")</f>
        <v/>
      </c>
      <c r="AE24" s="51" t="str">
        <f>IF(ISTEXT(VLOOKUP(CONCATENATE($A24,"_",AE$3),'Unit List'!$A$23:$H$3256,2,FALSE)),"X",$AD24)</f>
        <v/>
      </c>
      <c r="AF24" s="51" t="str">
        <f>IF(ISTEXT(VLOOKUP(CONCATENATE($A24,"_",AF$3),'Unit List'!$A$23:$H$3256,2,FALSE)),"X",$AD24)</f>
        <v/>
      </c>
      <c r="AG24" s="172" t="str">
        <f>IF(ISTEXT(VLOOKUP(CONCATENATE($A24,"_",AG$3),'Unit List'!$A$23:$H$3256,2,FALSE)),"+","")</f>
        <v/>
      </c>
      <c r="AH24" s="51" t="str">
        <f>IF(ISTEXT(VLOOKUP(CONCATENATE($A24,"_",AH$3),'Unit List'!$A$23:$H$3256,2,FALSE)),"X",$AG24)</f>
        <v/>
      </c>
      <c r="AI24" s="51" t="str">
        <f>IF(ISTEXT(VLOOKUP(CONCATENATE($A24,"_",AI$3),'Unit List'!$A$23:$H$3256,2,FALSE)),"X",$AG24)</f>
        <v/>
      </c>
      <c r="AJ24" s="53" t="str">
        <f>IF(ISTEXT(VLOOKUP(CONCATENATE($A24,"_",AJ$3),'Unit List'!$A$23:$H$3256,2,FALSE)),"X",$AG24)</f>
        <v/>
      </c>
      <c r="AK24" s="172" t="str">
        <f>IF(ISTEXT(VLOOKUP(CONCATENATE($A24,"_",AK$3),'Unit List'!$A$23:$H$3256,2,FALSE)),"+","")</f>
        <v/>
      </c>
      <c r="AL24" s="52" t="str">
        <f>IF(ISTEXT(VLOOKUP(CONCATENATE($A24,"_",AL$3),'Unit List'!$A$23:$H$3256,2,FALSE)),"X",$AK24)</f>
        <v/>
      </c>
      <c r="AM24" s="53" t="str">
        <f>IF(ISTEXT(VLOOKUP(CONCATENATE($A24,"_",AM$3),'Unit List'!$A$23:$H$3256,2,FALSE)),"X",$AK24)</f>
        <v/>
      </c>
      <c r="AN24" s="125" t="str">
        <f>IF(ISTEXT(VLOOKUP(CONCATENATE($A24,"_",AN$3),'Unit List'!$A$23:$H$3256,2,FALSE)),"+","")</f>
        <v/>
      </c>
      <c r="AO24" s="53" t="str">
        <f>IF(ISTEXT(VLOOKUP(CONCATENATE($A24,"_",AO$3),'Unit List'!$A$23:$H$3256,2,FALSE)),"X",$AN24)</f>
        <v/>
      </c>
      <c r="AP24" s="172" t="str">
        <f>IF(ISTEXT(VLOOKUP(CONCATENATE($A24,"_",AP$3),'Unit List'!$A$23:$H$3256,2,FALSE)),"+","")</f>
        <v/>
      </c>
      <c r="AQ24" s="51" t="str">
        <f>IF(ISTEXT(VLOOKUP(CONCATENATE($A24,"_",AQ$3),'Unit List'!$A$23:$H$3256,2,FALSE)),"X",$AP24)</f>
        <v/>
      </c>
      <c r="AR24" s="51" t="str">
        <f>IF(ISTEXT(VLOOKUP(CONCATENATE($A24,"_",AR$3),'Unit List'!$A$23:$H$3256,2,FALSE)),"X",$AP24)</f>
        <v/>
      </c>
      <c r="AS24" s="51" t="str">
        <f>IF(ISTEXT(VLOOKUP(CONCATENATE($A24,"_",AS$3),'Unit List'!$A$23:$H$3256,2,FALSE)),"X",$AP24)</f>
        <v/>
      </c>
      <c r="AT24" s="53" t="str">
        <f>IF(ISTEXT(VLOOKUP(CONCATENATE($A24,"_",AT$3),'Unit List'!$A$23:$H$3256,2,FALSE)),"X",$AP24)</f>
        <v/>
      </c>
      <c r="AU24" s="124" t="str">
        <f>IF(ISTEXT(VLOOKUP(CONCATENATE($A24,"_",AU$3),'Unit List'!$A$23:$H$3256,2,FALSE)),"+","")</f>
        <v/>
      </c>
      <c r="AV24" s="51" t="str">
        <f>IF(ISTEXT(VLOOKUP(CONCATENATE($A24,"_",AV$3),'Unit List'!$A$23:$H$3256,2,FALSE)),"X",$AU24)</f>
        <v/>
      </c>
      <c r="AW24" s="53" t="str">
        <f>IF(ISTEXT(VLOOKUP(CONCATENATE($A24,"_",AW$3),'Unit List'!$A$23:$H$3256,2,FALSE)),"X",$AU24)</f>
        <v/>
      </c>
      <c r="AX24" s="172" t="str">
        <f>IF(ISTEXT(VLOOKUP(CONCATENATE($A24,"_",AX$3),'Unit List'!$A$23:$H$3256,2,FALSE)),"+","")</f>
        <v/>
      </c>
      <c r="AY24" s="51" t="str">
        <f>IF(ISTEXT(VLOOKUP(CONCATENATE($A24,"_",AY$3),'Unit List'!$A$23:$H$3256,2,FALSE)),"X",$AX24)</f>
        <v/>
      </c>
      <c r="AZ24" s="53" t="str">
        <f>IF(ISTEXT(VLOOKUP(CONCATENATE($A24,"_",AZ$3),'Unit List'!$A$23:$H$3256,2,FALSE)),"X",$AX24)</f>
        <v/>
      </c>
      <c r="BA24" s="182" t="str">
        <f>IF(ISTEXT(VLOOKUP(CONCATENATE($A24,"_",BA$3),'Unit List'!$A$23:$H$3256,2,FALSE)),"+","")</f>
        <v/>
      </c>
      <c r="BB24" s="51" t="str">
        <f>IF(ISTEXT(VLOOKUP(CONCATENATE($A24,"_",BB$3),'Unit List'!$A$23:$H$3256,2,FALSE)),"X",$BA24)</f>
        <v/>
      </c>
      <c r="BC24" s="51" t="str">
        <f>IF(ISTEXT(VLOOKUP(CONCATENATE($A24,"_",BC$3),'Unit List'!$A$23:$H$3256,2,FALSE)),"X",$BA24)</f>
        <v/>
      </c>
      <c r="BD24" s="53" t="str">
        <f>IF(ISTEXT(VLOOKUP(CONCATENATE($A24,"_",BD$3),'Unit List'!$A$23:$H$3256,2,FALSE)),"X",$BA24)</f>
        <v/>
      </c>
      <c r="BE24" s="125" t="str">
        <f>IF(ISTEXT(VLOOKUP(CONCATENATE($A24,"_",BE$3),'Unit List'!$A$23:$H$3256,2,FALSE)),"+","")</f>
        <v/>
      </c>
      <c r="BF24" s="62" t="str">
        <f>IF(ISTEXT(VLOOKUP(CONCATENATE($A24,"_",BF$3),'Unit List'!$A$23:$H$3256,2,FALSE)),"X",$BE24)</f>
        <v/>
      </c>
      <c r="BG24" s="75"/>
      <c r="BH24" s="84"/>
      <c r="BI24" s="225"/>
      <c r="BJ24" s="226"/>
      <c r="BK24" s="226"/>
      <c r="BL24" s="226"/>
      <c r="BM24" s="227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List'!$A$23:$H$3256,2,FALSE)),"+","")</f>
        <v/>
      </c>
      <c r="C25" s="57" t="str">
        <f>IF(ISTEXT(VLOOKUP(CONCATENATE($A25,"_",C$3),'Unit List'!$A$23:$H$3256,2,FALSE)),"X",$B25)</f>
        <v/>
      </c>
      <c r="D25" s="51" t="str">
        <f>IF(ISTEXT(VLOOKUP(CONCATENATE($A25,"_",D$3),'Unit List'!$A$23:$H$3256,2,FALSE)),"X",$B25)</f>
        <v>X</v>
      </c>
      <c r="E25" s="51" t="str">
        <f>IF(ISTEXT(VLOOKUP(CONCATENATE($A25,"_",E$3),'Unit List'!$A$23:$H$3256,2,FALSE)),"X",$B25)</f>
        <v/>
      </c>
      <c r="F25" s="51" t="str">
        <f>IF(ISTEXT(VLOOKUP(CONCATENATE($A25,"_",F$3),'Unit List'!$A$23:$H$3256,2,FALSE)),"X",$B25)</f>
        <v/>
      </c>
      <c r="G25" s="51" t="str">
        <f>IF(ISTEXT(VLOOKUP(CONCATENATE($A25,"_",G$3),'Unit List'!$A$23:$H$3256,2,FALSE)),"X",$B25)</f>
        <v/>
      </c>
      <c r="H25" s="67" t="str">
        <f>IF(ISTEXT(VLOOKUP(CONCATENATE($A25,"_",H$3),'Unit List'!$A$23:$H$3256,2,FALSE)),"X",$B25)</f>
        <v>X</v>
      </c>
      <c r="I25" s="53" t="str">
        <f>IF(ISTEXT(VLOOKUP(CONCATENATE($A25,"_",I$3),'Unit List'!$A$23:$H$3256,2,FALSE)),"X",$B25)</f>
        <v/>
      </c>
      <c r="J25" s="172" t="str">
        <f>IF(ISTEXT(VLOOKUP(CONCATENATE($A25,"_",J$3),'Unit List'!$A$23:$H$3256,2,FALSE)),"+","")</f>
        <v/>
      </c>
      <c r="K25" s="51" t="str">
        <f>IF(ISTEXT(VLOOKUP(CONCATENATE($A25,"_",K$3),'Unit List'!$A$23:$H$3256,2,FALSE)),"X",$J25)</f>
        <v/>
      </c>
      <c r="L25" s="62" t="str">
        <f>IF(ISTEXT(VLOOKUP(CONCATENATE($A25,"_",L$3),'Unit List'!$A$23:$H$3256,2,FALSE)),"X",$J25)</f>
        <v/>
      </c>
      <c r="M25" s="172" t="str">
        <f>IF(ISTEXT(VLOOKUP(CONCATENATE($A25,"_",M$3),'Unit List'!$A$23:$H$3256,2,FALSE)),"+","")</f>
        <v/>
      </c>
      <c r="N25" s="51" t="str">
        <f>IF(ISTEXT(VLOOKUP(CONCATENATE($A25,"_",N$3),'Unit List'!$A$23:$H$3256,2,FALSE)),"X",$M25)</f>
        <v/>
      </c>
      <c r="O25" s="53" t="str">
        <f>IF(ISTEXT(VLOOKUP(CONCATENATE($A25,"_",O$3),'Unit List'!$A$23:$H$3256,2,FALSE)),"X",$M25)</f>
        <v/>
      </c>
      <c r="P25" s="172" t="str">
        <f>IF(ISTEXT(VLOOKUP(CONCATENATE($A25,"_",P$3),'Unit List'!$A$23:$H$3256,2,FALSE)),"+","")</f>
        <v/>
      </c>
      <c r="Q25" s="51" t="str">
        <f>IF(ISTEXT(VLOOKUP(CONCATENATE($A25,"_",Q$3),'Unit List'!$A$23:$H$3256,2,FALSE)),"X",$P25)</f>
        <v/>
      </c>
      <c r="R25" s="51" t="str">
        <f>IF(ISTEXT(VLOOKUP(CONCATENATE($A25,"_",R$3),'Unit List'!$A$23:$H$3256,2,FALSE)),"X",$P25)</f>
        <v/>
      </c>
      <c r="S25" s="51" t="str">
        <f>IF(ISTEXT(VLOOKUP(CONCATENATE($A25,"_",S$3),'Unit List'!$A$23:$H$3256,2,FALSE)),"X",$P25)</f>
        <v/>
      </c>
      <c r="T25" s="52" t="str">
        <f>IF(ISTEXT(VLOOKUP(CONCATENATE($A25,"_",T$3),'Unit List'!$A$23:$H$3256,2,FALSE)),"X",$P25)</f>
        <v/>
      </c>
      <c r="U25" s="51" t="str">
        <f>IF(ISTEXT(VLOOKUP(CONCATENATE($A25,"_",U$3),'Unit List'!$A$23:$H$3256,2,FALSE)),"X",$P25)</f>
        <v/>
      </c>
      <c r="V25" s="51" t="str">
        <f>IF(ISTEXT(VLOOKUP(CONCATENATE($A25,"_",V$3),'Unit List'!$A$23:$H$3256,2,FALSE)),"X",$P25)</f>
        <v/>
      </c>
      <c r="W25" s="53" t="str">
        <f>IF(ISTEXT(VLOOKUP(CONCATENATE($A25,"_",W$3),'Unit List'!$A$23:$H$3256,2,FALSE)),"X",$P25)</f>
        <v/>
      </c>
      <c r="X25" s="172" t="str">
        <f>IF(ISTEXT(VLOOKUP(CONCATENATE($A25,"_",X$3),'Unit List'!$A$23:$H$3256,2,FALSE)),"+","")</f>
        <v/>
      </c>
      <c r="Y25" s="51" t="str">
        <f>IF(ISTEXT(VLOOKUP(CONCATENATE($A25,"_",Y$3),'Unit List'!$A$23:$H$3256,2,FALSE)),"X",$X25)</f>
        <v/>
      </c>
      <c r="Z25" s="51" t="str">
        <f>IF(ISTEXT(VLOOKUP(CONCATENATE($A25,"_",Z$3),'Unit List'!$A$23:$H$3256,2,FALSE)),"X",$X25)</f>
        <v/>
      </c>
      <c r="AA25" s="51" t="str">
        <f>IF(ISTEXT(VLOOKUP(CONCATENATE($A25,"_",AA$3),'Unit List'!$A$23:$H$3256,2,FALSE)),"X",$X25)</f>
        <v/>
      </c>
      <c r="AB25" s="51" t="str">
        <f>IF(ISTEXT(VLOOKUP(CONCATENATE($A25,"_",AB$3),'Unit List'!$A$23:$H$3256,2,FALSE)),"X",$X25)</f>
        <v/>
      </c>
      <c r="AC25" s="62" t="str">
        <f>IF(ISTEXT(VLOOKUP(CONCATENATE($A25,"_",AC$3),'Unit List'!$A$23:$H$3256,2,FALSE)),"X",$X25)</f>
        <v/>
      </c>
      <c r="AD25" s="172" t="str">
        <f>IF(ISTEXT(VLOOKUP(CONCATENATE($A25,"_",AD$3),'Unit List'!$A$23:$H$3256,2,FALSE)),"+","")</f>
        <v/>
      </c>
      <c r="AE25" s="51" t="str">
        <f>IF(ISTEXT(VLOOKUP(CONCATENATE($A25,"_",AE$3),'Unit List'!$A$23:$H$3256,2,FALSE)),"X",$AD25)</f>
        <v/>
      </c>
      <c r="AF25" s="51" t="str">
        <f>IF(ISTEXT(VLOOKUP(CONCATENATE($A25,"_",AF$3),'Unit List'!$A$23:$H$3256,2,FALSE)),"X",$AD25)</f>
        <v/>
      </c>
      <c r="AG25" s="172" t="str">
        <f>IF(ISTEXT(VLOOKUP(CONCATENATE($A25,"_",AG$3),'Unit List'!$A$23:$H$3256,2,FALSE)),"+","")</f>
        <v/>
      </c>
      <c r="AH25" s="83" t="str">
        <f>IF(ISTEXT(VLOOKUP(CONCATENATE($A25,"_",AH$3),'Unit List'!$A$23:$H$3256,2,FALSE)),"X",$AG25)</f>
        <v/>
      </c>
      <c r="AI25" s="83" t="str">
        <f>IF(ISTEXT(VLOOKUP(CONCATENATE($A25,"_",AI$3),'Unit List'!$A$23:$H$3256,2,FALSE)),"X",$AG25)</f>
        <v/>
      </c>
      <c r="AJ25" s="53" t="str">
        <f>IF(ISTEXT(VLOOKUP(CONCATENATE($A25,"_",AJ$3),'Unit List'!$A$23:$H$3256,2,FALSE)),"X",$AG25)</f>
        <v/>
      </c>
      <c r="AK25" s="172" t="str">
        <f>IF(ISTEXT(VLOOKUP(CONCATENATE($A25,"_",AK$3),'Unit List'!$A$23:$H$3256,2,FALSE)),"+","")</f>
        <v/>
      </c>
      <c r="AL25" s="52" t="str">
        <f>IF(ISTEXT(VLOOKUP(CONCATENATE($A25,"_",AL$3),'Unit List'!$A$23:$H$3256,2,FALSE)),"X",$AK25)</f>
        <v/>
      </c>
      <c r="AM25" s="53" t="str">
        <f>IF(ISTEXT(VLOOKUP(CONCATENATE($A25,"_",AM$3),'Unit List'!$A$23:$H$3256,2,FALSE)),"X",$AK25)</f>
        <v/>
      </c>
      <c r="AN25" s="125" t="str">
        <f>IF(ISTEXT(VLOOKUP(CONCATENATE($A25,"_",AN$3),'Unit List'!$A$23:$H$3256,2,FALSE)),"+","")</f>
        <v/>
      </c>
      <c r="AO25" s="53" t="str">
        <f>IF(ISTEXT(VLOOKUP(CONCATENATE($A25,"_",AO$3),'Unit List'!$A$23:$H$3256,2,FALSE)),"X",$AN25)</f>
        <v/>
      </c>
      <c r="AP25" s="172" t="str">
        <f>IF(ISTEXT(VLOOKUP(CONCATENATE($A25,"_",AP$3),'Unit List'!$A$23:$H$3256,2,FALSE)),"+","")</f>
        <v/>
      </c>
      <c r="AQ25" s="51" t="str">
        <f>IF(ISTEXT(VLOOKUP(CONCATENATE($A25,"_",AQ$3),'Unit List'!$A$23:$H$3256,2,FALSE)),"X",$AP25)</f>
        <v/>
      </c>
      <c r="AR25" s="51" t="str">
        <f>IF(ISTEXT(VLOOKUP(CONCATENATE($A25,"_",AR$3),'Unit List'!$A$23:$H$3256,2,FALSE)),"X",$AP25)</f>
        <v/>
      </c>
      <c r="AS25" s="51" t="str">
        <f>IF(ISTEXT(VLOOKUP(CONCATENATE($A25,"_",AS$3),'Unit List'!$A$23:$H$3256,2,FALSE)),"X",$AP25)</f>
        <v/>
      </c>
      <c r="AT25" s="53" t="str">
        <f>IF(ISTEXT(VLOOKUP(CONCATENATE($A25,"_",AT$3),'Unit List'!$A$23:$H$3256,2,FALSE)),"X",$AP25)</f>
        <v/>
      </c>
      <c r="AU25" s="124" t="str">
        <f>IF(ISTEXT(VLOOKUP(CONCATENATE($A25,"_",AU$3),'Unit List'!$A$23:$H$3256,2,FALSE)),"+","")</f>
        <v/>
      </c>
      <c r="AV25" s="51" t="str">
        <f>IF(ISTEXT(VLOOKUP(CONCATENATE($A25,"_",AV$3),'Unit List'!$A$23:$H$3256,2,FALSE)),"X",$AU25)</f>
        <v/>
      </c>
      <c r="AW25" s="53" t="str">
        <f>IF(ISTEXT(VLOOKUP(CONCATENATE($A25,"_",AW$3),'Unit List'!$A$23:$H$3256,2,FALSE)),"X",$AU25)</f>
        <v/>
      </c>
      <c r="AX25" s="172" t="str">
        <f>IF(ISTEXT(VLOOKUP(CONCATENATE($A25,"_",AX$3),'Unit List'!$A$23:$H$3256,2,FALSE)),"+","")</f>
        <v/>
      </c>
      <c r="AY25" s="51" t="str">
        <f>IF(ISTEXT(VLOOKUP(CONCATENATE($A25,"_",AY$3),'Unit List'!$A$23:$H$3256,2,FALSE)),"X",$AX25)</f>
        <v/>
      </c>
      <c r="AZ25" s="53" t="str">
        <f>IF(ISTEXT(VLOOKUP(CONCATENATE($A25,"_",AZ$3),'Unit List'!$A$23:$H$3256,2,FALSE)),"X",$AX25)</f>
        <v/>
      </c>
      <c r="BA25" s="182" t="str">
        <f>IF(ISTEXT(VLOOKUP(CONCATENATE($A25,"_",BA$3),'Unit List'!$A$23:$H$3256,2,FALSE)),"+","")</f>
        <v/>
      </c>
      <c r="BB25" s="51" t="str">
        <f>IF(ISTEXT(VLOOKUP(CONCATENATE($A25,"_",BB$3),'Unit List'!$A$23:$H$3256,2,FALSE)),"X",$BA25)</f>
        <v/>
      </c>
      <c r="BC25" s="51" t="str">
        <f>IF(ISTEXT(VLOOKUP(CONCATENATE($A25,"_",BC$3),'Unit List'!$A$23:$H$3256,2,FALSE)),"X",$BA25)</f>
        <v/>
      </c>
      <c r="BD25" s="53" t="str">
        <f>IF(ISTEXT(VLOOKUP(CONCATENATE($A25,"_",BD$3),'Unit List'!$A$23:$H$3256,2,FALSE)),"X",$BA25)</f>
        <v/>
      </c>
      <c r="BE25" s="125" t="str">
        <f>IF(ISTEXT(VLOOKUP(CONCATENATE($A25,"_",BE$3),'Unit List'!$A$23:$H$3256,2,FALSE)),"+","")</f>
        <v/>
      </c>
      <c r="BF25" s="62" t="str">
        <f>IF(ISTEXT(VLOOKUP(CONCATENATE($A25,"_",BF$3),'Unit List'!$A$23:$H$3256,2,FALSE)),"X",$BE25)</f>
        <v/>
      </c>
      <c r="BG25" s="64"/>
      <c r="BH25" s="65" t="s">
        <v>0</v>
      </c>
      <c r="BI25" s="225"/>
      <c r="BJ25" s="226"/>
      <c r="BK25" s="226"/>
      <c r="BL25" s="226"/>
      <c r="BM25" s="227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List'!$A$23:$H$3256,2,FALSE)),"+","")</f>
        <v/>
      </c>
      <c r="C26" s="82" t="str">
        <f>IF(ISTEXT(VLOOKUP(CONCATENATE($A26,"_",C$3),'Unit List'!$A$23:$H$3256,2,FALSE)),"X",$B26)</f>
        <v>X</v>
      </c>
      <c r="D26" s="51" t="str">
        <f>IF(ISTEXT(VLOOKUP(CONCATENATE($A26,"_",D$3),'Unit List'!$A$23:$H$3256,2,FALSE)),"X",$B26)</f>
        <v>X</v>
      </c>
      <c r="E26" s="51" t="str">
        <f>IF(ISTEXT(VLOOKUP(CONCATENATE($A26,"_",E$3),'Unit List'!$A$23:$H$3256,2,FALSE)),"X",$B26)</f>
        <v>X</v>
      </c>
      <c r="F26" s="67" t="str">
        <f>IF(ISTEXT(VLOOKUP(CONCATENATE($A26,"_",F$3),'Unit List'!$A$23:$H$3256,2,FALSE)),"X",$B26)</f>
        <v>X</v>
      </c>
      <c r="G26" s="67" t="str">
        <f>IF(ISTEXT(VLOOKUP(CONCATENATE($A26,"_",G$3),'Unit List'!$A$23:$H$3256,2,FALSE)),"X",$B26)</f>
        <v>X</v>
      </c>
      <c r="H26" s="67" t="str">
        <f>IF(ISTEXT(VLOOKUP(CONCATENATE($A26,"_",H$3),'Unit List'!$A$23:$H$3256,2,FALSE)),"X",$B26)</f>
        <v>X</v>
      </c>
      <c r="I26" s="70" t="str">
        <f>IF(ISTEXT(VLOOKUP(CONCATENATE($A26,"_",I$3),'Unit List'!$A$23:$H$3256,2,FALSE)),"X",$B26)</f>
        <v>X</v>
      </c>
      <c r="J26" s="172" t="str">
        <f>IF(ISTEXT(VLOOKUP(CONCATENATE($A26,"_",J$3),'Unit List'!$A$23:$H$3256,2,FALSE)),"+","")</f>
        <v/>
      </c>
      <c r="K26" s="51" t="str">
        <f>IF(ISTEXT(VLOOKUP(CONCATENATE($A26,"_",K$3),'Unit List'!$A$23:$H$3256,2,FALSE)),"X",$J26)</f>
        <v/>
      </c>
      <c r="L26" s="62" t="str">
        <f>IF(ISTEXT(VLOOKUP(CONCATENATE($A26,"_",L$3),'Unit List'!$A$23:$H$3256,2,FALSE)),"X",$J26)</f>
        <v>X</v>
      </c>
      <c r="M26" s="172" t="str">
        <f>IF(ISTEXT(VLOOKUP(CONCATENATE($A26,"_",M$3),'Unit List'!$A$23:$H$3256,2,FALSE)),"+","")</f>
        <v>+</v>
      </c>
      <c r="N26" s="51" t="str">
        <f>IF(ISTEXT(VLOOKUP(CONCATENATE($A26,"_",N$3),'Unit List'!$A$23:$H$3256,2,FALSE)),"X",$M26)</f>
        <v>X</v>
      </c>
      <c r="O26" s="53" t="str">
        <f>IF(ISTEXT(VLOOKUP(CONCATENATE($A26,"_",O$3),'Unit List'!$A$23:$H$3256,2,FALSE)),"X",$M26)</f>
        <v>X</v>
      </c>
      <c r="P26" s="172" t="str">
        <f>IF(ISTEXT(VLOOKUP(CONCATENATE($A26,"_",P$3),'Unit List'!$A$23:$H$3256,2,FALSE)),"+","")</f>
        <v/>
      </c>
      <c r="Q26" s="51" t="str">
        <f>IF(ISTEXT(VLOOKUP(CONCATENATE($A26,"_",Q$3),'Unit List'!$A$23:$H$3256,2,FALSE)),"X",$P26)</f>
        <v/>
      </c>
      <c r="R26" s="51" t="str">
        <f>IF(ISTEXT(VLOOKUP(CONCATENATE($A26,"_",R$3),'Unit List'!$A$23:$H$3256,2,FALSE)),"X",$P26)</f>
        <v/>
      </c>
      <c r="S26" s="67" t="str">
        <f>IF(ISTEXT(VLOOKUP(CONCATENATE($A26,"_",S$3),'Unit List'!$A$23:$H$3256,2,FALSE)),"X",$P26)</f>
        <v>X</v>
      </c>
      <c r="T26" s="52" t="str">
        <f>IF(ISTEXT(VLOOKUP(CONCATENATE($A26,"_",T$3),'Unit List'!$A$23:$H$3256,2,FALSE)),"X",$P26)</f>
        <v/>
      </c>
      <c r="U26" s="67" t="str">
        <f>IF(ISTEXT(VLOOKUP(CONCATENATE($A26,"_",U$3),'Unit List'!$A$23:$H$3256,2,FALSE)),"X",$P26)</f>
        <v>X</v>
      </c>
      <c r="V26" s="67" t="str">
        <f>IF(ISTEXT(VLOOKUP(CONCATENATE($A26,"_",V$3),'Unit List'!$A$23:$H$3256,2,FALSE)),"X",$P26)</f>
        <v>X</v>
      </c>
      <c r="W26" s="53" t="str">
        <f>IF(ISTEXT(VLOOKUP(CONCATENATE($A26,"_",W$3),'Unit List'!$A$23:$H$3256,2,FALSE)),"X",$P26)</f>
        <v/>
      </c>
      <c r="X26" s="172" t="str">
        <f>IF(ISTEXT(VLOOKUP(CONCATENATE($A26,"_",X$3),'Unit List'!$A$23:$H$3256,2,FALSE)),"+","")</f>
        <v>+</v>
      </c>
      <c r="Y26" s="69" t="str">
        <f>IF(ISTEXT(VLOOKUP(CONCATENATE($A26,"_",Y$3),'Unit List'!$A$23:$H$3256,2,FALSE)),"X",$X26)</f>
        <v>X</v>
      </c>
      <c r="Z26" s="51" t="str">
        <f>IF(ISTEXT(VLOOKUP(CONCATENATE($A26,"_",Z$3),'Unit List'!$A$23:$H$3256,2,FALSE)),"X",$X26)</f>
        <v>+</v>
      </c>
      <c r="AA26" s="51" t="str">
        <f>IF(ISTEXT(VLOOKUP(CONCATENATE($A26,"_",AA$3),'Unit List'!$A$23:$H$3256,2,FALSE)),"X",$X26)</f>
        <v>X</v>
      </c>
      <c r="AB26" s="51" t="str">
        <f>IF(ISTEXT(VLOOKUP(CONCATENATE($A26,"_",AB$3),'Unit List'!$A$23:$H$3256,2,FALSE)),"X",$X26)</f>
        <v>X</v>
      </c>
      <c r="AC26" s="62" t="str">
        <f>IF(ISTEXT(VLOOKUP(CONCATENATE($A26,"_",AC$3),'Unit List'!$A$23:$H$3256,2,FALSE)),"X",$X26)</f>
        <v>+</v>
      </c>
      <c r="AD26" s="172" t="str">
        <f>IF(ISTEXT(VLOOKUP(CONCATENATE($A26,"_",AD$3),'Unit List'!$A$23:$H$3256,2,FALSE)),"+","")</f>
        <v>+</v>
      </c>
      <c r="AE26" s="51" t="str">
        <f>IF(ISTEXT(VLOOKUP(CONCATENATE($A26,"_",AE$3),'Unit List'!$A$23:$H$3256,2,FALSE)),"X",$AD26)</f>
        <v>+</v>
      </c>
      <c r="AF26" s="51" t="str">
        <f>IF(ISTEXT(VLOOKUP(CONCATENATE($A26,"_",AF$3),'Unit List'!$A$23:$H$3256,2,FALSE)),"X",$AD26)</f>
        <v>+</v>
      </c>
      <c r="AG26" s="172" t="str">
        <f>IF(ISTEXT(VLOOKUP(CONCATENATE($A26,"_",AG$3),'Unit List'!$A$23:$H$3256,2,FALSE)),"+","")</f>
        <v>+</v>
      </c>
      <c r="AH26" s="51" t="str">
        <f>IF(ISTEXT(VLOOKUP(CONCATENATE($A26,"_",AH$3),'Unit List'!$A$23:$H$3256,2,FALSE)),"X",$AG26)</f>
        <v>X</v>
      </c>
      <c r="AI26" s="51" t="str">
        <f>IF(ISTEXT(VLOOKUP(CONCATENATE($A26,"_",AI$3),'Unit List'!$A$23:$H$3256,2,FALSE)),"X",$AG26)</f>
        <v>+</v>
      </c>
      <c r="AJ26" s="53" t="str">
        <f>IF(ISTEXT(VLOOKUP(CONCATENATE($A26,"_",AJ$3),'Unit List'!$A$23:$H$3256,2,FALSE)),"X",$AG26)</f>
        <v>X</v>
      </c>
      <c r="AK26" s="172" t="str">
        <f>IF(ISTEXT(VLOOKUP(CONCATENATE($A26,"_",AK$3),'Unit List'!$A$23:$H$3256,2,FALSE)),"+","")</f>
        <v/>
      </c>
      <c r="AL26" s="52" t="str">
        <f>IF(ISTEXT(VLOOKUP(CONCATENATE($A26,"_",AL$3),'Unit List'!$A$23:$H$3256,2,FALSE)),"X",$AK26)</f>
        <v/>
      </c>
      <c r="AM26" s="53" t="str">
        <f>IF(ISTEXT(VLOOKUP(CONCATENATE($A26,"_",AM$3),'Unit List'!$A$23:$H$3256,2,FALSE)),"X",$AK26)</f>
        <v/>
      </c>
      <c r="AN26" s="125" t="str">
        <f>IF(ISTEXT(VLOOKUP(CONCATENATE($A26,"_",AN$3),'Unit List'!$A$23:$H$3256,2,FALSE)),"+","")</f>
        <v>+</v>
      </c>
      <c r="AO26" s="53" t="str">
        <f>IF(ISTEXT(VLOOKUP(CONCATENATE($A26,"_",AO$3),'Unit List'!$A$23:$H$3256,2,FALSE)),"X",$AN26)</f>
        <v>X</v>
      </c>
      <c r="AP26" s="172" t="str">
        <f>IF(ISTEXT(VLOOKUP(CONCATENATE($A26,"_",AP$3),'Unit List'!$A$23:$H$3256,2,FALSE)),"+","")</f>
        <v>+</v>
      </c>
      <c r="AQ26" s="51" t="str">
        <f>IF(ISTEXT(VLOOKUP(CONCATENATE($A26,"_",AQ$3),'Unit List'!$A$23:$H$3256,2,FALSE)),"X",$AP26)</f>
        <v>+</v>
      </c>
      <c r="AR26" s="67" t="str">
        <f>IF(ISTEXT(VLOOKUP(CONCATENATE($A26,"_",AR$3),'Unit List'!$A$23:$H$3256,2,FALSE)),"X",$AP26)</f>
        <v>X</v>
      </c>
      <c r="AS26" s="51" t="str">
        <f>IF(ISTEXT(VLOOKUP(CONCATENATE($A26,"_",AS$3),'Unit List'!$A$23:$H$3256,2,FALSE)),"X",$AP26)</f>
        <v>+</v>
      </c>
      <c r="AT26" s="53" t="str">
        <f>IF(ISTEXT(VLOOKUP(CONCATENATE($A26,"_",AT$3),'Unit List'!$A$23:$H$3256,2,FALSE)),"X",$AP26)</f>
        <v>+</v>
      </c>
      <c r="AU26" s="124" t="str">
        <f>IF(ISTEXT(VLOOKUP(CONCATENATE($A26,"_",AU$3),'Unit List'!$A$23:$H$3256,2,FALSE)),"+","")</f>
        <v>+</v>
      </c>
      <c r="AV26" s="51" t="str">
        <f>IF(ISTEXT(VLOOKUP(CONCATENATE($A26,"_",AV$3),'Unit List'!$A$23:$H$3256,2,FALSE)),"X",$AU26)</f>
        <v>+</v>
      </c>
      <c r="AW26" s="53" t="str">
        <f>IF(ISTEXT(VLOOKUP(CONCATENATE($A26,"_",AW$3),'Unit List'!$A$23:$H$3256,2,FALSE)),"X",$AU26)</f>
        <v>+</v>
      </c>
      <c r="AX26" s="172" t="str">
        <f>IF(ISTEXT(VLOOKUP(CONCATENATE($A26,"_",AX$3),'Unit List'!$A$23:$H$3256,2,FALSE)),"+","")</f>
        <v>+</v>
      </c>
      <c r="AY26" s="51" t="str">
        <f>IF(ISTEXT(VLOOKUP(CONCATENATE($A26,"_",AY$3),'Unit List'!$A$23:$H$3256,2,FALSE)),"X",$AX26)</f>
        <v>+</v>
      </c>
      <c r="AZ26" s="53" t="str">
        <f>IF(ISTEXT(VLOOKUP(CONCATENATE($A26,"_",AZ$3),'Unit List'!$A$23:$H$3256,2,FALSE)),"X",$AX26)</f>
        <v>+</v>
      </c>
      <c r="BA26" s="182" t="str">
        <f>IF(ISTEXT(VLOOKUP(CONCATENATE($A26,"_",BA$3),'Unit List'!$A$23:$H$3256,2,FALSE)),"+","")</f>
        <v>+</v>
      </c>
      <c r="BB26" s="51" t="str">
        <f>IF(ISTEXT(VLOOKUP(CONCATENATE($A26,"_",BB$3),'Unit List'!$A$23:$H$3256,2,FALSE)),"X",$BA26)</f>
        <v>X</v>
      </c>
      <c r="BC26" s="51" t="str">
        <f>IF(ISTEXT(VLOOKUP(CONCATENATE($A26,"_",BC$3),'Unit List'!$A$23:$H$3256,2,FALSE)),"X",$BA26)</f>
        <v>+</v>
      </c>
      <c r="BD26" s="53" t="str">
        <f>IF(ISTEXT(VLOOKUP(CONCATENATE($A26,"_",BD$3),'Unit List'!$A$23:$H$3256,2,FALSE)),"X",$BA26)</f>
        <v>+</v>
      </c>
      <c r="BE26" s="125" t="str">
        <f>IF(ISTEXT(VLOOKUP(CONCATENATE($A26,"_",BE$3),'Unit List'!$A$23:$H$3256,2,FALSE)),"+","")</f>
        <v>+</v>
      </c>
      <c r="BF26" s="62" t="str">
        <f>IF(ISTEXT(VLOOKUP(CONCATENATE($A26,"_",BF$3),'Unit List'!$A$23:$H$3256,2,FALSE)),"X",$BE26)</f>
        <v>+</v>
      </c>
      <c r="BG26" s="64"/>
      <c r="BH26" s="65" t="s">
        <v>0</v>
      </c>
      <c r="BI26" s="225"/>
      <c r="BJ26" s="226"/>
      <c r="BK26" s="226"/>
      <c r="BL26" s="226"/>
      <c r="BM26" s="227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List'!$A$23:$H$3256,2,FALSE)),"+","")</f>
        <v/>
      </c>
      <c r="C27" s="93" t="str">
        <f>IF(ISTEXT(VLOOKUP(CONCATENATE($A27,"_",C$3),'Unit List'!$A$23:$H$3256,2,FALSE)),"X",$B27)</f>
        <v/>
      </c>
      <c r="D27" s="60" t="str">
        <f>IF(ISTEXT(VLOOKUP(CONCATENATE($A27,"_",D$3),'Unit List'!$A$23:$H$3256,2,FALSE)),"X",$B27)</f>
        <v/>
      </c>
      <c r="E27" s="51" t="str">
        <f>IF(ISTEXT(VLOOKUP(CONCATENATE($A27,"_",E$3),'Unit List'!$A$23:$H$3256,2,FALSE)),"X",$B27)</f>
        <v/>
      </c>
      <c r="F27" s="67" t="str">
        <f>IF(ISTEXT(VLOOKUP(CONCATENATE($A27,"_",F$3),'Unit List'!$A$23:$H$3256,2,FALSE)),"X",$B27)</f>
        <v>X</v>
      </c>
      <c r="G27" s="67" t="str">
        <f>IF(ISTEXT(VLOOKUP(CONCATENATE($A27,"_",G$3),'Unit List'!$A$23:$H$3256,2,FALSE)),"X",$B27)</f>
        <v>X</v>
      </c>
      <c r="H27" s="67" t="str">
        <f>IF(ISTEXT(VLOOKUP(CONCATENATE($A27,"_",H$3),'Unit List'!$A$23:$H$3256,2,FALSE)),"X",$B27)</f>
        <v>X</v>
      </c>
      <c r="I27" s="53" t="str">
        <f>IF(ISTEXT(VLOOKUP(CONCATENATE($A27,"_",I$3),'Unit List'!$A$23:$H$3256,2,FALSE)),"X",$B27)</f>
        <v/>
      </c>
      <c r="J27" s="172" t="str">
        <f>IF(ISTEXT(VLOOKUP(CONCATENATE($A27,"_",J$3),'Unit List'!$A$23:$H$3256,2,FALSE)),"+","")</f>
        <v>+</v>
      </c>
      <c r="K27" s="94" t="str">
        <f>IF(ISTEXT(VLOOKUP(CONCATENATE($A27,"_",K$3),'Unit List'!$A$23:$H$3256,2,FALSE)),"X",$J27)</f>
        <v>+</v>
      </c>
      <c r="L27" s="68" t="str">
        <f>IF(ISTEXT(VLOOKUP(CONCATENATE($A27,"_",L$3),'Unit List'!$A$23:$H$3256,2,FALSE)),"X",$J27)</f>
        <v>+</v>
      </c>
      <c r="M27" s="172" t="str">
        <f>IF(ISTEXT(VLOOKUP(CONCATENATE($A27,"_",M$3),'Unit List'!$A$23:$H$3256,2,FALSE)),"+","")</f>
        <v>+</v>
      </c>
      <c r="N27" s="51" t="str">
        <f>IF(ISTEXT(VLOOKUP(CONCATENATE($A27,"_",N$3),'Unit List'!$A$23:$H$3256,2,FALSE)),"X",$M27)</f>
        <v>+</v>
      </c>
      <c r="O27" s="70" t="str">
        <f>IF(ISTEXT(VLOOKUP(CONCATENATE($A27,"_",O$3),'Unit List'!$A$23:$H$3256,2,FALSE)),"X",$M27)</f>
        <v>X</v>
      </c>
      <c r="P27" s="171" t="str">
        <f>IF(ISTEXT(VLOOKUP(CONCATENATE($A27,"_",P$3),'Unit List'!$A$23:$H$3256,2,FALSE)),"+","")</f>
        <v>+</v>
      </c>
      <c r="Q27" s="51" t="str">
        <f>IF(ISTEXT(VLOOKUP(CONCATENATE($A27,"_",Q$3),'Unit List'!$A$23:$H$3256,2,FALSE)),"X",$P27)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List'!$A$23:$H$3256,2,FALSE)),"X",$P27)</f>
        <v>+</v>
      </c>
      <c r="U27" s="67" t="str">
        <f>IF(ISTEXT(VLOOKUP(CONCATENATE($A27,"_",U$3),'Unit List'!$A$23:$H$3256,2,FALSE)),"X",$P27)</f>
        <v>X</v>
      </c>
      <c r="V27" s="67" t="str">
        <f>IF(ISTEXT(VLOOKUP(CONCATENATE($A27,"_",V$3),'Unit List'!$A$23:$H$3256,2,FALSE)),"X",$P27)</f>
        <v>X</v>
      </c>
      <c r="W27" s="53" t="str">
        <f>IF(ISTEXT(VLOOKUP(CONCATENATE($A27,"_",W$3),'Unit List'!$A$23:$H$3256,2,FALSE)),"X",$P27)</f>
        <v>+</v>
      </c>
      <c r="X27" s="171" t="str">
        <f>IF(ISTEXT(VLOOKUP(CONCATENATE($A27,"_",X$3),'Unit List'!$A$23:$H$3256,2,FALSE)),"+","")</f>
        <v>+</v>
      </c>
      <c r="Y27" s="67" t="str">
        <f>IF(ISTEXT(VLOOKUP(CONCATENATE($A27,"_",Y$3),'Unit List'!$A$23:$H$3256,2,FALSE)),"X",$X27)</f>
        <v>X</v>
      </c>
      <c r="Z27" s="51" t="str">
        <f>IF(ISTEXT(VLOOKUP(CONCATENATE($A27,"_",Z$3),'Unit List'!$A$23:$H$3256,2,FALSE)),"X",$X27)</f>
        <v>+</v>
      </c>
      <c r="AA27" s="67" t="str">
        <f>IF(ISTEXT(VLOOKUP(CONCATENATE($A27,"_",AA$3),'Unit List'!$A$23:$H$3256,2,FALSE)),"X",$X27)</f>
        <v>X</v>
      </c>
      <c r="AB27" s="67" t="str">
        <f>IF(ISTEXT(VLOOKUP(CONCATENATE($A27,"_",AB$3),'Unit List'!$A$23:$H$3256,2,FALSE)),"X",$X27)</f>
        <v>X</v>
      </c>
      <c r="AC27" s="86" t="str">
        <f>IF(ISTEXT(VLOOKUP(CONCATENATE($A27,"_",AC$3),'Unit List'!$A$23:$H$3256,2,FALSE)),"X",$X27)</f>
        <v>X</v>
      </c>
      <c r="AD27" s="171" t="str">
        <f>IF(ISTEXT(VLOOKUP(CONCATENATE($A27,"_",AD$3),'Unit List'!$A$23:$H$3256,2,FALSE)),"+","")</f>
        <v/>
      </c>
      <c r="AE27" s="89" t="s">
        <v>0</v>
      </c>
      <c r="AF27" s="51" t="str">
        <f>IF(ISTEXT(VLOOKUP(CONCATENATE($A27,"_",AF$3),'Unit List'!$A$23:$H$3256,2,FALSE)),"X",$AD27)</f>
        <v/>
      </c>
      <c r="AG27" s="171" t="str">
        <f>IF(ISTEXT(VLOOKUP(CONCATENATE($A27,"_",AG$3),'Unit List'!$A$23:$H$3256,2,FALSE)),"+","")</f>
        <v>+</v>
      </c>
      <c r="AH27" s="67" t="str">
        <f>IF(ISTEXT(VLOOKUP(CONCATENATE($A27,"_",AH$3),'Unit List'!$A$23:$H$3256,2,FALSE)),"X",$AG27)</f>
        <v>X</v>
      </c>
      <c r="AI27" s="51" t="str">
        <f>IF(ISTEXT(VLOOKUP(CONCATENATE($A27,"_",AI$3),'Unit List'!$A$23:$H$3256,2,FALSE)),"X",$AG27)</f>
        <v>X</v>
      </c>
      <c r="AJ27" s="71" t="str">
        <f>IF(ISTEXT(VLOOKUP(CONCATENATE($A27,"_",AJ$3),'Unit List'!$A$23:$H$3256,2,FALSE)),"X",$AG27)</f>
        <v>+</v>
      </c>
      <c r="AK27" s="171" t="str">
        <f>IF(ISTEXT(VLOOKUP(CONCATENATE($A27,"_",AK$3),'Unit List'!$A$23:$H$3256,2,FALSE)),"+","")</f>
        <v>+</v>
      </c>
      <c r="AL27" s="52" t="str">
        <f>IF(ISTEXT(VLOOKUP(CONCATENATE($A27,"_",AL$3),'Unit List'!$A$23:$H$3256,2,FALSE)),"X",$AK27)</f>
        <v>+</v>
      </c>
      <c r="AM27" s="70" t="str">
        <f>IF(ISTEXT(VLOOKUP(CONCATENATE($A27,"_",AM$3),'Unit List'!$A$23:$H$3256,2,FALSE)),"X",$AK27)</f>
        <v>X</v>
      </c>
      <c r="AN27" s="125" t="str">
        <f>IF(ISTEXT(VLOOKUP(CONCATENATE($A27,"_",AN$3),'Unit List'!$A$23:$H$3256,2,FALSE)),"+","")</f>
        <v>+</v>
      </c>
      <c r="AO27" s="70" t="str">
        <f>IF(ISTEXT(VLOOKUP(CONCATENATE($A27,"_",AO$3),'Unit List'!$A$23:$H$3256,2,FALSE)),"X",$AN27)</f>
        <v>+</v>
      </c>
      <c r="AP27" s="171" t="str">
        <f>IF(ISTEXT(VLOOKUP(CONCATENATE($A27,"_",AP$3),'Unit List'!$A$23:$H$3256,2,FALSE)),"+","")</f>
        <v>+</v>
      </c>
      <c r="AQ27" s="67" t="str">
        <f>IF(ISTEXT(VLOOKUP(CONCATENATE($A27,"_",AQ$3),'Unit List'!$A$23:$H$3256,2,FALSE)),"X",$AP27)</f>
        <v>X</v>
      </c>
      <c r="AR27" s="67" t="str">
        <f>IF(ISTEXT(VLOOKUP(CONCATENATE($A27,"_",AR$3),'Unit List'!$A$23:$H$3256,2,FALSE)),"X",$AP27)</f>
        <v>X</v>
      </c>
      <c r="AS27" s="67" t="str">
        <f>IF(ISTEXT(VLOOKUP(CONCATENATE($A27,"_",AS$3),'Unit List'!$A$23:$H$3256,2,FALSE)),"X",$AP27)</f>
        <v>X</v>
      </c>
      <c r="AT27" s="70" t="str">
        <f>IF(ISTEXT(VLOOKUP(CONCATENATE($A27,"_",AT$3),'Unit List'!$A$23:$H$3256,2,FALSE)),"X",$AP27)</f>
        <v>X</v>
      </c>
      <c r="AU27" s="124" t="str">
        <f>IF(ISTEXT(VLOOKUP(CONCATENATE($A27,"_",AU$3),'Unit List'!$A$23:$H$3256,2,FALSE)),"+","")</f>
        <v>+</v>
      </c>
      <c r="AV27" s="69" t="str">
        <f>IF(ISTEXT(VLOOKUP(CONCATENATE($A27,"_",AV$3),'Unit List'!$A$23:$H$3256,2,FALSE)),"X",$AU27)</f>
        <v>+</v>
      </c>
      <c r="AW27" s="53" t="str">
        <f>IF(ISTEXT(VLOOKUP(CONCATENATE($A27,"_",AW$3),'Unit List'!$A$23:$H$3256,2,FALSE)),"X",$AU27)</f>
        <v>+</v>
      </c>
      <c r="AX27" s="172" t="str">
        <f>IF(ISTEXT(VLOOKUP(CONCATENATE($A27,"_",AX$3),'Unit List'!$A$23:$H$3256,2,FALSE)),"+","")</f>
        <v>+</v>
      </c>
      <c r="AY27" s="67" t="str">
        <f>IF(ISTEXT(VLOOKUP(CONCATENATE($A27,"_",AY$3),'Unit List'!$A$23:$H$3256,2,FALSE)),"X",$AX27)</f>
        <v>X</v>
      </c>
      <c r="AZ27" s="70" t="str">
        <f>IF(ISTEXT(VLOOKUP(CONCATENATE($A27,"_",AZ$3),'Unit List'!$A$23:$H$3256,2,FALSE)),"X",$AX27)</f>
        <v>+</v>
      </c>
      <c r="BA27" s="171" t="str">
        <f>IF(ISTEXT(VLOOKUP(CONCATENATE($A27,"_",BA$3),'Unit List'!$A$23:$H$3256,2,FALSE)),"+","")</f>
        <v>+</v>
      </c>
      <c r="BB27" s="67" t="str">
        <f>IF(ISTEXT(VLOOKUP(CONCATENATE($A27,"_",BB$3),'Unit List'!$A$23:$H$3256,2,FALSE)),"X",$BA27)</f>
        <v>X</v>
      </c>
      <c r="BC27" s="67" t="str">
        <f>IF(ISTEXT(VLOOKUP(CONCATENATE($A27,"_",BC$3),'Unit List'!$A$23:$H$3256,2,FALSE)),"X",$BA27)</f>
        <v>X</v>
      </c>
      <c r="BD27" s="70" t="str">
        <f>IF(ISTEXT(VLOOKUP(CONCATENATE($A27,"_",BD$3),'Unit List'!$A$23:$H$3256,2,FALSE)),"X",$BA27)</f>
        <v>X</v>
      </c>
      <c r="BE27" s="125" t="str">
        <f>IF(ISTEXT(VLOOKUP(CONCATENATE($A27,"_",BE$3),'Unit List'!$A$23:$H$3256,2,FALSE)),"+","")</f>
        <v>+</v>
      </c>
      <c r="BF27" s="62" t="str">
        <f>IF(ISTEXT(VLOOKUP(CONCATENATE($A27,"_",BF$3),'Unit List'!$A$23:$H$3256,2,FALSE)),"X",$BE27)</f>
        <v>+</v>
      </c>
      <c r="BG27" s="75"/>
      <c r="BH27" s="76" t="s">
        <v>0</v>
      </c>
      <c r="BI27" s="225" t="s">
        <v>12</v>
      </c>
      <c r="BJ27" s="228"/>
      <c r="BK27" s="228"/>
      <c r="BL27" s="228"/>
      <c r="BM27" s="229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List'!$A$23:$H$3256,2,FALSE)),"+","")</f>
        <v>+</v>
      </c>
      <c r="C28" s="57" t="str">
        <f>IF(ISTEXT(VLOOKUP(CONCATENATE($A28,"_",C$3),'Unit List'!$A$23:$H$3256,2,FALSE)),"X",$B28)</f>
        <v>X</v>
      </c>
      <c r="D28" s="51" t="str">
        <f>IF(ISTEXT(VLOOKUP(CONCATENATE($A28,"_",D$3),'Unit List'!$A$23:$H$3256,2,FALSE)),"X",$B28)</f>
        <v>X</v>
      </c>
      <c r="E28" s="51" t="str">
        <f>IF(ISTEXT(VLOOKUP(CONCATENATE($A28,"_",E$3),'Unit List'!$A$23:$H$3256,2,FALSE)),"X",$B28)</f>
        <v>X</v>
      </c>
      <c r="F28" s="60" t="str">
        <f>IF(ISTEXT(VLOOKUP(CONCATENATE($A28,"_",F$3),'Unit List'!$A$23:$H$3256,2,FALSE)),"X",$B28)</f>
        <v>X</v>
      </c>
      <c r="G28" s="51" t="str">
        <f>IF(ISTEXT(VLOOKUP(CONCATENATE($A28,"_",G$3),'Unit List'!$A$23:$H$3256,2,FALSE)),"X",$B28)</f>
        <v>X</v>
      </c>
      <c r="H28" s="51" t="str">
        <f>IF(ISTEXT(VLOOKUP(CONCATENATE($A28,"_",H$3),'Unit List'!$A$23:$H$3256,2,FALSE)),"X",$B28)</f>
        <v>X</v>
      </c>
      <c r="I28" s="53" t="str">
        <f>IF(ISTEXT(VLOOKUP(CONCATENATE($A28,"_",I$3),'Unit List'!$A$23:$H$3256,2,FALSE)),"X",$B28)</f>
        <v>+</v>
      </c>
      <c r="J28" s="172" t="str">
        <f>IF(ISTEXT(VLOOKUP(CONCATENATE($A28,"_",J$3),'Unit List'!$A$23:$H$3256,2,FALSE)),"+","")</f>
        <v/>
      </c>
      <c r="K28" s="51" t="str">
        <f>IF(ISTEXT(VLOOKUP(CONCATENATE($A28,"_",K$3),'Unit List'!$A$23:$H$3256,2,FALSE)),"X",$J28)</f>
        <v/>
      </c>
      <c r="L28" s="62" t="str">
        <f>IF(ISTEXT(VLOOKUP(CONCATENATE($A28,"_",L$3),'Unit List'!$A$23:$H$3256,2,FALSE)),"X",$J28)</f>
        <v/>
      </c>
      <c r="M28" s="172" t="str">
        <f>IF(ISTEXT(VLOOKUP(CONCATENATE($A28,"_",M$3),'Unit List'!$A$23:$H$3256,2,FALSE)),"+","")</f>
        <v>+</v>
      </c>
      <c r="N28" s="51" t="str">
        <f>IF(ISTEXT(VLOOKUP(CONCATENATE($A28,"_",N$3),'Unit List'!$A$23:$H$3256,2,FALSE)),"X",$M28)</f>
        <v>+</v>
      </c>
      <c r="O28" s="53" t="str">
        <f>IF(ISTEXT(VLOOKUP(CONCATENATE($A28,"_",O$3),'Unit List'!$A$23:$H$3256,2,FALSE)),"X",$M28)</f>
        <v>X</v>
      </c>
      <c r="P28" s="172" t="str">
        <f>IF(ISTEXT(VLOOKUP(CONCATENATE($A28,"_",P$3),'Unit List'!$A$23:$H$3256,2,FALSE)),"+","")</f>
        <v>+</v>
      </c>
      <c r="Q28" s="51" t="str">
        <f>IF(ISTEXT(VLOOKUP(CONCATENATE($A28,"_",Q$3),'Unit List'!$A$23:$H$3256,2,FALSE)),"X",$P28)</f>
        <v>+</v>
      </c>
      <c r="R28" s="51" t="str">
        <f>IF(ISTEXT(VLOOKUP(CONCATENATE($A28,"_",R$3),'Unit List'!$A$23:$H$3256,2,FALSE)),"X",$P28)</f>
        <v>+</v>
      </c>
      <c r="S28" s="51" t="str">
        <f>IF(ISTEXT(VLOOKUP(CONCATENATE($A28,"_",S$3),'Unit List'!$A$23:$H$3256,2,FALSE)),"X",$P28)</f>
        <v>+</v>
      </c>
      <c r="T28" s="52" t="str">
        <f>IF(ISTEXT(VLOOKUP(CONCATENATE($A28,"_",T$3),'Unit List'!$A$23:$H$3256,2,FALSE)),"X",$P28)</f>
        <v>+</v>
      </c>
      <c r="U28" s="51" t="str">
        <f>IF(ISTEXT(VLOOKUP(CONCATENATE($A28,"_",U$3),'Unit List'!$A$23:$H$3256,2,FALSE)),"X",$P28)</f>
        <v>X</v>
      </c>
      <c r="V28" s="51" t="str">
        <f>IF(ISTEXT(VLOOKUP(CONCATENATE($A28,"_",V$3),'Unit List'!$A$23:$H$3256,2,FALSE)),"X",$P28)</f>
        <v>X</v>
      </c>
      <c r="W28" s="53" t="str">
        <f>IF(ISTEXT(VLOOKUP(CONCATENATE($A28,"_",W$3),'Unit List'!$A$23:$H$3256,2,FALSE)),"X",$P28)</f>
        <v>+</v>
      </c>
      <c r="X28" s="172" t="str">
        <f>IF(ISTEXT(VLOOKUP(CONCATENATE($A28,"_",X$3),'Unit List'!$A$23:$H$3256,2,FALSE)),"+","")</f>
        <v/>
      </c>
      <c r="Y28" s="51" t="str">
        <f>IF(ISTEXT(VLOOKUP(CONCATENATE($A28,"_",Y$3),'Unit List'!$A$23:$H$3256,2,FALSE)),"X",$X28)</f>
        <v/>
      </c>
      <c r="Z28" s="51" t="str">
        <f>IF(ISTEXT(VLOOKUP(CONCATENATE($A28,"_",Z$3),'Unit List'!$A$23:$H$3256,2,FALSE)),"X",$X28)</f>
        <v/>
      </c>
      <c r="AA28" s="51" t="str">
        <f>IF(ISTEXT(VLOOKUP(CONCATENATE($A28,"_",AA$3),'Unit List'!$A$23:$H$3256,2,FALSE)),"X",$X28)</f>
        <v/>
      </c>
      <c r="AB28" s="51" t="str">
        <f>IF(ISTEXT(VLOOKUP(CONCATENATE($A28,"_",AB$3),'Unit List'!$A$23:$H$3256,2,FALSE)),"X",$X28)</f>
        <v/>
      </c>
      <c r="AC28" s="62" t="str">
        <f>IF(ISTEXT(VLOOKUP(CONCATENATE($A28,"_",AC$3),'Unit List'!$A$23:$H$3256,2,FALSE)),"X",$X28)</f>
        <v/>
      </c>
      <c r="AD28" s="172" t="str">
        <f>IF(ISTEXT(VLOOKUP(CONCATENATE($A28,"_",AD$3),'Unit List'!$A$23:$H$3256,2,FALSE)),"+","")</f>
        <v>+</v>
      </c>
      <c r="AE28" s="51" t="str">
        <f>IF(ISTEXT(VLOOKUP(CONCATENATE($A28,"_",AE$3),'Unit List'!$A$23:$H$3256,2,FALSE)),"X",$AD28)</f>
        <v>+</v>
      </c>
      <c r="AF28" s="51" t="str">
        <f>IF(ISTEXT(VLOOKUP(CONCATENATE($A28,"_",AF$3),'Unit List'!$A$23:$H$3256,2,FALSE)),"X",$AD28)</f>
        <v>+</v>
      </c>
      <c r="AG28" s="172" t="str">
        <f>IF(ISTEXT(VLOOKUP(CONCATENATE($A28,"_",AG$3),'Unit List'!$A$23:$H$3256,2,FALSE)),"+","")</f>
        <v/>
      </c>
      <c r="AH28" s="51" t="str">
        <f>IF(ISTEXT(VLOOKUP(CONCATENATE($A28,"_",AH$3),'Unit List'!$A$23:$H$3256,2,FALSE)),"X",$AG28)</f>
        <v/>
      </c>
      <c r="AI28" s="51" t="str">
        <f>IF(ISTEXT(VLOOKUP(CONCATENATE($A28,"_",AI$3),'Unit List'!$A$23:$H$3256,2,FALSE)),"X",$AG28)</f>
        <v/>
      </c>
      <c r="AJ28" s="53" t="str">
        <f>IF(ISTEXT(VLOOKUP(CONCATENATE($A28,"_",AJ$3),'Unit List'!$A$23:$H$3256,2,FALSE)),"X",$AG28)</f>
        <v/>
      </c>
      <c r="AK28" s="172" t="str">
        <f>IF(ISTEXT(VLOOKUP(CONCATENATE($A28,"_",AK$3),'Unit List'!$A$23:$H$3256,2,FALSE)),"+","")</f>
        <v>+</v>
      </c>
      <c r="AL28" s="52" t="str">
        <f>IF(ISTEXT(VLOOKUP(CONCATENATE($A28,"_",AL$3),'Unit List'!$A$23:$H$3256,2,FALSE)),"X",$AK28)</f>
        <v>+</v>
      </c>
      <c r="AM28" s="53" t="str">
        <f>IF(ISTEXT(VLOOKUP(CONCATENATE($A28,"_",AM$3),'Unit List'!$A$23:$H$3256,2,FALSE)),"X",$AK28)</f>
        <v>+</v>
      </c>
      <c r="AN28" s="125" t="str">
        <f>IF(ISTEXT(VLOOKUP(CONCATENATE($A28,"_",AN$3),'Unit List'!$A$23:$H$3256,2,FALSE)),"+","")</f>
        <v>+</v>
      </c>
      <c r="AO28" s="53" t="str">
        <f>IF(ISTEXT(VLOOKUP(CONCATENATE($A28,"_",AO$3),'Unit List'!$A$23:$H$3256,2,FALSE)),"X",$AN28)</f>
        <v>+</v>
      </c>
      <c r="AP28" s="172" t="str">
        <f>IF(ISTEXT(VLOOKUP(CONCATENATE($A28,"_",AP$3),'Unit List'!$A$23:$H$3256,2,FALSE)),"+","")</f>
        <v>+</v>
      </c>
      <c r="AQ28" s="51" t="str">
        <f>IF(ISTEXT(VLOOKUP(CONCATENATE($A28,"_",AQ$3),'Unit List'!$A$23:$H$3256,2,FALSE)),"X",$AP28)</f>
        <v>+</v>
      </c>
      <c r="AR28" s="51" t="str">
        <f>IF(ISTEXT(VLOOKUP(CONCATENATE($A28,"_",AR$3),'Unit List'!$A$23:$H$3256,2,FALSE)),"X",$AP28)</f>
        <v>X</v>
      </c>
      <c r="AS28" s="51" t="str">
        <f>IF(ISTEXT(VLOOKUP(CONCATENATE($A28,"_",AS$3),'Unit List'!$A$23:$H$3256,2,FALSE)),"X",$AP28)</f>
        <v>+</v>
      </c>
      <c r="AT28" s="53" t="str">
        <f>IF(ISTEXT(VLOOKUP(CONCATENATE($A28,"_",AT$3),'Unit List'!$A$23:$H$3256,2,FALSE)),"X",$AP28)</f>
        <v>+</v>
      </c>
      <c r="AU28" s="124" t="str">
        <f>IF(ISTEXT(VLOOKUP(CONCATENATE($A28,"_",AU$3),'Unit List'!$A$23:$H$3256,2,FALSE)),"+","")</f>
        <v>+</v>
      </c>
      <c r="AV28" s="51" t="str">
        <f>IF(ISTEXT(VLOOKUP(CONCATENATE($A28,"_",AV$3),'Unit List'!$A$23:$H$3256,2,FALSE)),"X",$AU28)</f>
        <v>+</v>
      </c>
      <c r="AW28" s="53" t="str">
        <f>IF(ISTEXT(VLOOKUP(CONCATENATE($A28,"_",AW$3),'Unit List'!$A$23:$H$3256,2,FALSE)),"X",$AU28)</f>
        <v>+</v>
      </c>
      <c r="AX28" s="172" t="str">
        <f>IF(ISTEXT(VLOOKUP(CONCATENATE($A28,"_",AX$3),'Unit List'!$A$23:$H$3256,2,FALSE)),"+","")</f>
        <v>+</v>
      </c>
      <c r="AY28" s="51" t="str">
        <f>IF(ISTEXT(VLOOKUP(CONCATENATE($A28,"_",AY$3),'Unit List'!$A$23:$H$3256,2,FALSE)),"X",$AX28)</f>
        <v>+</v>
      </c>
      <c r="AZ28" s="53" t="str">
        <f>IF(ISTEXT(VLOOKUP(CONCATENATE($A28,"_",AZ$3),'Unit List'!$A$23:$H$3256,2,FALSE)),"X",$AX28)</f>
        <v>+</v>
      </c>
      <c r="BA28" s="182" t="str">
        <f>IF(ISTEXT(VLOOKUP(CONCATENATE($A28,"_",BA$3),'Unit List'!$A$23:$H$3256,2,FALSE)),"+","")</f>
        <v/>
      </c>
      <c r="BB28" s="51" t="str">
        <f>IF(ISTEXT(VLOOKUP(CONCATENATE($A28,"_",BB$3),'Unit List'!$A$23:$H$3256,2,FALSE)),"X",$BA28)</f>
        <v/>
      </c>
      <c r="BC28" s="51" t="str">
        <f>IF(ISTEXT(VLOOKUP(CONCATENATE($A28,"_",BC$3),'Unit List'!$A$23:$H$3256,2,FALSE)),"X",$BA28)</f>
        <v/>
      </c>
      <c r="BD28" s="53" t="str">
        <f>IF(ISTEXT(VLOOKUP(CONCATENATE($A28,"_",BD$3),'Unit List'!$A$23:$H$3256,2,FALSE)),"X",$BA28)</f>
        <v/>
      </c>
      <c r="BE28" s="125" t="str">
        <f>IF(ISTEXT(VLOOKUP(CONCATENATE($A28,"_",BE$3),'Unit List'!$A$23:$H$3256,2,FALSE)),"+","")</f>
        <v/>
      </c>
      <c r="BF28" s="62" t="str">
        <f>IF(ISTEXT(VLOOKUP(CONCATENATE($A28,"_",BF$3),'Unit List'!$A$23:$H$3256,2,FALSE)),"X",$BE28)</f>
        <v/>
      </c>
      <c r="BG28" s="64"/>
      <c r="BH28" s="65" t="s">
        <v>0</v>
      </c>
      <c r="BI28" s="225"/>
      <c r="BJ28" s="226"/>
      <c r="BK28" s="226"/>
      <c r="BL28" s="226"/>
      <c r="BM28" s="227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List'!$A$23:$H$3256,2,FALSE)),"+","")</f>
        <v/>
      </c>
      <c r="C29" s="82" t="str">
        <f>IF(ISTEXT(VLOOKUP(CONCATENATE($A29,"_",C$3),'Unit List'!$A$23:$H$3256,2,FALSE)),"X",$B29)</f>
        <v>X</v>
      </c>
      <c r="D29" s="67" t="str">
        <f>IF(ISTEXT(VLOOKUP(CONCATENATE($A29,"_",D$3),'Unit List'!$A$23:$H$3256,2,FALSE)),"X",$B29)</f>
        <v>X</v>
      </c>
      <c r="E29" s="51" t="str">
        <f>IF(ISTEXT(VLOOKUP(CONCATENATE($A29,"_",E$3),'Unit List'!$A$23:$H$3256,2,FALSE)),"X",$B29)</f>
        <v>X</v>
      </c>
      <c r="F29" s="67" t="str">
        <f>IF(ISTEXT(VLOOKUP(CONCATENATE($A29,"_",F$3),'Unit List'!$A$23:$H$3256,2,FALSE)),"X",$B29)</f>
        <v>X</v>
      </c>
      <c r="G29" s="51" t="str">
        <f>IF(ISTEXT(VLOOKUP(CONCATENATE($A29,"_",G$3),'Unit List'!$A$23:$H$3256,2,FALSE)),"X",$B29)</f>
        <v>X</v>
      </c>
      <c r="H29" s="67" t="str">
        <f>IF(ISTEXT(VLOOKUP(CONCATENATE($A29,"_",H$3),'Unit List'!$A$23:$H$3256,2,FALSE)),"X",$B29)</f>
        <v>X</v>
      </c>
      <c r="I29" s="53" t="str">
        <f>IF(ISTEXT(VLOOKUP(CONCATENATE($A29,"_",I$3),'Unit List'!$A$23:$H$3256,2,FALSE)),"X",$B29)</f>
        <v/>
      </c>
      <c r="J29" s="172" t="str">
        <f>IF(ISTEXT(VLOOKUP(CONCATENATE($A29,"_",J$3),'Unit List'!$A$23:$H$3256,2,FALSE)),"+","")</f>
        <v>+</v>
      </c>
      <c r="K29" s="51" t="str">
        <f>IF(ISTEXT(VLOOKUP(CONCATENATE($A29,"_",K$3),'Unit List'!$A$23:$H$3256,2,FALSE)),"X",$J29)</f>
        <v>+</v>
      </c>
      <c r="L29" s="62" t="str">
        <f>IF(ISTEXT(VLOOKUP(CONCATENATE($A29,"_",L$3),'Unit List'!$A$23:$H$3256,2,FALSE)),"X",$J29)</f>
        <v>+</v>
      </c>
      <c r="M29" s="172" t="str">
        <f>IF(ISTEXT(VLOOKUP(CONCATENATE($A29,"_",M$3),'Unit List'!$A$23:$H$3256,2,FALSE)),"+","")</f>
        <v>+</v>
      </c>
      <c r="N29" s="51" t="str">
        <f>IF(ISTEXT(VLOOKUP(CONCATENATE($A29,"_",N$3),'Unit List'!$A$23:$H$3256,2,FALSE)),"X",$M29)</f>
        <v>+</v>
      </c>
      <c r="O29" s="70" t="str">
        <f>IF(ISTEXT(VLOOKUP(CONCATENATE($A29,"_",O$3),'Unit List'!$A$23:$H$3256,2,FALSE)),"X",$M29)</f>
        <v>X</v>
      </c>
      <c r="P29" s="172" t="str">
        <f>IF(ISTEXT(VLOOKUP(CONCATENATE($A29,"_",P$3),'Unit List'!$A$23:$H$3256,2,FALSE)),"+","")</f>
        <v/>
      </c>
      <c r="Q29" s="51" t="str">
        <f>IF(ISTEXT(VLOOKUP(CONCATENATE($A29,"_",Q$3),'Unit List'!$A$23:$H$3256,2,FALSE)),"X",$P29)</f>
        <v/>
      </c>
      <c r="R29" s="51" t="str">
        <f>IF(ISTEXT(VLOOKUP(CONCATENATE($A29,"_",R$3),'Unit List'!$A$23:$H$3256,2,FALSE)),"X",$P29)</f>
        <v/>
      </c>
      <c r="S29" s="67" t="str">
        <f>IF(ISTEXT(VLOOKUP(CONCATENATE($A29,"_",S$3),'Unit List'!$A$23:$H$3256,2,FALSE)),"X",$P29)</f>
        <v>X</v>
      </c>
      <c r="T29" s="87" t="str">
        <f>IF(ISTEXT(VLOOKUP(CONCATENATE($A29,"_",T$3),'Unit List'!$A$23:$H$3256,2,FALSE)),"X",$P29)</f>
        <v>X</v>
      </c>
      <c r="U29" s="67" t="str">
        <f>IF(ISTEXT(VLOOKUP(CONCATENATE($A29,"_",U$3),'Unit List'!$A$23:$H$3256,2,FALSE)),"X",$P29)</f>
        <v>X</v>
      </c>
      <c r="V29" s="67" t="str">
        <f>IF(ISTEXT(VLOOKUP(CONCATENATE($A29,"_",V$3),'Unit List'!$A$23:$H$3256,2,FALSE)),"X",$P29)</f>
        <v>X</v>
      </c>
      <c r="W29" s="53" t="str">
        <f>IF(ISTEXT(VLOOKUP(CONCATENATE($A29,"_",W$3),'Unit List'!$A$23:$H$3256,2,FALSE)),"X",$P29)</f>
        <v/>
      </c>
      <c r="X29" s="172" t="str">
        <f>IF(ISTEXT(VLOOKUP(CONCATENATE($A29,"_",X$3),'Unit List'!$A$23:$H$3256,2,FALSE)),"+","")</f>
        <v/>
      </c>
      <c r="Y29" s="51" t="str">
        <f>IF(ISTEXT(VLOOKUP(CONCATENATE($A29,"_",Y$3),'Unit List'!$A$23:$H$3256,2,FALSE)),"X",$X29)</f>
        <v/>
      </c>
      <c r="Z29" s="51" t="str">
        <f>IF(ISTEXT(VLOOKUP(CONCATENATE($A29,"_",Z$3),'Unit List'!$A$23:$H$3256,2,FALSE)),"X",$X29)</f>
        <v/>
      </c>
      <c r="AA29" s="67" t="str">
        <f>IF(ISTEXT(VLOOKUP(CONCATENATE($A29,"_",AA$3),'Unit List'!$A$23:$H$3256,2,FALSE)),"X",$X29)</f>
        <v>X</v>
      </c>
      <c r="AB29" s="67" t="str">
        <f>IF(ISTEXT(VLOOKUP(CONCATENATE($A29,"_",AB$3),'Unit List'!$A$23:$H$3256,2,FALSE)),"X",$X29)</f>
        <v>X</v>
      </c>
      <c r="AC29" s="86" t="str">
        <f>IF(ISTEXT(VLOOKUP(CONCATENATE($A29,"_",AC$3),'Unit List'!$A$23:$H$3256,2,FALSE)),"X",$X29)</f>
        <v>X</v>
      </c>
      <c r="AD29" s="172" t="str">
        <f>IF(ISTEXT(VLOOKUP(CONCATENATE($A29,"_",AD$3),'Unit List'!$A$23:$H$3256,2,FALSE)),"+","")</f>
        <v>+</v>
      </c>
      <c r="AE29" s="51" t="str">
        <f>IF(ISTEXT(VLOOKUP(CONCATENATE($A29,"_",AE$3),'Unit List'!$A$23:$H$3256,2,FALSE)),"X",$AD29)</f>
        <v>+</v>
      </c>
      <c r="AF29" s="51" t="str">
        <f>IF(ISTEXT(VLOOKUP(CONCATENATE($A29,"_",AF$3),'Unit List'!$A$23:$H$3256,2,FALSE)),"X",$AD29)</f>
        <v>+</v>
      </c>
      <c r="AG29" s="172" t="str">
        <f>IF(ISTEXT(VLOOKUP(CONCATENATE($A29,"_",AG$3),'Unit List'!$A$23:$H$3256,2,FALSE)),"+","")</f>
        <v/>
      </c>
      <c r="AH29" s="51" t="str">
        <f>IF(ISTEXT(VLOOKUP(CONCATENATE($A29,"_",AH$3),'Unit List'!$A$23:$H$3256,2,FALSE)),"X",$AG29)</f>
        <v/>
      </c>
      <c r="AI29" s="51" t="str">
        <f>IF(ISTEXT(VLOOKUP(CONCATENATE($A29,"_",AI$3),'Unit List'!$A$23:$H$3256,2,FALSE)),"X",$AG29)</f>
        <v/>
      </c>
      <c r="AJ29" s="53" t="str">
        <f>IF(ISTEXT(VLOOKUP(CONCATENATE($A29,"_",AJ$3),'Unit List'!$A$23:$H$3256,2,FALSE)),"X",$AG29)</f>
        <v>X</v>
      </c>
      <c r="AK29" s="172" t="str">
        <f>IF(ISTEXT(VLOOKUP(CONCATENATE($A29,"_",AK$3),'Unit List'!$A$23:$H$3256,2,FALSE)),"+","")</f>
        <v/>
      </c>
      <c r="AL29" s="52" t="str">
        <f>IF(ISTEXT(VLOOKUP(CONCATENATE($A29,"_",AL$3),'Unit List'!$A$23:$H$3256,2,FALSE)),"X",$AK29)</f>
        <v/>
      </c>
      <c r="AM29" s="70" t="str">
        <f>IF(ISTEXT(VLOOKUP(CONCATENATE($A29,"_",AM$3),'Unit List'!$A$23:$H$3256,2,FALSE)),"X",$AK29)</f>
        <v>X</v>
      </c>
      <c r="AN29" s="125" t="str">
        <f>IF(ISTEXT(VLOOKUP(CONCATENATE($A29,"_",AN$3),'Unit List'!$A$23:$H$3256,2,FALSE)),"+","")</f>
        <v>+</v>
      </c>
      <c r="AO29" s="70" t="str">
        <f>IF(ISTEXT(VLOOKUP(CONCATENATE($A29,"_",AO$3),'Unit List'!$A$23:$H$3256,2,FALSE)),"X",$AN29)</f>
        <v>X</v>
      </c>
      <c r="AP29" s="172" t="str">
        <f>IF(ISTEXT(VLOOKUP(CONCATENATE($A29,"_",AP$3),'Unit List'!$A$23:$H$3256,2,FALSE)),"+","")</f>
        <v>+</v>
      </c>
      <c r="AQ29" s="51" t="str">
        <f>IF(ISTEXT(VLOOKUP(CONCATENATE($A29,"_",AQ$3),'Unit List'!$A$23:$H$3256,2,FALSE)),"X",$AP29)</f>
        <v>+</v>
      </c>
      <c r="AR29" s="67" t="str">
        <f>IF(ISTEXT(VLOOKUP(CONCATENATE($A29,"_",AR$3),'Unit List'!$A$23:$H$3256,2,FALSE)),"X",$AP29)</f>
        <v>X</v>
      </c>
      <c r="AS29" s="67" t="str">
        <f>IF(ISTEXT(VLOOKUP(CONCATENATE($A29,"_",AS$3),'Unit List'!$A$23:$H$3256,2,FALSE)),"X",$AP29)</f>
        <v>X</v>
      </c>
      <c r="AT29" s="53" t="str">
        <f>IF(ISTEXT(VLOOKUP(CONCATENATE($A29,"_",AT$3),'Unit List'!$A$23:$H$3256,2,FALSE)),"X",$AP29)</f>
        <v>+</v>
      </c>
      <c r="AU29" s="124" t="str">
        <f>IF(ISTEXT(VLOOKUP(CONCATENATE($A29,"_",AU$3),'Unit List'!$A$23:$H$3256,2,FALSE)),"+","")</f>
        <v/>
      </c>
      <c r="AV29" s="51" t="str">
        <f>IF(ISTEXT(VLOOKUP(CONCATENATE($A29,"_",AV$3),'Unit List'!$A$23:$H$3256,2,FALSE)),"X",$AU29)</f>
        <v/>
      </c>
      <c r="AW29" s="53" t="str">
        <f>IF(ISTEXT(VLOOKUP(CONCATENATE($A29,"_",AW$3),'Unit List'!$A$23:$H$3256,2,FALSE)),"X",$AU29)</f>
        <v>X</v>
      </c>
      <c r="AX29" s="172" t="str">
        <f>IF(ISTEXT(VLOOKUP(CONCATENATE($A29,"_",AX$3),'Unit List'!$A$23:$H$3256,2,FALSE)),"+","")</f>
        <v>+</v>
      </c>
      <c r="AY29" s="51" t="str">
        <f>IF(ISTEXT(VLOOKUP(CONCATENATE($A29,"_",AY$3),'Unit List'!$A$23:$H$3256,2,FALSE)),"X",$AX29)</f>
        <v>X</v>
      </c>
      <c r="AZ29" s="53" t="str">
        <f>IF(ISTEXT(VLOOKUP(CONCATENATE($A29,"_",AZ$3),'Unit List'!$A$23:$H$3256,2,FALSE)),"X",$AX29)</f>
        <v>+</v>
      </c>
      <c r="BA29" s="182" t="str">
        <f>IF(ISTEXT(VLOOKUP(CONCATENATE($A29,"_",BA$3),'Unit List'!$A$23:$H$3256,2,FALSE)),"+","")</f>
        <v>+</v>
      </c>
      <c r="BB29" s="51" t="str">
        <f>IF(ISTEXT(VLOOKUP(CONCATENATE($A29,"_",BB$3),'Unit List'!$A$23:$H$3256,2,FALSE)),"X",$BA29)</f>
        <v>+</v>
      </c>
      <c r="BC29" s="51" t="str">
        <f>IF(ISTEXT(VLOOKUP(CONCATENATE($A29,"_",BC$3),'Unit List'!$A$23:$H$3256,2,FALSE)),"X",$BA29)</f>
        <v>+</v>
      </c>
      <c r="BD29" s="53" t="str">
        <f>IF(ISTEXT(VLOOKUP(CONCATENATE($A29,"_",BD$3),'Unit List'!$A$23:$H$3256,2,FALSE)),"X",$BA29)</f>
        <v>+</v>
      </c>
      <c r="BE29" s="125" t="str">
        <f>IF(ISTEXT(VLOOKUP(CONCATENATE($A29,"_",BE$3),'Unit List'!$A$23:$H$3256,2,FALSE)),"+","")</f>
        <v>+</v>
      </c>
      <c r="BF29" s="62" t="str">
        <f>IF(ISTEXT(VLOOKUP(CONCATENATE($A29,"_",BF$3),'Unit List'!$A$23:$H$3256,2,FALSE)),"X",$BE29)</f>
        <v>+</v>
      </c>
      <c r="BG29" s="64"/>
      <c r="BH29" s="65" t="s">
        <v>0</v>
      </c>
      <c r="BI29" s="225" t="s">
        <v>12</v>
      </c>
      <c r="BJ29" s="228"/>
      <c r="BK29" s="228"/>
      <c r="BL29" s="228"/>
      <c r="BM29" s="229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List'!$A$23:$H$3256,2,FALSE)),"+","")</f>
        <v/>
      </c>
      <c r="C30" s="57" t="str">
        <f>IF(ISTEXT(VLOOKUP(CONCATENATE($A30,"_",C$3),'Unit List'!$A$23:$H$3256,2,FALSE)),"X",$B30)</f>
        <v/>
      </c>
      <c r="D30" s="60" t="str">
        <f>IF(ISTEXT(VLOOKUP(CONCATENATE($A30,"_",D$3),'Unit List'!$A$23:$H$3256,2,FALSE)),"X",$B30)</f>
        <v/>
      </c>
      <c r="E30" s="51" t="str">
        <f>IF(ISTEXT(VLOOKUP(CONCATENATE($A30,"_",E$3),'Unit List'!$A$23:$H$3256,2,FALSE)),"X",$B30)</f>
        <v/>
      </c>
      <c r="F30" s="67" t="str">
        <f>IF(ISTEXT(VLOOKUP(CONCATENATE($A30,"_",F$3),'Unit List'!$A$23:$H$3256,2,FALSE)),"X",$B30)</f>
        <v>X</v>
      </c>
      <c r="G30" s="51" t="str">
        <f>IF(ISTEXT(VLOOKUP(CONCATENATE($A30,"_",G$3),'Unit List'!$A$23:$H$3256,2,FALSE)),"X",$B30)</f>
        <v>X</v>
      </c>
      <c r="H30" s="67" t="str">
        <f>IF(ISTEXT(VLOOKUP(CONCATENATE($A30,"_",H$3),'Unit List'!$A$23:$H$3256,2,FALSE)),"X",$B30)</f>
        <v>X</v>
      </c>
      <c r="I30" s="53" t="str">
        <f>IF(ISTEXT(VLOOKUP(CONCATENATE($A30,"_",I$3),'Unit List'!$A$23:$H$3256,2,FALSE)),"X",$B30)</f>
        <v/>
      </c>
      <c r="J30" s="172" t="str">
        <f>IF(ISTEXT(VLOOKUP(CONCATENATE($A30,"_",J$3),'Unit List'!$A$23:$H$3256,2,FALSE)),"+","")</f>
        <v>+</v>
      </c>
      <c r="K30" s="94" t="str">
        <f>IF(ISTEXT(VLOOKUP(CONCATENATE($A30,"_",K$3),'Unit List'!$A$23:$H$3256,2,FALSE)),"X",$J30)</f>
        <v>+</v>
      </c>
      <c r="L30" s="86" t="str">
        <f>IF(ISTEXT(VLOOKUP(CONCATENATE($A30,"_",L$3),'Unit List'!$A$23:$H$3256,2,FALSE)),"X",$J30)</f>
        <v>+</v>
      </c>
      <c r="M30" s="172" t="str">
        <f>IF(ISTEXT(VLOOKUP(CONCATENATE($A30,"_",M$3),'Unit List'!$A$23:$H$3256,2,FALSE)),"+","")</f>
        <v>+</v>
      </c>
      <c r="N30" s="51" t="str">
        <f>IF(ISTEXT(VLOOKUP(CONCATENATE($A30,"_",N$3),'Unit List'!$A$23:$H$3256,2,FALSE)),"X",$M30)</f>
        <v>+</v>
      </c>
      <c r="O30" s="70" t="str">
        <f>IF(ISTEXT(VLOOKUP(CONCATENATE($A30,"_",O$3),'Unit List'!$A$23:$H$3256,2,FALSE)),"X",$M30)</f>
        <v>X</v>
      </c>
      <c r="P30" s="172" t="str">
        <f>IF(ISTEXT(VLOOKUP(CONCATENATE($A30,"_",P$3),'Unit List'!$A$23:$H$3256,2,FALSE)),"+","")</f>
        <v/>
      </c>
      <c r="Q30" s="51" t="str">
        <f>IF(ISTEXT(VLOOKUP(CONCATENATE($A30,"_",Q$3),'Unit List'!$A$23:$H$3256,2,FALSE)),"X",$P30)</f>
        <v/>
      </c>
      <c r="R30" s="51" t="str">
        <f>IF(ISTEXT(VLOOKUP(CONCATENATE($A30,"_",R$3),'Unit List'!$A$23:$H$3256,2,FALSE)),"X",$P30)</f>
        <v/>
      </c>
      <c r="S30" s="67" t="str">
        <f>IF(ISTEXT(VLOOKUP(CONCATENATE($A30,"_",S$3),'Unit List'!$A$23:$H$3256,2,FALSE)),"X",$P30)</f>
        <v>X</v>
      </c>
      <c r="T30" s="52" t="str">
        <f>IF(ISTEXT(VLOOKUP(CONCATENATE($A30,"_",T$3),'Unit List'!$A$23:$H$3256,2,FALSE)),"X",$P30)</f>
        <v/>
      </c>
      <c r="U30" s="67" t="str">
        <f>IF(ISTEXT(VLOOKUP(CONCATENATE($A30,"_",U$3),'Unit List'!$A$23:$H$3256,2,FALSE)),"X",$P30)</f>
        <v>X</v>
      </c>
      <c r="V30" s="89" t="s">
        <v>3</v>
      </c>
      <c r="W30" s="53" t="str">
        <f>IF(ISTEXT(VLOOKUP(CONCATENATE($A30,"_",W$3),'Unit List'!$A$23:$H$3256,2,FALSE)),"X",$P30)</f>
        <v/>
      </c>
      <c r="X30" s="171" t="str">
        <f>IF(ISTEXT(VLOOKUP(CONCATENATE($A30,"_",X$3),'Unit List'!$A$23:$H$3256,2,FALSE)),"+","")</f>
        <v>+</v>
      </c>
      <c r="Y30" s="72" t="s">
        <v>0</v>
      </c>
      <c r="Z30" s="51" t="str">
        <f>IF(ISTEXT(VLOOKUP(CONCATENATE($A30,"_",Z$3),'Unit List'!$A$23:$H$3256,2,FALSE)),"X",$X30)</f>
        <v>+</v>
      </c>
      <c r="AA30" s="67" t="str">
        <f>IF(ISTEXT(VLOOKUP(CONCATENATE($A30,"_",AA$3),'Unit List'!$A$23:$H$3256,2,FALSE)),"X",$X30)</f>
        <v>X</v>
      </c>
      <c r="AB30" s="67" t="str">
        <f>IF(ISTEXT(VLOOKUP(CONCATENATE($A30,"_",AB$3),'Unit List'!$A$23:$H$3256,2,FALSE)),"X",$X30)</f>
        <v>X</v>
      </c>
      <c r="AC30" s="86" t="str">
        <f>IF(ISTEXT(VLOOKUP(CONCATENATE($A30,"_",AC$3),'Unit List'!$A$23:$H$3256,2,FALSE)),"X",$X30)</f>
        <v>X</v>
      </c>
      <c r="AD30" s="171" t="str">
        <f>IF(ISTEXT(VLOOKUP(CONCATENATE($A30,"_",AD$3),'Unit List'!$A$23:$H$3256,2,FALSE)),"+","")</f>
        <v/>
      </c>
      <c r="AE30" s="51" t="str">
        <f>IF(ISTEXT(VLOOKUP(CONCATENATE($A30,"_",AE$3),'Unit List'!$A$23:$H$3256,2,FALSE)),"X",$AD30)</f>
        <v>X</v>
      </c>
      <c r="AF30" s="51" t="str">
        <f>IF(ISTEXT(VLOOKUP(CONCATENATE($A30,"_",AF$3),'Unit List'!$A$23:$H$3256,2,FALSE)),"X",$AD30)</f>
        <v/>
      </c>
      <c r="AG30" s="171" t="str">
        <f>IF(ISTEXT(VLOOKUP(CONCATENATE($A30,"_",AG$3),'Unit List'!$A$23:$H$3256,2,FALSE)),"+","")</f>
        <v>+</v>
      </c>
      <c r="AH30" s="67" t="str">
        <f>IF(ISTEXT(VLOOKUP(CONCATENATE($A30,"_",AH$3),'Unit List'!$A$23:$H$3256,2,FALSE)),"X",$AG30)</f>
        <v>+</v>
      </c>
      <c r="AI30" s="89" t="s">
        <v>0</v>
      </c>
      <c r="AJ30" s="71" t="str">
        <f>IF(ISTEXT(VLOOKUP(CONCATENATE($A30,"_",AJ$3),'Unit List'!$A$23:$H$3256,2,FALSE)),"X",$AG30)</f>
        <v>+</v>
      </c>
      <c r="AK30" s="171" t="str">
        <f>IF(ISTEXT(VLOOKUP(CONCATENATE($A30,"_",AK$3),'Unit List'!$A$23:$H$3256,2,FALSE)),"+","")</f>
        <v>+</v>
      </c>
      <c r="AL30" s="52" t="str">
        <f>IF(ISTEXT(VLOOKUP(CONCATENATE($A30,"_",AL$3),'Unit List'!$A$23:$H$3256,2,FALSE)),"X",$AK30)</f>
        <v>+</v>
      </c>
      <c r="AM30" s="70" t="str">
        <f>IF(ISTEXT(VLOOKUP(CONCATENATE($A30,"_",AM$3),'Unit List'!$A$23:$H$3256,2,FALSE)),"X",$AK30)</f>
        <v>X</v>
      </c>
      <c r="AN30" s="125" t="str">
        <f>IF(ISTEXT(VLOOKUP(CONCATENATE($A30,"_",AN$3),'Unit List'!$A$23:$H$3256,2,FALSE)),"+","")</f>
        <v>+</v>
      </c>
      <c r="AO30" s="70" t="str">
        <f>IF(ISTEXT(VLOOKUP(CONCATENATE($A30,"_",AO$3),'Unit List'!$A$23:$H$3256,2,FALSE)),"X",$AN30)</f>
        <v>+</v>
      </c>
      <c r="AP30" s="171" t="str">
        <f>IF(ISTEXT(VLOOKUP(CONCATENATE($A30,"_",AP$3),'Unit List'!$A$23:$H$3256,2,FALSE)),"+","")</f>
        <v>+</v>
      </c>
      <c r="AQ30" s="51" t="str">
        <f>IF(ISTEXT(VLOOKUP(CONCATENATE($A30,"_",AQ$3),'Unit List'!$A$23:$H$3256,2,FALSE)),"X",$AP30)</f>
        <v>X</v>
      </c>
      <c r="AR30" s="67" t="str">
        <f>IF(ISTEXT(VLOOKUP(CONCATENATE($A30,"_",AR$3),'Unit List'!$A$23:$H$3256,2,FALSE)),"X",$AP30)</f>
        <v>X</v>
      </c>
      <c r="AS30" s="67" t="str">
        <f>IF(ISTEXT(VLOOKUP(CONCATENATE($A30,"_",AS$3),'Unit List'!$A$23:$H$3256,2,FALSE)),"X",$AP30)</f>
        <v>X</v>
      </c>
      <c r="AT30" s="100" t="s">
        <v>0</v>
      </c>
      <c r="AU30" s="124" t="str">
        <f>IF(ISTEXT(VLOOKUP(CONCATENATE($A30,"_",AU$3),'Unit List'!$A$23:$H$3256,2,FALSE)),"+","")</f>
        <v>+</v>
      </c>
      <c r="AV30" s="51" t="str">
        <f>IF(ISTEXT(VLOOKUP(CONCATENATE($A30,"_",AV$3),'Unit List'!$A$23:$H$3256,2,FALSE)),"X",$AU30)</f>
        <v>+</v>
      </c>
      <c r="AW30" s="74" t="s">
        <v>0</v>
      </c>
      <c r="AX30" s="171" t="str">
        <f>IF(ISTEXT(VLOOKUP(CONCATENATE($A30,"_",AX$3),'Unit List'!$A$23:$H$3256,2,FALSE)),"+","")</f>
        <v>+</v>
      </c>
      <c r="AY30" s="67" t="str">
        <f>IF(ISTEXT(VLOOKUP(CONCATENATE($A30,"_",AY$3),'Unit List'!$A$23:$H$3256,2,FALSE)),"X",$AX30)</f>
        <v>X</v>
      </c>
      <c r="AZ30" s="70" t="str">
        <f>IF(ISTEXT(VLOOKUP(CONCATENATE($A30,"_",AZ$3),'Unit List'!$A$23:$H$3256,2,FALSE)),"X",$AX30)</f>
        <v>+</v>
      </c>
      <c r="BA30" s="171" t="str">
        <f>IF(ISTEXT(VLOOKUP(CONCATENATE($A30,"_",BA$3),'Unit List'!$A$23:$H$3256,2,FALSE)),"+","")</f>
        <v>+</v>
      </c>
      <c r="BB30" s="67" t="str">
        <f>IF(ISTEXT(VLOOKUP(CONCATENATE($A30,"_",BB$3),'Unit List'!$A$23:$H$3256,2,FALSE)),"X",$BA30)</f>
        <v>X</v>
      </c>
      <c r="BC30" s="67" t="str">
        <f>IF(ISTEXT(VLOOKUP(CONCATENATE($A30,"_",BC$3),'Unit List'!$A$23:$H$3256,2,FALSE)),"X",$BA30)</f>
        <v>X</v>
      </c>
      <c r="BD30" s="70" t="str">
        <f>IF(ISTEXT(VLOOKUP(CONCATENATE($A30,"_",BD$3),'Unit List'!$A$23:$H$3256,2,FALSE)),"X",$BA30)</f>
        <v>X</v>
      </c>
      <c r="BE30" s="125" t="str">
        <f>IF(ISTEXT(VLOOKUP(CONCATENATE($A30,"_",BE$3),'Unit List'!$A$23:$H$3256,2,FALSE)),"+","")</f>
        <v>+</v>
      </c>
      <c r="BF30" s="62" t="str">
        <f>IF(ISTEXT(VLOOKUP(CONCATENATE($A30,"_",BF$3),'Unit List'!$A$23:$H$3256,2,FALSE)),"X",$BE30)</f>
        <v>+</v>
      </c>
      <c r="BG30" s="64"/>
      <c r="BH30" s="65" t="s">
        <v>0</v>
      </c>
      <c r="BI30" s="225" t="s">
        <v>12</v>
      </c>
      <c r="BJ30" s="228"/>
      <c r="BK30" s="228"/>
      <c r="BL30" s="228"/>
      <c r="BM30" s="229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List'!$A$23:$H$3256,2,FALSE)),"+","")</f>
        <v/>
      </c>
      <c r="C31" s="57" t="str">
        <f>IF(ISTEXT(VLOOKUP(CONCATENATE($A31,"_",C$3),'Unit List'!$A$23:$H$3256,2,FALSE)),"X",$B31)</f>
        <v/>
      </c>
      <c r="D31" s="51" t="str">
        <f>IF(ISTEXT(VLOOKUP(CONCATENATE($A31,"_",D$3),'Unit List'!$A$23:$H$3256,2,FALSE)),"X",$B31)</f>
        <v/>
      </c>
      <c r="E31" s="51" t="str">
        <f>IF(ISTEXT(VLOOKUP(CONCATENATE($A31,"_",E$3),'Unit List'!$A$23:$H$3256,2,FALSE)),"X",$B31)</f>
        <v/>
      </c>
      <c r="F31" s="51" t="str">
        <f>IF(ISTEXT(VLOOKUP(CONCATENATE($A31,"_",F$3),'Unit List'!$A$23:$H$3256,2,FALSE)),"X",$B31)</f>
        <v/>
      </c>
      <c r="G31" s="67" t="str">
        <f>IF(ISTEXT(VLOOKUP(CONCATENATE($A31,"_",G$3),'Unit List'!$A$23:$H$3256,2,FALSE)),"X",$B31)</f>
        <v>X</v>
      </c>
      <c r="H31" s="67" t="str">
        <f>IF(ISTEXT(VLOOKUP(CONCATENATE($A31,"_",H$3),'Unit List'!$A$23:$H$3256,2,FALSE)),"X",$B31)</f>
        <v>X</v>
      </c>
      <c r="I31" s="70" t="str">
        <f>IF(ISTEXT(VLOOKUP(CONCATENATE($A31,"_",I$3),'Unit List'!$A$23:$H$3256,2,FALSE)),"X",$B31)</f>
        <v>X</v>
      </c>
      <c r="J31" s="172" t="str">
        <f>IF(ISTEXT(VLOOKUP(CONCATENATE($A31,"_",J$3),'Unit List'!$A$23:$H$3256,2,FALSE)),"+","")</f>
        <v/>
      </c>
      <c r="K31" s="51" t="str">
        <f>IF(ISTEXT(VLOOKUP(CONCATENATE($A31,"_",K$3),'Unit List'!$A$23:$H$3256,2,FALSE)),"X",$J31)</f>
        <v/>
      </c>
      <c r="L31" s="101" t="s">
        <v>0</v>
      </c>
      <c r="M31" s="172" t="str">
        <f>IF(ISTEXT(VLOOKUP(CONCATENATE($A31,"_",M$3),'Unit List'!$A$23:$H$3256,2,FALSE)),"+","")</f>
        <v/>
      </c>
      <c r="N31" s="90" t="s">
        <v>0</v>
      </c>
      <c r="O31" s="53" t="str">
        <f>IF(ISTEXT(VLOOKUP(CONCATENATE($A31,"_",O$3),'Unit List'!$A$23:$H$3256,2,FALSE)),"X",$M31)</f>
        <v/>
      </c>
      <c r="P31" s="172" t="str">
        <f>IF(ISTEXT(VLOOKUP(CONCATENATE($A31,"_",P$3),'Unit List'!$A$23:$H$3256,2,FALSE)),"+","")</f>
        <v/>
      </c>
      <c r="Q31" s="51" t="str">
        <f>IF(ISTEXT(VLOOKUP(CONCATENATE($A31,"_",Q$3),'Unit List'!$A$23:$H$3256,2,FALSE)),"X",$P31)</f>
        <v/>
      </c>
      <c r="R31" s="51" t="str">
        <f>IF(ISTEXT(VLOOKUP(CONCATENATE($A31,"_",R$3),'Unit List'!$A$23:$H$3256,2,FALSE)),"X",$P31)</f>
        <v/>
      </c>
      <c r="S31" s="51" t="str">
        <f>IF(ISTEXT(VLOOKUP(CONCATENATE($A31,"_",S$3),'Unit List'!$A$23:$H$3256,2,FALSE)),"X",$P31)</f>
        <v/>
      </c>
      <c r="T31" s="52" t="str">
        <f>IF(ISTEXT(VLOOKUP(CONCATENATE($A31,"_",T$3),'Unit List'!$A$23:$H$3256,2,FALSE)),"X",$P31)</f>
        <v/>
      </c>
      <c r="U31" s="51" t="str">
        <f>IF(ISTEXT(VLOOKUP(CONCATENATE($A31,"_",U$3),'Unit List'!$A$23:$H$3256,2,FALSE)),"X",$P31)</f>
        <v/>
      </c>
      <c r="V31" s="51" t="str">
        <f>IF(ISTEXT(VLOOKUP(CONCATENATE($A31,"_",V$3),'Unit List'!$A$23:$H$3256,2,FALSE)),"X",$P31)</f>
        <v/>
      </c>
      <c r="W31" s="53" t="str">
        <f>IF(ISTEXT(VLOOKUP(CONCATENATE($A31,"_",W$3),'Unit List'!$A$23:$H$3256,2,FALSE)),"X",$P31)</f>
        <v/>
      </c>
      <c r="X31" s="172" t="str">
        <f>IF(ISTEXT(VLOOKUP(CONCATENATE($A31,"_",X$3),'Unit List'!$A$23:$H$3256,2,FALSE)),"+","")</f>
        <v>+</v>
      </c>
      <c r="Y31" s="51" t="str">
        <f>IF(ISTEXT(VLOOKUP(CONCATENATE($A31,"_",Y$3),'Unit List'!$A$23:$H$3256,2,FALSE)),"X",$X31)</f>
        <v>+</v>
      </c>
      <c r="Z31" s="51" t="str">
        <f>IF(ISTEXT(VLOOKUP(CONCATENATE($A31,"_",Z$3),'Unit List'!$A$23:$H$3256,2,FALSE)),"X",$X31)</f>
        <v>+</v>
      </c>
      <c r="AA31" s="51" t="str">
        <f>IF(ISTEXT(VLOOKUP(CONCATENATE($A31,"_",AA$3),'Unit List'!$A$23:$H$3256,2,FALSE)),"X",$X31)</f>
        <v>+</v>
      </c>
      <c r="AB31" s="51" t="str">
        <f>IF(ISTEXT(VLOOKUP(CONCATENATE($A31,"_",AB$3),'Unit List'!$A$23:$H$3256,2,FALSE)),"X",$X31)</f>
        <v>+</v>
      </c>
      <c r="AC31" s="62" t="str">
        <f>IF(ISTEXT(VLOOKUP(CONCATENATE($A31,"_",AC$3),'Unit List'!$A$23:$H$3256,2,FALSE)),"X",$X31)</f>
        <v>+</v>
      </c>
      <c r="AD31" s="172" t="str">
        <f>IF(ISTEXT(VLOOKUP(CONCATENATE($A31,"_",AD$3),'Unit List'!$A$23:$H$3256,2,FALSE)),"+","")</f>
        <v/>
      </c>
      <c r="AE31" s="51" t="str">
        <f>IF(ISTEXT(VLOOKUP(CONCATENATE($A31,"_",AE$3),'Unit List'!$A$23:$H$3256,2,FALSE)),"X",$AD31)</f>
        <v/>
      </c>
      <c r="AF31" s="51" t="str">
        <f>IF(ISTEXT(VLOOKUP(CONCATENATE($A31,"_",AF$3),'Unit List'!$A$23:$H$3256,2,FALSE)),"X",$AD31)</f>
        <v/>
      </c>
      <c r="AG31" s="172" t="str">
        <f>IF(ISTEXT(VLOOKUP(CONCATENATE($A31,"_",AG$3),'Unit List'!$A$23:$H$3256,2,FALSE)),"+","")</f>
        <v/>
      </c>
      <c r="AH31" s="51" t="str">
        <f>IF(ISTEXT(VLOOKUP(CONCATENATE($A31,"_",AH$3),'Unit List'!$A$23:$H$3256,2,FALSE)),"X",$AG31)</f>
        <v/>
      </c>
      <c r="AI31" s="51" t="str">
        <f>IF(ISTEXT(VLOOKUP(CONCATENATE($A31,"_",AI$3),'Unit List'!$A$23:$H$3256,2,FALSE)),"X",$AG31)</f>
        <v/>
      </c>
      <c r="AJ31" s="53" t="str">
        <f>IF(ISTEXT(VLOOKUP(CONCATENATE($A31,"_",AJ$3),'Unit List'!$A$23:$H$3256,2,FALSE)),"X",$AG31)</f>
        <v/>
      </c>
      <c r="AK31" s="172" t="str">
        <f>IF(ISTEXT(VLOOKUP(CONCATENATE($A31,"_",AK$3),'Unit List'!$A$23:$H$3256,2,FALSE)),"+","")</f>
        <v>+</v>
      </c>
      <c r="AL31" s="52" t="str">
        <f>IF(ISTEXT(VLOOKUP(CONCATENATE($A31,"_",AL$3),'Unit List'!$A$23:$H$3256,2,FALSE)),"X",$AK31)</f>
        <v>+</v>
      </c>
      <c r="AM31" s="74" t="s">
        <v>0</v>
      </c>
      <c r="AN31" s="125" t="str">
        <f>IF(ISTEXT(VLOOKUP(CONCATENATE($A31,"_",AN$3),'Unit List'!$A$23:$H$3256,2,FALSE)),"+","")</f>
        <v/>
      </c>
      <c r="AO31" s="53" t="str">
        <f>IF(ISTEXT(VLOOKUP(CONCATENATE($A31,"_",AO$3),'Unit List'!$A$23:$H$3256,2,FALSE)),"X",$AN31)</f>
        <v/>
      </c>
      <c r="AP31" s="172" t="str">
        <f>IF(ISTEXT(VLOOKUP(CONCATENATE($A31,"_",AP$3),'Unit List'!$A$23:$H$3256,2,FALSE)),"+","")</f>
        <v/>
      </c>
      <c r="AQ31" s="51" t="str">
        <f>IF(ISTEXT(VLOOKUP(CONCATENATE($A31,"_",AQ$3),'Unit List'!$A$23:$H$3256,2,FALSE)),"X",$AP31)</f>
        <v/>
      </c>
      <c r="AR31" s="67" t="str">
        <f>IF(ISTEXT(VLOOKUP(CONCATENATE($A31,"_",AR$3),'Unit List'!$A$23:$H$3256,2,FALSE)),"X",$AP31)</f>
        <v>X</v>
      </c>
      <c r="AS31" s="51" t="str">
        <f>IF(ISTEXT(VLOOKUP(CONCATENATE($A31,"_",AS$3),'Unit List'!$A$23:$H$3256,2,FALSE)),"X",$AP31)</f>
        <v/>
      </c>
      <c r="AT31" s="53" t="str">
        <f>IF(ISTEXT(VLOOKUP(CONCATENATE($A31,"_",AT$3),'Unit List'!$A$23:$H$3256,2,FALSE)),"X",$AP31)</f>
        <v/>
      </c>
      <c r="AU31" s="124" t="str">
        <f>IF(ISTEXT(VLOOKUP(CONCATENATE($A31,"_",AU$3),'Unit List'!$A$23:$H$3256,2,FALSE)),"+","")</f>
        <v/>
      </c>
      <c r="AV31" s="51" t="str">
        <f>IF(ISTEXT(VLOOKUP(CONCATENATE($A31,"_",AV$3),'Unit List'!$A$23:$H$3256,2,FALSE)),"X",$AU31)</f>
        <v/>
      </c>
      <c r="AW31" s="53" t="str">
        <f>IF(ISTEXT(VLOOKUP(CONCATENATE($A31,"_",AW$3),'Unit List'!$A$23:$H$3256,2,FALSE)),"X",$AU31)</f>
        <v/>
      </c>
      <c r="AX31" s="172" t="str">
        <f>IF(ISTEXT(VLOOKUP(CONCATENATE($A31,"_",AX$3),'Unit List'!$A$23:$H$3256,2,FALSE)),"+","")</f>
        <v/>
      </c>
      <c r="AY31" s="51" t="str">
        <f>IF(ISTEXT(VLOOKUP(CONCATENATE($A31,"_",AY$3),'Unit List'!$A$23:$H$3256,2,FALSE)),"X",$AX31)</f>
        <v/>
      </c>
      <c r="AZ31" s="53" t="str">
        <f>IF(ISTEXT(VLOOKUP(CONCATENATE($A31,"_",AZ$3),'Unit List'!$A$23:$H$3256,2,FALSE)),"X",$AX31)</f>
        <v/>
      </c>
      <c r="BA31" s="182" t="str">
        <f>IF(ISTEXT(VLOOKUP(CONCATENATE($A31,"_",BA$3),'Unit List'!$A$23:$H$3256,2,FALSE)),"+","")</f>
        <v/>
      </c>
      <c r="BB31" s="51" t="str">
        <f>IF(ISTEXT(VLOOKUP(CONCATENATE($A31,"_",BB$3),'Unit List'!$A$23:$H$3256,2,FALSE)),"X",$BA31)</f>
        <v/>
      </c>
      <c r="BC31" s="51" t="str">
        <f>IF(ISTEXT(VLOOKUP(CONCATENATE($A31,"_",BC$3),'Unit List'!$A$23:$H$3256,2,FALSE)),"X",$BA31)</f>
        <v/>
      </c>
      <c r="BD31" s="53" t="str">
        <f>IF(ISTEXT(VLOOKUP(CONCATENATE($A31,"_",BD$3),'Unit List'!$A$23:$H$3256,2,FALSE)),"X",$BA31)</f>
        <v/>
      </c>
      <c r="BE31" s="125" t="str">
        <f>IF(ISTEXT(VLOOKUP(CONCATENATE($A31,"_",BE$3),'Unit List'!$A$23:$H$3256,2,FALSE)),"+","")</f>
        <v/>
      </c>
      <c r="BF31" s="62" t="str">
        <f>IF(ISTEXT(VLOOKUP(CONCATENATE($A31,"_",BF$3),'Unit List'!$A$23:$H$3256,2,FALSE)),"X",$BE31)</f>
        <v/>
      </c>
      <c r="BG31" s="64"/>
      <c r="BH31" s="65" t="s">
        <v>0</v>
      </c>
      <c r="BI31" s="225"/>
      <c r="BJ31" s="228"/>
      <c r="BK31" s="228"/>
      <c r="BL31" s="228"/>
      <c r="BM31" s="229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List'!$A$23:$H$3256,2,FALSE)),"+","")</f>
        <v/>
      </c>
      <c r="C32" s="82" t="str">
        <f>IF(ISTEXT(VLOOKUP(CONCATENATE($A32,"_",C$3),'Unit List'!$A$23:$H$3256,2,FALSE)),"X",$B32)</f>
        <v>X</v>
      </c>
      <c r="D32" s="67" t="str">
        <f>IF(ISTEXT(VLOOKUP(CONCATENATE($A32,"_",D$3),'Unit List'!$A$23:$H$3256,2,FALSE)),"X",$B32)</f>
        <v>X</v>
      </c>
      <c r="E32" s="51" t="str">
        <f>IF(ISTEXT(VLOOKUP(CONCATENATE($A32,"_",E$3),'Unit List'!$A$23:$H$3256,2,FALSE)),"X",$B32)</f>
        <v>X</v>
      </c>
      <c r="F32" s="67" t="str">
        <f>IF(ISTEXT(VLOOKUP(CONCATENATE($A32,"_",F$3),'Unit List'!$A$23:$H$3256,2,FALSE)),"X",$B32)</f>
        <v>X</v>
      </c>
      <c r="G32" s="67" t="str">
        <f>IF(ISTEXT(VLOOKUP(CONCATENATE($A32,"_",G$3),'Unit List'!$A$23:$H$3256,2,FALSE)),"X",$B32)</f>
        <v>X</v>
      </c>
      <c r="H32" s="67" t="str">
        <f>IF(ISTEXT(VLOOKUP(CONCATENATE($A32,"_",H$3),'Unit List'!$A$23:$H$3256,2,FALSE)),"X",$B32)</f>
        <v>X</v>
      </c>
      <c r="I32" s="53" t="str">
        <f>IF(ISTEXT(VLOOKUP(CONCATENATE($A32,"_",I$3),'Unit List'!$A$23:$H$3256,2,FALSE)),"X",$B32)</f>
        <v/>
      </c>
      <c r="J32" s="172" t="str">
        <f>IF(ISTEXT(VLOOKUP(CONCATENATE($A32,"_",J$3),'Unit List'!$A$23:$H$3256,2,FALSE)),"+","")</f>
        <v>+</v>
      </c>
      <c r="K32" s="72" t="s">
        <v>0</v>
      </c>
      <c r="L32" s="86" t="str">
        <f>IF(ISTEXT(VLOOKUP(CONCATENATE($A32,"_",L$3),'Unit List'!$A$23:$H$3256,2,FALSE)),"X",$J32)</f>
        <v>+</v>
      </c>
      <c r="M32" s="172" t="str">
        <f>IF(ISTEXT(VLOOKUP(CONCATENATE($A32,"_",M$3),'Unit List'!$A$23:$H$3256,2,FALSE)),"+","")</f>
        <v/>
      </c>
      <c r="N32" s="51" t="str">
        <f>IF(ISTEXT(VLOOKUP(CONCATENATE($A32,"_",N$3),'Unit List'!$A$23:$H$3256,2,FALSE)),"X",$M32)</f>
        <v>X</v>
      </c>
      <c r="O32" s="70" t="str">
        <f>IF(ISTEXT(VLOOKUP(CONCATENATE($A32,"_",O$3),'Unit List'!$A$23:$H$3256,2,FALSE)),"X",$M32)</f>
        <v>X</v>
      </c>
      <c r="P32" s="171" t="str">
        <f>IF(ISTEXT(VLOOKUP(CONCATENATE($A32,"_",P$3),'Unit List'!$A$23:$H$3256,2,FALSE)),"+","")</f>
        <v>+</v>
      </c>
      <c r="Q32" s="51" t="str">
        <f>IF(ISTEXT(VLOOKUP(CONCATENATE($A32,"_",Q$3),'Unit List'!$A$23:$H$3256,2,FALSE)),"X",$P32)</f>
        <v>+</v>
      </c>
      <c r="R32" s="67" t="str">
        <f>IF(ISTEXT(VLOOKUP(CONCATENATE($A32,"_",R$3),'Unit List'!$A$23:$H$3256,2,FALSE)),"X",$P32)</f>
        <v>X</v>
      </c>
      <c r="S32" s="67" t="str">
        <f>IF(ISTEXT(VLOOKUP(CONCATENATE($A32,"_",S$3),'Unit List'!$A$23:$H$3256,2,FALSE)),"X",$P32)</f>
        <v>X</v>
      </c>
      <c r="T32" s="52" t="str">
        <f>IF(ISTEXT(VLOOKUP(CONCATENATE($A32,"_",T$3),'Unit List'!$A$23:$H$3256,2,FALSE)),"X",$P32)</f>
        <v>X</v>
      </c>
      <c r="U32" s="67" t="str">
        <f>IF(ISTEXT(VLOOKUP(CONCATENATE($A32,"_",U$3),'Unit List'!$A$23:$H$3256,2,FALSE)),"X",$P32)</f>
        <v>X</v>
      </c>
      <c r="V32" s="67" t="str">
        <f>IF(ISTEXT(VLOOKUP(CONCATENATE($A32,"_",V$3),'Unit List'!$A$23:$H$3256,2,FALSE)),"X",$P32)</f>
        <v>X</v>
      </c>
      <c r="W32" s="53" t="str">
        <f>IF(ISTEXT(VLOOKUP(CONCATENATE($A32,"_",W$3),'Unit List'!$A$23:$H$3256,2,FALSE)),"X",$P32)</f>
        <v>+</v>
      </c>
      <c r="X32" s="171" t="str">
        <f>IF(ISTEXT(VLOOKUP(CONCATENATE($A32,"_",X$3),'Unit List'!$A$23:$H$3256,2,FALSE)),"+","")</f>
        <v>+</v>
      </c>
      <c r="Y32" s="67" t="str">
        <f>IF(ISTEXT(VLOOKUP(CONCATENATE($A32,"_",Y$3),'Unit List'!$A$23:$H$3256,2,FALSE)),"X",$X32)</f>
        <v>X</v>
      </c>
      <c r="Z32" s="51" t="str">
        <f>IF(ISTEXT(VLOOKUP(CONCATENATE($A32,"_",Z$3),'Unit List'!$A$23:$H$3256,2,FALSE)),"X",$X32)</f>
        <v>+</v>
      </c>
      <c r="AA32" s="67" t="str">
        <f>IF(ISTEXT(VLOOKUP(CONCATENATE($A32,"_",AA$3),'Unit List'!$A$23:$H$3256,2,FALSE)),"X",$X32)</f>
        <v>X</v>
      </c>
      <c r="AB32" s="67" t="str">
        <f>IF(ISTEXT(VLOOKUP(CONCATENATE($A32,"_",AB$3),'Unit List'!$A$23:$H$3256,2,FALSE)),"X",$X32)</f>
        <v>X</v>
      </c>
      <c r="AC32" s="86" t="str">
        <f>IF(ISTEXT(VLOOKUP(CONCATENATE($A32,"_",AC$3),'Unit List'!$A$23:$H$3256,2,FALSE)),"X",$X32)</f>
        <v>X</v>
      </c>
      <c r="AD32" s="171" t="str">
        <f>IF(ISTEXT(VLOOKUP(CONCATENATE($A32,"_",AD$3),'Unit List'!$A$23:$H$3256,2,FALSE)),"+","")</f>
        <v>+</v>
      </c>
      <c r="AE32" s="51" t="str">
        <f>IF(ISTEXT(VLOOKUP(CONCATENATE($A32,"_",AE$3),'Unit List'!$A$23:$H$3256,2,FALSE)),"X",$AD32)</f>
        <v>X</v>
      </c>
      <c r="AF32" s="51" t="str">
        <f>IF(ISTEXT(VLOOKUP(CONCATENATE($A32,"_",AF$3),'Unit List'!$A$23:$H$3256,2,FALSE)),"X",$AD32)</f>
        <v>X</v>
      </c>
      <c r="AG32" s="171" t="str">
        <f>IF(ISTEXT(VLOOKUP(CONCATENATE($A32,"_",AG$3),'Unit List'!$A$23:$H$3256,2,FALSE)),"+","")</f>
        <v>+</v>
      </c>
      <c r="AH32" s="67" t="str">
        <f>IF(ISTEXT(VLOOKUP(CONCATENATE($A32,"_",AH$3),'Unit List'!$A$23:$H$3256,2,FALSE)),"X",$AG32)</f>
        <v>X</v>
      </c>
      <c r="AI32" s="67" t="str">
        <f>IF(ISTEXT(VLOOKUP(CONCATENATE($A32,"_",AI$3),'Unit List'!$A$23:$H$3256,2,FALSE)),"X",$AG32)</f>
        <v>X</v>
      </c>
      <c r="AJ32" s="53" t="str">
        <f>IF(ISTEXT(VLOOKUP(CONCATENATE($A32,"_",AJ$3),'Unit List'!$A$23:$H$3256,2,FALSE)),"X",$AG32)</f>
        <v>+</v>
      </c>
      <c r="AK32" s="171" t="str">
        <f>IF(ISTEXT(VLOOKUP(CONCATENATE($A32,"_",AK$3),'Unit List'!$A$23:$H$3256,2,FALSE)),"+","")</f>
        <v>+</v>
      </c>
      <c r="AL32" s="52" t="str">
        <f>IF(ISTEXT(VLOOKUP(CONCATENATE($A32,"_",AL$3),'Unit List'!$A$23:$H$3256,2,FALSE)),"X",$AK32)</f>
        <v>X</v>
      </c>
      <c r="AM32" s="70" t="str">
        <f>IF(ISTEXT(VLOOKUP(CONCATENATE($A32,"_",AM$3),'Unit List'!$A$23:$H$3256,2,FALSE)),"X",$AK32)</f>
        <v>X</v>
      </c>
      <c r="AN32" s="125" t="str">
        <f>IF(ISTEXT(VLOOKUP(CONCATENATE($A32,"_",AN$3),'Unit List'!$A$23:$H$3256,2,FALSE)),"+","")</f>
        <v>+</v>
      </c>
      <c r="AO32" s="70" t="str">
        <f>IF(ISTEXT(VLOOKUP(CONCATENATE($A32,"_",AO$3),'Unit List'!$A$23:$H$3256,2,FALSE)),"X",$AN32)</f>
        <v>+</v>
      </c>
      <c r="AP32" s="171" t="str">
        <f>IF(ISTEXT(VLOOKUP(CONCATENATE($A32,"_",AP$3),'Unit List'!$A$23:$H$3256,2,FALSE)),"+","")</f>
        <v>+</v>
      </c>
      <c r="AQ32" s="67" t="str">
        <f>IF(ISTEXT(VLOOKUP(CONCATENATE($A32,"_",AQ$3),'Unit List'!$A$23:$H$3256,2,FALSE)),"X",$AP32)</f>
        <v>X</v>
      </c>
      <c r="AR32" s="89" t="s">
        <v>3</v>
      </c>
      <c r="AS32" s="67" t="str">
        <f>IF(ISTEXT(VLOOKUP(CONCATENATE($A32,"_",AS$3),'Unit List'!$A$23:$H$3256,2,FALSE)),"X",$AP32)</f>
        <v>X</v>
      </c>
      <c r="AT32" s="70" t="str">
        <f>IF(ISTEXT(VLOOKUP(CONCATENATE($A32,"_",AT$3),'Unit List'!$A$23:$H$3256,2,FALSE)),"X",$AP32)</f>
        <v>X</v>
      </c>
      <c r="AU32" s="124" t="str">
        <f>IF(ISTEXT(VLOOKUP(CONCATENATE($A32,"_",AU$3),'Unit List'!$A$23:$H$3256,2,FALSE)),"+","")</f>
        <v>+</v>
      </c>
      <c r="AV32" s="51" t="str">
        <f>IF(ISTEXT(VLOOKUP(CONCATENATE($A32,"_",AV$3),'Unit List'!$A$23:$H$3256,2,FALSE)),"X",$AU32)</f>
        <v>+</v>
      </c>
      <c r="AW32" s="53" t="str">
        <f>IF(ISTEXT(VLOOKUP(CONCATENATE($A32,"_",AW$3),'Unit List'!$A$23:$H$3256,2,FALSE)),"X",$AU32)</f>
        <v>+</v>
      </c>
      <c r="AX32" s="171" t="str">
        <f>IF(ISTEXT(VLOOKUP(CONCATENATE($A32,"_",AX$3),'Unit List'!$A$23:$H$3256,2,FALSE)),"+","")</f>
        <v>+</v>
      </c>
      <c r="AY32" s="67" t="str">
        <f>IF(ISTEXT(VLOOKUP(CONCATENATE($A32,"_",AY$3),'Unit List'!$A$23:$H$3256,2,FALSE)),"X",$AX32)</f>
        <v>X</v>
      </c>
      <c r="AZ32" s="70" t="str">
        <f>IF(ISTEXT(VLOOKUP(CONCATENATE($A32,"_",AZ$3),'Unit List'!$A$23:$H$3256,2,FALSE)),"X",$AX32)</f>
        <v>+</v>
      </c>
      <c r="BA32" s="171" t="str">
        <f>IF(ISTEXT(VLOOKUP(CONCATENATE($A32,"_",BA$3),'Unit List'!$A$23:$H$3256,2,FALSE)),"+","")</f>
        <v>+</v>
      </c>
      <c r="BB32" s="67" t="str">
        <f>IF(ISTEXT(VLOOKUP(CONCATENATE($A32,"_",BB$3),'Unit List'!$A$23:$H$3256,2,FALSE)),"X",$BA32)</f>
        <v>X</v>
      </c>
      <c r="BC32" s="67" t="str">
        <f>IF(ISTEXT(VLOOKUP(CONCATENATE($A32,"_",BC$3),'Unit List'!$A$23:$H$3256,2,FALSE)),"X",$BA32)</f>
        <v>X</v>
      </c>
      <c r="BD32" s="70" t="str">
        <f>IF(ISTEXT(VLOOKUP(CONCATENATE($A32,"_",BD$3),'Unit List'!$A$23:$H$3256,2,FALSE)),"X",$BA32)</f>
        <v>X</v>
      </c>
      <c r="BE32" s="125" t="str">
        <f>IF(ISTEXT(VLOOKUP(CONCATENATE($A32,"_",BE$3),'Unit List'!$A$23:$H$3256,2,FALSE)),"+","")</f>
        <v>+</v>
      </c>
      <c r="BF32" s="86" t="str">
        <f>IF(ISTEXT(VLOOKUP(CONCATENATE($A32,"_",BF$3),'Unit List'!$A$23:$H$3256,2,FALSE)),"X",$BE32)</f>
        <v>+</v>
      </c>
      <c r="BG32" s="75"/>
      <c r="BH32" s="84"/>
      <c r="BI32" s="225" t="s">
        <v>2392</v>
      </c>
      <c r="BJ32" s="228"/>
      <c r="BK32" s="228"/>
      <c r="BL32" s="228"/>
      <c r="BM32" s="229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List'!$A$23:$H$3256,2,FALSE)),"+","")</f>
        <v/>
      </c>
      <c r="C33" s="57" t="str">
        <f>IF(ISTEXT(VLOOKUP(CONCATENATE($A33,"_",C$3),'Unit List'!$A$23:$H$3256,2,FALSE)),"X",$B33)</f>
        <v/>
      </c>
      <c r="D33" s="51" t="str">
        <f>IF(ISTEXT(VLOOKUP(CONCATENATE($A33,"_",D$3),'Unit List'!$A$23:$H$3256,2,FALSE)),"X",$B33)</f>
        <v/>
      </c>
      <c r="E33" s="51" t="str">
        <f>IF(ISTEXT(VLOOKUP(CONCATENATE($A33,"_",E$3),'Unit List'!$A$23:$H$3256,2,FALSE)),"X",$B33)</f>
        <v/>
      </c>
      <c r="F33" s="51" t="str">
        <f>IF(ISTEXT(VLOOKUP(CONCATENATE($A33,"_",F$3),'Unit List'!$A$23:$H$3256,2,FALSE)),"X",$B33)</f>
        <v/>
      </c>
      <c r="G33" s="51" t="str">
        <f>IF(ISTEXT(VLOOKUP(CONCATENATE($A33,"_",G$3),'Unit List'!$A$23:$H$3256,2,FALSE)),"X",$B33)</f>
        <v/>
      </c>
      <c r="H33" s="51" t="str">
        <f>IF(ISTEXT(VLOOKUP(CONCATENATE($A33,"_",H$3),'Unit List'!$A$23:$H$3256,2,FALSE)),"X",$B33)</f>
        <v/>
      </c>
      <c r="I33" s="53" t="str">
        <f>IF(ISTEXT(VLOOKUP(CONCATENATE($A33,"_",I$3),'Unit List'!$A$23:$H$3256,2,FALSE)),"X",$B33)</f>
        <v/>
      </c>
      <c r="J33" s="172" t="str">
        <f>IF(ISTEXT(VLOOKUP(CONCATENATE($A33,"_",J$3),'Unit List'!$A$23:$H$3256,2,FALSE)),"+","")</f>
        <v/>
      </c>
      <c r="K33" s="51" t="str">
        <f>IF(ISTEXT(VLOOKUP(CONCATENATE($A33,"_",K$3),'Unit List'!$A$23:$H$3256,2,FALSE)),"X",$J33)</f>
        <v/>
      </c>
      <c r="L33" s="62" t="str">
        <f>IF(ISTEXT(VLOOKUP(CONCATENATE($A33,"_",L$3),'Unit List'!$A$23:$H$3256,2,FALSE)),"X",$J33)</f>
        <v/>
      </c>
      <c r="M33" s="172" t="str">
        <f>IF(ISTEXT(VLOOKUP(CONCATENATE($A33,"_",M$3),'Unit List'!$A$23:$H$3256,2,FALSE)),"+","")</f>
        <v/>
      </c>
      <c r="N33" s="51" t="str">
        <f>IF(ISTEXT(VLOOKUP(CONCATENATE($A33,"_",N$3),'Unit List'!$A$23:$H$3256,2,FALSE)),"X",$M33)</f>
        <v/>
      </c>
      <c r="O33" s="53" t="str">
        <f>IF(ISTEXT(VLOOKUP(CONCATENATE($A33,"_",O$3),'Unit List'!$A$23:$H$3256,2,FALSE)),"X",$M33)</f>
        <v/>
      </c>
      <c r="P33" s="172" t="str">
        <f>IF(ISTEXT(VLOOKUP(CONCATENATE($A33,"_",P$3),'Unit List'!$A$23:$H$3256,2,FALSE)),"+","")</f>
        <v/>
      </c>
      <c r="Q33" s="51" t="str">
        <f>IF(ISTEXT(VLOOKUP(CONCATENATE($A33,"_",Q$3),'Unit List'!$A$23:$H$3256,2,FALSE)),"X",$P33)</f>
        <v/>
      </c>
      <c r="R33" s="51" t="str">
        <f>IF(ISTEXT(VLOOKUP(CONCATENATE($A33,"_",R$3),'Unit List'!$A$23:$H$3256,2,FALSE)),"X",$P33)</f>
        <v/>
      </c>
      <c r="S33" s="51" t="str">
        <f>IF(ISTEXT(VLOOKUP(CONCATENATE($A33,"_",S$3),'Unit List'!$A$23:$H$3256,2,FALSE)),"X",$P33)</f>
        <v/>
      </c>
      <c r="T33" s="52" t="str">
        <f>IF(ISTEXT(VLOOKUP(CONCATENATE($A33,"_",T$3),'Unit List'!$A$23:$H$3256,2,FALSE)),"X",$P33)</f>
        <v/>
      </c>
      <c r="U33" s="51" t="str">
        <f>IF(ISTEXT(VLOOKUP(CONCATENATE($A33,"_",U$3),'Unit List'!$A$23:$H$3256,2,FALSE)),"X",$P33)</f>
        <v/>
      </c>
      <c r="V33" s="51" t="str">
        <f>IF(ISTEXT(VLOOKUP(CONCATENATE($A33,"_",V$3),'Unit List'!$A$23:$H$3256,2,FALSE)),"X",$P33)</f>
        <v/>
      </c>
      <c r="W33" s="53" t="str">
        <f>IF(ISTEXT(VLOOKUP(CONCATENATE($A33,"_",W$3),'Unit List'!$A$23:$H$3256,2,FALSE)),"X",$P33)</f>
        <v/>
      </c>
      <c r="X33" s="172" t="str">
        <f>IF(ISTEXT(VLOOKUP(CONCATENATE($A33,"_",X$3),'Unit List'!$A$23:$H$3256,2,FALSE)),"+","")</f>
        <v/>
      </c>
      <c r="Y33" s="51" t="str">
        <f>IF(ISTEXT(VLOOKUP(CONCATENATE($A33,"_",Y$3),'Unit List'!$A$23:$H$3256,2,FALSE)),"X",$X33)</f>
        <v/>
      </c>
      <c r="Z33" s="51" t="str">
        <f>IF(ISTEXT(VLOOKUP(CONCATENATE($A33,"_",Z$3),'Unit List'!$A$23:$H$3256,2,FALSE)),"X",$X33)</f>
        <v/>
      </c>
      <c r="AA33" s="51" t="str">
        <f>IF(ISTEXT(VLOOKUP(CONCATENATE($A33,"_",AA$3),'Unit List'!$A$23:$H$3256,2,FALSE)),"X",$X33)</f>
        <v/>
      </c>
      <c r="AB33" s="51" t="str">
        <f>IF(ISTEXT(VLOOKUP(CONCATENATE($A33,"_",AB$3),'Unit List'!$A$23:$H$3256,2,FALSE)),"X",$X33)</f>
        <v/>
      </c>
      <c r="AC33" s="62" t="str">
        <f>IF(ISTEXT(VLOOKUP(CONCATENATE($A33,"_",AC$3),'Unit List'!$A$23:$H$3256,2,FALSE)),"X",$X33)</f>
        <v/>
      </c>
      <c r="AD33" s="172" t="str">
        <f>IF(ISTEXT(VLOOKUP(CONCATENATE($A33,"_",AD$3),'Unit List'!$A$23:$H$3256,2,FALSE)),"+","")</f>
        <v/>
      </c>
      <c r="AE33" s="51" t="str">
        <f>IF(ISTEXT(VLOOKUP(CONCATENATE($A33,"_",AE$3),'Unit List'!$A$23:$H$3256,2,FALSE)),"X",$AD33)</f>
        <v/>
      </c>
      <c r="AF33" s="51" t="str">
        <f>IF(ISTEXT(VLOOKUP(CONCATENATE($A33,"_",AF$3),'Unit List'!$A$23:$H$3256,2,FALSE)),"X",$AD33)</f>
        <v/>
      </c>
      <c r="AG33" s="172" t="str">
        <f>IF(ISTEXT(VLOOKUP(CONCATENATE($A33,"_",AG$3),'Unit List'!$A$23:$H$3256,2,FALSE)),"+","")</f>
        <v/>
      </c>
      <c r="AH33" s="51" t="str">
        <f>IF(ISTEXT(VLOOKUP(CONCATENATE($A33,"_",AH$3),'Unit List'!$A$23:$H$3256,2,FALSE)),"X",$AG33)</f>
        <v/>
      </c>
      <c r="AI33" s="51" t="str">
        <f>IF(ISTEXT(VLOOKUP(CONCATENATE($A33,"_",AI$3),'Unit List'!$A$23:$H$3256,2,FALSE)),"X",$AG33)</f>
        <v/>
      </c>
      <c r="AJ33" s="53" t="str">
        <f>IF(ISTEXT(VLOOKUP(CONCATENATE($A33,"_",AJ$3),'Unit List'!$A$23:$H$3256,2,FALSE)),"X",$AG33)</f>
        <v/>
      </c>
      <c r="AK33" s="172" t="str">
        <f>IF(ISTEXT(VLOOKUP(CONCATENATE($A33,"_",AK$3),'Unit List'!$A$23:$H$3256,2,FALSE)),"+","")</f>
        <v/>
      </c>
      <c r="AL33" s="52" t="str">
        <f>IF(ISTEXT(VLOOKUP(CONCATENATE($A33,"_",AL$3),'Unit List'!$A$23:$H$3256,2,FALSE)),"X",$AK33)</f>
        <v/>
      </c>
      <c r="AM33" s="53" t="str">
        <f>IF(ISTEXT(VLOOKUP(CONCATENATE($A33,"_",AM$3),'Unit List'!$A$23:$H$3256,2,FALSE)),"X",$AK33)</f>
        <v/>
      </c>
      <c r="AN33" s="125" t="str">
        <f>IF(ISTEXT(VLOOKUP(CONCATENATE($A33,"_",AN$3),'Unit List'!$A$23:$H$3256,2,FALSE)),"+","")</f>
        <v/>
      </c>
      <c r="AO33" s="53" t="str">
        <f>IF(ISTEXT(VLOOKUP(CONCATENATE($A33,"_",AO$3),'Unit List'!$A$23:$H$3256,2,FALSE)),"X",$AN33)</f>
        <v/>
      </c>
      <c r="AP33" s="172" t="str">
        <f>IF(ISTEXT(VLOOKUP(CONCATENATE($A33,"_",AP$3),'Unit List'!$A$23:$H$3256,2,FALSE)),"+","")</f>
        <v/>
      </c>
      <c r="AQ33" s="51" t="str">
        <f>IF(ISTEXT(VLOOKUP(CONCATENATE($A33,"_",AQ$3),'Unit List'!$A$23:$H$3256,2,FALSE)),"X",$AP33)</f>
        <v/>
      </c>
      <c r="AR33" s="51" t="str">
        <f>IF(ISTEXT(VLOOKUP(CONCATENATE($A33,"_",AR$3),'Unit List'!$A$23:$H$3256,2,FALSE)),"X",$AP33)</f>
        <v/>
      </c>
      <c r="AS33" s="51" t="str">
        <f>IF(ISTEXT(VLOOKUP(CONCATENATE($A33,"_",AS$3),'Unit List'!$A$23:$H$3256,2,FALSE)),"X",$AP33)</f>
        <v/>
      </c>
      <c r="AT33" s="53" t="str">
        <f>IF(ISTEXT(VLOOKUP(CONCATENATE($A33,"_",AT$3),'Unit List'!$A$23:$H$3256,2,FALSE)),"X",$AP33)</f>
        <v/>
      </c>
      <c r="AU33" s="124" t="str">
        <f>IF(ISTEXT(VLOOKUP(CONCATENATE($A33,"_",AU$3),'Unit List'!$A$23:$H$3256,2,FALSE)),"+","")</f>
        <v/>
      </c>
      <c r="AV33" s="51" t="str">
        <f>IF(ISTEXT(VLOOKUP(CONCATENATE($A33,"_",AV$3),'Unit List'!$A$23:$H$3256,2,FALSE)),"X",$AU33)</f>
        <v/>
      </c>
      <c r="AW33" s="53" t="str">
        <f>IF(ISTEXT(VLOOKUP(CONCATENATE($A33,"_",AW$3),'Unit List'!$A$23:$H$3256,2,FALSE)),"X",$AU33)</f>
        <v/>
      </c>
      <c r="AX33" s="172" t="str">
        <f>IF(ISTEXT(VLOOKUP(CONCATENATE($A33,"_",AX$3),'Unit List'!$A$23:$H$3256,2,FALSE)),"+","")</f>
        <v/>
      </c>
      <c r="AY33" s="51" t="str">
        <f>IF(ISTEXT(VLOOKUP(CONCATENATE($A33,"_",AY$3),'Unit List'!$A$23:$H$3256,2,FALSE)),"X",$AX33)</f>
        <v/>
      </c>
      <c r="AZ33" s="53" t="str">
        <f>IF(ISTEXT(VLOOKUP(CONCATENATE($A33,"_",AZ$3),'Unit List'!$A$23:$H$3256,2,FALSE)),"X",$AX33)</f>
        <v/>
      </c>
      <c r="BA33" s="182" t="str">
        <f>IF(ISTEXT(VLOOKUP(CONCATENATE($A33,"_",BA$3),'Unit List'!$A$23:$H$3256,2,FALSE)),"+","")</f>
        <v/>
      </c>
      <c r="BB33" s="51" t="str">
        <f>IF(ISTEXT(VLOOKUP(CONCATENATE($A33,"_",BB$3),'Unit List'!$A$23:$H$3256,2,FALSE)),"X",$BA33)</f>
        <v/>
      </c>
      <c r="BC33" s="51" t="str">
        <f>IF(ISTEXT(VLOOKUP(CONCATENATE($A33,"_",BC$3),'Unit List'!$A$23:$H$3256,2,FALSE)),"X",$BA33)</f>
        <v/>
      </c>
      <c r="BD33" s="53" t="str">
        <f>IF(ISTEXT(VLOOKUP(CONCATENATE($A33,"_",BD$3),'Unit List'!$A$23:$H$3256,2,FALSE)),"X",$BA33)</f>
        <v/>
      </c>
      <c r="BE33" s="125" t="str">
        <f>IF(ISTEXT(VLOOKUP(CONCATENATE($A33,"_",BE$3),'Unit List'!$A$23:$H$3256,2,FALSE)),"+","")</f>
        <v/>
      </c>
      <c r="BF33" s="62" t="str">
        <f>IF(ISTEXT(VLOOKUP(CONCATENATE($A33,"_",BF$3),'Unit List'!$A$23:$H$3256,2,FALSE)),"X",$BE33)</f>
        <v/>
      </c>
      <c r="BG33" s="75"/>
      <c r="BH33" s="84"/>
      <c r="BI33" s="225"/>
      <c r="BJ33" s="226"/>
      <c r="BK33" s="226"/>
      <c r="BL33" s="226"/>
      <c r="BM33" s="227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List'!$A$23:$H$3256,2,FALSE)),"+","")</f>
        <v/>
      </c>
      <c r="C34" s="57" t="str">
        <f>IF(ISTEXT(VLOOKUP(CONCATENATE($A34,"_",C$3),'Unit List'!$A$23:$H$3256,2,FALSE)),"X",$B34)</f>
        <v/>
      </c>
      <c r="D34" s="51" t="str">
        <f>IF(ISTEXT(VLOOKUP(CONCATENATE($A34,"_",D$3),'Unit List'!$A$23:$H$3256,2,FALSE)),"X",$B34)</f>
        <v/>
      </c>
      <c r="E34" s="51" t="str">
        <f>IF(ISTEXT(VLOOKUP(CONCATENATE($A34,"_",E$3),'Unit List'!$A$23:$H$3256,2,FALSE)),"X",$B34)</f>
        <v>X</v>
      </c>
      <c r="F34" s="51" t="str">
        <f>IF(ISTEXT(VLOOKUP(CONCATENATE($A34,"_",F$3),'Unit List'!$A$23:$H$3256,2,FALSE)),"X",$B34)</f>
        <v>X</v>
      </c>
      <c r="G34" s="51" t="str">
        <f>IF(ISTEXT(VLOOKUP(CONCATENATE($A34,"_",G$3),'Unit List'!$A$23:$H$3256,2,FALSE)),"X",$B34)</f>
        <v/>
      </c>
      <c r="H34" s="67" t="str">
        <f>IF(ISTEXT(VLOOKUP(CONCATENATE($A34,"_",H$3),'Unit List'!$A$23:$H$3256,2,FALSE)),"X",$B34)</f>
        <v/>
      </c>
      <c r="I34" s="53" t="str">
        <f>IF(ISTEXT(VLOOKUP(CONCATENATE($A34,"_",I$3),'Unit List'!$A$23:$H$3256,2,FALSE)),"X",$B34)</f>
        <v/>
      </c>
      <c r="J34" s="172" t="str">
        <f>IF(ISTEXT(VLOOKUP(CONCATENATE($A34,"_",J$3),'Unit List'!$A$23:$H$3256,2,FALSE)),"+","")</f>
        <v>+</v>
      </c>
      <c r="K34" s="51" t="str">
        <f>IF(ISTEXT(VLOOKUP(CONCATENATE($A34,"_",K$3),'Unit List'!$A$23:$H$3256,2,FALSE)),"X",$J34)</f>
        <v>+</v>
      </c>
      <c r="L34" s="62" t="str">
        <f>IF(ISTEXT(VLOOKUP(CONCATENATE($A34,"_",L$3),'Unit List'!$A$23:$H$3256,2,FALSE)),"X",$J34)</f>
        <v>+</v>
      </c>
      <c r="M34" s="172" t="str">
        <f>IF(ISTEXT(VLOOKUP(CONCATENATE($A34,"_",M$3),'Unit List'!$A$23:$H$3256,2,FALSE)),"+","")</f>
        <v>+</v>
      </c>
      <c r="N34" s="51" t="str">
        <f>IF(ISTEXT(VLOOKUP(CONCATENATE($A34,"_",N$3),'Unit List'!$A$23:$H$3256,2,FALSE)),"X",$M34)</f>
        <v>+</v>
      </c>
      <c r="O34" s="53" t="str">
        <f>IF(ISTEXT(VLOOKUP(CONCATENATE($A34,"_",O$3),'Unit List'!$A$23:$H$3256,2,FALSE)),"X",$M34)</f>
        <v>X</v>
      </c>
      <c r="P34" s="172" t="str">
        <f>IF(ISTEXT(VLOOKUP(CONCATENATE($A34,"_",P$3),'Unit List'!$A$23:$H$3256,2,FALSE)),"+","")</f>
        <v/>
      </c>
      <c r="Q34" s="51" t="str">
        <f>IF(ISTEXT(VLOOKUP(CONCATENATE($A34,"_",Q$3),'Unit List'!$A$23:$H$3256,2,FALSE)),"X",$P34)</f>
        <v/>
      </c>
      <c r="R34" s="51" t="str">
        <f>IF(ISTEXT(VLOOKUP(CONCATENATE($A34,"_",R$3),'Unit List'!$A$23:$H$3256,2,FALSE)),"X",$P34)</f>
        <v/>
      </c>
      <c r="S34" s="51" t="str">
        <f>IF(ISTEXT(VLOOKUP(CONCATENATE($A34,"_",S$3),'Unit List'!$A$23:$H$3256,2,FALSE)),"X",$P34)</f>
        <v/>
      </c>
      <c r="T34" s="52" t="str">
        <f>IF(ISTEXT(VLOOKUP(CONCATENATE($A34,"_",T$3),'Unit List'!$A$23:$H$3256,2,FALSE)),"X",$P34)</f>
        <v/>
      </c>
      <c r="U34" s="51" t="str">
        <f>IF(ISTEXT(VLOOKUP(CONCATENATE($A34,"_",U$3),'Unit List'!$A$23:$H$3256,2,FALSE)),"X",$P34)</f>
        <v/>
      </c>
      <c r="V34" s="51" t="str">
        <f>IF(ISTEXT(VLOOKUP(CONCATENATE($A34,"_",V$3),'Unit List'!$A$23:$H$3256,2,FALSE)),"X",$P34)</f>
        <v/>
      </c>
      <c r="W34" s="53" t="str">
        <f>IF(ISTEXT(VLOOKUP(CONCATENATE($A34,"_",W$3),'Unit List'!$A$23:$H$3256,2,FALSE)),"X",$P34)</f>
        <v/>
      </c>
      <c r="X34" s="172" t="str">
        <f>IF(ISTEXT(VLOOKUP(CONCATENATE($A34,"_",X$3),'Unit List'!$A$23:$H$3256,2,FALSE)),"+","")</f>
        <v>+</v>
      </c>
      <c r="Y34" s="51" t="str">
        <f>IF(ISTEXT(VLOOKUP(CONCATENATE($A34,"_",Y$3),'Unit List'!$A$23:$H$3256,2,FALSE)),"X",$X34)</f>
        <v>+</v>
      </c>
      <c r="Z34" s="51" t="str">
        <f>IF(ISTEXT(VLOOKUP(CONCATENATE($A34,"_",Z$3),'Unit List'!$A$23:$H$3256,2,FALSE)),"X",$X34)</f>
        <v>+</v>
      </c>
      <c r="AA34" s="51" t="str">
        <f>IF(ISTEXT(VLOOKUP(CONCATENATE($A34,"_",AA$3),'Unit List'!$A$23:$H$3256,2,FALSE)),"X",$X34)</f>
        <v>+</v>
      </c>
      <c r="AB34" s="51" t="str">
        <f>IF(ISTEXT(VLOOKUP(CONCATENATE($A34,"_",AB$3),'Unit List'!$A$23:$H$3256,2,FALSE)),"X",$X34)</f>
        <v>+</v>
      </c>
      <c r="AC34" s="62" t="str">
        <f>IF(ISTEXT(VLOOKUP(CONCATENATE($A34,"_",AC$3),'Unit List'!$A$23:$H$3256,2,FALSE)),"X",$X34)</f>
        <v>+</v>
      </c>
      <c r="AD34" s="172" t="str">
        <f>IF(ISTEXT(VLOOKUP(CONCATENATE($A34,"_",AD$3),'Unit List'!$A$23:$H$3256,2,FALSE)),"+","")</f>
        <v/>
      </c>
      <c r="AE34" s="51" t="str">
        <f>IF(ISTEXT(VLOOKUP(CONCATENATE($A34,"_",AE$3),'Unit List'!$A$23:$H$3256,2,FALSE)),"X",$AD34)</f>
        <v/>
      </c>
      <c r="AF34" s="51" t="str">
        <f>IF(ISTEXT(VLOOKUP(CONCATENATE($A34,"_",AF$3),'Unit List'!$A$23:$H$3256,2,FALSE)),"X",$AD34)</f>
        <v/>
      </c>
      <c r="AG34" s="172" t="str">
        <f>IF(ISTEXT(VLOOKUP(CONCATENATE($A34,"_",AG$3),'Unit List'!$A$23:$H$3256,2,FALSE)),"+","")</f>
        <v>+</v>
      </c>
      <c r="AH34" s="51" t="str">
        <f>IF(ISTEXT(VLOOKUP(CONCATENATE($A34,"_",AH$3),'Unit List'!$A$23:$H$3256,2,FALSE)),"X",$AG34)</f>
        <v>+</v>
      </c>
      <c r="AI34" s="51" t="str">
        <f>IF(ISTEXT(VLOOKUP(CONCATENATE($A34,"_",AI$3),'Unit List'!$A$23:$H$3256,2,FALSE)),"X",$AG34)</f>
        <v>+</v>
      </c>
      <c r="AJ34" s="53" t="str">
        <f>IF(ISTEXT(VLOOKUP(CONCATENATE($A34,"_",AJ$3),'Unit List'!$A$23:$H$3256,2,FALSE)),"X",$AG34)</f>
        <v>+</v>
      </c>
      <c r="AK34" s="172" t="str">
        <f>IF(ISTEXT(VLOOKUP(CONCATENATE($A34,"_",AK$3),'Unit List'!$A$23:$H$3256,2,FALSE)),"+","")</f>
        <v>+</v>
      </c>
      <c r="AL34" s="52" t="str">
        <f>IF(ISTEXT(VLOOKUP(CONCATENATE($A34,"_",AL$3),'Unit List'!$A$23:$H$3256,2,FALSE)),"X",$AK34)</f>
        <v>+</v>
      </c>
      <c r="AM34" s="53" t="str">
        <f>IF(ISTEXT(VLOOKUP(CONCATENATE($A34,"_",AM$3),'Unit List'!$A$23:$H$3256,2,FALSE)),"X",$AK34)</f>
        <v>+</v>
      </c>
      <c r="AN34" s="125" t="str">
        <f>IF(ISTEXT(VLOOKUP(CONCATENATE($A34,"_",AN$3),'Unit List'!$A$23:$H$3256,2,FALSE)),"+","")</f>
        <v/>
      </c>
      <c r="AO34" s="53" t="str">
        <f>IF(ISTEXT(VLOOKUP(CONCATENATE($A34,"_",AO$3),'Unit List'!$A$23:$H$3256,2,FALSE)),"X",$AN34)</f>
        <v/>
      </c>
      <c r="AP34" s="172" t="str">
        <f>IF(ISTEXT(VLOOKUP(CONCATENATE($A34,"_",AP$3),'Unit List'!$A$23:$H$3256,2,FALSE)),"+","")</f>
        <v>+</v>
      </c>
      <c r="AQ34" s="51" t="str">
        <f>IF(ISTEXT(VLOOKUP(CONCATENATE($A34,"_",AQ$3),'Unit List'!$A$23:$H$3256,2,FALSE)),"X",$AP34)</f>
        <v>+</v>
      </c>
      <c r="AR34" s="51" t="str">
        <f>IF(ISTEXT(VLOOKUP(CONCATENATE($A34,"_",AR$3),'Unit List'!$A$23:$H$3256,2,FALSE)),"X",$AP34)</f>
        <v>+</v>
      </c>
      <c r="AS34" s="51" t="str">
        <f>IF(ISTEXT(VLOOKUP(CONCATENATE($A34,"_",AS$3),'Unit List'!$A$23:$H$3256,2,FALSE)),"X",$AP34)</f>
        <v>+</v>
      </c>
      <c r="AT34" s="53" t="str">
        <f>IF(ISTEXT(VLOOKUP(CONCATENATE($A34,"_",AT$3),'Unit List'!$A$23:$H$3256,2,FALSE)),"X",$AP34)</f>
        <v>+</v>
      </c>
      <c r="AU34" s="124" t="str">
        <f>IF(ISTEXT(VLOOKUP(CONCATENATE($A34,"_",AU$3),'Unit List'!$A$23:$H$3256,2,FALSE)),"+","")</f>
        <v>+</v>
      </c>
      <c r="AV34" s="51" t="str">
        <f>IF(ISTEXT(VLOOKUP(CONCATENATE($A34,"_",AV$3),'Unit List'!$A$23:$H$3256,2,FALSE)),"X",$AU34)</f>
        <v>+</v>
      </c>
      <c r="AW34" s="53" t="str">
        <f>IF(ISTEXT(VLOOKUP(CONCATENATE($A34,"_",AW$3),'Unit List'!$A$23:$H$3256,2,FALSE)),"X",$AU34)</f>
        <v>+</v>
      </c>
      <c r="AX34" s="172" t="str">
        <f>IF(ISTEXT(VLOOKUP(CONCATENATE($A34,"_",AX$3),'Unit List'!$A$23:$H$3256,2,FALSE)),"+","")</f>
        <v>+</v>
      </c>
      <c r="AY34" s="51" t="str">
        <f>IF(ISTEXT(VLOOKUP(CONCATENATE($A34,"_",AY$3),'Unit List'!$A$23:$H$3256,2,FALSE)),"X",$AX34)</f>
        <v>+</v>
      </c>
      <c r="AZ34" s="53" t="str">
        <f>IF(ISTEXT(VLOOKUP(CONCATENATE($A34,"_",AZ$3),'Unit List'!$A$23:$H$3256,2,FALSE)),"X",$AX34)</f>
        <v>+</v>
      </c>
      <c r="BA34" s="182" t="str">
        <f>IF(ISTEXT(VLOOKUP(CONCATENATE($A34,"_",BA$3),'Unit List'!$A$23:$H$3256,2,FALSE)),"+","")</f>
        <v>+</v>
      </c>
      <c r="BB34" s="51" t="str">
        <f>IF(ISTEXT(VLOOKUP(CONCATENATE($A34,"_",BB$3),'Unit List'!$A$23:$H$3256,2,FALSE)),"X",$BA34)</f>
        <v>+</v>
      </c>
      <c r="BC34" s="51" t="str">
        <f>IF(ISTEXT(VLOOKUP(CONCATENATE($A34,"_",BC$3),'Unit List'!$A$23:$H$3256,2,FALSE)),"X",$BA34)</f>
        <v>+</v>
      </c>
      <c r="BD34" s="53" t="str">
        <f>IF(ISTEXT(VLOOKUP(CONCATENATE($A34,"_",BD$3),'Unit List'!$A$23:$H$3256,2,FALSE)),"X",$BA34)</f>
        <v>+</v>
      </c>
      <c r="BE34" s="125" t="str">
        <f>IF(ISTEXT(VLOOKUP(CONCATENATE($A34,"_",BE$3),'Unit List'!$A$23:$H$3256,2,FALSE)),"+","")</f>
        <v>+</v>
      </c>
      <c r="BF34" s="62" t="str">
        <f>IF(ISTEXT(VLOOKUP(CONCATENATE($A34,"_",BF$3),'Unit List'!$A$23:$H$3256,2,FALSE)),"X",$BE34)</f>
        <v>+</v>
      </c>
      <c r="BG34" s="75"/>
      <c r="BH34" s="84"/>
      <c r="BI34" s="225"/>
      <c r="BJ34" s="226"/>
      <c r="BK34" s="226"/>
      <c r="BL34" s="226"/>
      <c r="BM34" s="227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List'!$A$23:$H$3256,2,FALSE)),"+","")</f>
        <v/>
      </c>
      <c r="C35" s="57" t="str">
        <f>IF(ISTEXT(VLOOKUP(CONCATENATE($A35,"_",C$3),'Unit List'!$A$23:$H$3256,2,FALSE)),"X",$B35)</f>
        <v/>
      </c>
      <c r="D35" s="51" t="str">
        <f>IF(ISTEXT(VLOOKUP(CONCATENATE($A35,"_",D$3),'Unit List'!$A$23:$H$3256,2,FALSE)),"X",$B35)</f>
        <v/>
      </c>
      <c r="E35" s="51" t="str">
        <f>IF(ISTEXT(VLOOKUP(CONCATENATE($A35,"_",E$3),'Unit List'!$A$23:$H$3256,2,FALSE)),"X",$B35)</f>
        <v/>
      </c>
      <c r="F35" s="51" t="str">
        <f>IF(ISTEXT(VLOOKUP(CONCATENATE($A35,"_",F$3),'Unit List'!$A$23:$H$3256,2,FALSE)),"X",$B35)</f>
        <v/>
      </c>
      <c r="G35" s="51" t="str">
        <f>IF(ISTEXT(VLOOKUP(CONCATENATE($A35,"_",G$3),'Unit List'!$A$23:$H$3256,2,FALSE)),"X",$B35)</f>
        <v/>
      </c>
      <c r="H35" s="51" t="str">
        <f>IF(ISTEXT(VLOOKUP(CONCATENATE($A35,"_",H$3),'Unit List'!$A$23:$H$3256,2,FALSE)),"X",$B35)</f>
        <v/>
      </c>
      <c r="I35" s="53" t="str">
        <f>IF(ISTEXT(VLOOKUP(CONCATENATE($A35,"_",I$3),'Unit List'!$A$23:$H$3256,2,FALSE)),"X",$B35)</f>
        <v/>
      </c>
      <c r="J35" s="172" t="str">
        <f>IF(ISTEXT(VLOOKUP(CONCATENATE($A35,"_",J$3),'Unit List'!$A$23:$H$3256,2,FALSE)),"+","")</f>
        <v/>
      </c>
      <c r="K35" s="51" t="str">
        <f>IF(ISTEXT(VLOOKUP(CONCATENATE($A35,"_",K$3),'Unit List'!$A$23:$H$3256,2,FALSE)),"X",$J35)</f>
        <v/>
      </c>
      <c r="L35" s="62" t="str">
        <f>IF(ISTEXT(VLOOKUP(CONCATENATE($A35,"_",L$3),'Unit List'!$A$23:$H$3256,2,FALSE)),"X",$J35)</f>
        <v/>
      </c>
      <c r="M35" s="172" t="str">
        <f>IF(ISTEXT(VLOOKUP(CONCATENATE($A35,"_",M$3),'Unit List'!$A$23:$H$3256,2,FALSE)),"+","")</f>
        <v/>
      </c>
      <c r="N35" s="51" t="str">
        <f>IF(ISTEXT(VLOOKUP(CONCATENATE($A35,"_",N$3),'Unit List'!$A$23:$H$3256,2,FALSE)),"X",$M35)</f>
        <v/>
      </c>
      <c r="O35" s="53" t="str">
        <f>IF(ISTEXT(VLOOKUP(CONCATENATE($A35,"_",O$3),'Unit List'!$A$23:$H$3256,2,FALSE)),"X",$M35)</f>
        <v/>
      </c>
      <c r="P35" s="172" t="str">
        <f>IF(ISTEXT(VLOOKUP(CONCATENATE($A35,"_",P$3),'Unit List'!$A$23:$H$3256,2,FALSE)),"+","")</f>
        <v/>
      </c>
      <c r="Q35" s="51" t="str">
        <f>IF(ISTEXT(VLOOKUP(CONCATENATE($A35,"_",Q$3),'Unit List'!$A$23:$H$3256,2,FALSE)),"X",$P35)</f>
        <v/>
      </c>
      <c r="R35" s="51" t="str">
        <f>IF(ISTEXT(VLOOKUP(CONCATENATE($A35,"_",R$3),'Unit List'!$A$23:$H$3256,2,FALSE)),"X",$P35)</f>
        <v/>
      </c>
      <c r="S35" s="51" t="str">
        <f>IF(ISTEXT(VLOOKUP(CONCATENATE($A35,"_",S$3),'Unit List'!$A$23:$H$3256,2,FALSE)),"X",$P35)</f>
        <v/>
      </c>
      <c r="T35" s="52" t="str">
        <f>IF(ISTEXT(VLOOKUP(CONCATENATE($A35,"_",T$3),'Unit List'!$A$23:$H$3256,2,FALSE)),"X",$P35)</f>
        <v/>
      </c>
      <c r="U35" s="51" t="str">
        <f>IF(ISTEXT(VLOOKUP(CONCATENATE($A35,"_",U$3),'Unit List'!$A$23:$H$3256,2,FALSE)),"X",$P35)</f>
        <v/>
      </c>
      <c r="V35" s="51" t="str">
        <f>IF(ISTEXT(VLOOKUP(CONCATENATE($A35,"_",V$3),'Unit List'!$A$23:$H$3256,2,FALSE)),"X",$P35)</f>
        <v/>
      </c>
      <c r="W35" s="53" t="str">
        <f>IF(ISTEXT(VLOOKUP(CONCATENATE($A35,"_",W$3),'Unit List'!$A$23:$H$3256,2,FALSE)),"X",$P35)</f>
        <v/>
      </c>
      <c r="X35" s="172" t="str">
        <f>IF(ISTEXT(VLOOKUP(CONCATENATE($A35,"_",X$3),'Unit List'!$A$23:$H$3256,2,FALSE)),"+","")</f>
        <v/>
      </c>
      <c r="Y35" s="51" t="str">
        <f>IF(ISTEXT(VLOOKUP(CONCATENATE($A35,"_",Y$3),'Unit List'!$A$23:$H$3256,2,FALSE)),"X",$X35)</f>
        <v/>
      </c>
      <c r="Z35" s="51" t="str">
        <f>IF(ISTEXT(VLOOKUP(CONCATENATE($A35,"_",Z$3),'Unit List'!$A$23:$H$3256,2,FALSE)),"X",$X35)</f>
        <v/>
      </c>
      <c r="AA35" s="51" t="str">
        <f>IF(ISTEXT(VLOOKUP(CONCATENATE($A35,"_",AA$3),'Unit List'!$A$23:$H$3256,2,FALSE)),"X",$X35)</f>
        <v/>
      </c>
      <c r="AB35" s="51" t="str">
        <f>IF(ISTEXT(VLOOKUP(CONCATENATE($A35,"_",AB$3),'Unit List'!$A$23:$H$3256,2,FALSE)),"X",$X35)</f>
        <v/>
      </c>
      <c r="AC35" s="62" t="str">
        <f>IF(ISTEXT(VLOOKUP(CONCATENATE($A35,"_",AC$3),'Unit List'!$A$23:$H$3256,2,FALSE)),"X",$X35)</f>
        <v/>
      </c>
      <c r="AD35" s="172" t="str">
        <f>IF(ISTEXT(VLOOKUP(CONCATENATE($A35,"_",AD$3),'Unit List'!$A$23:$H$3256,2,FALSE)),"+","")</f>
        <v/>
      </c>
      <c r="AE35" s="51" t="str">
        <f>IF(ISTEXT(VLOOKUP(CONCATENATE($A35,"_",AE$3),'Unit List'!$A$23:$H$3256,2,FALSE)),"X",$AD35)</f>
        <v/>
      </c>
      <c r="AF35" s="51" t="str">
        <f>IF(ISTEXT(VLOOKUP(CONCATENATE($A35,"_",AF$3),'Unit List'!$A$23:$H$3256,2,FALSE)),"X",$AD35)</f>
        <v/>
      </c>
      <c r="AG35" s="172" t="str">
        <f>IF(ISTEXT(VLOOKUP(CONCATENATE($A35,"_",AG$3),'Unit List'!$A$23:$H$3256,2,FALSE)),"+","")</f>
        <v/>
      </c>
      <c r="AH35" s="51" t="str">
        <f>IF(ISTEXT(VLOOKUP(CONCATENATE($A35,"_",AH$3),'Unit List'!$A$23:$H$3256,2,FALSE)),"X",$AG35)</f>
        <v/>
      </c>
      <c r="AI35" s="51" t="str">
        <f>IF(ISTEXT(VLOOKUP(CONCATENATE($A35,"_",AI$3),'Unit List'!$A$23:$H$3256,2,FALSE)),"X",$AG35)</f>
        <v/>
      </c>
      <c r="AJ35" s="53" t="str">
        <f>IF(ISTEXT(VLOOKUP(CONCATENATE($A35,"_",AJ$3),'Unit List'!$A$23:$H$3256,2,FALSE)),"X",$AG35)</f>
        <v/>
      </c>
      <c r="AK35" s="172" t="str">
        <f>IF(ISTEXT(VLOOKUP(CONCATENATE($A35,"_",AK$3),'Unit List'!$A$23:$H$3256,2,FALSE)),"+","")</f>
        <v/>
      </c>
      <c r="AL35" s="52" t="str">
        <f>IF(ISTEXT(VLOOKUP(CONCATENATE($A35,"_",AL$3),'Unit List'!$A$23:$H$3256,2,FALSE)),"X",$AK35)</f>
        <v/>
      </c>
      <c r="AM35" s="53" t="str">
        <f>IF(ISTEXT(VLOOKUP(CONCATENATE($A35,"_",AM$3),'Unit List'!$A$23:$H$3256,2,FALSE)),"X",$AK35)</f>
        <v/>
      </c>
      <c r="AN35" s="125" t="str">
        <f>IF(ISTEXT(VLOOKUP(CONCATENATE($A35,"_",AN$3),'Unit List'!$A$23:$H$3256,2,FALSE)),"+","")</f>
        <v/>
      </c>
      <c r="AO35" s="53" t="str">
        <f>IF(ISTEXT(VLOOKUP(CONCATENATE($A35,"_",AO$3),'Unit List'!$A$23:$H$3256,2,FALSE)),"X",$AN35)</f>
        <v/>
      </c>
      <c r="AP35" s="172" t="str">
        <f>IF(ISTEXT(VLOOKUP(CONCATENATE($A35,"_",AP$3),'Unit List'!$A$23:$H$3256,2,FALSE)),"+","")</f>
        <v/>
      </c>
      <c r="AQ35" s="51" t="str">
        <f>IF(ISTEXT(VLOOKUP(CONCATENATE($A35,"_",AQ$3),'Unit List'!$A$23:$H$3256,2,FALSE)),"X",$AP35)</f>
        <v/>
      </c>
      <c r="AR35" s="51" t="str">
        <f>IF(ISTEXT(VLOOKUP(CONCATENATE($A35,"_",AR$3),'Unit List'!$A$23:$H$3256,2,FALSE)),"X",$AP35)</f>
        <v/>
      </c>
      <c r="AS35" s="51" t="str">
        <f>IF(ISTEXT(VLOOKUP(CONCATENATE($A35,"_",AS$3),'Unit List'!$A$23:$H$3256,2,FALSE)),"X",$AP35)</f>
        <v/>
      </c>
      <c r="AT35" s="53" t="str">
        <f>IF(ISTEXT(VLOOKUP(CONCATENATE($A35,"_",AT$3),'Unit List'!$A$23:$H$3256,2,FALSE)),"X",$AP35)</f>
        <v/>
      </c>
      <c r="AU35" s="124" t="str">
        <f>IF(ISTEXT(VLOOKUP(CONCATENATE($A35,"_",AU$3),'Unit List'!$A$23:$H$3256,2,FALSE)),"+","")</f>
        <v/>
      </c>
      <c r="AV35" s="51" t="str">
        <f>IF(ISTEXT(VLOOKUP(CONCATENATE($A35,"_",AV$3),'Unit List'!$A$23:$H$3256,2,FALSE)),"X",$AU35)</f>
        <v/>
      </c>
      <c r="AW35" s="53" t="str">
        <f>IF(ISTEXT(VLOOKUP(CONCATENATE($A35,"_",AW$3),'Unit List'!$A$23:$H$3256,2,FALSE)),"X",$AU35)</f>
        <v/>
      </c>
      <c r="AX35" s="172" t="str">
        <f>IF(ISTEXT(VLOOKUP(CONCATENATE($A35,"_",AX$3),'Unit List'!$A$23:$H$3256,2,FALSE)),"+","")</f>
        <v/>
      </c>
      <c r="AY35" s="51" t="str">
        <f>IF(ISTEXT(VLOOKUP(CONCATENATE($A35,"_",AY$3),'Unit List'!$A$23:$H$3256,2,FALSE)),"X",$AX35)</f>
        <v/>
      </c>
      <c r="AZ35" s="53" t="str">
        <f>IF(ISTEXT(VLOOKUP(CONCATENATE($A35,"_",AZ$3),'Unit List'!$A$23:$H$3256,2,FALSE)),"X",$AX35)</f>
        <v/>
      </c>
      <c r="BA35" s="182" t="str">
        <f>IF(ISTEXT(VLOOKUP(CONCATENATE($A35,"_",BA$3),'Unit List'!$A$23:$H$3256,2,FALSE)),"+","")</f>
        <v/>
      </c>
      <c r="BB35" s="51" t="str">
        <f>IF(ISTEXT(VLOOKUP(CONCATENATE($A35,"_",BB$3),'Unit List'!$A$23:$H$3256,2,FALSE)),"X",$BA35)</f>
        <v/>
      </c>
      <c r="BC35" s="51" t="str">
        <f>IF(ISTEXT(VLOOKUP(CONCATENATE($A35,"_",BC$3),'Unit List'!$A$23:$H$3256,2,FALSE)),"X",$BA35)</f>
        <v/>
      </c>
      <c r="BD35" s="53" t="str">
        <f>IF(ISTEXT(VLOOKUP(CONCATENATE($A35,"_",BD$3),'Unit List'!$A$23:$H$3256,2,FALSE)),"X",$BA35)</f>
        <v/>
      </c>
      <c r="BE35" s="125" t="str">
        <f>IF(ISTEXT(VLOOKUP(CONCATENATE($A35,"_",BE$3),'Unit List'!$A$23:$H$3256,2,FALSE)),"+","")</f>
        <v/>
      </c>
      <c r="BF35" s="62" t="str">
        <f>IF(ISTEXT(VLOOKUP(CONCATENATE($A35,"_",BF$3),'Unit List'!$A$23:$H$3256,2,FALSE)),"X",$BE35)</f>
        <v/>
      </c>
      <c r="BG35" s="75"/>
      <c r="BH35" s="84"/>
      <c r="BI35" s="225"/>
      <c r="BJ35" s="226"/>
      <c r="BK35" s="226"/>
      <c r="BL35" s="226"/>
      <c r="BM35" s="227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List'!$A$23:$H$3256,2,FALSE)),"+","")</f>
        <v>+</v>
      </c>
      <c r="C36" s="57" t="str">
        <f>IF(ISTEXT(VLOOKUP(CONCATENATE($A36,"_",C$3),'Unit List'!$A$23:$H$3256,2,FALSE)),"X",$B36)</f>
        <v>X</v>
      </c>
      <c r="D36" s="51" t="str">
        <f>IF(ISTEXT(VLOOKUP(CONCATENATE($A36,"_",D$3),'Unit List'!$A$23:$H$3256,2,FALSE)),"X",$B36)</f>
        <v>X</v>
      </c>
      <c r="E36" s="51" t="str">
        <f>IF(ISTEXT(VLOOKUP(CONCATENATE($A36,"_",E$3),'Unit List'!$A$23:$H$3256,2,FALSE)),"X",$B36)</f>
        <v>X</v>
      </c>
      <c r="F36" s="51" t="str">
        <f>IF(ISTEXT(VLOOKUP(CONCATENATE($A36,"_",F$3),'Unit List'!$A$23:$H$3256,2,FALSE)),"X",$B36)</f>
        <v>X</v>
      </c>
      <c r="G36" s="51" t="str">
        <f>IF(ISTEXT(VLOOKUP(CONCATENATE($A36,"_",G$3),'Unit List'!$A$23:$H$3256,2,FALSE)),"X",$B36)</f>
        <v>+</v>
      </c>
      <c r="H36" s="67" t="str">
        <f>IF(ISTEXT(VLOOKUP(CONCATENATE($A36,"_",H$3),'Unit List'!$A$23:$H$3256,2,FALSE)),"X",$B36)</f>
        <v>X</v>
      </c>
      <c r="I36" s="53" t="str">
        <f>IF(ISTEXT(VLOOKUP(CONCATENATE($A36,"_",I$3),'Unit List'!$A$23:$H$3256,2,FALSE)),"X",$B36)</f>
        <v>+</v>
      </c>
      <c r="J36" s="171" t="str">
        <f>IF(ISTEXT(VLOOKUP(CONCATENATE($A36,"_",J$3),'Unit List'!$A$23:$H$3256,2,FALSE)),"+","")</f>
        <v/>
      </c>
      <c r="K36" s="51" t="str">
        <f>IF(ISTEXT(VLOOKUP(CONCATENATE($A36,"_",K$3),'Unit List'!$A$23:$H$3256,2,FALSE)),"X",$J36)</f>
        <v/>
      </c>
      <c r="L36" s="62" t="str">
        <f>IF(ISTEXT(VLOOKUP(CONCATENATE($A36,"_",L$3),'Unit List'!$A$23:$H$3256,2,FALSE)),"X",$J36)</f>
        <v/>
      </c>
      <c r="M36" s="171" t="str">
        <f>IF(ISTEXT(VLOOKUP(CONCATENATE($A36,"_",M$3),'Unit List'!$A$23:$H$3256,2,FALSE)),"+","")</f>
        <v>+</v>
      </c>
      <c r="N36" s="69" t="str">
        <f>IF(ISTEXT(VLOOKUP(CONCATENATE($A36,"_",N$3),'Unit List'!$A$23:$H$3256,2,FALSE)),"X",$M36)</f>
        <v>+</v>
      </c>
      <c r="O36" s="70" t="str">
        <f>IF(ISTEXT(VLOOKUP(CONCATENATE($A36,"_",O$3),'Unit List'!$A$23:$H$3256,2,FALSE)),"X",$M36)</f>
        <v>X</v>
      </c>
      <c r="P36" s="172" t="str">
        <f>IF(ISTEXT(VLOOKUP(CONCATENATE($A36,"_",P$3),'Unit List'!$A$23:$H$3256,2,FALSE)),"+","")</f>
        <v/>
      </c>
      <c r="Q36" s="51" t="str">
        <f>IF(ISTEXT(VLOOKUP(CONCATENATE($A36,"_",Q$3),'Unit List'!$A$23:$H$3256,2,FALSE)),"X",$P36)</f>
        <v/>
      </c>
      <c r="R36" s="51" t="str">
        <f>IF(ISTEXT(VLOOKUP(CONCATENATE($A36,"_",R$3),'Unit List'!$A$23:$H$3256,2,FALSE)),"X",$P36)</f>
        <v/>
      </c>
      <c r="S36" s="51" t="str">
        <f>IF(ISTEXT(VLOOKUP(CONCATENATE($A36,"_",S$3),'Unit List'!$A$23:$H$3256,2,FALSE)),"X",$P36)</f>
        <v/>
      </c>
      <c r="T36" s="52" t="str">
        <f>IF(ISTEXT(VLOOKUP(CONCATENATE($A36,"_",T$3),'Unit List'!$A$23:$H$3256,2,FALSE)),"X",$P36)</f>
        <v/>
      </c>
      <c r="U36" s="67" t="str">
        <f>IF(ISTEXT(VLOOKUP(CONCATENATE($A36,"_",U$3),'Unit List'!$A$23:$H$3256,2,FALSE)),"X",$P36)</f>
        <v>X</v>
      </c>
      <c r="V36" s="51" t="str">
        <f>IF(ISTEXT(VLOOKUP(CONCATENATE($A36,"_",V$3),'Unit List'!$A$23:$H$3256,2,FALSE)),"X",$P36)</f>
        <v/>
      </c>
      <c r="W36" s="53" t="str">
        <f>IF(ISTEXT(VLOOKUP(CONCATENATE($A36,"_",W$3),'Unit List'!$A$23:$H$3256,2,FALSE)),"X",$P36)</f>
        <v/>
      </c>
      <c r="X36" s="171" t="str">
        <f>IF(ISTEXT(VLOOKUP(CONCATENATE($A36,"_",X$3),'Unit List'!$A$23:$H$3256,2,FALSE)),"+","")</f>
        <v>+</v>
      </c>
      <c r="Y36" s="51" t="str">
        <f>IF(ISTEXT(VLOOKUP(CONCATENATE($A36,"_",Y$3),'Unit List'!$A$23:$H$3256,2,FALSE)),"X",$X36)</f>
        <v>X</v>
      </c>
      <c r="Z36" s="51" t="str">
        <f>IF(ISTEXT(VLOOKUP(CONCATENATE($A36,"_",Z$3),'Unit List'!$A$23:$H$3256,2,FALSE)),"X",$X36)</f>
        <v>+</v>
      </c>
      <c r="AA36" s="67" t="str">
        <f>IF(ISTEXT(VLOOKUP(CONCATENATE($A36,"_",AA$3),'Unit List'!$A$23:$H$3256,2,FALSE)),"X",$X36)</f>
        <v>X</v>
      </c>
      <c r="AB36" s="51" t="str">
        <f>IF(ISTEXT(VLOOKUP(CONCATENATE($A36,"_",AB$3),'Unit List'!$A$23:$H$3256,2,FALSE)),"X",$X36)</f>
        <v>+</v>
      </c>
      <c r="AC36" s="86" t="str">
        <f>IF(ISTEXT(VLOOKUP(CONCATENATE($A36,"_",AC$3),'Unit List'!$A$23:$H$3256,2,FALSE)),"X",$X36)</f>
        <v>X</v>
      </c>
      <c r="AD36" s="171" t="str">
        <f>IF(ISTEXT(VLOOKUP(CONCATENATE($A36,"_",AD$3),'Unit List'!$A$23:$H$3256,2,FALSE)),"+","")</f>
        <v>+</v>
      </c>
      <c r="AE36" s="51" t="str">
        <f>IF(ISTEXT(VLOOKUP(CONCATENATE($A36,"_",AE$3),'Unit List'!$A$23:$H$3256,2,FALSE)),"X",$AD36)</f>
        <v>+</v>
      </c>
      <c r="AF36" s="51" t="str">
        <f>IF(ISTEXT(VLOOKUP(CONCATENATE($A36,"_",AF$3),'Unit List'!$A$23:$H$3256,2,FALSE)),"X",$AD36)</f>
        <v>+</v>
      </c>
      <c r="AG36" s="171" t="str">
        <f>IF(ISTEXT(VLOOKUP(CONCATENATE($A36,"_",AG$3),'Unit List'!$A$23:$H$3256,2,FALSE)),"+","")</f>
        <v>+</v>
      </c>
      <c r="AH36" s="51" t="str">
        <f>IF(ISTEXT(VLOOKUP(CONCATENATE($A36,"_",AH$3),'Unit List'!$A$23:$H$3256,2,FALSE)),"X",$AG36)</f>
        <v>+</v>
      </c>
      <c r="AI36" s="51" t="str">
        <f>IF(ISTEXT(VLOOKUP(CONCATENATE($A36,"_",AI$3),'Unit List'!$A$23:$H$3256,2,FALSE)),"X",$AG36)</f>
        <v>+</v>
      </c>
      <c r="AJ36" s="53" t="str">
        <f>IF(ISTEXT(VLOOKUP(CONCATENATE($A36,"_",AJ$3),'Unit List'!$A$23:$H$3256,2,FALSE)),"X",$AG36)</f>
        <v>X</v>
      </c>
      <c r="AK36" s="172" t="str">
        <f>IF(ISTEXT(VLOOKUP(CONCATENATE($A36,"_",AK$3),'Unit List'!$A$23:$H$3256,2,FALSE)),"+","")</f>
        <v/>
      </c>
      <c r="AL36" s="52" t="str">
        <f>IF(ISTEXT(VLOOKUP(CONCATENATE($A36,"_",AL$3),'Unit List'!$A$23:$H$3256,2,FALSE)),"X",$AK36)</f>
        <v/>
      </c>
      <c r="AM36" s="53" t="str">
        <f>IF(ISTEXT(VLOOKUP(CONCATENATE($A36,"_",AM$3),'Unit List'!$A$23:$H$3256,2,FALSE)),"X",$AK36)</f>
        <v/>
      </c>
      <c r="AN36" s="125" t="str">
        <f>IF(ISTEXT(VLOOKUP(CONCATENATE($A36,"_",AN$3),'Unit List'!$A$23:$H$3256,2,FALSE)),"+","")</f>
        <v>+</v>
      </c>
      <c r="AO36" s="70" t="str">
        <f>IF(ISTEXT(VLOOKUP(CONCATENATE($A36,"_",AO$3),'Unit List'!$A$23:$H$3256,2,FALSE)),"X",$AN36)</f>
        <v>X</v>
      </c>
      <c r="AP36" s="172" t="str">
        <f>IF(ISTEXT(VLOOKUP(CONCATENATE($A36,"_",AP$3),'Unit List'!$A$23:$H$3256,2,FALSE)),"+","")</f>
        <v>+</v>
      </c>
      <c r="AQ36" s="69" t="str">
        <f>IF(ISTEXT(VLOOKUP(CONCATENATE($A36,"_",AQ$3),'Unit List'!$A$23:$H$3256,2,FALSE)),"X",$AP36)</f>
        <v>+</v>
      </c>
      <c r="AR36" s="51" t="str">
        <f>IF(ISTEXT(VLOOKUP(CONCATENATE($A36,"_",AR$3),'Unit List'!$A$23:$H$3256,2,FALSE)),"X",$AP36)</f>
        <v>+</v>
      </c>
      <c r="AS36" s="51" t="str">
        <f>IF(ISTEXT(VLOOKUP(CONCATENATE($A36,"_",AS$3),'Unit List'!$A$23:$H$3256,2,FALSE)),"X",$AP36)</f>
        <v>+</v>
      </c>
      <c r="AT36" s="53" t="str">
        <f>IF(ISTEXT(VLOOKUP(CONCATENATE($A36,"_",AT$3),'Unit List'!$A$23:$H$3256,2,FALSE)),"X",$AP36)</f>
        <v>+</v>
      </c>
      <c r="AU36" s="124" t="str">
        <f>IF(ISTEXT(VLOOKUP(CONCATENATE($A36,"_",AU$3),'Unit List'!$A$23:$H$3256,2,FALSE)),"+","")</f>
        <v>+</v>
      </c>
      <c r="AV36" s="51" t="str">
        <f>IF(ISTEXT(VLOOKUP(CONCATENATE($A36,"_",AV$3),'Unit List'!$A$23:$H$3256,2,FALSE)),"X",$AU36)</f>
        <v>+</v>
      </c>
      <c r="AW36" s="53" t="str">
        <f>IF(ISTEXT(VLOOKUP(CONCATENATE($A36,"_",AW$3),'Unit List'!$A$23:$H$3256,2,FALSE)),"X",$AU36)</f>
        <v>+</v>
      </c>
      <c r="AX36" s="172" t="str">
        <f>IF(ISTEXT(VLOOKUP(CONCATENATE($A36,"_",AX$3),'Unit List'!$A$23:$H$3256,2,FALSE)),"+","")</f>
        <v>+</v>
      </c>
      <c r="AY36" s="51" t="str">
        <f>IF(ISTEXT(VLOOKUP(CONCATENATE($A36,"_",AY$3),'Unit List'!$A$23:$H$3256,2,FALSE)),"X",$AX36)</f>
        <v>+</v>
      </c>
      <c r="AZ36" s="53" t="str">
        <f>IF(ISTEXT(VLOOKUP(CONCATENATE($A36,"_",AZ$3),'Unit List'!$A$23:$H$3256,2,FALSE)),"X",$AX36)</f>
        <v>+</v>
      </c>
      <c r="BA36" s="182" t="str">
        <f>IF(ISTEXT(VLOOKUP(CONCATENATE($A36,"_",BA$3),'Unit List'!$A$23:$H$3256,2,FALSE)),"+","")</f>
        <v/>
      </c>
      <c r="BB36" s="51" t="str">
        <f>IF(ISTEXT(VLOOKUP(CONCATENATE($A36,"_",BB$3),'Unit List'!$A$23:$H$3256,2,FALSE)),"X",$BA36)</f>
        <v/>
      </c>
      <c r="BC36" s="51" t="str">
        <f>IF(ISTEXT(VLOOKUP(CONCATENATE($A36,"_",BC$3),'Unit List'!$A$23:$H$3256,2,FALSE)),"X",$BA36)</f>
        <v/>
      </c>
      <c r="BD36" s="53" t="str">
        <f>IF(ISTEXT(VLOOKUP(CONCATENATE($A36,"_",BD$3),'Unit List'!$A$23:$H$3256,2,FALSE)),"X",$BA36)</f>
        <v/>
      </c>
      <c r="BE36" s="125" t="str">
        <f>IF(ISTEXT(VLOOKUP(CONCATENATE($A36,"_",BE$3),'Unit List'!$A$23:$H$3256,2,FALSE)),"+","")</f>
        <v>+</v>
      </c>
      <c r="BF36" s="62" t="str">
        <f>IF(ISTEXT(VLOOKUP(CONCATENATE($A36,"_",BF$3),'Unit List'!$A$23:$H$3256,2,FALSE)),"X",$BE36)</f>
        <v>+</v>
      </c>
      <c r="BG36" s="64"/>
      <c r="BH36" s="65" t="s">
        <v>0</v>
      </c>
      <c r="BI36" s="225"/>
      <c r="BJ36" s="226"/>
      <c r="BK36" s="226"/>
      <c r="BL36" s="226"/>
      <c r="BM36" s="227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List'!$A$23:$H$3256,2,FALSE)),"+","")</f>
        <v/>
      </c>
      <c r="C37" s="93" t="str">
        <f>IF(ISTEXT(VLOOKUP(CONCATENATE($A37,"_",C$3),'Unit List'!$A$23:$H$3256,2,FALSE)),"X",$B37)</f>
        <v/>
      </c>
      <c r="D37" s="51" t="str">
        <f>IF(ISTEXT(VLOOKUP(CONCATENATE($A37,"_",D$3),'Unit List'!$A$23:$H$3256,2,FALSE)),"X",$B37)</f>
        <v/>
      </c>
      <c r="E37" s="51" t="str">
        <f>IF(ISTEXT(VLOOKUP(CONCATENATE($A37,"_",E$3),'Unit List'!$A$23:$H$3256,2,FALSE)),"X",$B37)</f>
        <v/>
      </c>
      <c r="F37" s="51" t="str">
        <f>IF(ISTEXT(VLOOKUP(CONCATENATE($A37,"_",F$3),'Unit List'!$A$23:$H$3256,2,FALSE)),"X",$B37)</f>
        <v/>
      </c>
      <c r="G37" s="51" t="str">
        <f>IF(ISTEXT(VLOOKUP(CONCATENATE($A37,"_",G$3),'Unit List'!$A$23:$H$3256,2,FALSE)),"X",$B37)</f>
        <v/>
      </c>
      <c r="H37" s="51" t="str">
        <f>IF(ISTEXT(VLOOKUP(CONCATENATE($A37,"_",H$3),'Unit List'!$A$23:$H$3256,2,FALSE)),"X",$B37)</f>
        <v/>
      </c>
      <c r="I37" s="53" t="str">
        <f>IF(ISTEXT(VLOOKUP(CONCATENATE($A37,"_",I$3),'Unit List'!$A$23:$H$3256,2,FALSE)),"X",$B37)</f>
        <v/>
      </c>
      <c r="J37" s="172" t="str">
        <f>IF(ISTEXT(VLOOKUP(CONCATENATE($A37,"_",J$3),'Unit List'!$A$23:$H$3256,2,FALSE)),"+","")</f>
        <v/>
      </c>
      <c r="K37" s="51" t="str">
        <f>IF(ISTEXT(VLOOKUP(CONCATENATE($A37,"_",K$3),'Unit List'!$A$23:$H$3256,2,FALSE)),"X",$J37)</f>
        <v/>
      </c>
      <c r="L37" s="62" t="str">
        <f>IF(ISTEXT(VLOOKUP(CONCATENATE($A37,"_",L$3),'Unit List'!$A$23:$H$3256,2,FALSE)),"X",$J37)</f>
        <v/>
      </c>
      <c r="M37" s="172" t="str">
        <f>IF(ISTEXT(VLOOKUP(CONCATENATE($A37,"_",M$3),'Unit List'!$A$23:$H$3256,2,FALSE)),"+","")</f>
        <v>+</v>
      </c>
      <c r="N37" s="51" t="str">
        <f>IF(ISTEXT(VLOOKUP(CONCATENATE($A37,"_",N$3),'Unit List'!$A$23:$H$3256,2,FALSE)),"X",$M37)</f>
        <v>+</v>
      </c>
      <c r="O37" s="61" t="str">
        <f>IF(ISTEXT(VLOOKUP(CONCATENATE($A37,"_",O$3),'Unit List'!$A$23:$H$3256,2,FALSE)),"X",$M37)</f>
        <v>+</v>
      </c>
      <c r="P37" s="172" t="str">
        <f>IF(ISTEXT(VLOOKUP(CONCATENATE($A37,"_",P$3),'Unit List'!$A$23:$H$3256,2,FALSE)),"+","")</f>
        <v/>
      </c>
      <c r="Q37" s="51" t="str">
        <f>IF(ISTEXT(VLOOKUP(CONCATENATE($A37,"_",Q$3),'Unit List'!$A$23:$H$3256,2,FALSE)),"X",$P37)</f>
        <v/>
      </c>
      <c r="R37" s="51" t="str">
        <f>IF(ISTEXT(VLOOKUP(CONCATENATE($A37,"_",R$3),'Unit List'!$A$23:$H$3256,2,FALSE)),"X",$P37)</f>
        <v/>
      </c>
      <c r="S37" s="51" t="str">
        <f>IF(ISTEXT(VLOOKUP(CONCATENATE($A37,"_",S$3),'Unit List'!$A$23:$H$3256,2,FALSE)),"X",$P37)</f>
        <v/>
      </c>
      <c r="T37" s="52" t="str">
        <f>IF(ISTEXT(VLOOKUP(CONCATENATE($A37,"_",T$3),'Unit List'!$A$23:$H$3256,2,FALSE)),"X",$P37)</f>
        <v/>
      </c>
      <c r="U37" s="51" t="str">
        <f>IF(ISTEXT(VLOOKUP(CONCATENATE($A37,"_",U$3),'Unit List'!$A$23:$H$3256,2,FALSE)),"X",$P37)</f>
        <v/>
      </c>
      <c r="V37" s="51" t="str">
        <f>IF(ISTEXT(VLOOKUP(CONCATENATE($A37,"_",V$3),'Unit List'!$A$23:$H$3256,2,FALSE)),"X",$P37)</f>
        <v/>
      </c>
      <c r="W37" s="53" t="str">
        <f>IF(ISTEXT(VLOOKUP(CONCATENATE($A37,"_",W$3),'Unit List'!$A$23:$H$3256,2,FALSE)),"X",$P37)</f>
        <v/>
      </c>
      <c r="X37" s="172" t="str">
        <f>IF(ISTEXT(VLOOKUP(CONCATENATE($A37,"_",X$3),'Unit List'!$A$23:$H$3256,2,FALSE)),"+","")</f>
        <v/>
      </c>
      <c r="Y37" s="51" t="str">
        <f>IF(ISTEXT(VLOOKUP(CONCATENATE($A37,"_",Y$3),'Unit List'!$A$23:$H$3256,2,FALSE)),"X",$X37)</f>
        <v/>
      </c>
      <c r="Z37" s="51" t="str">
        <f>IF(ISTEXT(VLOOKUP(CONCATENATE($A37,"_",Z$3),'Unit List'!$A$23:$H$3256,2,FALSE)),"X",$X37)</f>
        <v/>
      </c>
      <c r="AA37" s="51" t="str">
        <f>IF(ISTEXT(VLOOKUP(CONCATENATE($A37,"_",AA$3),'Unit List'!$A$23:$H$3256,2,FALSE)),"X",$X37)</f>
        <v/>
      </c>
      <c r="AB37" s="51" t="str">
        <f>IF(ISTEXT(VLOOKUP(CONCATENATE($A37,"_",AB$3),'Unit List'!$A$23:$H$3256,2,FALSE)),"X",$X37)</f>
        <v/>
      </c>
      <c r="AC37" s="62" t="str">
        <f>IF(ISTEXT(VLOOKUP(CONCATENATE($A37,"_",AC$3),'Unit List'!$A$23:$H$3256,2,FALSE)),"X",$X37)</f>
        <v/>
      </c>
      <c r="AD37" s="172" t="str">
        <f>IF(ISTEXT(VLOOKUP(CONCATENATE($A37,"_",AD$3),'Unit List'!$A$23:$H$3256,2,FALSE)),"+","")</f>
        <v/>
      </c>
      <c r="AE37" s="51" t="str">
        <f>IF(ISTEXT(VLOOKUP(CONCATENATE($A37,"_",AE$3),'Unit List'!$A$23:$H$3256,2,FALSE)),"X",$AD37)</f>
        <v/>
      </c>
      <c r="AF37" s="51" t="str">
        <f>IF(ISTEXT(VLOOKUP(CONCATENATE($A37,"_",AF$3),'Unit List'!$A$23:$H$3256,2,FALSE)),"X",$AD37)</f>
        <v/>
      </c>
      <c r="AG37" s="172" t="str">
        <f>IF(ISTEXT(VLOOKUP(CONCATENATE($A37,"_",AG$3),'Unit List'!$A$23:$H$3256,2,FALSE)),"+","")</f>
        <v/>
      </c>
      <c r="AH37" s="51" t="str">
        <f>IF(ISTEXT(VLOOKUP(CONCATENATE($A37,"_",AH$3),'Unit List'!$A$23:$H$3256,2,FALSE)),"X",$AG37)</f>
        <v/>
      </c>
      <c r="AI37" s="51" t="str">
        <f>IF(ISTEXT(VLOOKUP(CONCATENATE($A37,"_",AI$3),'Unit List'!$A$23:$H$3256,2,FALSE)),"X",$AG37)</f>
        <v/>
      </c>
      <c r="AJ37" s="53" t="str">
        <f>IF(ISTEXT(VLOOKUP(CONCATENATE($A37,"_",AJ$3),'Unit List'!$A$23:$H$3256,2,FALSE)),"X",$AG37)</f>
        <v/>
      </c>
      <c r="AK37" s="172" t="str">
        <f>IF(ISTEXT(VLOOKUP(CONCATENATE($A37,"_",AK$3),'Unit List'!$A$23:$H$3256,2,FALSE)),"+","")</f>
        <v>+</v>
      </c>
      <c r="AL37" s="52" t="str">
        <f>IF(ISTEXT(VLOOKUP(CONCATENATE($A37,"_",AL$3),'Unit List'!$A$23:$H$3256,2,FALSE)),"X",$AK37)</f>
        <v>+</v>
      </c>
      <c r="AM37" s="53" t="str">
        <f>IF(ISTEXT(VLOOKUP(CONCATENATE($A37,"_",AM$3),'Unit List'!$A$23:$H$3256,2,FALSE)),"X",$AK37)</f>
        <v>+</v>
      </c>
      <c r="AN37" s="125" t="str">
        <f>IF(ISTEXT(VLOOKUP(CONCATENATE($A37,"_",AN$3),'Unit List'!$A$23:$H$3256,2,FALSE)),"+","")</f>
        <v/>
      </c>
      <c r="AO37" s="53" t="str">
        <f>IF(ISTEXT(VLOOKUP(CONCATENATE($A37,"_",AO$3),'Unit List'!$A$23:$H$3256,2,FALSE)),"X",$AN37)</f>
        <v/>
      </c>
      <c r="AP37" s="172" t="str">
        <f>IF(ISTEXT(VLOOKUP(CONCATENATE($A37,"_",AP$3),'Unit List'!$A$23:$H$3256,2,FALSE)),"+","")</f>
        <v>+</v>
      </c>
      <c r="AQ37" s="51" t="str">
        <f>IF(ISTEXT(VLOOKUP(CONCATENATE($A37,"_",AQ$3),'Unit List'!$A$23:$H$3256,2,FALSE)),"X",$AP37)</f>
        <v>+</v>
      </c>
      <c r="AR37" s="51" t="str">
        <f>IF(ISTEXT(VLOOKUP(CONCATENATE($A37,"_",AR$3),'Unit List'!$A$23:$H$3256,2,FALSE)),"X",$AP37)</f>
        <v>+</v>
      </c>
      <c r="AS37" s="51" t="str">
        <f>IF(ISTEXT(VLOOKUP(CONCATENATE($A37,"_",AS$3),'Unit List'!$A$23:$H$3256,2,FALSE)),"X",$AP37)</f>
        <v>+</v>
      </c>
      <c r="AT37" s="53" t="str">
        <f>IF(ISTEXT(VLOOKUP(CONCATENATE($A37,"_",AT$3),'Unit List'!$A$23:$H$3256,2,FALSE)),"X",$AP37)</f>
        <v>+</v>
      </c>
      <c r="AU37" s="124" t="str">
        <f>IF(ISTEXT(VLOOKUP(CONCATENATE($A37,"_",AU$3),'Unit List'!$A$23:$H$3256,2,FALSE)),"+","")</f>
        <v/>
      </c>
      <c r="AV37" s="51" t="str">
        <f>IF(ISTEXT(VLOOKUP(CONCATENATE($A37,"_",AV$3),'Unit List'!$A$23:$H$3256,2,FALSE)),"X",$AU37)</f>
        <v/>
      </c>
      <c r="AW37" s="53" t="str">
        <f>IF(ISTEXT(VLOOKUP(CONCATENATE($A37,"_",AW$3),'Unit List'!$A$23:$H$3256,2,FALSE)),"X",$AU37)</f>
        <v/>
      </c>
      <c r="AX37" s="172" t="str">
        <f>IF(ISTEXT(VLOOKUP(CONCATENATE($A37,"_",AX$3),'Unit List'!$A$23:$H$3256,2,FALSE)),"+","")</f>
        <v/>
      </c>
      <c r="AY37" s="51" t="str">
        <f>IF(ISTEXT(VLOOKUP(CONCATENATE($A37,"_",AY$3),'Unit List'!$A$23:$H$3256,2,FALSE)),"X",$AX37)</f>
        <v/>
      </c>
      <c r="AZ37" s="53" t="str">
        <f>IF(ISTEXT(VLOOKUP(CONCATENATE($A37,"_",AZ$3),'Unit List'!$A$23:$H$3256,2,FALSE)),"X",$AX37)</f>
        <v/>
      </c>
      <c r="BA37" s="182" t="str">
        <f>IF(ISTEXT(VLOOKUP(CONCATENATE($A37,"_",BA$3),'Unit List'!$A$23:$H$3256,2,FALSE)),"+","")</f>
        <v/>
      </c>
      <c r="BB37" s="51" t="str">
        <f>IF(ISTEXT(VLOOKUP(CONCATENATE($A37,"_",BB$3),'Unit List'!$A$23:$H$3256,2,FALSE)),"X",$BA37)</f>
        <v/>
      </c>
      <c r="BC37" s="51" t="str">
        <f>IF(ISTEXT(VLOOKUP(CONCATENATE($A37,"_",BC$3),'Unit List'!$A$23:$H$3256,2,FALSE)),"X",$BA37)</f>
        <v/>
      </c>
      <c r="BD37" s="53" t="str">
        <f>IF(ISTEXT(VLOOKUP(CONCATENATE($A37,"_",BD$3),'Unit List'!$A$23:$H$3256,2,FALSE)),"X",$BA37)</f>
        <v/>
      </c>
      <c r="BE37" s="125" t="str">
        <f>IF(ISTEXT(VLOOKUP(CONCATENATE($A37,"_",BE$3),'Unit List'!$A$23:$H$3256,2,FALSE)),"+","")</f>
        <v/>
      </c>
      <c r="BF37" s="62" t="str">
        <f>IF(ISTEXT(VLOOKUP(CONCATENATE($A37,"_",BF$3),'Unit List'!$A$23:$H$3256,2,FALSE)),"X",$BE37)</f>
        <v/>
      </c>
      <c r="BG37" s="64"/>
      <c r="BH37" s="65" t="s">
        <v>0</v>
      </c>
      <c r="BI37" s="225"/>
      <c r="BJ37" s="226"/>
      <c r="BK37" s="226"/>
      <c r="BL37" s="226"/>
      <c r="BM37" s="227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List'!$A$23:$H$3256,2,FALSE)),"+","")</f>
        <v/>
      </c>
      <c r="C38" s="57" t="str">
        <f>IF(ISTEXT(VLOOKUP(CONCATENATE($A38,"_",C$3),'Unit List'!$A$23:$H$3256,2,FALSE)),"X",$B38)</f>
        <v/>
      </c>
      <c r="D38" s="51" t="str">
        <f>IF(ISTEXT(VLOOKUP(CONCATENATE($A38,"_",D$3),'Unit List'!$A$23:$H$3256,2,FALSE)),"X",$B38)</f>
        <v/>
      </c>
      <c r="E38" s="51" t="str">
        <f>IF(ISTEXT(VLOOKUP(CONCATENATE($A38,"_",E$3),'Unit List'!$A$23:$H$3256,2,FALSE)),"X",$B38)</f>
        <v/>
      </c>
      <c r="F38" s="51" t="str">
        <f>IF(ISTEXT(VLOOKUP(CONCATENATE($A38,"_",F$3),'Unit List'!$A$23:$H$3256,2,FALSE)),"X",$B38)</f>
        <v/>
      </c>
      <c r="G38" s="67" t="str">
        <f>IF(ISTEXT(VLOOKUP(CONCATENATE($A38,"_",G$3),'Unit List'!$A$23:$H$3256,2,FALSE)),"X",$B38)</f>
        <v>X</v>
      </c>
      <c r="H38" s="51" t="str">
        <f>IF(ISTEXT(VLOOKUP(CONCATENATE($A38,"_",H$3),'Unit List'!$A$23:$H$3256,2,FALSE)),"X",$B38)</f>
        <v>X</v>
      </c>
      <c r="I38" s="53" t="str">
        <f>IF(ISTEXT(VLOOKUP(CONCATENATE($A38,"_",I$3),'Unit List'!$A$23:$H$3256,2,FALSE)),"X",$B38)</f>
        <v/>
      </c>
      <c r="J38" s="172" t="str">
        <f>IF(ISTEXT(VLOOKUP(CONCATENATE($A38,"_",J$3),'Unit List'!$A$23:$H$3256,2,FALSE)),"+","")</f>
        <v/>
      </c>
      <c r="K38" s="51" t="str">
        <f>IF(ISTEXT(VLOOKUP(CONCATENATE($A38,"_",K$3),'Unit List'!$A$23:$H$3256,2,FALSE)),"X",$J38)</f>
        <v/>
      </c>
      <c r="L38" s="62" t="str">
        <f>IF(ISTEXT(VLOOKUP(CONCATENATE($A38,"_",L$3),'Unit List'!$A$23:$H$3256,2,FALSE)),"X",$J38)</f>
        <v/>
      </c>
      <c r="M38" s="172" t="str">
        <f>IF(ISTEXT(VLOOKUP(CONCATENATE($A38,"_",M$3),'Unit List'!$A$23:$H$3256,2,FALSE)),"+","")</f>
        <v/>
      </c>
      <c r="N38" s="51" t="str">
        <f>IF(ISTEXT(VLOOKUP(CONCATENATE($A38,"_",N$3),'Unit List'!$A$23:$H$3256,2,FALSE)),"X",$M38)</f>
        <v/>
      </c>
      <c r="O38" s="53" t="str">
        <f>IF(ISTEXT(VLOOKUP(CONCATENATE($A38,"_",O$3),'Unit List'!$A$23:$H$3256,2,FALSE)),"X",$M38)</f>
        <v/>
      </c>
      <c r="P38" s="172" t="str">
        <f>IF(ISTEXT(VLOOKUP(CONCATENATE($A38,"_",P$3),'Unit List'!$A$23:$H$3256,2,FALSE)),"+","")</f>
        <v/>
      </c>
      <c r="Q38" s="51" t="str">
        <f>IF(ISTEXT(VLOOKUP(CONCATENATE($A38,"_",Q$3),'Unit List'!$A$23:$H$3256,2,FALSE)),"X",$P38)</f>
        <v/>
      </c>
      <c r="R38" s="51" t="str">
        <f>IF(ISTEXT(VLOOKUP(CONCATENATE($A38,"_",R$3),'Unit List'!$A$23:$H$3256,2,FALSE)),"X",$P38)</f>
        <v/>
      </c>
      <c r="S38" s="51" t="str">
        <f>IF(ISTEXT(VLOOKUP(CONCATENATE($A38,"_",S$3),'Unit List'!$A$23:$H$3256,2,FALSE)),"X",$P38)</f>
        <v/>
      </c>
      <c r="T38" s="52" t="str">
        <f>IF(ISTEXT(VLOOKUP(CONCATENATE($A38,"_",T$3),'Unit List'!$A$23:$H$3256,2,FALSE)),"X",$P38)</f>
        <v/>
      </c>
      <c r="U38" s="51" t="str">
        <f>IF(ISTEXT(VLOOKUP(CONCATENATE($A38,"_",U$3),'Unit List'!$A$23:$H$3256,2,FALSE)),"X",$P38)</f>
        <v/>
      </c>
      <c r="V38" s="67" t="str">
        <f>IF(ISTEXT(VLOOKUP(CONCATENATE($A38,"_",V$3),'Unit List'!$A$23:$H$3256,2,FALSE)),"X",$P38)</f>
        <v>X</v>
      </c>
      <c r="W38" s="53" t="str">
        <f>IF(ISTEXT(VLOOKUP(CONCATENATE($A38,"_",W$3),'Unit List'!$A$23:$H$3256,2,FALSE)),"X",$P38)</f>
        <v/>
      </c>
      <c r="X38" s="172" t="str">
        <f>IF(ISTEXT(VLOOKUP(CONCATENATE($A38,"_",X$3),'Unit List'!$A$23:$H$3256,2,FALSE)),"+","")</f>
        <v>+</v>
      </c>
      <c r="Y38" s="51" t="str">
        <f>IF(ISTEXT(VLOOKUP(CONCATENATE($A38,"_",Y$3),'Unit List'!$A$23:$H$3256,2,FALSE)),"X",$X38)</f>
        <v>+</v>
      </c>
      <c r="Z38" s="51" t="str">
        <f>IF(ISTEXT(VLOOKUP(CONCATENATE($A38,"_",Z$3),'Unit List'!$A$23:$H$3256,2,FALSE)),"X",$X38)</f>
        <v>+</v>
      </c>
      <c r="AA38" s="51" t="str">
        <f>IF(ISTEXT(VLOOKUP(CONCATENATE($A38,"_",AA$3),'Unit List'!$A$23:$H$3256,2,FALSE)),"X",$X38)</f>
        <v>+</v>
      </c>
      <c r="AB38" s="51" t="str">
        <f>IF(ISTEXT(VLOOKUP(CONCATENATE($A38,"_",AB$3),'Unit List'!$A$23:$H$3256,2,FALSE)),"X",$X38)</f>
        <v>+</v>
      </c>
      <c r="AC38" s="62" t="str">
        <f>IF(ISTEXT(VLOOKUP(CONCATENATE($A38,"_",AC$3),'Unit List'!$A$23:$H$3256,2,FALSE)),"X",$X38)</f>
        <v>+</v>
      </c>
      <c r="AD38" s="172" t="str">
        <f>IF(ISTEXT(VLOOKUP(CONCATENATE($A38,"_",AD$3),'Unit List'!$A$23:$H$3256,2,FALSE)),"+","")</f>
        <v>+</v>
      </c>
      <c r="AE38" s="51" t="str">
        <f>IF(ISTEXT(VLOOKUP(CONCATENATE($A38,"_",AE$3),'Unit List'!$A$23:$H$3256,2,FALSE)),"X",$AD38)</f>
        <v>+</v>
      </c>
      <c r="AF38" s="51" t="str">
        <f>IF(ISTEXT(VLOOKUP(CONCATENATE($A38,"_",AF$3),'Unit List'!$A$23:$H$3256,2,FALSE)),"X",$AD38)</f>
        <v>+</v>
      </c>
      <c r="AG38" s="172" t="str">
        <f>IF(ISTEXT(VLOOKUP(CONCATENATE($A38,"_",AG$3),'Unit List'!$A$23:$H$3256,2,FALSE)),"+","")</f>
        <v/>
      </c>
      <c r="AH38" s="51" t="str">
        <f>IF(ISTEXT(VLOOKUP(CONCATENATE($A38,"_",AH$3),'Unit List'!$A$23:$H$3256,2,FALSE)),"X",$AG38)</f>
        <v/>
      </c>
      <c r="AI38" s="51" t="str">
        <f>IF(ISTEXT(VLOOKUP(CONCATENATE($A38,"_",AI$3),'Unit List'!$A$23:$H$3256,2,FALSE)),"X",$AG38)</f>
        <v/>
      </c>
      <c r="AJ38" s="53" t="str">
        <f>IF(ISTEXT(VLOOKUP(CONCATENATE($A38,"_",AJ$3),'Unit List'!$A$23:$H$3256,2,FALSE)),"X",$AG38)</f>
        <v/>
      </c>
      <c r="AK38" s="172" t="str">
        <f>IF(ISTEXT(VLOOKUP(CONCATENATE($A38,"_",AK$3),'Unit List'!$A$23:$H$3256,2,FALSE)),"+","")</f>
        <v/>
      </c>
      <c r="AL38" s="52" t="str">
        <f>IF(ISTEXT(VLOOKUP(CONCATENATE($A38,"_",AL$3),'Unit List'!$A$23:$H$3256,2,FALSE)),"X",$AK38)</f>
        <v/>
      </c>
      <c r="AM38" s="53" t="str">
        <f>IF(ISTEXT(VLOOKUP(CONCATENATE($A38,"_",AM$3),'Unit List'!$A$23:$H$3256,2,FALSE)),"X",$AK38)</f>
        <v/>
      </c>
      <c r="AN38" s="125" t="str">
        <f>IF(ISTEXT(VLOOKUP(CONCATENATE($A38,"_",AN$3),'Unit List'!$A$23:$H$3256,2,FALSE)),"+","")</f>
        <v>+</v>
      </c>
      <c r="AO38" s="53" t="str">
        <f>IF(ISTEXT(VLOOKUP(CONCATENATE($A38,"_",AO$3),'Unit List'!$A$23:$H$3256,2,FALSE)),"X",$AN38)</f>
        <v>+</v>
      </c>
      <c r="AP38" s="172" t="str">
        <f>IF(ISTEXT(VLOOKUP(CONCATENATE($A38,"_",AP$3),'Unit List'!$A$23:$H$3256,2,FALSE)),"+","")</f>
        <v/>
      </c>
      <c r="AQ38" s="51" t="str">
        <f>IF(ISTEXT(VLOOKUP(CONCATENATE($A38,"_",AQ$3),'Unit List'!$A$23:$H$3256,2,FALSE)),"X",$AP38)</f>
        <v/>
      </c>
      <c r="AR38" s="51" t="str">
        <f>IF(ISTEXT(VLOOKUP(CONCATENATE($A38,"_",AR$3),'Unit List'!$A$23:$H$3256,2,FALSE)),"X",$AP38)</f>
        <v/>
      </c>
      <c r="AS38" s="51" t="str">
        <f>IF(ISTEXT(VLOOKUP(CONCATENATE($A38,"_",AS$3),'Unit List'!$A$23:$H$3256,2,FALSE)),"X",$AP38)</f>
        <v/>
      </c>
      <c r="AT38" s="53" t="str">
        <f>IF(ISTEXT(VLOOKUP(CONCATENATE($A38,"_",AT$3),'Unit List'!$A$23:$H$3256,2,FALSE)),"X",$AP38)</f>
        <v/>
      </c>
      <c r="AU38" s="124" t="str">
        <f>IF(ISTEXT(VLOOKUP(CONCATENATE($A38,"_",AU$3),'Unit List'!$A$23:$H$3256,2,FALSE)),"+","")</f>
        <v>+</v>
      </c>
      <c r="AV38" s="51" t="str">
        <f>IF(ISTEXT(VLOOKUP(CONCATENATE($A38,"_",AV$3),'Unit List'!$A$23:$H$3256,2,FALSE)),"X",$AU38)</f>
        <v>+</v>
      </c>
      <c r="AW38" s="53" t="str">
        <f>IF(ISTEXT(VLOOKUP(CONCATENATE($A38,"_",AW$3),'Unit List'!$A$23:$H$3256,2,FALSE)),"X",$AU38)</f>
        <v>+</v>
      </c>
      <c r="AX38" s="172" t="str">
        <f>IF(ISTEXT(VLOOKUP(CONCATENATE($A38,"_",AX$3),'Unit List'!$A$23:$H$3256,2,FALSE)),"+","")</f>
        <v/>
      </c>
      <c r="AY38" s="51" t="str">
        <f>IF(ISTEXT(VLOOKUP(CONCATENATE($A38,"_",AY$3),'Unit List'!$A$23:$H$3256,2,FALSE)),"X",$AX38)</f>
        <v/>
      </c>
      <c r="AZ38" s="53" t="str">
        <f>IF(ISTEXT(VLOOKUP(CONCATENATE($A38,"_",AZ$3),'Unit List'!$A$23:$H$3256,2,FALSE)),"X",$AX38)</f>
        <v/>
      </c>
      <c r="BA38" s="182" t="str">
        <f>IF(ISTEXT(VLOOKUP(CONCATENATE($A38,"_",BA$3),'Unit List'!$A$23:$H$3256,2,FALSE)),"+","")</f>
        <v>+</v>
      </c>
      <c r="BB38" s="51" t="str">
        <f>IF(ISTEXT(VLOOKUP(CONCATENATE($A38,"_",BB$3),'Unit List'!$A$23:$H$3256,2,FALSE)),"X",$BA38)</f>
        <v>+</v>
      </c>
      <c r="BC38" s="51" t="str">
        <f>IF(ISTEXT(VLOOKUP(CONCATENATE($A38,"_",BC$3),'Unit List'!$A$23:$H$3256,2,FALSE)),"X",$BA38)</f>
        <v>+</v>
      </c>
      <c r="BD38" s="53" t="str">
        <f>IF(ISTEXT(VLOOKUP(CONCATENATE($A38,"_",BD$3),'Unit List'!$A$23:$H$3256,2,FALSE)),"X",$BA38)</f>
        <v>+</v>
      </c>
      <c r="BE38" s="125" t="str">
        <f>IF(ISTEXT(VLOOKUP(CONCATENATE($A38,"_",BE$3),'Unit List'!$A$23:$H$3256,2,FALSE)),"+","")</f>
        <v/>
      </c>
      <c r="BF38" s="62" t="str">
        <f>IF(ISTEXT(VLOOKUP(CONCATENATE($A38,"_",BF$3),'Unit List'!$A$23:$H$3256,2,FALSE)),"X",$BE38)</f>
        <v/>
      </c>
      <c r="BG38" s="64"/>
      <c r="BH38" s="65" t="s">
        <v>0</v>
      </c>
      <c r="BI38" s="225"/>
      <c r="BJ38" s="226"/>
      <c r="BK38" s="226"/>
      <c r="BL38" s="226"/>
      <c r="BM38" s="227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List'!$A$23:$H$3256,2,FALSE)),"+","")</f>
        <v/>
      </c>
      <c r="C39" s="82" t="str">
        <f>IF(ISTEXT(VLOOKUP(CONCATENATE($A39,"_",C$3),'Unit List'!$A$23:$H$3256,2,FALSE)),"X",$B39)</f>
        <v>X</v>
      </c>
      <c r="D39" s="51" t="str">
        <f>IF(ISTEXT(VLOOKUP(CONCATENATE($A39,"_",D$3),'Unit List'!$A$23:$H$3256,2,FALSE)),"X",$B39)</f>
        <v>X</v>
      </c>
      <c r="E39" s="51" t="str">
        <f>IF(ISTEXT(VLOOKUP(CONCATENATE($A39,"_",E$3),'Unit List'!$A$23:$H$3256,2,FALSE)),"X",$B39)</f>
        <v>X</v>
      </c>
      <c r="F39" s="67" t="str">
        <f>IF(ISTEXT(VLOOKUP(CONCATENATE($A39,"_",F$3),'Unit List'!$A$23:$H$3256,2,FALSE)),"X",$B39)</f>
        <v>X</v>
      </c>
      <c r="G39" s="67" t="str">
        <f>IF(ISTEXT(VLOOKUP(CONCATENATE($A39,"_",G$3),'Unit List'!$A$23:$H$3256,2,FALSE)),"X",$B39)</f>
        <v>X</v>
      </c>
      <c r="H39" s="67" t="str">
        <f>IF(ISTEXT(VLOOKUP(CONCATENATE($A39,"_",H$3),'Unit List'!$A$23:$H$3256,2,FALSE)),"X",$B39)</f>
        <v>X</v>
      </c>
      <c r="I39" s="53" t="str">
        <f>IF(ISTEXT(VLOOKUP(CONCATENATE($A39,"_",I$3),'Unit List'!$A$23:$H$3256,2,FALSE)),"X",$B39)</f>
        <v>X</v>
      </c>
      <c r="J39" s="171" t="str">
        <f>IF(ISTEXT(VLOOKUP(CONCATENATE($A39,"_",J$3),'Unit List'!$A$23:$H$3256,2,FALSE)),"+","")</f>
        <v/>
      </c>
      <c r="K39" s="51" t="str">
        <f>IF(ISTEXT(VLOOKUP(CONCATENATE($A39,"_",K$3),'Unit List'!$A$23:$H$3256,2,FALSE)),"X",$J39)</f>
        <v/>
      </c>
      <c r="L39" s="62" t="str">
        <f>IF(ISTEXT(VLOOKUP(CONCATENATE($A39,"_",L$3),'Unit List'!$A$23:$H$3256,2,FALSE)),"X",$J39)</f>
        <v/>
      </c>
      <c r="M39" s="171" t="str">
        <f>IF(ISTEXT(VLOOKUP(CONCATENATE($A39,"_",M$3),'Unit List'!$A$23:$H$3256,2,FALSE)),"+","")</f>
        <v>+</v>
      </c>
      <c r="N39" s="69" t="str">
        <f>IF(ISTEXT(VLOOKUP(CONCATENATE($A39,"_",N$3),'Unit List'!$A$23:$H$3256,2,FALSE)),"X",$M39)</f>
        <v>+</v>
      </c>
      <c r="O39" s="73" t="str">
        <f>IF(ISTEXT(VLOOKUP(CONCATENATE($A39,"_",O$3),'Unit List'!$A$23:$H$3256,2,FALSE)),"X",$M39)</f>
        <v>X</v>
      </c>
      <c r="P39" s="172" t="str">
        <f>IF(ISTEXT(VLOOKUP(CONCATENATE($A39,"_",P$3),'Unit List'!$A$23:$H$3256,2,FALSE)),"+","")</f>
        <v/>
      </c>
      <c r="Q39" s="51" t="str">
        <f>IF(ISTEXT(VLOOKUP(CONCATENATE($A39,"_",Q$3),'Unit List'!$A$23:$H$3256,2,FALSE)),"X",$P39)</f>
        <v/>
      </c>
      <c r="R39" s="51" t="str">
        <f>IF(ISTEXT(VLOOKUP(CONCATENATE($A39,"_",R$3),'Unit List'!$A$23:$H$3256,2,FALSE)),"X",$P39)</f>
        <v/>
      </c>
      <c r="S39" s="51" t="str">
        <f>IF(ISTEXT(VLOOKUP(CONCATENATE($A39,"_",S$3),'Unit List'!$A$23:$H$3256,2,FALSE)),"X",$P39)</f>
        <v>X</v>
      </c>
      <c r="T39" s="52" t="str">
        <f>IF(ISTEXT(VLOOKUP(CONCATENATE($A39,"_",T$3),'Unit List'!$A$23:$H$3256,2,FALSE)),"X",$P39)</f>
        <v/>
      </c>
      <c r="U39" s="67" t="str">
        <f>IF(ISTEXT(VLOOKUP(CONCATENATE($A39,"_",U$3),'Unit List'!$A$23:$H$3256,2,FALSE)),"X",$P39)</f>
        <v>X</v>
      </c>
      <c r="V39" s="51" t="str">
        <f>IF(ISTEXT(VLOOKUP(CONCATENATE($A39,"_",V$3),'Unit List'!$A$23:$H$3256,2,FALSE)),"X",$P39)</f>
        <v/>
      </c>
      <c r="W39" s="53" t="str">
        <f>IF(ISTEXT(VLOOKUP(CONCATENATE($A39,"_",W$3),'Unit List'!$A$23:$H$3256,2,FALSE)),"X",$P39)</f>
        <v/>
      </c>
      <c r="X39" s="171" t="str">
        <f>IF(ISTEXT(VLOOKUP(CONCATENATE($A39,"_",X$3),'Unit List'!$A$23:$H$3256,2,FALSE)),"+","")</f>
        <v>+</v>
      </c>
      <c r="Y39" s="67" t="str">
        <f>IF(ISTEXT(VLOOKUP(CONCATENATE($A39,"_",Y$3),'Unit List'!$A$23:$H$3256,2,FALSE)),"X",$X39)</f>
        <v>X</v>
      </c>
      <c r="Z39" s="51" t="str">
        <f>IF(ISTEXT(VLOOKUP(CONCATENATE($A39,"_",Z$3),'Unit List'!$A$23:$H$3256,2,FALSE)),"X",$X39)</f>
        <v>+</v>
      </c>
      <c r="AA39" s="67" t="str">
        <f>IF(ISTEXT(VLOOKUP(CONCATENATE($A39,"_",AA$3),'Unit List'!$A$23:$H$3256,2,FALSE)),"X",$X39)</f>
        <v>X</v>
      </c>
      <c r="AB39" s="67" t="str">
        <f>IF(ISTEXT(VLOOKUP(CONCATENATE($A39,"_",AB$3),'Unit List'!$A$23:$H$3256,2,FALSE)),"X",$X39)</f>
        <v>X</v>
      </c>
      <c r="AC39" s="68" t="str">
        <f>IF(ISTEXT(VLOOKUP(CONCATENATE($A39,"_",AC$3),'Unit List'!$A$23:$H$3256,2,FALSE)),"X",$X39)</f>
        <v>X</v>
      </c>
      <c r="AD39" s="171" t="str">
        <f>IF(ISTEXT(VLOOKUP(CONCATENATE($A39,"_",AD$3),'Unit List'!$A$23:$H$3256,2,FALSE)),"+","")</f>
        <v>+</v>
      </c>
      <c r="AE39" s="51" t="str">
        <f>IF(ISTEXT(VLOOKUP(CONCATENATE($A39,"_",AE$3),'Unit List'!$A$23:$H$3256,2,FALSE)),"X",$AD39)</f>
        <v>+</v>
      </c>
      <c r="AF39" s="51" t="str">
        <f>IF(ISTEXT(VLOOKUP(CONCATENATE($A39,"_",AF$3),'Unit List'!$A$23:$H$3256,2,FALSE)),"X",$AD39)</f>
        <v>+</v>
      </c>
      <c r="AG39" s="171" t="str">
        <f>IF(ISTEXT(VLOOKUP(CONCATENATE($A39,"_",AG$3),'Unit List'!$A$23:$H$3256,2,FALSE)),"+","")</f>
        <v>+</v>
      </c>
      <c r="AH39" s="67" t="str">
        <f>IF(ISTEXT(VLOOKUP(CONCATENATE($A39,"_",AH$3),'Unit List'!$A$23:$H$3256,2,FALSE)),"X",$AG39)</f>
        <v>X</v>
      </c>
      <c r="AI39" s="67" t="str">
        <f>IF(ISTEXT(VLOOKUP(CONCATENATE($A39,"_",AI$3),'Unit List'!$A$23:$H$3256,2,FALSE)),"X",$AG39)</f>
        <v>X</v>
      </c>
      <c r="AJ39" s="71" t="str">
        <f>IF(ISTEXT(VLOOKUP(CONCATENATE($A39,"_",AJ$3),'Unit List'!$A$23:$H$3256,2,FALSE)),"X",$AG39)</f>
        <v>X</v>
      </c>
      <c r="AK39" s="171" t="str">
        <f>IF(ISTEXT(VLOOKUP(CONCATENATE($A39,"_",AK$3),'Unit List'!$A$23:$H$3256,2,FALSE)),"+","")</f>
        <v>+</v>
      </c>
      <c r="AL39" s="52" t="str">
        <f>IF(ISTEXT(VLOOKUP(CONCATENATE($A39,"_",AL$3),'Unit List'!$A$23:$H$3256,2,FALSE)),"X",$AK39)</f>
        <v>+</v>
      </c>
      <c r="AM39" s="71" t="str">
        <f>IF(ISTEXT(VLOOKUP(CONCATENATE($A39,"_",AM$3),'Unit List'!$A$23:$H$3256,2,FALSE)),"X",$AK39)</f>
        <v>X</v>
      </c>
      <c r="AN39" s="125" t="str">
        <f>IF(ISTEXT(VLOOKUP(CONCATENATE($A39,"_",AN$3),'Unit List'!$A$23:$H$3256,2,FALSE)),"+","")</f>
        <v>+</v>
      </c>
      <c r="AO39" s="70" t="str">
        <f>IF(ISTEXT(VLOOKUP(CONCATENATE($A39,"_",AO$3),'Unit List'!$A$23:$H$3256,2,FALSE)),"X",$AN39)</f>
        <v>X</v>
      </c>
      <c r="AP39" s="171" t="str">
        <f>IF(ISTEXT(VLOOKUP(CONCATENATE($A39,"_",AP$3),'Unit List'!$A$23:$H$3256,2,FALSE)),"+","")</f>
        <v>+</v>
      </c>
      <c r="AQ39" s="67" t="str">
        <f>IF(ISTEXT(VLOOKUP(CONCATENATE($A39,"_",AQ$3),'Unit List'!$A$23:$H$3256,2,FALSE)),"X",$AP39)</f>
        <v>X</v>
      </c>
      <c r="AR39" s="51" t="str">
        <f>IF(ISTEXT(VLOOKUP(CONCATENATE($A39,"_",AR$3),'Unit List'!$A$23:$H$3256,2,FALSE)),"X",$AP39)</f>
        <v>+</v>
      </c>
      <c r="AS39" s="51" t="str">
        <f>IF(ISTEXT(VLOOKUP(CONCATENATE($A39,"_",AS$3),'Unit List'!$A$23:$H$3256,2,FALSE)),"X",$AP39)</f>
        <v>+</v>
      </c>
      <c r="AT39" s="70" t="str">
        <f>IF(ISTEXT(VLOOKUP(CONCATENATE($A39,"_",AT$3),'Unit List'!$A$23:$H$3256,2,FALSE)),"X",$AP39)</f>
        <v>X</v>
      </c>
      <c r="AU39" s="124" t="str">
        <f>IF(ISTEXT(VLOOKUP(CONCATENATE($A39,"_",AU$3),'Unit List'!$A$23:$H$3256,2,FALSE)),"+","")</f>
        <v>+</v>
      </c>
      <c r="AV39" s="51" t="str">
        <f>IF(ISTEXT(VLOOKUP(CONCATENATE($A39,"_",AV$3),'Unit List'!$A$23:$H$3256,2,FALSE)),"X",$AU39)</f>
        <v>+</v>
      </c>
      <c r="AW39" s="70" t="str">
        <f>IF(ISTEXT(VLOOKUP(CONCATENATE($A39,"_",AW$3),'Unit List'!$A$23:$H$3256,2,FALSE)),"X",$AU39)</f>
        <v>X</v>
      </c>
      <c r="AX39" s="172" t="str">
        <f>IF(ISTEXT(VLOOKUP(CONCATENATE($A39,"_",AX$3),'Unit List'!$A$23:$H$3256,2,FALSE)),"+","")</f>
        <v>+</v>
      </c>
      <c r="AY39" s="51" t="str">
        <f>IF(ISTEXT(VLOOKUP(CONCATENATE($A39,"_",AY$3),'Unit List'!$A$23:$H$3256,2,FALSE)),"X",$AX39)</f>
        <v>+</v>
      </c>
      <c r="AZ39" s="53" t="str">
        <f>IF(ISTEXT(VLOOKUP(CONCATENATE($A39,"_",AZ$3),'Unit List'!$A$23:$H$3256,2,FALSE)),"X",$AX39)</f>
        <v>+</v>
      </c>
      <c r="BA39" s="182" t="str">
        <f>IF(ISTEXT(VLOOKUP(CONCATENATE($A39,"_",BA$3),'Unit List'!$A$23:$H$3256,2,FALSE)),"+","")</f>
        <v/>
      </c>
      <c r="BB39" s="51" t="str">
        <f>IF(ISTEXT(VLOOKUP(CONCATENATE($A39,"_",BB$3),'Unit List'!$A$23:$H$3256,2,FALSE)),"X",$BA39)</f>
        <v/>
      </c>
      <c r="BC39" s="67" t="str">
        <f>IF(ISTEXT(VLOOKUP(CONCATENATE($A39,"_",BC$3),'Unit List'!$A$23:$H$3256,2,FALSE)),"X",$BA39)</f>
        <v>X</v>
      </c>
      <c r="BD39" s="53" t="str">
        <f>IF(ISTEXT(VLOOKUP(CONCATENATE($A39,"_",BD$3),'Unit List'!$A$23:$H$3256,2,FALSE)),"X",$BA39)</f>
        <v/>
      </c>
      <c r="BE39" s="125" t="str">
        <f>IF(ISTEXT(VLOOKUP(CONCATENATE($A39,"_",BE$3),'Unit List'!$A$23:$H$3256,2,FALSE)),"+","")</f>
        <v>+</v>
      </c>
      <c r="BF39" s="62" t="str">
        <f>IF(ISTEXT(VLOOKUP(CONCATENATE($A39,"_",BF$3),'Unit List'!$A$23:$H$3256,2,FALSE)),"X",$BE39)</f>
        <v>+</v>
      </c>
      <c r="BG39" s="64"/>
      <c r="BH39" s="65" t="s">
        <v>0</v>
      </c>
      <c r="BI39" s="225"/>
      <c r="BJ39" s="226"/>
      <c r="BK39" s="226"/>
      <c r="BL39" s="226"/>
      <c r="BM39" s="227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List'!$A$23:$H$3256,2,FALSE)),"+","")</f>
        <v/>
      </c>
      <c r="C40" s="102" t="s">
        <v>3</v>
      </c>
      <c r="D40" s="51" t="str">
        <f>IF(ISTEXT(VLOOKUP(CONCATENATE($A40,"_",D$3),'Unit List'!$A$23:$H$3256,2,FALSE)),"X",$B40)</f>
        <v>X</v>
      </c>
      <c r="E40" s="51" t="str">
        <f>IF(ISTEXT(VLOOKUP(CONCATENATE($A40,"_",E$3),'Unit List'!$A$23:$H$3256,2,FALSE)),"X",$B40)</f>
        <v/>
      </c>
      <c r="F40" s="67" t="str">
        <f>IF(ISTEXT(VLOOKUP(CONCATENATE($A40,"_",F$3),'Unit List'!$A$23:$H$3256,2,FALSE)),"X",$B40)</f>
        <v>X</v>
      </c>
      <c r="G40" s="89" t="s">
        <v>0</v>
      </c>
      <c r="H40" s="51" t="str">
        <f>IF(ISTEXT(VLOOKUP(CONCATENATE($A40,"_",H$3),'Unit List'!$A$23:$H$3256,2,FALSE)),"X",$B40)</f>
        <v>X</v>
      </c>
      <c r="I40" s="70" t="str">
        <f>IF(ISTEXT(VLOOKUP(CONCATENATE($A40,"_",I$3),'Unit List'!$A$23:$H$3256,2,FALSE)),"X",$B40)</f>
        <v>X</v>
      </c>
      <c r="J40" s="171" t="str">
        <f>IF(ISTEXT(VLOOKUP(CONCATENATE($A40,"_",J$3),'Unit List'!$A$23:$H$3256,2,FALSE)),"+","")</f>
        <v/>
      </c>
      <c r="K40" s="51" t="str">
        <f>IF(ISTEXT(VLOOKUP(CONCATENATE($A40,"_",K$3),'Unit List'!$A$23:$H$3256,2,FALSE)),"X",$J40)</f>
        <v/>
      </c>
      <c r="L40" s="62" t="str">
        <f>IF(ISTEXT(VLOOKUP(CONCATENATE($A40,"_",L$3),'Unit List'!$A$23:$H$3256,2,FALSE)),"X",$J40)</f>
        <v/>
      </c>
      <c r="M40" s="171" t="str">
        <f>IF(ISTEXT(VLOOKUP(CONCATENATE($A40,"_",M$3),'Unit List'!$A$23:$H$3256,2,FALSE)),"+","")</f>
        <v>+</v>
      </c>
      <c r="N40" s="51" t="str">
        <f>IF(ISTEXT(VLOOKUP(CONCATENATE($A40,"_",N$3),'Unit List'!$A$23:$H$3256,2,FALSE)),"X",$M40)</f>
        <v>X</v>
      </c>
      <c r="O40" s="53" t="str">
        <f>IF(ISTEXT(VLOOKUP(CONCATENATE($A40,"_",O$3),'Unit List'!$A$23:$H$3256,2,FALSE)),"X",$M40)</f>
        <v>X</v>
      </c>
      <c r="P40" s="172" t="str">
        <f>IF(ISTEXT(VLOOKUP(CONCATENATE($A40,"_",P$3),'Unit List'!$A$23:$H$3256,2,FALSE)),"+","")</f>
        <v/>
      </c>
      <c r="Q40" s="67" t="str">
        <f>IF(ISTEXT(VLOOKUP(CONCATENATE($A40,"_",Q$3),'Unit List'!$A$23:$H$3256,2,FALSE)),"X",$P40)</f>
        <v>X</v>
      </c>
      <c r="R40" s="51" t="str">
        <f>IF(ISTEXT(VLOOKUP(CONCATENATE($A40,"_",R$3),'Unit List'!$A$23:$H$3256,2,FALSE)),"X",$P40)</f>
        <v/>
      </c>
      <c r="S40" s="51" t="str">
        <f>IF(ISTEXT(VLOOKUP(CONCATENATE($A40,"_",S$3),'Unit List'!$A$23:$H$3256,2,FALSE)),"X",$P40)</f>
        <v/>
      </c>
      <c r="T40" s="52" t="str">
        <f>IF(ISTEXT(VLOOKUP(CONCATENATE($A40,"_",T$3),'Unit List'!$A$23:$H$3256,2,FALSE)),"X",$P40)</f>
        <v/>
      </c>
      <c r="U40" s="51" t="str">
        <f>IF(ISTEXT(VLOOKUP(CONCATENATE($A40,"_",U$3),'Unit List'!$A$23:$H$3256,2,FALSE)),"X",$P40)</f>
        <v/>
      </c>
      <c r="V40" s="72" t="s">
        <v>0</v>
      </c>
      <c r="W40" s="53" t="str">
        <f>IF(ISTEXT(VLOOKUP(CONCATENATE($A40,"_",W$3),'Unit List'!$A$23:$H$3256,2,FALSE)),"X",$P40)</f>
        <v/>
      </c>
      <c r="X40" s="172" t="str">
        <f>IF(ISTEXT(VLOOKUP(CONCATENATE($A40,"_",X$3),'Unit List'!$A$23:$H$3256,2,FALSE)),"+","")</f>
        <v/>
      </c>
      <c r="Y40" s="51" t="str">
        <f>IF(ISTEXT(VLOOKUP(CONCATENATE($A40,"_",Y$3),'Unit List'!$A$23:$H$3256,2,FALSE)),"X",$X40)</f>
        <v/>
      </c>
      <c r="Z40" s="51" t="str">
        <f>IF(ISTEXT(VLOOKUP(CONCATENATE($A40,"_",Z$3),'Unit List'!$A$23:$H$3256,2,FALSE)),"X",$X40)</f>
        <v/>
      </c>
      <c r="AA40" s="51" t="str">
        <f>IF(ISTEXT(VLOOKUP(CONCATENATE($A40,"_",AA$3),'Unit List'!$A$23:$H$3256,2,FALSE)),"X",$X40)</f>
        <v/>
      </c>
      <c r="AB40" s="51" t="str">
        <f>IF(ISTEXT(VLOOKUP(CONCATENATE($A40,"_",AB$3),'Unit List'!$A$23:$H$3256,2,FALSE)),"X",$X40)</f>
        <v/>
      </c>
      <c r="AC40" s="62" t="str">
        <f>IF(ISTEXT(VLOOKUP(CONCATENATE($A40,"_",AC$3),'Unit List'!$A$23:$H$3256,2,FALSE)),"X",$X40)</f>
        <v/>
      </c>
      <c r="AD40" s="171" t="str">
        <f>IF(ISTEXT(VLOOKUP(CONCATENATE($A40,"_",AD$3),'Unit List'!$A$23:$H$3256,2,FALSE)),"+","")</f>
        <v/>
      </c>
      <c r="AE40" s="51" t="str">
        <f>IF(ISTEXT(VLOOKUP(CONCATENATE($A40,"_",AE$3),'Unit List'!$A$23:$H$3256,2,FALSE)),"X",$AD40)</f>
        <v/>
      </c>
      <c r="AF40" s="51" t="str">
        <f>IF(ISTEXT(VLOOKUP(CONCATENATE($A40,"_",AF$3),'Unit List'!$A$23:$H$3256,2,FALSE)),"X",$AD40)</f>
        <v/>
      </c>
      <c r="AG40" s="171" t="str">
        <f>IF(ISTEXT(VLOOKUP(CONCATENATE($A40,"_",AG$3),'Unit List'!$A$23:$H$3256,2,FALSE)),"+","")</f>
        <v>+</v>
      </c>
      <c r="AH40" s="67" t="str">
        <f>IF(ISTEXT(VLOOKUP(CONCATENATE($A40,"_",AH$3),'Unit List'!$A$23:$H$3256,2,FALSE)),"X",$AG40)</f>
        <v>+</v>
      </c>
      <c r="AI40" s="69" t="str">
        <f>IF(ISTEXT(VLOOKUP(CONCATENATE($A40,"_",AI$3),'Unit List'!$A$23:$H$3256,2,FALSE)),"X",$AG40)</f>
        <v>+</v>
      </c>
      <c r="AJ40" s="71" t="str">
        <f>IF(ISTEXT(VLOOKUP(CONCATENATE($A40,"_",AJ$3),'Unit List'!$A$23:$H$3256,2,FALSE)),"X",$AG40)</f>
        <v>+</v>
      </c>
      <c r="AK40" s="172" t="str">
        <f>IF(ISTEXT(VLOOKUP(CONCATENATE($A40,"_",AK$3),'Unit List'!$A$23:$H$3256,2,FALSE)),"+","")</f>
        <v/>
      </c>
      <c r="AL40" s="52" t="str">
        <f>IF(ISTEXT(VLOOKUP(CONCATENATE($A40,"_",AL$3),'Unit List'!$A$23:$H$3256,2,FALSE)),"X",$AK40)</f>
        <v/>
      </c>
      <c r="AM40" s="74" t="s">
        <v>0</v>
      </c>
      <c r="AN40" s="125" t="str">
        <f>IF(ISTEXT(VLOOKUP(CONCATENATE($A40,"_",AN$3),'Unit List'!$A$23:$H$3256,2,FALSE)),"+","")</f>
        <v/>
      </c>
      <c r="AO40" s="53" t="str">
        <f>IF(ISTEXT(VLOOKUP(CONCATENATE($A40,"_",AO$3),'Unit List'!$A$23:$H$3256,2,FALSE)),"X",$AN40)</f>
        <v/>
      </c>
      <c r="AP40" s="172" t="str">
        <f>IF(ISTEXT(VLOOKUP(CONCATENATE($A40,"_",AP$3),'Unit List'!$A$23:$H$3256,2,FALSE)),"+","")</f>
        <v/>
      </c>
      <c r="AQ40" s="51" t="str">
        <f>IF(ISTEXT(VLOOKUP(CONCATENATE($A40,"_",AQ$3),'Unit List'!$A$23:$H$3256,2,FALSE)),"X",$AP40)</f>
        <v/>
      </c>
      <c r="AR40" s="51" t="str">
        <f>IF(ISTEXT(VLOOKUP(CONCATENATE($A40,"_",AR$3),'Unit List'!$A$23:$H$3256,2,FALSE)),"X",$AP40)</f>
        <v/>
      </c>
      <c r="AS40" s="51" t="str">
        <f>IF(ISTEXT(VLOOKUP(CONCATENATE($A40,"_",AS$3),'Unit List'!$A$23:$H$3256,2,FALSE)),"X",$AP40)</f>
        <v/>
      </c>
      <c r="AT40" s="53" t="str">
        <f>IF(ISTEXT(VLOOKUP(CONCATENATE($A40,"_",AT$3),'Unit List'!$A$23:$H$3256,2,FALSE)),"X",$AP40)</f>
        <v/>
      </c>
      <c r="AU40" s="124" t="str">
        <f>IF(ISTEXT(VLOOKUP(CONCATENATE($A40,"_",AU$3),'Unit List'!$A$23:$H$3256,2,FALSE)),"+","")</f>
        <v/>
      </c>
      <c r="AV40" s="51" t="str">
        <f>IF(ISTEXT(VLOOKUP(CONCATENATE($A40,"_",AV$3),'Unit List'!$A$23:$H$3256,2,FALSE)),"X",$AU40)</f>
        <v/>
      </c>
      <c r="AW40" s="53" t="str">
        <f>IF(ISTEXT(VLOOKUP(CONCATENATE($A40,"_",AW$3),'Unit List'!$A$23:$H$3256,2,FALSE)),"X",$AU40)</f>
        <v/>
      </c>
      <c r="AX40" s="171" t="str">
        <f>IF(ISTEXT(VLOOKUP(CONCATENATE($A40,"_",AX$3),'Unit List'!$A$23:$H$3256,2,FALSE)),"+","")</f>
        <v>+</v>
      </c>
      <c r="AY40" s="67" t="str">
        <f>IF(ISTEXT(VLOOKUP(CONCATENATE($A40,"_",AY$3),'Unit List'!$A$23:$H$3256,2,FALSE)),"X",$AX40)</f>
        <v>X</v>
      </c>
      <c r="AZ40" s="70" t="str">
        <f>IF(ISTEXT(VLOOKUP(CONCATENATE($A40,"_",AZ$3),'Unit List'!$A$23:$H$3256,2,FALSE)),"X",$AX40)</f>
        <v>X</v>
      </c>
      <c r="BA40" s="182" t="str">
        <f>IF(ISTEXT(VLOOKUP(CONCATENATE($A40,"_",BA$3),'Unit List'!$A$23:$H$3256,2,FALSE)),"+","")</f>
        <v/>
      </c>
      <c r="BB40" s="51" t="str">
        <f>IF(ISTEXT(VLOOKUP(CONCATENATE($A40,"_",BB$3),'Unit List'!$A$23:$H$3256,2,FALSE)),"X",$BA40)</f>
        <v/>
      </c>
      <c r="BC40" s="51" t="str">
        <f>IF(ISTEXT(VLOOKUP(CONCATENATE($A40,"_",BC$3),'Unit List'!$A$23:$H$3256,2,FALSE)),"X",$BA40)</f>
        <v/>
      </c>
      <c r="BD40" s="53" t="str">
        <f>IF(ISTEXT(VLOOKUP(CONCATENATE($A40,"_",BD$3),'Unit List'!$A$23:$H$3256,2,FALSE)),"X",$BA40)</f>
        <v/>
      </c>
      <c r="BE40" s="125" t="str">
        <f>IF(ISTEXT(VLOOKUP(CONCATENATE($A40,"_",BE$3),'Unit List'!$A$23:$H$3256,2,FALSE)),"+","")</f>
        <v/>
      </c>
      <c r="BF40" s="62" t="str">
        <f>IF(ISTEXT(VLOOKUP(CONCATENATE($A40,"_",BF$3),'Unit List'!$A$23:$H$3256,2,FALSE)),"X",$BE40)</f>
        <v/>
      </c>
      <c r="BG40" s="75"/>
      <c r="BH40" s="84"/>
      <c r="BI40" s="225" t="s">
        <v>24</v>
      </c>
      <c r="BJ40" s="228"/>
      <c r="BK40" s="228"/>
      <c r="BL40" s="228"/>
      <c r="BM40" s="229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List'!$A$23:$H$3256,2,FALSE)),"+","")</f>
        <v/>
      </c>
      <c r="C41" s="57" t="str">
        <f>IF(ISTEXT(VLOOKUP(CONCATENATE($A41,"_",C$3),'Unit List'!$A$23:$H$3256,2,FALSE)),"X",$B41)</f>
        <v/>
      </c>
      <c r="D41" s="51" t="str">
        <f>IF(ISTEXT(VLOOKUP(CONCATENATE($A41,"_",D$3),'Unit List'!$A$23:$H$3256,2,FALSE)),"X",$B41)</f>
        <v/>
      </c>
      <c r="E41" s="51" t="str">
        <f>IF(ISTEXT(VLOOKUP(CONCATENATE($A41,"_",E$3),'Unit List'!$A$23:$H$3256,2,FALSE)),"X",$B41)</f>
        <v/>
      </c>
      <c r="F41" s="51" t="str">
        <f>IF(ISTEXT(VLOOKUP(CONCATENATE($A41,"_",F$3),'Unit List'!$A$23:$H$3256,2,FALSE)),"X",$B41)</f>
        <v/>
      </c>
      <c r="G41" s="51" t="str">
        <f>IF(ISTEXT(VLOOKUP(CONCATENATE($A41,"_",G$3),'Unit List'!$A$23:$H$3256,2,FALSE)),"X",$B41)</f>
        <v/>
      </c>
      <c r="H41" s="51" t="str">
        <f>IF(ISTEXT(VLOOKUP(CONCATENATE($A41,"_",H$3),'Unit List'!$A$23:$H$3256,2,FALSE)),"X",$B41)</f>
        <v/>
      </c>
      <c r="I41" s="53" t="str">
        <f>IF(ISTEXT(VLOOKUP(CONCATENATE($A41,"_",I$3),'Unit List'!$A$23:$H$3256,2,FALSE)),"X",$B41)</f>
        <v/>
      </c>
      <c r="J41" s="172" t="str">
        <f>IF(ISTEXT(VLOOKUP(CONCATENATE($A41,"_",J$3),'Unit List'!$A$23:$H$3256,2,FALSE)),"+","")</f>
        <v/>
      </c>
      <c r="K41" s="51" t="str">
        <f>IF(ISTEXT(VLOOKUP(CONCATENATE($A41,"_",K$3),'Unit List'!$A$23:$H$3256,2,FALSE)),"X",$J41)</f>
        <v/>
      </c>
      <c r="L41" s="62" t="str">
        <f>IF(ISTEXT(VLOOKUP(CONCATENATE($A41,"_",L$3),'Unit List'!$A$23:$H$3256,2,FALSE)),"X",$J41)</f>
        <v/>
      </c>
      <c r="M41" s="172" t="str">
        <f>IF(ISTEXT(VLOOKUP(CONCATENATE($A41,"_",M$3),'Unit List'!$A$23:$H$3256,2,FALSE)),"+","")</f>
        <v/>
      </c>
      <c r="N41" s="51" t="str">
        <f>IF(ISTEXT(VLOOKUP(CONCATENATE($A41,"_",N$3),'Unit List'!$A$23:$H$3256,2,FALSE)),"X",$M41)</f>
        <v/>
      </c>
      <c r="O41" s="53" t="str">
        <f>IF(ISTEXT(VLOOKUP(CONCATENATE($A41,"_",O$3),'Unit List'!$A$23:$H$3256,2,FALSE)),"X",$M41)</f>
        <v/>
      </c>
      <c r="P41" s="172" t="str">
        <f>IF(ISTEXT(VLOOKUP(CONCATENATE($A41,"_",P$3),'Unit List'!$A$23:$H$3256,2,FALSE)),"+","")</f>
        <v/>
      </c>
      <c r="Q41" s="51" t="str">
        <f>IF(ISTEXT(VLOOKUP(CONCATENATE($A41,"_",Q$3),'Unit List'!$A$23:$H$3256,2,FALSE)),"X",$P41)</f>
        <v/>
      </c>
      <c r="R41" s="51" t="str">
        <f>IF(ISTEXT(VLOOKUP(CONCATENATE($A41,"_",R$3),'Unit List'!$A$23:$H$3256,2,FALSE)),"X",$P41)</f>
        <v/>
      </c>
      <c r="S41" s="51" t="str">
        <f>IF(ISTEXT(VLOOKUP(CONCATENATE($A41,"_",S$3),'Unit List'!$A$23:$H$3256,2,FALSE)),"X",$P41)</f>
        <v/>
      </c>
      <c r="T41" s="52" t="str">
        <f>IF(ISTEXT(VLOOKUP(CONCATENATE($A41,"_",T$3),'Unit List'!$A$23:$H$3256,2,FALSE)),"X",$P41)</f>
        <v/>
      </c>
      <c r="U41" s="51" t="str">
        <f>IF(ISTEXT(VLOOKUP(CONCATENATE($A41,"_",U$3),'Unit List'!$A$23:$H$3256,2,FALSE)),"X",$P41)</f>
        <v/>
      </c>
      <c r="V41" s="51" t="str">
        <f>IF(ISTEXT(VLOOKUP(CONCATENATE($A41,"_",V$3),'Unit List'!$A$23:$H$3256,2,FALSE)),"X",$P41)</f>
        <v/>
      </c>
      <c r="W41" s="53" t="str">
        <f>IF(ISTEXT(VLOOKUP(CONCATENATE($A41,"_",W$3),'Unit List'!$A$23:$H$3256,2,FALSE)),"X",$P41)</f>
        <v/>
      </c>
      <c r="X41" s="172" t="str">
        <f>IF(ISTEXT(VLOOKUP(CONCATENATE($A41,"_",X$3),'Unit List'!$A$23:$H$3256,2,FALSE)),"+","")</f>
        <v/>
      </c>
      <c r="Y41" s="51" t="str">
        <f>IF(ISTEXT(VLOOKUP(CONCATENATE($A41,"_",Y$3),'Unit List'!$A$23:$H$3256,2,FALSE)),"X",$X41)</f>
        <v/>
      </c>
      <c r="Z41" s="51" t="str">
        <f>IF(ISTEXT(VLOOKUP(CONCATENATE($A41,"_",Z$3),'Unit List'!$A$23:$H$3256,2,FALSE)),"X",$X41)</f>
        <v/>
      </c>
      <c r="AA41" s="51" t="str">
        <f>IF(ISTEXT(VLOOKUP(CONCATENATE($A41,"_",AA$3),'Unit List'!$A$23:$H$3256,2,FALSE)),"X",$X41)</f>
        <v/>
      </c>
      <c r="AB41" s="51" t="str">
        <f>IF(ISTEXT(VLOOKUP(CONCATENATE($A41,"_",AB$3),'Unit List'!$A$23:$H$3256,2,FALSE)),"X",$X41)</f>
        <v/>
      </c>
      <c r="AC41" s="62" t="str">
        <f>IF(ISTEXT(VLOOKUP(CONCATENATE($A41,"_",AC$3),'Unit List'!$A$23:$H$3256,2,FALSE)),"X",$X41)</f>
        <v/>
      </c>
      <c r="AD41" s="172" t="str">
        <f>IF(ISTEXT(VLOOKUP(CONCATENATE($A41,"_",AD$3),'Unit List'!$A$23:$H$3256,2,FALSE)),"+","")</f>
        <v/>
      </c>
      <c r="AE41" s="51" t="str">
        <f>IF(ISTEXT(VLOOKUP(CONCATENATE($A41,"_",AE$3),'Unit List'!$A$23:$H$3256,2,FALSE)),"X",$AD41)</f>
        <v/>
      </c>
      <c r="AF41" s="51" t="str">
        <f>IF(ISTEXT(VLOOKUP(CONCATENATE($A41,"_",AF$3),'Unit List'!$A$23:$H$3256,2,FALSE)),"X",$AD41)</f>
        <v/>
      </c>
      <c r="AG41" s="172" t="str">
        <f>IF(ISTEXT(VLOOKUP(CONCATENATE($A41,"_",AG$3),'Unit List'!$A$23:$H$3256,2,FALSE)),"+","")</f>
        <v/>
      </c>
      <c r="AH41" s="83" t="str">
        <f>IF(ISTEXT(VLOOKUP(CONCATENATE($A41,"_",AH$3),'Unit List'!$A$23:$H$3256,2,FALSE)),"X",$AG41)</f>
        <v/>
      </c>
      <c r="AI41" s="83" t="str">
        <f>IF(ISTEXT(VLOOKUP(CONCATENATE($A41,"_",AI$3),'Unit List'!$A$23:$H$3256,2,FALSE)),"X",$AG41)</f>
        <v/>
      </c>
      <c r="AJ41" s="53" t="str">
        <f>IF(ISTEXT(VLOOKUP(CONCATENATE($A41,"_",AJ$3),'Unit List'!$A$23:$H$3256,2,FALSE)),"X",$AG41)</f>
        <v/>
      </c>
      <c r="AK41" s="172" t="str">
        <f>IF(ISTEXT(VLOOKUP(CONCATENATE($A41,"_",AK$3),'Unit List'!$A$23:$H$3256,2,FALSE)),"+","")</f>
        <v/>
      </c>
      <c r="AL41" s="52" t="str">
        <f>IF(ISTEXT(VLOOKUP(CONCATENATE($A41,"_",AL$3),'Unit List'!$A$23:$H$3256,2,FALSE)),"X",$AK41)</f>
        <v/>
      </c>
      <c r="AM41" s="53" t="str">
        <f>IF(ISTEXT(VLOOKUP(CONCATENATE($A41,"_",AM$3),'Unit List'!$A$23:$H$3256,2,FALSE)),"X",$AK41)</f>
        <v/>
      </c>
      <c r="AN41" s="125" t="str">
        <f>IF(ISTEXT(VLOOKUP(CONCATENATE($A41,"_",AN$3),'Unit List'!$A$23:$H$3256,2,FALSE)),"+","")</f>
        <v/>
      </c>
      <c r="AO41" s="53" t="str">
        <f>IF(ISTEXT(VLOOKUP(CONCATENATE($A41,"_",AO$3),'Unit List'!$A$23:$H$3256,2,FALSE)),"X",$AN41)</f>
        <v/>
      </c>
      <c r="AP41" s="172" t="str">
        <f>IF(ISTEXT(VLOOKUP(CONCATENATE($A41,"_",AP$3),'Unit List'!$A$23:$H$3256,2,FALSE)),"+","")</f>
        <v/>
      </c>
      <c r="AQ41" s="51" t="str">
        <f>IF(ISTEXT(VLOOKUP(CONCATENATE($A41,"_",AQ$3),'Unit List'!$A$23:$H$3256,2,FALSE)),"X",$AP41)</f>
        <v/>
      </c>
      <c r="AR41" s="51" t="str">
        <f>IF(ISTEXT(VLOOKUP(CONCATENATE($A41,"_",AR$3),'Unit List'!$A$23:$H$3256,2,FALSE)),"X",$AP41)</f>
        <v/>
      </c>
      <c r="AS41" s="51" t="str">
        <f>IF(ISTEXT(VLOOKUP(CONCATENATE($A41,"_",AS$3),'Unit List'!$A$23:$H$3256,2,FALSE)),"X",$AP41)</f>
        <v/>
      </c>
      <c r="AT41" s="53" t="str">
        <f>IF(ISTEXT(VLOOKUP(CONCATENATE($A41,"_",AT$3),'Unit List'!$A$23:$H$3256,2,FALSE)),"X",$AP41)</f>
        <v/>
      </c>
      <c r="AU41" s="124" t="str">
        <f>IF(ISTEXT(VLOOKUP(CONCATENATE($A41,"_",AU$3),'Unit List'!$A$23:$H$3256,2,FALSE)),"+","")</f>
        <v/>
      </c>
      <c r="AV41" s="51" t="str">
        <f>IF(ISTEXT(VLOOKUP(CONCATENATE($A41,"_",AV$3),'Unit List'!$A$23:$H$3256,2,FALSE)),"X",$AU41)</f>
        <v/>
      </c>
      <c r="AW41" s="53" t="str">
        <f>IF(ISTEXT(VLOOKUP(CONCATENATE($A41,"_",AW$3),'Unit List'!$A$23:$H$3256,2,FALSE)),"X",$AU41)</f>
        <v/>
      </c>
      <c r="AX41" s="172" t="str">
        <f>IF(ISTEXT(VLOOKUP(CONCATENATE($A41,"_",AX$3),'Unit List'!$A$23:$H$3256,2,FALSE)),"+","")</f>
        <v/>
      </c>
      <c r="AY41" s="51" t="str">
        <f>IF(ISTEXT(VLOOKUP(CONCATENATE($A41,"_",AY$3),'Unit List'!$A$23:$H$3256,2,FALSE)),"X",$AX41)</f>
        <v/>
      </c>
      <c r="AZ41" s="53" t="str">
        <f>IF(ISTEXT(VLOOKUP(CONCATENATE($A41,"_",AZ$3),'Unit List'!$A$23:$H$3256,2,FALSE)),"X",$AX41)</f>
        <v/>
      </c>
      <c r="BA41" s="182" t="str">
        <f>IF(ISTEXT(VLOOKUP(CONCATENATE($A41,"_",BA$3),'Unit List'!$A$23:$H$3256,2,FALSE)),"+","")</f>
        <v/>
      </c>
      <c r="BB41" s="51" t="str">
        <f>IF(ISTEXT(VLOOKUP(CONCATENATE($A41,"_",BB$3),'Unit List'!$A$23:$H$3256,2,FALSE)),"X",$BA41)</f>
        <v/>
      </c>
      <c r="BC41" s="51" t="str">
        <f>IF(ISTEXT(VLOOKUP(CONCATENATE($A41,"_",BC$3),'Unit List'!$A$23:$H$3256,2,FALSE)),"X",$BA41)</f>
        <v/>
      </c>
      <c r="BD41" s="53" t="str">
        <f>IF(ISTEXT(VLOOKUP(CONCATENATE($A41,"_",BD$3),'Unit List'!$A$23:$H$3256,2,FALSE)),"X",$BA41)</f>
        <v/>
      </c>
      <c r="BE41" s="125" t="str">
        <f>IF(ISTEXT(VLOOKUP(CONCATENATE($A41,"_",BE$3),'Unit List'!$A$23:$H$3256,2,FALSE)),"+","")</f>
        <v/>
      </c>
      <c r="BF41" s="62" t="str">
        <f>IF(ISTEXT(VLOOKUP(CONCATENATE($A41,"_",BF$3),'Unit List'!$A$23:$H$3256,2,FALSE)),"X",$BE41)</f>
        <v/>
      </c>
      <c r="BG41" s="64" t="s">
        <v>0</v>
      </c>
      <c r="BH41" s="65" t="s">
        <v>0</v>
      </c>
      <c r="BI41" s="225"/>
      <c r="BJ41" s="226"/>
      <c r="BK41" s="226"/>
      <c r="BL41" s="226"/>
      <c r="BM41" s="227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List'!$A$23:$H$3256,2,FALSE)),"+","")</f>
        <v/>
      </c>
      <c r="C42" s="57" t="str">
        <f>IF(ISTEXT(VLOOKUP(CONCATENATE($A42,"_",C$3),'Unit List'!$A$23:$H$3256,2,FALSE)),"X",$B42)</f>
        <v>X</v>
      </c>
      <c r="D42" s="51" t="str">
        <f>IF(ISTEXT(VLOOKUP(CONCATENATE($A42,"_",D$3),'Unit List'!$A$23:$H$3256,2,FALSE)),"X",$B42)</f>
        <v/>
      </c>
      <c r="E42" s="51" t="str">
        <f>IF(ISTEXT(VLOOKUP(CONCATENATE($A42,"_",E$3),'Unit List'!$A$23:$H$3256,2,FALSE)),"X",$B42)</f>
        <v>X</v>
      </c>
      <c r="F42" s="51" t="str">
        <f>IF(ISTEXT(VLOOKUP(CONCATENATE($A42,"_",F$3),'Unit List'!$A$23:$H$3256,2,FALSE)),"X",$B42)</f>
        <v>X</v>
      </c>
      <c r="G42" s="51" t="str">
        <f>IF(ISTEXT(VLOOKUP(CONCATENATE($A42,"_",G$3),'Unit List'!$A$23:$H$3256,2,FALSE)),"X",$B42)</f>
        <v/>
      </c>
      <c r="H42" s="51" t="str">
        <f>IF(ISTEXT(VLOOKUP(CONCATENATE($A42,"_",H$3),'Unit List'!$A$23:$H$3256,2,FALSE)),"X",$B42)</f>
        <v/>
      </c>
      <c r="I42" s="53" t="str">
        <f>IF(ISTEXT(VLOOKUP(CONCATENATE($A42,"_",I$3),'Unit List'!$A$23:$H$3256,2,FALSE)),"X",$B42)</f>
        <v/>
      </c>
      <c r="J42" s="172" t="str">
        <f>IF(ISTEXT(VLOOKUP(CONCATENATE($A42,"_",J$3),'Unit List'!$A$23:$H$3256,2,FALSE)),"+","")</f>
        <v/>
      </c>
      <c r="K42" s="51" t="str">
        <f>IF(ISTEXT(VLOOKUP(CONCATENATE($A42,"_",K$3),'Unit List'!$A$23:$H$3256,2,FALSE)),"X",$J42)</f>
        <v/>
      </c>
      <c r="L42" s="62" t="str">
        <f>IF(ISTEXT(VLOOKUP(CONCATENATE($A42,"_",L$3),'Unit List'!$A$23:$H$3256,2,FALSE)),"X",$J42)</f>
        <v/>
      </c>
      <c r="M42" s="172" t="str">
        <f>IF(ISTEXT(VLOOKUP(CONCATENATE($A42,"_",M$3),'Unit List'!$A$23:$H$3256,2,FALSE)),"+","")</f>
        <v>+</v>
      </c>
      <c r="N42" s="51" t="str">
        <f>IF(ISTEXT(VLOOKUP(CONCATENATE($A42,"_",N$3),'Unit List'!$A$23:$H$3256,2,FALSE)),"X",$M42)</f>
        <v>+</v>
      </c>
      <c r="O42" s="70" t="str">
        <f>IF(ISTEXT(VLOOKUP(CONCATENATE($A42,"_",O$3),'Unit List'!$A$23:$H$3256,2,FALSE)),"X",$M42)</f>
        <v>X</v>
      </c>
      <c r="P42" s="172" t="str">
        <f>IF(ISTEXT(VLOOKUP(CONCATENATE($A42,"_",P$3),'Unit List'!$A$23:$H$3256,2,FALSE)),"+","")</f>
        <v/>
      </c>
      <c r="Q42" s="51" t="str">
        <f>IF(ISTEXT(VLOOKUP(CONCATENATE($A42,"_",Q$3),'Unit List'!$A$23:$H$3256,2,FALSE)),"X",$P42)</f>
        <v/>
      </c>
      <c r="R42" s="51" t="str">
        <f>IF(ISTEXT(VLOOKUP(CONCATENATE($A42,"_",R$3),'Unit List'!$A$23:$H$3256,2,FALSE)),"X",$P42)</f>
        <v/>
      </c>
      <c r="S42" s="51" t="str">
        <f>IF(ISTEXT(VLOOKUP(CONCATENATE($A42,"_",S$3),'Unit List'!$A$23:$H$3256,2,FALSE)),"X",$P42)</f>
        <v/>
      </c>
      <c r="T42" s="52" t="str">
        <f>IF(ISTEXT(VLOOKUP(CONCATENATE($A42,"_",T$3),'Unit List'!$A$23:$H$3256,2,FALSE)),"X",$P42)</f>
        <v/>
      </c>
      <c r="U42" s="51" t="str">
        <f>IF(ISTEXT(VLOOKUP(CONCATENATE($A42,"_",U$3),'Unit List'!$A$23:$H$3256,2,FALSE)),"X",$P42)</f>
        <v/>
      </c>
      <c r="V42" s="51" t="str">
        <f>IF(ISTEXT(VLOOKUP(CONCATENATE($A42,"_",V$3),'Unit List'!$A$23:$H$3256,2,FALSE)),"X",$P42)</f>
        <v/>
      </c>
      <c r="W42" s="53" t="str">
        <f>IF(ISTEXT(VLOOKUP(CONCATENATE($A42,"_",W$3),'Unit List'!$A$23:$H$3256,2,FALSE)),"X",$P42)</f>
        <v/>
      </c>
      <c r="X42" s="172" t="str">
        <f>IF(ISTEXT(VLOOKUP(CONCATENATE($A42,"_",X$3),'Unit List'!$A$23:$H$3256,2,FALSE)),"+","")</f>
        <v/>
      </c>
      <c r="Y42" s="51" t="str">
        <f>IF(ISTEXT(VLOOKUP(CONCATENATE($A42,"_",Y$3),'Unit List'!$A$23:$H$3256,2,FALSE)),"X",$X42)</f>
        <v/>
      </c>
      <c r="Z42" s="51" t="str">
        <f>IF(ISTEXT(VLOOKUP(CONCATENATE($A42,"_",Z$3),'Unit List'!$A$23:$H$3256,2,FALSE)),"X",$X42)</f>
        <v/>
      </c>
      <c r="AA42" s="51" t="str">
        <f>IF(ISTEXT(VLOOKUP(CONCATENATE($A42,"_",AA$3),'Unit List'!$A$23:$H$3256,2,FALSE)),"X",$X42)</f>
        <v/>
      </c>
      <c r="AB42" s="51" t="str">
        <f>IF(ISTEXT(VLOOKUP(CONCATENATE($A42,"_",AB$3),'Unit List'!$A$23:$H$3256,2,FALSE)),"X",$X42)</f>
        <v/>
      </c>
      <c r="AC42" s="62" t="str">
        <f>IF(ISTEXT(VLOOKUP(CONCATENATE($A42,"_",AC$3),'Unit List'!$A$23:$H$3256,2,FALSE)),"X",$X42)</f>
        <v/>
      </c>
      <c r="AD42" s="172" t="str">
        <f>IF(ISTEXT(VLOOKUP(CONCATENATE($A42,"_",AD$3),'Unit List'!$A$23:$H$3256,2,FALSE)),"+","")</f>
        <v/>
      </c>
      <c r="AE42" s="51" t="str">
        <f>IF(ISTEXT(VLOOKUP(CONCATENATE($A42,"_",AE$3),'Unit List'!$A$23:$H$3256,2,FALSE)),"X",$AD42)</f>
        <v/>
      </c>
      <c r="AF42" s="51" t="str">
        <f>IF(ISTEXT(VLOOKUP(CONCATENATE($A42,"_",AF$3),'Unit List'!$A$23:$H$3256,2,FALSE)),"X",$AD42)</f>
        <v/>
      </c>
      <c r="AG42" s="172" t="str">
        <f>IF(ISTEXT(VLOOKUP(CONCATENATE($A42,"_",AG$3),'Unit List'!$A$23:$H$3256,2,FALSE)),"+","")</f>
        <v/>
      </c>
      <c r="AH42" s="51" t="str">
        <f>IF(ISTEXT(VLOOKUP(CONCATENATE($A42,"_",AH$3),'Unit List'!$A$23:$H$3256,2,FALSE)),"X",$AG42)</f>
        <v/>
      </c>
      <c r="AI42" s="51" t="str">
        <f>IF(ISTEXT(VLOOKUP(CONCATENATE($A42,"_",AI$3),'Unit List'!$A$23:$H$3256,2,FALSE)),"X",$AG42)</f>
        <v/>
      </c>
      <c r="AJ42" s="53" t="str">
        <f>IF(ISTEXT(VLOOKUP(CONCATENATE($A42,"_",AJ$3),'Unit List'!$A$23:$H$3256,2,FALSE)),"X",$AG42)</f>
        <v/>
      </c>
      <c r="AK42" s="172" t="str">
        <f>IF(ISTEXT(VLOOKUP(CONCATENATE($A42,"_",AK$3),'Unit List'!$A$23:$H$3256,2,FALSE)),"+","")</f>
        <v/>
      </c>
      <c r="AL42" s="52" t="str">
        <f>IF(ISTEXT(VLOOKUP(CONCATENATE($A42,"_",AL$3),'Unit List'!$A$23:$H$3256,2,FALSE)),"X",$AK42)</f>
        <v/>
      </c>
      <c r="AM42" s="53" t="str">
        <f>IF(ISTEXT(VLOOKUP(CONCATENATE($A42,"_",AM$3),'Unit List'!$A$23:$H$3256,2,FALSE)),"X",$AK42)</f>
        <v/>
      </c>
      <c r="AN42" s="125" t="str">
        <f>IF(ISTEXT(VLOOKUP(CONCATENATE($A42,"_",AN$3),'Unit List'!$A$23:$H$3256,2,FALSE)),"+","")</f>
        <v/>
      </c>
      <c r="AO42" s="53" t="str">
        <f>IF(ISTEXT(VLOOKUP(CONCATENATE($A42,"_",AO$3),'Unit List'!$A$23:$H$3256,2,FALSE)),"X",$AN42)</f>
        <v/>
      </c>
      <c r="AP42" s="172" t="str">
        <f>IF(ISTEXT(VLOOKUP(CONCATENATE($A42,"_",AP$3),'Unit List'!$A$23:$H$3256,2,FALSE)),"+","")</f>
        <v>+</v>
      </c>
      <c r="AQ42" s="51" t="str">
        <f>IF(ISTEXT(VLOOKUP(CONCATENATE($A42,"_",AQ$3),'Unit List'!$A$23:$H$3256,2,FALSE)),"X",$AP42)</f>
        <v>+</v>
      </c>
      <c r="AR42" s="51" t="str">
        <f>IF(ISTEXT(VLOOKUP(CONCATENATE($A42,"_",AR$3),'Unit List'!$A$23:$H$3256,2,FALSE)),"X",$AP42)</f>
        <v>+</v>
      </c>
      <c r="AS42" s="51" t="str">
        <f>IF(ISTEXT(VLOOKUP(CONCATENATE($A42,"_",AS$3),'Unit List'!$A$23:$H$3256,2,FALSE)),"X",$AP42)</f>
        <v>+</v>
      </c>
      <c r="AT42" s="53" t="str">
        <f>IF(ISTEXT(VLOOKUP(CONCATENATE($A42,"_",AT$3),'Unit List'!$A$23:$H$3256,2,FALSE)),"X",$AP42)</f>
        <v>+</v>
      </c>
      <c r="AU42" s="124" t="str">
        <f>IF(ISTEXT(VLOOKUP(CONCATENATE($A42,"_",AU$3),'Unit List'!$A$23:$H$3256,2,FALSE)),"+","")</f>
        <v/>
      </c>
      <c r="AV42" s="51" t="str">
        <f>IF(ISTEXT(VLOOKUP(CONCATENATE($A42,"_",AV$3),'Unit List'!$A$23:$H$3256,2,FALSE)),"X",$AU42)</f>
        <v/>
      </c>
      <c r="AW42" s="53" t="str">
        <f>IF(ISTEXT(VLOOKUP(CONCATENATE($A42,"_",AW$3),'Unit List'!$A$23:$H$3256,2,FALSE)),"X",$AU42)</f>
        <v/>
      </c>
      <c r="AX42" s="172" t="str">
        <f>IF(ISTEXT(VLOOKUP(CONCATENATE($A42,"_",AX$3),'Unit List'!$A$23:$H$3256,2,FALSE)),"+","")</f>
        <v>+</v>
      </c>
      <c r="AY42" s="51" t="str">
        <f>IF(ISTEXT(VLOOKUP(CONCATENATE($A42,"_",AY$3),'Unit List'!$A$23:$H$3256,2,FALSE)),"X",$AX42)</f>
        <v>+</v>
      </c>
      <c r="AZ42" s="53" t="str">
        <f>IF(ISTEXT(VLOOKUP(CONCATENATE($A42,"_",AZ$3),'Unit List'!$A$23:$H$3256,2,FALSE)),"X",$AX42)</f>
        <v>+</v>
      </c>
      <c r="BA42" s="182" t="str">
        <f>IF(ISTEXT(VLOOKUP(CONCATENATE($A42,"_",BA$3),'Unit List'!$A$23:$H$3256,2,FALSE)),"+","")</f>
        <v/>
      </c>
      <c r="BB42" s="51" t="str">
        <f>IF(ISTEXT(VLOOKUP(CONCATENATE($A42,"_",BB$3),'Unit List'!$A$23:$H$3256,2,FALSE)),"X",$BA42)</f>
        <v/>
      </c>
      <c r="BC42" s="51" t="str">
        <f>IF(ISTEXT(VLOOKUP(CONCATENATE($A42,"_",BC$3),'Unit List'!$A$23:$H$3256,2,FALSE)),"X",$BA42)</f>
        <v/>
      </c>
      <c r="BD42" s="53" t="str">
        <f>IF(ISTEXT(VLOOKUP(CONCATENATE($A42,"_",BD$3),'Unit List'!$A$23:$H$3256,2,FALSE)),"X",$BA42)</f>
        <v/>
      </c>
      <c r="BE42" s="125" t="str">
        <f>IF(ISTEXT(VLOOKUP(CONCATENATE($A42,"_",BE$3),'Unit List'!$A$23:$H$3256,2,FALSE)),"+","")</f>
        <v>+</v>
      </c>
      <c r="BF42" s="62" t="str">
        <f>IF(ISTEXT(VLOOKUP(CONCATENATE($A42,"_",BF$3),'Unit List'!$A$23:$H$3256,2,FALSE)),"X",$BE42)</f>
        <v>+</v>
      </c>
      <c r="BG42" s="64"/>
      <c r="BH42" s="65" t="s">
        <v>0</v>
      </c>
      <c r="BI42" s="225"/>
      <c r="BJ42" s="226"/>
      <c r="BK42" s="226"/>
      <c r="BL42" s="226"/>
      <c r="BM42" s="227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List'!$A$23:$H$3256,2,FALSE)),"+","")</f>
        <v/>
      </c>
      <c r="C43" s="82" t="str">
        <f>IF(ISTEXT(VLOOKUP(CONCATENATE($A43,"_",C$3),'Unit List'!$A$23:$H$3256,2,FALSE)),"X",$B43)</f>
        <v>X</v>
      </c>
      <c r="D43" s="67" t="str">
        <f>IF(ISTEXT(VLOOKUP(CONCATENATE($A43,"_",D$3),'Unit List'!$A$23:$H$3256,2,FALSE)),"X",$B43)</f>
        <v>X</v>
      </c>
      <c r="E43" s="51" t="str">
        <f>IF(ISTEXT(VLOOKUP(CONCATENATE($A43,"_",E$3),'Unit List'!$A$23:$H$3256,2,FALSE)),"X",$B43)</f>
        <v/>
      </c>
      <c r="F43" s="67" t="str">
        <f>IF(ISTEXT(VLOOKUP(CONCATENATE($A43,"_",F$3),'Unit List'!$A$23:$H$3256,2,FALSE)),"X",$B43)</f>
        <v>X</v>
      </c>
      <c r="G43" s="67" t="str">
        <f>IF(ISTEXT(VLOOKUP(CONCATENATE($A43,"_",G$3),'Unit List'!$A$23:$H$3256,2,FALSE)),"X",$B43)</f>
        <v>X</v>
      </c>
      <c r="H43" s="67" t="str">
        <f>IF(ISTEXT(VLOOKUP(CONCATENATE($A43,"_",H$3),'Unit List'!$A$23:$H$3256,2,FALSE)),"X",$B43)</f>
        <v>X</v>
      </c>
      <c r="I43" s="70" t="str">
        <f>IF(ISTEXT(VLOOKUP(CONCATENATE($A43,"_",I$3),'Unit List'!$A$23:$H$3256,2,FALSE)),"X",$B43)</f>
        <v>X</v>
      </c>
      <c r="J43" s="172" t="str">
        <f>IF(ISTEXT(VLOOKUP(CONCATENATE($A43,"_",J$3),'Unit List'!$A$23:$H$3256,2,FALSE)),"+","")</f>
        <v>+</v>
      </c>
      <c r="K43" s="51" t="str">
        <f>IF(ISTEXT(VLOOKUP(CONCATENATE($A43,"_",K$3),'Unit List'!$A$23:$H$3256,2,FALSE)),"X",$J43)</f>
        <v>+</v>
      </c>
      <c r="L43" s="86" t="str">
        <f>IF(ISTEXT(VLOOKUP(CONCATENATE($A43,"_",L$3),'Unit List'!$A$23:$H$3256,2,FALSE)),"X",$J43)</f>
        <v>+</v>
      </c>
      <c r="M43" s="172" t="str">
        <f>IF(ISTEXT(VLOOKUP(CONCATENATE($A43,"_",M$3),'Unit List'!$A$23:$H$3256,2,FALSE)),"+","")</f>
        <v>+</v>
      </c>
      <c r="N43" s="67" t="str">
        <f>IF(ISTEXT(VLOOKUP(CONCATENATE($A43,"_",N$3),'Unit List'!$A$23:$H$3256,2,FALSE)),"X",$M43)</f>
        <v>+</v>
      </c>
      <c r="O43" s="70" t="str">
        <f>IF(ISTEXT(VLOOKUP(CONCATENATE($A43,"_",O$3),'Unit List'!$A$23:$H$3256,2,FALSE)),"X",$M43)</f>
        <v>X</v>
      </c>
      <c r="P43" s="172" t="str">
        <f>IF(ISTEXT(VLOOKUP(CONCATENATE($A43,"_",P$3),'Unit List'!$A$23:$H$3256,2,FALSE)),"+","")</f>
        <v/>
      </c>
      <c r="Q43" s="51" t="str">
        <f>IF(ISTEXT(VLOOKUP(CONCATENATE($A43,"_",Q$3),'Unit List'!$A$23:$H$3256,2,FALSE)),"X",$P43)</f>
        <v/>
      </c>
      <c r="R43" s="51" t="str">
        <f>IF(ISTEXT(VLOOKUP(CONCATENATE($A43,"_",R$3),'Unit List'!$A$23:$H$3256,2,FALSE)),"X",$P43)</f>
        <v/>
      </c>
      <c r="S43" s="67" t="str">
        <f>IF(ISTEXT(VLOOKUP(CONCATENATE($A43,"_",S$3),'Unit List'!$A$23:$H$3256,2,FALSE)),"X",$P43)</f>
        <v>X</v>
      </c>
      <c r="T43" s="52" t="str">
        <f>IF(ISTEXT(VLOOKUP(CONCATENATE($A43,"_",T$3),'Unit List'!$A$23:$H$3256,2,FALSE)),"X",$P43)</f>
        <v/>
      </c>
      <c r="U43" s="67" t="str">
        <f>IF(ISTEXT(VLOOKUP(CONCATENATE($A43,"_",U$3),'Unit List'!$A$23:$H$3256,2,FALSE)),"X",$P43)</f>
        <v>X</v>
      </c>
      <c r="V43" s="67" t="str">
        <f>IF(ISTEXT(VLOOKUP(CONCATENATE($A43,"_",V$3),'Unit List'!$A$23:$H$3256,2,FALSE)),"X",$P43)</f>
        <v>X</v>
      </c>
      <c r="W43" s="53" t="str">
        <f>IF(ISTEXT(VLOOKUP(CONCATENATE($A43,"_",W$3),'Unit List'!$A$23:$H$3256,2,FALSE)),"X",$P43)</f>
        <v/>
      </c>
      <c r="X43" s="172" t="str">
        <f>IF(ISTEXT(VLOOKUP(CONCATENATE($A43,"_",X$3),'Unit List'!$A$23:$H$3256,2,FALSE)),"+","")</f>
        <v/>
      </c>
      <c r="Y43" s="51" t="str">
        <f>IF(ISTEXT(VLOOKUP(CONCATENATE($A43,"_",Y$3),'Unit List'!$A$23:$H$3256,2,FALSE)),"X",$X43)</f>
        <v/>
      </c>
      <c r="Z43" s="51" t="str">
        <f>IF(ISTEXT(VLOOKUP(CONCATENATE($A43,"_",Z$3),'Unit List'!$A$23:$H$3256,2,FALSE)),"X",$X43)</f>
        <v/>
      </c>
      <c r="AA43" s="51" t="str">
        <f>IF(ISTEXT(VLOOKUP(CONCATENATE($A43,"_",AA$3),'Unit List'!$A$23:$H$3256,2,FALSE)),"X",$X43)</f>
        <v/>
      </c>
      <c r="AB43" s="51" t="str">
        <f>IF(ISTEXT(VLOOKUP(CONCATENATE($A43,"_",AB$3),'Unit List'!$A$23:$H$3256,2,FALSE)),"X",$X43)</f>
        <v/>
      </c>
      <c r="AC43" s="62" t="str">
        <f>IF(ISTEXT(VLOOKUP(CONCATENATE($A43,"_",AC$3),'Unit List'!$A$23:$H$3256,2,FALSE)),"X",$X43)</f>
        <v/>
      </c>
      <c r="AD43" s="172" t="str">
        <f>IF(ISTEXT(VLOOKUP(CONCATENATE($A43,"_",AD$3),'Unit List'!$A$23:$H$3256,2,FALSE)),"+","")</f>
        <v/>
      </c>
      <c r="AE43" s="51" t="str">
        <f>IF(ISTEXT(VLOOKUP(CONCATENATE($A43,"_",AE$3),'Unit List'!$A$23:$H$3256,2,FALSE)),"X",$AD43)</f>
        <v/>
      </c>
      <c r="AF43" s="51" t="str">
        <f>IF(ISTEXT(VLOOKUP(CONCATENATE($A43,"_",AF$3),'Unit List'!$A$23:$H$3256,2,FALSE)),"X",$AD43)</f>
        <v/>
      </c>
      <c r="AG43" s="172" t="str">
        <f>IF(ISTEXT(VLOOKUP(CONCATENATE($A43,"_",AG$3),'Unit List'!$A$23:$H$3256,2,FALSE)),"+","")</f>
        <v/>
      </c>
      <c r="AH43" s="51" t="str">
        <f>IF(ISTEXT(VLOOKUP(CONCATENATE($A43,"_",AH$3),'Unit List'!$A$23:$H$3256,2,FALSE)),"X",$AG43)</f>
        <v/>
      </c>
      <c r="AI43" s="51" t="str">
        <f>IF(ISTEXT(VLOOKUP(CONCATENATE($A43,"_",AI$3),'Unit List'!$A$23:$H$3256,2,FALSE)),"X",$AG43)</f>
        <v/>
      </c>
      <c r="AJ43" s="53" t="str">
        <f>IF(ISTEXT(VLOOKUP(CONCATENATE($A43,"_",AJ$3),'Unit List'!$A$23:$H$3256,2,FALSE)),"X",$AG43)</f>
        <v/>
      </c>
      <c r="AK43" s="172" t="str">
        <f>IF(ISTEXT(VLOOKUP(CONCATENATE($A43,"_",AK$3),'Unit List'!$A$23:$H$3256,2,FALSE)),"+","")</f>
        <v/>
      </c>
      <c r="AL43" s="87" t="str">
        <f>IF(ISTEXT(VLOOKUP(CONCATENATE($A43,"_",AL$3),'Unit List'!$A$23:$H$3256,2,FALSE)),"X",$AK43)</f>
        <v>X</v>
      </c>
      <c r="AM43" s="53" t="str">
        <f>IF(ISTEXT(VLOOKUP(CONCATENATE($A43,"_",AM$3),'Unit List'!$A$23:$H$3256,2,FALSE)),"X",$AK43)</f>
        <v/>
      </c>
      <c r="AN43" s="125" t="str">
        <f>IF(ISTEXT(VLOOKUP(CONCATENATE($A43,"_",AN$3),'Unit List'!$A$23:$H$3256,2,FALSE)),"+","")</f>
        <v>+</v>
      </c>
      <c r="AO43" s="53" t="str">
        <f>IF(ISTEXT(VLOOKUP(CONCATENATE($A43,"_",AO$3),'Unit List'!$A$23:$H$3256,2,FALSE)),"X",$AN43)</f>
        <v>+</v>
      </c>
      <c r="AP43" s="172" t="str">
        <f>IF(ISTEXT(VLOOKUP(CONCATENATE($A43,"_",AP$3),'Unit List'!$A$23:$H$3256,2,FALSE)),"+","")</f>
        <v>+</v>
      </c>
      <c r="AQ43" s="51" t="str">
        <f>IF(ISTEXT(VLOOKUP(CONCATENATE($A43,"_",AQ$3),'Unit List'!$A$23:$H$3256,2,FALSE)),"X",$AP43)</f>
        <v>X</v>
      </c>
      <c r="AR43" s="67" t="str">
        <f>IF(ISTEXT(VLOOKUP(CONCATENATE($A43,"_",AR$3),'Unit List'!$A$23:$H$3256,2,FALSE)),"X",$AP43)</f>
        <v>X</v>
      </c>
      <c r="AS43" s="51" t="str">
        <f>IF(ISTEXT(VLOOKUP(CONCATENATE($A43,"_",AS$3),'Unit List'!$A$23:$H$3256,2,FALSE)),"X",$AP43)</f>
        <v>+</v>
      </c>
      <c r="AT43" s="53" t="str">
        <f>IF(ISTEXT(VLOOKUP(CONCATENATE($A43,"_",AT$3),'Unit List'!$A$23:$H$3256,2,FALSE)),"X",$AP43)</f>
        <v>+</v>
      </c>
      <c r="AU43" s="124" t="str">
        <f>IF(ISTEXT(VLOOKUP(CONCATENATE($A43,"_",AU$3),'Unit List'!$A$23:$H$3256,2,FALSE)),"+","")</f>
        <v>+</v>
      </c>
      <c r="AV43" s="51" t="str">
        <f>IF(ISTEXT(VLOOKUP(CONCATENATE($A43,"_",AV$3),'Unit List'!$A$23:$H$3256,2,FALSE)),"X",$AU43)</f>
        <v>+</v>
      </c>
      <c r="AW43" s="53" t="str">
        <f>IF(ISTEXT(VLOOKUP(CONCATENATE($A43,"_",AW$3),'Unit List'!$A$23:$H$3256,2,FALSE)),"X",$AU43)</f>
        <v>+</v>
      </c>
      <c r="AX43" s="172" t="str">
        <f>IF(ISTEXT(VLOOKUP(CONCATENATE($A43,"_",AX$3),'Unit List'!$A$23:$H$3256,2,FALSE)),"+","")</f>
        <v>+</v>
      </c>
      <c r="AY43" s="51" t="str">
        <f>IF(ISTEXT(VLOOKUP(CONCATENATE($A43,"_",AY$3),'Unit List'!$A$23:$H$3256,2,FALSE)),"X",$AX43)</f>
        <v>+</v>
      </c>
      <c r="AZ43" s="53" t="str">
        <f>IF(ISTEXT(VLOOKUP(CONCATENATE($A43,"_",AZ$3),'Unit List'!$A$23:$H$3256,2,FALSE)),"X",$AX43)</f>
        <v>+</v>
      </c>
      <c r="BA43" s="182" t="str">
        <f>IF(ISTEXT(VLOOKUP(CONCATENATE($A43,"_",BA$3),'Unit List'!$A$23:$H$3256,2,FALSE)),"+","")</f>
        <v>+</v>
      </c>
      <c r="BB43" s="51" t="str">
        <f>IF(ISTEXT(VLOOKUP(CONCATENATE($A43,"_",BB$3),'Unit List'!$A$23:$H$3256,2,FALSE)),"X",$BA43)</f>
        <v>+</v>
      </c>
      <c r="BC43" s="51" t="str">
        <f>IF(ISTEXT(VLOOKUP(CONCATENATE($A43,"_",BC$3),'Unit List'!$A$23:$H$3256,2,FALSE)),"X",$BA43)</f>
        <v>+</v>
      </c>
      <c r="BD43" s="53" t="str">
        <f>IF(ISTEXT(VLOOKUP(CONCATENATE($A43,"_",BD$3),'Unit List'!$A$23:$H$3256,2,FALSE)),"X",$BA43)</f>
        <v>+</v>
      </c>
      <c r="BE43" s="125" t="str">
        <f>IF(ISTEXT(VLOOKUP(CONCATENATE($A43,"_",BE$3),'Unit List'!$A$23:$H$3256,2,FALSE)),"+","")</f>
        <v>+</v>
      </c>
      <c r="BF43" s="62" t="str">
        <f>IF(ISTEXT(VLOOKUP(CONCATENATE($A43,"_",BF$3),'Unit List'!$A$23:$H$3256,2,FALSE)),"X",$BE43)</f>
        <v>+</v>
      </c>
      <c r="BG43" s="75"/>
      <c r="BH43" s="84"/>
      <c r="BI43" s="225"/>
      <c r="BJ43" s="226"/>
      <c r="BK43" s="226"/>
      <c r="BL43" s="226"/>
      <c r="BM43" s="227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List'!$A$23:$H$3256,2,FALSE)),"+","")</f>
        <v/>
      </c>
      <c r="C44" s="82" t="str">
        <f>IF(ISTEXT(VLOOKUP(CONCATENATE($A44,"_",C$3),'Unit List'!$A$23:$H$3256,2,FALSE)),"X",$B44)</f>
        <v>X</v>
      </c>
      <c r="D44" s="60" t="str">
        <f>IF(ISTEXT(VLOOKUP(CONCATENATE($A44,"_",D$3),'Unit List'!$A$23:$H$3256,2,FALSE)),"X",$B44)</f>
        <v/>
      </c>
      <c r="E44" s="51" t="str">
        <f>IF(ISTEXT(VLOOKUP(CONCATENATE($A44,"_",E$3),'Unit List'!$A$23:$H$3256,2,FALSE)),"X",$B44)</f>
        <v/>
      </c>
      <c r="F44" s="67" t="str">
        <f>IF(ISTEXT(VLOOKUP(CONCATENATE($A44,"_",F$3),'Unit List'!$A$23:$H$3256,2,FALSE)),"X",$B44)</f>
        <v>X</v>
      </c>
      <c r="G44" s="67" t="str">
        <f>IF(ISTEXT(VLOOKUP(CONCATENATE($A44,"_",G$3),'Unit List'!$A$23:$H$3256,2,FALSE)),"X",$B44)</f>
        <v>X</v>
      </c>
      <c r="H44" s="67" t="str">
        <f>IF(ISTEXT(VLOOKUP(CONCATENATE($A44,"_",H$3),'Unit List'!$A$23:$H$3256,2,FALSE)),"X",$B44)</f>
        <v>X</v>
      </c>
      <c r="I44" s="53" t="str">
        <f>IF(ISTEXT(VLOOKUP(CONCATENATE($A44,"_",I$3),'Unit List'!$A$23:$H$3256,2,FALSE)),"X",$B44)</f>
        <v/>
      </c>
      <c r="J44" s="172" t="str">
        <f>IF(ISTEXT(VLOOKUP(CONCATENATE($A44,"_",J$3),'Unit List'!$A$23:$H$3256,2,FALSE)),"+","")</f>
        <v>+</v>
      </c>
      <c r="K44" s="103" t="str">
        <f>IF(ISTEXT(VLOOKUP(CONCATENATE($A44,"_",K$3),'Unit List'!$A$23:$H$3256,2,FALSE)),"X",$J44)</f>
        <v>+</v>
      </c>
      <c r="L44" s="104" t="str">
        <f>IF(ISTEXT(VLOOKUP(CONCATENATE($A44,"_",L$3),'Unit List'!$A$23:$H$3256,2,FALSE)),"X",$J44)</f>
        <v>+</v>
      </c>
      <c r="M44" s="172" t="str">
        <f>IF(ISTEXT(VLOOKUP(CONCATENATE($A44,"_",M$3),'Unit List'!$A$23:$H$3256,2,FALSE)),"+","")</f>
        <v>+</v>
      </c>
      <c r="N44" s="51" t="str">
        <f>IF(ISTEXT(VLOOKUP(CONCATENATE($A44,"_",N$3),'Unit List'!$A$23:$H$3256,2,FALSE)),"X",$M44)</f>
        <v>+</v>
      </c>
      <c r="O44" s="70" t="str">
        <f>IF(ISTEXT(VLOOKUP(CONCATENATE($A44,"_",O$3),'Unit List'!$A$23:$H$3256,2,FALSE)),"X",$M44)</f>
        <v>+</v>
      </c>
      <c r="P44" s="171" t="str">
        <f>IF(ISTEXT(VLOOKUP(CONCATENATE($A44,"_",P$3),'Unit List'!$A$23:$H$3256,2,FALSE)),"+","")</f>
        <v>+</v>
      </c>
      <c r="Q44" s="51" t="str">
        <f>IF(ISTEXT(VLOOKUP(CONCATENATE($A44,"_",Q$3),'Unit List'!$A$23:$H$3256,2,FALSE)),"X",$P44)</f>
        <v>+</v>
      </c>
      <c r="R44" s="51" t="str">
        <f>IF(ISTEXT(VLOOKUP(CONCATENATE($A44,"_",R$3),'Unit List'!$A$23:$H$3256,2,FALSE)),"X",$P44)</f>
        <v>+</v>
      </c>
      <c r="S44" s="67" t="str">
        <f>IF(ISTEXT(VLOOKUP(CONCATENATE($A44,"_",S$3),'Unit List'!$A$23:$H$3256,2,FALSE)),"X",$P44)</f>
        <v>X</v>
      </c>
      <c r="T44" s="52" t="str">
        <f>IF(ISTEXT(VLOOKUP(CONCATENATE($A44,"_",T$3),'Unit List'!$A$23:$H$3256,2,FALSE)),"X",$P44)</f>
        <v>+</v>
      </c>
      <c r="U44" s="67" t="str">
        <f>IF(ISTEXT(VLOOKUP(CONCATENATE($A44,"_",U$3),'Unit List'!$A$23:$H$3256,2,FALSE)),"X",$P44)</f>
        <v>X</v>
      </c>
      <c r="V44" s="67" t="str">
        <f>IF(ISTEXT(VLOOKUP(CONCATENATE($A44,"_",V$3),'Unit List'!$A$23:$H$3256,2,FALSE)),"X",$P44)</f>
        <v>X</v>
      </c>
      <c r="W44" s="53" t="str">
        <f>IF(ISTEXT(VLOOKUP(CONCATENATE($A44,"_",W$3),'Unit List'!$A$23:$H$3256,2,FALSE)),"X",$P44)</f>
        <v>+</v>
      </c>
      <c r="X44" s="171" t="str">
        <f>IF(ISTEXT(VLOOKUP(CONCATENATE($A44,"_",X$3),'Unit List'!$A$23:$H$3256,2,FALSE)),"+","")</f>
        <v>+</v>
      </c>
      <c r="Y44" s="67" t="str">
        <f>IF(ISTEXT(VLOOKUP(CONCATENATE($A44,"_",Y$3),'Unit List'!$A$23:$H$3256,2,FALSE)),"X",$X44)</f>
        <v>X</v>
      </c>
      <c r="Z44" s="51" t="str">
        <f>IF(ISTEXT(VLOOKUP(CONCATENATE($A44,"_",Z$3),'Unit List'!$A$23:$H$3256,2,FALSE)),"X",$X44)</f>
        <v>+</v>
      </c>
      <c r="AA44" s="67" t="str">
        <f>IF(ISTEXT(VLOOKUP(CONCATENATE($A44,"_",AA$3),'Unit List'!$A$23:$H$3256,2,FALSE)),"X",$X44)</f>
        <v>X</v>
      </c>
      <c r="AB44" s="67" t="str">
        <f>IF(ISTEXT(VLOOKUP(CONCATENATE($A44,"_",AB$3),'Unit List'!$A$23:$H$3256,2,FALSE)),"X",$X44)</f>
        <v>X</v>
      </c>
      <c r="AC44" s="86" t="str">
        <f>IF(ISTEXT(VLOOKUP(CONCATENATE($A44,"_",AC$3),'Unit List'!$A$23:$H$3256,2,FALSE)),"X",$X44)</f>
        <v>X</v>
      </c>
      <c r="AD44" s="171" t="str">
        <f>IF(ISTEXT(VLOOKUP(CONCATENATE($A44,"_",AD$3),'Unit List'!$A$23:$H$3256,2,FALSE)),"+","")</f>
        <v>+</v>
      </c>
      <c r="AE44" s="51" t="str">
        <f>IF(ISTEXT(VLOOKUP(CONCATENATE($A44,"_",AE$3),'Unit List'!$A$23:$H$3256,2,FALSE)),"X",$AD44)</f>
        <v>X</v>
      </c>
      <c r="AF44" s="51" t="str">
        <f>IF(ISTEXT(VLOOKUP(CONCATENATE($A44,"_",AF$3),'Unit List'!$A$23:$H$3256,2,FALSE)),"X",$AD44)</f>
        <v>+</v>
      </c>
      <c r="AG44" s="171" t="str">
        <f>IF(ISTEXT(VLOOKUP(CONCATENATE($A44,"_",AG$3),'Unit List'!$A$23:$H$3256,2,FALSE)),"+","")</f>
        <v>+</v>
      </c>
      <c r="AH44" s="67" t="str">
        <f>IF(ISTEXT(VLOOKUP(CONCATENATE($A44,"_",AH$3),'Unit List'!$A$23:$H$3256,2,FALSE)),"X",$AG44)</f>
        <v>+</v>
      </c>
      <c r="AI44" s="67" t="str">
        <f>IF(ISTEXT(VLOOKUP(CONCATENATE($A44,"_",AI$3),'Unit List'!$A$23:$H$3256,2,FALSE)),"X",$AG44)</f>
        <v>X</v>
      </c>
      <c r="AJ44" s="91" t="s">
        <v>0</v>
      </c>
      <c r="AK44" s="171" t="str">
        <f>IF(ISTEXT(VLOOKUP(CONCATENATE($A44,"_",AK$3),'Unit List'!$A$23:$H$3256,2,FALSE)),"+","")</f>
        <v>+</v>
      </c>
      <c r="AL44" s="52" t="str">
        <f>IF(ISTEXT(VLOOKUP(CONCATENATE($A44,"_",AL$3),'Unit List'!$A$23:$H$3256,2,FALSE)),"X",$AK44)</f>
        <v>+</v>
      </c>
      <c r="AM44" s="70" t="str">
        <f>IF(ISTEXT(VLOOKUP(CONCATENATE($A44,"_",AM$3),'Unit List'!$A$23:$H$3256,2,FALSE)),"X",$AK44)</f>
        <v>+</v>
      </c>
      <c r="AN44" s="125" t="str">
        <f>IF(ISTEXT(VLOOKUP(CONCATENATE($A44,"_",AN$3),'Unit List'!$A$23:$H$3256,2,FALSE)),"+","")</f>
        <v>+</v>
      </c>
      <c r="AO44" s="70" t="str">
        <f>IF(ISTEXT(VLOOKUP(CONCATENATE($A44,"_",AO$3),'Unit List'!$A$23:$H$3256,2,FALSE)),"X",$AN44)</f>
        <v>+</v>
      </c>
      <c r="AP44" s="171" t="str">
        <f>IF(ISTEXT(VLOOKUP(CONCATENATE($A44,"_",AP$3),'Unit List'!$A$23:$H$3256,2,FALSE)),"+","")</f>
        <v>+</v>
      </c>
      <c r="AQ44" s="67" t="str">
        <f>IF(ISTEXT(VLOOKUP(CONCATENATE($A44,"_",AQ$3),'Unit List'!$A$23:$H$3256,2,FALSE)),"X",$AP44)</f>
        <v>X</v>
      </c>
      <c r="AR44" s="67" t="str">
        <f>IF(ISTEXT(VLOOKUP(CONCATENATE($A44,"_",AR$3),'Unit List'!$A$23:$H$3256,2,FALSE)),"X",$AP44)</f>
        <v>X</v>
      </c>
      <c r="AS44" s="67" t="str">
        <f>IF(ISTEXT(VLOOKUP(CONCATENATE($A44,"_",AS$3),'Unit List'!$A$23:$H$3256,2,FALSE)),"X",$AP44)</f>
        <v>X</v>
      </c>
      <c r="AT44" s="70" t="str">
        <f>IF(ISTEXT(VLOOKUP(CONCATENATE($A44,"_",AT$3),'Unit List'!$A$23:$H$3256,2,FALSE)),"X",$AP44)</f>
        <v>X</v>
      </c>
      <c r="AU44" s="124" t="str">
        <f>IF(ISTEXT(VLOOKUP(CONCATENATE($A44,"_",AU$3),'Unit List'!$A$23:$H$3256,2,FALSE)),"+","")</f>
        <v>+</v>
      </c>
      <c r="AV44" s="51" t="str">
        <f>IF(ISTEXT(VLOOKUP(CONCATENATE($A44,"_",AV$3),'Unit List'!$A$23:$H$3256,2,FALSE)),"X",$AU44)</f>
        <v>+</v>
      </c>
      <c r="AW44" s="53" t="str">
        <f>IF(ISTEXT(VLOOKUP(CONCATENATE($A44,"_",AW$3),'Unit List'!$A$23:$H$3256,2,FALSE)),"X",$AU44)</f>
        <v>+</v>
      </c>
      <c r="AX44" s="171" t="str">
        <f>IF(ISTEXT(VLOOKUP(CONCATENATE($A44,"_",AX$3),'Unit List'!$A$23:$H$3256,2,FALSE)),"+","")</f>
        <v>+</v>
      </c>
      <c r="AY44" s="67" t="str">
        <f>IF(ISTEXT(VLOOKUP(CONCATENATE($A44,"_",AY$3),'Unit List'!$A$23:$H$3256,2,FALSE)),"X",$AX44)</f>
        <v>+</v>
      </c>
      <c r="AZ44" s="70" t="str">
        <f>IF(ISTEXT(VLOOKUP(CONCATENATE($A44,"_",AZ$3),'Unit List'!$A$23:$H$3256,2,FALSE)),"X",$AX44)</f>
        <v>+</v>
      </c>
      <c r="BA44" s="171" t="str">
        <f>IF(ISTEXT(VLOOKUP(CONCATENATE($A44,"_",BA$3),'Unit List'!$A$23:$H$3256,2,FALSE)),"+","")</f>
        <v>+</v>
      </c>
      <c r="BB44" s="67" t="str">
        <f>IF(ISTEXT(VLOOKUP(CONCATENATE($A44,"_",BB$3),'Unit List'!$A$23:$H$3256,2,FALSE)),"X",$BA44)</f>
        <v>X</v>
      </c>
      <c r="BC44" s="67" t="str">
        <f>IF(ISTEXT(VLOOKUP(CONCATENATE($A44,"_",BC$3),'Unit List'!$A$23:$H$3256,2,FALSE)),"X",$BA44)</f>
        <v>X</v>
      </c>
      <c r="BD44" s="70" t="str">
        <f>IF(ISTEXT(VLOOKUP(CONCATENATE($A44,"_",BD$3),'Unit List'!$A$23:$H$3256,2,FALSE)),"X",$BA44)</f>
        <v>X</v>
      </c>
      <c r="BE44" s="125" t="str">
        <f>IF(ISTEXT(VLOOKUP(CONCATENATE($A44,"_",BE$3),'Unit List'!$A$23:$H$3256,2,FALSE)),"+","")</f>
        <v>+</v>
      </c>
      <c r="BF44" s="62" t="str">
        <f>IF(ISTEXT(VLOOKUP(CONCATENATE($A44,"_",BF$3),'Unit List'!$A$23:$H$3256,2,FALSE)),"X",$BE44)</f>
        <v>+</v>
      </c>
      <c r="BG44" s="75"/>
      <c r="BH44" s="84"/>
      <c r="BI44" s="225" t="s">
        <v>1916</v>
      </c>
      <c r="BJ44" s="226"/>
      <c r="BK44" s="226"/>
      <c r="BL44" s="226"/>
      <c r="BM44" s="227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List'!$A$23:$H$3256,2,FALSE)),"+","")</f>
        <v/>
      </c>
      <c r="C45" s="82" t="str">
        <f>IF(ISTEXT(VLOOKUP(CONCATENATE($A45,"_",C$3),'Unit List'!$A$23:$H$3256,2,FALSE)),"X",$B45)</f>
        <v>X</v>
      </c>
      <c r="D45" s="67" t="str">
        <f>IF(ISTEXT(VLOOKUP(CONCATENATE($A45,"_",D$3),'Unit List'!$A$23:$H$3256,2,FALSE)),"X",$B45)</f>
        <v>X</v>
      </c>
      <c r="E45" s="67" t="str">
        <f>IF(ISTEXT(VLOOKUP(CONCATENATE($A45,"_",E$3),'Unit List'!$A$23:$H$3256,2,FALSE)),"X",$B45)</f>
        <v>X</v>
      </c>
      <c r="F45" s="67" t="str">
        <f>IF(ISTEXT(VLOOKUP(CONCATENATE($A45,"_",F$3),'Unit List'!$A$23:$H$3256,2,FALSE)),"X",$B45)</f>
        <v>X</v>
      </c>
      <c r="G45" s="67" t="str">
        <f>IF(ISTEXT(VLOOKUP(CONCATENATE($A45,"_",G$3),'Unit List'!$A$23:$H$3256,2,FALSE)),"X",$B45)</f>
        <v>X</v>
      </c>
      <c r="H45" s="67" t="str">
        <f>IF(ISTEXT(VLOOKUP(CONCATENATE($A45,"_",H$3),'Unit List'!$A$23:$H$3256,2,FALSE)),"X",$B45)</f>
        <v>X</v>
      </c>
      <c r="I45" s="70" t="str">
        <f>IF(ISTEXT(VLOOKUP(CONCATENATE($A45,"_",I$3),'Unit List'!$A$23:$H$3256,2,FALSE)),"X",$B45)</f>
        <v>X</v>
      </c>
      <c r="J45" s="172" t="str">
        <f>IF(ISTEXT(VLOOKUP(CONCATENATE($A45,"_",J$3),'Unit List'!$A$23:$H$3256,2,FALSE)),"+","")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List'!$A$23:$H$3256,2,FALSE)),"+","")</f>
        <v/>
      </c>
      <c r="N45" s="51" t="str">
        <f>IF(ISTEXT(VLOOKUP(CONCATENATE($A45,"_",N$3),'Unit List'!$A$23:$H$3256,2,FALSE)),"X",$M45)</f>
        <v/>
      </c>
      <c r="O45" s="70" t="str">
        <f>IF(ISTEXT(VLOOKUP(CONCATENATE($A45,"_",O$3),'Unit List'!$A$23:$H$3256,2,FALSE)),"X",$M45)</f>
        <v>X</v>
      </c>
      <c r="P45" s="172" t="str">
        <f>IF(ISTEXT(VLOOKUP(CONCATENATE($A45,"_",P$3),'Unit List'!$A$23:$H$3256,2,FALSE)),"+","")</f>
        <v/>
      </c>
      <c r="Q45" s="51" t="str">
        <f>IF(ISTEXT(VLOOKUP(CONCATENATE($A45,"_",Q$3),'Unit List'!$A$23:$H$3256,2,FALSE)),"X",$P45)</f>
        <v/>
      </c>
      <c r="R45" s="51" t="str">
        <f>IF(ISTEXT(VLOOKUP(CONCATENATE($A45,"_",R$3),'Unit List'!$A$23:$H$3256,2,FALSE)),"X",$P45)</f>
        <v/>
      </c>
      <c r="S45" s="67" t="str">
        <f>IF(ISTEXT(VLOOKUP(CONCATENATE($A45,"_",S$3),'Unit List'!$A$23:$H$3256,2,FALSE)),"X",$P45)</f>
        <v>X</v>
      </c>
      <c r="T45" s="52" t="str">
        <f>IF(ISTEXT(VLOOKUP(CONCATENATE($A45,"_",T$3),'Unit List'!$A$23:$H$3256,2,FALSE)),"X",$P45)</f>
        <v/>
      </c>
      <c r="U45" s="51" t="str">
        <f>IF(ISTEXT(VLOOKUP(CONCATENATE($A45,"_",U$3),'Unit List'!$A$23:$H$3256,2,FALSE)),"X",$P45)</f>
        <v/>
      </c>
      <c r="V45" s="67" t="str">
        <f>IF(ISTEXT(VLOOKUP(CONCATENATE($A45,"_",V$3),'Unit List'!$A$23:$H$3256,2,FALSE)),"X",$P45)</f>
        <v>X</v>
      </c>
      <c r="W45" s="53" t="str">
        <f>IF(ISTEXT(VLOOKUP(CONCATENATE($A45,"_",W$3),'Unit List'!$A$23:$H$3256,2,FALSE)),"X",$P45)</f>
        <v/>
      </c>
      <c r="X45" s="171" t="str">
        <f>IF(ISTEXT(VLOOKUP(CONCATENATE($A45,"_",X$3),'Unit List'!$A$23:$H$3256,2,FALSE)),"+","")</f>
        <v>+</v>
      </c>
      <c r="Y45" s="67" t="str">
        <f>IF(ISTEXT(VLOOKUP(CONCATENATE($A45,"_",Y$3),'Unit List'!$A$23:$H$3256,2,FALSE)),"X",$X45)</f>
        <v>X</v>
      </c>
      <c r="Z45" s="51" t="str">
        <f>IF(ISTEXT(VLOOKUP(CONCATENATE($A45,"_",Z$3),'Unit List'!$A$23:$H$3256,2,FALSE)),"X",$X45)</f>
        <v>+</v>
      </c>
      <c r="AA45" s="67" t="str">
        <f>IF(ISTEXT(VLOOKUP(CONCATENATE($A45,"_",AA$3),'Unit List'!$A$23:$H$3256,2,FALSE)),"X",$X45)</f>
        <v>X</v>
      </c>
      <c r="AB45" s="67" t="str">
        <f>IF(ISTEXT(VLOOKUP(CONCATENATE($A45,"_",AB$3),'Unit List'!$A$23:$H$3256,2,FALSE)),"X",$X45)</f>
        <v>X</v>
      </c>
      <c r="AC45" s="86" t="str">
        <f>IF(ISTEXT(VLOOKUP(CONCATENATE($A45,"_",AC$3),'Unit List'!$A$23:$H$3256,2,FALSE)),"X",$X45)</f>
        <v>X</v>
      </c>
      <c r="AD45" s="172" t="str">
        <f>IF(ISTEXT(VLOOKUP(CONCATENATE($A45,"_",AD$3),'Unit List'!$A$23:$H$3256,2,FALSE)),"+","")</f>
        <v>+</v>
      </c>
      <c r="AE45" s="51" t="str">
        <f>IF(ISTEXT(VLOOKUP(CONCATENATE($A45,"_",AE$3),'Unit List'!$A$23:$H$3256,2,FALSE)),"X",$AD45)</f>
        <v>+</v>
      </c>
      <c r="AF45" s="51" t="str">
        <f>IF(ISTEXT(VLOOKUP(CONCATENATE($A45,"_",AF$3),'Unit List'!$A$23:$H$3256,2,FALSE)),"X",$AD45)</f>
        <v>+</v>
      </c>
      <c r="AG45" s="172" t="str">
        <f>IF(ISTEXT(VLOOKUP(CONCATENATE($A45,"_",AG$3),'Unit List'!$A$23:$H$3256,2,FALSE)),"+","")</f>
        <v>+</v>
      </c>
      <c r="AH45" s="89" t="s">
        <v>0</v>
      </c>
      <c r="AI45" s="51" t="str">
        <f>IF(ISTEXT(VLOOKUP(CONCATENATE($A45,"_",AI$3),'Unit List'!$A$23:$H$3256,2,FALSE)),"X",$AG45)</f>
        <v>+</v>
      </c>
      <c r="AJ45" s="53" t="str">
        <f>IF(ISTEXT(VLOOKUP(CONCATENATE($A45,"_",AJ$3),'Unit List'!$A$23:$H$3256,2,FALSE)),"X",$AG45)</f>
        <v>+</v>
      </c>
      <c r="AK45" s="171" t="str">
        <f>IF(ISTEXT(VLOOKUP(CONCATENATE($A45,"_",AK$3),'Unit List'!$A$23:$H$3256,2,FALSE)),"+","")</f>
        <v>+</v>
      </c>
      <c r="AL45" s="52" t="str">
        <f>IF(ISTEXT(VLOOKUP(CONCATENATE($A45,"_",AL$3),'Unit List'!$A$23:$H$3256,2,FALSE)),"X",$AK45)</f>
        <v>X</v>
      </c>
      <c r="AM45" s="70" t="str">
        <f>IF(ISTEXT(VLOOKUP(CONCATENATE($A45,"_",AM$3),'Unit List'!$A$23:$H$3256,2,FALSE)),"X",$AK45)</f>
        <v>+</v>
      </c>
      <c r="AN45" s="125" t="str">
        <f>IF(ISTEXT(VLOOKUP(CONCATENATE($A45,"_",AN$3),'Unit List'!$A$23:$H$3256,2,FALSE)),"+","")</f>
        <v>+</v>
      </c>
      <c r="AO45" s="70" t="str">
        <f>IF(ISTEXT(VLOOKUP(CONCATENATE($A45,"_",AO$3),'Unit List'!$A$23:$H$3256,2,FALSE)),"X",$AN45)</f>
        <v>X</v>
      </c>
      <c r="AP45" s="171" t="str">
        <f>IF(ISTEXT(VLOOKUP(CONCATENATE($A45,"_",AP$3),'Unit List'!$A$23:$H$3256,2,FALSE)),"+","")</f>
        <v>+</v>
      </c>
      <c r="AQ45" s="67" t="str">
        <f>IF(ISTEXT(VLOOKUP(CONCATENATE($A45,"_",AQ$3),'Unit List'!$A$23:$H$3256,2,FALSE)),"X",$AP45)</f>
        <v>X</v>
      </c>
      <c r="AR45" s="67" t="str">
        <f>IF(ISTEXT(VLOOKUP(CONCATENATE($A45,"_",AR$3),'Unit List'!$A$23:$H$3256,2,FALSE)),"X",$AP45)</f>
        <v>X</v>
      </c>
      <c r="AS45" s="51" t="str">
        <f>IF(ISTEXT(VLOOKUP(CONCATENATE($A45,"_",AS$3),'Unit List'!$A$23:$H$3256,2,FALSE)),"X",$AP45)</f>
        <v>+</v>
      </c>
      <c r="AT45" s="70" t="str">
        <f>IF(ISTEXT(VLOOKUP(CONCATENATE($A45,"_",AT$3),'Unit List'!$A$23:$H$3256,2,FALSE)),"X",$AP45)</f>
        <v>+</v>
      </c>
      <c r="AU45" s="124" t="str">
        <f>IF(ISTEXT(VLOOKUP(CONCATENATE($A45,"_",AU$3),'Unit List'!$A$23:$H$3256,2,FALSE)),"+","")</f>
        <v>+</v>
      </c>
      <c r="AV45" s="51" t="str">
        <f>IF(ISTEXT(VLOOKUP(CONCATENATE($A45,"_",AV$3),'Unit List'!$A$23:$H$3256,2,FALSE)),"X",$AU45)</f>
        <v>+</v>
      </c>
      <c r="AW45" s="70" t="str">
        <f>IF(ISTEXT(VLOOKUP(CONCATENATE($A45,"_",AW$3),'Unit List'!$A$23:$H$3256,2,FALSE)),"X",$AU45)</f>
        <v>+</v>
      </c>
      <c r="AX45" s="171" t="str">
        <f>IF(ISTEXT(VLOOKUP(CONCATENATE($A45,"_",AX$3),'Unit List'!$A$23:$H$3256,2,FALSE)),"+","")</f>
        <v>+</v>
      </c>
      <c r="AY45" s="67" t="str">
        <f>IF(ISTEXT(VLOOKUP(CONCATENATE($A45,"_",AY$3),'Unit List'!$A$23:$H$3256,2,FALSE)),"X",$AX45)</f>
        <v>X</v>
      </c>
      <c r="AZ45" s="70" t="str">
        <f>IF(ISTEXT(VLOOKUP(CONCATENATE($A45,"_",AZ$3),'Unit List'!$A$23:$H$3256,2,FALSE)),"X",$AX45)</f>
        <v>+</v>
      </c>
      <c r="BA45" s="171" t="str">
        <f>IF(ISTEXT(VLOOKUP(CONCATENATE($A45,"_",BA$3),'Unit List'!$A$23:$H$3256,2,FALSE)),"+","")</f>
        <v>+</v>
      </c>
      <c r="BB45" s="67" t="str">
        <f>IF(ISTEXT(VLOOKUP(CONCATENATE($A45,"_",BB$3),'Unit List'!$A$23:$H$3256,2,FALSE)),"X",$BA45)</f>
        <v>X</v>
      </c>
      <c r="BC45" s="51" t="str">
        <f>IF(ISTEXT(VLOOKUP(CONCATENATE($A45,"_",BC$3),'Unit List'!$A$23:$H$3256,2,FALSE)),"X",$BA45)</f>
        <v>X</v>
      </c>
      <c r="BD45" s="53" t="str">
        <f>IF(ISTEXT(VLOOKUP(CONCATENATE($A45,"_",BD$3),'Unit List'!$A$23:$H$3256,2,FALSE)),"X",$BA45)</f>
        <v>X</v>
      </c>
      <c r="BE45" s="125" t="str">
        <f>IF(ISTEXT(VLOOKUP(CONCATENATE($A45,"_",BE$3),'Unit List'!$A$23:$H$3256,2,FALSE)),"+","")</f>
        <v>+</v>
      </c>
      <c r="BF45" s="62" t="str">
        <f>IF(ISTEXT(VLOOKUP(CONCATENATE($A45,"_",BF$3),'Unit List'!$A$23:$H$3256,2,FALSE)),"X",$BE45)</f>
        <v>+</v>
      </c>
      <c r="BG45" s="75"/>
      <c r="BH45" s="84"/>
      <c r="BI45" s="225"/>
      <c r="BJ45" s="226"/>
      <c r="BK45" s="226"/>
      <c r="BL45" s="226"/>
      <c r="BM45" s="227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List'!$A$23:$H$3256,2,FALSE)),"+","")</f>
        <v/>
      </c>
      <c r="C46" s="57" t="str">
        <f>IF(ISTEXT(VLOOKUP(CONCATENATE($A46,"_",C$3),'Unit List'!$A$23:$H$3256,2,FALSE)),"X",$B46)</f>
        <v/>
      </c>
      <c r="D46" s="51" t="str">
        <f>IF(ISTEXT(VLOOKUP(CONCATENATE($A46,"_",D$3),'Unit List'!$A$23:$H$3256,2,FALSE)),"X",$B46)</f>
        <v/>
      </c>
      <c r="E46" s="51" t="str">
        <f>IF(ISTEXT(VLOOKUP(CONCATENATE($A46,"_",E$3),'Unit List'!$A$23:$H$3256,2,FALSE)),"X",$B46)</f>
        <v/>
      </c>
      <c r="F46" s="51" t="str">
        <f>IF(ISTEXT(VLOOKUP(CONCATENATE($A46,"_",F$3),'Unit List'!$A$23:$H$3256,2,FALSE)),"X",$B46)</f>
        <v/>
      </c>
      <c r="G46" s="51" t="str">
        <f>IF(ISTEXT(VLOOKUP(CONCATENATE($A46,"_",G$3),'Unit List'!$A$23:$H$3256,2,FALSE)),"X",$B46)</f>
        <v/>
      </c>
      <c r="H46" s="51" t="str">
        <f>IF(ISTEXT(VLOOKUP(CONCATENATE($A46,"_",H$3),'Unit List'!$A$23:$H$3256,2,FALSE)),"X",$B46)</f>
        <v/>
      </c>
      <c r="I46" s="53" t="str">
        <f>IF(ISTEXT(VLOOKUP(CONCATENATE($A46,"_",I$3),'Unit List'!$A$23:$H$3256,2,FALSE)),"X",$B46)</f>
        <v/>
      </c>
      <c r="J46" s="172" t="str">
        <f>IF(ISTEXT(VLOOKUP(CONCATENATE($A46,"_",J$3),'Unit List'!$A$23:$H$3256,2,FALSE)),"+","")</f>
        <v/>
      </c>
      <c r="K46" s="51" t="str">
        <f>IF(ISTEXT(VLOOKUP(CONCATENATE($A46,"_",K$3),'Unit List'!$A$23:$H$3256,2,FALSE)),"X",$J46)</f>
        <v/>
      </c>
      <c r="L46" s="62" t="str">
        <f>IF(ISTEXT(VLOOKUP(CONCATENATE($A46,"_",L$3),'Unit List'!$A$23:$H$3256,2,FALSE)),"X",$J46)</f>
        <v/>
      </c>
      <c r="M46" s="172" t="str">
        <f>IF(ISTEXT(VLOOKUP(CONCATENATE($A46,"_",M$3),'Unit List'!$A$23:$H$3256,2,FALSE)),"+","")</f>
        <v/>
      </c>
      <c r="N46" s="51" t="str">
        <f>IF(ISTEXT(VLOOKUP(CONCATENATE($A46,"_",N$3),'Unit List'!$A$23:$H$3256,2,FALSE)),"X",$M46)</f>
        <v/>
      </c>
      <c r="O46" s="53" t="str">
        <f>IF(ISTEXT(VLOOKUP(CONCATENATE($A46,"_",O$3),'Unit List'!$A$23:$H$3256,2,FALSE)),"X",$M46)</f>
        <v/>
      </c>
      <c r="P46" s="172" t="str">
        <f>IF(ISTEXT(VLOOKUP(CONCATENATE($A46,"_",P$3),'Unit List'!$A$23:$H$3256,2,FALSE)),"+","")</f>
        <v/>
      </c>
      <c r="Q46" s="51" t="str">
        <f>IF(ISTEXT(VLOOKUP(CONCATENATE($A46,"_",Q$3),'Unit List'!$A$23:$H$3256,2,FALSE)),"X",$P46)</f>
        <v/>
      </c>
      <c r="R46" s="51" t="str">
        <f>IF(ISTEXT(VLOOKUP(CONCATENATE($A46,"_",R$3),'Unit List'!$A$23:$H$3256,2,FALSE)),"X",$P46)</f>
        <v/>
      </c>
      <c r="S46" s="51" t="str">
        <f>IF(ISTEXT(VLOOKUP(CONCATENATE($A46,"_",S$3),'Unit List'!$A$23:$H$3256,2,FALSE)),"X",$P46)</f>
        <v/>
      </c>
      <c r="T46" s="52" t="str">
        <f>IF(ISTEXT(VLOOKUP(CONCATENATE($A46,"_",T$3),'Unit List'!$A$23:$H$3256,2,FALSE)),"X",$P46)</f>
        <v/>
      </c>
      <c r="U46" s="51" t="str">
        <f>IF(ISTEXT(VLOOKUP(CONCATENATE($A46,"_",U$3),'Unit List'!$A$23:$H$3256,2,FALSE)),"X",$P46)</f>
        <v/>
      </c>
      <c r="V46" s="51" t="str">
        <f>IF(ISTEXT(VLOOKUP(CONCATENATE($A46,"_",V$3),'Unit List'!$A$23:$H$3256,2,FALSE)),"X",$P46)</f>
        <v/>
      </c>
      <c r="W46" s="53" t="str">
        <f>IF(ISTEXT(VLOOKUP(CONCATENATE($A46,"_",W$3),'Unit List'!$A$23:$H$3256,2,FALSE)),"X",$P46)</f>
        <v/>
      </c>
      <c r="X46" s="172" t="str">
        <f>IF(ISTEXT(VLOOKUP(CONCATENATE($A46,"_",X$3),'Unit List'!$A$23:$H$3256,2,FALSE)),"+","")</f>
        <v/>
      </c>
      <c r="Y46" s="51" t="str">
        <f>IF(ISTEXT(VLOOKUP(CONCATENATE($A46,"_",Y$3),'Unit List'!$A$23:$H$3256,2,FALSE)),"X",$X46)</f>
        <v/>
      </c>
      <c r="Z46" s="51" t="str">
        <f>IF(ISTEXT(VLOOKUP(CONCATENATE($A46,"_",Z$3),'Unit List'!$A$23:$H$3256,2,FALSE)),"X",$X46)</f>
        <v/>
      </c>
      <c r="AA46" s="51" t="str">
        <f>IF(ISTEXT(VLOOKUP(CONCATENATE($A46,"_",AA$3),'Unit List'!$A$23:$H$3256,2,FALSE)),"X",$X46)</f>
        <v/>
      </c>
      <c r="AB46" s="51" t="str">
        <f>IF(ISTEXT(VLOOKUP(CONCATENATE($A46,"_",AB$3),'Unit List'!$A$23:$H$3256,2,FALSE)),"X",$X46)</f>
        <v/>
      </c>
      <c r="AC46" s="62" t="str">
        <f>IF(ISTEXT(VLOOKUP(CONCATENATE($A46,"_",AC$3),'Unit List'!$A$23:$H$3256,2,FALSE)),"X",$X46)</f>
        <v/>
      </c>
      <c r="AD46" s="172" t="str">
        <f>IF(ISTEXT(VLOOKUP(CONCATENATE($A46,"_",AD$3),'Unit List'!$A$23:$H$3256,2,FALSE)),"+","")</f>
        <v/>
      </c>
      <c r="AE46" s="51" t="str">
        <f>IF(ISTEXT(VLOOKUP(CONCATENATE($A46,"_",AE$3),'Unit List'!$A$23:$H$3256,2,FALSE)),"X",$AD46)</f>
        <v/>
      </c>
      <c r="AF46" s="51" t="str">
        <f>IF(ISTEXT(VLOOKUP(CONCATENATE($A46,"_",AF$3),'Unit List'!$A$23:$H$3256,2,FALSE)),"X",$AD46)</f>
        <v/>
      </c>
      <c r="AG46" s="172" t="str">
        <f>IF(ISTEXT(VLOOKUP(CONCATENATE($A46,"_",AG$3),'Unit List'!$A$23:$H$3256,2,FALSE)),"+","")</f>
        <v/>
      </c>
      <c r="AH46" s="51" t="str">
        <f>IF(ISTEXT(VLOOKUP(CONCATENATE($A46,"_",AH$3),'Unit List'!$A$23:$H$3256,2,FALSE)),"X",$AG46)</f>
        <v/>
      </c>
      <c r="AI46" s="51" t="str">
        <f>IF(ISTEXT(VLOOKUP(CONCATENATE($A46,"_",AI$3),'Unit List'!$A$23:$H$3256,2,FALSE)),"X",$AG46)</f>
        <v/>
      </c>
      <c r="AJ46" s="53" t="str">
        <f>IF(ISTEXT(VLOOKUP(CONCATENATE($A46,"_",AJ$3),'Unit List'!$A$23:$H$3256,2,FALSE)),"X",$AG46)</f>
        <v/>
      </c>
      <c r="AK46" s="172" t="str">
        <f>IF(ISTEXT(VLOOKUP(CONCATENATE($A46,"_",AK$3),'Unit List'!$A$23:$H$3256,2,FALSE)),"+","")</f>
        <v/>
      </c>
      <c r="AL46" s="52" t="str">
        <f>IF(ISTEXT(VLOOKUP(CONCATENATE($A46,"_",AL$3),'Unit List'!$A$23:$H$3256,2,FALSE)),"X",$AK46)</f>
        <v/>
      </c>
      <c r="AM46" s="53" t="str">
        <f>IF(ISTEXT(VLOOKUP(CONCATENATE($A46,"_",AM$3),'Unit List'!$A$23:$H$3256,2,FALSE)),"X",$AK46)</f>
        <v/>
      </c>
      <c r="AN46" s="125" t="str">
        <f>IF(ISTEXT(VLOOKUP(CONCATENATE($A46,"_",AN$3),'Unit List'!$A$23:$H$3256,2,FALSE)),"+","")</f>
        <v/>
      </c>
      <c r="AO46" s="53" t="str">
        <f>IF(ISTEXT(VLOOKUP(CONCATENATE($A46,"_",AO$3),'Unit List'!$A$23:$H$3256,2,FALSE)),"X",$AN46)</f>
        <v/>
      </c>
      <c r="AP46" s="172" t="str">
        <f>IF(ISTEXT(VLOOKUP(CONCATENATE($A46,"_",AP$3),'Unit List'!$A$23:$H$3256,2,FALSE)),"+","")</f>
        <v/>
      </c>
      <c r="AQ46" s="51" t="str">
        <f>IF(ISTEXT(VLOOKUP(CONCATENATE($A46,"_",AQ$3),'Unit List'!$A$23:$H$3256,2,FALSE)),"X",$AP46)</f>
        <v/>
      </c>
      <c r="AR46" s="51" t="str">
        <f>IF(ISTEXT(VLOOKUP(CONCATENATE($A46,"_",AR$3),'Unit List'!$A$23:$H$3256,2,FALSE)),"X",$AP46)</f>
        <v/>
      </c>
      <c r="AS46" s="51" t="str">
        <f>IF(ISTEXT(VLOOKUP(CONCATENATE($A46,"_",AS$3),'Unit List'!$A$23:$H$3256,2,FALSE)),"X",$AP46)</f>
        <v/>
      </c>
      <c r="AT46" s="53" t="str">
        <f>IF(ISTEXT(VLOOKUP(CONCATENATE($A46,"_",AT$3),'Unit List'!$A$23:$H$3256,2,FALSE)),"X",$AP46)</f>
        <v/>
      </c>
      <c r="AU46" s="124" t="str">
        <f>IF(ISTEXT(VLOOKUP(CONCATENATE($A46,"_",AU$3),'Unit List'!$A$23:$H$3256,2,FALSE)),"+","")</f>
        <v/>
      </c>
      <c r="AV46" s="51" t="str">
        <f>IF(ISTEXT(VLOOKUP(CONCATENATE($A46,"_",AV$3),'Unit List'!$A$23:$H$3256,2,FALSE)),"X",$AU46)</f>
        <v/>
      </c>
      <c r="AW46" s="53" t="str">
        <f>IF(ISTEXT(VLOOKUP(CONCATENATE($A46,"_",AW$3),'Unit List'!$A$23:$H$3256,2,FALSE)),"X",$AU46)</f>
        <v/>
      </c>
      <c r="AX46" s="172" t="str">
        <f>IF(ISTEXT(VLOOKUP(CONCATENATE($A46,"_",AX$3),'Unit List'!$A$23:$H$3256,2,FALSE)),"+","")</f>
        <v/>
      </c>
      <c r="AY46" s="51" t="str">
        <f>IF(ISTEXT(VLOOKUP(CONCATENATE($A46,"_",AY$3),'Unit List'!$A$23:$H$3256,2,FALSE)),"X",$AX46)</f>
        <v/>
      </c>
      <c r="AZ46" s="53" t="str">
        <f>IF(ISTEXT(VLOOKUP(CONCATENATE($A46,"_",AZ$3),'Unit List'!$A$23:$H$3256,2,FALSE)),"X",$AX46)</f>
        <v/>
      </c>
      <c r="BA46" s="182" t="str">
        <f>IF(ISTEXT(VLOOKUP(CONCATENATE($A46,"_",BA$3),'Unit List'!$A$23:$H$3256,2,FALSE)),"+","")</f>
        <v/>
      </c>
      <c r="BB46" s="51" t="str">
        <f>IF(ISTEXT(VLOOKUP(CONCATENATE($A46,"_",BB$3),'Unit List'!$A$23:$H$3256,2,FALSE)),"X",$BA46)</f>
        <v/>
      </c>
      <c r="BC46" s="51" t="str">
        <f>IF(ISTEXT(VLOOKUP(CONCATENATE($A46,"_",BC$3),'Unit List'!$A$23:$H$3256,2,FALSE)),"X",$BA46)</f>
        <v/>
      </c>
      <c r="BD46" s="53" t="str">
        <f>IF(ISTEXT(VLOOKUP(CONCATENATE($A46,"_",BD$3),'Unit List'!$A$23:$H$3256,2,FALSE)),"X",$BA46)</f>
        <v/>
      </c>
      <c r="BE46" s="125" t="str">
        <f>IF(ISTEXT(VLOOKUP(CONCATENATE($A46,"_",BE$3),'Unit List'!$A$23:$H$3256,2,FALSE)),"+","")</f>
        <v/>
      </c>
      <c r="BF46" s="62" t="str">
        <f>IF(ISTEXT(VLOOKUP(CONCATENATE($A46,"_",BF$3),'Unit List'!$A$23:$H$3256,2,FALSE)),"X",$BE46)</f>
        <v/>
      </c>
      <c r="BG46" s="64"/>
      <c r="BH46" s="65" t="s">
        <v>0</v>
      </c>
      <c r="BI46" s="225"/>
      <c r="BJ46" s="226"/>
      <c r="BK46" s="226"/>
      <c r="BL46" s="226"/>
      <c r="BM46" s="227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List'!$A$23:$H$3256,2,FALSE)),"+","")</f>
        <v/>
      </c>
      <c r="C47" s="57" t="str">
        <f>IF(ISTEXT(VLOOKUP(CONCATENATE($A47,"_",C$3),'Unit List'!$A$23:$H$3256,2,FALSE)),"X",$B47)</f>
        <v/>
      </c>
      <c r="D47" s="51" t="str">
        <f>IF(ISTEXT(VLOOKUP(CONCATENATE($A47,"_",D$3),'Unit List'!$A$23:$H$3256,2,FALSE)),"X",$B47)</f>
        <v/>
      </c>
      <c r="E47" s="51" t="str">
        <f>IF(ISTEXT(VLOOKUP(CONCATENATE($A47,"_",E$3),'Unit List'!$A$23:$H$3256,2,FALSE)),"X",$B47)</f>
        <v>X</v>
      </c>
      <c r="F47" s="51" t="str">
        <f>IF(ISTEXT(VLOOKUP(CONCATENATE($A47,"_",F$3),'Unit List'!$A$23:$H$3256,2,FALSE)),"X",$B47)</f>
        <v>X</v>
      </c>
      <c r="G47" s="51" t="str">
        <f>IF(ISTEXT(VLOOKUP(CONCATENATE($A47,"_",G$3),'Unit List'!$A$23:$H$3256,2,FALSE)),"X",$B47)</f>
        <v>X</v>
      </c>
      <c r="H47" s="51" t="str">
        <f>IF(ISTEXT(VLOOKUP(CONCATENATE($A47,"_",H$3),'Unit List'!$A$23:$H$3256,2,FALSE)),"X",$B47)</f>
        <v/>
      </c>
      <c r="I47" s="53" t="str">
        <f>IF(ISTEXT(VLOOKUP(CONCATENATE($A47,"_",I$3),'Unit List'!$A$23:$H$3256,2,FALSE)),"X",$B47)</f>
        <v>X</v>
      </c>
      <c r="J47" s="172" t="str">
        <f>IF(ISTEXT(VLOOKUP(CONCATENATE($A47,"_",J$3),'Unit List'!$A$23:$H$3256,2,FALSE)),"+","")</f>
        <v>+</v>
      </c>
      <c r="K47" s="51" t="str">
        <f>IF(ISTEXT(VLOOKUP(CONCATENATE($A47,"_",K$3),'Unit List'!$A$23:$H$3256,2,FALSE)),"X",$J47)</f>
        <v>+</v>
      </c>
      <c r="L47" s="62" t="str">
        <f>IF(ISTEXT(VLOOKUP(CONCATENATE($A47,"_",L$3),'Unit List'!$A$23:$H$3256,2,FALSE)),"X",$J47)</f>
        <v>+</v>
      </c>
      <c r="M47" s="172" t="str">
        <f>IF(ISTEXT(VLOOKUP(CONCATENATE($A47,"_",M$3),'Unit List'!$A$23:$H$3256,2,FALSE)),"+","")</f>
        <v/>
      </c>
      <c r="N47" s="51" t="str">
        <f>IF(ISTEXT(VLOOKUP(CONCATENATE($A47,"_",N$3),'Unit List'!$A$23:$H$3256,2,FALSE)),"X",$M47)</f>
        <v/>
      </c>
      <c r="O47" s="53" t="str">
        <f>IF(ISTEXT(VLOOKUP(CONCATENATE($A47,"_",O$3),'Unit List'!$A$23:$H$3256,2,FALSE)),"X",$M47)</f>
        <v/>
      </c>
      <c r="P47" s="172" t="str">
        <f>IF(ISTEXT(VLOOKUP(CONCATENATE($A47,"_",P$3),'Unit List'!$A$23:$H$3256,2,FALSE)),"+","")</f>
        <v>+</v>
      </c>
      <c r="Q47" s="51" t="str">
        <f>IF(ISTEXT(VLOOKUP(CONCATENATE($A47,"_",Q$3),'Unit List'!$A$23:$H$3256,2,FALSE)),"X",$P47)</f>
        <v>+</v>
      </c>
      <c r="R47" s="51" t="str">
        <f>IF(ISTEXT(VLOOKUP(CONCATENATE($A47,"_",R$3),'Unit List'!$A$23:$H$3256,2,FALSE)),"X",$P47)</f>
        <v>+</v>
      </c>
      <c r="S47" s="51" t="str">
        <f>IF(ISTEXT(VLOOKUP(CONCATENATE($A47,"_",S$3),'Unit List'!$A$23:$H$3256,2,FALSE)),"X",$P47)</f>
        <v>+</v>
      </c>
      <c r="T47" s="52" t="str">
        <f>IF(ISTEXT(VLOOKUP(CONCATENATE($A47,"_",T$3),'Unit List'!$A$23:$H$3256,2,FALSE)),"X",$P47)</f>
        <v>+</v>
      </c>
      <c r="U47" s="51" t="str">
        <f>IF(ISTEXT(VLOOKUP(CONCATENATE($A47,"_",U$3),'Unit List'!$A$23:$H$3256,2,FALSE)),"X",$P47)</f>
        <v>+</v>
      </c>
      <c r="V47" s="51" t="str">
        <f>IF(ISTEXT(VLOOKUP(CONCATENATE($A47,"_",V$3),'Unit List'!$A$23:$H$3256,2,FALSE)),"X",$P47)</f>
        <v>+</v>
      </c>
      <c r="W47" s="53" t="str">
        <f>IF(ISTEXT(VLOOKUP(CONCATENATE($A47,"_",W$3),'Unit List'!$A$23:$H$3256,2,FALSE)),"X",$P47)</f>
        <v>+</v>
      </c>
      <c r="X47" s="172" t="str">
        <f>IF(ISTEXT(VLOOKUP(CONCATENATE($A47,"_",X$3),'Unit List'!$A$23:$H$3256,2,FALSE)),"+","")</f>
        <v>+</v>
      </c>
      <c r="Y47" s="51" t="str">
        <f>IF(ISTEXT(VLOOKUP(CONCATENATE($A47,"_",Y$3),'Unit List'!$A$23:$H$3256,2,FALSE)),"X",$X47)</f>
        <v>+</v>
      </c>
      <c r="Z47" s="51" t="str">
        <f>IF(ISTEXT(VLOOKUP(CONCATENATE($A47,"_",Z$3),'Unit List'!$A$23:$H$3256,2,FALSE)),"X",$X47)</f>
        <v>+</v>
      </c>
      <c r="AA47" s="51" t="str">
        <f>IF(ISTEXT(VLOOKUP(CONCATENATE($A47,"_",AA$3),'Unit List'!$A$23:$H$3256,2,FALSE)),"X",$X47)</f>
        <v>+</v>
      </c>
      <c r="AB47" s="51" t="str">
        <f>IF(ISTEXT(VLOOKUP(CONCATENATE($A47,"_",AB$3),'Unit List'!$A$23:$H$3256,2,FALSE)),"X",$X47)</f>
        <v>X</v>
      </c>
      <c r="AC47" s="62" t="str">
        <f>IF(ISTEXT(VLOOKUP(CONCATENATE($A47,"_",AC$3),'Unit List'!$A$23:$H$3256,2,FALSE)),"X",$X47)</f>
        <v>X</v>
      </c>
      <c r="AD47" s="171" t="str">
        <f>IF(ISTEXT(VLOOKUP(CONCATENATE($A47,"_",AD$3),'Unit List'!$A$23:$H$3256,2,FALSE)),"+","")</f>
        <v>+</v>
      </c>
      <c r="AE47" s="51" t="str">
        <f>IF(ISTEXT(VLOOKUP(CONCATENATE($A47,"_",AE$3),'Unit List'!$A$23:$H$3256,2,FALSE)),"X",$AD47)</f>
        <v>X</v>
      </c>
      <c r="AF47" s="51" t="str">
        <f>IF(ISTEXT(VLOOKUP(CONCATENATE($A47,"_",AF$3),'Unit List'!$A$23:$H$3256,2,FALSE)),"X",$AD47)</f>
        <v>+</v>
      </c>
      <c r="AG47" s="171" t="str">
        <f>IF(ISTEXT(VLOOKUP(CONCATENATE($A47,"_",AG$3),'Unit List'!$A$23:$H$3256,2,FALSE)),"+","")</f>
        <v>+</v>
      </c>
      <c r="AH47" s="67" t="str">
        <f>IF(ISTEXT(VLOOKUP(CONCATENATE($A47,"_",AH$3),'Unit List'!$A$23:$H$3256,2,FALSE)),"X",$AG47)</f>
        <v>+</v>
      </c>
      <c r="AI47" s="67" t="str">
        <f>IF(ISTEXT(VLOOKUP(CONCATENATE($A47,"_",AI$3),'Unit List'!$A$23:$H$3256,2,FALSE)),"X",$AG47)</f>
        <v>+</v>
      </c>
      <c r="AJ47" s="70" t="str">
        <f>IF(ISTEXT(VLOOKUP(CONCATENATE($A47,"_",AJ$3),'Unit List'!$A$23:$H$3256,2,FALSE)),"X",$AG47)</f>
        <v>+</v>
      </c>
      <c r="AK47" s="172" t="str">
        <f>IF(ISTEXT(VLOOKUP(CONCATENATE($A47,"_",AK$3),'Unit List'!$A$23:$H$3256,2,FALSE)),"+","")</f>
        <v/>
      </c>
      <c r="AL47" s="52" t="str">
        <f>IF(ISTEXT(VLOOKUP(CONCATENATE($A47,"_",AL$3),'Unit List'!$A$23:$H$3256,2,FALSE)),"X",$AK47)</f>
        <v/>
      </c>
      <c r="AM47" s="53" t="str">
        <f>IF(ISTEXT(VLOOKUP(CONCATENATE($A47,"_",AM$3),'Unit List'!$A$23:$H$3256,2,FALSE)),"X",$AK47)</f>
        <v/>
      </c>
      <c r="AN47" s="125" t="str">
        <f>IF(ISTEXT(VLOOKUP(CONCATENATE($A47,"_",AN$3),'Unit List'!$A$23:$H$3256,2,FALSE)),"+","")</f>
        <v>+</v>
      </c>
      <c r="AO47" s="70" t="str">
        <f>IF(ISTEXT(VLOOKUP(CONCATENATE($A47,"_",AO$3),'Unit List'!$A$23:$H$3256,2,FALSE)),"X",$AN47)</f>
        <v>X</v>
      </c>
      <c r="AP47" s="171" t="str">
        <f>IF(ISTEXT(VLOOKUP(CONCATENATE($A47,"_",AP$3),'Unit List'!$A$23:$H$3256,2,FALSE)),"+","")</f>
        <v>+</v>
      </c>
      <c r="AQ47" s="67" t="str">
        <f>IF(ISTEXT(VLOOKUP(CONCATENATE($A47,"_",AQ$3),'Unit List'!$A$23:$H$3256,2,FALSE)),"X",$AP47)</f>
        <v>+</v>
      </c>
      <c r="AR47" s="67" t="str">
        <f>IF(ISTEXT(VLOOKUP(CONCATENATE($A47,"_",AR$3),'Unit List'!$A$23:$H$3256,2,FALSE)),"X",$AP47)</f>
        <v>+</v>
      </c>
      <c r="AS47" s="67" t="str">
        <f>IF(ISTEXT(VLOOKUP(CONCATENATE($A47,"_",AS$3),'Unit List'!$A$23:$H$3256,2,FALSE)),"X",$AP47)</f>
        <v>+</v>
      </c>
      <c r="AT47" s="70" t="str">
        <f>IF(ISTEXT(VLOOKUP(CONCATENATE($A47,"_",AT$3),'Unit List'!$A$23:$H$3256,2,FALSE)),"X",$AP47)</f>
        <v>+</v>
      </c>
      <c r="AU47" s="124" t="str">
        <f>IF(ISTEXT(VLOOKUP(CONCATENATE($A47,"_",AU$3),'Unit List'!$A$23:$H$3256,2,FALSE)),"+","")</f>
        <v>+</v>
      </c>
      <c r="AV47" s="51" t="str">
        <f>IF(ISTEXT(VLOOKUP(CONCATENATE($A47,"_",AV$3),'Unit List'!$A$23:$H$3256,2,FALSE)),"X",$AU47)</f>
        <v>+</v>
      </c>
      <c r="AW47" s="53" t="str">
        <f>IF(ISTEXT(VLOOKUP(CONCATENATE($A47,"_",AW$3),'Unit List'!$A$23:$H$3256,2,FALSE)),"X",$AU47)</f>
        <v>+</v>
      </c>
      <c r="AX47" s="171" t="str">
        <f>IF(ISTEXT(VLOOKUP(CONCATENATE($A47,"_",AX$3),'Unit List'!$A$23:$H$3256,2,FALSE)),"+","")</f>
        <v>+</v>
      </c>
      <c r="AY47" s="67" t="str">
        <f>IF(ISTEXT(VLOOKUP(CONCATENATE($A47,"_",AY$3),'Unit List'!$A$23:$H$3256,2,FALSE)),"X",$AX47)</f>
        <v>X</v>
      </c>
      <c r="AZ47" s="106" t="s">
        <v>0</v>
      </c>
      <c r="BA47" s="171" t="str">
        <f>IF(ISTEXT(VLOOKUP(CONCATENATE($A47,"_",BA$3),'Unit List'!$A$23:$H$3256,2,FALSE)),"+","")</f>
        <v>+</v>
      </c>
      <c r="BB47" s="67" t="str">
        <f>IF(ISTEXT(VLOOKUP(CONCATENATE($A47,"_",BB$3),'Unit List'!$A$23:$H$3256,2,FALSE)),"X",$BA47)</f>
        <v>X</v>
      </c>
      <c r="BC47" s="67" t="str">
        <f>IF(ISTEXT(VLOOKUP(CONCATENATE($A47,"_",BC$3),'Unit List'!$A$23:$H$3256,2,FALSE)),"X",$BA47)</f>
        <v>X</v>
      </c>
      <c r="BD47" s="53" t="str">
        <f>IF(ISTEXT(VLOOKUP(CONCATENATE($A47,"_",BD$3),'Unit List'!$A$23:$H$3256,2,FALSE)),"X",$BA47)</f>
        <v>+</v>
      </c>
      <c r="BE47" s="125" t="str">
        <f>IF(ISTEXT(VLOOKUP(CONCATENATE($A47,"_",BE$3),'Unit List'!$A$23:$H$3256,2,FALSE)),"+","")</f>
        <v>+</v>
      </c>
      <c r="BF47" s="62" t="str">
        <f>IF(ISTEXT(VLOOKUP(CONCATENATE($A47,"_",BF$3),'Unit List'!$A$23:$H$3256,2,FALSE)),"X",$BE47)</f>
        <v>+</v>
      </c>
      <c r="BG47" s="64" t="s">
        <v>0</v>
      </c>
      <c r="BH47" s="65" t="s">
        <v>0</v>
      </c>
      <c r="BI47" s="225"/>
      <c r="BJ47" s="226"/>
      <c r="BK47" s="226"/>
      <c r="BL47" s="226"/>
      <c r="BM47" s="227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List'!$A$23:$H$3256,2,FALSE)),"+","")</f>
        <v/>
      </c>
      <c r="C48" s="82" t="str">
        <f>IF(ISTEXT(VLOOKUP(CONCATENATE($A48,"_",C$3),'Unit List'!$A$23:$H$3256,2,FALSE)),"X",$B48)</f>
        <v>X</v>
      </c>
      <c r="D48" s="60" t="str">
        <f>IF(ISTEXT(VLOOKUP(CONCATENATE($A48,"_",D$3),'Unit List'!$A$23:$H$3256,2,FALSE)),"X",$B48)</f>
        <v>X</v>
      </c>
      <c r="E48" s="89" t="s">
        <v>0</v>
      </c>
      <c r="F48" s="67" t="str">
        <f>IF(ISTEXT(VLOOKUP(CONCATENATE($A48,"_",F$3),'Unit List'!$A$23:$H$3256,2,FALSE)),"X",$B48)</f>
        <v>X</v>
      </c>
      <c r="G48" s="67" t="str">
        <f>IF(ISTEXT(VLOOKUP(CONCATENATE($A48,"_",G$3),'Unit List'!$A$23:$H$3256,2,FALSE)),"X",$B48)</f>
        <v>X</v>
      </c>
      <c r="H48" s="67" t="str">
        <f>IF(ISTEXT(VLOOKUP(CONCATENATE($A48,"_",H$3),'Unit List'!$A$23:$H$3256,2,FALSE)),"X",$B48)</f>
        <v>X</v>
      </c>
      <c r="I48" s="53" t="str">
        <f>IF(ISTEXT(VLOOKUP(CONCATENATE($A48,"_",I$3),'Unit List'!$A$23:$H$3256,2,FALSE)),"X",$B48)</f>
        <v>X</v>
      </c>
      <c r="J48" s="172" t="str">
        <f>IF(ISTEXT(VLOOKUP(CONCATENATE($A48,"_",J$3),'Unit List'!$A$23:$H$3256,2,FALSE)),"+","")</f>
        <v>+</v>
      </c>
      <c r="K48" s="94" t="str">
        <f>IF(ISTEXT(VLOOKUP(CONCATENATE($A48,"_",K$3),'Unit List'!$A$23:$H$3256,2,FALSE)),"X",$J48)</f>
        <v>+</v>
      </c>
      <c r="L48" s="68" t="str">
        <f>IF(ISTEXT(VLOOKUP(CONCATENATE($A48,"_",L$3),'Unit List'!$A$23:$H$3256,2,FALSE)),"X",$J48)</f>
        <v>+</v>
      </c>
      <c r="M48" s="172" t="str">
        <f>IF(ISTEXT(VLOOKUP(CONCATENATE($A48,"_",M$3),'Unit List'!$A$23:$H$3256,2,FALSE)),"+","")</f>
        <v>+</v>
      </c>
      <c r="N48" s="51" t="str">
        <f>IF(ISTEXT(VLOOKUP(CONCATENATE($A48,"_",N$3),'Unit List'!$A$23:$H$3256,2,FALSE)),"X",$M48)</f>
        <v>+</v>
      </c>
      <c r="O48" s="70" t="str">
        <f>IF(ISTEXT(VLOOKUP(CONCATENATE($A48,"_",O$3),'Unit List'!$A$23:$H$3256,2,FALSE)),"X",$M48)</f>
        <v>+</v>
      </c>
      <c r="P48" s="171" t="str">
        <f>IF(ISTEXT(VLOOKUP(CONCATENATE($A48,"_",P$3),'Unit List'!$A$23:$H$3256,2,FALSE)),"+","")</f>
        <v>+</v>
      </c>
      <c r="Q48" s="51" t="str">
        <f>IF(ISTEXT(VLOOKUP(CONCATENATE($A48,"_",Q$3),'Unit List'!$A$23:$H$3256,2,FALSE)),"X",$P48)</f>
        <v>+</v>
      </c>
      <c r="R48" s="51" t="str">
        <f>IF(ISTEXT(VLOOKUP(CONCATENATE($A48,"_",R$3),'Unit List'!$A$23:$H$3256,2,FALSE)),"X",$P48)</f>
        <v>+</v>
      </c>
      <c r="S48" s="72" t="str">
        <f>IF(ISTEXT(VLOOKUP(CONCATENATE($A48,"_",S$3),'Unit List'!$A$23:$H$3256,2,FALSE)),"X",$P48)</f>
        <v>X</v>
      </c>
      <c r="T48" s="52" t="str">
        <f>IF(ISTEXT(VLOOKUP(CONCATENATE($A48,"_",T$3),'Unit List'!$A$23:$H$3256,2,FALSE)),"X",$P48)</f>
        <v>X</v>
      </c>
      <c r="U48" s="67" t="str">
        <f>IF(ISTEXT(VLOOKUP(CONCATENATE($A48,"_",U$3),'Unit List'!$A$23:$H$3256,2,FALSE)),"X",$P48)</f>
        <v>X</v>
      </c>
      <c r="V48" s="67" t="str">
        <f>IF(ISTEXT(VLOOKUP(CONCATENATE($A48,"_",V$3),'Unit List'!$A$23:$H$3256,2,FALSE)),"X",$P48)</f>
        <v>X</v>
      </c>
      <c r="W48" s="53" t="str">
        <f>IF(ISTEXT(VLOOKUP(CONCATENATE($A48,"_",W$3),'Unit List'!$A$23:$H$3256,2,FALSE)),"X",$P48)</f>
        <v>+</v>
      </c>
      <c r="X48" s="171" t="str">
        <f>IF(ISTEXT(VLOOKUP(CONCATENATE($A48,"_",X$3),'Unit List'!$A$23:$H$3256,2,FALSE)),"+","")</f>
        <v>+</v>
      </c>
      <c r="Y48" s="67" t="str">
        <f>IF(ISTEXT(VLOOKUP(CONCATENATE($A48,"_",Y$3),'Unit List'!$A$23:$H$3256,2,FALSE)),"X",$X48)</f>
        <v>X</v>
      </c>
      <c r="Z48" s="51" t="str">
        <f>IF(ISTEXT(VLOOKUP(CONCATENATE($A48,"_",Z$3),'Unit List'!$A$23:$H$3256,2,FALSE)),"X",$X48)</f>
        <v>+</v>
      </c>
      <c r="AA48" s="67" t="str">
        <f>IF(ISTEXT(VLOOKUP(CONCATENATE($A48,"_",AA$3),'Unit List'!$A$23:$H$3256,2,FALSE)),"X",$X48)</f>
        <v>X</v>
      </c>
      <c r="AB48" s="67" t="str">
        <f>IF(ISTEXT(VLOOKUP(CONCATENATE($A48,"_",AB$3),'Unit List'!$A$23:$H$3256,2,FALSE)),"X",$X48)</f>
        <v>X</v>
      </c>
      <c r="AC48" s="105" t="s">
        <v>0</v>
      </c>
      <c r="AD48" s="171" t="str">
        <f>IF(ISTEXT(VLOOKUP(CONCATENATE($A48,"_",AD$3),'Unit List'!$A$23:$H$3256,2,FALSE)),"+","")</f>
        <v/>
      </c>
      <c r="AE48" s="51" t="str">
        <f>IF(ISTEXT(VLOOKUP(CONCATENATE($A48,"_",AE$3),'Unit List'!$A$23:$H$3256,2,FALSE)),"X",$AD48)</f>
        <v>X</v>
      </c>
      <c r="AF48" s="51" t="str">
        <f>IF(ISTEXT(VLOOKUP(CONCATENATE($A48,"_",AF$3),'Unit List'!$A$23:$H$3256,2,FALSE)),"X",$AD48)</f>
        <v/>
      </c>
      <c r="AG48" s="171" t="str">
        <f>IF(ISTEXT(VLOOKUP(CONCATENATE($A48,"_",AG$3),'Unit List'!$A$23:$H$3256,2,FALSE)),"+","")</f>
        <v>+</v>
      </c>
      <c r="AH48" s="67" t="str">
        <f>IF(ISTEXT(VLOOKUP(CONCATENATE($A48,"_",AH$3),'Unit List'!$A$23:$H$3256,2,FALSE)),"X",$AG48)</f>
        <v>X</v>
      </c>
      <c r="AI48" s="67" t="str">
        <f>IF(ISTEXT(VLOOKUP(CONCATENATE($A48,"_",AI$3),'Unit List'!$A$23:$H$3256,2,FALSE)),"X",$AG48)</f>
        <v>X</v>
      </c>
      <c r="AJ48" s="53" t="str">
        <f>IF(ISTEXT(VLOOKUP(CONCATENATE($A48,"_",AJ$3),'Unit List'!$A$23:$H$3256,2,FALSE)),"X",$AG48)</f>
        <v>+</v>
      </c>
      <c r="AK48" s="171" t="str">
        <f>IF(ISTEXT(VLOOKUP(CONCATENATE($A48,"_",AK$3),'Unit List'!$A$23:$H$3256,2,FALSE)),"+","")</f>
        <v>+</v>
      </c>
      <c r="AL48" s="107" t="s">
        <v>0</v>
      </c>
      <c r="AM48" s="70" t="str">
        <f>IF(ISTEXT(VLOOKUP(CONCATENATE($A48,"_",AM$3),'Unit List'!$A$23:$H$3256,2,FALSE)),"X",$AK48)</f>
        <v>+</v>
      </c>
      <c r="AN48" s="125" t="str">
        <f>IF(ISTEXT(VLOOKUP(CONCATENATE($A48,"_",AN$3),'Unit List'!$A$23:$H$3256,2,FALSE)),"+","")</f>
        <v>+</v>
      </c>
      <c r="AO48" s="70" t="str">
        <f>IF(ISTEXT(VLOOKUP(CONCATENATE($A48,"_",AO$3),'Unit List'!$A$23:$H$3256,2,FALSE)),"X",$AN48)</f>
        <v>X</v>
      </c>
      <c r="AP48" s="171" t="str">
        <f>IF(ISTEXT(VLOOKUP(CONCATENATE($A48,"_",AP$3),'Unit List'!$A$23:$H$3256,2,FALSE)),"+","")</f>
        <v>+</v>
      </c>
      <c r="AQ48" s="67" t="str">
        <f>IF(ISTEXT(VLOOKUP(CONCATENATE($A48,"_",AQ$3),'Unit List'!$A$23:$H$3256,2,FALSE)),"X",$AP48)</f>
        <v>X</v>
      </c>
      <c r="AR48" s="67" t="str">
        <f>IF(ISTEXT(VLOOKUP(CONCATENATE($A48,"_",AR$3),'Unit List'!$A$23:$H$3256,2,FALSE)),"X",$AP48)</f>
        <v>X</v>
      </c>
      <c r="AS48" s="67" t="str">
        <f>IF(ISTEXT(VLOOKUP(CONCATENATE($A48,"_",AS$3),'Unit List'!$A$23:$H$3256,2,FALSE)),"X",$AP48)</f>
        <v>X</v>
      </c>
      <c r="AT48" s="70" t="str">
        <f>IF(ISTEXT(VLOOKUP(CONCATENATE($A48,"_",AT$3),'Unit List'!$A$23:$H$3256,2,FALSE)),"X",$AP48)</f>
        <v>X</v>
      </c>
      <c r="AU48" s="124" t="str">
        <f>IF(ISTEXT(VLOOKUP(CONCATENATE($A48,"_",AU$3),'Unit List'!$A$23:$H$3256,2,FALSE)),"+","")</f>
        <v>+</v>
      </c>
      <c r="AV48" s="51" t="str">
        <f>IF(ISTEXT(VLOOKUP(CONCATENATE($A48,"_",AV$3),'Unit List'!$A$23:$H$3256,2,FALSE)),"X",$AU48)</f>
        <v>+</v>
      </c>
      <c r="AW48" s="53" t="str">
        <f>IF(ISTEXT(VLOOKUP(CONCATENATE($A48,"_",AW$3),'Unit List'!$A$23:$H$3256,2,FALSE)),"X",$AU48)</f>
        <v>+</v>
      </c>
      <c r="AX48" s="171" t="str">
        <f>IF(ISTEXT(VLOOKUP(CONCATENATE($A48,"_",AX$3),'Unit List'!$A$23:$H$3256,2,FALSE)),"+","")</f>
        <v>+</v>
      </c>
      <c r="AY48" s="67" t="str">
        <f>IF(ISTEXT(VLOOKUP(CONCATENATE($A48,"_",AY$3),'Unit List'!$A$23:$H$3256,2,FALSE)),"X",$AX48)</f>
        <v>X</v>
      </c>
      <c r="AZ48" s="70" t="str">
        <f>IF(ISTEXT(VLOOKUP(CONCATENATE($A48,"_",AZ$3),'Unit List'!$A$23:$H$3256,2,FALSE)),"X",$AX48)</f>
        <v>+</v>
      </c>
      <c r="BA48" s="171" t="str">
        <f>IF(ISTEXT(VLOOKUP(CONCATENATE($A48,"_",BA$3),'Unit List'!$A$23:$H$3256,2,FALSE)),"+","")</f>
        <v>+</v>
      </c>
      <c r="BB48" s="67" t="str">
        <f>IF(ISTEXT(VLOOKUP(CONCATENATE($A48,"_",BB$3),'Unit List'!$A$23:$H$3256,2,FALSE)),"X",$BA48)</f>
        <v>X</v>
      </c>
      <c r="BC48" s="51" t="str">
        <f>IF(ISTEXT(VLOOKUP(CONCATENATE($A48,"_",BC$3),'Unit List'!$A$23:$H$3256,2,FALSE)),"X",$BA48)</f>
        <v>X</v>
      </c>
      <c r="BD48" s="70" t="str">
        <f>IF(ISTEXT(VLOOKUP(CONCATENATE($A48,"_",BD$3),'Unit List'!$A$23:$H$3256,2,FALSE)),"X",$BA48)</f>
        <v>X</v>
      </c>
      <c r="BE48" s="125" t="str">
        <f>IF(ISTEXT(VLOOKUP(CONCATENATE($A48,"_",BE$3),'Unit List'!$A$23:$H$3256,2,FALSE)),"+","")</f>
        <v>+</v>
      </c>
      <c r="BF48" s="62" t="str">
        <f>IF(ISTEXT(VLOOKUP(CONCATENATE($A48,"_",BF$3),'Unit List'!$A$23:$H$3256,2,FALSE)),"X",$BE48)</f>
        <v>+</v>
      </c>
      <c r="BG48" s="75"/>
      <c r="BH48" s="76" t="s">
        <v>0</v>
      </c>
      <c r="BI48" s="225" t="s">
        <v>18</v>
      </c>
      <c r="BJ48" s="226"/>
      <c r="BK48" s="226"/>
      <c r="BL48" s="226"/>
      <c r="BM48" s="227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List'!$A$23:$H$3256,2,FALSE)),"+","")</f>
        <v/>
      </c>
      <c r="C49" s="57" t="str">
        <f>IF(ISTEXT(VLOOKUP(CONCATENATE($A49,"_",C$3),'Unit List'!$A$23:$H$3256,2,FALSE)),"X",$B49)</f>
        <v/>
      </c>
      <c r="D49" s="51" t="str">
        <f>IF(ISTEXT(VLOOKUP(CONCATENATE($A49,"_",D$3),'Unit List'!$A$23:$H$3256,2,FALSE)),"X",$B49)</f>
        <v>X</v>
      </c>
      <c r="E49" s="51" t="str">
        <f>IF(ISTEXT(VLOOKUP(CONCATENATE($A49,"_",E$3),'Unit List'!$A$23:$H$3256,2,FALSE)),"X",$B49)</f>
        <v/>
      </c>
      <c r="F49" s="51" t="str">
        <f>IF(ISTEXT(VLOOKUP(CONCATENATE($A49,"_",F$3),'Unit List'!$A$23:$H$3256,2,FALSE)),"X",$B49)</f>
        <v/>
      </c>
      <c r="G49" s="51" t="str">
        <f>IF(ISTEXT(VLOOKUP(CONCATENATE($A49,"_",G$3),'Unit List'!$A$23:$H$3256,2,FALSE)),"X",$B49)</f>
        <v/>
      </c>
      <c r="H49" s="67" t="str">
        <f>IF(ISTEXT(VLOOKUP(CONCATENATE($A49,"_",H$3),'Unit List'!$A$23:$H$3256,2,FALSE)),"X",$B49)</f>
        <v>X</v>
      </c>
      <c r="I49" s="53" t="str">
        <f>IF(ISTEXT(VLOOKUP(CONCATENATE($A49,"_",I$3),'Unit List'!$A$23:$H$3256,2,FALSE)),"X",$B49)</f>
        <v/>
      </c>
      <c r="J49" s="172" t="str">
        <f>IF(ISTEXT(VLOOKUP(CONCATENATE($A49,"_",J$3),'Unit List'!$A$23:$H$3256,2,FALSE)),"+","")</f>
        <v/>
      </c>
      <c r="K49" s="51" t="str">
        <f>IF(ISTEXT(VLOOKUP(CONCATENATE($A49,"_",K$3),'Unit List'!$A$23:$H$3256,2,FALSE)),"X",$J49)</f>
        <v/>
      </c>
      <c r="L49" s="62" t="str">
        <f>IF(ISTEXT(VLOOKUP(CONCATENATE($A49,"_",L$3),'Unit List'!$A$23:$H$3256,2,FALSE)),"X",$J49)</f>
        <v/>
      </c>
      <c r="M49" s="172" t="str">
        <f>IF(ISTEXT(VLOOKUP(CONCATENATE($A49,"_",M$3),'Unit List'!$A$23:$H$3256,2,FALSE)),"+","")</f>
        <v/>
      </c>
      <c r="N49" s="51" t="str">
        <f>IF(ISTEXT(VLOOKUP(CONCATENATE($A49,"_",N$3),'Unit List'!$A$23:$H$3256,2,FALSE)),"X",$M49)</f>
        <v/>
      </c>
      <c r="O49" s="53" t="str">
        <f>IF(ISTEXT(VLOOKUP(CONCATENATE($A49,"_",O$3),'Unit List'!$A$23:$H$3256,2,FALSE)),"X",$M49)</f>
        <v/>
      </c>
      <c r="P49" s="172" t="str">
        <f>IF(ISTEXT(VLOOKUP(CONCATENATE($A49,"_",P$3),'Unit List'!$A$23:$H$3256,2,FALSE)),"+","")</f>
        <v/>
      </c>
      <c r="Q49" s="51" t="str">
        <f>IF(ISTEXT(VLOOKUP(CONCATENATE($A49,"_",Q$3),'Unit List'!$A$23:$H$3256,2,FALSE)),"X",$P49)</f>
        <v/>
      </c>
      <c r="R49" s="51" t="str">
        <f>IF(ISTEXT(VLOOKUP(CONCATENATE($A49,"_",R$3),'Unit List'!$A$23:$H$3256,2,FALSE)),"X",$P49)</f>
        <v/>
      </c>
      <c r="S49" s="51" t="str">
        <f>IF(ISTEXT(VLOOKUP(CONCATENATE($A49,"_",S$3),'Unit List'!$A$23:$H$3256,2,FALSE)),"X",$P49)</f>
        <v/>
      </c>
      <c r="T49" s="52" t="str">
        <f>IF(ISTEXT(VLOOKUP(CONCATENATE($A49,"_",T$3),'Unit List'!$A$23:$H$3256,2,FALSE)),"X",$P49)</f>
        <v/>
      </c>
      <c r="U49" s="51" t="str">
        <f>IF(ISTEXT(VLOOKUP(CONCATENATE($A49,"_",U$3),'Unit List'!$A$23:$H$3256,2,FALSE)),"X",$P49)</f>
        <v/>
      </c>
      <c r="V49" s="51" t="str">
        <f>IF(ISTEXT(VLOOKUP(CONCATENATE($A49,"_",V$3),'Unit List'!$A$23:$H$3256,2,FALSE)),"X",$P49)</f>
        <v/>
      </c>
      <c r="W49" s="53" t="str">
        <f>IF(ISTEXT(VLOOKUP(CONCATENATE($A49,"_",W$3),'Unit List'!$A$23:$H$3256,2,FALSE)),"X",$P49)</f>
        <v/>
      </c>
      <c r="X49" s="172" t="str">
        <f>IF(ISTEXT(VLOOKUP(CONCATENATE($A49,"_",X$3),'Unit List'!$A$23:$H$3256,2,FALSE)),"+","")</f>
        <v/>
      </c>
      <c r="Y49" s="51" t="str">
        <f>IF(ISTEXT(VLOOKUP(CONCATENATE($A49,"_",Y$3),'Unit List'!$A$23:$H$3256,2,FALSE)),"X",$X49)</f>
        <v/>
      </c>
      <c r="Z49" s="51" t="str">
        <f>IF(ISTEXT(VLOOKUP(CONCATENATE($A49,"_",Z$3),'Unit List'!$A$23:$H$3256,2,FALSE)),"X",$X49)</f>
        <v/>
      </c>
      <c r="AA49" s="51" t="str">
        <f>IF(ISTEXT(VLOOKUP(CONCATENATE($A49,"_",AA$3),'Unit List'!$A$23:$H$3256,2,FALSE)),"X",$X49)</f>
        <v/>
      </c>
      <c r="AB49" s="51" t="str">
        <f>IF(ISTEXT(VLOOKUP(CONCATENATE($A49,"_",AB$3),'Unit List'!$A$23:$H$3256,2,FALSE)),"X",$X49)</f>
        <v/>
      </c>
      <c r="AC49" s="62" t="str">
        <f>IF(ISTEXT(VLOOKUP(CONCATENATE($A49,"_",AC$3),'Unit List'!$A$23:$H$3256,2,FALSE)),"X",$X49)</f>
        <v/>
      </c>
      <c r="AD49" s="172" t="str">
        <f>IF(ISTEXT(VLOOKUP(CONCATENATE($A49,"_",AD$3),'Unit List'!$A$23:$H$3256,2,FALSE)),"+","")</f>
        <v/>
      </c>
      <c r="AE49" s="51" t="str">
        <f>IF(ISTEXT(VLOOKUP(CONCATENATE($A49,"_",AE$3),'Unit List'!$A$23:$H$3256,2,FALSE)),"X",$AD49)</f>
        <v/>
      </c>
      <c r="AF49" s="51" t="str">
        <f>IF(ISTEXT(VLOOKUP(CONCATENATE($A49,"_",AF$3),'Unit List'!$A$23:$H$3256,2,FALSE)),"X",$AD49)</f>
        <v/>
      </c>
      <c r="AG49" s="172" t="str">
        <f>IF(ISTEXT(VLOOKUP(CONCATENATE($A49,"_",AG$3),'Unit List'!$A$23:$H$3256,2,FALSE)),"+","")</f>
        <v/>
      </c>
      <c r="AH49" s="51" t="str">
        <f>IF(ISTEXT(VLOOKUP(CONCATENATE($A49,"_",AH$3),'Unit List'!$A$23:$H$3256,2,FALSE)),"X",$AG49)</f>
        <v/>
      </c>
      <c r="AI49" s="51" t="str">
        <f>IF(ISTEXT(VLOOKUP(CONCATENATE($A49,"_",AI$3),'Unit List'!$A$23:$H$3256,2,FALSE)),"X",$AG49)</f>
        <v/>
      </c>
      <c r="AJ49" s="53" t="str">
        <f>IF(ISTEXT(VLOOKUP(CONCATENATE($A49,"_",AJ$3),'Unit List'!$A$23:$H$3256,2,FALSE)),"X",$AG49)</f>
        <v/>
      </c>
      <c r="AK49" s="172" t="str">
        <f>IF(ISTEXT(VLOOKUP(CONCATENATE($A49,"_",AK$3),'Unit List'!$A$23:$H$3256,2,FALSE)),"+","")</f>
        <v/>
      </c>
      <c r="AL49" s="52" t="str">
        <f>IF(ISTEXT(VLOOKUP(CONCATENATE($A49,"_",AL$3),'Unit List'!$A$23:$H$3256,2,FALSE)),"X",$AK49)</f>
        <v/>
      </c>
      <c r="AM49" s="53" t="str">
        <f>IF(ISTEXT(VLOOKUP(CONCATENATE($A49,"_",AM$3),'Unit List'!$A$23:$H$3256,2,FALSE)),"X",$AK49)</f>
        <v/>
      </c>
      <c r="AN49" s="125" t="str">
        <f>IF(ISTEXT(VLOOKUP(CONCATENATE($A49,"_",AN$3),'Unit List'!$A$23:$H$3256,2,FALSE)),"+","")</f>
        <v/>
      </c>
      <c r="AO49" s="53" t="str">
        <f>IF(ISTEXT(VLOOKUP(CONCATENATE($A49,"_",AO$3),'Unit List'!$A$23:$H$3256,2,FALSE)),"X",$AN49)</f>
        <v/>
      </c>
      <c r="AP49" s="172" t="str">
        <f>IF(ISTEXT(VLOOKUP(CONCATENATE($A49,"_",AP$3),'Unit List'!$A$23:$H$3256,2,FALSE)),"+","")</f>
        <v/>
      </c>
      <c r="AQ49" s="51" t="str">
        <f>IF(ISTEXT(VLOOKUP(CONCATENATE($A49,"_",AQ$3),'Unit List'!$A$23:$H$3256,2,FALSE)),"X",$AP49)</f>
        <v/>
      </c>
      <c r="AR49" s="51" t="str">
        <f>IF(ISTEXT(VLOOKUP(CONCATENATE($A49,"_",AR$3),'Unit List'!$A$23:$H$3256,2,FALSE)),"X",$AP49)</f>
        <v/>
      </c>
      <c r="AS49" s="51" t="str">
        <f>IF(ISTEXT(VLOOKUP(CONCATENATE($A49,"_",AS$3),'Unit List'!$A$23:$H$3256,2,FALSE)),"X",$AP49)</f>
        <v/>
      </c>
      <c r="AT49" s="53" t="str">
        <f>IF(ISTEXT(VLOOKUP(CONCATENATE($A49,"_",AT$3),'Unit List'!$A$23:$H$3256,2,FALSE)),"X",$AP49)</f>
        <v/>
      </c>
      <c r="AU49" s="124" t="str">
        <f>IF(ISTEXT(VLOOKUP(CONCATENATE($A49,"_",AU$3),'Unit List'!$A$23:$H$3256,2,FALSE)),"+","")</f>
        <v/>
      </c>
      <c r="AV49" s="51" t="str">
        <f>IF(ISTEXT(VLOOKUP(CONCATENATE($A49,"_",AV$3),'Unit List'!$A$23:$H$3256,2,FALSE)),"X",$AU49)</f>
        <v/>
      </c>
      <c r="AW49" s="53" t="str">
        <f>IF(ISTEXT(VLOOKUP(CONCATENATE($A49,"_",AW$3),'Unit List'!$A$23:$H$3256,2,FALSE)),"X",$AU49)</f>
        <v/>
      </c>
      <c r="AX49" s="172" t="str">
        <f>IF(ISTEXT(VLOOKUP(CONCATENATE($A49,"_",AX$3),'Unit List'!$A$23:$H$3256,2,FALSE)),"+","")</f>
        <v/>
      </c>
      <c r="AY49" s="51" t="str">
        <f>IF(ISTEXT(VLOOKUP(CONCATENATE($A49,"_",AY$3),'Unit List'!$A$23:$H$3256,2,FALSE)),"X",$AX49)</f>
        <v/>
      </c>
      <c r="AZ49" s="53" t="str">
        <f>IF(ISTEXT(VLOOKUP(CONCATENATE($A49,"_",AZ$3),'Unit List'!$A$23:$H$3256,2,FALSE)),"X",$AX49)</f>
        <v/>
      </c>
      <c r="BA49" s="182" t="str">
        <f>IF(ISTEXT(VLOOKUP(CONCATENATE($A49,"_",BA$3),'Unit List'!$A$23:$H$3256,2,FALSE)),"+","")</f>
        <v/>
      </c>
      <c r="BB49" s="51" t="str">
        <f>IF(ISTEXT(VLOOKUP(CONCATENATE($A49,"_",BB$3),'Unit List'!$A$23:$H$3256,2,FALSE)),"X",$BA49)</f>
        <v/>
      </c>
      <c r="BC49" s="51" t="str">
        <f>IF(ISTEXT(VLOOKUP(CONCATENATE($A49,"_",BC$3),'Unit List'!$A$23:$H$3256,2,FALSE)),"X",$BA49)</f>
        <v/>
      </c>
      <c r="BD49" s="53" t="str">
        <f>IF(ISTEXT(VLOOKUP(CONCATENATE($A49,"_",BD$3),'Unit List'!$A$23:$H$3256,2,FALSE)),"X",$BA49)</f>
        <v/>
      </c>
      <c r="BE49" s="125" t="str">
        <f>IF(ISTEXT(VLOOKUP(CONCATENATE($A49,"_",BE$3),'Unit List'!$A$23:$H$3256,2,FALSE)),"+","")</f>
        <v/>
      </c>
      <c r="BF49" s="62" t="str">
        <f>IF(ISTEXT(VLOOKUP(CONCATENATE($A49,"_",BF$3),'Unit List'!$A$23:$H$3256,2,FALSE)),"X",$BE49)</f>
        <v/>
      </c>
      <c r="BG49" s="64"/>
      <c r="BH49" s="65" t="s">
        <v>0</v>
      </c>
      <c r="BI49" s="225"/>
      <c r="BJ49" s="226"/>
      <c r="BK49" s="226"/>
      <c r="BL49" s="226"/>
      <c r="BM49" s="227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List'!$A$23:$H$3256,2,FALSE)),"+","")</f>
        <v/>
      </c>
      <c r="C50" s="82" t="str">
        <f>IF(ISTEXT(VLOOKUP(CONCATENATE($A50,"_",C$3),'Unit List'!$A$23:$H$3256,2,FALSE)),"X",$B50)</f>
        <v>X</v>
      </c>
      <c r="D50" s="67" t="str">
        <f>IF(ISTEXT(VLOOKUP(CONCATENATE($A50,"_",D$3),'Unit List'!$A$23:$H$3256,2,FALSE)),"X",$B50)</f>
        <v>X</v>
      </c>
      <c r="E50" s="51" t="str">
        <f>IF(ISTEXT(VLOOKUP(CONCATENATE($A50,"_",E$3),'Unit List'!$A$23:$H$3256,2,FALSE)),"X",$B50)</f>
        <v>X</v>
      </c>
      <c r="F50" s="51" t="str">
        <f>IF(ISTEXT(VLOOKUP(CONCATENATE($A50,"_",F$3),'Unit List'!$A$23:$H$3256,2,FALSE)),"X",$B50)</f>
        <v>X</v>
      </c>
      <c r="G50" s="51" t="str">
        <f>IF(ISTEXT(VLOOKUP(CONCATENATE($A50,"_",G$3),'Unit List'!$A$23:$H$3256,2,FALSE)),"X",$B50)</f>
        <v>X</v>
      </c>
      <c r="H50" s="51" t="str">
        <f>IF(ISTEXT(VLOOKUP(CONCATENATE($A50,"_",H$3),'Unit List'!$A$23:$H$3256,2,FALSE)),"X",$B50)</f>
        <v>X</v>
      </c>
      <c r="I50" s="70" t="str">
        <f>IF(ISTEXT(VLOOKUP(CONCATENATE($A50,"_",I$3),'Unit List'!$A$23:$H$3256,2,FALSE)),"X",$B50)</f>
        <v>X</v>
      </c>
      <c r="J50" s="172" t="str">
        <f>IF(ISTEXT(VLOOKUP(CONCATENATE($A50,"_",J$3),'Unit List'!$A$23:$H$3256,2,FALSE)),"+","")</f>
        <v/>
      </c>
      <c r="K50" s="51" t="str">
        <f>IF(ISTEXT(VLOOKUP(CONCATENATE($A50,"_",K$3),'Unit List'!$A$23:$H$3256,2,FALSE)),"X",$J50)</f>
        <v/>
      </c>
      <c r="L50" s="86" t="str">
        <f>IF(ISTEXT(VLOOKUP(CONCATENATE($A50,"_",L$3),'Unit List'!$A$23:$H$3256,2,FALSE)),"X",$J50)</f>
        <v>X</v>
      </c>
      <c r="M50" s="172" t="str">
        <f>IF(ISTEXT(VLOOKUP(CONCATENATE($A50,"_",M$3),'Unit List'!$A$23:$H$3256,2,FALSE)),"+","")</f>
        <v>+</v>
      </c>
      <c r="N50" s="67" t="str">
        <f>IF(ISTEXT(VLOOKUP(CONCATENATE($A50,"_",N$3),'Unit List'!$A$23:$H$3256,2,FALSE)),"X",$M50)</f>
        <v>X</v>
      </c>
      <c r="O50" s="70" t="str">
        <f>IF(ISTEXT(VLOOKUP(CONCATENATE($A50,"_",O$3),'Unit List'!$A$23:$H$3256,2,FALSE)),"X",$M50)</f>
        <v>X</v>
      </c>
      <c r="P50" s="172" t="str">
        <f>IF(ISTEXT(VLOOKUP(CONCATENATE($A50,"_",P$3),'Unit List'!$A$23:$H$3256,2,FALSE)),"+","")</f>
        <v/>
      </c>
      <c r="Q50" s="60" t="str">
        <f>IF(ISTEXT(VLOOKUP(CONCATENATE($A50,"_",Q$3),'Unit List'!$A$23:$H$3256,2,FALSE)),"X",$P50)</f>
        <v/>
      </c>
      <c r="R50" s="51" t="str">
        <f>IF(ISTEXT(VLOOKUP(CONCATENATE($A50,"_",R$3),'Unit List'!$A$23:$H$3256,2,FALSE)),"X",$P50)</f>
        <v/>
      </c>
      <c r="S50" s="67" t="str">
        <f>IF(ISTEXT(VLOOKUP(CONCATENATE($A50,"_",S$3),'Unit List'!$A$23:$H$3256,2,FALSE)),"X",$P50)</f>
        <v>X</v>
      </c>
      <c r="T50" s="52" t="str">
        <f>IF(ISTEXT(VLOOKUP(CONCATENATE($A50,"_",T$3),'Unit List'!$A$23:$H$3256,2,FALSE)),"X",$P50)</f>
        <v/>
      </c>
      <c r="U50" s="67" t="str">
        <f>IF(ISTEXT(VLOOKUP(CONCATENATE($A50,"_",U$3),'Unit List'!$A$23:$H$3256,2,FALSE)),"X",$P50)</f>
        <v>X</v>
      </c>
      <c r="V50" s="51" t="str">
        <f>IF(ISTEXT(VLOOKUP(CONCATENATE($A50,"_",V$3),'Unit List'!$A$23:$H$3256,2,FALSE)),"X",$P50)</f>
        <v/>
      </c>
      <c r="W50" s="53" t="str">
        <f>IF(ISTEXT(VLOOKUP(CONCATENATE($A50,"_",W$3),'Unit List'!$A$23:$H$3256,2,FALSE)),"X",$P50)</f>
        <v/>
      </c>
      <c r="X50" s="172" t="str">
        <f>IF(ISTEXT(VLOOKUP(CONCATENATE($A50,"_",X$3),'Unit List'!$A$23:$H$3256,2,FALSE)),"+","")</f>
        <v/>
      </c>
      <c r="Y50" s="51" t="str">
        <f>IF(ISTEXT(VLOOKUP(CONCATENATE($A50,"_",Y$3),'Unit List'!$A$23:$H$3256,2,FALSE)),"X",$X50)</f>
        <v/>
      </c>
      <c r="Z50" s="51" t="str">
        <f>IF(ISTEXT(VLOOKUP(CONCATENATE($A50,"_",Z$3),'Unit List'!$A$23:$H$3256,2,FALSE)),"X",$X50)</f>
        <v/>
      </c>
      <c r="AA50" s="51" t="str">
        <f>IF(ISTEXT(VLOOKUP(CONCATENATE($A50,"_",AA$3),'Unit List'!$A$23:$H$3256,2,FALSE)),"X",$X50)</f>
        <v/>
      </c>
      <c r="AB50" s="51" t="str">
        <f>IF(ISTEXT(VLOOKUP(CONCATENATE($A50,"_",AB$3),'Unit List'!$A$23:$H$3256,2,FALSE)),"X",$X50)</f>
        <v/>
      </c>
      <c r="AC50" s="62" t="str">
        <f>IF(ISTEXT(VLOOKUP(CONCATENATE($A50,"_",AC$3),'Unit List'!$A$23:$H$3256,2,FALSE)),"X",$X50)</f>
        <v/>
      </c>
      <c r="AD50" s="172" t="str">
        <f>IF(ISTEXT(VLOOKUP(CONCATENATE($A50,"_",AD$3),'Unit List'!$A$23:$H$3256,2,FALSE)),"+","")</f>
        <v>+</v>
      </c>
      <c r="AE50" s="51" t="str">
        <f>IF(ISTEXT(VLOOKUP(CONCATENATE($A50,"_",AE$3),'Unit List'!$A$23:$H$3256,2,FALSE)),"X",$AD50)</f>
        <v>+</v>
      </c>
      <c r="AF50" s="51" t="str">
        <f>IF(ISTEXT(VLOOKUP(CONCATENATE($A50,"_",AF$3),'Unit List'!$A$23:$H$3256,2,FALSE)),"X",$AD50)</f>
        <v>+</v>
      </c>
      <c r="AG50" s="172" t="str">
        <f>IF(ISTEXT(VLOOKUP(CONCATENATE($A50,"_",AG$3),'Unit List'!$A$23:$H$3256,2,FALSE)),"+","")</f>
        <v/>
      </c>
      <c r="AH50" s="51" t="str">
        <f>IF(ISTEXT(VLOOKUP(CONCATENATE($A50,"_",AH$3),'Unit List'!$A$23:$H$3256,2,FALSE)),"X",$AG50)</f>
        <v/>
      </c>
      <c r="AI50" s="51" t="str">
        <f>IF(ISTEXT(VLOOKUP(CONCATENATE($A50,"_",AI$3),'Unit List'!$A$23:$H$3256,2,FALSE)),"X",$AG50)</f>
        <v/>
      </c>
      <c r="AJ50" s="53" t="str">
        <f>IF(ISTEXT(VLOOKUP(CONCATENATE($A50,"_",AJ$3),'Unit List'!$A$23:$H$3256,2,FALSE)),"X",$AG50)</f>
        <v>X</v>
      </c>
      <c r="AK50" s="172" t="str">
        <f>IF(ISTEXT(VLOOKUP(CONCATENATE($A50,"_",AK$3),'Unit List'!$A$23:$H$3256,2,FALSE)),"+","")</f>
        <v/>
      </c>
      <c r="AL50" s="87" t="str">
        <f>IF(ISTEXT(VLOOKUP(CONCATENATE($A50,"_",AL$3),'Unit List'!$A$23:$H$3256,2,FALSE)),"X",$AK50)</f>
        <v>X</v>
      </c>
      <c r="AM50" s="53" t="str">
        <f>IF(ISTEXT(VLOOKUP(CONCATENATE($A50,"_",AM$3),'Unit List'!$A$23:$H$3256,2,FALSE)),"X",$AK50)</f>
        <v/>
      </c>
      <c r="AN50" s="125" t="str">
        <f>IF(ISTEXT(VLOOKUP(CONCATENATE($A50,"_",AN$3),'Unit List'!$A$23:$H$3256,2,FALSE)),"+","")</f>
        <v>+</v>
      </c>
      <c r="AO50" s="61" t="str">
        <f>IF(ISTEXT(VLOOKUP(CONCATENATE($A50,"_",AO$3),'Unit List'!$A$23:$H$3256,2,FALSE)),"X",$AN50)</f>
        <v>+</v>
      </c>
      <c r="AP50" s="172" t="str">
        <f>IF(ISTEXT(VLOOKUP(CONCATENATE($A50,"_",AP$3),'Unit List'!$A$23:$H$3256,2,FALSE)),"+","")</f>
        <v>+</v>
      </c>
      <c r="AQ50" s="51" t="str">
        <f>IF(ISTEXT(VLOOKUP(CONCATENATE($A50,"_",AQ$3),'Unit List'!$A$23:$H$3256,2,FALSE)),"X",$AP50)</f>
        <v>+</v>
      </c>
      <c r="AR50" s="67" t="str">
        <f>IF(ISTEXT(VLOOKUP(CONCATENATE($A50,"_",AR$3),'Unit List'!$A$23:$H$3256,2,FALSE)),"X",$AP50)</f>
        <v>X</v>
      </c>
      <c r="AS50" s="51" t="str">
        <f>IF(ISTEXT(VLOOKUP(CONCATENATE($A50,"_",AS$3),'Unit List'!$A$23:$H$3256,2,FALSE)),"X",$AP50)</f>
        <v>+</v>
      </c>
      <c r="AT50" s="53" t="str">
        <f>IF(ISTEXT(VLOOKUP(CONCATENATE($A50,"_",AT$3),'Unit List'!$A$23:$H$3256,2,FALSE)),"X",$AP50)</f>
        <v>+</v>
      </c>
      <c r="AU50" s="124" t="str">
        <f>IF(ISTEXT(VLOOKUP(CONCATENATE($A50,"_",AU$3),'Unit List'!$A$23:$H$3256,2,FALSE)),"+","")</f>
        <v>+</v>
      </c>
      <c r="AV50" s="51" t="str">
        <f>IF(ISTEXT(VLOOKUP(CONCATENATE($A50,"_",AV$3),'Unit List'!$A$23:$H$3256,2,FALSE)),"X",$AU50)</f>
        <v>+</v>
      </c>
      <c r="AW50" s="53" t="str">
        <f>IF(ISTEXT(VLOOKUP(CONCATENATE($A50,"_",AW$3),'Unit List'!$A$23:$H$3256,2,FALSE)),"X",$AU50)</f>
        <v>+</v>
      </c>
      <c r="AX50" s="172" t="str">
        <f>IF(ISTEXT(VLOOKUP(CONCATENATE($A50,"_",AX$3),'Unit List'!$A$23:$H$3256,2,FALSE)),"+","")</f>
        <v>+</v>
      </c>
      <c r="AY50" s="51" t="str">
        <f>IF(ISTEXT(VLOOKUP(CONCATENATE($A50,"_",AY$3),'Unit List'!$A$23:$H$3256,2,FALSE)),"X",$AX50)</f>
        <v>+</v>
      </c>
      <c r="AZ50" s="53" t="str">
        <f>IF(ISTEXT(VLOOKUP(CONCATENATE($A50,"_",AZ$3),'Unit List'!$A$23:$H$3256,2,FALSE)),"X",$AX50)</f>
        <v>+</v>
      </c>
      <c r="BA50" s="182" t="str">
        <f>IF(ISTEXT(VLOOKUP(CONCATENATE($A50,"_",BA$3),'Unit List'!$A$23:$H$3256,2,FALSE)),"+","")</f>
        <v/>
      </c>
      <c r="BB50" s="51" t="str">
        <f>IF(ISTEXT(VLOOKUP(CONCATENATE($A50,"_",BB$3),'Unit List'!$A$23:$H$3256,2,FALSE)),"X",$BA50)</f>
        <v/>
      </c>
      <c r="BC50" s="51" t="str">
        <f>IF(ISTEXT(VLOOKUP(CONCATENATE($A50,"_",BC$3),'Unit List'!$A$23:$H$3256,2,FALSE)),"X",$BA50)</f>
        <v/>
      </c>
      <c r="BD50" s="53" t="str">
        <f>IF(ISTEXT(VLOOKUP(CONCATENATE($A50,"_",BD$3),'Unit List'!$A$23:$H$3256,2,FALSE)),"X",$BA50)</f>
        <v/>
      </c>
      <c r="BE50" s="125" t="str">
        <f>IF(ISTEXT(VLOOKUP(CONCATENATE($A50,"_",BE$3),'Unit List'!$A$23:$H$3256,2,FALSE)),"+","")</f>
        <v>+</v>
      </c>
      <c r="BF50" s="62" t="str">
        <f>IF(ISTEXT(VLOOKUP(CONCATENATE($A50,"_",BF$3),'Unit List'!$A$23:$H$3256,2,FALSE)),"X",$BE50)</f>
        <v>+</v>
      </c>
      <c r="BG50" s="64"/>
      <c r="BH50" s="65" t="s">
        <v>0</v>
      </c>
      <c r="BI50" s="225"/>
      <c r="BJ50" s="226"/>
      <c r="BK50" s="226"/>
      <c r="BL50" s="226"/>
      <c r="BM50" s="227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List'!$A$23:$H$3256,2,FALSE)),"+","")</f>
        <v/>
      </c>
      <c r="C51" s="82" t="str">
        <f>IF(ISTEXT(VLOOKUP(CONCATENATE($A51,"_",C$3),'Unit List'!$A$23:$H$3256,2,FALSE)),"X",$B51)</f>
        <v>X</v>
      </c>
      <c r="D51" s="60" t="str">
        <f>IF(ISTEXT(VLOOKUP(CONCATENATE($A51,"_",D$3),'Unit List'!$A$23:$H$3256,2,FALSE)),"X",$B51)</f>
        <v/>
      </c>
      <c r="E51" s="58" t="str">
        <f>IF(ISTEXT(VLOOKUP(CONCATENATE($A51,"_",E$3),'Unit List'!$A$23:$H$3256,2,FALSE)),"X",$B51)</f>
        <v/>
      </c>
      <c r="F51" s="67" t="str">
        <f>IF(ISTEXT(VLOOKUP(CONCATENATE($A51,"_",F$3),'Unit List'!$A$23:$H$3256,2,FALSE)),"X",$B51)</f>
        <v>X</v>
      </c>
      <c r="G51" s="67" t="str">
        <f>IF(ISTEXT(VLOOKUP(CONCATENATE($A51,"_",G$3),'Unit List'!$A$23:$H$3256,2,FALSE)),"X",$B51)</f>
        <v>X</v>
      </c>
      <c r="H51" s="67" t="str">
        <f>IF(ISTEXT(VLOOKUP(CONCATENATE($A51,"_",H$3),'Unit List'!$A$23:$H$3256,2,FALSE)),"X",$B51)</f>
        <v>X</v>
      </c>
      <c r="I51" s="53" t="str">
        <f>IF(ISTEXT(VLOOKUP(CONCATENATE($A51,"_",I$3),'Unit List'!$A$23:$H$3256,2,FALSE)),"X",$B51)</f>
        <v/>
      </c>
      <c r="J51" s="172" t="str">
        <f>IF(ISTEXT(VLOOKUP(CONCATENATE($A51,"_",J$3),'Unit List'!$A$23:$H$3256,2,FALSE)),"+","")</f>
        <v>+</v>
      </c>
      <c r="K51" s="94" t="str">
        <f>IF(ISTEXT(VLOOKUP(CONCATENATE($A51,"_",K$3),'Unit List'!$A$23:$H$3256,2,FALSE)),"X",$J51)</f>
        <v>+</v>
      </c>
      <c r="L51" s="68" t="str">
        <f>IF(ISTEXT(VLOOKUP(CONCATENATE($A51,"_",L$3),'Unit List'!$A$23:$H$3256,2,FALSE)),"X",$J51)</f>
        <v>+</v>
      </c>
      <c r="M51" s="172" t="str">
        <f>IF(ISTEXT(VLOOKUP(CONCATENATE($A51,"_",M$3),'Unit List'!$A$23:$H$3256,2,FALSE)),"+","")</f>
        <v>+</v>
      </c>
      <c r="N51" s="51" t="str">
        <f>IF(ISTEXT(VLOOKUP(CONCATENATE($A51,"_",N$3),'Unit List'!$A$23:$H$3256,2,FALSE)),"X",$M51)</f>
        <v>X</v>
      </c>
      <c r="O51" s="53" t="str">
        <f>IF(ISTEXT(VLOOKUP(CONCATENATE($A51,"_",O$3),'Unit List'!$A$23:$H$3256,2,FALSE)),"X",$M51)</f>
        <v>X</v>
      </c>
      <c r="P51" s="171" t="str">
        <f>IF(ISTEXT(VLOOKUP(CONCATENATE($A51,"_",P$3),'Unit List'!$A$23:$H$3256,2,FALSE)),"+","")</f>
        <v>+</v>
      </c>
      <c r="Q51" s="51" t="str">
        <f>IF(ISTEXT(VLOOKUP(CONCATENATE($A51,"_",Q$3),'Unit List'!$A$23:$H$3256,2,FALSE)),"X",$P51)</f>
        <v>+</v>
      </c>
      <c r="R51" s="51" t="str">
        <f>IF(ISTEXT(VLOOKUP(CONCATENATE($A51,"_",R$3),'Unit List'!$A$23:$H$3256,2,FALSE)),"X",$P51)</f>
        <v>+</v>
      </c>
      <c r="S51" s="67" t="str">
        <f>IF(ISTEXT(VLOOKUP(CONCATENATE($A51,"_",S$3),'Unit List'!$A$23:$H$3256,2,FALSE)),"X",$P51)</f>
        <v>X</v>
      </c>
      <c r="T51" s="52" t="str">
        <f>IF(ISTEXT(VLOOKUP(CONCATENATE($A51,"_",T$3),'Unit List'!$A$23:$H$3256,2,FALSE)),"X",$P51)</f>
        <v>+</v>
      </c>
      <c r="U51" s="89" t="s">
        <v>3</v>
      </c>
      <c r="V51" s="67" t="str">
        <f>IF(ISTEXT(VLOOKUP(CONCATENATE($A51,"_",V$3),'Unit List'!$A$23:$H$3256,2,FALSE)),"X",$P51)</f>
        <v>X</v>
      </c>
      <c r="W51" s="53" t="str">
        <f>IF(ISTEXT(VLOOKUP(CONCATENATE($A51,"_",W$3),'Unit List'!$A$23:$H$3256,2,FALSE)),"X",$P51)</f>
        <v>+</v>
      </c>
      <c r="X51" s="171" t="str">
        <f>IF(ISTEXT(VLOOKUP(CONCATENATE($A51,"_",X$3),'Unit List'!$A$23:$H$3256,2,FALSE)),"+","")</f>
        <v>+</v>
      </c>
      <c r="Y51" s="51" t="str">
        <f>IF(ISTEXT(VLOOKUP(CONCATENATE($A51,"_",Y$3),'Unit List'!$A$23:$H$3256,2,FALSE)),"X",$X51)</f>
        <v>X</v>
      </c>
      <c r="Z51" s="51" t="str">
        <f>IF(ISTEXT(VLOOKUP(CONCATENATE($A51,"_",Z$3),'Unit List'!$A$23:$H$3256,2,FALSE)),"X",$X51)</f>
        <v>+</v>
      </c>
      <c r="AA51" s="67" t="str">
        <f>IF(ISTEXT(VLOOKUP(CONCATENATE($A51,"_",AA$3),'Unit List'!$A$23:$H$3256,2,FALSE)),"X",$X51)</f>
        <v>X</v>
      </c>
      <c r="AB51" s="67" t="str">
        <f>IF(ISTEXT(VLOOKUP(CONCATENATE($A51,"_",AB$3),'Unit List'!$A$23:$H$3256,2,FALSE)),"X",$X51)</f>
        <v>X</v>
      </c>
      <c r="AC51" s="86" t="str">
        <f>IF(ISTEXT(VLOOKUP(CONCATENATE($A51,"_",AC$3),'Unit List'!$A$23:$H$3256,2,FALSE)),"X",$X51)</f>
        <v>X</v>
      </c>
      <c r="AD51" s="171" t="str">
        <f>IF(ISTEXT(VLOOKUP(CONCATENATE($A51,"_",AD$3),'Unit List'!$A$23:$H$3256,2,FALSE)),"+","")</f>
        <v>+</v>
      </c>
      <c r="AE51" s="51" t="str">
        <f>IF(ISTEXT(VLOOKUP(CONCATENATE($A51,"_",AE$3),'Unit List'!$A$23:$H$3256,2,FALSE)),"X",$AD51)</f>
        <v>X</v>
      </c>
      <c r="AF51" s="51" t="str">
        <f>IF(ISTEXT(VLOOKUP(CONCATENATE($A51,"_",AF$3),'Unit List'!$A$23:$H$3256,2,FALSE)),"X",$AD51)</f>
        <v>+</v>
      </c>
      <c r="AG51" s="171" t="str">
        <f>IF(ISTEXT(VLOOKUP(CONCATENATE($A51,"_",AG$3),'Unit List'!$A$23:$H$3256,2,FALSE)),"+","")</f>
        <v>+</v>
      </c>
      <c r="AH51" s="67" t="str">
        <f>IF(ISTEXT(VLOOKUP(CONCATENATE($A51,"_",AH$3),'Unit List'!$A$23:$H$3256,2,FALSE)),"X",$AG51)</f>
        <v>X</v>
      </c>
      <c r="AI51" s="67" t="str">
        <f>IF(ISTEXT(VLOOKUP(CONCATENATE($A51,"_",AI$3),'Unit List'!$A$23:$H$3256,2,FALSE)),"X",$AG51)</f>
        <v>X</v>
      </c>
      <c r="AJ51" s="70" t="str">
        <f>IF(ISTEXT(VLOOKUP(CONCATENATE($A51,"_",AJ$3),'Unit List'!$A$23:$H$3256,2,FALSE)),"X",$AG51)</f>
        <v>+</v>
      </c>
      <c r="AK51" s="171" t="str">
        <f>IF(ISTEXT(VLOOKUP(CONCATENATE($A51,"_",AK$3),'Unit List'!$A$23:$H$3256,2,FALSE)),"+","")</f>
        <v>+</v>
      </c>
      <c r="AL51" s="52" t="str">
        <f>IF(ISTEXT(VLOOKUP(CONCATENATE($A51,"_",AL$3),'Unit List'!$A$23:$H$3256,2,FALSE)),"X",$AK51)</f>
        <v>X</v>
      </c>
      <c r="AM51" s="70" t="str">
        <f>IF(ISTEXT(VLOOKUP(CONCATENATE($A51,"_",AM$3),'Unit List'!$A$23:$H$3256,2,FALSE)),"X",$AK51)</f>
        <v>X</v>
      </c>
      <c r="AN51" s="125" t="str">
        <f>IF(ISTEXT(VLOOKUP(CONCATENATE($A51,"_",AN$3),'Unit List'!$A$23:$H$3256,2,FALSE)),"+","")</f>
        <v>+</v>
      </c>
      <c r="AO51" s="70" t="str">
        <f>IF(ISTEXT(VLOOKUP(CONCATENATE($A51,"_",AO$3),'Unit List'!$A$23:$H$3256,2,FALSE)),"X",$AN51)</f>
        <v>X</v>
      </c>
      <c r="AP51" s="171" t="str">
        <f>IF(ISTEXT(VLOOKUP(CONCATENATE($A51,"_",AP$3),'Unit List'!$A$23:$H$3256,2,FALSE)),"+","")</f>
        <v>+</v>
      </c>
      <c r="AQ51" s="67" t="str">
        <f>IF(ISTEXT(VLOOKUP(CONCATENATE($A51,"_",AQ$3),'Unit List'!$A$23:$H$3256,2,FALSE)),"X",$AP51)</f>
        <v>X</v>
      </c>
      <c r="AR51" s="67" t="str">
        <f>IF(ISTEXT(VLOOKUP(CONCATENATE($A51,"_",AR$3),'Unit List'!$A$23:$H$3256,2,FALSE)),"X",$AP51)</f>
        <v>X</v>
      </c>
      <c r="AS51" s="67" t="str">
        <f>IF(ISTEXT(VLOOKUP(CONCATENATE($A51,"_",AS$3),'Unit List'!$A$23:$H$3256,2,FALSE)),"X",$AP51)</f>
        <v>X</v>
      </c>
      <c r="AT51" s="70" t="str">
        <f>IF(ISTEXT(VLOOKUP(CONCATENATE($A51,"_",AT$3),'Unit List'!$A$23:$H$3256,2,FALSE)),"X",$AP51)</f>
        <v>X</v>
      </c>
      <c r="AU51" s="124" t="str">
        <f>IF(ISTEXT(VLOOKUP(CONCATENATE($A51,"_",AU$3),'Unit List'!$A$23:$H$3256,2,FALSE)),"+","")</f>
        <v>+</v>
      </c>
      <c r="AV51" s="90" t="s">
        <v>0</v>
      </c>
      <c r="AW51" s="53" t="str">
        <f>IF(ISTEXT(VLOOKUP(CONCATENATE($A51,"_",AW$3),'Unit List'!$A$23:$H$3256,2,FALSE)),"X",$AU51)</f>
        <v>+</v>
      </c>
      <c r="AX51" s="172" t="str">
        <f>IF(ISTEXT(VLOOKUP(CONCATENATE($A51,"_",AX$3),'Unit List'!$A$23:$H$3256,2,FALSE)),"+","")</f>
        <v/>
      </c>
      <c r="AY51" s="89" t="s">
        <v>0</v>
      </c>
      <c r="AZ51" s="53" t="str">
        <f>IF(ISTEXT(VLOOKUP(CONCATENATE($A51,"_",AZ$3),'Unit List'!$A$23:$H$3256,2,FALSE)),"X",$AX51)</f>
        <v/>
      </c>
      <c r="BA51" s="171" t="str">
        <f>IF(ISTEXT(VLOOKUP(CONCATENATE($A51,"_",BA$3),'Unit List'!$A$23:$H$3256,2,FALSE)),"+","")</f>
        <v>+</v>
      </c>
      <c r="BB51" s="67" t="str">
        <f>IF(ISTEXT(VLOOKUP(CONCATENATE($A51,"_",BB$3),'Unit List'!$A$23:$H$3256,2,FALSE)),"X",$BA51)</f>
        <v>X</v>
      </c>
      <c r="BC51" s="67" t="str">
        <f>IF(ISTEXT(VLOOKUP(CONCATENATE($A51,"_",BC$3),'Unit List'!$A$23:$H$3256,2,FALSE)),"X",$BA51)</f>
        <v>X</v>
      </c>
      <c r="BD51" s="70" t="str">
        <f>IF(ISTEXT(VLOOKUP(CONCATENATE($A51,"_",BD$3),'Unit List'!$A$23:$H$3256,2,FALSE)),"X",$BA51)</f>
        <v>X</v>
      </c>
      <c r="BE51" s="125" t="str">
        <f>IF(ISTEXT(VLOOKUP(CONCATENATE($A51,"_",BE$3),'Unit List'!$A$23:$H$3256,2,FALSE)),"+","")</f>
        <v>+</v>
      </c>
      <c r="BF51" s="86" t="str">
        <f>IF(ISTEXT(VLOOKUP(CONCATENATE($A51,"_",BF$3),'Unit List'!$A$23:$H$3256,2,FALSE)),"X",$BE51)</f>
        <v>X</v>
      </c>
      <c r="BG51" s="75"/>
      <c r="BH51" s="76" t="s">
        <v>0</v>
      </c>
      <c r="BI51" s="225" t="s">
        <v>12</v>
      </c>
      <c r="BJ51" s="228"/>
      <c r="BK51" s="228"/>
      <c r="BL51" s="228"/>
      <c r="BM51" s="229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List'!$A$23:$H$3256,2,FALSE)),"+","")</f>
        <v/>
      </c>
      <c r="C52" s="82" t="str">
        <f>IF(ISTEXT(VLOOKUP(CONCATENATE($A52,"_",C$3),'Unit List'!$A$23:$H$3256,2,FALSE)),"X",$B52)</f>
        <v>X</v>
      </c>
      <c r="D52" s="67" t="str">
        <f>IF(ISTEXT(VLOOKUP(CONCATENATE($A52,"_",D$3),'Unit List'!$A$23:$H$3256,2,FALSE)),"X",$B52)</f>
        <v>X</v>
      </c>
      <c r="E52" s="51" t="str">
        <f>IF(ISTEXT(VLOOKUP(CONCATENATE($A52,"_",E$3),'Unit List'!$A$23:$H$3256,2,FALSE)),"X",$B52)</f>
        <v>X</v>
      </c>
      <c r="F52" s="67" t="str">
        <f>IF(ISTEXT(VLOOKUP(CONCATENATE($A52,"_",F$3),'Unit List'!$A$23:$H$3256,2,FALSE)),"X",$B52)</f>
        <v>X</v>
      </c>
      <c r="G52" s="67" t="str">
        <f>IF(ISTEXT(VLOOKUP(CONCATENATE($A52,"_",G$3),'Unit List'!$A$23:$H$3256,2,FALSE)),"X",$B52)</f>
        <v>X</v>
      </c>
      <c r="H52" s="89" t="s">
        <v>3</v>
      </c>
      <c r="I52" s="70" t="str">
        <f>IF(ISTEXT(VLOOKUP(CONCATENATE($A52,"_",I$3),'Unit List'!$A$23:$H$3256,2,FALSE)),"X",$B52)</f>
        <v>X</v>
      </c>
      <c r="J52" s="172" t="str">
        <f>IF(ISTEXT(VLOOKUP(CONCATENATE($A52,"_",J$3),'Unit List'!$A$23:$H$3256,2,FALSE)),"+","")</f>
        <v/>
      </c>
      <c r="K52" s="51" t="str">
        <f>IF(ISTEXT(VLOOKUP(CONCATENATE($A52,"_",K$3),'Unit List'!$A$23:$H$3256,2,FALSE)),"X",$J52)</f>
        <v/>
      </c>
      <c r="L52" s="86" t="str">
        <f>IF(ISTEXT(VLOOKUP(CONCATENATE($A52,"_",L$3),'Unit List'!$A$23:$H$3256,2,FALSE)),"X",$J52)</f>
        <v>X</v>
      </c>
      <c r="M52" s="172" t="str">
        <f>IF(ISTEXT(VLOOKUP(CONCATENATE($A52,"_",M$3),'Unit List'!$A$23:$H$3256,2,FALSE)),"+","")</f>
        <v>+</v>
      </c>
      <c r="N52" s="67" t="str">
        <f>IF(ISTEXT(VLOOKUP(CONCATENATE($A52,"_",N$3),'Unit List'!$A$23:$H$3256,2,FALSE)),"X",$M52)</f>
        <v>X</v>
      </c>
      <c r="O52" s="70" t="str">
        <f>IF(ISTEXT(VLOOKUP(CONCATENATE($A52,"_",O$3),'Unit List'!$A$23:$H$3256,2,FALSE)),"X",$M52)</f>
        <v>X</v>
      </c>
      <c r="P52" s="172" t="str">
        <f>IF(ISTEXT(VLOOKUP(CONCATENATE($A52,"_",P$3),'Unit List'!$A$23:$H$3256,2,FALSE)),"+","")</f>
        <v/>
      </c>
      <c r="Q52" s="51" t="str">
        <f>IF(ISTEXT(VLOOKUP(CONCATENATE($A52,"_",Q$3),'Unit List'!$A$23:$H$3256,2,FALSE)),"X",$P52)</f>
        <v/>
      </c>
      <c r="R52" s="51" t="str">
        <f>IF(ISTEXT(VLOOKUP(CONCATENATE($A52,"_",R$3),'Unit List'!$A$23:$H$3256,2,FALSE)),"X",$P52)</f>
        <v/>
      </c>
      <c r="S52" s="51" t="str">
        <f>IF(ISTEXT(VLOOKUP(CONCATENATE($A52,"_",S$3),'Unit List'!$A$23:$H$3256,2,FALSE)),"X",$P52)</f>
        <v/>
      </c>
      <c r="T52" s="52" t="str">
        <f>IF(ISTEXT(VLOOKUP(CONCATENATE($A52,"_",T$3),'Unit List'!$A$23:$H$3256,2,FALSE)),"X",$P52)</f>
        <v/>
      </c>
      <c r="U52" s="67" t="str">
        <f>IF(ISTEXT(VLOOKUP(CONCATENATE($A52,"_",U$3),'Unit List'!$A$23:$H$3256,2,FALSE)),"X",$P52)</f>
        <v>X</v>
      </c>
      <c r="V52" s="51" t="str">
        <f>IF(ISTEXT(VLOOKUP(CONCATENATE($A52,"_",V$3),'Unit List'!$A$23:$H$3256,2,FALSE)),"X",$P52)</f>
        <v>X</v>
      </c>
      <c r="W52" s="53" t="str">
        <f>IF(ISTEXT(VLOOKUP(CONCATENATE($A52,"_",W$3),'Unit List'!$A$23:$H$3256,2,FALSE)),"X",$P52)</f>
        <v/>
      </c>
      <c r="X52" s="172" t="str">
        <f>IF(ISTEXT(VLOOKUP(CONCATENATE($A52,"_",X$3),'Unit List'!$A$23:$H$3256,2,FALSE)),"+","")</f>
        <v>+</v>
      </c>
      <c r="Y52" s="51" t="str">
        <f>IF(ISTEXT(VLOOKUP(CONCATENATE($A52,"_",Y$3),'Unit List'!$A$23:$H$3256,2,FALSE)),"X",$X52)</f>
        <v>+</v>
      </c>
      <c r="Z52" s="51" t="str">
        <f>IF(ISTEXT(VLOOKUP(CONCATENATE($A52,"_",Z$3),'Unit List'!$A$23:$H$3256,2,FALSE)),"X",$X52)</f>
        <v>+</v>
      </c>
      <c r="AA52" s="51" t="str">
        <f>IF(ISTEXT(VLOOKUP(CONCATENATE($A52,"_",AA$3),'Unit List'!$A$23:$H$3256,2,FALSE)),"X",$X52)</f>
        <v>+</v>
      </c>
      <c r="AB52" s="51" t="str">
        <f>IF(ISTEXT(VLOOKUP(CONCATENATE($A52,"_",AB$3),'Unit List'!$A$23:$H$3256,2,FALSE)),"X",$X52)</f>
        <v>+</v>
      </c>
      <c r="AC52" s="62" t="str">
        <f>IF(ISTEXT(VLOOKUP(CONCATENATE($A52,"_",AC$3),'Unit List'!$A$23:$H$3256,2,FALSE)),"X",$X52)</f>
        <v>+</v>
      </c>
      <c r="AD52" s="171" t="str">
        <f>IF(ISTEXT(VLOOKUP(CONCATENATE($A52,"_",AD$3),'Unit List'!$A$23:$H$3256,2,FALSE)),"+","")</f>
        <v>+</v>
      </c>
      <c r="AE52" s="51" t="str">
        <f>IF(ISTEXT(VLOOKUP(CONCATENATE($A52,"_",AE$3),'Unit List'!$A$23:$H$3256,2,FALSE)),"X",$AD52)</f>
        <v>+</v>
      </c>
      <c r="AF52" s="51" t="str">
        <f>IF(ISTEXT(VLOOKUP(CONCATENATE($A52,"_",AF$3),'Unit List'!$A$23:$H$3256,2,FALSE)),"X",$AD52)</f>
        <v>+</v>
      </c>
      <c r="AG52" s="171" t="str">
        <f>IF(ISTEXT(VLOOKUP(CONCATENATE($A52,"_",AG$3),'Unit List'!$A$23:$H$3256,2,FALSE)),"+","")</f>
        <v>+</v>
      </c>
      <c r="AH52" s="51" t="str">
        <f>IF(ISTEXT(VLOOKUP(CONCATENATE($A52,"_",AH$3),'Unit List'!$A$23:$H$3256,2,FALSE)),"X",$AG52)</f>
        <v>+</v>
      </c>
      <c r="AI52" s="51" t="str">
        <f>IF(ISTEXT(VLOOKUP(CONCATENATE($A52,"_",AI$3),'Unit List'!$A$23:$H$3256,2,FALSE)),"X",$AG52)</f>
        <v>+</v>
      </c>
      <c r="AJ52" s="53" t="str">
        <f>IF(ISTEXT(VLOOKUP(CONCATENATE($A52,"_",AJ$3),'Unit List'!$A$23:$H$3256,2,FALSE)),"X",$AG52)</f>
        <v>X</v>
      </c>
      <c r="AK52" s="172" t="str">
        <f>IF(ISTEXT(VLOOKUP(CONCATENATE($A52,"_",AK$3),'Unit List'!$A$23:$H$3256,2,FALSE)),"+","")</f>
        <v/>
      </c>
      <c r="AL52" s="87" t="str">
        <f>IF(ISTEXT(VLOOKUP(CONCATENATE($A52,"_",AL$3),'Unit List'!$A$23:$H$3256,2,FALSE)),"X",$AK52)</f>
        <v>X</v>
      </c>
      <c r="AM52" s="53" t="str">
        <f>IF(ISTEXT(VLOOKUP(CONCATENATE($A52,"_",AM$3),'Unit List'!$A$23:$H$3256,2,FALSE)),"X",$AK52)</f>
        <v/>
      </c>
      <c r="AN52" s="125" t="str">
        <f>IF(ISTEXT(VLOOKUP(CONCATENATE($A52,"_",AN$3),'Unit List'!$A$23:$H$3256,2,FALSE)),"+","")</f>
        <v>+</v>
      </c>
      <c r="AO52" s="53" t="str">
        <f>IF(ISTEXT(VLOOKUP(CONCATENATE($A52,"_",AO$3),'Unit List'!$A$23:$H$3256,2,FALSE)),"X",$AN52)</f>
        <v>+</v>
      </c>
      <c r="AP52" s="172" t="str">
        <f>IF(ISTEXT(VLOOKUP(CONCATENATE($A52,"_",AP$3),'Unit List'!$A$23:$H$3256,2,FALSE)),"+","")</f>
        <v>+</v>
      </c>
      <c r="AQ52" s="67" t="str">
        <f>IF(ISTEXT(VLOOKUP(CONCATENATE($A52,"_",AQ$3),'Unit List'!$A$23:$H$3256,2,FALSE)),"X",$AP52)</f>
        <v>X</v>
      </c>
      <c r="AR52" s="67" t="str">
        <f>IF(ISTEXT(VLOOKUP(CONCATENATE($A52,"_",AR$3),'Unit List'!$A$23:$H$3256,2,FALSE)),"X",$AP52)</f>
        <v>X</v>
      </c>
      <c r="AS52" s="51" t="str">
        <f>IF(ISTEXT(VLOOKUP(CONCATENATE($A52,"_",AS$3),'Unit List'!$A$23:$H$3256,2,FALSE)),"X",$AP52)</f>
        <v>X</v>
      </c>
      <c r="AT52" s="53" t="str">
        <f>IF(ISTEXT(VLOOKUP(CONCATENATE($A52,"_",AT$3),'Unit List'!$A$23:$H$3256,2,FALSE)),"X",$AP52)</f>
        <v>+</v>
      </c>
      <c r="AU52" s="124" t="str">
        <f>IF(ISTEXT(VLOOKUP(CONCATENATE($A52,"_",AU$3),'Unit List'!$A$23:$H$3256,2,FALSE)),"+","")</f>
        <v>+</v>
      </c>
      <c r="AV52" s="51" t="str">
        <f>IF(ISTEXT(VLOOKUP(CONCATENATE($A52,"_",AV$3),'Unit List'!$A$23:$H$3256,2,FALSE)),"X",$AU52)</f>
        <v>+</v>
      </c>
      <c r="AW52" s="53" t="str">
        <f>IF(ISTEXT(VLOOKUP(CONCATENATE($A52,"_",AW$3),'Unit List'!$A$23:$H$3256,2,FALSE)),"X",$AU52)</f>
        <v>+</v>
      </c>
      <c r="AX52" s="171" t="str">
        <f>IF(ISTEXT(VLOOKUP(CONCATENATE($A52,"_",AX$3),'Unit List'!$A$23:$H$3256,2,FALSE)),"+","")</f>
        <v>+</v>
      </c>
      <c r="AY52" s="69" t="str">
        <f>IF(ISTEXT(VLOOKUP(CONCATENATE($A52,"_",AY$3),'Unit List'!$A$23:$H$3256,2,FALSE)),"X",$AX52)</f>
        <v>X</v>
      </c>
      <c r="AZ52" s="53" t="str">
        <f>IF(ISTEXT(VLOOKUP(CONCATENATE($A52,"_",AZ$3),'Unit List'!$A$23:$H$3256,2,FALSE)),"X",$AX52)</f>
        <v>+</v>
      </c>
      <c r="BA52" s="171" t="str">
        <f>IF(ISTEXT(VLOOKUP(CONCATENATE($A52,"_",BA$3),'Unit List'!$A$23:$H$3256,2,FALSE)),"+","")</f>
        <v>+</v>
      </c>
      <c r="BB52" s="51" t="str">
        <f>IF(ISTEXT(VLOOKUP(CONCATENATE($A52,"_",BB$3),'Unit List'!$A$23:$H$3256,2,FALSE)),"X",$BA52)</f>
        <v>+</v>
      </c>
      <c r="BC52" s="69" t="str">
        <f>IF(ISTEXT(VLOOKUP(CONCATENATE($A52,"_",BC$3),'Unit List'!$A$23:$H$3256,2,FALSE)),"X",$BA52)</f>
        <v>+</v>
      </c>
      <c r="BD52" s="53" t="str">
        <f>IF(ISTEXT(VLOOKUP(CONCATENATE($A52,"_",BD$3),'Unit List'!$A$23:$H$3256,2,FALSE)),"X",$BA52)</f>
        <v>+</v>
      </c>
      <c r="BE52" s="125" t="str">
        <f>IF(ISTEXT(VLOOKUP(CONCATENATE($A52,"_",BE$3),'Unit List'!$A$23:$H$3256,2,FALSE)),"+","")</f>
        <v>+</v>
      </c>
      <c r="BF52" s="62" t="str">
        <f>IF(ISTEXT(VLOOKUP(CONCATENATE($A52,"_",BF$3),'Unit List'!$A$23:$H$3256,2,FALSE)),"X",$BE52)</f>
        <v>+</v>
      </c>
      <c r="BG52" s="64"/>
      <c r="BH52" s="65" t="s">
        <v>0</v>
      </c>
      <c r="BI52" s="225"/>
      <c r="BJ52" s="226"/>
      <c r="BK52" s="226"/>
      <c r="BL52" s="226"/>
      <c r="BM52" s="227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List'!$A$23:$H$3256,2,FALSE)),"+","")</f>
        <v/>
      </c>
      <c r="C53" s="57" t="str">
        <f>IF(ISTEXT(VLOOKUP(CONCATENATE($A53,"_",C$3),'Unit List'!$A$23:$H$3256,2,FALSE)),"X",$B53)</f>
        <v/>
      </c>
      <c r="D53" s="51" t="str">
        <f>IF(ISTEXT(VLOOKUP(CONCATENATE($A53,"_",D$3),'Unit List'!$A$23:$H$3256,2,FALSE)),"X",$B53)</f>
        <v/>
      </c>
      <c r="E53" s="51" t="str">
        <f>IF(ISTEXT(VLOOKUP(CONCATENATE($A53,"_",E$3),'Unit List'!$A$23:$H$3256,2,FALSE)),"X",$B53)</f>
        <v/>
      </c>
      <c r="F53" s="51" t="str">
        <f>IF(ISTEXT(VLOOKUP(CONCATENATE($A53,"_",F$3),'Unit List'!$A$23:$H$3256,2,FALSE)),"X",$B53)</f>
        <v/>
      </c>
      <c r="G53" s="51" t="str">
        <f>IF(ISTEXT(VLOOKUP(CONCATENATE($A53,"_",G$3),'Unit List'!$A$23:$H$3256,2,FALSE)),"X",$B53)</f>
        <v/>
      </c>
      <c r="H53" s="51" t="str">
        <f>IF(ISTEXT(VLOOKUP(CONCATENATE($A53,"_",H$3),'Unit List'!$A$23:$H$3256,2,FALSE)),"X",$B53)</f>
        <v/>
      </c>
      <c r="I53" s="53" t="str">
        <f>IF(ISTEXT(VLOOKUP(CONCATENATE($A53,"_",I$3),'Unit List'!$A$23:$H$3256,2,FALSE)),"X",$B53)</f>
        <v/>
      </c>
      <c r="J53" s="172" t="str">
        <f>IF(ISTEXT(VLOOKUP(CONCATENATE($A53,"_",J$3),'Unit List'!$A$23:$H$3256,2,FALSE)),"+","")</f>
        <v/>
      </c>
      <c r="K53" s="51" t="str">
        <f>IF(ISTEXT(VLOOKUP(CONCATENATE($A53,"_",K$3),'Unit List'!$A$23:$H$3256,2,FALSE)),"X",$J53)</f>
        <v/>
      </c>
      <c r="L53" s="62" t="str">
        <f>IF(ISTEXT(VLOOKUP(CONCATENATE($A53,"_",L$3),'Unit List'!$A$23:$H$3256,2,FALSE)),"X",$J53)</f>
        <v/>
      </c>
      <c r="M53" s="172" t="str">
        <f>IF(ISTEXT(VLOOKUP(CONCATENATE($A53,"_",M$3),'Unit List'!$A$23:$H$3256,2,FALSE)),"+","")</f>
        <v/>
      </c>
      <c r="N53" s="51" t="str">
        <f>IF(ISTEXT(VLOOKUP(CONCATENATE($A53,"_",N$3),'Unit List'!$A$23:$H$3256,2,FALSE)),"X",$M53)</f>
        <v/>
      </c>
      <c r="O53" s="53" t="str">
        <f>IF(ISTEXT(VLOOKUP(CONCATENATE($A53,"_",O$3),'Unit List'!$A$23:$H$3256,2,FALSE)),"X",$M53)</f>
        <v/>
      </c>
      <c r="P53" s="172" t="str">
        <f>IF(ISTEXT(VLOOKUP(CONCATENATE($A53,"_",P$3),'Unit List'!$A$23:$H$3256,2,FALSE)),"+","")</f>
        <v/>
      </c>
      <c r="Q53" s="51" t="str">
        <f>IF(ISTEXT(VLOOKUP(CONCATENATE($A53,"_",Q$3),'Unit List'!$A$23:$H$3256,2,FALSE)),"X",$P53)</f>
        <v/>
      </c>
      <c r="R53" s="51" t="str">
        <f>IF(ISTEXT(VLOOKUP(CONCATENATE($A53,"_",R$3),'Unit List'!$A$23:$H$3256,2,FALSE)),"X",$P53)</f>
        <v/>
      </c>
      <c r="S53" s="51" t="str">
        <f>IF(ISTEXT(VLOOKUP(CONCATENATE($A53,"_",S$3),'Unit List'!$A$23:$H$3256,2,FALSE)),"X",$P53)</f>
        <v/>
      </c>
      <c r="T53" s="52" t="str">
        <f>IF(ISTEXT(VLOOKUP(CONCATENATE($A53,"_",T$3),'Unit List'!$A$23:$H$3256,2,FALSE)),"X",$P53)</f>
        <v/>
      </c>
      <c r="U53" s="51" t="str">
        <f>IF(ISTEXT(VLOOKUP(CONCATENATE($A53,"_",U$3),'Unit List'!$A$23:$H$3256,2,FALSE)),"X",$P53)</f>
        <v/>
      </c>
      <c r="V53" s="51" t="str">
        <f>IF(ISTEXT(VLOOKUP(CONCATENATE($A53,"_",V$3),'Unit List'!$A$23:$H$3256,2,FALSE)),"X",$P53)</f>
        <v/>
      </c>
      <c r="W53" s="53" t="str">
        <f>IF(ISTEXT(VLOOKUP(CONCATENATE($A53,"_",W$3),'Unit List'!$A$23:$H$3256,2,FALSE)),"X",$P53)</f>
        <v/>
      </c>
      <c r="X53" s="172" t="str">
        <f>IF(ISTEXT(VLOOKUP(CONCATENATE($A53,"_",X$3),'Unit List'!$A$23:$H$3256,2,FALSE)),"+","")</f>
        <v/>
      </c>
      <c r="Y53" s="51" t="str">
        <f>IF(ISTEXT(VLOOKUP(CONCATENATE($A53,"_",Y$3),'Unit List'!$A$23:$H$3256,2,FALSE)),"X",$X53)</f>
        <v/>
      </c>
      <c r="Z53" s="51" t="str">
        <f>IF(ISTEXT(VLOOKUP(CONCATENATE($A53,"_",Z$3),'Unit List'!$A$23:$H$3256,2,FALSE)),"X",$X53)</f>
        <v/>
      </c>
      <c r="AA53" s="51" t="str">
        <f>IF(ISTEXT(VLOOKUP(CONCATENATE($A53,"_",AA$3),'Unit List'!$A$23:$H$3256,2,FALSE)),"X",$X53)</f>
        <v/>
      </c>
      <c r="AB53" s="51" t="str">
        <f>IF(ISTEXT(VLOOKUP(CONCATENATE($A53,"_",AB$3),'Unit List'!$A$23:$H$3256,2,FALSE)),"X",$X53)</f>
        <v/>
      </c>
      <c r="AC53" s="62" t="str">
        <f>IF(ISTEXT(VLOOKUP(CONCATENATE($A53,"_",AC$3),'Unit List'!$A$23:$H$3256,2,FALSE)),"X",$X53)</f>
        <v/>
      </c>
      <c r="AD53" s="172" t="str">
        <f>IF(ISTEXT(VLOOKUP(CONCATENATE($A53,"_",AD$3),'Unit List'!$A$23:$H$3256,2,FALSE)),"+","")</f>
        <v/>
      </c>
      <c r="AE53" s="51" t="str">
        <f>IF(ISTEXT(VLOOKUP(CONCATENATE($A53,"_",AE$3),'Unit List'!$A$23:$H$3256,2,FALSE)),"X",$AD53)</f>
        <v/>
      </c>
      <c r="AF53" s="51" t="str">
        <f>IF(ISTEXT(VLOOKUP(CONCATENATE($A53,"_",AF$3),'Unit List'!$A$23:$H$3256,2,FALSE)),"X",$AD53)</f>
        <v/>
      </c>
      <c r="AG53" s="172" t="str">
        <f>IF(ISTEXT(VLOOKUP(CONCATENATE($A53,"_",AG$3),'Unit List'!$A$23:$H$3256,2,FALSE)),"+","")</f>
        <v/>
      </c>
      <c r="AH53" s="51" t="str">
        <f>IF(ISTEXT(VLOOKUP(CONCATENATE($A53,"_",AH$3),'Unit List'!$A$23:$H$3256,2,FALSE)),"X",$AG53)</f>
        <v/>
      </c>
      <c r="AI53" s="51" t="str">
        <f>IF(ISTEXT(VLOOKUP(CONCATENATE($A53,"_",AI$3),'Unit List'!$A$23:$H$3256,2,FALSE)),"X",$AG53)</f>
        <v/>
      </c>
      <c r="AJ53" s="53" t="str">
        <f>IF(ISTEXT(VLOOKUP(CONCATENATE($A53,"_",AJ$3),'Unit List'!$A$23:$H$3256,2,FALSE)),"X",$AG53)</f>
        <v/>
      </c>
      <c r="AK53" s="172" t="str">
        <f>IF(ISTEXT(VLOOKUP(CONCATENATE($A53,"_",AK$3),'Unit List'!$A$23:$H$3256,2,FALSE)),"+","")</f>
        <v/>
      </c>
      <c r="AL53" s="52" t="str">
        <f>IF(ISTEXT(VLOOKUP(CONCATENATE($A53,"_",AL$3),'Unit List'!$A$23:$H$3256,2,FALSE)),"X",$AK53)</f>
        <v/>
      </c>
      <c r="AM53" s="53" t="str">
        <f>IF(ISTEXT(VLOOKUP(CONCATENATE($A53,"_",AM$3),'Unit List'!$A$23:$H$3256,2,FALSE)),"X",$AK53)</f>
        <v/>
      </c>
      <c r="AN53" s="125" t="str">
        <f>IF(ISTEXT(VLOOKUP(CONCATENATE($A53,"_",AN$3),'Unit List'!$A$23:$H$3256,2,FALSE)),"+","")</f>
        <v/>
      </c>
      <c r="AO53" s="53" t="str">
        <f>IF(ISTEXT(VLOOKUP(CONCATENATE($A53,"_",AO$3),'Unit List'!$A$23:$H$3256,2,FALSE)),"X",$AN53)</f>
        <v/>
      </c>
      <c r="AP53" s="172" t="str">
        <f>IF(ISTEXT(VLOOKUP(CONCATENATE($A53,"_",AP$3),'Unit List'!$A$23:$H$3256,2,FALSE)),"+","")</f>
        <v/>
      </c>
      <c r="AQ53" s="51" t="str">
        <f>IF(ISTEXT(VLOOKUP(CONCATENATE($A53,"_",AQ$3),'Unit List'!$A$23:$H$3256,2,FALSE)),"X",$AP53)</f>
        <v/>
      </c>
      <c r="AR53" s="51" t="str">
        <f>IF(ISTEXT(VLOOKUP(CONCATENATE($A53,"_",AR$3),'Unit List'!$A$23:$H$3256,2,FALSE)),"X",$AP53)</f>
        <v/>
      </c>
      <c r="AS53" s="89" t="s">
        <v>0</v>
      </c>
      <c r="AT53" s="53" t="str">
        <f>IF(ISTEXT(VLOOKUP(CONCATENATE($A53,"_",AT$3),'Unit List'!$A$23:$H$3256,2,FALSE)),"X",$AP53)</f>
        <v/>
      </c>
      <c r="AU53" s="124" t="str">
        <f>IF(ISTEXT(VLOOKUP(CONCATENATE($A53,"_",AU$3),'Unit List'!$A$23:$H$3256,2,FALSE)),"+","")</f>
        <v/>
      </c>
      <c r="AV53" s="51" t="str">
        <f>IF(ISTEXT(VLOOKUP(CONCATENATE($A53,"_",AV$3),'Unit List'!$A$23:$H$3256,2,FALSE)),"X",$AU53)</f>
        <v/>
      </c>
      <c r="AW53" s="53" t="str">
        <f>IF(ISTEXT(VLOOKUP(CONCATENATE($A53,"_",AW$3),'Unit List'!$A$23:$H$3256,2,FALSE)),"X",$AU53)</f>
        <v/>
      </c>
      <c r="AX53" s="172" t="str">
        <f>IF(ISTEXT(VLOOKUP(CONCATENATE($A53,"_",AX$3),'Unit List'!$A$23:$H$3256,2,FALSE)),"+","")</f>
        <v/>
      </c>
      <c r="AY53" s="51" t="str">
        <f>IF(ISTEXT(VLOOKUP(CONCATENATE($A53,"_",AY$3),'Unit List'!$A$23:$H$3256,2,FALSE)),"X",$AX53)</f>
        <v/>
      </c>
      <c r="AZ53" s="53" t="str">
        <f>IF(ISTEXT(VLOOKUP(CONCATENATE($A53,"_",AZ$3),'Unit List'!$A$23:$H$3256,2,FALSE)),"X",$AX53)</f>
        <v/>
      </c>
      <c r="BA53" s="182" t="str">
        <f>IF(ISTEXT(VLOOKUP(CONCATENATE($A53,"_",BA$3),'Unit List'!$A$23:$H$3256,2,FALSE)),"+","")</f>
        <v/>
      </c>
      <c r="BB53" s="51" t="str">
        <f>IF(ISTEXT(VLOOKUP(CONCATENATE($A53,"_",BB$3),'Unit List'!$A$23:$H$3256,2,FALSE)),"X",$BA53)</f>
        <v/>
      </c>
      <c r="BC53" s="51" t="str">
        <f>IF(ISTEXT(VLOOKUP(CONCATENATE($A53,"_",BC$3),'Unit List'!$A$23:$H$3256,2,FALSE)),"X",$BA53)</f>
        <v/>
      </c>
      <c r="BD53" s="53" t="str">
        <f>IF(ISTEXT(VLOOKUP(CONCATENATE($A53,"_",BD$3),'Unit List'!$A$23:$H$3256,2,FALSE)),"X",$BA53)</f>
        <v/>
      </c>
      <c r="BE53" s="125" t="str">
        <f>IF(ISTEXT(VLOOKUP(CONCATENATE($A53,"_",BE$3),'Unit List'!$A$23:$H$3256,2,FALSE)),"+","")</f>
        <v/>
      </c>
      <c r="BF53" s="62" t="str">
        <f>IF(ISTEXT(VLOOKUP(CONCATENATE($A53,"_",BF$3),'Unit List'!$A$23:$H$3256,2,FALSE)),"X",$BE53)</f>
        <v/>
      </c>
      <c r="BG53" s="64"/>
      <c r="BH53" s="65" t="s">
        <v>0</v>
      </c>
      <c r="BI53" s="225"/>
      <c r="BJ53" s="226"/>
      <c r="BK53" s="226"/>
      <c r="BL53" s="226"/>
      <c r="BM53" s="227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List'!$A$23:$H$3256,2,FALSE)),"+","")</f>
        <v/>
      </c>
      <c r="C54" s="57" t="str">
        <f>IF(ISTEXT(VLOOKUP(CONCATENATE($A54,"_",C$3),'Unit List'!$A$23:$H$3256,2,FALSE)),"X",$B54)</f>
        <v/>
      </c>
      <c r="D54" s="51" t="str">
        <f>IF(ISTEXT(VLOOKUP(CONCATENATE($A54,"_",D$3),'Unit List'!$A$23:$H$3256,2,FALSE)),"X",$B54)</f>
        <v/>
      </c>
      <c r="E54" s="51" t="str">
        <f>IF(ISTEXT(VLOOKUP(CONCATENATE($A54,"_",E$3),'Unit List'!$A$23:$H$3256,2,FALSE)),"X",$B54)</f>
        <v/>
      </c>
      <c r="F54" s="51" t="str">
        <f>IF(ISTEXT(VLOOKUP(CONCATENATE($A54,"_",F$3),'Unit List'!$A$23:$H$3256,2,FALSE)),"X",$B54)</f>
        <v/>
      </c>
      <c r="G54" s="51" t="str">
        <f>IF(ISTEXT(VLOOKUP(CONCATENATE($A54,"_",G$3),'Unit List'!$A$23:$H$3256,2,FALSE)),"X",$B54)</f>
        <v/>
      </c>
      <c r="H54" s="51" t="str">
        <f>IF(ISTEXT(VLOOKUP(CONCATENATE($A54,"_",H$3),'Unit List'!$A$23:$H$3256,2,FALSE)),"X",$B54)</f>
        <v/>
      </c>
      <c r="I54" s="53" t="str">
        <f>IF(ISTEXT(VLOOKUP(CONCATENATE($A54,"_",I$3),'Unit List'!$A$23:$H$3256,2,FALSE)),"X",$B54)</f>
        <v/>
      </c>
      <c r="J54" s="172" t="str">
        <f>IF(ISTEXT(VLOOKUP(CONCATENATE($A54,"_",J$3),'Unit List'!$A$23:$H$3256,2,FALSE)),"+","")</f>
        <v>+</v>
      </c>
      <c r="K54" s="51" t="str">
        <f>IF(ISTEXT(VLOOKUP(CONCATENATE($A54,"_",K$3),'Unit List'!$A$23:$H$3256,2,FALSE)),"X",$J54)</f>
        <v>+</v>
      </c>
      <c r="L54" s="62" t="str">
        <f>IF(ISTEXT(VLOOKUP(CONCATENATE($A54,"_",L$3),'Unit List'!$A$23:$H$3256,2,FALSE)),"X",$J54)</f>
        <v>+</v>
      </c>
      <c r="M54" s="172" t="str">
        <f>IF(ISTEXT(VLOOKUP(CONCATENATE($A54,"_",M$3),'Unit List'!$A$23:$H$3256,2,FALSE)),"+","")</f>
        <v/>
      </c>
      <c r="N54" s="51" t="str">
        <f>IF(ISTEXT(VLOOKUP(CONCATENATE($A54,"_",N$3),'Unit List'!$A$23:$H$3256,2,FALSE)),"X",$M54)</f>
        <v/>
      </c>
      <c r="O54" s="53" t="str">
        <f>IF(ISTEXT(VLOOKUP(CONCATENATE($A54,"_",O$3),'Unit List'!$A$23:$H$3256,2,FALSE)),"X",$M54)</f>
        <v/>
      </c>
      <c r="P54" s="172" t="str">
        <f>IF(ISTEXT(VLOOKUP(CONCATENATE($A54,"_",P$3),'Unit List'!$A$23:$H$3256,2,FALSE)),"+","")</f>
        <v/>
      </c>
      <c r="Q54" s="51" t="str">
        <f>IF(ISTEXT(VLOOKUP(CONCATENATE($A54,"_",Q$3),'Unit List'!$A$23:$H$3256,2,FALSE)),"X",$P54)</f>
        <v/>
      </c>
      <c r="R54" s="89" t="s">
        <v>0</v>
      </c>
      <c r="S54" s="51" t="str">
        <f>IF(ISTEXT(VLOOKUP(CONCATENATE($A54,"_",S$3),'Unit List'!$A$23:$H$3256,2,FALSE)),"X",$P54)</f>
        <v/>
      </c>
      <c r="T54" s="52" t="str">
        <f>IF(ISTEXT(VLOOKUP(CONCATENATE($A54,"_",T$3),'Unit List'!$A$23:$H$3256,2,FALSE)),"X",$P54)</f>
        <v/>
      </c>
      <c r="U54" s="51" t="str">
        <f>IF(ISTEXT(VLOOKUP(CONCATENATE($A54,"_",U$3),'Unit List'!$A$23:$H$3256,2,FALSE)),"X",$P54)</f>
        <v/>
      </c>
      <c r="V54" s="51" t="str">
        <f>IF(ISTEXT(VLOOKUP(CONCATENATE($A54,"_",V$3),'Unit List'!$A$23:$H$3256,2,FALSE)),"X",$P54)</f>
        <v/>
      </c>
      <c r="W54" s="53" t="str">
        <f>IF(ISTEXT(VLOOKUP(CONCATENATE($A54,"_",W$3),'Unit List'!$A$23:$H$3256,2,FALSE)),"X",$P54)</f>
        <v/>
      </c>
      <c r="X54" s="172" t="str">
        <f>IF(ISTEXT(VLOOKUP(CONCATENATE($A54,"_",X$3),'Unit List'!$A$23:$H$3256,2,FALSE)),"+","")</f>
        <v/>
      </c>
      <c r="Y54" s="51" t="str">
        <f>IF(ISTEXT(VLOOKUP(CONCATENATE($A54,"_",Y$3),'Unit List'!$A$23:$H$3256,2,FALSE)),"X",$X54)</f>
        <v/>
      </c>
      <c r="Z54" s="51" t="str">
        <f>IF(ISTEXT(VLOOKUP(CONCATENATE($A54,"_",Z$3),'Unit List'!$A$23:$H$3256,2,FALSE)),"X",$X54)</f>
        <v/>
      </c>
      <c r="AA54" s="51" t="str">
        <f>IF(ISTEXT(VLOOKUP(CONCATENATE($A54,"_",AA$3),'Unit List'!$A$23:$H$3256,2,FALSE)),"X",$X54)</f>
        <v/>
      </c>
      <c r="AB54" s="51" t="str">
        <f>IF(ISTEXT(VLOOKUP(CONCATENATE($A54,"_",AB$3),'Unit List'!$A$23:$H$3256,2,FALSE)),"X",$X54)</f>
        <v/>
      </c>
      <c r="AC54" s="62" t="str">
        <f>IF(ISTEXT(VLOOKUP(CONCATENATE($A54,"_",AC$3),'Unit List'!$A$23:$H$3256,2,FALSE)),"X",$X54)</f>
        <v/>
      </c>
      <c r="AD54" s="172" t="str">
        <f>IF(ISTEXT(VLOOKUP(CONCATENATE($A54,"_",AD$3),'Unit List'!$A$23:$H$3256,2,FALSE)),"+","")</f>
        <v/>
      </c>
      <c r="AE54" s="89" t="s">
        <v>0</v>
      </c>
      <c r="AF54" s="51" t="str">
        <f>IF(ISTEXT(VLOOKUP(CONCATENATE($A54,"_",AF$3),'Unit List'!$A$23:$H$3256,2,FALSE)),"X",$AD54)</f>
        <v/>
      </c>
      <c r="AG54" s="172" t="str">
        <f>IF(ISTEXT(VLOOKUP(CONCATENATE($A54,"_",AG$3),'Unit List'!$A$23:$H$3256,2,FALSE)),"+","")</f>
        <v/>
      </c>
      <c r="AH54" s="51" t="str">
        <f>IF(ISTEXT(VLOOKUP(CONCATENATE($A54,"_",AH$3),'Unit List'!$A$23:$H$3256,2,FALSE)),"X",$AG54)</f>
        <v/>
      </c>
      <c r="AI54" s="51" t="str">
        <f>IF(ISTEXT(VLOOKUP(CONCATENATE($A54,"_",AI$3),'Unit List'!$A$23:$H$3256,2,FALSE)),"X",$AG54)</f>
        <v/>
      </c>
      <c r="AJ54" s="53" t="str">
        <f>IF(ISTEXT(VLOOKUP(CONCATENATE($A54,"_",AJ$3),'Unit List'!$A$23:$H$3256,2,FALSE)),"X",$AG54)</f>
        <v/>
      </c>
      <c r="AK54" s="172" t="str">
        <f>IF(ISTEXT(VLOOKUP(CONCATENATE($A54,"_",AK$3),'Unit List'!$A$23:$H$3256,2,FALSE)),"+","")</f>
        <v/>
      </c>
      <c r="AL54" s="52" t="str">
        <f>IF(ISTEXT(VLOOKUP(CONCATENATE($A54,"_",AL$3),'Unit List'!$A$23:$H$3256,2,FALSE)),"X",$AK54)</f>
        <v/>
      </c>
      <c r="AM54" s="53" t="str">
        <f>IF(ISTEXT(VLOOKUP(CONCATENATE($A54,"_",AM$3),'Unit List'!$A$23:$H$3256,2,FALSE)),"X",$AK54)</f>
        <v/>
      </c>
      <c r="AN54" s="125" t="str">
        <f>IF(ISTEXT(VLOOKUP(CONCATENATE($A54,"_",AN$3),'Unit List'!$A$23:$H$3256,2,FALSE)),"+","")</f>
        <v/>
      </c>
      <c r="AO54" s="53" t="str">
        <f>IF(ISTEXT(VLOOKUP(CONCATENATE($A54,"_",AO$3),'Unit List'!$A$23:$H$3256,2,FALSE)),"X",$AN54)</f>
        <v/>
      </c>
      <c r="AP54" s="172" t="str">
        <f>IF(ISTEXT(VLOOKUP(CONCATENATE($A54,"_",AP$3),'Unit List'!$A$23:$H$3256,2,FALSE)),"+","")</f>
        <v/>
      </c>
      <c r="AQ54" s="51" t="str">
        <f>IF(ISTEXT(VLOOKUP(CONCATENATE($A54,"_",AQ$3),'Unit List'!$A$23:$H$3256,2,FALSE)),"X",$AP54)</f>
        <v/>
      </c>
      <c r="AR54" s="51" t="str">
        <f>IF(ISTEXT(VLOOKUP(CONCATENATE($A54,"_",AR$3),'Unit List'!$A$23:$H$3256,2,FALSE)),"X",$AP54)</f>
        <v/>
      </c>
      <c r="AS54" s="51" t="str">
        <f>IF(ISTEXT(VLOOKUP(CONCATENATE($A54,"_",AS$3),'Unit List'!$A$23:$H$3256,2,FALSE)),"X",$AP54)</f>
        <v/>
      </c>
      <c r="AT54" s="53" t="str">
        <f>IF(ISTEXT(VLOOKUP(CONCATENATE($A54,"_",AT$3),'Unit List'!$A$23:$H$3256,2,FALSE)),"X",$AP54)</f>
        <v/>
      </c>
      <c r="AU54" s="124" t="str">
        <f>IF(ISTEXT(VLOOKUP(CONCATENATE($A54,"_",AU$3),'Unit List'!$A$23:$H$3256,2,FALSE)),"+","")</f>
        <v/>
      </c>
      <c r="AV54" s="51" t="str">
        <f>IF(ISTEXT(VLOOKUP(CONCATENATE($A54,"_",AV$3),'Unit List'!$A$23:$H$3256,2,FALSE)),"X",$AU54)</f>
        <v/>
      </c>
      <c r="AW54" s="53" t="str">
        <f>IF(ISTEXT(VLOOKUP(CONCATENATE($A54,"_",AW$3),'Unit List'!$A$23:$H$3256,2,FALSE)),"X",$AU54)</f>
        <v/>
      </c>
      <c r="AX54" s="172" t="str">
        <f>IF(ISTEXT(VLOOKUP(CONCATENATE($A54,"_",AX$3),'Unit List'!$A$23:$H$3256,2,FALSE)),"+","")</f>
        <v/>
      </c>
      <c r="AY54" s="51" t="str">
        <f>IF(ISTEXT(VLOOKUP(CONCATENATE($A54,"_",AY$3),'Unit List'!$A$23:$H$3256,2,FALSE)),"X",$AX54)</f>
        <v/>
      </c>
      <c r="AZ54" s="53" t="str">
        <f>IF(ISTEXT(VLOOKUP(CONCATENATE($A54,"_",AZ$3),'Unit List'!$A$23:$H$3256,2,FALSE)),"X",$AX54)</f>
        <v/>
      </c>
      <c r="BA54" s="182" t="str">
        <f>IF(ISTEXT(VLOOKUP(CONCATENATE($A54,"_",BA$3),'Unit List'!$A$23:$H$3256,2,FALSE)),"+","")</f>
        <v/>
      </c>
      <c r="BB54" s="51" t="str">
        <f>IF(ISTEXT(VLOOKUP(CONCATENATE($A54,"_",BB$3),'Unit List'!$A$23:$H$3256,2,FALSE)),"X",$BA54)</f>
        <v/>
      </c>
      <c r="BC54" s="51" t="str">
        <f>IF(ISTEXT(VLOOKUP(CONCATENATE($A54,"_",BC$3),'Unit List'!$A$23:$H$3256,2,FALSE)),"X",$BA54)</f>
        <v/>
      </c>
      <c r="BD54" s="53" t="str">
        <f>IF(ISTEXT(VLOOKUP(CONCATENATE($A54,"_",BD$3),'Unit List'!$A$23:$H$3256,2,FALSE)),"X",$BA54)</f>
        <v/>
      </c>
      <c r="BE54" s="125" t="str">
        <f>IF(ISTEXT(VLOOKUP(CONCATENATE($A54,"_",BE$3),'Unit List'!$A$23:$H$3256,2,FALSE)),"+","")</f>
        <v/>
      </c>
      <c r="BF54" s="62" t="str">
        <f>IF(ISTEXT(VLOOKUP(CONCATENATE($A54,"_",BF$3),'Unit List'!$A$23:$H$3256,2,FALSE)),"X",$BE54)</f>
        <v/>
      </c>
      <c r="BG54" s="75"/>
      <c r="BH54" s="84"/>
      <c r="BI54" s="225"/>
      <c r="BJ54" s="226"/>
      <c r="BK54" s="226"/>
      <c r="BL54" s="226"/>
      <c r="BM54" s="227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List'!$A$23:$H$3256,2,FALSE)),"+","")</f>
        <v/>
      </c>
      <c r="C55" s="57" t="str">
        <f>IF(ISTEXT(VLOOKUP(CONCATENATE($A55,"_",C$3),'Unit List'!$A$23:$H$3256,2,FALSE)),"X",$B55)</f>
        <v/>
      </c>
      <c r="D55" s="51" t="str">
        <f>IF(ISTEXT(VLOOKUP(CONCATENATE($A55,"_",D$3),'Unit List'!$A$23:$H$3256,2,FALSE)),"X",$B55)</f>
        <v>X</v>
      </c>
      <c r="E55" s="67" t="str">
        <f>IF(ISTEXT(VLOOKUP(CONCATENATE($A55,"_",E$3),'Unit List'!$A$23:$H$3256,2,FALSE)),"X",$B55)</f>
        <v>X</v>
      </c>
      <c r="F55" s="51" t="str">
        <f>IF(ISTEXT(VLOOKUP(CONCATENATE($A55,"_",F$3),'Unit List'!$A$23:$H$3256,2,FALSE)),"X",$B55)</f>
        <v>X</v>
      </c>
      <c r="G55" s="51" t="str">
        <f>IF(ISTEXT(VLOOKUP(CONCATENATE($A55,"_",G$3),'Unit List'!$A$23:$H$3256,2,FALSE)),"X",$B55)</f>
        <v>X</v>
      </c>
      <c r="H55" s="51" t="str">
        <f>IF(ISTEXT(VLOOKUP(CONCATENATE($A55,"_",H$3),'Unit List'!$A$23:$H$3256,2,FALSE)),"X",$B55)</f>
        <v>X</v>
      </c>
      <c r="I55" s="53" t="str">
        <f>IF(ISTEXT(VLOOKUP(CONCATENATE($A55,"_",I$3),'Unit List'!$A$23:$H$3256,2,FALSE)),"X",$B55)</f>
        <v>X</v>
      </c>
      <c r="J55" s="171" t="str">
        <f>IF(ISTEXT(VLOOKUP(CONCATENATE($A55,"_",J$3),'Unit List'!$A$23:$H$3256,2,FALSE)),"+","")</f>
        <v>+</v>
      </c>
      <c r="K55" s="51" t="str">
        <f>IF(ISTEXT(VLOOKUP(CONCATENATE($A55,"_",K$3),'Unit List'!$A$23:$H$3256,2,FALSE)),"X",$J55)</f>
        <v>+</v>
      </c>
      <c r="L55" s="62" t="str">
        <f>IF(ISTEXT(VLOOKUP(CONCATENATE($A55,"_",L$3),'Unit List'!$A$23:$H$3256,2,FALSE)),"X",$J55)</f>
        <v>X</v>
      </c>
      <c r="M55" s="171" t="str">
        <f>IF(ISTEXT(VLOOKUP(CONCATENATE($A55,"_",M$3),'Unit List'!$A$23:$H$3256,2,FALSE)),"+","")</f>
        <v>+</v>
      </c>
      <c r="N55" s="51" t="str">
        <f>IF(ISTEXT(VLOOKUP(CONCATENATE($A55,"_",N$3),'Unit List'!$A$23:$H$3256,2,FALSE)),"X",$M55)</f>
        <v>+</v>
      </c>
      <c r="O55" s="53" t="str">
        <f>IF(ISTEXT(VLOOKUP(CONCATENATE($A55,"_",O$3),'Unit List'!$A$23:$H$3256,2,FALSE)),"X",$M55)</f>
        <v>X</v>
      </c>
      <c r="P55" s="171" t="str">
        <f>IF(ISTEXT(VLOOKUP(CONCATENATE($A55,"_",P$3),'Unit List'!$A$23:$H$3256,2,FALSE)),"+","")</f>
        <v/>
      </c>
      <c r="Q55" s="51" t="str">
        <f>IF(ISTEXT(VLOOKUP(CONCATENATE($A55,"_",Q$3),'Unit List'!$A$23:$H$3256,2,FALSE)),"X",$P55)</f>
        <v/>
      </c>
      <c r="R55" s="51" t="str">
        <f>IF(ISTEXT(VLOOKUP(CONCATENATE($A55,"_",R$3),'Unit List'!$A$23:$H$3256,2,FALSE)),"X",$P55)</f>
        <v>X</v>
      </c>
      <c r="S55" s="51" t="str">
        <f>IF(ISTEXT(VLOOKUP(CONCATENATE($A55,"_",S$3),'Unit List'!$A$23:$H$3256,2,FALSE)),"X",$P55)</f>
        <v>X</v>
      </c>
      <c r="T55" s="52" t="str">
        <f>IF(ISTEXT(VLOOKUP(CONCATENATE($A55,"_",T$3),'Unit List'!$A$23:$H$3256,2,FALSE)),"X",$P55)</f>
        <v>X</v>
      </c>
      <c r="U55" s="51" t="str">
        <f>IF(ISTEXT(VLOOKUP(CONCATENATE($A55,"_",U$3),'Unit List'!$A$23:$H$3256,2,FALSE)),"X",$P55)</f>
        <v>X</v>
      </c>
      <c r="V55" s="51" t="str">
        <f>IF(ISTEXT(VLOOKUP(CONCATENATE($A55,"_",V$3),'Unit List'!$A$23:$H$3256,2,FALSE)),"X",$P55)</f>
        <v>X</v>
      </c>
      <c r="W55" s="53" t="str">
        <f>IF(ISTEXT(VLOOKUP(CONCATENATE($A55,"_",W$3),'Unit List'!$A$23:$H$3256,2,FALSE)),"X",$P55)</f>
        <v/>
      </c>
      <c r="X55" s="172" t="str">
        <f>IF(ISTEXT(VLOOKUP(CONCATENATE($A55,"_",X$3),'Unit List'!$A$23:$H$3256,2,FALSE)),"+","")</f>
        <v>+</v>
      </c>
      <c r="Y55" s="51" t="str">
        <f>IF(ISTEXT(VLOOKUP(CONCATENATE($A55,"_",Y$3),'Unit List'!$A$23:$H$3256,2,FALSE)),"X",$X55)</f>
        <v>+</v>
      </c>
      <c r="Z55" s="51" t="str">
        <f>IF(ISTEXT(VLOOKUP(CONCATENATE($A55,"_",Z$3),'Unit List'!$A$23:$H$3256,2,FALSE)),"X",$X55)</f>
        <v>+</v>
      </c>
      <c r="AA55" s="51" t="str">
        <f>IF(ISTEXT(VLOOKUP(CONCATENATE($A55,"_",AA$3),'Unit List'!$A$23:$H$3256,2,FALSE)),"X",$X55)</f>
        <v>X</v>
      </c>
      <c r="AB55" s="51" t="str">
        <f>IF(ISTEXT(VLOOKUP(CONCATENATE($A55,"_",AB$3),'Unit List'!$A$23:$H$3256,2,FALSE)),"X",$X55)</f>
        <v>X</v>
      </c>
      <c r="AC55" s="62" t="str">
        <f>IF(ISTEXT(VLOOKUP(CONCATENATE($A55,"_",AC$3),'Unit List'!$A$23:$H$3256,2,FALSE)),"X",$X55)</f>
        <v>X</v>
      </c>
      <c r="AD55" s="171" t="str">
        <f>IF(ISTEXT(VLOOKUP(CONCATENATE($A55,"_",AD$3),'Unit List'!$A$23:$H$3256,2,FALSE)),"+","")</f>
        <v>+</v>
      </c>
      <c r="AE55" s="51" t="str">
        <f>IF(ISTEXT(VLOOKUP(CONCATENATE($A55,"_",AE$3),'Unit List'!$A$23:$H$3256,2,FALSE)),"X",$AD55)</f>
        <v>X</v>
      </c>
      <c r="AF55" s="51" t="str">
        <f>IF(ISTEXT(VLOOKUP(CONCATENATE($A55,"_",AF$3),'Unit List'!$A$23:$H$3256,2,FALSE)),"X",$AD55)</f>
        <v>+</v>
      </c>
      <c r="AG55" s="171" t="str">
        <f>IF(ISTEXT(VLOOKUP(CONCATENATE($A55,"_",AG$3),'Unit List'!$A$23:$H$3256,2,FALSE)),"+","")</f>
        <v>+</v>
      </c>
      <c r="AH55" s="67" t="str">
        <f>IF(ISTEXT(VLOOKUP(CONCATENATE($A55,"_",AH$3),'Unit List'!$A$23:$H$3256,2,FALSE)),"X",$AG55)</f>
        <v>X</v>
      </c>
      <c r="AI55" s="67" t="str">
        <f>IF(ISTEXT(VLOOKUP(CONCATENATE($A55,"_",AI$3),'Unit List'!$A$23:$H$3256,2,FALSE)),"X",$AG55)</f>
        <v>X</v>
      </c>
      <c r="AJ55" s="70" t="str">
        <f>IF(ISTEXT(VLOOKUP(CONCATENATE($A55,"_",AJ$3),'Unit List'!$A$23:$H$3256,2,FALSE)),"X",$AG55)</f>
        <v>+</v>
      </c>
      <c r="AK55" s="172" t="str">
        <f>IF(ISTEXT(VLOOKUP(CONCATENATE($A55,"_",AK$3),'Unit List'!$A$23:$H$3256,2,FALSE)),"+","")</f>
        <v/>
      </c>
      <c r="AL55" s="52" t="str">
        <f>IF(ISTEXT(VLOOKUP(CONCATENATE($A55,"_",AL$3),'Unit List'!$A$23:$H$3256,2,FALSE)),"X",$AK55)</f>
        <v/>
      </c>
      <c r="AM55" s="53" t="str">
        <f>IF(ISTEXT(VLOOKUP(CONCATENATE($A55,"_",AM$3),'Unit List'!$A$23:$H$3256,2,FALSE)),"X",$AK55)</f>
        <v/>
      </c>
      <c r="AN55" s="125" t="str">
        <f>IF(ISTEXT(VLOOKUP(CONCATENATE($A55,"_",AN$3),'Unit List'!$A$23:$H$3256,2,FALSE)),"+","")</f>
        <v/>
      </c>
      <c r="AO55" s="53" t="str">
        <f>IF(ISTEXT(VLOOKUP(CONCATENATE($A55,"_",AO$3),'Unit List'!$A$23:$H$3256,2,FALSE)),"X",$AN55)</f>
        <v/>
      </c>
      <c r="AP55" s="172" t="str">
        <f>IF(ISTEXT(VLOOKUP(CONCATENATE($A55,"_",AP$3),'Unit List'!$A$23:$H$3256,2,FALSE)),"+","")</f>
        <v/>
      </c>
      <c r="AQ55" s="51" t="str">
        <f>IF(ISTEXT(VLOOKUP(CONCATENATE($A55,"_",AQ$3),'Unit List'!$A$23:$H$3256,2,FALSE)),"X",$AP55)</f>
        <v/>
      </c>
      <c r="AR55" s="51" t="str">
        <f>IF(ISTEXT(VLOOKUP(CONCATENATE($A55,"_",AR$3),'Unit List'!$A$23:$H$3256,2,FALSE)),"X",$AP55)</f>
        <v/>
      </c>
      <c r="AS55" s="51" t="str">
        <f>IF(ISTEXT(VLOOKUP(CONCATENATE($A55,"_",AS$3),'Unit List'!$A$23:$H$3256,2,FALSE)),"X",$AP55)</f>
        <v/>
      </c>
      <c r="AT55" s="53" t="str">
        <f>IF(ISTEXT(VLOOKUP(CONCATENATE($A55,"_",AT$3),'Unit List'!$A$23:$H$3256,2,FALSE)),"X",$AP55)</f>
        <v/>
      </c>
      <c r="AU55" s="124" t="str">
        <f>IF(ISTEXT(VLOOKUP(CONCATENATE($A55,"_",AU$3),'Unit List'!$A$23:$H$3256,2,FALSE)),"+","")</f>
        <v/>
      </c>
      <c r="AV55" s="51" t="str">
        <f>IF(ISTEXT(VLOOKUP(CONCATENATE($A55,"_",AV$3),'Unit List'!$A$23:$H$3256,2,FALSE)),"X",$AU55)</f>
        <v/>
      </c>
      <c r="AW55" s="53" t="str">
        <f>IF(ISTEXT(VLOOKUP(CONCATENATE($A55,"_",AW$3),'Unit List'!$A$23:$H$3256,2,FALSE)),"X",$AU55)</f>
        <v/>
      </c>
      <c r="AX55" s="171" t="str">
        <f>IF(ISTEXT(VLOOKUP(CONCATENATE($A55,"_",AX$3),'Unit List'!$A$23:$H$3256,2,FALSE)),"+","")</f>
        <v>+</v>
      </c>
      <c r="AY55" s="67" t="str">
        <f>IF(ISTEXT(VLOOKUP(CONCATENATE($A55,"_",AY$3),'Unit List'!$A$23:$H$3256,2,FALSE)),"X",$AX55)</f>
        <v>+</v>
      </c>
      <c r="AZ55" s="70" t="str">
        <f>IF(ISTEXT(VLOOKUP(CONCATENATE($A55,"_",AZ$3),'Unit List'!$A$23:$H$3256,2,FALSE)),"X",$AX55)</f>
        <v>+</v>
      </c>
      <c r="BA55" s="171" t="str">
        <f>IF(ISTEXT(VLOOKUP(CONCATENATE($A55,"_",BA$3),'Unit List'!$A$23:$H$3256,2,FALSE)),"+","")</f>
        <v>+</v>
      </c>
      <c r="BB55" s="89" t="s">
        <v>0</v>
      </c>
      <c r="BC55" s="51" t="str">
        <f>IF(ISTEXT(VLOOKUP(CONCATENATE($A55,"_",BC$3),'Unit List'!$A$23:$H$3256,2,FALSE)),"X",$BA55)</f>
        <v>X</v>
      </c>
      <c r="BD55" s="70" t="str">
        <f>IF(ISTEXT(VLOOKUP(CONCATENATE($A55,"_",BD$3),'Unit List'!$A$23:$H$3256,2,FALSE)),"X",$BA55)</f>
        <v>X</v>
      </c>
      <c r="BE55" s="125" t="str">
        <f>IF(ISTEXT(VLOOKUP(CONCATENATE($A55,"_",BE$3),'Unit List'!$A$23:$H$3256,2,FALSE)),"+","")</f>
        <v>+</v>
      </c>
      <c r="BF55" s="101" t="s">
        <v>0</v>
      </c>
      <c r="BG55" s="75"/>
      <c r="BH55" s="76" t="s">
        <v>0</v>
      </c>
      <c r="BI55" s="225" t="s">
        <v>1917</v>
      </c>
      <c r="BJ55" s="226"/>
      <c r="BK55" s="226"/>
      <c r="BL55" s="226"/>
      <c r="BM55" s="227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List'!$A$23:$H$3256,2,FALSE)),"+","")</f>
        <v/>
      </c>
      <c r="C56" s="57" t="str">
        <f>IF(ISTEXT(VLOOKUP(CONCATENATE($A56,"_",C$3),'Unit List'!$A$23:$H$3256,2,FALSE)),"X",$B56)</f>
        <v/>
      </c>
      <c r="D56" s="51" t="str">
        <f>IF(ISTEXT(VLOOKUP(CONCATENATE($A56,"_",D$3),'Unit List'!$A$23:$H$3256,2,FALSE)),"X",$B56)</f>
        <v/>
      </c>
      <c r="E56" s="51" t="str">
        <f>IF(ISTEXT(VLOOKUP(CONCATENATE($A56,"_",E$3),'Unit List'!$A$23:$H$3256,2,FALSE)),"X",$B56)</f>
        <v>X</v>
      </c>
      <c r="F56" s="51" t="str">
        <f>IF(ISTEXT(VLOOKUP(CONCATENATE($A56,"_",F$3),'Unit List'!$A$23:$H$3256,2,FALSE)),"X",$B56)</f>
        <v>X</v>
      </c>
      <c r="G56" s="51" t="str">
        <f>IF(ISTEXT(VLOOKUP(CONCATENATE($A56,"_",G$3),'Unit List'!$A$23:$H$3256,2,FALSE)),"X",$B56)</f>
        <v/>
      </c>
      <c r="H56" s="51" t="str">
        <f>IF(ISTEXT(VLOOKUP(CONCATENATE($A56,"_",H$3),'Unit List'!$A$23:$H$3256,2,FALSE)),"X",$B56)</f>
        <v/>
      </c>
      <c r="I56" s="53" t="str">
        <f>IF(ISTEXT(VLOOKUP(CONCATENATE($A56,"_",I$3),'Unit List'!$A$23:$H$3256,2,FALSE)),"X",$B56)</f>
        <v/>
      </c>
      <c r="J56" s="172" t="str">
        <f>IF(ISTEXT(VLOOKUP(CONCATENATE($A56,"_",J$3),'Unit List'!$A$23:$H$3256,2,FALSE)),"+","")</f>
        <v/>
      </c>
      <c r="K56" s="51" t="str">
        <f>IF(ISTEXT(VLOOKUP(CONCATENATE($A56,"_",K$3),'Unit List'!$A$23:$H$3256,2,FALSE)),"X",$J56)</f>
        <v/>
      </c>
      <c r="L56" s="62" t="str">
        <f>IF(ISTEXT(VLOOKUP(CONCATENATE($A56,"_",L$3),'Unit List'!$A$23:$H$3256,2,FALSE)),"X",$J56)</f>
        <v/>
      </c>
      <c r="M56" s="172" t="str">
        <f>IF(ISTEXT(VLOOKUP(CONCATENATE($A56,"_",M$3),'Unit List'!$A$23:$H$3256,2,FALSE)),"+","")</f>
        <v/>
      </c>
      <c r="N56" s="51" t="str">
        <f>IF(ISTEXT(VLOOKUP(CONCATENATE($A56,"_",N$3),'Unit List'!$A$23:$H$3256,2,FALSE)),"X",$M56)</f>
        <v/>
      </c>
      <c r="O56" s="53" t="str">
        <f>IF(ISTEXT(VLOOKUP(CONCATENATE($A56,"_",O$3),'Unit List'!$A$23:$H$3256,2,FALSE)),"X",$M56)</f>
        <v/>
      </c>
      <c r="P56" s="172" t="str">
        <f>IF(ISTEXT(VLOOKUP(CONCATENATE($A56,"_",P$3),'Unit List'!$A$23:$H$3256,2,FALSE)),"+","")</f>
        <v/>
      </c>
      <c r="Q56" s="51" t="str">
        <f>IF(ISTEXT(VLOOKUP(CONCATENATE($A56,"_",Q$3),'Unit List'!$A$23:$H$3256,2,FALSE)),"X",$P56)</f>
        <v/>
      </c>
      <c r="R56" s="51" t="str">
        <f>IF(ISTEXT(VLOOKUP(CONCATENATE($A56,"_",R$3),'Unit List'!$A$23:$H$3256,2,FALSE)),"X",$P56)</f>
        <v/>
      </c>
      <c r="S56" s="51" t="str">
        <f>IF(ISTEXT(VLOOKUP(CONCATENATE($A56,"_",S$3),'Unit List'!$A$23:$H$3256,2,FALSE)),"X",$P56)</f>
        <v/>
      </c>
      <c r="T56" s="52" t="str">
        <f>IF(ISTEXT(VLOOKUP(CONCATENATE($A56,"_",T$3),'Unit List'!$A$23:$H$3256,2,FALSE)),"X",$P56)</f>
        <v/>
      </c>
      <c r="U56" s="51" t="str">
        <f>IF(ISTEXT(VLOOKUP(CONCATENATE($A56,"_",U$3),'Unit List'!$A$23:$H$3256,2,FALSE)),"X",$P56)</f>
        <v/>
      </c>
      <c r="V56" s="51" t="str">
        <f>IF(ISTEXT(VLOOKUP(CONCATENATE($A56,"_",V$3),'Unit List'!$A$23:$H$3256,2,FALSE)),"X",$P56)</f>
        <v/>
      </c>
      <c r="W56" s="53" t="str">
        <f>IF(ISTEXT(VLOOKUP(CONCATENATE($A56,"_",W$3),'Unit List'!$A$23:$H$3256,2,FALSE)),"X",$P56)</f>
        <v/>
      </c>
      <c r="X56" s="172" t="str">
        <f>IF(ISTEXT(VLOOKUP(CONCATENATE($A56,"_",X$3),'Unit List'!$A$23:$H$3256,2,FALSE)),"+","")</f>
        <v/>
      </c>
      <c r="Y56" s="51" t="str">
        <f>IF(ISTEXT(VLOOKUP(CONCATENATE($A56,"_",Y$3),'Unit List'!$A$23:$H$3256,2,FALSE)),"X",$X56)</f>
        <v/>
      </c>
      <c r="Z56" s="51" t="str">
        <f>IF(ISTEXT(VLOOKUP(CONCATENATE($A56,"_",Z$3),'Unit List'!$A$23:$H$3256,2,FALSE)),"X",$X56)</f>
        <v/>
      </c>
      <c r="AA56" s="51" t="str">
        <f>IF(ISTEXT(VLOOKUP(CONCATENATE($A56,"_",AA$3),'Unit List'!$A$23:$H$3256,2,FALSE)),"X",$X56)</f>
        <v/>
      </c>
      <c r="AB56" s="51" t="str">
        <f>IF(ISTEXT(VLOOKUP(CONCATENATE($A56,"_",AB$3),'Unit List'!$A$23:$H$3256,2,FALSE)),"X",$X56)</f>
        <v/>
      </c>
      <c r="AC56" s="62" t="str">
        <f>IF(ISTEXT(VLOOKUP(CONCATENATE($A56,"_",AC$3),'Unit List'!$A$23:$H$3256,2,FALSE)),"X",$X56)</f>
        <v/>
      </c>
      <c r="AD56" s="172" t="str">
        <f>IF(ISTEXT(VLOOKUP(CONCATENATE($A56,"_",AD$3),'Unit List'!$A$23:$H$3256,2,FALSE)),"+","")</f>
        <v/>
      </c>
      <c r="AE56" s="51" t="str">
        <f>IF(ISTEXT(VLOOKUP(CONCATENATE($A56,"_",AE$3),'Unit List'!$A$23:$H$3256,2,FALSE)),"X",$AD56)</f>
        <v/>
      </c>
      <c r="AF56" s="51" t="str">
        <f>IF(ISTEXT(VLOOKUP(CONCATENATE($A56,"_",AF$3),'Unit List'!$A$23:$H$3256,2,FALSE)),"X",$AD56)</f>
        <v/>
      </c>
      <c r="AG56" s="172" t="str">
        <f>IF(ISTEXT(VLOOKUP(CONCATENATE($A56,"_",AG$3),'Unit List'!$A$23:$H$3256,2,FALSE)),"+","")</f>
        <v/>
      </c>
      <c r="AH56" s="51" t="str">
        <f>IF(ISTEXT(VLOOKUP(CONCATENATE($A56,"_",AH$3),'Unit List'!$A$23:$H$3256,2,FALSE)),"X",$AG56)</f>
        <v/>
      </c>
      <c r="AI56" s="51" t="str">
        <f>IF(ISTEXT(VLOOKUP(CONCATENATE($A56,"_",AI$3),'Unit List'!$A$23:$H$3256,2,FALSE)),"X",$AG56)</f>
        <v/>
      </c>
      <c r="AJ56" s="53" t="str">
        <f>IF(ISTEXT(VLOOKUP(CONCATENATE($A56,"_",AJ$3),'Unit List'!$A$23:$H$3256,2,FALSE)),"X",$AG56)</f>
        <v>X</v>
      </c>
      <c r="AK56" s="172" t="str">
        <f>IF(ISTEXT(VLOOKUP(CONCATENATE($A56,"_",AK$3),'Unit List'!$A$23:$H$3256,2,FALSE)),"+","")</f>
        <v/>
      </c>
      <c r="AL56" s="52" t="str">
        <f>IF(ISTEXT(VLOOKUP(CONCATENATE($A56,"_",AL$3),'Unit List'!$A$23:$H$3256,2,FALSE)),"X",$AK56)</f>
        <v/>
      </c>
      <c r="AM56" s="53" t="str">
        <f>IF(ISTEXT(VLOOKUP(CONCATENATE($A56,"_",AM$3),'Unit List'!$A$23:$H$3256,2,FALSE)),"X",$AK56)</f>
        <v/>
      </c>
      <c r="AN56" s="125" t="str">
        <f>IF(ISTEXT(VLOOKUP(CONCATENATE($A56,"_",AN$3),'Unit List'!$A$23:$H$3256,2,FALSE)),"+","")</f>
        <v>+</v>
      </c>
      <c r="AO56" s="53" t="str">
        <f>IF(ISTEXT(VLOOKUP(CONCATENATE($A56,"_",AO$3),'Unit List'!$A$23:$H$3256,2,FALSE)),"X",$AN56)</f>
        <v>+</v>
      </c>
      <c r="AP56" s="172" t="str">
        <f>IF(ISTEXT(VLOOKUP(CONCATENATE($A56,"_",AP$3),'Unit List'!$A$23:$H$3256,2,FALSE)),"+","")</f>
        <v/>
      </c>
      <c r="AQ56" s="51" t="str">
        <f>IF(ISTEXT(VLOOKUP(CONCATENATE($A56,"_",AQ$3),'Unit List'!$A$23:$H$3256,2,FALSE)),"X",$AP56)</f>
        <v/>
      </c>
      <c r="AR56" s="51" t="str">
        <f>IF(ISTEXT(VLOOKUP(CONCATENATE($A56,"_",AR$3),'Unit List'!$A$23:$H$3256,2,FALSE)),"X",$AP56)</f>
        <v/>
      </c>
      <c r="AS56" s="51" t="str">
        <f>IF(ISTEXT(VLOOKUP(CONCATENATE($A56,"_",AS$3),'Unit List'!$A$23:$H$3256,2,FALSE)),"X",$AP56)</f>
        <v/>
      </c>
      <c r="AT56" s="53" t="str">
        <f>IF(ISTEXT(VLOOKUP(CONCATENATE($A56,"_",AT$3),'Unit List'!$A$23:$H$3256,2,FALSE)),"X",$AP56)</f>
        <v/>
      </c>
      <c r="AU56" s="124" t="str">
        <f>IF(ISTEXT(VLOOKUP(CONCATENATE($A56,"_",AU$3),'Unit List'!$A$23:$H$3256,2,FALSE)),"+","")</f>
        <v/>
      </c>
      <c r="AV56" s="51" t="str">
        <f>IF(ISTEXT(VLOOKUP(CONCATENATE($A56,"_",AV$3),'Unit List'!$A$23:$H$3256,2,FALSE)),"X",$AU56)</f>
        <v/>
      </c>
      <c r="AW56" s="53" t="str">
        <f>IF(ISTEXT(VLOOKUP(CONCATENATE($A56,"_",AW$3),'Unit List'!$A$23:$H$3256,2,FALSE)),"X",$AU56)</f>
        <v/>
      </c>
      <c r="AX56" s="172" t="str">
        <f>IF(ISTEXT(VLOOKUP(CONCATENATE($A56,"_",AX$3),'Unit List'!$A$23:$H$3256,2,FALSE)),"+","")</f>
        <v/>
      </c>
      <c r="AY56" s="51" t="str">
        <f>IF(ISTEXT(VLOOKUP(CONCATENATE($A56,"_",AY$3),'Unit List'!$A$23:$H$3256,2,FALSE)),"X",$AX56)</f>
        <v/>
      </c>
      <c r="AZ56" s="53" t="str">
        <f>IF(ISTEXT(VLOOKUP(CONCATENATE($A56,"_",AZ$3),'Unit List'!$A$23:$H$3256,2,FALSE)),"X",$AX56)</f>
        <v/>
      </c>
      <c r="BA56" s="182" t="str">
        <f>IF(ISTEXT(VLOOKUP(CONCATENATE($A56,"_",BA$3),'Unit List'!$A$23:$H$3256,2,FALSE)),"+","")</f>
        <v/>
      </c>
      <c r="BB56" s="51" t="str">
        <f>IF(ISTEXT(VLOOKUP(CONCATENATE($A56,"_",BB$3),'Unit List'!$A$23:$H$3256,2,FALSE)),"X",$BA56)</f>
        <v/>
      </c>
      <c r="BC56" s="51" t="str">
        <f>IF(ISTEXT(VLOOKUP(CONCATENATE($A56,"_",BC$3),'Unit List'!$A$23:$H$3256,2,FALSE)),"X",$BA56)</f>
        <v/>
      </c>
      <c r="BD56" s="53" t="str">
        <f>IF(ISTEXT(VLOOKUP(CONCATENATE($A56,"_",BD$3),'Unit List'!$A$23:$H$3256,2,FALSE)),"X",$BA56)</f>
        <v/>
      </c>
      <c r="BE56" s="125" t="str">
        <f>IF(ISTEXT(VLOOKUP(CONCATENATE($A56,"_",BE$3),'Unit List'!$A$23:$H$3256,2,FALSE)),"+","")</f>
        <v/>
      </c>
      <c r="BF56" s="62" t="str">
        <f>IF(ISTEXT(VLOOKUP(CONCATENATE($A56,"_",BF$3),'Unit List'!$A$23:$H$3256,2,FALSE)),"X",$BE56)</f>
        <v/>
      </c>
      <c r="BG56" s="75"/>
      <c r="BH56" s="84"/>
      <c r="BI56" s="225"/>
      <c r="BJ56" s="226"/>
      <c r="BK56" s="226"/>
      <c r="BL56" s="226"/>
      <c r="BM56" s="227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List'!$A$23:$H$3256,2,FALSE)),"+","")</f>
        <v/>
      </c>
      <c r="C57" s="82" t="str">
        <f>IF(ISTEXT(VLOOKUP(CONCATENATE($A57,"_",C$3),'Unit List'!$A$23:$H$3256,2,FALSE)),"X",$B57)</f>
        <v>X</v>
      </c>
      <c r="D57" s="67" t="str">
        <f>IF(ISTEXT(VLOOKUP(CONCATENATE($A57,"_",D$3),'Unit List'!$A$23:$H$3256,2,FALSE)),"X",$B57)</f>
        <v>X</v>
      </c>
      <c r="E57" s="51" t="str">
        <f>IF(ISTEXT(VLOOKUP(CONCATENATE($A57,"_",E$3),'Unit List'!$A$23:$H$3256,2,FALSE)),"X",$B57)</f>
        <v>X</v>
      </c>
      <c r="F57" s="67" t="str">
        <f>IF(ISTEXT(VLOOKUP(CONCATENATE($A57,"_",F$3),'Unit List'!$A$23:$H$3256,2,FALSE)),"X",$B57)</f>
        <v>X</v>
      </c>
      <c r="G57" s="67" t="str">
        <f>IF(ISTEXT(VLOOKUP(CONCATENATE($A57,"_",G$3),'Unit List'!$A$23:$H$3256,2,FALSE)),"X",$B57)</f>
        <v>X</v>
      </c>
      <c r="H57" s="67" t="str">
        <f>IF(ISTEXT(VLOOKUP(CONCATENATE($A57,"_",H$3),'Unit List'!$A$23:$H$3256,2,FALSE)),"X",$B57)</f>
        <v>X</v>
      </c>
      <c r="I57" s="53" t="str">
        <f>IF(ISTEXT(VLOOKUP(CONCATENATE($A57,"_",I$3),'Unit List'!$A$23:$H$3256,2,FALSE)),"X",$B57)</f>
        <v/>
      </c>
      <c r="J57" s="172" t="str">
        <f>IF(ISTEXT(VLOOKUP(CONCATENATE($A57,"_",J$3),'Unit List'!$A$23:$H$3256,2,FALSE)),"+","")</f>
        <v/>
      </c>
      <c r="K57" s="51" t="str">
        <f>IF(ISTEXT(VLOOKUP(CONCATENATE($A57,"_",K$3),'Unit List'!$A$23:$H$3256,2,FALSE)),"X",$J57)</f>
        <v/>
      </c>
      <c r="L57" s="62" t="str">
        <f>IF(ISTEXT(VLOOKUP(CONCATENATE($A57,"_",L$3),'Unit List'!$A$23:$H$3256,2,FALSE)),"X",$J57)</f>
        <v/>
      </c>
      <c r="M57" s="172" t="str">
        <f>IF(ISTEXT(VLOOKUP(CONCATENATE($A57,"_",M$3),'Unit List'!$A$23:$H$3256,2,FALSE)),"+","")</f>
        <v>+</v>
      </c>
      <c r="N57" s="67" t="str">
        <f>IF(ISTEXT(VLOOKUP(CONCATENATE($A57,"_",N$3),'Unit List'!$A$23:$H$3256,2,FALSE)),"X",$M57)</f>
        <v>+</v>
      </c>
      <c r="O57" s="70" t="str">
        <f>IF(ISTEXT(VLOOKUP(CONCATENATE($A57,"_",O$3),'Unit List'!$A$23:$H$3256,2,FALSE)),"X",$M57)</f>
        <v>X</v>
      </c>
      <c r="P57" s="172" t="str">
        <f>IF(ISTEXT(VLOOKUP(CONCATENATE($A57,"_",P$3),'Unit List'!$A$23:$H$3256,2,FALSE)),"+","")</f>
        <v>+</v>
      </c>
      <c r="Q57" s="51" t="str">
        <f>IF(ISTEXT(VLOOKUP(CONCATENATE($A57,"_",Q$3),'Unit List'!$A$23:$H$3256,2,FALSE)),"X",$P57)</f>
        <v>+</v>
      </c>
      <c r="R57" s="51" t="str">
        <f>IF(ISTEXT(VLOOKUP(CONCATENATE($A57,"_",R$3),'Unit List'!$A$23:$H$3256,2,FALSE)),"X",$P57)</f>
        <v>+</v>
      </c>
      <c r="S57" s="51" t="str">
        <f>IF(ISTEXT(VLOOKUP(CONCATENATE($A57,"_",S$3),'Unit List'!$A$23:$H$3256,2,FALSE)),"X",$P57)</f>
        <v>+</v>
      </c>
      <c r="T57" s="52" t="str">
        <f>IF(ISTEXT(VLOOKUP(CONCATENATE($A57,"_",T$3),'Unit List'!$A$23:$H$3256,2,FALSE)),"X",$P57)</f>
        <v>+</v>
      </c>
      <c r="U57" s="67" t="str">
        <f>IF(ISTEXT(VLOOKUP(CONCATENATE($A57,"_",U$3),'Unit List'!$A$23:$H$3256,2,FALSE)),"X",$P57)</f>
        <v>X</v>
      </c>
      <c r="V57" s="51" t="str">
        <f>IF(ISTEXT(VLOOKUP(CONCATENATE($A57,"_",V$3),'Unit List'!$A$23:$H$3256,2,FALSE)),"X",$P57)</f>
        <v>+</v>
      </c>
      <c r="W57" s="53" t="str">
        <f>IF(ISTEXT(VLOOKUP(CONCATENATE($A57,"_",W$3),'Unit List'!$A$23:$H$3256,2,FALSE)),"X",$P57)</f>
        <v>+</v>
      </c>
      <c r="X57" s="172" t="str">
        <f>IF(ISTEXT(VLOOKUP(CONCATENATE($A57,"_",X$3),'Unit List'!$A$23:$H$3256,2,FALSE)),"+","")</f>
        <v/>
      </c>
      <c r="Y57" s="51" t="str">
        <f>IF(ISTEXT(VLOOKUP(CONCATENATE($A57,"_",Y$3),'Unit List'!$A$23:$H$3256,2,FALSE)),"X",$X57)</f>
        <v/>
      </c>
      <c r="Z57" s="51" t="str">
        <f>IF(ISTEXT(VLOOKUP(CONCATENATE($A57,"_",Z$3),'Unit List'!$A$23:$H$3256,2,FALSE)),"X",$X57)</f>
        <v/>
      </c>
      <c r="AA57" s="51" t="str">
        <f>IF(ISTEXT(VLOOKUP(CONCATENATE($A57,"_",AA$3),'Unit List'!$A$23:$H$3256,2,FALSE)),"X",$X57)</f>
        <v/>
      </c>
      <c r="AB57" s="51" t="str">
        <f>IF(ISTEXT(VLOOKUP(CONCATENATE($A57,"_",AB$3),'Unit List'!$A$23:$H$3256,2,FALSE)),"X",$X57)</f>
        <v/>
      </c>
      <c r="AC57" s="62" t="str">
        <f>IF(ISTEXT(VLOOKUP(CONCATENATE($A57,"_",AC$3),'Unit List'!$A$23:$H$3256,2,FALSE)),"X",$X57)</f>
        <v/>
      </c>
      <c r="AD57" s="172" t="str">
        <f>IF(ISTEXT(VLOOKUP(CONCATENATE($A57,"_",AD$3),'Unit List'!$A$23:$H$3256,2,FALSE)),"+","")</f>
        <v>+</v>
      </c>
      <c r="AE57" s="51" t="str">
        <f>IF(ISTEXT(VLOOKUP(CONCATENATE($A57,"_",AE$3),'Unit List'!$A$23:$H$3256,2,FALSE)),"X",$AD57)</f>
        <v>+</v>
      </c>
      <c r="AF57" s="51" t="str">
        <f>IF(ISTEXT(VLOOKUP(CONCATENATE($A57,"_",AF$3),'Unit List'!$A$23:$H$3256,2,FALSE)),"X",$AD57)</f>
        <v>+</v>
      </c>
      <c r="AG57" s="172" t="str">
        <f>IF(ISTEXT(VLOOKUP(CONCATENATE($A57,"_",AG$3),'Unit List'!$A$23:$H$3256,2,FALSE)),"+","")</f>
        <v/>
      </c>
      <c r="AH57" s="51" t="str">
        <f>IF(ISTEXT(VLOOKUP(CONCATENATE($A57,"_",AH$3),'Unit List'!$A$23:$H$3256,2,FALSE)),"X",$AG57)</f>
        <v/>
      </c>
      <c r="AI57" s="51" t="str">
        <f>IF(ISTEXT(VLOOKUP(CONCATENATE($A57,"_",AI$3),'Unit List'!$A$23:$H$3256,2,FALSE)),"X",$AG57)</f>
        <v/>
      </c>
      <c r="AJ57" s="53" t="str">
        <f>IF(ISTEXT(VLOOKUP(CONCATENATE($A57,"_",AJ$3),'Unit List'!$A$23:$H$3256,2,FALSE)),"X",$AG57)</f>
        <v>X</v>
      </c>
      <c r="AK57" s="172" t="str">
        <f>IF(ISTEXT(VLOOKUP(CONCATENATE($A57,"_",AK$3),'Unit List'!$A$23:$H$3256,2,FALSE)),"+","")</f>
        <v>+</v>
      </c>
      <c r="AL57" s="87" t="str">
        <f>IF(ISTEXT(VLOOKUP(CONCATENATE($A57,"_",AL$3),'Unit List'!$A$23:$H$3256,2,FALSE)),"X",$AK57)</f>
        <v>X</v>
      </c>
      <c r="AM57" s="53" t="str">
        <f>IF(ISTEXT(VLOOKUP(CONCATENATE($A57,"_",AM$3),'Unit List'!$A$23:$H$3256,2,FALSE)),"X",$AK57)</f>
        <v>X</v>
      </c>
      <c r="AN57" s="125" t="str">
        <f>IF(ISTEXT(VLOOKUP(CONCATENATE($A57,"_",AN$3),'Unit List'!$A$23:$H$3256,2,FALSE)),"+","")</f>
        <v>+</v>
      </c>
      <c r="AO57" s="53" t="str">
        <f>IF(ISTEXT(VLOOKUP(CONCATENATE($A57,"_",AO$3),'Unit List'!$A$23:$H$3256,2,FALSE)),"X",$AN57)</f>
        <v>+</v>
      </c>
      <c r="AP57" s="172" t="str">
        <f>IF(ISTEXT(VLOOKUP(CONCATENATE($A57,"_",AP$3),'Unit List'!$A$23:$H$3256,2,FALSE)),"+","")</f>
        <v>+</v>
      </c>
      <c r="AQ57" s="67" t="str">
        <f>IF(ISTEXT(VLOOKUP(CONCATENATE($A57,"_",AQ$3),'Unit List'!$A$23:$H$3256,2,FALSE)),"X",$AP57)</f>
        <v>X</v>
      </c>
      <c r="AR57" s="67" t="str">
        <f>IF(ISTEXT(VLOOKUP(CONCATENATE($A57,"_",AR$3),'Unit List'!$A$23:$H$3256,2,FALSE)),"X",$AP57)</f>
        <v>X</v>
      </c>
      <c r="AS57" s="51" t="str">
        <f>IF(ISTEXT(VLOOKUP(CONCATENATE($A57,"_",AS$3),'Unit List'!$A$23:$H$3256,2,FALSE)),"X",$AP57)</f>
        <v>+</v>
      </c>
      <c r="AT57" s="53" t="str">
        <f>IF(ISTEXT(VLOOKUP(CONCATENATE($A57,"_",AT$3),'Unit List'!$A$23:$H$3256,2,FALSE)),"X",$AP57)</f>
        <v>+</v>
      </c>
      <c r="AU57" s="124" t="str">
        <f>IF(ISTEXT(VLOOKUP(CONCATENATE($A57,"_",AU$3),'Unit List'!$A$23:$H$3256,2,FALSE)),"+","")</f>
        <v>+</v>
      </c>
      <c r="AV57" s="51" t="str">
        <f>IF(ISTEXT(VLOOKUP(CONCATENATE($A57,"_",AV$3),'Unit List'!$A$23:$H$3256,2,FALSE)),"X",$AU57)</f>
        <v>+</v>
      </c>
      <c r="AW57" s="53" t="str">
        <f>IF(ISTEXT(VLOOKUP(CONCATENATE($A57,"_",AW$3),'Unit List'!$A$23:$H$3256,2,FALSE)),"X",$AU57)</f>
        <v>+</v>
      </c>
      <c r="AX57" s="172" t="str">
        <f>IF(ISTEXT(VLOOKUP(CONCATENATE($A57,"_",AX$3),'Unit List'!$A$23:$H$3256,2,FALSE)),"+","")</f>
        <v>+</v>
      </c>
      <c r="AY57" s="51" t="str">
        <f>IF(ISTEXT(VLOOKUP(CONCATENATE($A57,"_",AY$3),'Unit List'!$A$23:$H$3256,2,FALSE)),"X",$AX57)</f>
        <v>+</v>
      </c>
      <c r="AZ57" s="53" t="str">
        <f>IF(ISTEXT(VLOOKUP(CONCATENATE($A57,"_",AZ$3),'Unit List'!$A$23:$H$3256,2,FALSE)),"X",$AX57)</f>
        <v>+</v>
      </c>
      <c r="BA57" s="182" t="str">
        <f>IF(ISTEXT(VLOOKUP(CONCATENATE($A57,"_",BA$3),'Unit List'!$A$23:$H$3256,2,FALSE)),"+","")</f>
        <v>+</v>
      </c>
      <c r="BB57" s="51" t="str">
        <f>IF(ISTEXT(VLOOKUP(CONCATENATE($A57,"_",BB$3),'Unit List'!$A$23:$H$3256,2,FALSE)),"X",$BA57)</f>
        <v>+</v>
      </c>
      <c r="BC57" s="51" t="str">
        <f>IF(ISTEXT(VLOOKUP(CONCATENATE($A57,"_",BC$3),'Unit List'!$A$23:$H$3256,2,FALSE)),"X",$BA57)</f>
        <v>+</v>
      </c>
      <c r="BD57" s="53" t="str">
        <f>IF(ISTEXT(VLOOKUP(CONCATENATE($A57,"_",BD$3),'Unit List'!$A$23:$H$3256,2,FALSE)),"X",$BA57)</f>
        <v>+</v>
      </c>
      <c r="BE57" s="125" t="str">
        <f>IF(ISTEXT(VLOOKUP(CONCATENATE($A57,"_",BE$3),'Unit List'!$A$23:$H$3256,2,FALSE)),"+","")</f>
        <v/>
      </c>
      <c r="BF57" s="62" t="str">
        <f>IF(ISTEXT(VLOOKUP(CONCATENATE($A57,"_",BF$3),'Unit List'!$A$23:$H$3256,2,FALSE)),"X",$BE57)</f>
        <v/>
      </c>
      <c r="BG57" s="75"/>
      <c r="BH57" s="84"/>
      <c r="BI57" s="225"/>
      <c r="BJ57" s="226"/>
      <c r="BK57" s="226"/>
      <c r="BL57" s="226"/>
      <c r="BM57" s="227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List'!$A$23:$H$3256,2,FALSE)),"+","")</f>
        <v/>
      </c>
      <c r="C58" s="82" t="str">
        <f>IF(ISTEXT(VLOOKUP(CONCATENATE($A58,"_",C$3),'Unit List'!$A$23:$H$3256,2,FALSE)),"X",$B58)</f>
        <v>X</v>
      </c>
      <c r="D58" s="67" t="str">
        <f>IF(ISTEXT(VLOOKUP(CONCATENATE($A58,"_",D$3),'Unit List'!$A$23:$H$3256,2,FALSE)),"X",$B58)</f>
        <v>X</v>
      </c>
      <c r="E58" s="51" t="str">
        <f>IF(ISTEXT(VLOOKUP(CONCATENATE($A58,"_",E$3),'Unit List'!$A$23:$H$3256,2,FALSE)),"X",$B58)</f>
        <v>X</v>
      </c>
      <c r="F58" s="67" t="str">
        <f>IF(ISTEXT(VLOOKUP(CONCATENATE($A58,"_",F$3),'Unit List'!$A$23:$H$3256,2,FALSE)),"X",$B58)</f>
        <v>X</v>
      </c>
      <c r="G58" s="67" t="str">
        <f>IF(ISTEXT(VLOOKUP(CONCATENATE($A58,"_",G$3),'Unit List'!$A$23:$H$3256,2,FALSE)),"X",$B58)</f>
        <v>X</v>
      </c>
      <c r="H58" s="67" t="str">
        <f>IF(ISTEXT(VLOOKUP(CONCATENATE($A58,"_",H$3),'Unit List'!$A$23:$H$3256,2,FALSE)),"X",$B58)</f>
        <v>X</v>
      </c>
      <c r="I58" s="53" t="str">
        <f>IF(ISTEXT(VLOOKUP(CONCATENATE($A58,"_",I$3),'Unit List'!$A$23:$H$3256,2,FALSE)),"X",$B58)</f>
        <v/>
      </c>
      <c r="J58" s="172" t="str">
        <f>IF(ISTEXT(VLOOKUP(CONCATENATE($A58,"_",J$3),'Unit List'!$A$23:$H$3256,2,FALSE)),"+","")</f>
        <v/>
      </c>
      <c r="K58" s="51" t="str">
        <f>IF(ISTEXT(VLOOKUP(CONCATENATE($A58,"_",K$3),'Unit List'!$A$23:$H$3256,2,FALSE)),"X",$J58)</f>
        <v/>
      </c>
      <c r="L58" s="62" t="str">
        <f>IF(ISTEXT(VLOOKUP(CONCATENATE($A58,"_",L$3),'Unit List'!$A$23:$H$3256,2,FALSE)),"X",$J58)</f>
        <v/>
      </c>
      <c r="M58" s="172" t="str">
        <f>IF(ISTEXT(VLOOKUP(CONCATENATE($A58,"_",M$3),'Unit List'!$A$23:$H$3256,2,FALSE)),"+","")</f>
        <v>+</v>
      </c>
      <c r="N58" s="51" t="str">
        <f>IF(ISTEXT(VLOOKUP(CONCATENATE($A58,"_",N$3),'Unit List'!$A$23:$H$3256,2,FALSE)),"X",$M58)</f>
        <v>+</v>
      </c>
      <c r="O58" s="70" t="str">
        <f>IF(ISTEXT(VLOOKUP(CONCATENATE($A58,"_",O$3),'Unit List'!$A$23:$H$3256,2,FALSE)),"X",$M58)</f>
        <v>+</v>
      </c>
      <c r="P58" s="172" t="str">
        <f>IF(ISTEXT(VLOOKUP(CONCATENATE($A58,"_",P$3),'Unit List'!$A$23:$H$3256,2,FALSE)),"+","")</f>
        <v>+</v>
      </c>
      <c r="Q58" s="51" t="str">
        <f>IF(ISTEXT(VLOOKUP(CONCATENATE($A58,"_",Q$3),'Unit List'!$A$23:$H$3256,2,FALSE)),"X",$P58)</f>
        <v>+</v>
      </c>
      <c r="R58" s="51" t="str">
        <f>IF(ISTEXT(VLOOKUP(CONCATENATE($A58,"_",R$3),'Unit List'!$A$23:$H$3256,2,FALSE)),"X",$P58)</f>
        <v>+</v>
      </c>
      <c r="S58" s="67" t="str">
        <f>IF(ISTEXT(VLOOKUP(CONCATENATE($A58,"_",S$3),'Unit List'!$A$23:$H$3256,2,FALSE)),"X",$P58)</f>
        <v>+</v>
      </c>
      <c r="T58" s="52" t="str">
        <f>IF(ISTEXT(VLOOKUP(CONCATENATE($A58,"_",T$3),'Unit List'!$A$23:$H$3256,2,FALSE)),"X",$P58)</f>
        <v>+</v>
      </c>
      <c r="U58" s="67" t="str">
        <f>IF(ISTEXT(VLOOKUP(CONCATENATE($A58,"_",U$3),'Unit List'!$A$23:$H$3256,2,FALSE)),"X",$P58)</f>
        <v>X</v>
      </c>
      <c r="V58" s="51" t="str">
        <f>IF(ISTEXT(VLOOKUP(CONCATENATE($A58,"_",V$3),'Unit List'!$A$23:$H$3256,2,FALSE)),"X",$P58)</f>
        <v>+</v>
      </c>
      <c r="W58" s="53" t="str">
        <f>IF(ISTEXT(VLOOKUP(CONCATENATE($A58,"_",W$3),'Unit List'!$A$23:$H$3256,2,FALSE)),"X",$P58)</f>
        <v>+</v>
      </c>
      <c r="X58" s="172" t="str">
        <f>IF(ISTEXT(VLOOKUP(CONCATENATE($A58,"_",X$3),'Unit List'!$A$23:$H$3256,2,FALSE)),"+","")</f>
        <v>+</v>
      </c>
      <c r="Y58" s="67" t="str">
        <f>IF(ISTEXT(VLOOKUP(CONCATENATE($A58,"_",Y$3),'Unit List'!$A$23:$H$3256,2,FALSE)),"X",$X58)</f>
        <v>+</v>
      </c>
      <c r="Z58" s="51" t="str">
        <f>IF(ISTEXT(VLOOKUP(CONCATENATE($A58,"_",Z$3),'Unit List'!$A$23:$H$3256,2,FALSE)),"X",$X58)</f>
        <v>+</v>
      </c>
      <c r="AA58" s="51" t="str">
        <f>IF(ISTEXT(VLOOKUP(CONCATENATE($A58,"_",AA$3),'Unit List'!$A$23:$H$3256,2,FALSE)),"X",$X58)</f>
        <v>+</v>
      </c>
      <c r="AB58" s="51" t="str">
        <f>IF(ISTEXT(VLOOKUP(CONCATENATE($A58,"_",AB$3),'Unit List'!$A$23:$H$3256,2,FALSE)),"X",$X58)</f>
        <v>+</v>
      </c>
      <c r="AC58" s="62" t="str">
        <f>IF(ISTEXT(VLOOKUP(CONCATENATE($A58,"_",AC$3),'Unit List'!$A$23:$H$3256,2,FALSE)),"X",$X58)</f>
        <v>+</v>
      </c>
      <c r="AD58" s="172" t="str">
        <f>IF(ISTEXT(VLOOKUP(CONCATENATE($A58,"_",AD$3),'Unit List'!$A$23:$H$3256,2,FALSE)),"+","")</f>
        <v/>
      </c>
      <c r="AE58" s="51" t="str">
        <f>IF(ISTEXT(VLOOKUP(CONCATENATE($A58,"_",AE$3),'Unit List'!$A$23:$H$3256,2,FALSE)),"X",$AD58)</f>
        <v/>
      </c>
      <c r="AF58" s="51" t="str">
        <f>IF(ISTEXT(VLOOKUP(CONCATENATE($A58,"_",AF$3),'Unit List'!$A$23:$H$3256,2,FALSE)),"X",$AD58)</f>
        <v/>
      </c>
      <c r="AG58" s="172" t="str">
        <f>IF(ISTEXT(VLOOKUP(CONCATENATE($A58,"_",AG$3),'Unit List'!$A$23:$H$3256,2,FALSE)),"+","")</f>
        <v/>
      </c>
      <c r="AH58" s="51" t="str">
        <f>IF(ISTEXT(VLOOKUP(CONCATENATE($A58,"_",AH$3),'Unit List'!$A$23:$H$3256,2,FALSE)),"X",$AG58)</f>
        <v/>
      </c>
      <c r="AI58" s="51" t="str">
        <f>IF(ISTEXT(VLOOKUP(CONCATENATE($A58,"_",AI$3),'Unit List'!$A$23:$H$3256,2,FALSE)),"X",$AG58)</f>
        <v/>
      </c>
      <c r="AJ58" s="53" t="str">
        <f>IF(ISTEXT(VLOOKUP(CONCATENATE($A58,"_",AJ$3),'Unit List'!$A$23:$H$3256,2,FALSE)),"X",$AG58)</f>
        <v/>
      </c>
      <c r="AK58" s="172" t="str">
        <f>IF(ISTEXT(VLOOKUP(CONCATENATE($A58,"_",AK$3),'Unit List'!$A$23:$H$3256,2,FALSE)),"+","")</f>
        <v>+</v>
      </c>
      <c r="AL58" s="52" t="str">
        <f>IF(ISTEXT(VLOOKUP(CONCATENATE($A58,"_",AL$3),'Unit List'!$A$23:$H$3256,2,FALSE)),"X",$AK58)</f>
        <v>X</v>
      </c>
      <c r="AM58" s="70" t="str">
        <f>IF(ISTEXT(VLOOKUP(CONCATENATE($A58,"_",AM$3),'Unit List'!$A$23:$H$3256,2,FALSE)),"X",$AK58)</f>
        <v>+</v>
      </c>
      <c r="AN58" s="125" t="str">
        <f>IF(ISTEXT(VLOOKUP(CONCATENATE($A58,"_",AN$3),'Unit List'!$A$23:$H$3256,2,FALSE)),"+","")</f>
        <v>+</v>
      </c>
      <c r="AO58" s="70" t="str">
        <f>IF(ISTEXT(VLOOKUP(CONCATENATE($A58,"_",AO$3),'Unit List'!$A$23:$H$3256,2,FALSE)),"X",$AN58)</f>
        <v>+</v>
      </c>
      <c r="AP58" s="172" t="str">
        <f>IF(ISTEXT(VLOOKUP(CONCATENATE($A58,"_",AP$3),'Unit List'!$A$23:$H$3256,2,FALSE)),"+","")</f>
        <v/>
      </c>
      <c r="AQ58" s="51" t="str">
        <f>IF(ISTEXT(VLOOKUP(CONCATENATE($A58,"_",AQ$3),'Unit List'!$A$23:$H$3256,2,FALSE)),"X",$AP58)</f>
        <v/>
      </c>
      <c r="AR58" s="67" t="str">
        <f>IF(ISTEXT(VLOOKUP(CONCATENATE($A58,"_",AR$3),'Unit List'!$A$23:$H$3256,2,FALSE)),"X",$AP58)</f>
        <v>X</v>
      </c>
      <c r="AS58" s="51" t="str">
        <f>IF(ISTEXT(VLOOKUP(CONCATENATE($A58,"_",AS$3),'Unit List'!$A$23:$H$3256,2,FALSE)),"X",$AP58)</f>
        <v/>
      </c>
      <c r="AT58" s="53" t="str">
        <f>IF(ISTEXT(VLOOKUP(CONCATENATE($A58,"_",AT$3),'Unit List'!$A$23:$H$3256,2,FALSE)),"X",$AP58)</f>
        <v/>
      </c>
      <c r="AU58" s="124" t="str">
        <f>IF(ISTEXT(VLOOKUP(CONCATENATE($A58,"_",AU$3),'Unit List'!$A$23:$H$3256,2,FALSE)),"+","")</f>
        <v/>
      </c>
      <c r="AV58" s="51" t="str">
        <f>IF(ISTEXT(VLOOKUP(CONCATENATE($A58,"_",AV$3),'Unit List'!$A$23:$H$3256,2,FALSE)),"X",$AU58)</f>
        <v/>
      </c>
      <c r="AW58" s="53" t="str">
        <f>IF(ISTEXT(VLOOKUP(CONCATENATE($A58,"_",AW$3),'Unit List'!$A$23:$H$3256,2,FALSE)),"X",$AU58)</f>
        <v/>
      </c>
      <c r="AX58" s="171" t="str">
        <f>IF(ISTEXT(VLOOKUP(CONCATENATE($A58,"_",AX$3),'Unit List'!$A$23:$H$3256,2,FALSE)),"+","")</f>
        <v>+</v>
      </c>
      <c r="AY58" s="67" t="str">
        <f>IF(ISTEXT(VLOOKUP(CONCATENATE($A58,"_",AY$3),'Unit List'!$A$23:$H$3256,2,FALSE)),"X",$AX58)</f>
        <v>+</v>
      </c>
      <c r="AZ58" s="70" t="str">
        <f>IF(ISTEXT(VLOOKUP(CONCATENATE($A58,"_",AZ$3),'Unit List'!$A$23:$H$3256,2,FALSE)),"X",$AX58)</f>
        <v>+</v>
      </c>
      <c r="BA58" s="182" t="str">
        <f>IF(ISTEXT(VLOOKUP(CONCATENATE($A58,"_",BA$3),'Unit List'!$A$23:$H$3256,2,FALSE)),"+","")</f>
        <v/>
      </c>
      <c r="BB58" s="51" t="str">
        <f>IF(ISTEXT(VLOOKUP(CONCATENATE($A58,"_",BB$3),'Unit List'!$A$23:$H$3256,2,FALSE)),"X",$BA58)</f>
        <v/>
      </c>
      <c r="BC58" s="51" t="str">
        <f>IF(ISTEXT(VLOOKUP(CONCATENATE($A58,"_",BC$3),'Unit List'!$A$23:$H$3256,2,FALSE)),"X",$BA58)</f>
        <v/>
      </c>
      <c r="BD58" s="53" t="str">
        <f>IF(ISTEXT(VLOOKUP(CONCATENATE($A58,"_",BD$3),'Unit List'!$A$23:$H$3256,2,FALSE)),"X",$BA58)</f>
        <v/>
      </c>
      <c r="BE58" s="125" t="str">
        <f>IF(ISTEXT(VLOOKUP(CONCATENATE($A58,"_",BE$3),'Unit List'!$A$23:$H$3256,2,FALSE)),"+","")</f>
        <v/>
      </c>
      <c r="BF58" s="62" t="str">
        <f>IF(ISTEXT(VLOOKUP(CONCATENATE($A58,"_",BF$3),'Unit List'!$A$23:$H$3256,2,FALSE)),"X",$BE58)</f>
        <v/>
      </c>
      <c r="BG58" s="75"/>
      <c r="BH58" s="84"/>
      <c r="BI58" s="225" t="s">
        <v>10</v>
      </c>
      <c r="BJ58" s="226"/>
      <c r="BK58" s="226"/>
      <c r="BL58" s="226"/>
      <c r="BM58" s="227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List'!$A$23:$H$3256,2,FALSE)),"+","")</f>
        <v/>
      </c>
      <c r="C59" s="82" t="str">
        <f>IF(ISTEXT(VLOOKUP(CONCATENATE($A59,"_",C$3),'Unit List'!$A$23:$H$3256,2,FALSE)),"X",$B59)</f>
        <v>X</v>
      </c>
      <c r="D59" s="67" t="str">
        <f>IF(ISTEXT(VLOOKUP(CONCATENATE($A59,"_",D$3),'Unit List'!$A$23:$H$3256,2,FALSE)),"X",$B59)</f>
        <v>X</v>
      </c>
      <c r="E59" s="51" t="str">
        <f>IF(ISTEXT(VLOOKUP(CONCATENATE($A59,"_",E$3),'Unit List'!$A$23:$H$3256,2,FALSE)),"X",$B59)</f>
        <v>X</v>
      </c>
      <c r="F59" s="67" t="str">
        <f>IF(ISTEXT(VLOOKUP(CONCATENATE($A59,"_",F$3),'Unit List'!$A$23:$H$3256,2,FALSE)),"X",$B59)</f>
        <v>X</v>
      </c>
      <c r="G59" s="67" t="str">
        <f>IF(ISTEXT(VLOOKUP(CONCATENATE($A59,"_",G$3),'Unit List'!$A$23:$H$3256,2,FALSE)),"X",$B59)</f>
        <v>X</v>
      </c>
      <c r="H59" s="67" t="str">
        <f>IF(ISTEXT(VLOOKUP(CONCATENATE($A59,"_",H$3),'Unit List'!$A$23:$H$3256,2,FALSE)),"X",$B59)</f>
        <v>X</v>
      </c>
      <c r="I59" s="53" t="str">
        <f>IF(ISTEXT(VLOOKUP(CONCATENATE($A59,"_",I$3),'Unit List'!$A$23:$H$3256,2,FALSE)),"X",$B59)</f>
        <v/>
      </c>
      <c r="J59" s="171" t="str">
        <f>IF(ISTEXT(VLOOKUP(CONCATENATE($A59,"_",J$3),'Unit List'!$A$23:$H$3256,2,FALSE)),"+","")</f>
        <v/>
      </c>
      <c r="K59" s="51" t="str">
        <f>IF(ISTEXT(VLOOKUP(CONCATENATE($A59,"_",K$3),'Unit List'!$A$23:$H$3256,2,FALSE)),"X",$J59)</f>
        <v/>
      </c>
      <c r="L59" s="86" t="str">
        <f>IF(ISTEXT(VLOOKUP(CONCATENATE($A59,"_",L$3),'Unit List'!$A$23:$H$3256,2,FALSE)),"X",$J59)</f>
        <v>X</v>
      </c>
      <c r="M59" s="171" t="str">
        <f>IF(ISTEXT(VLOOKUP(CONCATENATE($A59,"_",M$3),'Unit List'!$A$23:$H$3256,2,FALSE)),"+","")</f>
        <v>+</v>
      </c>
      <c r="N59" s="67" t="str">
        <f>IF(ISTEXT(VLOOKUP(CONCATENATE($A59,"_",N$3),'Unit List'!$A$23:$H$3256,2,FALSE)),"X",$M59)</f>
        <v>X</v>
      </c>
      <c r="O59" s="70" t="str">
        <f>IF(ISTEXT(VLOOKUP(CONCATENATE($A59,"_",O$3),'Unit List'!$A$23:$H$3256,2,FALSE)),"X",$M59)</f>
        <v>X</v>
      </c>
      <c r="P59" s="172" t="str">
        <f>IF(ISTEXT(VLOOKUP(CONCATENATE($A59,"_",P$3),'Unit List'!$A$23:$H$3256,2,FALSE)),"+","")</f>
        <v/>
      </c>
      <c r="Q59" s="51" t="str">
        <f>IF(ISTEXT(VLOOKUP(CONCATENATE($A59,"_",Q$3),'Unit List'!$A$23:$H$3256,2,FALSE)),"X",$P59)</f>
        <v>X</v>
      </c>
      <c r="R59" s="51" t="str">
        <f>IF(ISTEXT(VLOOKUP(CONCATENATE($A59,"_",R$3),'Unit List'!$A$23:$H$3256,2,FALSE)),"X",$P59)</f>
        <v/>
      </c>
      <c r="S59" s="67" t="str">
        <f>IF(ISTEXT(VLOOKUP(CONCATENATE($A59,"_",S$3),'Unit List'!$A$23:$H$3256,2,FALSE)),"X",$P59)</f>
        <v>X</v>
      </c>
      <c r="T59" s="52" t="str">
        <f>IF(ISTEXT(VLOOKUP(CONCATENATE($A59,"_",T$3),'Unit List'!$A$23:$H$3256,2,FALSE)),"X",$P59)</f>
        <v/>
      </c>
      <c r="U59" s="67" t="str">
        <f>IF(ISTEXT(VLOOKUP(CONCATENATE($A59,"_",U$3),'Unit List'!$A$23:$H$3256,2,FALSE)),"X",$P59)</f>
        <v>X</v>
      </c>
      <c r="V59" s="51" t="str">
        <f>IF(ISTEXT(VLOOKUP(CONCATENATE($A59,"_",V$3),'Unit List'!$A$23:$H$3256,2,FALSE)),"X",$P59)</f>
        <v>X</v>
      </c>
      <c r="W59" s="53" t="str">
        <f>IF(ISTEXT(VLOOKUP(CONCATENATE($A59,"_",W$3),'Unit List'!$A$23:$H$3256,2,FALSE)),"X",$P59)</f>
        <v/>
      </c>
      <c r="X59" s="172" t="str">
        <f>IF(ISTEXT(VLOOKUP(CONCATENATE($A59,"_",X$3),'Unit List'!$A$23:$H$3256,2,FALSE)),"+","")</f>
        <v/>
      </c>
      <c r="Y59" s="51" t="str">
        <f>IF(ISTEXT(VLOOKUP(CONCATENATE($A59,"_",Y$3),'Unit List'!$A$23:$H$3256,2,FALSE)),"X",$X59)</f>
        <v/>
      </c>
      <c r="Z59" s="51" t="str">
        <f>IF(ISTEXT(VLOOKUP(CONCATENATE($A59,"_",Z$3),'Unit List'!$A$23:$H$3256,2,FALSE)),"X",$X59)</f>
        <v/>
      </c>
      <c r="AA59" s="51" t="str">
        <f>IF(ISTEXT(VLOOKUP(CONCATENATE($A59,"_",AA$3),'Unit List'!$A$23:$H$3256,2,FALSE)),"X",$X59)</f>
        <v/>
      </c>
      <c r="AB59" s="51" t="str">
        <f>IF(ISTEXT(VLOOKUP(CONCATENATE($A59,"_",AB$3),'Unit List'!$A$23:$H$3256,2,FALSE)),"X",$X59)</f>
        <v/>
      </c>
      <c r="AC59" s="62" t="str">
        <f>IF(ISTEXT(VLOOKUP(CONCATENATE($A59,"_",AC$3),'Unit List'!$A$23:$H$3256,2,FALSE)),"X",$X59)</f>
        <v/>
      </c>
      <c r="AD59" s="172" t="str">
        <f>IF(ISTEXT(VLOOKUP(CONCATENATE($A59,"_",AD$3),'Unit List'!$A$23:$H$3256,2,FALSE)),"+","")</f>
        <v>+</v>
      </c>
      <c r="AE59" s="51" t="str">
        <f>IF(ISTEXT(VLOOKUP(CONCATENATE($A59,"_",AE$3),'Unit List'!$A$23:$H$3256,2,FALSE)),"X",$AD59)</f>
        <v>+</v>
      </c>
      <c r="AF59" s="51" t="str">
        <f>IF(ISTEXT(VLOOKUP(CONCATENATE($A59,"_",AF$3),'Unit List'!$A$23:$H$3256,2,FALSE)),"X",$AD59)</f>
        <v>+</v>
      </c>
      <c r="AG59" s="172" t="str">
        <f>IF(ISTEXT(VLOOKUP(CONCATENATE($A59,"_",AG$3),'Unit List'!$A$23:$H$3256,2,FALSE)),"+","")</f>
        <v/>
      </c>
      <c r="AH59" s="51" t="str">
        <f>IF(ISTEXT(VLOOKUP(CONCATENATE($A59,"_",AH$3),'Unit List'!$A$23:$H$3256,2,FALSE)),"X",$AG59)</f>
        <v/>
      </c>
      <c r="AI59" s="51" t="str">
        <f>IF(ISTEXT(VLOOKUP(CONCATENATE($A59,"_",AI$3),'Unit List'!$A$23:$H$3256,2,FALSE)),"X",$AG59)</f>
        <v/>
      </c>
      <c r="AJ59" s="53" t="str">
        <f>IF(ISTEXT(VLOOKUP(CONCATENATE($A59,"_",AJ$3),'Unit List'!$A$23:$H$3256,2,FALSE)),"X",$AG59)</f>
        <v>X</v>
      </c>
      <c r="AK59" s="172" t="str">
        <f>IF(ISTEXT(VLOOKUP(CONCATENATE($A59,"_",AK$3),'Unit List'!$A$23:$H$3256,2,FALSE)),"+","")</f>
        <v/>
      </c>
      <c r="AL59" s="87" t="str">
        <f>IF(ISTEXT(VLOOKUP(CONCATENATE($A59,"_",AL$3),'Unit List'!$A$23:$H$3256,2,FALSE)),"X",$AK59)</f>
        <v>X</v>
      </c>
      <c r="AM59" s="53" t="str">
        <f>IF(ISTEXT(VLOOKUP(CONCATENATE($A59,"_",AM$3),'Unit List'!$A$23:$H$3256,2,FALSE)),"X",$AK59)</f>
        <v/>
      </c>
      <c r="AN59" s="125" t="str">
        <f>IF(ISTEXT(VLOOKUP(CONCATENATE($A59,"_",AN$3),'Unit List'!$A$23:$H$3256,2,FALSE)),"+","")</f>
        <v>+</v>
      </c>
      <c r="AO59" s="53" t="str">
        <f>IF(ISTEXT(VLOOKUP(CONCATENATE($A59,"_",AO$3),'Unit List'!$A$23:$H$3256,2,FALSE)),"X",$AN59)</f>
        <v>+</v>
      </c>
      <c r="AP59" s="172" t="str">
        <f>IF(ISTEXT(VLOOKUP(CONCATENATE($A59,"_",AP$3),'Unit List'!$A$23:$H$3256,2,FALSE)),"+","")</f>
        <v/>
      </c>
      <c r="AQ59" s="51" t="str">
        <f>IF(ISTEXT(VLOOKUP(CONCATENATE($A59,"_",AQ$3),'Unit List'!$A$23:$H$3256,2,FALSE)),"X",$AP59)</f>
        <v>X</v>
      </c>
      <c r="AR59" s="67" t="str">
        <f>IF(ISTEXT(VLOOKUP(CONCATENATE($A59,"_",AR$3),'Unit List'!$A$23:$H$3256,2,FALSE)),"X",$AP59)</f>
        <v>X</v>
      </c>
      <c r="AS59" s="51" t="str">
        <f>IF(ISTEXT(VLOOKUP(CONCATENATE($A59,"_",AS$3),'Unit List'!$A$23:$H$3256,2,FALSE)),"X",$AP59)</f>
        <v>X</v>
      </c>
      <c r="AT59" s="53" t="str">
        <f>IF(ISTEXT(VLOOKUP(CONCATENATE($A59,"_",AT$3),'Unit List'!$A$23:$H$3256,2,FALSE)),"X",$AP59)</f>
        <v/>
      </c>
      <c r="AU59" s="124" t="str">
        <f>IF(ISTEXT(VLOOKUP(CONCATENATE($A59,"_",AU$3),'Unit List'!$A$23:$H$3256,2,FALSE)),"+","")</f>
        <v>+</v>
      </c>
      <c r="AV59" s="51" t="str">
        <f>IF(ISTEXT(VLOOKUP(CONCATENATE($A59,"_",AV$3),'Unit List'!$A$23:$H$3256,2,FALSE)),"X",$AU59)</f>
        <v>+</v>
      </c>
      <c r="AW59" s="53" t="str">
        <f>IF(ISTEXT(VLOOKUP(CONCATENATE($A59,"_",AW$3),'Unit List'!$A$23:$H$3256,2,FALSE)),"X",$AU59)</f>
        <v>+</v>
      </c>
      <c r="AX59" s="172" t="str">
        <f>IF(ISTEXT(VLOOKUP(CONCATENATE($A59,"_",AX$3),'Unit List'!$A$23:$H$3256,2,FALSE)),"+","")</f>
        <v>+</v>
      </c>
      <c r="AY59" s="51" t="str">
        <f>IF(ISTEXT(VLOOKUP(CONCATENATE($A59,"_",AY$3),'Unit List'!$A$23:$H$3256,2,FALSE)),"X",$AX59)</f>
        <v>+</v>
      </c>
      <c r="AZ59" s="53" t="str">
        <f>IF(ISTEXT(VLOOKUP(CONCATENATE($A59,"_",AZ$3),'Unit List'!$A$23:$H$3256,2,FALSE)),"X",$AX59)</f>
        <v>+</v>
      </c>
      <c r="BA59" s="182" t="str">
        <f>IF(ISTEXT(VLOOKUP(CONCATENATE($A59,"_",BA$3),'Unit List'!$A$23:$H$3256,2,FALSE)),"+","")</f>
        <v/>
      </c>
      <c r="BB59" s="51" t="str">
        <f>IF(ISTEXT(VLOOKUP(CONCATENATE($A59,"_",BB$3),'Unit List'!$A$23:$H$3256,2,FALSE)),"X",$BA59)</f>
        <v/>
      </c>
      <c r="BC59" s="51" t="str">
        <f>IF(ISTEXT(VLOOKUP(CONCATENATE($A59,"_",BC$3),'Unit List'!$A$23:$H$3256,2,FALSE)),"X",$BA59)</f>
        <v/>
      </c>
      <c r="BD59" s="53" t="str">
        <f>IF(ISTEXT(VLOOKUP(CONCATENATE($A59,"_",BD$3),'Unit List'!$A$23:$H$3256,2,FALSE)),"X",$BA59)</f>
        <v/>
      </c>
      <c r="BE59" s="125" t="str">
        <f>IF(ISTEXT(VLOOKUP(CONCATENATE($A59,"_",BE$3),'Unit List'!$A$23:$H$3256,2,FALSE)),"+","")</f>
        <v/>
      </c>
      <c r="BF59" s="62" t="str">
        <f>IF(ISTEXT(VLOOKUP(CONCATENATE($A59,"_",BF$3),'Unit List'!$A$23:$H$3256,2,FALSE)),"X",$BE59)</f>
        <v/>
      </c>
      <c r="BG59" s="75"/>
      <c r="BH59" s="84"/>
      <c r="BI59" s="225" t="s">
        <v>9</v>
      </c>
      <c r="BJ59" s="228"/>
      <c r="BK59" s="228"/>
      <c r="BL59" s="228"/>
      <c r="BM59" s="229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2391</v>
      </c>
      <c r="B60" s="181" t="str">
        <f>IF(ISTEXT(VLOOKUP(CONCATENATE($A60,"_",B$3),'Unit List'!$A$23:$H$3256,2,FALSE)),"+","")</f>
        <v/>
      </c>
      <c r="C60" s="82" t="str">
        <f>IF(ISTEXT(VLOOKUP(CONCATENATE($A60,"_",C$3),'Unit List'!$A$23:$H$3256,2,FALSE)),"X",$B60)</f>
        <v>X</v>
      </c>
      <c r="D60" s="67" t="str">
        <f>IF(ISTEXT(VLOOKUP(CONCATENATE($A60,"_",D$3),'Unit List'!$A$23:$H$3256,2,FALSE)),"X",$B60)</f>
        <v>X</v>
      </c>
      <c r="E60" s="51" t="str">
        <f>IF(ISTEXT(VLOOKUP(CONCATENATE($A60,"_",E$3),'Unit List'!$A$23:$H$3256,2,FALSE)),"X",$B60)</f>
        <v>X</v>
      </c>
      <c r="F60" s="67" t="str">
        <f>IF(ISTEXT(VLOOKUP(CONCATENATE($A60,"_",F$3),'Unit List'!$A$23:$H$3256,2,FALSE)),"X",$B60)</f>
        <v>X</v>
      </c>
      <c r="G60" s="99" t="str">
        <f>IF(ISTEXT(VLOOKUP(CONCATENATE($A60,"_",G$3),'Unit List'!$A$23:$H$3256,2,FALSE)),"X",$B60)</f>
        <v>X</v>
      </c>
      <c r="H60" s="67" t="str">
        <f>IF(ISTEXT(VLOOKUP(CONCATENATE($A60,"_",H$3),'Unit List'!$A$23:$H$3256,2,FALSE)),"X",$B60)</f>
        <v>X</v>
      </c>
      <c r="I60" s="70" t="str">
        <f>IF(ISTEXT(VLOOKUP(CONCATENATE($A60,"_",I$3),'Unit List'!$A$23:$H$3256,2,FALSE)),"X",$B60)</f>
        <v>X</v>
      </c>
      <c r="J60" s="171" t="str">
        <f>IF(ISTEXT(VLOOKUP(CONCATENATE($A60,"_",J$3),'Unit List'!$A$23:$H$3256,2,FALSE)),"+","")</f>
        <v/>
      </c>
      <c r="K60" s="51" t="str">
        <f>IF(ISTEXT(VLOOKUP(CONCATENATE($A60,"_",K$3),'Unit List'!$A$23:$H$3256,2,FALSE)),"X",$J60)</f>
        <v/>
      </c>
      <c r="L60" s="86" t="str">
        <f>IF(ISTEXT(VLOOKUP(CONCATENATE($A60,"_",L$3),'Unit List'!$A$23:$H$3256,2,FALSE)),"X",$J60)</f>
        <v>X</v>
      </c>
      <c r="M60" s="171" t="str">
        <f>IF(ISTEXT(VLOOKUP(CONCATENATE($A60,"_",M$3),'Unit List'!$A$23:$H$3256,2,FALSE)),"+","")</f>
        <v>+</v>
      </c>
      <c r="N60" s="67" t="str">
        <f>IF(ISTEXT(VLOOKUP(CONCATENATE($A60,"_",N$3),'Unit List'!$A$23:$H$3256,2,FALSE)),"X",$M60)</f>
        <v>+</v>
      </c>
      <c r="O60" s="70" t="str">
        <f>IF(ISTEXT(VLOOKUP(CONCATENATE($A60,"_",O$3),'Unit List'!$A$23:$H$3256,2,FALSE)),"X",$M60)</f>
        <v>X</v>
      </c>
      <c r="P60" s="172" t="str">
        <f>IF(ISTEXT(VLOOKUP(CONCATENATE($A60,"_",P$3),'Unit List'!$A$23:$H$3256,2,FALSE)),"+","")</f>
        <v/>
      </c>
      <c r="Q60" s="90" t="s">
        <v>0</v>
      </c>
      <c r="R60" s="51" t="str">
        <f>IF(ISTEXT(VLOOKUP(CONCATENATE($A60,"_",R$3),'Unit List'!$A$23:$H$3256,2,FALSE)),"X",$P60)</f>
        <v/>
      </c>
      <c r="S60" s="67" t="str">
        <f>IF(ISTEXT(VLOOKUP(CONCATENATE($A60,"_",S$3),'Unit List'!$A$23:$H$3256,2,FALSE)),"X",$P60)</f>
        <v>X</v>
      </c>
      <c r="T60" s="52" t="str">
        <f>IF(ISTEXT(VLOOKUP(CONCATENATE($A60,"_",T$3),'Unit List'!$A$23:$H$3256,2,FALSE)),"X",$P60)</f>
        <v/>
      </c>
      <c r="U60" s="67" t="str">
        <f>IF(ISTEXT(VLOOKUP(CONCATENATE($A60,"_",U$3),'Unit List'!$A$23:$H$3256,2,FALSE)),"X",$P60)</f>
        <v>X</v>
      </c>
      <c r="V60" s="67" t="str">
        <f>IF(ISTEXT(VLOOKUP(CONCATENATE($A60,"_",V$3),'Unit List'!$A$23:$H$3256,2,FALSE)),"X",$P60)</f>
        <v>X</v>
      </c>
      <c r="W60" s="53" t="str">
        <f>IF(ISTEXT(VLOOKUP(CONCATENATE($A60,"_",W$3),'Unit List'!$A$23:$H$3256,2,FALSE)),"X",$P60)</f>
        <v/>
      </c>
      <c r="X60" s="172" t="str">
        <f>IF(ISTEXT(VLOOKUP(CONCATENATE($A60,"_",X$3),'Unit List'!$A$23:$H$3256,2,FALSE)),"+","")</f>
        <v/>
      </c>
      <c r="Y60" s="51" t="str">
        <f>IF(ISTEXT(VLOOKUP(CONCATENATE($A60,"_",Y$3),'Unit List'!$A$23:$H$3256,2,FALSE)),"X",$X60)</f>
        <v/>
      </c>
      <c r="Z60" s="51" t="str">
        <f>IF(ISTEXT(VLOOKUP(CONCATENATE($A60,"_",Z$3),'Unit List'!$A$23:$H$3256,2,FALSE)),"X",$X60)</f>
        <v/>
      </c>
      <c r="AA60" s="51" t="str">
        <f>IF(ISTEXT(VLOOKUP(CONCATENATE($A60,"_",AA$3),'Unit List'!$A$23:$H$3256,2,FALSE)),"X",$X60)</f>
        <v/>
      </c>
      <c r="AB60" s="51" t="str">
        <f>IF(ISTEXT(VLOOKUP(CONCATENATE($A60,"_",AB$3),'Unit List'!$A$23:$H$3256,2,FALSE)),"X",$X60)</f>
        <v/>
      </c>
      <c r="AC60" s="62" t="str">
        <f>IF(ISTEXT(VLOOKUP(CONCATENATE($A60,"_",AC$3),'Unit List'!$A$23:$H$3256,2,FALSE)),"X",$X60)</f>
        <v/>
      </c>
      <c r="AD60" s="171" t="str">
        <f>IF(ISTEXT(VLOOKUP(CONCATENATE($A60,"_",AD$3),'Unit List'!$A$23:$H$3256,2,FALSE)),"+","")</f>
        <v/>
      </c>
      <c r="AE60" s="51" t="str">
        <f>IF(ISTEXT(VLOOKUP(CONCATENATE($A60,"_",AE$3),'Unit List'!$A$23:$H$3256,2,FALSE)),"X",$AD60)</f>
        <v/>
      </c>
      <c r="AF60" s="51" t="str">
        <f>IF(ISTEXT(VLOOKUP(CONCATENATE($A60,"_",AF$3),'Unit List'!$A$23:$H$3256,2,FALSE)),"X",$AD60)</f>
        <v/>
      </c>
      <c r="AG60" s="171" t="str">
        <f>IF(ISTEXT(VLOOKUP(CONCATENATE($A60,"_",AG$3),'Unit List'!$A$23:$H$3256,2,FALSE)),"+","")</f>
        <v>+</v>
      </c>
      <c r="AH60" s="67" t="str">
        <f>IF(ISTEXT(VLOOKUP(CONCATENATE($A60,"_",AH$3),'Unit List'!$A$23:$H$3256,2,FALSE)),"X",$AG60)</f>
        <v>+</v>
      </c>
      <c r="AI60" s="67" t="str">
        <f>IF(ISTEXT(VLOOKUP(CONCATENATE($A60,"_",AI$3),'Unit List'!$A$23:$H$3256,2,FALSE)),"X",$AG60)</f>
        <v>+</v>
      </c>
      <c r="AJ60" s="70" t="str">
        <f>IF(ISTEXT(VLOOKUP(CONCATENATE($A60,"_",AJ$3),'Unit List'!$A$23:$H$3256,2,FALSE)),"X",$AG60)</f>
        <v>+</v>
      </c>
      <c r="AK60" s="172" t="str">
        <f>IF(ISTEXT(VLOOKUP(CONCATENATE($A60,"_",AK$3),'Unit List'!$A$23:$H$3256,2,FALSE)),"+","")</f>
        <v>+</v>
      </c>
      <c r="AL60" s="87" t="str">
        <f>IF(ISTEXT(VLOOKUP(CONCATENATE($A60,"_",AL$3),'Unit List'!$A$23:$H$3256,2,FALSE)),"X",$AK60)</f>
        <v>+</v>
      </c>
      <c r="AM60" s="53" t="str">
        <f>IF(ISTEXT(VLOOKUP(CONCATENATE($A60,"_",AM$3),'Unit List'!$A$23:$H$3256,2,FALSE)),"X",$AK60)</f>
        <v>+</v>
      </c>
      <c r="AN60" s="125" t="str">
        <f>IF(ISTEXT(VLOOKUP(CONCATENATE($A60,"_",AN$3),'Unit List'!$A$23:$H$3256,2,FALSE)),"+","")</f>
        <v/>
      </c>
      <c r="AO60" s="53" t="str">
        <f>IF(ISTEXT(VLOOKUP(CONCATENATE($A60,"_",AO$3),'Unit List'!$A$23:$H$3256,2,FALSE)),"X",$AN60)</f>
        <v/>
      </c>
      <c r="AP60" s="171" t="str">
        <f>IF(ISTEXT(VLOOKUP(CONCATENATE($A60,"_",AP$3),'Unit List'!$A$23:$H$3256,2,FALSE)),"+","")</f>
        <v>+</v>
      </c>
      <c r="AQ60" s="67" t="str">
        <f>IF(ISTEXT(VLOOKUP(CONCATENATE($A60,"_",AQ$3),'Unit List'!$A$23:$H$3256,2,FALSE)),"X",$AP60)</f>
        <v>X</v>
      </c>
      <c r="AR60" s="67" t="str">
        <f>IF(ISTEXT(VLOOKUP(CONCATENATE($A60,"_",AR$3),'Unit List'!$A$23:$H$3256,2,FALSE)),"X",$AP60)</f>
        <v>X</v>
      </c>
      <c r="AS60" s="94" t="str">
        <f>IF(ISTEXT(VLOOKUP(CONCATENATE($A60,"_",AS$3),'Unit List'!$A$23:$H$3256,2,FALSE)),"X",$AP60)</f>
        <v>+</v>
      </c>
      <c r="AT60" s="53" t="str">
        <f>IF(ISTEXT(VLOOKUP(CONCATENATE($A60,"_",AT$3),'Unit List'!$A$23:$H$3256,2,FALSE)),"X",$AP60)</f>
        <v>+</v>
      </c>
      <c r="AU60" s="124" t="str">
        <f>IF(ISTEXT(VLOOKUP(CONCATENATE($A60,"_",AU$3),'Unit List'!$A$23:$H$3256,2,FALSE)),"+","")</f>
        <v>+</v>
      </c>
      <c r="AV60" s="51" t="str">
        <f>IF(ISTEXT(VLOOKUP(CONCATENATE($A60,"_",AV$3),'Unit List'!$A$23:$H$3256,2,FALSE)),"X",$AU60)</f>
        <v>+</v>
      </c>
      <c r="AW60" s="70" t="str">
        <f>IF(ISTEXT(VLOOKUP(CONCATENATE($A60,"_",AW$3),'Unit List'!$A$23:$H$3256,2,FALSE)),"X",$AU60)</f>
        <v>X</v>
      </c>
      <c r="AX60" s="171" t="str">
        <f>IF(ISTEXT(VLOOKUP(CONCATENATE($A60,"_",AX$3),'Unit List'!$A$23:$H$3256,2,FALSE)),"+","")</f>
        <v>+</v>
      </c>
      <c r="AY60" s="67" t="str">
        <f>IF(ISTEXT(VLOOKUP(CONCATENATE($A60,"_",AY$3),'Unit List'!$A$23:$H$3256,2,FALSE)),"X",$AX60)</f>
        <v>+</v>
      </c>
      <c r="AZ60" s="70" t="str">
        <f>IF(ISTEXT(VLOOKUP(CONCATENATE($A60,"_",AZ$3),'Unit List'!$A$23:$H$3256,2,FALSE)),"X",$AX60)</f>
        <v>+</v>
      </c>
      <c r="BA60" s="182" t="str">
        <f>IF(ISTEXT(VLOOKUP(CONCATENATE($A60,"_",BA$3),'Unit List'!$A$23:$H$3256,2,FALSE)),"+","")</f>
        <v/>
      </c>
      <c r="BB60" s="51" t="str">
        <f>IF(ISTEXT(VLOOKUP(CONCATENATE($A60,"_",BB$3),'Unit List'!$A$23:$H$3256,2,FALSE)),"X",$BA60)</f>
        <v/>
      </c>
      <c r="BC60" s="51" t="str">
        <f>IF(ISTEXT(VLOOKUP(CONCATENATE($A60,"_",BC$3),'Unit List'!$A$23:$H$3256,2,FALSE)),"X",$BA60)</f>
        <v/>
      </c>
      <c r="BD60" s="53" t="str">
        <f>IF(ISTEXT(VLOOKUP(CONCATENATE($A60,"_",BD$3),'Unit List'!$A$23:$H$3256,2,FALSE)),"X",$BA60)</f>
        <v/>
      </c>
      <c r="BE60" s="125" t="str">
        <f>IF(ISTEXT(VLOOKUP(CONCATENATE($A60,"_",BE$3),'Unit List'!$A$23:$H$3256,2,FALSE)),"+","")</f>
        <v/>
      </c>
      <c r="BF60" s="68" t="str">
        <f>IF(ISTEXT(VLOOKUP(CONCATENATE($A60,"_",BF$3),'Unit List'!$A$23:$H$3256,2,FALSE)),"X",$BE60)</f>
        <v/>
      </c>
      <c r="BG60" s="75"/>
      <c r="BH60" s="84"/>
      <c r="BI60" s="225"/>
      <c r="BJ60" s="226"/>
      <c r="BK60" s="226"/>
      <c r="BL60" s="226"/>
      <c r="BM60" s="227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List'!$A$23:$H$3256,2,FALSE)),"+","")</f>
        <v/>
      </c>
      <c r="C61" s="57" t="str">
        <f>IF(ISTEXT(VLOOKUP(CONCATENATE($A61,"_",C$3),'Unit List'!$A$23:$H$3256,2,FALSE)),"X",$B61)</f>
        <v/>
      </c>
      <c r="D61" s="51" t="str">
        <f>IF(ISTEXT(VLOOKUP(CONCATENATE($A61,"_",D$3),'Unit List'!$A$23:$H$3256,2,FALSE)),"X",$B61)</f>
        <v/>
      </c>
      <c r="E61" s="51" t="str">
        <f>IF(ISTEXT(VLOOKUP(CONCATENATE($A61,"_",E$3),'Unit List'!$A$23:$H$3256,2,FALSE)),"X",$B61)</f>
        <v/>
      </c>
      <c r="F61" s="60" t="str">
        <f>IF(ISTEXT(VLOOKUP(CONCATENATE($A61,"_",F$3),'Unit List'!$A$23:$H$3256,2,FALSE)),"X",$B61)</f>
        <v/>
      </c>
      <c r="G61" s="51" t="str">
        <f>IF(ISTEXT(VLOOKUP(CONCATENATE($A61,"_",G$3),'Unit List'!$A$23:$H$3256,2,FALSE)),"X",$B61)</f>
        <v/>
      </c>
      <c r="H61" s="51" t="str">
        <f>IF(ISTEXT(VLOOKUP(CONCATENATE($A61,"_",H$3),'Unit List'!$A$23:$H$3256,2,FALSE)),"X",$B61)</f>
        <v/>
      </c>
      <c r="I61" s="53" t="str">
        <f>IF(ISTEXT(VLOOKUP(CONCATENATE($A61,"_",I$3),'Unit List'!$A$23:$H$3256,2,FALSE)),"X",$B61)</f>
        <v/>
      </c>
      <c r="J61" s="172" t="str">
        <f>IF(ISTEXT(VLOOKUP(CONCATENATE($A61,"_",J$3),'Unit List'!$A$23:$H$3256,2,FALSE)),"+","")</f>
        <v/>
      </c>
      <c r="K61" s="51" t="str">
        <f>IF(ISTEXT(VLOOKUP(CONCATENATE($A61,"_",K$3),'Unit List'!$A$23:$H$3256,2,FALSE)),"X",$J61)</f>
        <v/>
      </c>
      <c r="L61" s="62" t="str">
        <f>IF(ISTEXT(VLOOKUP(CONCATENATE($A61,"_",L$3),'Unit List'!$A$23:$H$3256,2,FALSE)),"X",$J61)</f>
        <v/>
      </c>
      <c r="M61" s="172" t="str">
        <f>IF(ISTEXT(VLOOKUP(CONCATENATE($A61,"_",M$3),'Unit List'!$A$23:$H$3256,2,FALSE)),"+","")</f>
        <v/>
      </c>
      <c r="N61" s="51" t="str">
        <f>IF(ISTEXT(VLOOKUP(CONCATENATE($A61,"_",N$3),'Unit List'!$A$23:$H$3256,2,FALSE)),"X",$M61)</f>
        <v/>
      </c>
      <c r="O61" s="53" t="str">
        <f>IF(ISTEXT(VLOOKUP(CONCATENATE($A61,"_",O$3),'Unit List'!$A$23:$H$3256,2,FALSE)),"X",$M61)</f>
        <v/>
      </c>
      <c r="P61" s="172" t="str">
        <f>IF(ISTEXT(VLOOKUP(CONCATENATE($A61,"_",P$3),'Unit List'!$A$23:$H$3256,2,FALSE)),"+","")</f>
        <v/>
      </c>
      <c r="Q61" s="51" t="str">
        <f>IF(ISTEXT(VLOOKUP(CONCATENATE($A61,"_",Q$3),'Unit List'!$A$23:$H$3256,2,FALSE)),"X",$P61)</f>
        <v/>
      </c>
      <c r="R61" s="51" t="str">
        <f>IF(ISTEXT(VLOOKUP(CONCATENATE($A61,"_",R$3),'Unit List'!$A$23:$H$3256,2,FALSE)),"X",$P61)</f>
        <v/>
      </c>
      <c r="S61" s="51" t="str">
        <f>IF(ISTEXT(VLOOKUP(CONCATENATE($A61,"_",S$3),'Unit List'!$A$23:$H$3256,2,FALSE)),"X",$P61)</f>
        <v/>
      </c>
      <c r="T61" s="52" t="str">
        <f>IF(ISTEXT(VLOOKUP(CONCATENATE($A61,"_",T$3),'Unit List'!$A$23:$H$3256,2,FALSE)),"X",$P61)</f>
        <v/>
      </c>
      <c r="U61" s="51" t="str">
        <f>IF(ISTEXT(VLOOKUP(CONCATENATE($A61,"_",U$3),'Unit List'!$A$23:$H$3256,2,FALSE)),"X",$P61)</f>
        <v/>
      </c>
      <c r="V61" s="60" t="str">
        <f>IF(ISTEXT(VLOOKUP(CONCATENATE($A61,"_",V$3),'Unit List'!$A$23:$H$3256,2,FALSE)),"X",$P61)</f>
        <v/>
      </c>
      <c r="W61" s="53" t="str">
        <f>IF(ISTEXT(VLOOKUP(CONCATENATE($A61,"_",W$3),'Unit List'!$A$23:$H$3256,2,FALSE)),"X",$P61)</f>
        <v/>
      </c>
      <c r="X61" s="172" t="str">
        <f>IF(ISTEXT(VLOOKUP(CONCATENATE($A61,"_",X$3),'Unit List'!$A$23:$H$3256,2,FALSE)),"+","")</f>
        <v/>
      </c>
      <c r="Y61" s="51" t="str">
        <f>IF(ISTEXT(VLOOKUP(CONCATENATE($A61,"_",Y$3),'Unit List'!$A$23:$H$3256,2,FALSE)),"X",$X61)</f>
        <v/>
      </c>
      <c r="Z61" s="51" t="str">
        <f>IF(ISTEXT(VLOOKUP(CONCATENATE($A61,"_",Z$3),'Unit List'!$A$23:$H$3256,2,FALSE)),"X",$X61)</f>
        <v/>
      </c>
      <c r="AA61" s="51" t="str">
        <f>IF(ISTEXT(VLOOKUP(CONCATENATE($A61,"_",AA$3),'Unit List'!$A$23:$H$3256,2,FALSE)),"X",$X61)</f>
        <v/>
      </c>
      <c r="AB61" s="51" t="str">
        <f>IF(ISTEXT(VLOOKUP(CONCATENATE($A61,"_",AB$3),'Unit List'!$A$23:$H$3256,2,FALSE)),"X",$X61)</f>
        <v/>
      </c>
      <c r="AC61" s="62" t="str">
        <f>IF(ISTEXT(VLOOKUP(CONCATENATE($A61,"_",AC$3),'Unit List'!$A$23:$H$3256,2,FALSE)),"X",$X61)</f>
        <v/>
      </c>
      <c r="AD61" s="172" t="str">
        <f>IF(ISTEXT(VLOOKUP(CONCATENATE($A61,"_",AD$3),'Unit List'!$A$23:$H$3256,2,FALSE)),"+","")</f>
        <v/>
      </c>
      <c r="AE61" s="51" t="str">
        <f>IF(ISTEXT(VLOOKUP(CONCATENATE($A61,"_",AE$3),'Unit List'!$A$23:$H$3256,2,FALSE)),"X",$AD61)</f>
        <v/>
      </c>
      <c r="AF61" s="51" t="str">
        <f>IF(ISTEXT(VLOOKUP(CONCATENATE($A61,"_",AF$3),'Unit List'!$A$23:$H$3256,2,FALSE)),"X",$AD61)</f>
        <v/>
      </c>
      <c r="AG61" s="172" t="str">
        <f>IF(ISTEXT(VLOOKUP(CONCATENATE($A61,"_",AG$3),'Unit List'!$A$23:$H$3256,2,FALSE)),"+","")</f>
        <v/>
      </c>
      <c r="AH61" s="51" t="str">
        <f>IF(ISTEXT(VLOOKUP(CONCATENATE($A61,"_",AH$3),'Unit List'!$A$23:$H$3256,2,FALSE)),"X",$AG61)</f>
        <v/>
      </c>
      <c r="AI61" s="51" t="str">
        <f>IF(ISTEXT(VLOOKUP(CONCATENATE($A61,"_",AI$3),'Unit List'!$A$23:$H$3256,2,FALSE)),"X",$AG61)</f>
        <v/>
      </c>
      <c r="AJ61" s="53" t="str">
        <f>IF(ISTEXT(VLOOKUP(CONCATENATE($A61,"_",AJ$3),'Unit List'!$A$23:$H$3256,2,FALSE)),"X",$AG61)</f>
        <v/>
      </c>
      <c r="AK61" s="172" t="str">
        <f>IF(ISTEXT(VLOOKUP(CONCATENATE($A61,"_",AK$3),'Unit List'!$A$23:$H$3256,2,FALSE)),"+","")</f>
        <v/>
      </c>
      <c r="AL61" s="52" t="str">
        <f>IF(ISTEXT(VLOOKUP(CONCATENATE($A61,"_",AL$3),'Unit List'!$A$23:$H$3256,2,FALSE)),"X",$AK61)</f>
        <v/>
      </c>
      <c r="AM61" s="53" t="str">
        <f>IF(ISTEXT(VLOOKUP(CONCATENATE($A61,"_",AM$3),'Unit List'!$A$23:$H$3256,2,FALSE)),"X",$AK61)</f>
        <v/>
      </c>
      <c r="AN61" s="125" t="str">
        <f>IF(ISTEXT(VLOOKUP(CONCATENATE($A61,"_",AN$3),'Unit List'!$A$23:$H$3256,2,FALSE)),"+","")</f>
        <v/>
      </c>
      <c r="AO61" s="53" t="str">
        <f>IF(ISTEXT(VLOOKUP(CONCATENATE($A61,"_",AO$3),'Unit List'!$A$23:$H$3256,2,FALSE)),"X",$AN61)</f>
        <v/>
      </c>
      <c r="AP61" s="172" t="str">
        <f>IF(ISTEXT(VLOOKUP(CONCATENATE($A61,"_",AP$3),'Unit List'!$A$23:$H$3256,2,FALSE)),"+","")</f>
        <v/>
      </c>
      <c r="AQ61" s="51" t="str">
        <f>IF(ISTEXT(VLOOKUP(CONCATENATE($A61,"_",AQ$3),'Unit List'!$A$23:$H$3256,2,FALSE)),"X",$AP61)</f>
        <v/>
      </c>
      <c r="AR61" s="51" t="str">
        <f>IF(ISTEXT(VLOOKUP(CONCATENATE($A61,"_",AR$3),'Unit List'!$A$23:$H$3256,2,FALSE)),"X",$AP61)</f>
        <v/>
      </c>
      <c r="AS61" s="51" t="str">
        <f>IF(ISTEXT(VLOOKUP(CONCATENATE($A61,"_",AS$3),'Unit List'!$A$23:$H$3256,2,FALSE)),"X",$AP61)</f>
        <v/>
      </c>
      <c r="AT61" s="53" t="str">
        <f>IF(ISTEXT(VLOOKUP(CONCATENATE($A61,"_",AT$3),'Unit List'!$A$23:$H$3256,2,FALSE)),"X",$AP61)</f>
        <v/>
      </c>
      <c r="AU61" s="124" t="str">
        <f>IF(ISTEXT(VLOOKUP(CONCATENATE($A61,"_",AU$3),'Unit List'!$A$23:$H$3256,2,FALSE)),"+","")</f>
        <v/>
      </c>
      <c r="AV61" s="51" t="str">
        <f>IF(ISTEXT(VLOOKUP(CONCATENATE($A61,"_",AV$3),'Unit List'!$A$23:$H$3256,2,FALSE)),"X",$AU61)</f>
        <v/>
      </c>
      <c r="AW61" s="53" t="str">
        <f>IF(ISTEXT(VLOOKUP(CONCATENATE($A61,"_",AW$3),'Unit List'!$A$23:$H$3256,2,FALSE)),"X",$AU61)</f>
        <v/>
      </c>
      <c r="AX61" s="172" t="str">
        <f>IF(ISTEXT(VLOOKUP(CONCATENATE($A61,"_",AX$3),'Unit List'!$A$23:$H$3256,2,FALSE)),"+","")</f>
        <v/>
      </c>
      <c r="AY61" s="51" t="str">
        <f>IF(ISTEXT(VLOOKUP(CONCATENATE($A61,"_",AY$3),'Unit List'!$A$23:$H$3256,2,FALSE)),"X",$AX61)</f>
        <v/>
      </c>
      <c r="AZ61" s="53" t="str">
        <f>IF(ISTEXT(VLOOKUP(CONCATENATE($A61,"_",AZ$3),'Unit List'!$A$23:$H$3256,2,FALSE)),"X",$AX61)</f>
        <v/>
      </c>
      <c r="BA61" s="182" t="str">
        <f>IF(ISTEXT(VLOOKUP(CONCATENATE($A61,"_",BA$3),'Unit List'!$A$23:$H$3256,2,FALSE)),"+","")</f>
        <v/>
      </c>
      <c r="BB61" s="51" t="str">
        <f>IF(ISTEXT(VLOOKUP(CONCATENATE($A61,"_",BB$3),'Unit List'!$A$23:$H$3256,2,FALSE)),"X",$BA61)</f>
        <v/>
      </c>
      <c r="BC61" s="51" t="str">
        <f>IF(ISTEXT(VLOOKUP(CONCATENATE($A61,"_",BC$3),'Unit List'!$A$23:$H$3256,2,FALSE)),"X",$BA61)</f>
        <v/>
      </c>
      <c r="BD61" s="53" t="str">
        <f>IF(ISTEXT(VLOOKUP(CONCATENATE($A61,"_",BD$3),'Unit List'!$A$23:$H$3256,2,FALSE)),"X",$BA61)</f>
        <v/>
      </c>
      <c r="BE61" s="125" t="str">
        <f>IF(ISTEXT(VLOOKUP(CONCATENATE($A61,"_",BE$3),'Unit List'!$A$23:$H$3256,2,FALSE)),"+","")</f>
        <v/>
      </c>
      <c r="BF61" s="62" t="str">
        <f>IF(ISTEXT(VLOOKUP(CONCATENATE($A61,"_",BF$3),'Unit List'!$A$23:$H$3256,2,FALSE)),"X",$BE61)</f>
        <v/>
      </c>
      <c r="BG61" s="75"/>
      <c r="BH61" s="84"/>
      <c r="BI61" s="225"/>
      <c r="BJ61" s="226"/>
      <c r="BK61" s="226"/>
      <c r="BL61" s="226"/>
      <c r="BM61" s="227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List'!$A$23:$H$3256,2,FALSE)),"+","")</f>
        <v/>
      </c>
      <c r="C62" s="110" t="str">
        <f>IF(ISTEXT(VLOOKUP(CONCATENATE($A62,"_",C$3),'Unit List'!$A$23:$H$3256,2,FALSE)),"X",$B62)</f>
        <v/>
      </c>
      <c r="D62" s="111" t="str">
        <f>IF(ISTEXT(VLOOKUP(CONCATENATE($A62,"_",D$3),'Unit List'!$A$23:$H$3256,2,FALSE)),"X",$B62)</f>
        <v/>
      </c>
      <c r="E62" s="111" t="str">
        <f>IF(ISTEXT(VLOOKUP(CONCATENATE($A62,"_",E$3),'Unit List'!$A$23:$H$3256,2,FALSE)),"X",$B62)</f>
        <v/>
      </c>
      <c r="F62" s="111" t="str">
        <f>IF(ISTEXT(VLOOKUP(CONCATENATE($A62,"_",F$3),'Unit List'!$A$23:$H$3256,2,FALSE)),"X",$B62)</f>
        <v/>
      </c>
      <c r="G62" s="111" t="str">
        <f>IF(ISTEXT(VLOOKUP(CONCATENATE($A62,"_",G$3),'Unit List'!$A$23:$H$3256,2,FALSE)),"X",$B62)</f>
        <v/>
      </c>
      <c r="H62" s="111" t="str">
        <f>IF(ISTEXT(VLOOKUP(CONCATENATE($A62,"_",H$3),'Unit List'!$A$23:$H$3256,2,FALSE)),"X",$B62)</f>
        <v/>
      </c>
      <c r="I62" s="112" t="s">
        <v>0</v>
      </c>
      <c r="J62" s="173" t="str">
        <f>IF(ISTEXT(VLOOKUP(CONCATENATE($A62,"_",J$3),'Unit List'!$A$23:$H$3256,2,FALSE)),"+","")</f>
        <v/>
      </c>
      <c r="K62" s="111" t="str">
        <f>IF(ISTEXT(VLOOKUP(CONCATENATE($A62,"_",K$3),'Unit List'!$A$23:$H$3256,2,FALSE)),"X",$J62)</f>
        <v/>
      </c>
      <c r="L62" s="113" t="str">
        <f>IF(ISTEXT(VLOOKUP(CONCATENATE($A62,"_",L$3),'Unit List'!$A$23:$H$3256,2,FALSE)),"X",$J62)</f>
        <v/>
      </c>
      <c r="M62" s="173" t="str">
        <f>IF(ISTEXT(VLOOKUP(CONCATENATE($A62,"_",M$3),'Unit List'!$A$23:$H$3256,2,FALSE)),"+","")</f>
        <v/>
      </c>
      <c r="N62" s="111" t="str">
        <f>IF(ISTEXT(VLOOKUP(CONCATENATE($A62,"_",N$3),'Unit List'!$A$23:$H$3256,2,FALSE)),"X",$M62)</f>
        <v/>
      </c>
      <c r="O62" s="114" t="str">
        <f>IF(ISTEXT(VLOOKUP(CONCATENATE($A62,"_",O$3),'Unit List'!$A$23:$H$3256,2,FALSE)),"X",$M62)</f>
        <v/>
      </c>
      <c r="P62" s="173" t="str">
        <f>IF(ISTEXT(VLOOKUP(CONCATENATE($A62,"_",P$3),'Unit List'!$A$23:$H$3256,2,FALSE)),"+","")</f>
        <v/>
      </c>
      <c r="Q62" s="111" t="str">
        <f>IF(ISTEXT(VLOOKUP(CONCATENATE($A62,"_",Q$3),'Unit List'!$A$23:$H$3256,2,FALSE)),"X",$P62)</f>
        <v/>
      </c>
      <c r="R62" s="111" t="str">
        <f>IF(ISTEXT(VLOOKUP(CONCATENATE($A62,"_",R$3),'Unit List'!$A$23:$H$3256,2,FALSE)),"X",$P62)</f>
        <v/>
      </c>
      <c r="S62" s="111" t="str">
        <f>IF(ISTEXT(VLOOKUP(CONCATENATE($A62,"_",S$3),'Unit List'!$A$23:$H$3256,2,FALSE)),"X",$P62)</f>
        <v/>
      </c>
      <c r="T62" s="115" t="str">
        <f>IF(ISTEXT(VLOOKUP(CONCATENATE($A62,"_",T$3),'Unit List'!$A$23:$H$3256,2,FALSE)),"X",$P62)</f>
        <v/>
      </c>
      <c r="U62" s="111" t="str">
        <f>IF(ISTEXT(VLOOKUP(CONCATENATE($A62,"_",U$3),'Unit List'!$A$23:$H$3256,2,FALSE)),"X",$P62)</f>
        <v/>
      </c>
      <c r="V62" s="111" t="str">
        <f>IF(ISTEXT(VLOOKUP(CONCATENATE($A62,"_",V$3),'Unit List'!$A$23:$H$3256,2,FALSE)),"X",$P62)</f>
        <v/>
      </c>
      <c r="W62" s="114" t="str">
        <f>IF(ISTEXT(VLOOKUP(CONCATENATE($A62,"_",W$3),'Unit List'!$A$23:$H$3256,2,FALSE)),"X",$P62)</f>
        <v/>
      </c>
      <c r="X62" s="173" t="str">
        <f>IF(ISTEXT(VLOOKUP(CONCATENATE($A62,"_",X$3),'Unit List'!$A$23:$H$3256,2,FALSE)),"+","")</f>
        <v/>
      </c>
      <c r="Y62" s="111" t="str">
        <f>IF(ISTEXT(VLOOKUP(CONCATENATE($A62,"_",Y$3),'Unit List'!$A$23:$H$3256,2,FALSE)),"X",$X62)</f>
        <v/>
      </c>
      <c r="Z62" s="111" t="str">
        <f>IF(ISTEXT(VLOOKUP(CONCATENATE($A62,"_",Z$3),'Unit List'!$A$23:$H$3256,2,FALSE)),"X",$X62)</f>
        <v/>
      </c>
      <c r="AA62" s="111" t="str">
        <f>IF(ISTEXT(VLOOKUP(CONCATENATE($A62,"_",AA$3),'Unit List'!$A$23:$H$3256,2,FALSE)),"X",$X62)</f>
        <v/>
      </c>
      <c r="AB62" s="111" t="str">
        <f>IF(ISTEXT(VLOOKUP(CONCATENATE($A62,"_",AB$3),'Unit List'!$A$23:$H$3256,2,FALSE)),"X",$X62)</f>
        <v/>
      </c>
      <c r="AC62" s="113" t="str">
        <f>IF(ISTEXT(VLOOKUP(CONCATENATE($A62,"_",AC$3),'Unit List'!$A$23:$H$3256,2,FALSE)),"X",$X62)</f>
        <v/>
      </c>
      <c r="AD62" s="173" t="str">
        <f>IF(ISTEXT(VLOOKUP(CONCATENATE($A62,"_",AD$3),'Unit List'!$A$23:$H$3256,2,FALSE)),"+","")</f>
        <v/>
      </c>
      <c r="AE62" s="111" t="str">
        <f>IF(ISTEXT(VLOOKUP(CONCATENATE($A62,"_",AE$3),'Unit List'!$A$23:$H$3256,2,FALSE)),"X",$AD62)</f>
        <v/>
      </c>
      <c r="AF62" s="114" t="str">
        <f>IF(ISTEXT(VLOOKUP(CONCATENATE($A62,"_",AF$3),'Unit List'!$A$23:$H$3256,2,FALSE)),"X",$AD62)</f>
        <v/>
      </c>
      <c r="AG62" s="173" t="str">
        <f>IF(ISTEXT(VLOOKUP(CONCATENATE($A62,"_",AG$3),'Unit List'!$A$23:$H$3256,2,FALSE)),"+","")</f>
        <v/>
      </c>
      <c r="AH62" s="111" t="str">
        <f>IF(ISTEXT(VLOOKUP(CONCATENATE($A62,"_",AH$3),'Unit List'!$A$23:$H$3256,2,FALSE)),"X",$AG62)</f>
        <v/>
      </c>
      <c r="AI62" s="111" t="str">
        <f>IF(ISTEXT(VLOOKUP(CONCATENATE($A62,"_",AI$3),'Unit List'!$A$23:$H$3256,2,FALSE)),"X",$AG62)</f>
        <v/>
      </c>
      <c r="AJ62" s="114" t="str">
        <f>IF(ISTEXT(VLOOKUP(CONCATENATE($A62,"_",AJ$3),'Unit List'!$A$23:$H$3256,2,FALSE)),"X",$AG62)</f>
        <v/>
      </c>
      <c r="AK62" s="173" t="str">
        <f>IF(ISTEXT(VLOOKUP(CONCATENATE($A62,"_",AK$3),'Unit List'!$A$23:$H$3256,2,FALSE)),"+","")</f>
        <v/>
      </c>
      <c r="AL62" s="115" t="str">
        <f>IF(ISTEXT(VLOOKUP(CONCATENATE($A62,"_",AL$3),'Unit List'!$A$23:$H$3256,2,FALSE)),"X",$AK62)</f>
        <v/>
      </c>
      <c r="AM62" s="114" t="str">
        <f>IF(ISTEXT(VLOOKUP(CONCATENATE($A62,"_",AM$3),'Unit List'!$A$23:$H$3256,2,FALSE)),"X",$AK62)</f>
        <v/>
      </c>
      <c r="AN62" s="186" t="str">
        <f>IF(ISTEXT(VLOOKUP(CONCATENATE($A62,"_",AN$3),'Unit List'!$A$23:$H$3256,2,FALSE)),"+","")</f>
        <v/>
      </c>
      <c r="AO62" s="114" t="str">
        <f>IF(ISTEXT(VLOOKUP(CONCATENATE($A62,"_",AO$3),'Unit List'!$A$23:$H$3256,2,FALSE)),"X",$AN62)</f>
        <v/>
      </c>
      <c r="AP62" s="173" t="str">
        <f>IF(ISTEXT(VLOOKUP(CONCATENATE($A62,"_",AP$3),'Unit List'!$A$23:$H$3256,2,FALSE)),"+","")</f>
        <v/>
      </c>
      <c r="AQ62" s="111" t="str">
        <f>IF(ISTEXT(VLOOKUP(CONCATENATE($A62,"_",AQ$3),'Unit List'!$A$23:$H$3256,2,FALSE)),"X",$AP62)</f>
        <v/>
      </c>
      <c r="AR62" s="111" t="str">
        <f>IF(ISTEXT(VLOOKUP(CONCATENATE($A62,"_",AR$3),'Unit List'!$A$23:$H$3256,2,FALSE)),"X",$AP62)</f>
        <v/>
      </c>
      <c r="AS62" s="111" t="str">
        <f>IF(ISTEXT(VLOOKUP(CONCATENATE($A62,"_",AS$3),'Unit List'!$A$23:$H$3256,2,FALSE)),"X",$AP62)</f>
        <v/>
      </c>
      <c r="AT62" s="114" t="str">
        <f>IF(ISTEXT(VLOOKUP(CONCATENATE($A62,"_",AT$3),'Unit List'!$A$23:$H$3256,2,FALSE)),"X",$AP62)</f>
        <v/>
      </c>
      <c r="AU62" s="187" t="str">
        <f>IF(ISTEXT(VLOOKUP(CONCATENATE($A62,"_",AU$3),'Unit List'!$A$23:$H$3256,2,FALSE)),"+","")</f>
        <v/>
      </c>
      <c r="AV62" s="111" t="str">
        <f>IF(ISTEXT(VLOOKUP(CONCATENATE($A62,"_",AV$3),'Unit List'!$A$23:$H$3256,2,FALSE)),"X",$AU62)</f>
        <v/>
      </c>
      <c r="AW62" s="114" t="str">
        <f>IF(ISTEXT(VLOOKUP(CONCATENATE($A62,"_",AW$3),'Unit List'!$A$23:$H$3256,2,FALSE)),"X",$AU62)</f>
        <v/>
      </c>
      <c r="AX62" s="173" t="str">
        <f>IF(ISTEXT(VLOOKUP(CONCATENATE($A62,"_",AX$3),'Unit List'!$A$23:$H$3256,2,FALSE)),"+","")</f>
        <v/>
      </c>
      <c r="AY62" s="111" t="str">
        <f>IF(ISTEXT(VLOOKUP(CONCATENATE($A62,"_",AY$3),'Unit List'!$A$23:$H$3256,2,FALSE)),"X",$AX62)</f>
        <v/>
      </c>
      <c r="AZ62" s="114" t="str">
        <f>IF(ISTEXT(VLOOKUP(CONCATENATE($A62,"_",AZ$3),'Unit List'!$A$23:$H$3256,2,FALSE)),"X",$AX62)</f>
        <v/>
      </c>
      <c r="BA62" s="188" t="str">
        <f>IF(ISTEXT(VLOOKUP(CONCATENATE($A62,"_",BA$3),'Unit List'!$A$23:$H$3256,2,FALSE)),"+","")</f>
        <v/>
      </c>
      <c r="BB62" s="111" t="str">
        <f>IF(ISTEXT(VLOOKUP(CONCATENATE($A62,"_",BB$3),'Unit List'!$A$23:$H$3256,2,FALSE)),"X",$BA62)</f>
        <v/>
      </c>
      <c r="BC62" s="111" t="str">
        <f>IF(ISTEXT(VLOOKUP(CONCATENATE($A62,"_",BC$3),'Unit List'!$A$23:$H$3256,2,FALSE)),"X",$BA62)</f>
        <v/>
      </c>
      <c r="BD62" s="114" t="str">
        <f>IF(ISTEXT(VLOOKUP(CONCATENATE($A62,"_",BD$3),'Unit List'!$A$23:$H$3256,2,FALSE)),"X",$BA62)</f>
        <v/>
      </c>
      <c r="BE62" s="186" t="str">
        <f>IF(ISTEXT(VLOOKUP(CONCATENATE($A62,"_",BE$3),'Unit List'!$A$23:$H$3256,2,FALSE)),"+","")</f>
        <v/>
      </c>
      <c r="BF62" s="113" t="str">
        <f>IF(ISTEXT(VLOOKUP(CONCATENATE($A62,"_",BF$3),'Unit List'!$A$23:$H$3256,2,FALSE)),"X",$BE62)</f>
        <v/>
      </c>
      <c r="BG62" s="116"/>
      <c r="BH62" s="117"/>
      <c r="BI62" s="235"/>
      <c r="BJ62" s="238"/>
      <c r="BK62" s="238"/>
      <c r="BL62" s="238"/>
      <c r="BM62" s="239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1911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List'!$A$23:$H$3256,2,FALSE)),"+","")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40"/>
      <c r="BJ63" s="241"/>
      <c r="BK63" s="241"/>
      <c r="BL63" s="241"/>
      <c r="BM63" s="242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List'!$A$23:$H$3256,2,FALSE)),"+","")</f>
        <v/>
      </c>
      <c r="C64" s="119" t="str">
        <f>IF(ISTEXT(VLOOKUP(CONCATENATE($A64,"_",C$3),'Unit List'!$A$23:$H$3256,2,FALSE)),"X",$B64)</f>
        <v/>
      </c>
      <c r="D64" s="120" t="str">
        <f>IF(ISTEXT(VLOOKUP(CONCATENATE($A64,"_",D$3),'Unit List'!$A$23:$H$3256,2,FALSE)),"X",$B64)</f>
        <v/>
      </c>
      <c r="E64" s="120" t="str">
        <f>IF(ISTEXT(VLOOKUP(CONCATENATE($A64,"_",E$3),'Unit List'!$A$23:$H$3256,2,FALSE)),"X",$B64)</f>
        <v/>
      </c>
      <c r="F64" s="120" t="str">
        <f>IF(ISTEXT(VLOOKUP(CONCATENATE($A64,"_",F$3),'Unit List'!$A$23:$H$3256,2,FALSE)),"X",$B64)</f>
        <v/>
      </c>
      <c r="G64" s="120" t="str">
        <f>IF(ISTEXT(VLOOKUP(CONCATENATE($A64,"_",G$3),'Unit List'!$A$23:$H$3256,2,FALSE)),"X",$B64)</f>
        <v/>
      </c>
      <c r="H64" s="120" t="str">
        <f>IF(ISTEXT(VLOOKUP(CONCATENATE($A64,"_",H$3),'Unit List'!$A$23:$H$3256,2,FALSE)),"X",$B64)</f>
        <v/>
      </c>
      <c r="I64" s="122" t="str">
        <f>IF(ISTEXT(VLOOKUP(CONCATENATE($A64,"_",I$3),'Unit List'!$A$23:$H$3256,2,FALSE)),"X",$B64)</f>
        <v/>
      </c>
      <c r="J64" s="172" t="str">
        <f>IF(ISTEXT(VLOOKUP(CONCATENATE($A64,"_",J$3),'Unit List'!$A$23:$H$3256,2,FALSE)),"+","")</f>
        <v/>
      </c>
      <c r="K64" s="120" t="str">
        <f>IF(ISTEXT(VLOOKUP(CONCATENATE($A64,"_",K$3),'Unit List'!$A$23:$H$3256,2,FALSE)),"X",$J64)</f>
        <v/>
      </c>
      <c r="L64" s="75" t="str">
        <f>IF(ISTEXT(VLOOKUP(CONCATENATE($A64,"_",L$3),'Unit List'!$A$23:$H$3256,2,FALSE)),"X",$J64)</f>
        <v/>
      </c>
      <c r="M64" s="172" t="str">
        <f>IF(ISTEXT(VLOOKUP(CONCATENATE($A64,"_",M$3),'Unit List'!$A$23:$H$3256,2,FALSE)),"+","")</f>
        <v/>
      </c>
      <c r="N64" s="120" t="str">
        <f>IF(ISTEXT(VLOOKUP(CONCATENATE($A64,"_",N$3),'Unit List'!$A$23:$H$3256,2,FALSE)),"X",$M64)</f>
        <v/>
      </c>
      <c r="O64" s="122" t="str">
        <f>IF(ISTEXT(VLOOKUP(CONCATENATE($A64,"_",O$3),'Unit List'!$A$23:$H$3256,2,FALSE)),"X",$M64)</f>
        <v/>
      </c>
      <c r="P64" s="172" t="str">
        <f>IF(ISTEXT(VLOOKUP(CONCATENATE($A64,"_",P$3),'Unit List'!$A$23:$H$3256,2,FALSE)),"+","")</f>
        <v/>
      </c>
      <c r="Q64" s="120" t="str">
        <f>IF(ISTEXT(VLOOKUP(CONCATENATE($A64,"_",Q$3),'Unit List'!$A$23:$H$3256,2,FALSE)),"X",$P64)</f>
        <v/>
      </c>
      <c r="R64" s="120" t="str">
        <f>IF(ISTEXT(VLOOKUP(CONCATENATE($A64,"_",R$3),'Unit List'!$A$23:$H$3256,2,FALSE)),"X",$P64)</f>
        <v/>
      </c>
      <c r="S64" s="120" t="str">
        <f>IF(ISTEXT(VLOOKUP(CONCATENATE($A64,"_",S$3),'Unit List'!$A$23:$H$3256,2,FALSE)),"X",$P64)</f>
        <v/>
      </c>
      <c r="T64" s="121" t="str">
        <f>IF(ISTEXT(VLOOKUP(CONCATENATE($A64,"_",T$3),'Unit List'!$A$23:$H$3256,2,FALSE)),"X",$P64)</f>
        <v/>
      </c>
      <c r="U64" s="120" t="str">
        <f>IF(ISTEXT(VLOOKUP(CONCATENATE($A64,"_",U$3),'Unit List'!$A$23:$H$3256,2,FALSE)),"X",$P64)</f>
        <v/>
      </c>
      <c r="V64" s="120" t="str">
        <f>IF(ISTEXT(VLOOKUP(CONCATENATE($A64,"_",V$3),'Unit List'!$A$23:$H$3256,2,FALSE)),"X",$P64)</f>
        <v/>
      </c>
      <c r="W64" s="122" t="str">
        <f>IF(ISTEXT(VLOOKUP(CONCATENATE($A64,"_",W$3),'Unit List'!$A$23:$H$3256,2,FALSE)),"X",$P64)</f>
        <v/>
      </c>
      <c r="X64" s="172" t="str">
        <f>IF(ISTEXT(VLOOKUP(CONCATENATE($A64,"_",X$3),'Unit List'!$A$23:$H$3256,2,FALSE)),"+","")</f>
        <v/>
      </c>
      <c r="Y64" s="120" t="str">
        <f>IF(ISTEXT(VLOOKUP(CONCATENATE($A64,"_",Y$3),'Unit List'!$A$23:$H$3256,2,FALSE)),"X",$X64)</f>
        <v/>
      </c>
      <c r="Z64" s="120" t="str">
        <f>IF(ISTEXT(VLOOKUP(CONCATENATE($A64,"_",Z$3),'Unit List'!$A$23:$H$3256,2,FALSE)),"X",$X64)</f>
        <v/>
      </c>
      <c r="AA64" s="120" t="str">
        <f>IF(ISTEXT(VLOOKUP(CONCATENATE($A64,"_",AA$3),'Unit List'!$A$23:$H$3256,2,FALSE)),"X",$X64)</f>
        <v/>
      </c>
      <c r="AB64" s="120" t="str">
        <f>IF(ISTEXT(VLOOKUP(CONCATENATE($A64,"_",AB$3),'Unit List'!$A$23:$H$3256,2,FALSE)),"X",$X64)</f>
        <v/>
      </c>
      <c r="AC64" s="75" t="str">
        <f>IF(ISTEXT(VLOOKUP(CONCATENATE($A64,"_",AC$3),'Unit List'!$A$23:$H$3256,2,FALSE)),"X",$X64)</f>
        <v/>
      </c>
      <c r="AD64" s="172" t="str">
        <f>IF(ISTEXT(VLOOKUP(CONCATENATE($A64,"_",AD$3),'Unit List'!$A$23:$H$3256,2,FALSE)),"+","")</f>
        <v/>
      </c>
      <c r="AE64" s="120" t="str">
        <f>IF(ISTEXT(VLOOKUP(CONCATENATE($A64,"_",AE$3),'Unit List'!$A$23:$H$3256,2,FALSE)),"X",$AD64)</f>
        <v/>
      </c>
      <c r="AF64" s="120" t="str">
        <f>IF(ISTEXT(VLOOKUP(CONCATENATE($A64,"_",AF$3),'Unit List'!$A$23:$H$3256,2,FALSE)),"X",$AD64)</f>
        <v/>
      </c>
      <c r="AG64" s="172" t="str">
        <f>IF(ISTEXT(VLOOKUP(CONCATENATE($A64,"_",AG$3),'Unit List'!$A$23:$H$3256,2,FALSE)),"+","")</f>
        <v/>
      </c>
      <c r="AH64" s="120" t="str">
        <f>IF(ISTEXT(VLOOKUP(CONCATENATE($A64,"_",AH$3),'Unit List'!$A$23:$H$3256,2,FALSE)),"X",$AG64)</f>
        <v/>
      </c>
      <c r="AI64" s="120" t="str">
        <f>IF(ISTEXT(VLOOKUP(CONCATENATE($A64,"_",AI$3),'Unit List'!$A$23:$H$3256,2,FALSE)),"X",$AG64)</f>
        <v/>
      </c>
      <c r="AJ64" s="122" t="str">
        <f>IF(ISTEXT(VLOOKUP(CONCATENATE($A64,"_",AJ$3),'Unit List'!$A$23:$H$3256,2,FALSE)),"X",$AG64)</f>
        <v/>
      </c>
      <c r="AK64" s="172" t="str">
        <f>IF(ISTEXT(VLOOKUP(CONCATENATE($A64,"_",AK$3),'Unit List'!$A$23:$H$3256,2,FALSE)),"+","")</f>
        <v/>
      </c>
      <c r="AL64" s="121" t="str">
        <f>IF(ISTEXT(VLOOKUP(CONCATENATE($A64,"_",AL$3),'Unit List'!$A$23:$H$3256,2,FALSE)),"X",$AK64)</f>
        <v/>
      </c>
      <c r="AM64" s="122" t="str">
        <f>IF(ISTEXT(VLOOKUP(CONCATENATE($A64,"_",AM$3),'Unit List'!$A$23:$H$3256,2,FALSE)),"X",$AK64)</f>
        <v/>
      </c>
      <c r="AN64" s="125" t="str">
        <f>IF(ISTEXT(VLOOKUP(CONCATENATE($A64,"_",AN$3),'Unit List'!$A$23:$H$3256,2,FALSE)),"+","")</f>
        <v/>
      </c>
      <c r="AO64" s="122" t="str">
        <f>IF(ISTEXT(VLOOKUP(CONCATENATE($A64,"_",AO$3),'Unit List'!$A$23:$H$3256,2,FALSE)),"X",$AN64)</f>
        <v/>
      </c>
      <c r="AP64" s="172" t="str">
        <f>IF(ISTEXT(VLOOKUP(CONCATENATE($A64,"_",AP$3),'Unit List'!$A$23:$H$3256,2,FALSE)),"+","")</f>
        <v/>
      </c>
      <c r="AQ64" s="120" t="str">
        <f>IF(ISTEXT(VLOOKUP(CONCATENATE($A64,"_",AQ$3),'Unit List'!$A$23:$H$3256,2,FALSE)),"X",$AP64)</f>
        <v/>
      </c>
      <c r="AR64" s="120" t="str">
        <f>IF(ISTEXT(VLOOKUP(CONCATENATE($A64,"_",AR$3),'Unit List'!$A$23:$H$3256,2,FALSE)),"X",$AP64)</f>
        <v/>
      </c>
      <c r="AS64" s="120" t="str">
        <f>IF(ISTEXT(VLOOKUP(CONCATENATE($A64,"_",AS$3),'Unit List'!$A$23:$H$3256,2,FALSE)),"X",$AP64)</f>
        <v/>
      </c>
      <c r="AT64" s="122" t="str">
        <f>IF(ISTEXT(VLOOKUP(CONCATENATE($A64,"_",AT$3),'Unit List'!$A$23:$H$3256,2,FALSE)),"X",$AP64)</f>
        <v/>
      </c>
      <c r="AU64" s="124" t="str">
        <f>IF(ISTEXT(VLOOKUP(CONCATENATE($A64,"_",AU$3),'Unit List'!$A$23:$H$3256,2,FALSE)),"+","")</f>
        <v/>
      </c>
      <c r="AV64" s="120" t="str">
        <f>IF(ISTEXT(VLOOKUP(CONCATENATE($A64,"_",AV$3),'Unit List'!$A$23:$H$3256,2,FALSE)),"X",$AU64)</f>
        <v/>
      </c>
      <c r="AW64" s="122" t="str">
        <f>IF(ISTEXT(VLOOKUP(CONCATENATE($A64,"_",AW$3),'Unit List'!$A$23:$H$3256,2,FALSE)),"X",$AU64)</f>
        <v/>
      </c>
      <c r="AX64" s="172" t="str">
        <f>IF(ISTEXT(VLOOKUP(CONCATENATE($A64,"_",AX$3),'Unit List'!$A$23:$H$3256,2,FALSE)),"+","")</f>
        <v/>
      </c>
      <c r="AY64" s="120" t="str">
        <f>IF(ISTEXT(VLOOKUP(CONCATENATE($A64,"_",AY$3),'Unit List'!$A$23:$H$3256,2,FALSE)),"X",$AX64)</f>
        <v/>
      </c>
      <c r="AZ64" s="122" t="str">
        <f>IF(ISTEXT(VLOOKUP(CONCATENATE($A64,"_",AZ$3),'Unit List'!$A$23:$H$3256,2,FALSE)),"X",$AX64)</f>
        <v/>
      </c>
      <c r="BA64" s="172" t="str">
        <f>IF(ISTEXT(VLOOKUP(CONCATENATE($A64,"_",BA$3),'Unit List'!$A$23:$H$3256,2,FALSE)),"+","")</f>
        <v/>
      </c>
      <c r="BB64" s="120" t="str">
        <f>IF(ISTEXT(VLOOKUP(CONCATENATE($A64,"_",BB$3),'Unit List'!$A$23:$H$3256,2,FALSE)),"X",$BA64)</f>
        <v/>
      </c>
      <c r="BC64" s="120" t="str">
        <f>IF(ISTEXT(VLOOKUP(CONCATENATE($A64,"_",BC$3),'Unit List'!$A$23:$H$3256,2,FALSE)),"X",$BA64)</f>
        <v/>
      </c>
      <c r="BD64" s="122" t="str">
        <f>IF(ISTEXT(VLOOKUP(CONCATENATE($A64,"_",BD$3),'Unit List'!$A$23:$H$3256,2,FALSE)),"X",$BA64)</f>
        <v/>
      </c>
      <c r="BE64" s="125" t="str">
        <f>IF(ISTEXT(VLOOKUP(CONCATENATE($A64,"_",BE$3),'Unit List'!$A$23:$H$3256,2,FALSE)),"+","")</f>
        <v/>
      </c>
      <c r="BF64" s="75" t="str">
        <f>IF(ISTEXT(VLOOKUP(CONCATENATE($A64,"_",BF$3),'Unit List'!$A$23:$H$3256,2,FALSE)),"X",$BE64)</f>
        <v/>
      </c>
      <c r="BG64" s="64" t="s">
        <v>0</v>
      </c>
      <c r="BH64" s="65" t="s">
        <v>0</v>
      </c>
      <c r="BI64" s="225"/>
      <c r="BJ64" s="226"/>
      <c r="BK64" s="226"/>
      <c r="BL64" s="226"/>
      <c r="BM64" s="227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List'!$A$23:$H$3256,2,FALSE)),"+","")</f>
        <v/>
      </c>
      <c r="C65" s="119" t="str">
        <f>IF(ISTEXT(VLOOKUP(CONCATENATE($A65,"_",C$3),'Unit List'!$A$23:$H$3256,2,FALSE)),"X",$B65)</f>
        <v/>
      </c>
      <c r="D65" s="120" t="str">
        <f>IF(ISTEXT(VLOOKUP(CONCATENATE($A65,"_",D$3),'Unit List'!$A$23:$H$3256,2,FALSE)),"X",$B65)</f>
        <v/>
      </c>
      <c r="E65" s="120" t="str">
        <f>IF(ISTEXT(VLOOKUP(CONCATENATE($A65,"_",E$3),'Unit List'!$A$23:$H$3256,2,FALSE)),"X",$B65)</f>
        <v/>
      </c>
      <c r="F65" s="120" t="str">
        <f>IF(ISTEXT(VLOOKUP(CONCATENATE($A65,"_",F$3),'Unit List'!$A$23:$H$3256,2,FALSE)),"X",$B65)</f>
        <v/>
      </c>
      <c r="G65" s="120" t="str">
        <f>IF(ISTEXT(VLOOKUP(CONCATENATE($A65,"_",G$3),'Unit List'!$A$23:$H$3256,2,FALSE)),"X",$B65)</f>
        <v/>
      </c>
      <c r="H65" s="120" t="str">
        <f>IF(ISTEXT(VLOOKUP(CONCATENATE($A65,"_",H$3),'Unit List'!$A$23:$H$3256,2,FALSE)),"X",$B65)</f>
        <v/>
      </c>
      <c r="I65" s="122" t="str">
        <f>IF(ISTEXT(VLOOKUP(CONCATENATE($A65,"_",I$3),'Unit List'!$A$23:$H$3256,2,FALSE)),"X",$B65)</f>
        <v/>
      </c>
      <c r="J65" s="172" t="str">
        <f>IF(ISTEXT(VLOOKUP(CONCATENATE($A65,"_",J$3),'Unit List'!$A$23:$H$3256,2,FALSE)),"+","")</f>
        <v/>
      </c>
      <c r="K65" s="120" t="str">
        <f>IF(ISTEXT(VLOOKUP(CONCATENATE($A65,"_",K$3),'Unit List'!$A$23:$H$3256,2,FALSE)),"X",$J65)</f>
        <v/>
      </c>
      <c r="L65" s="75" t="str">
        <f>IF(ISTEXT(VLOOKUP(CONCATENATE($A65,"_",L$3),'Unit List'!$A$23:$H$3256,2,FALSE)),"X",$J65)</f>
        <v/>
      </c>
      <c r="M65" s="172" t="str">
        <f>IF(ISTEXT(VLOOKUP(CONCATENATE($A65,"_",M$3),'Unit List'!$A$23:$H$3256,2,FALSE)),"+","")</f>
        <v/>
      </c>
      <c r="N65" s="120" t="str">
        <f>IF(ISTEXT(VLOOKUP(CONCATENATE($A65,"_",N$3),'Unit List'!$A$23:$H$3256,2,FALSE)),"X",$M65)</f>
        <v/>
      </c>
      <c r="O65" s="122" t="str">
        <f>IF(ISTEXT(VLOOKUP(CONCATENATE($A65,"_",O$3),'Unit List'!$A$23:$H$3256,2,FALSE)),"X",$M65)</f>
        <v/>
      </c>
      <c r="P65" s="172" t="str">
        <f>IF(ISTEXT(VLOOKUP(CONCATENATE($A65,"_",P$3),'Unit List'!$A$23:$H$3256,2,FALSE)),"+","")</f>
        <v/>
      </c>
      <c r="Q65" s="120" t="str">
        <f>IF(ISTEXT(VLOOKUP(CONCATENATE($A65,"_",Q$3),'Unit List'!$A$23:$H$3256,2,FALSE)),"X",$P65)</f>
        <v/>
      </c>
      <c r="R65" s="120" t="str">
        <f>IF(ISTEXT(VLOOKUP(CONCATENATE($A65,"_",R$3),'Unit List'!$A$23:$H$3256,2,FALSE)),"X",$P65)</f>
        <v/>
      </c>
      <c r="S65" s="120" t="str">
        <f>IF(ISTEXT(VLOOKUP(CONCATENATE($A65,"_",S$3),'Unit List'!$A$23:$H$3256,2,FALSE)),"X",$P65)</f>
        <v/>
      </c>
      <c r="T65" s="121" t="str">
        <f>IF(ISTEXT(VLOOKUP(CONCATENATE($A65,"_",T$3),'Unit List'!$A$23:$H$3256,2,FALSE)),"X",$P65)</f>
        <v/>
      </c>
      <c r="U65" s="120" t="str">
        <f>IF(ISTEXT(VLOOKUP(CONCATENATE($A65,"_",U$3),'Unit List'!$A$23:$H$3256,2,FALSE)),"X",$P65)</f>
        <v/>
      </c>
      <c r="V65" s="120" t="str">
        <f>IF(ISTEXT(VLOOKUP(CONCATENATE($A65,"_",V$3),'Unit List'!$A$23:$H$3256,2,FALSE)),"X",$P65)</f>
        <v/>
      </c>
      <c r="W65" s="122" t="str">
        <f>IF(ISTEXT(VLOOKUP(CONCATENATE($A65,"_",W$3),'Unit List'!$A$23:$H$3256,2,FALSE)),"X",$P65)</f>
        <v/>
      </c>
      <c r="X65" s="172" t="str">
        <f>IF(ISTEXT(VLOOKUP(CONCATENATE($A65,"_",X$3),'Unit List'!$A$23:$H$3256,2,FALSE)),"+","")</f>
        <v/>
      </c>
      <c r="Y65" s="120" t="str">
        <f>IF(ISTEXT(VLOOKUP(CONCATENATE($A65,"_",Y$3),'Unit List'!$A$23:$H$3256,2,FALSE)),"X",$X65)</f>
        <v/>
      </c>
      <c r="Z65" s="120" t="str">
        <f>IF(ISTEXT(VLOOKUP(CONCATENATE($A65,"_",Z$3),'Unit List'!$A$23:$H$3256,2,FALSE)),"X",$X65)</f>
        <v/>
      </c>
      <c r="AA65" s="120" t="str">
        <f>IF(ISTEXT(VLOOKUP(CONCATENATE($A65,"_",AA$3),'Unit List'!$A$23:$H$3256,2,FALSE)),"X",$X65)</f>
        <v/>
      </c>
      <c r="AB65" s="120" t="str">
        <f>IF(ISTEXT(VLOOKUP(CONCATENATE($A65,"_",AB$3),'Unit List'!$A$23:$H$3256,2,FALSE)),"X",$X65)</f>
        <v/>
      </c>
      <c r="AC65" s="75" t="str">
        <f>IF(ISTEXT(VLOOKUP(CONCATENATE($A65,"_",AC$3),'Unit List'!$A$23:$H$3256,2,FALSE)),"X",$X65)</f>
        <v/>
      </c>
      <c r="AD65" s="172" t="str">
        <f>IF(ISTEXT(VLOOKUP(CONCATENATE($A65,"_",AD$3),'Unit List'!$A$23:$H$3256,2,FALSE)),"+","")</f>
        <v/>
      </c>
      <c r="AE65" s="120" t="str">
        <f>IF(ISTEXT(VLOOKUP(CONCATENATE($A65,"_",AE$3),'Unit List'!$A$23:$H$3256,2,FALSE)),"X",$AD65)</f>
        <v/>
      </c>
      <c r="AF65" s="120" t="str">
        <f>IF(ISTEXT(VLOOKUP(CONCATENATE($A65,"_",AF$3),'Unit List'!$A$23:$H$3256,2,FALSE)),"X",$AD65)</f>
        <v/>
      </c>
      <c r="AG65" s="172" t="str">
        <f>IF(ISTEXT(VLOOKUP(CONCATENATE($A65,"_",AG$3),'Unit List'!$A$23:$H$3256,2,FALSE)),"+","")</f>
        <v/>
      </c>
      <c r="AH65" s="120" t="str">
        <f>IF(ISTEXT(VLOOKUP(CONCATENATE($A65,"_",AH$3),'Unit List'!$A$23:$H$3256,2,FALSE)),"X",$AG65)</f>
        <v/>
      </c>
      <c r="AI65" s="120" t="str">
        <f>IF(ISTEXT(VLOOKUP(CONCATENATE($A65,"_",AI$3),'Unit List'!$A$23:$H$3256,2,FALSE)),"X",$AG65)</f>
        <v/>
      </c>
      <c r="AJ65" s="122" t="str">
        <f>IF(ISTEXT(VLOOKUP(CONCATENATE($A65,"_",AJ$3),'Unit List'!$A$23:$H$3256,2,FALSE)),"X",$AG65)</f>
        <v/>
      </c>
      <c r="AK65" s="172" t="str">
        <f>IF(ISTEXT(VLOOKUP(CONCATENATE($A65,"_",AK$3),'Unit List'!$A$23:$H$3256,2,FALSE)),"+","")</f>
        <v/>
      </c>
      <c r="AL65" s="121" t="str">
        <f>IF(ISTEXT(VLOOKUP(CONCATENATE($A65,"_",AL$3),'Unit List'!$A$23:$H$3256,2,FALSE)),"X",$AK65)</f>
        <v/>
      </c>
      <c r="AM65" s="122" t="str">
        <f>IF(ISTEXT(VLOOKUP(CONCATENATE($A65,"_",AM$3),'Unit List'!$A$23:$H$3256,2,FALSE)),"X",$AK65)</f>
        <v/>
      </c>
      <c r="AN65" s="125" t="str">
        <f>IF(ISTEXT(VLOOKUP(CONCATENATE($A65,"_",AN$3),'Unit List'!$A$23:$H$3256,2,FALSE)),"+","")</f>
        <v/>
      </c>
      <c r="AO65" s="122" t="str">
        <f>IF(ISTEXT(VLOOKUP(CONCATENATE($A65,"_",AO$3),'Unit List'!$A$23:$H$3256,2,FALSE)),"X",$AN65)</f>
        <v/>
      </c>
      <c r="AP65" s="172" t="str">
        <f>IF(ISTEXT(VLOOKUP(CONCATENATE($A65,"_",AP$3),'Unit List'!$A$23:$H$3256,2,FALSE)),"+","")</f>
        <v/>
      </c>
      <c r="AQ65" s="120" t="str">
        <f>IF(ISTEXT(VLOOKUP(CONCATENATE($A65,"_",AQ$3),'Unit List'!$A$23:$H$3256,2,FALSE)),"X",$AP65)</f>
        <v/>
      </c>
      <c r="AR65" s="120" t="str">
        <f>IF(ISTEXT(VLOOKUP(CONCATENATE($A65,"_",AR$3),'Unit List'!$A$23:$H$3256,2,FALSE)),"X",$AP65)</f>
        <v/>
      </c>
      <c r="AS65" s="120" t="str">
        <f>IF(ISTEXT(VLOOKUP(CONCATENATE($A65,"_",AS$3),'Unit List'!$A$23:$H$3256,2,FALSE)),"X",$AP65)</f>
        <v/>
      </c>
      <c r="AT65" s="122" t="str">
        <f>IF(ISTEXT(VLOOKUP(CONCATENATE($A65,"_",AT$3),'Unit List'!$A$23:$H$3256,2,FALSE)),"X",$AP65)</f>
        <v/>
      </c>
      <c r="AU65" s="124" t="str">
        <f>IF(ISTEXT(VLOOKUP(CONCATENATE($A65,"_",AU$3),'Unit List'!$A$23:$H$3256,2,FALSE)),"+","")</f>
        <v/>
      </c>
      <c r="AV65" s="120" t="str">
        <f>IF(ISTEXT(VLOOKUP(CONCATENATE($A65,"_",AV$3),'Unit List'!$A$23:$H$3256,2,FALSE)),"X",$AU65)</f>
        <v/>
      </c>
      <c r="AW65" s="122" t="str">
        <f>IF(ISTEXT(VLOOKUP(CONCATENATE($A65,"_",AW$3),'Unit List'!$A$23:$H$3256,2,FALSE)),"X",$AU65)</f>
        <v/>
      </c>
      <c r="AX65" s="172" t="str">
        <f>IF(ISTEXT(VLOOKUP(CONCATENATE($A65,"_",AX$3),'Unit List'!$A$23:$H$3256,2,FALSE)),"+","")</f>
        <v/>
      </c>
      <c r="AY65" s="120" t="str">
        <f>IF(ISTEXT(VLOOKUP(CONCATENATE($A65,"_",AY$3),'Unit List'!$A$23:$H$3256,2,FALSE)),"X",$AX65)</f>
        <v/>
      </c>
      <c r="AZ65" s="122" t="str">
        <f>IF(ISTEXT(VLOOKUP(CONCATENATE($A65,"_",AZ$3),'Unit List'!$A$23:$H$3256,2,FALSE)),"X",$AX65)</f>
        <v/>
      </c>
      <c r="BA65" s="182" t="str">
        <f>IF(ISTEXT(VLOOKUP(CONCATENATE($A65,"_",BA$3),'Unit List'!$A$23:$H$3256,2,FALSE)),"+","")</f>
        <v/>
      </c>
      <c r="BB65" s="120" t="str">
        <f>IF(ISTEXT(VLOOKUP(CONCATENATE($A65,"_",BB$3),'Unit List'!$A$23:$H$3256,2,FALSE)),"X",$BA65)</f>
        <v/>
      </c>
      <c r="BC65" s="120" t="str">
        <f>IF(ISTEXT(VLOOKUP(CONCATENATE($A65,"_",BC$3),'Unit List'!$A$23:$H$3256,2,FALSE)),"X",$BA65)</f>
        <v/>
      </c>
      <c r="BD65" s="122" t="str">
        <f>IF(ISTEXT(VLOOKUP(CONCATENATE($A65,"_",BD$3),'Unit List'!$A$23:$H$3256,2,FALSE)),"X",$BA65)</f>
        <v/>
      </c>
      <c r="BE65" s="125" t="str">
        <f>IF(ISTEXT(VLOOKUP(CONCATENATE($A65,"_",BE$3),'Unit List'!$A$23:$H$3256,2,FALSE)),"+","")</f>
        <v/>
      </c>
      <c r="BF65" s="75" t="str">
        <f>IF(ISTEXT(VLOOKUP(CONCATENATE($A65,"_",BF$3),'Unit List'!$A$23:$H$3256,2,FALSE)),"X",$BE65)</f>
        <v/>
      </c>
      <c r="BG65" s="75"/>
      <c r="BH65" s="84"/>
      <c r="BI65" s="225"/>
      <c r="BJ65" s="226"/>
      <c r="BK65" s="226"/>
      <c r="BL65" s="226"/>
      <c r="BM65" s="227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List'!$A$23:$H$3256,2,FALSE)),"+","")</f>
        <v/>
      </c>
      <c r="C66" s="119" t="str">
        <f>IF(ISTEXT(VLOOKUP(CONCATENATE($A66,"_",C$3),'Unit List'!$A$23:$H$3256,2,FALSE)),"X",$B66)</f>
        <v/>
      </c>
      <c r="D66" s="120" t="str">
        <f>IF(ISTEXT(VLOOKUP(CONCATENATE($A66,"_",D$3),'Unit List'!$A$23:$H$3256,2,FALSE)),"X",$B66)</f>
        <v/>
      </c>
      <c r="E66" s="120" t="str">
        <f>IF(ISTEXT(VLOOKUP(CONCATENATE($A66,"_",E$3),'Unit List'!$A$23:$H$3256,2,FALSE)),"X",$B66)</f>
        <v>X</v>
      </c>
      <c r="F66" s="120" t="str">
        <f>IF(ISTEXT(VLOOKUP(CONCATENATE($A66,"_",F$3),'Unit List'!$A$23:$H$3256,2,FALSE)),"X",$B66)</f>
        <v/>
      </c>
      <c r="G66" s="120" t="str">
        <f>IF(ISTEXT(VLOOKUP(CONCATENATE($A66,"_",G$3),'Unit List'!$A$23:$H$3256,2,FALSE)),"X",$B66)</f>
        <v/>
      </c>
      <c r="H66" s="120" t="str">
        <f>IF(ISTEXT(VLOOKUP(CONCATENATE($A66,"_",H$3),'Unit List'!$A$23:$H$3256,2,FALSE)),"X",$B66)</f>
        <v/>
      </c>
      <c r="I66" s="122" t="str">
        <f>IF(ISTEXT(VLOOKUP(CONCATENATE($A66,"_",I$3),'Unit List'!$A$23:$H$3256,2,FALSE)),"X",$B66)</f>
        <v/>
      </c>
      <c r="J66" s="172" t="str">
        <f>IF(ISTEXT(VLOOKUP(CONCATENATE($A66,"_",J$3),'Unit List'!$A$23:$H$3256,2,FALSE)),"+","")</f>
        <v/>
      </c>
      <c r="K66" s="120" t="str">
        <f>IF(ISTEXT(VLOOKUP(CONCATENATE($A66,"_",K$3),'Unit List'!$A$23:$H$3256,2,FALSE)),"X",$J66)</f>
        <v/>
      </c>
      <c r="L66" s="75" t="str">
        <f>IF(ISTEXT(VLOOKUP(CONCATENATE($A66,"_",L$3),'Unit List'!$A$23:$H$3256,2,FALSE)),"X",$J66)</f>
        <v/>
      </c>
      <c r="M66" s="172" t="str">
        <f>IF(ISTEXT(VLOOKUP(CONCATENATE($A66,"_",M$3),'Unit List'!$A$23:$H$3256,2,FALSE)),"+","")</f>
        <v/>
      </c>
      <c r="N66" s="120" t="str">
        <f>IF(ISTEXT(VLOOKUP(CONCATENATE($A66,"_",N$3),'Unit List'!$A$23:$H$3256,2,FALSE)),"X",$M66)</f>
        <v/>
      </c>
      <c r="O66" s="122" t="str">
        <f>IF(ISTEXT(VLOOKUP(CONCATENATE($A66,"_",O$3),'Unit List'!$A$23:$H$3256,2,FALSE)),"X",$M66)</f>
        <v/>
      </c>
      <c r="P66" s="172" t="str">
        <f>IF(ISTEXT(VLOOKUP(CONCATENATE($A66,"_",P$3),'Unit List'!$A$23:$H$3256,2,FALSE)),"+","")</f>
        <v/>
      </c>
      <c r="Q66" s="120" t="str">
        <f>IF(ISTEXT(VLOOKUP(CONCATENATE($A66,"_",Q$3),'Unit List'!$A$23:$H$3256,2,FALSE)),"X",$P66)</f>
        <v/>
      </c>
      <c r="R66" s="120" t="str">
        <f>IF(ISTEXT(VLOOKUP(CONCATENATE($A66,"_",R$3),'Unit List'!$A$23:$H$3256,2,FALSE)),"X",$P66)</f>
        <v/>
      </c>
      <c r="S66" s="120" t="str">
        <f>IF(ISTEXT(VLOOKUP(CONCATENATE($A66,"_",S$3),'Unit List'!$A$23:$H$3256,2,FALSE)),"X",$P66)</f>
        <v/>
      </c>
      <c r="T66" s="121" t="str">
        <f>IF(ISTEXT(VLOOKUP(CONCATENATE($A66,"_",T$3),'Unit List'!$A$23:$H$3256,2,FALSE)),"X",$P66)</f>
        <v/>
      </c>
      <c r="U66" s="120" t="str">
        <f>IF(ISTEXT(VLOOKUP(CONCATENATE($A66,"_",U$3),'Unit List'!$A$23:$H$3256,2,FALSE)),"X",$P66)</f>
        <v/>
      </c>
      <c r="V66" s="120" t="str">
        <f>IF(ISTEXT(VLOOKUP(CONCATENATE($A66,"_",V$3),'Unit List'!$A$23:$H$3256,2,FALSE)),"X",$P66)</f>
        <v/>
      </c>
      <c r="W66" s="122" t="str">
        <f>IF(ISTEXT(VLOOKUP(CONCATENATE($A66,"_",W$3),'Unit List'!$A$23:$H$3256,2,FALSE)),"X",$P66)</f>
        <v/>
      </c>
      <c r="X66" s="172" t="str">
        <f>IF(ISTEXT(VLOOKUP(CONCATENATE($A66,"_",X$3),'Unit List'!$A$23:$H$3256,2,FALSE)),"+","")</f>
        <v>+</v>
      </c>
      <c r="Y66" s="120" t="str">
        <f>IF(ISTEXT(VLOOKUP(CONCATENATE($A66,"_",Y$3),'Unit List'!$A$23:$H$3256,2,FALSE)),"X",$X66)</f>
        <v>+</v>
      </c>
      <c r="Z66" s="120" t="str">
        <f>IF(ISTEXT(VLOOKUP(CONCATENATE($A66,"_",Z$3),'Unit List'!$A$23:$H$3256,2,FALSE)),"X",$X66)</f>
        <v>+</v>
      </c>
      <c r="AA66" s="120" t="str">
        <f>IF(ISTEXT(VLOOKUP(CONCATENATE($A66,"_",AA$3),'Unit List'!$A$23:$H$3256,2,FALSE)),"X",$X66)</f>
        <v>+</v>
      </c>
      <c r="AB66" s="120" t="str">
        <f>IF(ISTEXT(VLOOKUP(CONCATENATE($A66,"_",AB$3),'Unit List'!$A$23:$H$3256,2,FALSE)),"X",$X66)</f>
        <v>+</v>
      </c>
      <c r="AC66" s="75" t="str">
        <f>IF(ISTEXT(VLOOKUP(CONCATENATE($A66,"_",AC$3),'Unit List'!$A$23:$H$3256,2,FALSE)),"X",$X66)</f>
        <v>+</v>
      </c>
      <c r="AD66" s="172" t="s">
        <v>2297</v>
      </c>
      <c r="AE66" s="120" t="str">
        <f>IF(ISTEXT(VLOOKUP(CONCATENATE($A66,"_",AE$3),'Unit List'!$A$23:$H$3256,2,FALSE)),"X",$AD66)</f>
        <v>*</v>
      </c>
      <c r="AF66" s="120" t="str">
        <f>IF(ISTEXT(VLOOKUP(CONCATENATE($A66,"_",AF$3),'Unit List'!$A$23:$H$3256,2,FALSE)),"X",$AD66)</f>
        <v>*</v>
      </c>
      <c r="AG66" s="172" t="str">
        <f>IF(ISTEXT(VLOOKUP(CONCATENATE($A66,"_",AG$3),'Unit List'!$A$23:$H$3256,2,FALSE)),"+","")</f>
        <v>+</v>
      </c>
      <c r="AH66" s="120" t="str">
        <f>IF(ISTEXT(VLOOKUP(CONCATENATE($A66,"_",AH$3),'Unit List'!$A$23:$H$3256,2,FALSE)),"X",$AG66)</f>
        <v>+</v>
      </c>
      <c r="AI66" s="120" t="str">
        <f>IF(ISTEXT(VLOOKUP(CONCATENATE($A66,"_",AI$3),'Unit List'!$A$23:$H$3256,2,FALSE)),"X",$AG66)</f>
        <v>+</v>
      </c>
      <c r="AJ66" s="122" t="str">
        <f>IF(ISTEXT(VLOOKUP(CONCATENATE($A66,"_",AJ$3),'Unit List'!$A$23:$H$3256,2,FALSE)),"X",$AG66)</f>
        <v>+</v>
      </c>
      <c r="AK66" s="172" t="str">
        <f>IF(ISTEXT(VLOOKUP(CONCATENATE($A66,"_",AK$3),'Unit List'!$A$23:$H$3256,2,FALSE)),"+","")</f>
        <v>+</v>
      </c>
      <c r="AL66" s="121" t="str">
        <f>IF(ISTEXT(VLOOKUP(CONCATENATE($A66,"_",AL$3),'Unit List'!$A$23:$H$3256,2,FALSE)),"X",$AK66)</f>
        <v>+</v>
      </c>
      <c r="AM66" s="122" t="str">
        <f>IF(ISTEXT(VLOOKUP(CONCATENATE($A66,"_",AM$3),'Unit List'!$A$23:$H$3256,2,FALSE)),"X",$AK66)</f>
        <v>+</v>
      </c>
      <c r="AN66" s="125" t="str">
        <f>IF(ISTEXT(VLOOKUP(CONCATENATE($A66,"_",AN$3),'Unit List'!$A$23:$H$3256,2,FALSE)),"+","")</f>
        <v>+</v>
      </c>
      <c r="AO66" s="122" t="str">
        <f>IF(ISTEXT(VLOOKUP(CONCATENATE($A66,"_",AO$3),'Unit List'!$A$23:$H$3256,2,FALSE)),"X",$AN66)</f>
        <v>+</v>
      </c>
      <c r="AP66" s="172" t="str">
        <f>IF(ISTEXT(VLOOKUP(CONCATENATE($A66,"_",AP$3),'Unit List'!$A$23:$H$3256,2,FALSE)),"+","")</f>
        <v>+</v>
      </c>
      <c r="AQ66" s="120" t="str">
        <f>IF(ISTEXT(VLOOKUP(CONCATENATE($A66,"_",AQ$3),'Unit List'!$A$23:$H$3256,2,FALSE)),"X",$AP66)</f>
        <v>+</v>
      </c>
      <c r="AR66" s="120" t="str">
        <f>IF(ISTEXT(VLOOKUP(CONCATENATE($A66,"_",AR$3),'Unit List'!$A$23:$H$3256,2,FALSE)),"X",$AP66)</f>
        <v>+</v>
      </c>
      <c r="AS66" s="120" t="str">
        <f>IF(ISTEXT(VLOOKUP(CONCATENATE($A66,"_",AS$3),'Unit List'!$A$23:$H$3256,2,FALSE)),"X",$AP66)</f>
        <v>+</v>
      </c>
      <c r="AT66" s="122" t="str">
        <f>IF(ISTEXT(VLOOKUP(CONCATENATE($A66,"_",AT$3),'Unit List'!$A$23:$H$3256,2,FALSE)),"X",$AP66)</f>
        <v>+</v>
      </c>
      <c r="AU66" s="124" t="str">
        <f>IF(ISTEXT(VLOOKUP(CONCATENATE($A66,"_",AU$3),'Unit List'!$A$23:$H$3256,2,FALSE)),"+","")</f>
        <v>+</v>
      </c>
      <c r="AV66" s="120" t="str">
        <f>IF(ISTEXT(VLOOKUP(CONCATENATE($A66,"_",AV$3),'Unit List'!$A$23:$H$3256,2,FALSE)),"X",$AU66)</f>
        <v>+</v>
      </c>
      <c r="AW66" s="122" t="str">
        <f>IF(ISTEXT(VLOOKUP(CONCATENATE($A66,"_",AW$3),'Unit List'!$A$23:$H$3256,2,FALSE)),"X",$AU66)</f>
        <v>+</v>
      </c>
      <c r="AX66" s="171" t="str">
        <f>IF(ISTEXT(VLOOKUP(CONCATENATE($A66,"_",AX$3),'Unit List'!$A$23:$H$3256,2,FALSE)),"+","")</f>
        <v>+</v>
      </c>
      <c r="AY66" s="120" t="str">
        <f>IF(ISTEXT(VLOOKUP(CONCATENATE($A66,"_",AY$3),'Unit List'!$A$23:$H$3256,2,FALSE)),"X",$AX66)</f>
        <v>+</v>
      </c>
      <c r="AZ66" s="122" t="str">
        <f>IF(ISTEXT(VLOOKUP(CONCATENATE($A66,"_",AZ$3),'Unit List'!$A$23:$H$3256,2,FALSE)),"X",$AX66)</f>
        <v>+</v>
      </c>
      <c r="BA66" s="174" t="str">
        <f>IF(ISTEXT(VLOOKUP(CONCATENATE($A66,"_",BA$3),'Unit List'!$A$23:$H$3256,2,FALSE)),"+","")</f>
        <v>+</v>
      </c>
      <c r="BB66" s="120" t="str">
        <f>IF(ISTEXT(VLOOKUP(CONCATENATE($A66,"_",BB$3),'Unit List'!$A$23:$H$3256,2,FALSE)),"X",$BA66)</f>
        <v>+</v>
      </c>
      <c r="BC66" s="120" t="str">
        <f>IF(ISTEXT(VLOOKUP(CONCATENATE($A66,"_",BC$3),'Unit List'!$A$23:$H$3256,2,FALSE)),"X",$BA66)</f>
        <v>+</v>
      </c>
      <c r="BD66" s="122" t="str">
        <f>IF(ISTEXT(VLOOKUP(CONCATENATE($A66,"_",BD$3),'Unit List'!$A$23:$H$3256,2,FALSE)),"X",$BA66)</f>
        <v>+</v>
      </c>
      <c r="BE66" s="175" t="str">
        <f>IF(ISTEXT(VLOOKUP(CONCATENATE($A66,"_",BE$3),'Unit List'!$A$23:$H$3256,2,FALSE)),"+","")</f>
        <v>+</v>
      </c>
      <c r="BF66" s="75" t="str">
        <f>IF(ISTEXT(VLOOKUP(CONCATENATE($A66,"_",BF$3),'Unit List'!$A$23:$H$3256,2,FALSE)),"X",$BE66)</f>
        <v>+</v>
      </c>
      <c r="BG66" s="75"/>
      <c r="BH66" s="84"/>
      <c r="BI66" s="225"/>
      <c r="BJ66" s="226"/>
      <c r="BK66" s="226"/>
      <c r="BL66" s="226"/>
      <c r="BM66" s="227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List'!$A$23:$H$3256,2,FALSE)),"+","")</f>
        <v/>
      </c>
      <c r="C67" s="119" t="str">
        <f>IF(ISTEXT(VLOOKUP(CONCATENATE($A67,"_",C$3),'Unit List'!$A$23:$H$3256,2,FALSE)),"X",$B67)</f>
        <v/>
      </c>
      <c r="D67" s="120" t="str">
        <f>IF(ISTEXT(VLOOKUP(CONCATENATE($A67,"_",D$3),'Unit List'!$A$23:$H$3256,2,FALSE)),"X",$B67)</f>
        <v/>
      </c>
      <c r="E67" s="120" t="str">
        <f>IF(ISTEXT(VLOOKUP(CONCATENATE($A67,"_",E$3),'Unit List'!$A$23:$H$3256,2,FALSE)),"X",$B67)</f>
        <v>X</v>
      </c>
      <c r="F67" s="120" t="str">
        <f>IF(ISTEXT(VLOOKUP(CONCATENATE($A67,"_",F$3),'Unit List'!$A$23:$H$3256,2,FALSE)),"X",$B67)</f>
        <v/>
      </c>
      <c r="G67" s="120" t="str">
        <f>IF(ISTEXT(VLOOKUP(CONCATENATE($A67,"_",G$3),'Unit List'!$A$23:$H$3256,2,FALSE)),"X",$B67)</f>
        <v/>
      </c>
      <c r="H67" s="120" t="str">
        <f>IF(ISTEXT(VLOOKUP(CONCATENATE($A67,"_",H$3),'Unit List'!$A$23:$H$3256,2,FALSE)),"X",$B67)</f>
        <v/>
      </c>
      <c r="I67" s="122" t="str">
        <f>IF(ISTEXT(VLOOKUP(CONCATENATE($A67,"_",I$3),'Unit List'!$A$23:$H$3256,2,FALSE)),"X",$B67)</f>
        <v/>
      </c>
      <c r="J67" s="172" t="str">
        <f>IF(ISTEXT(VLOOKUP(CONCATENATE($A67,"_",J$3),'Unit List'!$A$23:$H$3256,2,FALSE)),"+","")</f>
        <v/>
      </c>
      <c r="K67" s="120" t="str">
        <f>IF(ISTEXT(VLOOKUP(CONCATENATE($A67,"_",K$3),'Unit List'!$A$23:$H$3256,2,FALSE)),"X",$J67)</f>
        <v/>
      </c>
      <c r="L67" s="75" t="str">
        <f>IF(ISTEXT(VLOOKUP(CONCATENATE($A67,"_",L$3),'Unit List'!$A$23:$H$3256,2,FALSE)),"X",$J67)</f>
        <v/>
      </c>
      <c r="M67" s="172" t="str">
        <f>IF(ISTEXT(VLOOKUP(CONCATENATE($A67,"_",M$3),'Unit List'!$A$23:$H$3256,2,FALSE)),"+","")</f>
        <v/>
      </c>
      <c r="N67" s="120" t="str">
        <f>IF(ISTEXT(VLOOKUP(CONCATENATE($A67,"_",N$3),'Unit List'!$A$23:$H$3256,2,FALSE)),"X",$M67)</f>
        <v/>
      </c>
      <c r="O67" s="122" t="str">
        <f>IF(ISTEXT(VLOOKUP(CONCATENATE($A67,"_",O$3),'Unit List'!$A$23:$H$3256,2,FALSE)),"X",$M67)</f>
        <v/>
      </c>
      <c r="P67" s="172" t="str">
        <f>IF(ISTEXT(VLOOKUP(CONCATENATE($A67,"_",P$3),'Unit List'!$A$23:$H$3256,2,FALSE)),"+","")</f>
        <v/>
      </c>
      <c r="Q67" s="120" t="str">
        <f>IF(ISTEXT(VLOOKUP(CONCATENATE($A67,"_",Q$3),'Unit List'!$A$23:$H$3256,2,FALSE)),"X",$P67)</f>
        <v/>
      </c>
      <c r="R67" s="120" t="str">
        <f>IF(ISTEXT(VLOOKUP(CONCATENATE($A67,"_",R$3),'Unit List'!$A$23:$H$3256,2,FALSE)),"X",$P67)</f>
        <v/>
      </c>
      <c r="S67" s="120" t="str">
        <f>IF(ISTEXT(VLOOKUP(CONCATENATE($A67,"_",S$3),'Unit List'!$A$23:$H$3256,2,FALSE)),"X",$P67)</f>
        <v/>
      </c>
      <c r="T67" s="121" t="str">
        <f>IF(ISTEXT(VLOOKUP(CONCATENATE($A67,"_",T$3),'Unit List'!$A$23:$H$3256,2,FALSE)),"X",$P67)</f>
        <v/>
      </c>
      <c r="U67" s="120" t="str">
        <f>IF(ISTEXT(VLOOKUP(CONCATENATE($A67,"_",U$3),'Unit List'!$A$23:$H$3256,2,FALSE)),"X",$P67)</f>
        <v/>
      </c>
      <c r="V67" s="120" t="str">
        <f>IF(ISTEXT(VLOOKUP(CONCATENATE($A67,"_",V$3),'Unit List'!$A$23:$H$3256,2,FALSE)),"X",$P67)</f>
        <v/>
      </c>
      <c r="W67" s="122" t="str">
        <f>IF(ISTEXT(VLOOKUP(CONCATENATE($A67,"_",W$3),'Unit List'!$A$23:$H$3256,2,FALSE)),"X",$P67)</f>
        <v/>
      </c>
      <c r="X67" s="172" t="str">
        <f>IF(ISTEXT(VLOOKUP(CONCATENATE($A67,"_",X$3),'Unit List'!$A$23:$H$3256,2,FALSE)),"+","")</f>
        <v/>
      </c>
      <c r="Y67" s="120" t="str">
        <f>IF(ISTEXT(VLOOKUP(CONCATENATE($A67,"_",Y$3),'Unit List'!$A$23:$H$3256,2,FALSE)),"X",$X67)</f>
        <v/>
      </c>
      <c r="Z67" s="120" t="str">
        <f>IF(ISTEXT(VLOOKUP(CONCATENATE($A67,"_",Z$3),'Unit List'!$A$23:$H$3256,2,FALSE)),"X",$X67)</f>
        <v/>
      </c>
      <c r="AA67" s="120" t="str">
        <f>IF(ISTEXT(VLOOKUP(CONCATENATE($A67,"_",AA$3),'Unit List'!$A$23:$H$3256,2,FALSE)),"X",$X67)</f>
        <v/>
      </c>
      <c r="AB67" s="120" t="str">
        <f>IF(ISTEXT(VLOOKUP(CONCATENATE($A67,"_",AB$3),'Unit List'!$A$23:$H$3256,2,FALSE)),"X",$X67)</f>
        <v/>
      </c>
      <c r="AC67" s="75" t="str">
        <f>IF(ISTEXT(VLOOKUP(CONCATENATE($A67,"_",AC$3),'Unit List'!$A$23:$H$3256,2,FALSE)),"X",$X67)</f>
        <v/>
      </c>
      <c r="AD67" s="172" t="str">
        <f>IF(ISTEXT(VLOOKUP(CONCATENATE($A67,"_",AD$3),'Unit List'!$A$23:$H$3256,2,FALSE)),"+","")</f>
        <v/>
      </c>
      <c r="AE67" s="120" t="str">
        <f>IF(ISTEXT(VLOOKUP(CONCATENATE($A67,"_",AE$3),'Unit List'!$A$23:$H$3256,2,FALSE)),"X",$AD67)</f>
        <v/>
      </c>
      <c r="AF67" s="120" t="str">
        <f>IF(ISTEXT(VLOOKUP(CONCATENATE($A67,"_",AF$3),'Unit List'!$A$23:$H$3256,2,FALSE)),"X",$AD67)</f>
        <v/>
      </c>
      <c r="AG67" s="172" t="str">
        <f>IF(ISTEXT(VLOOKUP(CONCATENATE($A67,"_",AG$3),'Unit List'!$A$23:$H$3256,2,FALSE)),"+","")</f>
        <v>+</v>
      </c>
      <c r="AH67" s="120" t="str">
        <f>IF(ISTEXT(VLOOKUP(CONCATENATE($A67,"_",AH$3),'Unit List'!$A$23:$H$3256,2,FALSE)),"X",$AG67)</f>
        <v>+</v>
      </c>
      <c r="AI67" s="120" t="str">
        <f>IF(ISTEXT(VLOOKUP(CONCATENATE($A67,"_",AI$3),'Unit List'!$A$23:$H$3256,2,FALSE)),"X",$AG67)</f>
        <v>+</v>
      </c>
      <c r="AJ67" s="122" t="str">
        <f>IF(ISTEXT(VLOOKUP(CONCATENATE($A67,"_",AJ$3),'Unit List'!$A$23:$H$3256,2,FALSE)),"X",$AG67)</f>
        <v>+</v>
      </c>
      <c r="AK67" s="172" t="str">
        <f>IF(ISTEXT(VLOOKUP(CONCATENATE($A67,"_",AK$3),'Unit List'!$A$23:$H$3256,2,FALSE)),"+","")</f>
        <v/>
      </c>
      <c r="AL67" s="176" t="str">
        <f>IF(ISTEXT(VLOOKUP(CONCATENATE($A67,"_",AL$3),'Unit List'!$A$23:$H$3256,2,FALSE)),"X",$AK67)</f>
        <v/>
      </c>
      <c r="AM67" s="122" t="str">
        <f>IF(ISTEXT(VLOOKUP(CONCATENATE($A67,"_",AM$3),'Unit List'!$A$23:$H$3256,2,FALSE)),"X",$AK67)</f>
        <v/>
      </c>
      <c r="AN67" s="125" t="str">
        <f>IF(ISTEXT(VLOOKUP(CONCATENATE($A67,"_",AN$3),'Unit List'!$A$23:$H$3256,2,FALSE)),"+","")</f>
        <v>+</v>
      </c>
      <c r="AO67" s="189" t="str">
        <f>IF(ISTEXT(VLOOKUP(CONCATENATE($A67,"_",AO$3),'Unit List'!$A$23:$H$3256,2,FALSE)),"X",$AN67)</f>
        <v>+</v>
      </c>
      <c r="AP67" s="171" t="str">
        <f>IF(ISTEXT(VLOOKUP(CONCATENATE($A67,"_",AP$3),'Unit List'!$A$23:$H$3256,2,FALSE)),"+","")</f>
        <v>+</v>
      </c>
      <c r="AQ67" s="178" t="str">
        <f>IF(ISTEXT(VLOOKUP(CONCATENATE($A67,"_",AQ$3),'Unit List'!$A$23:$H$3256,2,FALSE)),"X",$AP67)</f>
        <v>+</v>
      </c>
      <c r="AR67" s="178" t="str">
        <f>IF(ISTEXT(VLOOKUP(CONCATENATE($A67,"_",AR$3),'Unit List'!$A$23:$H$3256,2,FALSE)),"X",$AP67)</f>
        <v>+</v>
      </c>
      <c r="AS67" s="178" t="str">
        <f>IF(ISTEXT(VLOOKUP(CONCATENATE($A67,"_",AS$3),'Unit List'!$A$23:$H$3256,2,FALSE)),"X",$AP67)</f>
        <v>+</v>
      </c>
      <c r="AT67" s="189" t="str">
        <f>IF(ISTEXT(VLOOKUP(CONCATENATE($A67,"_",AT$3),'Unit List'!$A$23:$H$3256,2,FALSE)),"X",$AP67)</f>
        <v>+</v>
      </c>
      <c r="AU67" s="177" t="str">
        <f>IF(ISTEXT(VLOOKUP(CONCATENATE($A67,"_",AU$3),'Unit List'!$A$23:$H$3256,2,FALSE)),"+","")</f>
        <v>+</v>
      </c>
      <c r="AV67" s="178" t="str">
        <f>IF(ISTEXT(VLOOKUP(CONCATENATE($A67,"_",AV$3),'Unit List'!$A$23:$H$3256,2,FALSE)),"X",$AU67)</f>
        <v>+</v>
      </c>
      <c r="AW67" s="189" t="str">
        <f>IF(ISTEXT(VLOOKUP(CONCATENATE($A67,"_",AW$3),'Unit List'!$A$23:$H$3256,2,FALSE)),"X",$AU67)</f>
        <v>+</v>
      </c>
      <c r="AX67" s="171" t="str">
        <f>IF(ISTEXT(VLOOKUP(CONCATENATE($A67,"_",AX$3),'Unit List'!$A$23:$H$3256,2,FALSE)),"+","")</f>
        <v>+</v>
      </c>
      <c r="AY67" s="120" t="str">
        <f>IF(ISTEXT(VLOOKUP(CONCATENATE($A67,"_",AY$3),'Unit List'!$A$23:$H$3256,2,FALSE)),"X",$AX67)</f>
        <v>+</v>
      </c>
      <c r="AZ67" s="122" t="str">
        <f>IF(ISTEXT(VLOOKUP(CONCATENATE($A67,"_",AZ$3),'Unit List'!$A$23:$H$3256,2,FALSE)),"X",$AX67)</f>
        <v>+</v>
      </c>
      <c r="BA67" s="174" t="str">
        <f>IF(ISTEXT(VLOOKUP(CONCATENATE($A67,"_",BA$3),'Unit List'!$A$23:$H$3256,2,FALSE)),"+","")</f>
        <v>+</v>
      </c>
      <c r="BB67" s="120" t="str">
        <f>IF(ISTEXT(VLOOKUP(CONCATENATE($A67,"_",BB$3),'Unit List'!$A$23:$H$3256,2,FALSE)),"X",$BA67)</f>
        <v>+</v>
      </c>
      <c r="BC67" s="120" t="str">
        <f>IF(ISTEXT(VLOOKUP(CONCATENATE($A67,"_",BC$3),'Unit List'!$A$23:$H$3256,2,FALSE)),"X",$BA67)</f>
        <v>+</v>
      </c>
      <c r="BD67" s="122" t="str">
        <f>IF(ISTEXT(VLOOKUP(CONCATENATE($A67,"_",BD$3),'Unit List'!$A$23:$H$3256,2,FALSE)),"X",$BA67)</f>
        <v>+</v>
      </c>
      <c r="BE67" s="175" t="str">
        <f>IF(ISTEXT(VLOOKUP(CONCATENATE($A67,"_",BE$3),'Unit List'!$A$23:$H$3256,2,FALSE)),"+","")</f>
        <v>+</v>
      </c>
      <c r="BF67" s="75" t="str">
        <f>IF(ISTEXT(VLOOKUP(CONCATENATE($A67,"_",BF$3),'Unit List'!$A$23:$H$3256,2,FALSE)),"X",$BE67)</f>
        <v>+</v>
      </c>
      <c r="BG67" s="75"/>
      <c r="BH67" s="84"/>
      <c r="BI67" s="225"/>
      <c r="BJ67" s="226"/>
      <c r="BK67" s="226"/>
      <c r="BL67" s="226"/>
      <c r="BM67" s="227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List'!$A$23:$H$3256,2,FALSE)),"+","")</f>
        <v/>
      </c>
      <c r="C68" s="180" t="str">
        <f>IF(ISTEXT(VLOOKUP(CONCATENATE($A68,"_",C$3),'Unit List'!$A$23:$H$3256,2,FALSE)),"X",$B68)</f>
        <v/>
      </c>
      <c r="D68" s="178" t="str">
        <f>IF(ISTEXT(VLOOKUP(CONCATENATE($A68,"_",D$3),'Unit List'!$A$23:$H$3256,2,FALSE)),"X",$B68)</f>
        <v/>
      </c>
      <c r="E68" s="178" t="str">
        <f>IF(ISTEXT(VLOOKUP(CONCATENATE($A68,"_",E$3),'Unit List'!$A$23:$H$3256,2,FALSE)),"X",$B68)</f>
        <v/>
      </c>
      <c r="F68" s="178" t="str">
        <f>IF(ISTEXT(VLOOKUP(CONCATENATE($A68,"_",F$3),'Unit List'!$A$23:$H$3256,2,FALSE)),"X",$B68)</f>
        <v/>
      </c>
      <c r="G68" s="178" t="str">
        <f>IF(ISTEXT(VLOOKUP(CONCATENATE($A68,"_",G$3),'Unit List'!$A$23:$H$3256,2,FALSE)),"X",$B68)</f>
        <v/>
      </c>
      <c r="H68" s="178" t="str">
        <f>IF(ISTEXT(VLOOKUP(CONCATENATE($A68,"_",H$3),'Unit List'!$A$23:$H$3256,2,FALSE)),"X",$B68)</f>
        <v/>
      </c>
      <c r="I68" s="189" t="str">
        <f>IF(ISTEXT(VLOOKUP(CONCATENATE($A68,"_",I$3),'Unit List'!$A$23:$H$3256,2,FALSE)),"X",$B68)</f>
        <v/>
      </c>
      <c r="J68" s="171" t="str">
        <f>IF(ISTEXT(VLOOKUP(CONCATENATE($A68,"_",J$3),'Unit List'!$A$23:$H$3256,2,FALSE)),"+","")</f>
        <v/>
      </c>
      <c r="K68" s="178" t="str">
        <f>IF(ISTEXT(VLOOKUP(CONCATENATE($A68,"_",K$3),'Unit List'!$A$23:$H$3256,2,FALSE)),"X",$J68)</f>
        <v/>
      </c>
      <c r="L68" s="95" t="str">
        <f>IF(ISTEXT(VLOOKUP(CONCATENATE($A68,"_",L$3),'Unit List'!$A$23:$H$3256,2,FALSE)),"X",$J68)</f>
        <v/>
      </c>
      <c r="M68" s="171" t="str">
        <f>IF(ISTEXT(VLOOKUP(CONCATENATE($A68,"_",M$3),'Unit List'!$A$23:$H$3256,2,FALSE)),"+","")</f>
        <v/>
      </c>
      <c r="N68" s="178" t="str">
        <f>IF(ISTEXT(VLOOKUP(CONCATENATE($A68,"_",N$3),'Unit List'!$A$23:$H$3256,2,FALSE)),"X",$M68)</f>
        <v/>
      </c>
      <c r="O68" s="189" t="str">
        <f>IF(ISTEXT(VLOOKUP(CONCATENATE($A68,"_",O$3),'Unit List'!$A$23:$H$3256,2,FALSE)),"X",$M68)</f>
        <v/>
      </c>
      <c r="P68" s="171" t="str">
        <f>IF(ISTEXT(VLOOKUP(CONCATENATE($A68,"_",P$3),'Unit List'!$A$23:$H$3256,2,FALSE)),"+","")</f>
        <v/>
      </c>
      <c r="Q68" s="178" t="str">
        <f>IF(ISTEXT(VLOOKUP(CONCATENATE($A68,"_",Q$3),'Unit List'!$A$23:$H$3256,2,FALSE)),"X",$P68)</f>
        <v/>
      </c>
      <c r="R68" s="178" t="str">
        <f>IF(ISTEXT(VLOOKUP(CONCATENATE($A68,"_",R$3),'Unit List'!$A$23:$H$3256,2,FALSE)),"X",$P68)</f>
        <v/>
      </c>
      <c r="S68" s="178" t="str">
        <f>IF(ISTEXT(VLOOKUP(CONCATENATE($A68,"_",S$3),'Unit List'!$A$23:$H$3256,2,FALSE)),"X",$P68)</f>
        <v/>
      </c>
      <c r="T68" s="176" t="str">
        <f>IF(ISTEXT(VLOOKUP(CONCATENATE($A68,"_",T$3),'Unit List'!$A$23:$H$3256,2,FALSE)),"X",$P68)</f>
        <v/>
      </c>
      <c r="U68" s="178" t="str">
        <f>IF(ISTEXT(VLOOKUP(CONCATENATE($A68,"_",U$3),'Unit List'!$A$23:$H$3256,2,FALSE)),"X",$P68)</f>
        <v/>
      </c>
      <c r="V68" s="178" t="str">
        <f>IF(ISTEXT(VLOOKUP(CONCATENATE($A68,"_",V$3),'Unit List'!$A$23:$H$3256,2,FALSE)),"X",$P68)</f>
        <v/>
      </c>
      <c r="W68" s="189" t="str">
        <f>IF(ISTEXT(VLOOKUP(CONCATENATE($A68,"_",W$3),'Unit List'!$A$23:$H$3256,2,FALSE)),"X",$P68)</f>
        <v/>
      </c>
      <c r="X68" s="171" t="str">
        <f>IF(ISTEXT(VLOOKUP(CONCATENATE($A68,"_",X$3),'Unit List'!$A$23:$H$3256,2,FALSE)),"+","")</f>
        <v>+</v>
      </c>
      <c r="Y68" s="178" t="str">
        <f>IF(ISTEXT(VLOOKUP(CONCATENATE($A68,"_",Y$3),'Unit List'!$A$23:$H$3256,2,FALSE)),"X",$X68)</f>
        <v>+</v>
      </c>
      <c r="Z68" s="178" t="str">
        <f>IF(ISTEXT(VLOOKUP(CONCATENATE($A68,"_",Z$3),'Unit List'!$A$23:$H$3256,2,FALSE)),"X",$X68)</f>
        <v>+</v>
      </c>
      <c r="AA68" s="178" t="str">
        <f>IF(ISTEXT(VLOOKUP(CONCATENATE($A68,"_",AA$3),'Unit List'!$A$23:$H$3256,2,FALSE)),"X",$X68)</f>
        <v>+</v>
      </c>
      <c r="AB68" s="178" t="str">
        <f>IF(ISTEXT(VLOOKUP(CONCATENATE($A68,"_",AB$3),'Unit List'!$A$23:$H$3256,2,FALSE)),"X",$X68)</f>
        <v>+</v>
      </c>
      <c r="AC68" s="95" t="str">
        <f>IF(ISTEXT(VLOOKUP(CONCATENATE($A68,"_",AC$3),'Unit List'!$A$23:$H$3256,2,FALSE)),"X",$X68)</f>
        <v>+</v>
      </c>
      <c r="AD68" s="171" t="str">
        <f>IF(ISTEXT(VLOOKUP(CONCATENATE($A68,"_",AD$3),'Unit List'!$A$23:$H$3256,2,FALSE)),"+","")</f>
        <v>+</v>
      </c>
      <c r="AE68" s="120" t="str">
        <f>IF(ISTEXT(VLOOKUP(CONCATENATE($A68,"_",AE$3),'Unit List'!$A$23:$H$3256,2,FALSE)),"X",$AD68)</f>
        <v>+</v>
      </c>
      <c r="AF68" s="120" t="str">
        <f>IF(ISTEXT(VLOOKUP(CONCATENATE($A68,"_",AF$3),'Unit List'!$A$23:$H$3256,2,FALSE)),"X",$AD68)</f>
        <v>+</v>
      </c>
      <c r="AG68" s="171" t="str">
        <f>IF(ISTEXT(VLOOKUP(CONCATENATE($A68,"_",AG$3),'Unit List'!$A$23:$H$3256,2,FALSE)),"+","")</f>
        <v>+</v>
      </c>
      <c r="AH68" s="178" t="str">
        <f>IF(ISTEXT(VLOOKUP(CONCATENATE($A68,"_",AH$3),'Unit List'!$A$23:$H$3256,2,FALSE)),"X",$AG68)</f>
        <v>+</v>
      </c>
      <c r="AI68" s="178" t="str">
        <f>IF(ISTEXT(VLOOKUP(CONCATENATE($A68,"_",AI$3),'Unit List'!$A$23:$H$3256,2,FALSE)),"X",$AG68)</f>
        <v>+</v>
      </c>
      <c r="AJ68" s="189" t="str">
        <f>IF(ISTEXT(VLOOKUP(CONCATENATE($A68,"_",AJ$3),'Unit List'!$A$23:$H$3256,2,FALSE)),"X",$AG68)</f>
        <v>+</v>
      </c>
      <c r="AK68" s="171" t="str">
        <f>IF(ISTEXT(VLOOKUP(CONCATENATE($A68,"_",AK$3),'Unit List'!$A$23:$H$3256,2,FALSE)),"+","")</f>
        <v>+</v>
      </c>
      <c r="AL68" s="176" t="str">
        <f>IF(ISTEXT(VLOOKUP(CONCATENATE($A68,"_",AL$3),'Unit List'!$A$23:$H$3256,2,FALSE)),"X",$AK68)</f>
        <v>+</v>
      </c>
      <c r="AM68" s="189" t="str">
        <f>IF(ISTEXT(VLOOKUP(CONCATENATE($A68,"_",AM$3),'Unit List'!$A$23:$H$3256,2,FALSE)),"X",$AK68)</f>
        <v>+</v>
      </c>
      <c r="AN68" s="175" t="str">
        <f>IF(ISTEXT(VLOOKUP(CONCATENATE($A68,"_",AN$3),'Unit List'!$A$23:$H$3256,2,FALSE)),"+","")</f>
        <v>+</v>
      </c>
      <c r="AO68" s="189" t="str">
        <f>IF(ISTEXT(VLOOKUP(CONCATENATE($A68,"_",AO$3),'Unit List'!$A$23:$H$3256,2,FALSE)),"X",$AN68)</f>
        <v>+</v>
      </c>
      <c r="AP68" s="171" t="str">
        <f>IF(ISTEXT(VLOOKUP(CONCATENATE($A68,"_",AP$3),'Unit List'!$A$23:$H$3256,2,FALSE)),"+","")</f>
        <v>+</v>
      </c>
      <c r="AQ68" s="178" t="str">
        <f>IF(ISTEXT(VLOOKUP(CONCATENATE($A68,"_",AQ$3),'Unit List'!$A$23:$H$3256,2,FALSE)),"X",$AP68)</f>
        <v>+</v>
      </c>
      <c r="AR68" s="178" t="str">
        <f>IF(ISTEXT(VLOOKUP(CONCATENATE($A68,"_",AR$3),'Unit List'!$A$23:$H$3256,2,FALSE)),"X",$AP68)</f>
        <v>+</v>
      </c>
      <c r="AS68" s="178" t="str">
        <f>IF(ISTEXT(VLOOKUP(CONCATENATE($A68,"_",AS$3),'Unit List'!$A$23:$H$3256,2,FALSE)),"X",$AP68)</f>
        <v>+</v>
      </c>
      <c r="AT68" s="189" t="str">
        <f>IF(ISTEXT(VLOOKUP(CONCATENATE($A68,"_",AT$3),'Unit List'!$A$23:$H$3256,2,FALSE)),"X",$AP68)</f>
        <v>+</v>
      </c>
      <c r="AU68" s="177" t="str">
        <f>IF(ISTEXT(VLOOKUP(CONCATENATE($A68,"_",AU$3),'Unit List'!$A$23:$H$3256,2,FALSE)),"+","")</f>
        <v>+</v>
      </c>
      <c r="AV68" s="178" t="str">
        <f>IF(ISTEXT(VLOOKUP(CONCATENATE($A68,"_",AV$3),'Unit List'!$A$23:$H$3256,2,FALSE)),"X",$AU68)</f>
        <v>+</v>
      </c>
      <c r="AW68" s="189" t="str">
        <f>IF(ISTEXT(VLOOKUP(CONCATENATE($A68,"_",AW$3),'Unit List'!$A$23:$H$3256,2,FALSE)),"X",$AU68)</f>
        <v>+</v>
      </c>
      <c r="AX68" s="171" t="str">
        <f>IF(ISTEXT(VLOOKUP(CONCATENATE($A68,"_",AX$3),'Unit List'!$A$23:$H$3256,2,FALSE)),"+","")</f>
        <v>+</v>
      </c>
      <c r="AY68" s="178" t="str">
        <f>IF(ISTEXT(VLOOKUP(CONCATENATE($A68,"_",AY$3),'Unit List'!$A$23:$H$3256,2,FALSE)),"X",$AX68)</f>
        <v>+</v>
      </c>
      <c r="AZ68" s="189" t="str">
        <f>IF(ISTEXT(VLOOKUP(CONCATENATE($A68,"_",AZ$3),'Unit List'!$A$23:$H$3256,2,FALSE)),"X",$AX68)</f>
        <v>+</v>
      </c>
      <c r="BA68" s="171" t="str">
        <f>IF(ISTEXT(VLOOKUP(CONCATENATE($A68,"_",BA$3),'Unit List'!$A$23:$H$3256,2,FALSE)),"+","")</f>
        <v>+</v>
      </c>
      <c r="BB68" s="178" t="str">
        <f>IF(ISTEXT(VLOOKUP(CONCATENATE($A68,"_",BB$3),'Unit List'!$A$23:$H$3256,2,FALSE)),"X",$BA68)</f>
        <v>+</v>
      </c>
      <c r="BC68" s="178" t="str">
        <f>IF(ISTEXT(VLOOKUP(CONCATENATE($A68,"_",BC$3),'Unit List'!$A$23:$H$3256,2,FALSE)),"X",$BA68)</f>
        <v>+</v>
      </c>
      <c r="BD68" s="189" t="str">
        <f>IF(ISTEXT(VLOOKUP(CONCATENATE($A68,"_",BD$3),'Unit List'!$A$23:$H$3256,2,FALSE)),"X",$BA68)</f>
        <v>+</v>
      </c>
      <c r="BE68" s="175" t="str">
        <f>IF(ISTEXT(VLOOKUP(CONCATENATE($A68,"_",BE$3),'Unit List'!$A$23:$H$3256,2,FALSE)),"+","")</f>
        <v>+</v>
      </c>
      <c r="BF68" s="95" t="str">
        <f>IF(ISTEXT(VLOOKUP(CONCATENATE($A68,"_",BF$3),'Unit List'!$A$23:$H$3256,2,FALSE)),"X",$BE68)</f>
        <v>+</v>
      </c>
      <c r="BG68" s="97"/>
      <c r="BH68" s="98" t="s">
        <v>0</v>
      </c>
      <c r="BI68" s="225" t="s">
        <v>1162</v>
      </c>
      <c r="BJ68" s="228"/>
      <c r="BK68" s="228"/>
      <c r="BL68" s="228"/>
      <c r="BM68" s="229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List'!$A$23:$H$3256,2,FALSE)),"+","")</f>
        <v/>
      </c>
      <c r="C69" s="119" t="str">
        <f>IF(ISTEXT(VLOOKUP(CONCATENATE($A69,"_",C$3),'Unit List'!$A$23:$H$3256,2,FALSE)),"X",$B69)</f>
        <v/>
      </c>
      <c r="D69" s="120" t="str">
        <f>IF(ISTEXT(VLOOKUP(CONCATENATE($A69,"_",D$3),'Unit List'!$A$23:$H$3256,2,FALSE)),"X",$B69)</f>
        <v/>
      </c>
      <c r="E69" s="120" t="str">
        <f>IF(ISTEXT(VLOOKUP(CONCATENATE($A69,"_",E$3),'Unit List'!$A$23:$H$3256,2,FALSE)),"X",$B69)</f>
        <v/>
      </c>
      <c r="F69" s="120" t="str">
        <f>IF(ISTEXT(VLOOKUP(CONCATENATE($A69,"_",F$3),'Unit List'!$A$23:$H$3256,2,FALSE)),"X",$B69)</f>
        <v/>
      </c>
      <c r="G69" s="120" t="str">
        <f>IF(ISTEXT(VLOOKUP(CONCATENATE($A69,"_",G$3),'Unit List'!$A$23:$H$3256,2,FALSE)),"X",$B69)</f>
        <v/>
      </c>
      <c r="H69" s="120" t="str">
        <f>IF(ISTEXT(VLOOKUP(CONCATENATE($A69,"_",H$3),'Unit List'!$A$23:$H$3256,2,FALSE)),"X",$B69)</f>
        <v/>
      </c>
      <c r="I69" s="122" t="str">
        <f>IF(ISTEXT(VLOOKUP(CONCATENATE($A69,"_",I$3),'Unit List'!$A$23:$H$3256,2,FALSE)),"X",$B69)</f>
        <v/>
      </c>
      <c r="J69" s="172" t="str">
        <f>IF(ISTEXT(VLOOKUP(CONCATENATE($A69,"_",J$3),'Unit List'!$A$23:$H$3256,2,FALSE)),"+","")</f>
        <v/>
      </c>
      <c r="K69" s="120" t="str">
        <f>IF(ISTEXT(VLOOKUP(CONCATENATE($A69,"_",K$3),'Unit List'!$A$23:$H$3256,2,FALSE)),"X",$J69)</f>
        <v/>
      </c>
      <c r="L69" s="75" t="str">
        <f>IF(ISTEXT(VLOOKUP(CONCATENATE($A69,"_",L$3),'Unit List'!$A$23:$H$3256,2,FALSE)),"X",$J69)</f>
        <v/>
      </c>
      <c r="M69" s="172" t="str">
        <f>IF(ISTEXT(VLOOKUP(CONCATENATE($A69,"_",M$3),'Unit List'!$A$23:$H$3256,2,FALSE)),"+","")</f>
        <v/>
      </c>
      <c r="N69" s="120" t="str">
        <f>IF(ISTEXT(VLOOKUP(CONCATENATE($A69,"_",N$3),'Unit List'!$A$23:$H$3256,2,FALSE)),"X",$M69)</f>
        <v/>
      </c>
      <c r="O69" s="122" t="str">
        <f>IF(ISTEXT(VLOOKUP(CONCATENATE($A69,"_",O$3),'Unit List'!$A$23:$H$3256,2,FALSE)),"X",$M69)</f>
        <v/>
      </c>
      <c r="P69" s="172" t="str">
        <f>IF(ISTEXT(VLOOKUP(CONCATENATE($A69,"_",P$3),'Unit List'!$A$23:$H$3256,2,FALSE)),"+","")</f>
        <v/>
      </c>
      <c r="Q69" s="120" t="str">
        <f>IF(ISTEXT(VLOOKUP(CONCATENATE($A69,"_",Q$3),'Unit List'!$A$23:$H$3256,2,FALSE)),"X",$P69)</f>
        <v/>
      </c>
      <c r="R69" s="120" t="str">
        <f>IF(ISTEXT(VLOOKUP(CONCATENATE($A69,"_",R$3),'Unit List'!$A$23:$H$3256,2,FALSE)),"X",$P69)</f>
        <v/>
      </c>
      <c r="S69" s="120" t="str">
        <f>IF(ISTEXT(VLOOKUP(CONCATENATE($A69,"_",S$3),'Unit List'!$A$23:$H$3256,2,FALSE)),"X",$P69)</f>
        <v/>
      </c>
      <c r="T69" s="121" t="str">
        <f>IF(ISTEXT(VLOOKUP(CONCATENATE($A69,"_",T$3),'Unit List'!$A$23:$H$3256,2,FALSE)),"X",$P69)</f>
        <v/>
      </c>
      <c r="U69" s="120" t="str">
        <f>IF(ISTEXT(VLOOKUP(CONCATENATE($A69,"_",U$3),'Unit List'!$A$23:$H$3256,2,FALSE)),"X",$P69)</f>
        <v/>
      </c>
      <c r="V69" s="120" t="str">
        <f>IF(ISTEXT(VLOOKUP(CONCATENATE($A69,"_",V$3),'Unit List'!$A$23:$H$3256,2,FALSE)),"X",$P69)</f>
        <v/>
      </c>
      <c r="W69" s="122" t="str">
        <f>IF(ISTEXT(VLOOKUP(CONCATENATE($A69,"_",W$3),'Unit List'!$A$23:$H$3256,2,FALSE)),"X",$P69)</f>
        <v/>
      </c>
      <c r="X69" s="172" t="str">
        <f>IF(ISTEXT(VLOOKUP(CONCATENATE($A69,"_",X$3),'Unit List'!$A$23:$H$3256,2,FALSE)),"+","")</f>
        <v/>
      </c>
      <c r="Y69" s="120" t="str">
        <f>IF(ISTEXT(VLOOKUP(CONCATENATE($A69,"_",Y$3),'Unit List'!$A$23:$H$3256,2,FALSE)),"X",$X69)</f>
        <v/>
      </c>
      <c r="Z69" s="120" t="str">
        <f>IF(ISTEXT(VLOOKUP(CONCATENATE($A69,"_",Z$3),'Unit List'!$A$23:$H$3256,2,FALSE)),"X",$X69)</f>
        <v/>
      </c>
      <c r="AA69" s="120" t="str">
        <f>IF(ISTEXT(VLOOKUP(CONCATENATE($A69,"_",AA$3),'Unit List'!$A$23:$H$3256,2,FALSE)),"X",$X69)</f>
        <v/>
      </c>
      <c r="AB69" s="120" t="str">
        <f>IF(ISTEXT(VLOOKUP(CONCATENATE($A69,"_",AB$3),'Unit List'!$A$23:$H$3256,2,FALSE)),"X",$X69)</f>
        <v/>
      </c>
      <c r="AC69" s="75" t="str">
        <f>IF(ISTEXT(VLOOKUP(CONCATENATE($A69,"_",AC$3),'Unit List'!$A$23:$H$3256,2,FALSE)),"X",$X69)</f>
        <v/>
      </c>
      <c r="AD69" s="172" t="str">
        <f>IF(ISTEXT(VLOOKUP(CONCATENATE($A69,"_",AD$3),'Unit List'!$A$23:$H$3256,2,FALSE)),"+","")</f>
        <v/>
      </c>
      <c r="AE69" s="120" t="str">
        <f>IF(ISTEXT(VLOOKUP(CONCATENATE($A69,"_",AE$3),'Unit List'!$A$23:$H$3256,2,FALSE)),"X",$AD69)</f>
        <v/>
      </c>
      <c r="AF69" s="120" t="str">
        <f>IF(ISTEXT(VLOOKUP(CONCATENATE($A69,"_",AF$3),'Unit List'!$A$23:$H$3256,2,FALSE)),"X",$AD69)</f>
        <v/>
      </c>
      <c r="AG69" s="172" t="str">
        <f>IF(ISTEXT(VLOOKUP(CONCATENATE($A69,"_",AG$3),'Unit List'!$A$23:$H$3256,2,FALSE)),"+","")</f>
        <v/>
      </c>
      <c r="AH69" s="120" t="str">
        <f>IF(ISTEXT(VLOOKUP(CONCATENATE($A69,"_",AH$3),'Unit List'!$A$23:$H$3256,2,FALSE)),"X",$AG69)</f>
        <v/>
      </c>
      <c r="AI69" s="120" t="str">
        <f>IF(ISTEXT(VLOOKUP(CONCATENATE($A69,"_",AI$3),'Unit List'!$A$23:$H$3256,2,FALSE)),"X",$AG69)</f>
        <v/>
      </c>
      <c r="AJ69" s="122" t="str">
        <f>IF(ISTEXT(VLOOKUP(CONCATENATE($A69,"_",AJ$3),'Unit List'!$A$23:$H$3256,2,FALSE)),"X",$AG69)</f>
        <v/>
      </c>
      <c r="AK69" s="172" t="str">
        <f>IF(ISTEXT(VLOOKUP(CONCATENATE($A69,"_",AK$3),'Unit List'!$A$23:$H$3256,2,FALSE)),"+","")</f>
        <v/>
      </c>
      <c r="AL69" s="121" t="str">
        <f>IF(ISTEXT(VLOOKUP(CONCATENATE($A69,"_",AL$3),'Unit List'!$A$23:$H$3256,2,FALSE)),"X",$AK69)</f>
        <v/>
      </c>
      <c r="AM69" s="122" t="str">
        <f>IF(ISTEXT(VLOOKUP(CONCATENATE($A69,"_",AM$3),'Unit List'!$A$23:$H$3256,2,FALSE)),"X",$AK69)</f>
        <v/>
      </c>
      <c r="AN69" s="125" t="str">
        <f>IF(ISTEXT(VLOOKUP(CONCATENATE($A69,"_",AN$3),'Unit List'!$A$23:$H$3256,2,FALSE)),"+","")</f>
        <v/>
      </c>
      <c r="AO69" s="122" t="str">
        <f>IF(ISTEXT(VLOOKUP(CONCATENATE($A69,"_",AO$3),'Unit List'!$A$23:$H$3256,2,FALSE)),"X",$AN69)</f>
        <v/>
      </c>
      <c r="AP69" s="172" t="str">
        <f>IF(ISTEXT(VLOOKUP(CONCATENATE($A69,"_",AP$3),'Unit List'!$A$23:$H$3256,2,FALSE)),"+","")</f>
        <v/>
      </c>
      <c r="AQ69" s="120" t="str">
        <f>IF(ISTEXT(VLOOKUP(CONCATENATE($A69,"_",AQ$3),'Unit List'!$A$23:$H$3256,2,FALSE)),"X",$AP69)</f>
        <v/>
      </c>
      <c r="AR69" s="120" t="str">
        <f>IF(ISTEXT(VLOOKUP(CONCATENATE($A69,"_",AR$3),'Unit List'!$A$23:$H$3256,2,FALSE)),"X",$AP69)</f>
        <v/>
      </c>
      <c r="AS69" s="120" t="str">
        <f>IF(ISTEXT(VLOOKUP(CONCATENATE($A69,"_",AS$3),'Unit List'!$A$23:$H$3256,2,FALSE)),"X",$AP69)</f>
        <v/>
      </c>
      <c r="AT69" s="122" t="str">
        <f>IF(ISTEXT(VLOOKUP(CONCATENATE($A69,"_",AT$3),'Unit List'!$A$23:$H$3256,2,FALSE)),"X",$AP69)</f>
        <v/>
      </c>
      <c r="AU69" s="124" t="str">
        <f>IF(ISTEXT(VLOOKUP(CONCATENATE($A69,"_",AU$3),'Unit List'!$A$23:$H$3256,2,FALSE)),"+","")</f>
        <v/>
      </c>
      <c r="AV69" s="120" t="str">
        <f>IF(ISTEXT(VLOOKUP(CONCATENATE($A69,"_",AV$3),'Unit List'!$A$23:$H$3256,2,FALSE)),"X",$AU69)</f>
        <v/>
      </c>
      <c r="AW69" s="122" t="str">
        <f>IF(ISTEXT(VLOOKUP(CONCATENATE($A69,"_",AW$3),'Unit List'!$A$23:$H$3256,2,FALSE)),"X",$AU69)</f>
        <v/>
      </c>
      <c r="AX69" s="172" t="str">
        <f>IF(ISTEXT(VLOOKUP(CONCATENATE($A69,"_",AX$3),'Unit List'!$A$23:$H$3256,2,FALSE)),"+","")</f>
        <v/>
      </c>
      <c r="AY69" s="120" t="str">
        <f>IF(ISTEXT(VLOOKUP(CONCATENATE($A69,"_",AY$3),'Unit List'!$A$23:$H$3256,2,FALSE)),"X",$AX69)</f>
        <v/>
      </c>
      <c r="AZ69" s="122" t="str">
        <f>IF(ISTEXT(VLOOKUP(CONCATENATE($A69,"_",AZ$3),'Unit List'!$A$23:$H$3256,2,FALSE)),"X",$AX69)</f>
        <v/>
      </c>
      <c r="BA69" s="182" t="str">
        <f>IF(ISTEXT(VLOOKUP(CONCATENATE($A69,"_",BA$3),'Unit List'!$A$23:$H$3256,2,FALSE)),"+","")</f>
        <v/>
      </c>
      <c r="BB69" s="120" t="str">
        <f>IF(ISTEXT(VLOOKUP(CONCATENATE($A69,"_",BB$3),'Unit List'!$A$23:$H$3256,2,FALSE)),"X",$BA69)</f>
        <v/>
      </c>
      <c r="BC69" s="120" t="str">
        <f>IF(ISTEXT(VLOOKUP(CONCATENATE($A69,"_",BC$3),'Unit List'!$A$23:$H$3256,2,FALSE)),"X",$BA69)</f>
        <v/>
      </c>
      <c r="BD69" s="122" t="str">
        <f>IF(ISTEXT(VLOOKUP(CONCATENATE($A69,"_",BD$3),'Unit List'!$A$23:$H$3256,2,FALSE)),"X",$BA69)</f>
        <v/>
      </c>
      <c r="BE69" s="125" t="str">
        <f>IF(ISTEXT(VLOOKUP(CONCATENATE($A69,"_",BE$3),'Unit List'!$A$23:$H$3256,2,FALSE)),"+","")</f>
        <v/>
      </c>
      <c r="BF69" s="75" t="str">
        <f>IF(ISTEXT(VLOOKUP(CONCATENATE($A69,"_",BF$3),'Unit List'!$A$23:$H$3256,2,FALSE)),"X",$BE69)</f>
        <v/>
      </c>
      <c r="BG69" s="75"/>
      <c r="BH69" s="84"/>
      <c r="BI69" s="225"/>
      <c r="BJ69" s="226"/>
      <c r="BK69" s="226"/>
      <c r="BL69" s="226"/>
      <c r="BM69" s="227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List'!$A$23:$H$3256,2,FALSE)),"+","")</f>
        <v/>
      </c>
      <c r="C70" s="119" t="str">
        <f>IF(ISTEXT(VLOOKUP(CONCATENATE($A70,"_",C$3),'Unit List'!$A$23:$H$3256,2,FALSE)),"X",$B70)</f>
        <v/>
      </c>
      <c r="D70" s="120" t="str">
        <f>IF(ISTEXT(VLOOKUP(CONCATENATE($A70,"_",D$3),'Unit List'!$A$23:$H$3256,2,FALSE)),"X",$B70)</f>
        <v/>
      </c>
      <c r="E70" s="120" t="str">
        <f>IF(ISTEXT(VLOOKUP(CONCATENATE($A70,"_",E$3),'Unit List'!$A$23:$H$3256,2,FALSE)),"X",$B70)</f>
        <v/>
      </c>
      <c r="F70" s="120" t="str">
        <f>IF(ISTEXT(VLOOKUP(CONCATENATE($A70,"_",F$3),'Unit List'!$A$23:$H$3256,2,FALSE)),"X",$B70)</f>
        <v/>
      </c>
      <c r="G70" s="120" t="str">
        <f>IF(ISTEXT(VLOOKUP(CONCATENATE($A70,"_",G$3),'Unit List'!$A$23:$H$3256,2,FALSE)),"X",$B70)</f>
        <v/>
      </c>
      <c r="H70" s="120" t="str">
        <f>IF(ISTEXT(VLOOKUP(CONCATENATE($A70,"_",H$3),'Unit List'!$A$23:$H$3256,2,FALSE)),"X",$B70)</f>
        <v/>
      </c>
      <c r="I70" s="122" t="str">
        <f>IF(ISTEXT(VLOOKUP(CONCATENATE($A70,"_",I$3),'Unit List'!$A$23:$H$3256,2,FALSE)),"X",$B70)</f>
        <v/>
      </c>
      <c r="J70" s="172" t="str">
        <f>IF(ISTEXT(VLOOKUP(CONCATENATE($A70,"_",J$3),'Unit List'!$A$23:$H$3256,2,FALSE)),"+","")</f>
        <v/>
      </c>
      <c r="K70" s="120" t="str">
        <f>IF(ISTEXT(VLOOKUP(CONCATENATE($A70,"_",K$3),'Unit List'!$A$23:$H$3256,2,FALSE)),"X",$J70)</f>
        <v/>
      </c>
      <c r="L70" s="75" t="str">
        <f>IF(ISTEXT(VLOOKUP(CONCATENATE($A70,"_",L$3),'Unit List'!$A$23:$H$3256,2,FALSE)),"X",$J70)</f>
        <v/>
      </c>
      <c r="M70" s="172" t="str">
        <f>IF(ISTEXT(VLOOKUP(CONCATENATE($A70,"_",M$3),'Unit List'!$A$23:$H$3256,2,FALSE)),"+","")</f>
        <v/>
      </c>
      <c r="N70" s="120" t="str">
        <f>IF(ISTEXT(VLOOKUP(CONCATENATE($A70,"_",N$3),'Unit List'!$A$23:$H$3256,2,FALSE)),"X",$M70)</f>
        <v/>
      </c>
      <c r="O70" s="122" t="str">
        <f>IF(ISTEXT(VLOOKUP(CONCATENATE($A70,"_",O$3),'Unit List'!$A$23:$H$3256,2,FALSE)),"X",$M70)</f>
        <v/>
      </c>
      <c r="P70" s="172" t="str">
        <f>IF(ISTEXT(VLOOKUP(CONCATENATE($A70,"_",P$3),'Unit List'!$A$23:$H$3256,2,FALSE)),"+","")</f>
        <v/>
      </c>
      <c r="Q70" s="120" t="str">
        <f>IF(ISTEXT(VLOOKUP(CONCATENATE($A70,"_",Q$3),'Unit List'!$A$23:$H$3256,2,FALSE)),"X",$P70)</f>
        <v/>
      </c>
      <c r="R70" s="120" t="str">
        <f>IF(ISTEXT(VLOOKUP(CONCATENATE($A70,"_",R$3),'Unit List'!$A$23:$H$3256,2,FALSE)),"X",$P70)</f>
        <v/>
      </c>
      <c r="S70" s="120" t="str">
        <f>IF(ISTEXT(VLOOKUP(CONCATENATE($A70,"_",S$3),'Unit List'!$A$23:$H$3256,2,FALSE)),"X",$P70)</f>
        <v/>
      </c>
      <c r="T70" s="121" t="str">
        <f>IF(ISTEXT(VLOOKUP(CONCATENATE($A70,"_",T$3),'Unit List'!$A$23:$H$3256,2,FALSE)),"X",$P70)</f>
        <v/>
      </c>
      <c r="U70" s="120" t="str">
        <f>IF(ISTEXT(VLOOKUP(CONCATENATE($A70,"_",U$3),'Unit List'!$A$23:$H$3256,2,FALSE)),"X",$P70)</f>
        <v/>
      </c>
      <c r="V70" s="120" t="str">
        <f>IF(ISTEXT(VLOOKUP(CONCATENATE($A70,"_",V$3),'Unit List'!$A$23:$H$3256,2,FALSE)),"X",$P70)</f>
        <v/>
      </c>
      <c r="W70" s="122" t="str">
        <f>IF(ISTEXT(VLOOKUP(CONCATENATE($A70,"_",W$3),'Unit List'!$A$23:$H$3256,2,FALSE)),"X",$P70)</f>
        <v/>
      </c>
      <c r="X70" s="172" t="str">
        <f>IF(ISTEXT(VLOOKUP(CONCATENATE($A70,"_",X$3),'Unit List'!$A$23:$H$3256,2,FALSE)),"+","")</f>
        <v/>
      </c>
      <c r="Y70" s="120" t="str">
        <f>IF(ISTEXT(VLOOKUP(CONCATENATE($A70,"_",Y$3),'Unit List'!$A$23:$H$3256,2,FALSE)),"X",$X70)</f>
        <v/>
      </c>
      <c r="Z70" s="120" t="str">
        <f>IF(ISTEXT(VLOOKUP(CONCATENATE($A70,"_",Z$3),'Unit List'!$A$23:$H$3256,2,FALSE)),"X",$X70)</f>
        <v/>
      </c>
      <c r="AA70" s="120" t="str">
        <f>IF(ISTEXT(VLOOKUP(CONCATENATE($A70,"_",AA$3),'Unit List'!$A$23:$H$3256,2,FALSE)),"X",$X70)</f>
        <v/>
      </c>
      <c r="AB70" s="120" t="str">
        <f>IF(ISTEXT(VLOOKUP(CONCATENATE($A70,"_",AB$3),'Unit List'!$A$23:$H$3256,2,FALSE)),"X",$X70)</f>
        <v/>
      </c>
      <c r="AC70" s="75" t="str">
        <f>IF(ISTEXT(VLOOKUP(CONCATENATE($A70,"_",AC$3),'Unit List'!$A$23:$H$3256,2,FALSE)),"X",$X70)</f>
        <v/>
      </c>
      <c r="AD70" s="172" t="str">
        <f>IF(ISTEXT(VLOOKUP(CONCATENATE($A70,"_",AD$3),'Unit List'!$A$23:$H$3256,2,FALSE)),"+","")</f>
        <v/>
      </c>
      <c r="AE70" s="120" t="str">
        <f>IF(ISTEXT(VLOOKUP(CONCATENATE($A70,"_",AE$3),'Unit List'!$A$23:$H$3256,2,FALSE)),"X",$AD70)</f>
        <v/>
      </c>
      <c r="AF70" s="120" t="str">
        <f>IF(ISTEXT(VLOOKUP(CONCATENATE($A70,"_",AF$3),'Unit List'!$A$23:$H$3256,2,FALSE)),"X",$AD70)</f>
        <v/>
      </c>
      <c r="AG70" s="172" t="str">
        <f>IF(ISTEXT(VLOOKUP(CONCATENATE($A70,"_",AG$3),'Unit List'!$A$23:$H$3256,2,FALSE)),"+","")</f>
        <v/>
      </c>
      <c r="AH70" s="120" t="str">
        <f>IF(ISTEXT(VLOOKUP(CONCATENATE($A70,"_",AH$3),'Unit List'!$A$23:$H$3256,2,FALSE)),"X",$AG70)</f>
        <v/>
      </c>
      <c r="AI70" s="120" t="str">
        <f>IF(ISTEXT(VLOOKUP(CONCATENATE($A70,"_",AI$3),'Unit List'!$A$23:$H$3256,2,FALSE)),"X",$AG70)</f>
        <v/>
      </c>
      <c r="AJ70" s="122" t="str">
        <f>IF(ISTEXT(VLOOKUP(CONCATENATE($A70,"_",AJ$3),'Unit List'!$A$23:$H$3256,2,FALSE)),"X",$AG70)</f>
        <v/>
      </c>
      <c r="AK70" s="172" t="str">
        <f>IF(ISTEXT(VLOOKUP(CONCATENATE($A70,"_",AK$3),'Unit List'!$A$23:$H$3256,2,FALSE)),"+","")</f>
        <v/>
      </c>
      <c r="AL70" s="121" t="str">
        <f>IF(ISTEXT(VLOOKUP(CONCATENATE($A70,"_",AL$3),'Unit List'!$A$23:$H$3256,2,FALSE)),"X",$AK70)</f>
        <v/>
      </c>
      <c r="AM70" s="122" t="str">
        <f>IF(ISTEXT(VLOOKUP(CONCATENATE($A70,"_",AM$3),'Unit List'!$A$23:$H$3256,2,FALSE)),"X",$AK70)</f>
        <v/>
      </c>
      <c r="AN70" s="125" t="str">
        <f>IF(ISTEXT(VLOOKUP(CONCATENATE($A70,"_",AN$3),'Unit List'!$A$23:$H$3256,2,FALSE)),"+","")</f>
        <v/>
      </c>
      <c r="AO70" s="122" t="str">
        <f>IF(ISTEXT(VLOOKUP(CONCATENATE($A70,"_",AO$3),'Unit List'!$A$23:$H$3256,2,FALSE)),"X",$AN70)</f>
        <v/>
      </c>
      <c r="AP70" s="172" t="str">
        <f>IF(ISTEXT(VLOOKUP(CONCATENATE($A70,"_",AP$3),'Unit List'!$A$23:$H$3256,2,FALSE)),"+","")</f>
        <v/>
      </c>
      <c r="AQ70" s="120" t="str">
        <f>IF(ISTEXT(VLOOKUP(CONCATENATE($A70,"_",AQ$3),'Unit List'!$A$23:$H$3256,2,FALSE)),"X",$AP70)</f>
        <v/>
      </c>
      <c r="AR70" s="120" t="str">
        <f>IF(ISTEXT(VLOOKUP(CONCATENATE($A70,"_",AR$3),'Unit List'!$A$23:$H$3256,2,FALSE)),"X",$AP70)</f>
        <v/>
      </c>
      <c r="AS70" s="120" t="str">
        <f>IF(ISTEXT(VLOOKUP(CONCATENATE($A70,"_",AS$3),'Unit List'!$A$23:$H$3256,2,FALSE)),"X",$AP70)</f>
        <v/>
      </c>
      <c r="AT70" s="122" t="str">
        <f>IF(ISTEXT(VLOOKUP(CONCATENATE($A70,"_",AT$3),'Unit List'!$A$23:$H$3256,2,FALSE)),"X",$AP70)</f>
        <v/>
      </c>
      <c r="AU70" s="124" t="str">
        <f>IF(ISTEXT(VLOOKUP(CONCATENATE($A70,"_",AU$3),'Unit List'!$A$23:$H$3256,2,FALSE)),"+","")</f>
        <v/>
      </c>
      <c r="AV70" s="120" t="str">
        <f>IF(ISTEXT(VLOOKUP(CONCATENATE($A70,"_",AV$3),'Unit List'!$A$23:$H$3256,2,FALSE)),"X",$AU70)</f>
        <v/>
      </c>
      <c r="AW70" s="122" t="str">
        <f>IF(ISTEXT(VLOOKUP(CONCATENATE($A70,"_",AW$3),'Unit List'!$A$23:$H$3256,2,FALSE)),"X",$AU70)</f>
        <v/>
      </c>
      <c r="AX70" s="172" t="str">
        <f>IF(ISTEXT(VLOOKUP(CONCATENATE($A70,"_",AX$3),'Unit List'!$A$23:$H$3256,2,FALSE)),"+","")</f>
        <v/>
      </c>
      <c r="AY70" s="120" t="str">
        <f>IF(ISTEXT(VLOOKUP(CONCATENATE($A70,"_",AY$3),'Unit List'!$A$23:$H$3256,2,FALSE)),"X",$AX70)</f>
        <v/>
      </c>
      <c r="AZ70" s="122" t="str">
        <f>IF(ISTEXT(VLOOKUP(CONCATENATE($A70,"_",AZ$3),'Unit List'!$A$23:$H$3256,2,FALSE)),"X",$AX70)</f>
        <v/>
      </c>
      <c r="BA70" s="182" t="str">
        <f>IF(ISTEXT(VLOOKUP(CONCATENATE($A70,"_",BA$3),'Unit List'!$A$23:$H$3256,2,FALSE)),"+","")</f>
        <v/>
      </c>
      <c r="BB70" s="120" t="str">
        <f>IF(ISTEXT(VLOOKUP(CONCATENATE($A70,"_",BB$3),'Unit List'!$A$23:$H$3256,2,FALSE)),"X",$BA70)</f>
        <v/>
      </c>
      <c r="BC70" s="120" t="str">
        <f>IF(ISTEXT(VLOOKUP(CONCATENATE($A70,"_",BC$3),'Unit List'!$A$23:$H$3256,2,FALSE)),"X",$BA70)</f>
        <v/>
      </c>
      <c r="BD70" s="122" t="str">
        <f>IF(ISTEXT(VLOOKUP(CONCATENATE($A70,"_",BD$3),'Unit List'!$A$23:$H$3256,2,FALSE)),"X",$BA70)</f>
        <v/>
      </c>
      <c r="BE70" s="125" t="str">
        <f>IF(ISTEXT(VLOOKUP(CONCATENATE($A70,"_",BE$3),'Unit List'!$A$23:$H$3256,2,FALSE)),"+","")</f>
        <v/>
      </c>
      <c r="BF70" s="75" t="str">
        <f>IF(ISTEXT(VLOOKUP(CONCATENATE($A70,"_",BF$3),'Unit List'!$A$23:$H$3256,2,FALSE)),"X",$BE70)</f>
        <v/>
      </c>
      <c r="BG70" s="75"/>
      <c r="BH70" s="84"/>
      <c r="BI70" s="225"/>
      <c r="BJ70" s="226"/>
      <c r="BK70" s="226"/>
      <c r="BL70" s="226"/>
      <c r="BM70" s="227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List'!$A$23:$H$3256,2,FALSE)),"+","")</f>
        <v/>
      </c>
      <c r="C71" s="119" t="str">
        <f>IF(ISTEXT(VLOOKUP(CONCATENATE($A71,"_",C$3),'Unit List'!$A$23:$H$3256,2,FALSE)),"X",$B71)</f>
        <v/>
      </c>
      <c r="D71" s="120" t="str">
        <f>IF(ISTEXT(VLOOKUP(CONCATENATE($A71,"_",D$3),'Unit List'!$A$23:$H$3256,2,FALSE)),"X",$B71)</f>
        <v/>
      </c>
      <c r="E71" s="120" t="str">
        <f>IF(ISTEXT(VLOOKUP(CONCATENATE($A71,"_",E$3),'Unit List'!$A$23:$H$3256,2,FALSE)),"X",$B71)</f>
        <v/>
      </c>
      <c r="F71" s="120" t="str">
        <f>IF(ISTEXT(VLOOKUP(CONCATENATE($A71,"_",F$3),'Unit List'!$A$23:$H$3256,2,FALSE)),"X",$B71)</f>
        <v/>
      </c>
      <c r="G71" s="120" t="str">
        <f>IF(ISTEXT(VLOOKUP(CONCATENATE($A71,"_",G$3),'Unit List'!$A$23:$H$3256,2,FALSE)),"X",$B71)</f>
        <v/>
      </c>
      <c r="H71" s="120" t="str">
        <f>IF(ISTEXT(VLOOKUP(CONCATENATE($A71,"_",H$3),'Unit List'!$A$23:$H$3256,2,FALSE)),"X",$B71)</f>
        <v/>
      </c>
      <c r="I71" s="122" t="str">
        <f>IF(ISTEXT(VLOOKUP(CONCATENATE($A71,"_",I$3),'Unit List'!$A$23:$H$3256,2,FALSE)),"X",$B71)</f>
        <v/>
      </c>
      <c r="J71" s="172" t="str">
        <f>IF(ISTEXT(VLOOKUP(CONCATENATE($A71,"_",J$3),'Unit List'!$A$23:$H$3256,2,FALSE)),"+","")</f>
        <v/>
      </c>
      <c r="K71" s="120" t="str">
        <f>IF(ISTEXT(VLOOKUP(CONCATENATE($A71,"_",K$3),'Unit List'!$A$23:$H$3256,2,FALSE)),"X",$J71)</f>
        <v/>
      </c>
      <c r="L71" s="75" t="str">
        <f>IF(ISTEXT(VLOOKUP(CONCATENATE($A71,"_",L$3),'Unit List'!$A$23:$H$3256,2,FALSE)),"X",$J71)</f>
        <v/>
      </c>
      <c r="M71" s="172" t="str">
        <f>IF(ISTEXT(VLOOKUP(CONCATENATE($A71,"_",M$3),'Unit List'!$A$23:$H$3256,2,FALSE)),"+","")</f>
        <v/>
      </c>
      <c r="N71" s="120" t="str">
        <f>IF(ISTEXT(VLOOKUP(CONCATENATE($A71,"_",N$3),'Unit List'!$A$23:$H$3256,2,FALSE)),"X",$M71)</f>
        <v/>
      </c>
      <c r="O71" s="122" t="str">
        <f>IF(ISTEXT(VLOOKUP(CONCATENATE($A71,"_",O$3),'Unit List'!$A$23:$H$3256,2,FALSE)),"X",$M71)</f>
        <v/>
      </c>
      <c r="P71" s="172" t="str">
        <f>IF(ISTEXT(VLOOKUP(CONCATENATE($A71,"_",P$3),'Unit List'!$A$23:$H$3256,2,FALSE)),"+","")</f>
        <v/>
      </c>
      <c r="Q71" s="120" t="str">
        <f>IF(ISTEXT(VLOOKUP(CONCATENATE($A71,"_",Q$3),'Unit List'!$A$23:$H$3256,2,FALSE)),"X",$P71)</f>
        <v/>
      </c>
      <c r="R71" s="120" t="str">
        <f>IF(ISTEXT(VLOOKUP(CONCATENATE($A71,"_",R$3),'Unit List'!$A$23:$H$3256,2,FALSE)),"X",$P71)</f>
        <v/>
      </c>
      <c r="S71" s="120" t="str">
        <f>IF(ISTEXT(VLOOKUP(CONCATENATE($A71,"_",S$3),'Unit List'!$A$23:$H$3256,2,FALSE)),"X",$P71)</f>
        <v/>
      </c>
      <c r="T71" s="121" t="str">
        <f>IF(ISTEXT(VLOOKUP(CONCATENATE($A71,"_",T$3),'Unit List'!$A$23:$H$3256,2,FALSE)),"X",$P71)</f>
        <v/>
      </c>
      <c r="U71" s="120" t="str">
        <f>IF(ISTEXT(VLOOKUP(CONCATENATE($A71,"_",U$3),'Unit List'!$A$23:$H$3256,2,FALSE)),"X",$P71)</f>
        <v/>
      </c>
      <c r="V71" s="120" t="str">
        <f>IF(ISTEXT(VLOOKUP(CONCATENATE($A71,"_",V$3),'Unit List'!$A$23:$H$3256,2,FALSE)),"X",$P71)</f>
        <v/>
      </c>
      <c r="W71" s="122" t="str">
        <f>IF(ISTEXT(VLOOKUP(CONCATENATE($A71,"_",W$3),'Unit List'!$A$23:$H$3256,2,FALSE)),"X",$P71)</f>
        <v/>
      </c>
      <c r="X71" s="172" t="str">
        <f>IF(ISTEXT(VLOOKUP(CONCATENATE($A71,"_",X$3),'Unit List'!$A$23:$H$3256,2,FALSE)),"+","")</f>
        <v/>
      </c>
      <c r="Y71" s="120" t="str">
        <f>IF(ISTEXT(VLOOKUP(CONCATENATE($A71,"_",Y$3),'Unit List'!$A$23:$H$3256,2,FALSE)),"X",$X71)</f>
        <v/>
      </c>
      <c r="Z71" s="120" t="str">
        <f>IF(ISTEXT(VLOOKUP(CONCATENATE($A71,"_",Z$3),'Unit List'!$A$23:$H$3256,2,FALSE)),"X",$X71)</f>
        <v/>
      </c>
      <c r="AA71" s="120" t="str">
        <f>IF(ISTEXT(VLOOKUP(CONCATENATE($A71,"_",AA$3),'Unit List'!$A$23:$H$3256,2,FALSE)),"X",$X71)</f>
        <v/>
      </c>
      <c r="AB71" s="120" t="str">
        <f>IF(ISTEXT(VLOOKUP(CONCATENATE($A71,"_",AB$3),'Unit List'!$A$23:$H$3256,2,FALSE)),"X",$X71)</f>
        <v/>
      </c>
      <c r="AC71" s="75" t="str">
        <f>IF(ISTEXT(VLOOKUP(CONCATENATE($A71,"_",AC$3),'Unit List'!$A$23:$H$3256,2,FALSE)),"X",$X71)</f>
        <v/>
      </c>
      <c r="AD71" s="172" t="str">
        <f>IF(ISTEXT(VLOOKUP(CONCATENATE($A71,"_",AD$3),'Unit List'!$A$23:$H$3256,2,FALSE)),"+","")</f>
        <v/>
      </c>
      <c r="AE71" s="120" t="str">
        <f>IF(ISTEXT(VLOOKUP(CONCATENATE($A71,"_",AE$3),'Unit List'!$A$23:$H$3256,2,FALSE)),"X",$AD71)</f>
        <v/>
      </c>
      <c r="AF71" s="120" t="str">
        <f>IF(ISTEXT(VLOOKUP(CONCATENATE($A71,"_",AF$3),'Unit List'!$A$23:$H$3256,2,FALSE)),"X",$AD71)</f>
        <v/>
      </c>
      <c r="AG71" s="172" t="str">
        <f>IF(ISTEXT(VLOOKUP(CONCATENATE($A71,"_",AG$3),'Unit List'!$A$23:$H$3256,2,FALSE)),"+","")</f>
        <v/>
      </c>
      <c r="AH71" s="120" t="str">
        <f>IF(ISTEXT(VLOOKUP(CONCATENATE($A71,"_",AH$3),'Unit List'!$A$23:$H$3256,2,FALSE)),"X",$AG71)</f>
        <v/>
      </c>
      <c r="AI71" s="120" t="str">
        <f>IF(ISTEXT(VLOOKUP(CONCATENATE($A71,"_",AI$3),'Unit List'!$A$23:$H$3256,2,FALSE)),"X",$AG71)</f>
        <v/>
      </c>
      <c r="AJ71" s="122" t="str">
        <f>IF(ISTEXT(VLOOKUP(CONCATENATE($A71,"_",AJ$3),'Unit List'!$A$23:$H$3256,2,FALSE)),"X",$AG71)</f>
        <v/>
      </c>
      <c r="AK71" s="172" t="str">
        <f>IF(ISTEXT(VLOOKUP(CONCATENATE($A71,"_",AK$3),'Unit List'!$A$23:$H$3256,2,FALSE)),"+","")</f>
        <v/>
      </c>
      <c r="AL71" s="121" t="str">
        <f>IF(ISTEXT(VLOOKUP(CONCATENATE($A71,"_",AL$3),'Unit List'!$A$23:$H$3256,2,FALSE)),"X",$AK71)</f>
        <v/>
      </c>
      <c r="AM71" s="122" t="str">
        <f>IF(ISTEXT(VLOOKUP(CONCATENATE($A71,"_",AM$3),'Unit List'!$A$23:$H$3256,2,FALSE)),"X",$AK71)</f>
        <v/>
      </c>
      <c r="AN71" s="125" t="str">
        <f>IF(ISTEXT(VLOOKUP(CONCATENATE($A71,"_",AN$3),'Unit List'!$A$23:$H$3256,2,FALSE)),"+","")</f>
        <v/>
      </c>
      <c r="AO71" s="122" t="str">
        <f>IF(ISTEXT(VLOOKUP(CONCATENATE($A71,"_",AO$3),'Unit List'!$A$23:$H$3256,2,FALSE)),"X",$AN71)</f>
        <v/>
      </c>
      <c r="AP71" s="172" t="str">
        <f>IF(ISTEXT(VLOOKUP(CONCATENATE($A71,"_",AP$3),'Unit List'!$A$23:$H$3256,2,FALSE)),"+","")</f>
        <v/>
      </c>
      <c r="AQ71" s="120" t="str">
        <f>IF(ISTEXT(VLOOKUP(CONCATENATE($A71,"_",AQ$3),'Unit List'!$A$23:$H$3256,2,FALSE)),"X",$AP71)</f>
        <v/>
      </c>
      <c r="AR71" s="120" t="str">
        <f>IF(ISTEXT(VLOOKUP(CONCATENATE($A71,"_",AR$3),'Unit List'!$A$23:$H$3256,2,FALSE)),"X",$AP71)</f>
        <v/>
      </c>
      <c r="AS71" s="120" t="str">
        <f>IF(ISTEXT(VLOOKUP(CONCATENATE($A71,"_",AS$3),'Unit List'!$A$23:$H$3256,2,FALSE)),"X",$AP71)</f>
        <v/>
      </c>
      <c r="AT71" s="122" t="str">
        <f>IF(ISTEXT(VLOOKUP(CONCATENATE($A71,"_",AT$3),'Unit List'!$A$23:$H$3256,2,FALSE)),"X",$AP71)</f>
        <v/>
      </c>
      <c r="AU71" s="124" t="str">
        <f>IF(ISTEXT(VLOOKUP(CONCATENATE($A71,"_",AU$3),'Unit List'!$A$23:$H$3256,2,FALSE)),"+","")</f>
        <v/>
      </c>
      <c r="AV71" s="120" t="str">
        <f>IF(ISTEXT(VLOOKUP(CONCATENATE($A71,"_",AV$3),'Unit List'!$A$23:$H$3256,2,FALSE)),"X",$AU71)</f>
        <v/>
      </c>
      <c r="AW71" s="122" t="str">
        <f>IF(ISTEXT(VLOOKUP(CONCATENATE($A71,"_",AW$3),'Unit List'!$A$23:$H$3256,2,FALSE)),"X",$AU71)</f>
        <v/>
      </c>
      <c r="AX71" s="172" t="str">
        <f>IF(ISTEXT(VLOOKUP(CONCATENATE($A71,"_",AX$3),'Unit List'!$A$23:$H$3256,2,FALSE)),"+","")</f>
        <v/>
      </c>
      <c r="AY71" s="120" t="str">
        <f>IF(ISTEXT(VLOOKUP(CONCATENATE($A71,"_",AY$3),'Unit List'!$A$23:$H$3256,2,FALSE)),"X",$AX71)</f>
        <v/>
      </c>
      <c r="AZ71" s="122" t="str">
        <f>IF(ISTEXT(VLOOKUP(CONCATENATE($A71,"_",AZ$3),'Unit List'!$A$23:$H$3256,2,FALSE)),"X",$AX71)</f>
        <v/>
      </c>
      <c r="BA71" s="182" t="str">
        <f>IF(ISTEXT(VLOOKUP(CONCATENATE($A71,"_",BA$3),'Unit List'!$A$23:$H$3256,2,FALSE)),"+","")</f>
        <v/>
      </c>
      <c r="BB71" s="120" t="str">
        <f>IF(ISTEXT(VLOOKUP(CONCATENATE($A71,"_",BB$3),'Unit List'!$A$23:$H$3256,2,FALSE)),"X",$BA71)</f>
        <v/>
      </c>
      <c r="BC71" s="120" t="str">
        <f>IF(ISTEXT(VLOOKUP(CONCATENATE($A71,"_",BC$3),'Unit List'!$A$23:$H$3256,2,FALSE)),"X",$BA71)</f>
        <v/>
      </c>
      <c r="BD71" s="122" t="str">
        <f>IF(ISTEXT(VLOOKUP(CONCATENATE($A71,"_",BD$3),'Unit List'!$A$23:$H$3256,2,FALSE)),"X",$BA71)</f>
        <v/>
      </c>
      <c r="BE71" s="125" t="str">
        <f>IF(ISTEXT(VLOOKUP(CONCATENATE($A71,"_",BE$3),'Unit List'!$A$23:$H$3256,2,FALSE)),"+","")</f>
        <v/>
      </c>
      <c r="BF71" s="75" t="str">
        <f>IF(ISTEXT(VLOOKUP(CONCATENATE($A71,"_",BF$3),'Unit List'!$A$23:$H$3256,2,FALSE)),"X",$BE71)</f>
        <v/>
      </c>
      <c r="BG71" s="75"/>
      <c r="BH71" s="84"/>
      <c r="BI71" s="225"/>
      <c r="BJ71" s="226"/>
      <c r="BK71" s="226"/>
      <c r="BL71" s="226"/>
      <c r="BM71" s="227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List'!$A$23:$H$3256,2,FALSE)),"+","")</f>
        <v/>
      </c>
      <c r="C72" s="130" t="str">
        <f>IF(ISTEXT(VLOOKUP(CONCATENATE($A72,"_",C$3),'Unit List'!$A$23:$H$3256,2,FALSE)),"X",$B72)</f>
        <v/>
      </c>
      <c r="D72" s="131" t="str">
        <f>IF(ISTEXT(VLOOKUP(CONCATENATE($A72,"_",D$3),'Unit List'!$A$23:$H$3256,2,FALSE)),"X",$B72)</f>
        <v/>
      </c>
      <c r="E72" s="131" t="str">
        <f>IF(ISTEXT(VLOOKUP(CONCATENATE($A72,"_",E$3),'Unit List'!$A$23:$H$3256,2,FALSE)),"X",$B72)</f>
        <v/>
      </c>
      <c r="F72" s="131" t="str">
        <f>IF(ISTEXT(VLOOKUP(CONCATENATE($A72,"_",F$3),'Unit List'!$A$23:$H$3256,2,FALSE)),"X",$B72)</f>
        <v/>
      </c>
      <c r="G72" s="131" t="str">
        <f>IF(ISTEXT(VLOOKUP(CONCATENATE($A72,"_",G$3),'Unit List'!$A$23:$H$3256,2,FALSE)),"X",$B72)</f>
        <v/>
      </c>
      <c r="H72" s="131" t="str">
        <f>IF(ISTEXT(VLOOKUP(CONCATENATE($A72,"_",H$3),'Unit List'!$A$23:$H$3256,2,FALSE)),"X",$B72)</f>
        <v/>
      </c>
      <c r="I72" s="132" t="str">
        <f>IF(ISTEXT(VLOOKUP(CONCATENATE($A72,"_",I$3),'Unit List'!$A$23:$H$3256,2,FALSE)),"X",$B72)</f>
        <v/>
      </c>
      <c r="J72" s="173" t="str">
        <f>IF(ISTEXT(VLOOKUP(CONCATENATE($A72,"_",J$3),'Unit List'!$A$23:$H$3256,2,FALSE)),"+","")</f>
        <v/>
      </c>
      <c r="K72" s="131" t="str">
        <f>IF(ISTEXT(VLOOKUP(CONCATENATE($A72,"_",K$3),'Unit List'!$A$23:$H$3256,2,FALSE)),"X",$J72)</f>
        <v/>
      </c>
      <c r="L72" s="116" t="str">
        <f>IF(ISTEXT(VLOOKUP(CONCATENATE($A72,"_",L$3),'Unit List'!$A$23:$H$3256,2,FALSE)),"X",$J72)</f>
        <v/>
      </c>
      <c r="M72" s="173" t="str">
        <f>IF(ISTEXT(VLOOKUP(CONCATENATE($A72,"_",M$3),'Unit List'!$A$23:$H$3256,2,FALSE)),"+","")</f>
        <v/>
      </c>
      <c r="N72" s="131" t="str">
        <f>IF(ISTEXT(VLOOKUP(CONCATENATE($A72,"_",N$3),'Unit List'!$A$23:$H$3256,2,FALSE)),"X",$M72)</f>
        <v/>
      </c>
      <c r="O72" s="132" t="str">
        <f>IF(ISTEXT(VLOOKUP(CONCATENATE($A72,"_",O$3),'Unit List'!$A$23:$H$3256,2,FALSE)),"X",$M72)</f>
        <v/>
      </c>
      <c r="P72" s="173" t="str">
        <f>IF(ISTEXT(VLOOKUP(CONCATENATE($A72,"_",P$3),'Unit List'!$A$23:$H$3256,2,FALSE)),"+","")</f>
        <v/>
      </c>
      <c r="Q72" s="131" t="str">
        <f>IF(ISTEXT(VLOOKUP(CONCATENATE($A72,"_",Q$3),'Unit List'!$A$23:$H$3256,2,FALSE)),"X",$P72)</f>
        <v/>
      </c>
      <c r="R72" s="131" t="str">
        <f>IF(ISTEXT(VLOOKUP(CONCATENATE($A72,"_",R$3),'Unit List'!$A$23:$H$3256,2,FALSE)),"X",$P72)</f>
        <v/>
      </c>
      <c r="S72" s="131" t="str">
        <f>IF(ISTEXT(VLOOKUP(CONCATENATE($A72,"_",S$3),'Unit List'!$A$23:$H$3256,2,FALSE)),"X",$P72)</f>
        <v/>
      </c>
      <c r="T72" s="133" t="str">
        <f>IF(ISTEXT(VLOOKUP(CONCATENATE($A72,"_",T$3),'Unit List'!$A$23:$H$3256,2,FALSE)),"X",$P72)</f>
        <v/>
      </c>
      <c r="U72" s="131" t="str">
        <f>IF(ISTEXT(VLOOKUP(CONCATENATE($A72,"_",U$3),'Unit List'!$A$23:$H$3256,2,FALSE)),"X",$P72)</f>
        <v/>
      </c>
      <c r="V72" s="131" t="str">
        <f>IF(ISTEXT(VLOOKUP(CONCATENATE($A72,"_",V$3),'Unit List'!$A$23:$H$3256,2,FALSE)),"X",$P72)</f>
        <v/>
      </c>
      <c r="W72" s="132" t="str">
        <f>IF(ISTEXT(VLOOKUP(CONCATENATE($A72,"_",W$3),'Unit List'!$A$23:$H$3256,2,FALSE)),"X",$P72)</f>
        <v/>
      </c>
      <c r="X72" s="173" t="str">
        <f>IF(ISTEXT(VLOOKUP(CONCATENATE($A72,"_",X$3),'Unit List'!$A$23:$H$3256,2,FALSE)),"+","")</f>
        <v/>
      </c>
      <c r="Y72" s="131" t="str">
        <f>IF(ISTEXT(VLOOKUP(CONCATENATE($A72,"_",Y$3),'Unit List'!$A$23:$H$3256,2,FALSE)),"X",$X72)</f>
        <v/>
      </c>
      <c r="Z72" s="131" t="str">
        <f>IF(ISTEXT(VLOOKUP(CONCATENATE($A72,"_",Z$3),'Unit List'!$A$23:$H$3256,2,FALSE)),"X",$X72)</f>
        <v/>
      </c>
      <c r="AA72" s="131" t="str">
        <f>IF(ISTEXT(VLOOKUP(CONCATENATE($A72,"_",AA$3),'Unit List'!$A$23:$H$3256,2,FALSE)),"X",$X72)</f>
        <v/>
      </c>
      <c r="AB72" s="131" t="str">
        <f>IF(ISTEXT(VLOOKUP(CONCATENATE($A72,"_",AB$3),'Unit List'!$A$23:$H$3256,2,FALSE)),"X",$X72)</f>
        <v/>
      </c>
      <c r="AC72" s="116" t="str">
        <f>IF(ISTEXT(VLOOKUP(CONCATENATE($A72,"_",AC$3),'Unit List'!$A$23:$H$3256,2,FALSE)),"X",$X72)</f>
        <v/>
      </c>
      <c r="AD72" s="173" t="str">
        <f>IF(ISTEXT(VLOOKUP(CONCATENATE($A72,"_",AD$3),'Unit List'!$A$23:$H$3256,2,FALSE)),"+","")</f>
        <v/>
      </c>
      <c r="AE72" s="131" t="str">
        <f>IF(ISTEXT(VLOOKUP(CONCATENATE($A72,"_",AE$3),'Unit List'!$A$23:$H$3256,2,FALSE)),"X",$AD72)</f>
        <v/>
      </c>
      <c r="AF72" s="132" t="str">
        <f>IF(ISTEXT(VLOOKUP(CONCATENATE($A72,"_",AF$3),'Unit List'!$A$23:$H$3256,2,FALSE)),"X",$AD72)</f>
        <v/>
      </c>
      <c r="AG72" s="173" t="str">
        <f>IF(ISTEXT(VLOOKUP(CONCATENATE($A72,"_",AG$3),'Unit List'!$A$23:$H$3256,2,FALSE)),"+","")</f>
        <v/>
      </c>
      <c r="AH72" s="131" t="str">
        <f>IF(ISTEXT(VLOOKUP(CONCATENATE($A72,"_",AH$3),'Unit List'!$A$23:$H$3256,2,FALSE)),"X",$AG72)</f>
        <v/>
      </c>
      <c r="AI72" s="131" t="str">
        <f>IF(ISTEXT(VLOOKUP(CONCATENATE($A72,"_",AI$3),'Unit List'!$A$23:$H$3256,2,FALSE)),"X",$AG72)</f>
        <v/>
      </c>
      <c r="AJ72" s="132" t="str">
        <f>IF(ISTEXT(VLOOKUP(CONCATENATE($A72,"_",AJ$3),'Unit List'!$A$23:$H$3256,2,FALSE)),"X",$AG72)</f>
        <v/>
      </c>
      <c r="AK72" s="173" t="str">
        <f>IF(ISTEXT(VLOOKUP(CONCATENATE($A72,"_",AK$3),'Unit List'!$A$23:$H$3256,2,FALSE)),"+","")</f>
        <v/>
      </c>
      <c r="AL72" s="133" t="str">
        <f>IF(ISTEXT(VLOOKUP(CONCATENATE($A72,"_",AL$3),'Unit List'!$A$23:$H$3256,2,FALSE)),"X",$AK72)</f>
        <v/>
      </c>
      <c r="AM72" s="132" t="str">
        <f>IF(ISTEXT(VLOOKUP(CONCATENATE($A72,"_",AM$3),'Unit List'!$A$23:$H$3256,2,FALSE)),"X",$AK72)</f>
        <v/>
      </c>
      <c r="AN72" s="186" t="str">
        <f>IF(ISTEXT(VLOOKUP(CONCATENATE($A72,"_",AN$3),'Unit List'!$A$23:$H$3256,2,FALSE)),"+","")</f>
        <v/>
      </c>
      <c r="AO72" s="132" t="str">
        <f>IF(ISTEXT(VLOOKUP(CONCATENATE($A72,"_",AO$3),'Unit List'!$A$23:$H$3256,2,FALSE)),"X",$AN72)</f>
        <v/>
      </c>
      <c r="AP72" s="173" t="str">
        <f>IF(ISTEXT(VLOOKUP(CONCATENATE($A72,"_",AP$3),'Unit List'!$A$23:$H$3256,2,FALSE)),"+","")</f>
        <v/>
      </c>
      <c r="AQ72" s="131" t="str">
        <f>IF(ISTEXT(VLOOKUP(CONCATENATE($A72,"_",AQ$3),'Unit List'!$A$23:$H$3256,2,FALSE)),"X",$AP72)</f>
        <v/>
      </c>
      <c r="AR72" s="131" t="str">
        <f>IF(ISTEXT(VLOOKUP(CONCATENATE($A72,"_",AR$3),'Unit List'!$A$23:$H$3256,2,FALSE)),"X",$AP72)</f>
        <v/>
      </c>
      <c r="AS72" s="131" t="str">
        <f>IF(ISTEXT(VLOOKUP(CONCATENATE($A72,"_",AS$3),'Unit List'!$A$23:$H$3256,2,FALSE)),"X",$AP72)</f>
        <v/>
      </c>
      <c r="AT72" s="132" t="str">
        <f>IF(ISTEXT(VLOOKUP(CONCATENATE($A72,"_",AT$3),'Unit List'!$A$23:$H$3256,2,FALSE)),"X",$AP72)</f>
        <v/>
      </c>
      <c r="AU72" s="187" t="str">
        <f>IF(ISTEXT(VLOOKUP(CONCATENATE($A72,"_",AU$3),'Unit List'!$A$23:$H$3256,2,FALSE)),"+","")</f>
        <v/>
      </c>
      <c r="AV72" s="131" t="str">
        <f>IF(ISTEXT(VLOOKUP(CONCATENATE($A72,"_",AV$3),'Unit List'!$A$23:$H$3256,2,FALSE)),"X",$AU72)</f>
        <v/>
      </c>
      <c r="AW72" s="132" t="str">
        <f>IF(ISTEXT(VLOOKUP(CONCATENATE($A72,"_",AW$3),'Unit List'!$A$23:$H$3256,2,FALSE)),"X",$AU72)</f>
        <v/>
      </c>
      <c r="AX72" s="173" t="str">
        <f>IF(ISTEXT(VLOOKUP(CONCATENATE($A72,"_",AX$3),'Unit List'!$A$23:$H$3256,2,FALSE)),"+","")</f>
        <v/>
      </c>
      <c r="AY72" s="131" t="str">
        <f>IF(ISTEXT(VLOOKUP(CONCATENATE($A72,"_",AY$3),'Unit List'!$A$23:$H$3256,2,FALSE)),"X",$AX72)</f>
        <v/>
      </c>
      <c r="AZ72" s="132" t="str">
        <f>IF(ISTEXT(VLOOKUP(CONCATENATE($A72,"_",AZ$3),'Unit List'!$A$23:$H$3256,2,FALSE)),"X",$AX72)</f>
        <v/>
      </c>
      <c r="BA72" s="188" t="str">
        <f>IF(ISTEXT(VLOOKUP(CONCATENATE($A72,"_",BA$3),'Unit List'!$A$23:$H$3256,2,FALSE)),"+","")</f>
        <v/>
      </c>
      <c r="BB72" s="131" t="str">
        <f>IF(ISTEXT(VLOOKUP(CONCATENATE($A72,"_",BB$3),'Unit List'!$A$23:$H$3256,2,FALSE)),"X",$BA72)</f>
        <v/>
      </c>
      <c r="BC72" s="131" t="str">
        <f>IF(ISTEXT(VLOOKUP(CONCATENATE($A72,"_",BC$3),'Unit List'!$A$23:$H$3256,2,FALSE)),"X",$BA72)</f>
        <v/>
      </c>
      <c r="BD72" s="132" t="str">
        <f>IF(ISTEXT(VLOOKUP(CONCATENATE($A72,"_",BD$3),'Unit List'!$A$23:$H$3256,2,FALSE)),"X",$BA72)</f>
        <v/>
      </c>
      <c r="BE72" s="186" t="str">
        <f>IF(ISTEXT(VLOOKUP(CONCATENATE($A72,"_",BE$3),'Unit List'!$A$23:$H$3256,2,FALSE)),"+","")</f>
        <v/>
      </c>
      <c r="BF72" s="116" t="str">
        <f>IF(ISTEXT(VLOOKUP(CONCATENATE($A72,"_",BF$3),'Unit List'!$A$23:$H$3256,2,FALSE)),"X",$BE72)</f>
        <v/>
      </c>
      <c r="BG72" s="116"/>
      <c r="BH72" s="117"/>
      <c r="BI72" s="235"/>
      <c r="BJ72" s="238"/>
      <c r="BK72" s="238"/>
      <c r="BL72" s="238"/>
      <c r="BM72" s="239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1910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List'!$A$23:$H$3256,2,FALSE)),"+","")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40"/>
      <c r="BJ73" s="241"/>
      <c r="BK73" s="241"/>
      <c r="BL73" s="241"/>
      <c r="BM73" s="242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List'!$A$23:$H$3256,2,FALSE)),"+","")</f>
        <v/>
      </c>
      <c r="C74" s="119" t="str">
        <f>IF(ISTEXT(VLOOKUP(CONCATENATE($A74,"_",C$3),'Unit List'!$A$23:$H$3256,2,FALSE)),"X",$B74)</f>
        <v/>
      </c>
      <c r="D74" s="120" t="str">
        <f>IF(ISTEXT(VLOOKUP(CONCATENATE($A74,"_",D$3),'Unit List'!$A$23:$H$3256,2,FALSE)),"X",$B74)</f>
        <v/>
      </c>
      <c r="E74" s="120" t="str">
        <f>IF(ISTEXT(VLOOKUP(CONCATENATE($A74,"_",E$3),'Unit List'!$A$23:$H$3256,2,FALSE)),"X",$B74)</f>
        <v/>
      </c>
      <c r="F74" s="120" t="str">
        <f>IF(ISTEXT(VLOOKUP(CONCATENATE($A74,"_",F$3),'Unit List'!$A$23:$H$3256,2,FALSE)),"X",$B74)</f>
        <v/>
      </c>
      <c r="G74" s="120" t="str">
        <f>IF(ISTEXT(VLOOKUP(CONCATENATE($A74,"_",G$3),'Unit List'!$A$23:$H$3256,2,FALSE)),"X",$B74)</f>
        <v/>
      </c>
      <c r="H74" s="120" t="str">
        <f>IF(ISTEXT(VLOOKUP(CONCATENATE($A74,"_",H$3),'Unit List'!$A$23:$H$3256,2,FALSE)),"X",$B74)</f>
        <v/>
      </c>
      <c r="I74" s="122" t="str">
        <f>IF(ISTEXT(VLOOKUP(CONCATENATE($A74,"_",I$3),'Unit List'!$A$23:$H$3256,2,FALSE)),"X",$B74)</f>
        <v/>
      </c>
      <c r="J74" s="171" t="str">
        <f>IF(ISTEXT(VLOOKUP(CONCATENATE($A74,"_",J$3),'Unit List'!$A$23:$H$3256,2,FALSE)),"+","")</f>
        <v/>
      </c>
      <c r="K74" s="134" t="s">
        <v>0</v>
      </c>
      <c r="L74" s="75" t="str">
        <f>IF(ISTEXT(VLOOKUP(CONCATENATE($A74,"_",L$3),'Unit List'!$A$23:$H$3256,2,FALSE)),"X",$J74)</f>
        <v/>
      </c>
      <c r="M74" s="171" t="str">
        <f>IF(ISTEXT(VLOOKUP(CONCATENATE($A74,"_",M$3),'Unit List'!$A$23:$H$3256,2,FALSE)),"+","")</f>
        <v/>
      </c>
      <c r="N74" s="120" t="str">
        <f>IF(ISTEXT(VLOOKUP(CONCATENATE($A74,"_",N$3),'Unit List'!$A$23:$H$3256,2,FALSE)),"X",$M74)</f>
        <v/>
      </c>
      <c r="O74" s="122" t="str">
        <f>IF(ISTEXT(VLOOKUP(CONCATENATE($A74,"_",O$3),'Unit List'!$A$23:$H$3256,2,FALSE)),"X",$M74)</f>
        <v/>
      </c>
      <c r="P74" s="172" t="str">
        <f>IF(ISTEXT(VLOOKUP(CONCATENATE($A74,"_",P$3),'Unit List'!$A$23:$H$3256,2,FALSE)),"+","")</f>
        <v/>
      </c>
      <c r="Q74" s="120" t="str">
        <f>IF(ISTEXT(VLOOKUP(CONCATENATE($A74,"_",Q$3),'Unit List'!$A$23:$H$3256,2,FALSE)),"X",$P74)</f>
        <v/>
      </c>
      <c r="R74" s="120" t="str">
        <f>IF(ISTEXT(VLOOKUP(CONCATENATE($A74,"_",R$3),'Unit List'!$A$23:$H$3256,2,FALSE)),"X",$P74)</f>
        <v/>
      </c>
      <c r="S74" s="120" t="str">
        <f>IF(ISTEXT(VLOOKUP(CONCATENATE($A74,"_",S$3),'Unit List'!$A$23:$H$3256,2,FALSE)),"X",$P74)</f>
        <v/>
      </c>
      <c r="T74" s="121" t="str">
        <f>IF(ISTEXT(VLOOKUP(CONCATENATE($A74,"_",T$3),'Unit List'!$A$23:$H$3256,2,FALSE)),"X",$P74)</f>
        <v/>
      </c>
      <c r="U74" s="120" t="str">
        <f>IF(ISTEXT(VLOOKUP(CONCATENATE($A74,"_",U$3),'Unit List'!$A$23:$H$3256,2,FALSE)),"X",$P74)</f>
        <v/>
      </c>
      <c r="V74" s="120" t="str">
        <f>IF(ISTEXT(VLOOKUP(CONCATENATE($A74,"_",V$3),'Unit List'!$A$23:$H$3256,2,FALSE)),"X",$P74)</f>
        <v/>
      </c>
      <c r="W74" s="122" t="str">
        <f>IF(ISTEXT(VLOOKUP(CONCATENATE($A74,"_",W$3),'Unit List'!$A$23:$H$3256,2,FALSE)),"X",$P74)</f>
        <v/>
      </c>
      <c r="X74" s="172" t="str">
        <f>IF(ISTEXT(VLOOKUP(CONCATENATE($A74,"_",X$3),'Unit List'!$A$23:$H$3256,2,FALSE)),"+","")</f>
        <v/>
      </c>
      <c r="Y74" s="120" t="str">
        <f>IF(ISTEXT(VLOOKUP(CONCATENATE($A74,"_",Y$3),'Unit List'!$A$23:$H$3256,2,FALSE)),"X",$X74)</f>
        <v/>
      </c>
      <c r="Z74" s="120" t="str">
        <f>IF(ISTEXT(VLOOKUP(CONCATENATE($A74,"_",Z$3),'Unit List'!$A$23:$H$3256,2,FALSE)),"X",$X74)</f>
        <v/>
      </c>
      <c r="AA74" s="120" t="str">
        <f>IF(ISTEXT(VLOOKUP(CONCATENATE($A74,"_",AA$3),'Unit List'!$A$23:$H$3256,2,FALSE)),"X",$X74)</f>
        <v/>
      </c>
      <c r="AB74" s="120" t="str">
        <f>IF(ISTEXT(VLOOKUP(CONCATENATE($A74,"_",AB$3),'Unit List'!$A$23:$H$3256,2,FALSE)),"X",$X74)</f>
        <v/>
      </c>
      <c r="AC74" s="75" t="str">
        <f>IF(ISTEXT(VLOOKUP(CONCATENATE($A74,"_",AC$3),'Unit List'!$A$23:$H$3256,2,FALSE)),"X",$X74)</f>
        <v/>
      </c>
      <c r="AD74" s="171" t="str">
        <f>IF(ISTEXT(VLOOKUP(CONCATENATE($A74,"_",AD$3),'Unit List'!$A$23:$H$3256,2,FALSE)),"+","")</f>
        <v/>
      </c>
      <c r="AE74" s="120" t="str">
        <f>IF(ISTEXT(VLOOKUP(CONCATENATE($A74,"_",AE$3),'Unit List'!$A$23:$H$3256,2,FALSE)),"X",$AD74)</f>
        <v/>
      </c>
      <c r="AF74" s="120" t="str">
        <f>IF(ISTEXT(VLOOKUP(CONCATENATE($A74,"_",AF$3),'Unit List'!$A$23:$H$3256,2,FALSE)),"X",$AD74)</f>
        <v/>
      </c>
      <c r="AG74" s="171" t="str">
        <f>IF(ISTEXT(VLOOKUP(CONCATENATE($A74,"_",AG$3),'Unit List'!$A$23:$H$3256,2,FALSE)),"+","")</f>
        <v/>
      </c>
      <c r="AH74" s="120" t="str">
        <f>IF(ISTEXT(VLOOKUP(CONCATENATE($A74,"_",AH$3),'Unit List'!$A$23:$H$3256,2,FALSE)),"X",$AG74)</f>
        <v/>
      </c>
      <c r="AI74" s="120" t="str">
        <f>IF(ISTEXT(VLOOKUP(CONCATENATE($A74,"_",AI$3),'Unit List'!$A$23:$H$3256,2,FALSE)),"X",$AG74)</f>
        <v/>
      </c>
      <c r="AJ74" s="122" t="str">
        <f>IF(ISTEXT(VLOOKUP(CONCATENATE($A74,"_",AJ$3),'Unit List'!$A$23:$H$3256,2,FALSE)),"X",$AG74)</f>
        <v/>
      </c>
      <c r="AK74" s="172" t="str">
        <f>IF(ISTEXT(VLOOKUP(CONCATENATE($A74,"_",AK$3),'Unit List'!$A$23:$H$3256,2,FALSE)),"+","")</f>
        <v/>
      </c>
      <c r="AL74" s="121" t="str">
        <f>IF(ISTEXT(VLOOKUP(CONCATENATE($A74,"_",AL$3),'Unit List'!$A$23:$H$3256,2,FALSE)),"X",$AK74)</f>
        <v/>
      </c>
      <c r="AM74" s="122" t="str">
        <f>IF(ISTEXT(VLOOKUP(CONCATENATE($A74,"_",AM$3),'Unit List'!$A$23:$H$3256,2,FALSE)),"X",$AK74)</f>
        <v/>
      </c>
      <c r="AN74" s="125" t="str">
        <f>IF(ISTEXT(VLOOKUP(CONCATENATE($A74,"_",AN$3),'Unit List'!$A$23:$H$3256,2,FALSE)),"+","")</f>
        <v/>
      </c>
      <c r="AO74" s="122" t="str">
        <f>IF(ISTEXT(VLOOKUP(CONCATENATE($A74,"_",AO$3),'Unit List'!$A$23:$H$3256,2,FALSE)),"X",$AN74)</f>
        <v/>
      </c>
      <c r="AP74" s="171" t="str">
        <f>IF(ISTEXT(VLOOKUP(CONCATENATE($A74,"_",AP$3),'Unit List'!$A$23:$H$3256,2,FALSE)),"+","")</f>
        <v/>
      </c>
      <c r="AQ74" s="120" t="str">
        <f>IF(ISTEXT(VLOOKUP(CONCATENATE($A74,"_",AQ$3),'Unit List'!$A$23:$H$3256,2,FALSE)),"X",$AP74)</f>
        <v/>
      </c>
      <c r="AR74" s="120" t="str">
        <f>IF(ISTEXT(VLOOKUP(CONCATENATE($A74,"_",AR$3),'Unit List'!$A$23:$H$3256,2,FALSE)),"X",$AP74)</f>
        <v/>
      </c>
      <c r="AS74" s="120" t="str">
        <f>IF(ISTEXT(VLOOKUP(CONCATENATE($A74,"_",AS$3),'Unit List'!$A$23:$H$3256,2,FALSE)),"X",$AP74)</f>
        <v/>
      </c>
      <c r="AT74" s="122" t="str">
        <f>IF(ISTEXT(VLOOKUP(CONCATENATE($A74,"_",AT$3),'Unit List'!$A$23:$H$3256,2,FALSE)),"X",$AP74)</f>
        <v/>
      </c>
      <c r="AU74" s="124" t="str">
        <f>IF(ISTEXT(VLOOKUP(CONCATENATE($A74,"_",AU$3),'Unit List'!$A$23:$H$3256,2,FALSE)),"+","")</f>
        <v/>
      </c>
      <c r="AV74" s="120" t="str">
        <f>IF(ISTEXT(VLOOKUP(CONCATENATE($A74,"_",AV$3),'Unit List'!$A$23:$H$3256,2,FALSE)),"X",$AU74)</f>
        <v/>
      </c>
      <c r="AW74" s="122" t="str">
        <f>IF(ISTEXT(VLOOKUP(CONCATENATE($A74,"_",AW$3),'Unit List'!$A$23:$H$3256,2,FALSE)),"X",$AU74)</f>
        <v/>
      </c>
      <c r="AX74" s="171" t="str">
        <f>IF(ISTEXT(VLOOKUP(CONCATENATE($A74,"_",AX$3),'Unit List'!$A$23:$H$3256,2,FALSE)),"+","")</f>
        <v/>
      </c>
      <c r="AY74" s="120" t="str">
        <f>IF(ISTEXT(VLOOKUP(CONCATENATE($A74,"_",AY$3),'Unit List'!$A$23:$H$3256,2,FALSE)),"X",$AX74)</f>
        <v/>
      </c>
      <c r="AZ74" s="122" t="str">
        <f>IF(ISTEXT(VLOOKUP(CONCATENATE($A74,"_",AZ$3),'Unit List'!$A$23:$H$3256,2,FALSE)),"X",$AX74)</f>
        <v/>
      </c>
      <c r="BA74" s="182" t="str">
        <f>IF(ISTEXT(VLOOKUP(CONCATENATE($A74,"_",BA$3),'Unit List'!$A$23:$H$3256,2,FALSE)),"+","")</f>
        <v/>
      </c>
      <c r="BB74" s="178" t="str">
        <f>IF(ISTEXT(VLOOKUP(CONCATENATE($A74,"_",BB$3),'Unit List'!$A$23:$H$3256,2,FALSE)),"X",$BA74)</f>
        <v/>
      </c>
      <c r="BC74" s="178" t="str">
        <f>IF(ISTEXT(VLOOKUP(CONCATENATE($A74,"_",BC$3),'Unit List'!$A$23:$H$3256,2,FALSE)),"X",$BA74)</f>
        <v/>
      </c>
      <c r="BD74" s="122" t="str">
        <f>IF(ISTEXT(VLOOKUP(CONCATENATE($A74,"_",BD$3),'Unit List'!$A$23:$H$3256,2,FALSE)),"X",$BA74)</f>
        <v/>
      </c>
      <c r="BE74" s="125" t="str">
        <f>IF(ISTEXT(VLOOKUP(CONCATENATE($A74,"_",BE$3),'Unit List'!$A$23:$H$3256,2,FALSE)),"+","")</f>
        <v/>
      </c>
      <c r="BF74" s="135" t="s">
        <v>0</v>
      </c>
      <c r="BG74" s="75"/>
      <c r="BH74" s="65" t="s">
        <v>0</v>
      </c>
      <c r="BI74" s="225"/>
      <c r="BJ74" s="226"/>
      <c r="BK74" s="226"/>
      <c r="BL74" s="226"/>
      <c r="BM74" s="227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List'!$A$23:$H$3256,2,FALSE)),"+","")</f>
        <v/>
      </c>
      <c r="C75" s="180" t="str">
        <f>IF(ISTEXT(VLOOKUP(CONCATENATE($A75,"_",C$3),'Unit List'!$A$23:$H$3256,2,FALSE)),"X",$B75)</f>
        <v/>
      </c>
      <c r="D75" s="120" t="str">
        <f>IF(ISTEXT(VLOOKUP(CONCATENATE($A75,"_",D$3),'Unit List'!$A$23:$H$3256,2,FALSE)),"X",$B75)</f>
        <v/>
      </c>
      <c r="E75" s="120" t="str">
        <f>IF(ISTEXT(VLOOKUP(CONCATENATE($A75,"_",E$3),'Unit List'!$A$23:$H$3256,2,FALSE)),"X",$B75)</f>
        <v/>
      </c>
      <c r="F75" s="120" t="str">
        <f>IF(ISTEXT(VLOOKUP(CONCATENATE($A75,"_",F$3),'Unit List'!$A$23:$H$3256,2,FALSE)),"X",$B75)</f>
        <v/>
      </c>
      <c r="G75" s="120" t="str">
        <f>IF(ISTEXT(VLOOKUP(CONCATENATE($A75,"_",G$3),'Unit List'!$A$23:$H$3256,2,FALSE)),"X",$B75)</f>
        <v/>
      </c>
      <c r="H75" s="120" t="str">
        <f>IF(ISTEXT(VLOOKUP(CONCATENATE($A75,"_",H$3),'Unit List'!$A$23:$H$3256,2,FALSE)),"X",$B75)</f>
        <v/>
      </c>
      <c r="I75" s="122" t="str">
        <f>IF(ISTEXT(VLOOKUP(CONCATENATE($A75,"_",I$3),'Unit List'!$A$23:$H$3256,2,FALSE)),"X",$B75)</f>
        <v/>
      </c>
      <c r="J75" s="172" t="str">
        <f>IF(ISTEXT(VLOOKUP(CONCATENATE($A75,"_",J$3),'Unit List'!$A$23:$H$3256,2,FALSE)),"+","")</f>
        <v/>
      </c>
      <c r="K75" s="120" t="str">
        <f>IF(ISTEXT(VLOOKUP(CONCATENATE($A75,"_",K$3),'Unit List'!$A$23:$H$3256,2,FALSE)),"X",$J75)</f>
        <v/>
      </c>
      <c r="L75" s="75" t="str">
        <f>IF(ISTEXT(VLOOKUP(CONCATENATE($A75,"_",L$3),'Unit List'!$A$23:$H$3256,2,FALSE)),"X",$J75)</f>
        <v/>
      </c>
      <c r="M75" s="172" t="str">
        <f>IF(ISTEXT(VLOOKUP(CONCATENATE($A75,"_",M$3),'Unit List'!$A$23:$H$3256,2,FALSE)),"+","")</f>
        <v/>
      </c>
      <c r="N75" s="120" t="str">
        <f>IF(ISTEXT(VLOOKUP(CONCATENATE($A75,"_",N$3),'Unit List'!$A$23:$H$3256,2,FALSE)),"X",$M75)</f>
        <v/>
      </c>
      <c r="O75" s="122" t="str">
        <f>IF(ISTEXT(VLOOKUP(CONCATENATE($A75,"_",O$3),'Unit List'!$A$23:$H$3256,2,FALSE)),"X",$M75)</f>
        <v/>
      </c>
      <c r="P75" s="172" t="str">
        <f>IF(ISTEXT(VLOOKUP(CONCATENATE($A75,"_",P$3),'Unit List'!$A$23:$H$3256,2,FALSE)),"+","")</f>
        <v/>
      </c>
      <c r="Q75" s="120" t="str">
        <f>IF(ISTEXT(VLOOKUP(CONCATENATE($A75,"_",Q$3),'Unit List'!$A$23:$H$3256,2,FALSE)),"X",$P75)</f>
        <v/>
      </c>
      <c r="R75" s="120" t="str">
        <f>IF(ISTEXT(VLOOKUP(CONCATENATE($A75,"_",R$3),'Unit List'!$A$23:$H$3256,2,FALSE)),"X",$P75)</f>
        <v/>
      </c>
      <c r="S75" s="120" t="str">
        <f>IF(ISTEXT(VLOOKUP(CONCATENATE($A75,"_",S$3),'Unit List'!$A$23:$H$3256,2,FALSE)),"X",$P75)</f>
        <v/>
      </c>
      <c r="T75" s="121" t="str">
        <f>IF(ISTEXT(VLOOKUP(CONCATENATE($A75,"_",T$3),'Unit List'!$A$23:$H$3256,2,FALSE)),"X",$P75)</f>
        <v/>
      </c>
      <c r="U75" s="120" t="str">
        <f>IF(ISTEXT(VLOOKUP(CONCATENATE($A75,"_",U$3),'Unit List'!$A$23:$H$3256,2,FALSE)),"X",$P75)</f>
        <v/>
      </c>
      <c r="V75" s="120" t="str">
        <f>IF(ISTEXT(VLOOKUP(CONCATENATE($A75,"_",V$3),'Unit List'!$A$23:$H$3256,2,FALSE)),"X",$P75)</f>
        <v/>
      </c>
      <c r="W75" s="122" t="str">
        <f>IF(ISTEXT(VLOOKUP(CONCATENATE($A75,"_",W$3),'Unit List'!$A$23:$H$3256,2,FALSE)),"X",$P75)</f>
        <v/>
      </c>
      <c r="X75" s="172" t="str">
        <f>IF(ISTEXT(VLOOKUP(CONCATENATE($A75,"_",X$3),'Unit List'!$A$23:$H$3256,2,FALSE)),"+","")</f>
        <v/>
      </c>
      <c r="Y75" s="120" t="str">
        <f>IF(ISTEXT(VLOOKUP(CONCATENATE($A75,"_",Y$3),'Unit List'!$A$23:$H$3256,2,FALSE)),"X",$X75)</f>
        <v/>
      </c>
      <c r="Z75" s="120" t="str">
        <f>IF(ISTEXT(VLOOKUP(CONCATENATE($A75,"_",Z$3),'Unit List'!$A$23:$H$3256,2,FALSE)),"X",$X75)</f>
        <v/>
      </c>
      <c r="AA75" s="120" t="str">
        <f>IF(ISTEXT(VLOOKUP(CONCATENATE($A75,"_",AA$3),'Unit List'!$A$23:$H$3256,2,FALSE)),"X",$X75)</f>
        <v/>
      </c>
      <c r="AB75" s="120" t="str">
        <f>IF(ISTEXT(VLOOKUP(CONCATENATE($A75,"_",AB$3),'Unit List'!$A$23:$H$3256,2,FALSE)),"X",$X75)</f>
        <v/>
      </c>
      <c r="AC75" s="75" t="str">
        <f>IF(ISTEXT(VLOOKUP(CONCATENATE($A75,"_",AC$3),'Unit List'!$A$23:$H$3256,2,FALSE)),"X",$X75)</f>
        <v/>
      </c>
      <c r="AD75" s="172" t="str">
        <f>IF(ISTEXT(VLOOKUP(CONCATENATE($A75,"_",AD$3),'Unit List'!$A$23:$H$3256,2,FALSE)),"+","")</f>
        <v/>
      </c>
      <c r="AE75" s="120" t="str">
        <f>IF(ISTEXT(VLOOKUP(CONCATENATE($A75,"_",AE$3),'Unit List'!$A$23:$H$3256,2,FALSE)),"X",$AD75)</f>
        <v/>
      </c>
      <c r="AF75" s="120" t="str">
        <f>IF(ISTEXT(VLOOKUP(CONCATENATE($A75,"_",AF$3),'Unit List'!$A$23:$H$3256,2,FALSE)),"X",$AD75)</f>
        <v/>
      </c>
      <c r="AG75" s="172" t="str">
        <f>IF(ISTEXT(VLOOKUP(CONCATENATE($A75,"_",AG$3),'Unit List'!$A$23:$H$3256,2,FALSE)),"+","")</f>
        <v/>
      </c>
      <c r="AH75" s="120" t="str">
        <f>IF(ISTEXT(VLOOKUP(CONCATENATE($A75,"_",AH$3),'Unit List'!$A$23:$H$3256,2,FALSE)),"X",$AG75)</f>
        <v/>
      </c>
      <c r="AI75" s="120" t="str">
        <f>IF(ISTEXT(VLOOKUP(CONCATENATE($A75,"_",AI$3),'Unit List'!$A$23:$H$3256,2,FALSE)),"X",$AG75)</f>
        <v/>
      </c>
      <c r="AJ75" s="122" t="str">
        <f>IF(ISTEXT(VLOOKUP(CONCATENATE($A75,"_",AJ$3),'Unit List'!$A$23:$H$3256,2,FALSE)),"X",$AG75)</f>
        <v/>
      </c>
      <c r="AK75" s="172" t="str">
        <f>IF(ISTEXT(VLOOKUP(CONCATENATE($A75,"_",AK$3),'Unit List'!$A$23:$H$3256,2,FALSE)),"+","")</f>
        <v/>
      </c>
      <c r="AL75" s="121" t="str">
        <f>IF(ISTEXT(VLOOKUP(CONCATENATE($A75,"_",AL$3),'Unit List'!$A$23:$H$3256,2,FALSE)),"X",$AK75)</f>
        <v/>
      </c>
      <c r="AM75" s="122" t="str">
        <f>IF(ISTEXT(VLOOKUP(CONCATENATE($A75,"_",AM$3),'Unit List'!$A$23:$H$3256,2,FALSE)),"X",$AK75)</f>
        <v/>
      </c>
      <c r="AN75" s="125" t="str">
        <f>IF(ISTEXT(VLOOKUP(CONCATENATE($A75,"_",AN$3),'Unit List'!$A$23:$H$3256,2,FALSE)),"+","")</f>
        <v/>
      </c>
      <c r="AO75" s="122" t="str">
        <f>IF(ISTEXT(VLOOKUP(CONCATENATE($A75,"_",AO$3),'Unit List'!$A$23:$H$3256,2,FALSE)),"X",$AN75)</f>
        <v/>
      </c>
      <c r="AP75" s="172" t="str">
        <f>IF(ISTEXT(VLOOKUP(CONCATENATE($A75,"_",AP$3),'Unit List'!$A$23:$H$3256,2,FALSE)),"+","")</f>
        <v/>
      </c>
      <c r="AQ75" s="120" t="str">
        <f>IF(ISTEXT(VLOOKUP(CONCATENATE($A75,"_",AQ$3),'Unit List'!$A$23:$H$3256,2,FALSE)),"X",$AP75)</f>
        <v/>
      </c>
      <c r="AR75" s="120" t="str">
        <f>IF(ISTEXT(VLOOKUP(CONCATENATE($A75,"_",AR$3),'Unit List'!$A$23:$H$3256,2,FALSE)),"X",$AP75)</f>
        <v/>
      </c>
      <c r="AS75" s="120" t="str">
        <f>IF(ISTEXT(VLOOKUP(CONCATENATE($A75,"_",AS$3),'Unit List'!$A$23:$H$3256,2,FALSE)),"X",$AP75)</f>
        <v/>
      </c>
      <c r="AT75" s="122" t="str">
        <f>IF(ISTEXT(VLOOKUP(CONCATENATE($A75,"_",AT$3),'Unit List'!$A$23:$H$3256,2,FALSE)),"X",$AP75)</f>
        <v/>
      </c>
      <c r="AU75" s="124" t="str">
        <f>IF(ISTEXT(VLOOKUP(CONCATENATE($A75,"_",AU$3),'Unit List'!$A$23:$H$3256,2,FALSE)),"+","")</f>
        <v/>
      </c>
      <c r="AV75" s="120" t="str">
        <f>IF(ISTEXT(VLOOKUP(CONCATENATE($A75,"_",AV$3),'Unit List'!$A$23:$H$3256,2,FALSE)),"X",$AU75)</f>
        <v/>
      </c>
      <c r="AW75" s="122" t="str">
        <f>IF(ISTEXT(VLOOKUP(CONCATENATE($A75,"_",AW$3),'Unit List'!$A$23:$H$3256,2,FALSE)),"X",$AU75)</f>
        <v/>
      </c>
      <c r="AX75" s="172" t="str">
        <f>IF(ISTEXT(VLOOKUP(CONCATENATE($A75,"_",AX$3),'Unit List'!$A$23:$H$3256,2,FALSE)),"+","")</f>
        <v/>
      </c>
      <c r="AY75" s="120" t="str">
        <f>IF(ISTEXT(VLOOKUP(CONCATENATE($A75,"_",AY$3),'Unit List'!$A$23:$H$3256,2,FALSE)),"X",$AX75)</f>
        <v/>
      </c>
      <c r="AZ75" s="122" t="str">
        <f>IF(ISTEXT(VLOOKUP(CONCATENATE($A75,"_",AZ$3),'Unit List'!$A$23:$H$3256,2,FALSE)),"X",$AX75)</f>
        <v/>
      </c>
      <c r="BA75" s="182" t="str">
        <f>IF(ISTEXT(VLOOKUP(CONCATENATE($A75,"_",BA$3),'Unit List'!$A$23:$H$3256,2,FALSE)),"+","")</f>
        <v/>
      </c>
      <c r="BB75" s="120" t="str">
        <f>IF(ISTEXT(VLOOKUP(CONCATENATE($A75,"_",BB$3),'Unit List'!$A$23:$H$3256,2,FALSE)),"X",$BA75)</f>
        <v/>
      </c>
      <c r="BC75" s="120" t="str">
        <f>IF(ISTEXT(VLOOKUP(CONCATENATE($A75,"_",BC$3),'Unit List'!$A$23:$H$3256,2,FALSE)),"X",$BA75)</f>
        <v/>
      </c>
      <c r="BD75" s="122" t="str">
        <f>IF(ISTEXT(VLOOKUP(CONCATENATE($A75,"_",BD$3),'Unit List'!$A$23:$H$3256,2,FALSE)),"X",$BA75)</f>
        <v/>
      </c>
      <c r="BE75" s="125" t="str">
        <f>IF(ISTEXT(VLOOKUP(CONCATENATE($A75,"_",BE$3),'Unit List'!$A$23:$H$3256,2,FALSE)),"+","")</f>
        <v/>
      </c>
      <c r="BF75" s="75" t="str">
        <f>IF(ISTEXT(VLOOKUP(CONCATENATE($A75,"_",BF$3),'Unit List'!$A$23:$H$3256,2,FALSE)),"X",$BE75)</f>
        <v/>
      </c>
      <c r="BG75" s="64"/>
      <c r="BH75" s="65" t="s">
        <v>0</v>
      </c>
      <c r="BI75" s="225" t="s">
        <v>5</v>
      </c>
      <c r="BJ75" s="228"/>
      <c r="BK75" s="228"/>
      <c r="BL75" s="228"/>
      <c r="BM75" s="229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List'!$A$23:$H$3256,2,FALSE)),"+","")</f>
        <v/>
      </c>
      <c r="C76" s="130" t="str">
        <f>IF(ISTEXT(VLOOKUP(CONCATENATE($A76,"_",C$3),'Unit List'!$A$23:$H$3256,2,FALSE)),"X",$B76)</f>
        <v/>
      </c>
      <c r="D76" s="131" t="str">
        <f>IF(ISTEXT(VLOOKUP(CONCATENATE($A76,"_",D$3),'Unit List'!$A$23:$H$3256,2,FALSE)),"X",$B76)</f>
        <v/>
      </c>
      <c r="E76" s="131" t="str">
        <f>IF(ISTEXT(VLOOKUP(CONCATENATE($A76,"_",E$3),'Unit List'!$A$23:$H$3256,2,FALSE)),"X",$B76)</f>
        <v/>
      </c>
      <c r="F76" s="131" t="str">
        <f>IF(ISTEXT(VLOOKUP(CONCATENATE($A76,"_",F$3),'Unit List'!$A$23:$H$3256,2,FALSE)),"X",$B76)</f>
        <v/>
      </c>
      <c r="G76" s="131" t="str">
        <f>IF(ISTEXT(VLOOKUP(CONCATENATE($A76,"_",G$3),'Unit List'!$A$23:$H$3256,2,FALSE)),"X",$B76)</f>
        <v/>
      </c>
      <c r="H76" s="131" t="str">
        <f>IF(ISTEXT(VLOOKUP(CONCATENATE($A76,"_",H$3),'Unit List'!$A$23:$H$3256,2,FALSE)),"X",$B76)</f>
        <v/>
      </c>
      <c r="I76" s="132" t="str">
        <f>IF(ISTEXT(VLOOKUP(CONCATENATE($A76,"_",I$3),'Unit List'!$A$23:$H$3256,2,FALSE)),"X",$B76)</f>
        <v/>
      </c>
      <c r="J76" s="173" t="str">
        <f>IF(ISTEXT(VLOOKUP(CONCATENATE($A76,"_",J$3),'Unit List'!$A$23:$H$3256,2,FALSE)),"+","")</f>
        <v/>
      </c>
      <c r="K76" s="131" t="str">
        <f>IF(ISTEXT(VLOOKUP(CONCATENATE($A76,"_",K$3),'Unit List'!$A$23:$H$3256,2,FALSE)),"X",$J76)</f>
        <v/>
      </c>
      <c r="L76" s="116" t="str">
        <f>IF(ISTEXT(VLOOKUP(CONCATENATE($A76,"_",L$3),'Unit List'!$A$23:$H$3256,2,FALSE)),"X",$J76)</f>
        <v/>
      </c>
      <c r="M76" s="173" t="str">
        <f>IF(ISTEXT(VLOOKUP(CONCATENATE($A76,"_",M$3),'Unit List'!$A$23:$H$3256,2,FALSE)),"+","")</f>
        <v/>
      </c>
      <c r="N76" s="131" t="str">
        <f>IF(ISTEXT(VLOOKUP(CONCATENATE($A76,"_",N$3),'Unit List'!$A$23:$H$3256,2,FALSE)),"X",$M76)</f>
        <v/>
      </c>
      <c r="O76" s="132" t="str">
        <f>IF(ISTEXT(VLOOKUP(CONCATENATE($A76,"_",O$3),'Unit List'!$A$23:$H$3256,2,FALSE)),"X",$M76)</f>
        <v/>
      </c>
      <c r="P76" s="173" t="str">
        <f>IF(ISTEXT(VLOOKUP(CONCATENATE($A76,"_",P$3),'Unit List'!$A$23:$H$3256,2,FALSE)),"+","")</f>
        <v/>
      </c>
      <c r="Q76" s="131" t="str">
        <f>IF(ISTEXT(VLOOKUP(CONCATENATE($A76,"_",Q$3),'Unit List'!$A$23:$H$3256,2,FALSE)),"X",$P76)</f>
        <v/>
      </c>
      <c r="R76" s="131" t="str">
        <f>IF(ISTEXT(VLOOKUP(CONCATENATE($A76,"_",R$3),'Unit List'!$A$23:$H$3256,2,FALSE)),"X",$P76)</f>
        <v/>
      </c>
      <c r="S76" s="131" t="str">
        <f>IF(ISTEXT(VLOOKUP(CONCATENATE($A76,"_",S$3),'Unit List'!$A$23:$H$3256,2,FALSE)),"X",$P76)</f>
        <v/>
      </c>
      <c r="T76" s="133" t="str">
        <f>IF(ISTEXT(VLOOKUP(CONCATENATE($A76,"_",T$3),'Unit List'!$A$23:$H$3256,2,FALSE)),"X",$P76)</f>
        <v/>
      </c>
      <c r="U76" s="131" t="str">
        <f>IF(ISTEXT(VLOOKUP(CONCATENATE($A76,"_",U$3),'Unit List'!$A$23:$H$3256,2,FALSE)),"X",$P76)</f>
        <v/>
      </c>
      <c r="V76" s="131" t="str">
        <f>IF(ISTEXT(VLOOKUP(CONCATENATE($A76,"_",V$3),'Unit List'!$A$23:$H$3256,2,FALSE)),"X",$P76)</f>
        <v/>
      </c>
      <c r="W76" s="132" t="str">
        <f>IF(ISTEXT(VLOOKUP(CONCATENATE($A76,"_",W$3),'Unit List'!$A$23:$H$3256,2,FALSE)),"X",$P76)</f>
        <v/>
      </c>
      <c r="X76" s="173" t="str">
        <f>IF(ISTEXT(VLOOKUP(CONCATENATE($A76,"_",X$3),'Unit List'!$A$23:$H$3256,2,FALSE)),"+","")</f>
        <v/>
      </c>
      <c r="Y76" s="131" t="str">
        <f>IF(ISTEXT(VLOOKUP(CONCATENATE($A76,"_",Y$3),'Unit List'!$A$23:$H$3256,2,FALSE)),"X",$X76)</f>
        <v/>
      </c>
      <c r="Z76" s="131" t="str">
        <f>IF(ISTEXT(VLOOKUP(CONCATENATE($A76,"_",Z$3),'Unit List'!$A$23:$H$3256,2,FALSE)),"X",$X76)</f>
        <v/>
      </c>
      <c r="AA76" s="131" t="str">
        <f>IF(ISTEXT(VLOOKUP(CONCATENATE($A76,"_",AA$3),'Unit List'!$A$23:$H$3256,2,FALSE)),"X",$X76)</f>
        <v/>
      </c>
      <c r="AB76" s="131" t="str">
        <f>IF(ISTEXT(VLOOKUP(CONCATENATE($A76,"_",AB$3),'Unit List'!$A$23:$H$3256,2,FALSE)),"X",$X76)</f>
        <v/>
      </c>
      <c r="AC76" s="116" t="str">
        <f>IF(ISTEXT(VLOOKUP(CONCATENATE($A76,"_",AC$3),'Unit List'!$A$23:$H$3256,2,FALSE)),"X",$X76)</f>
        <v/>
      </c>
      <c r="AD76" s="173" t="str">
        <f>IF(ISTEXT(VLOOKUP(CONCATENATE($A76,"_",AD$3),'Unit List'!$A$23:$H$3256,2,FALSE)),"+","")</f>
        <v/>
      </c>
      <c r="AE76" s="131" t="str">
        <f>IF(ISTEXT(VLOOKUP(CONCATENATE($A76,"_",AE$3),'Unit List'!$A$23:$H$3256,2,FALSE)),"X",$AD76)</f>
        <v/>
      </c>
      <c r="AF76" s="131" t="str">
        <f>IF(ISTEXT(VLOOKUP(CONCATENATE($A76,"_",AF$3),'Unit List'!$A$23:$H$3256,2,FALSE)),"X",$AD76)</f>
        <v/>
      </c>
      <c r="AG76" s="173" t="str">
        <f>IF(ISTEXT(VLOOKUP(CONCATENATE($A76,"_",AG$3),'Unit List'!$A$23:$H$3256,2,FALSE)),"+","")</f>
        <v/>
      </c>
      <c r="AH76" s="131" t="str">
        <f>IF(ISTEXT(VLOOKUP(CONCATENATE($A76,"_",AH$3),'Unit List'!$A$23:$H$3256,2,FALSE)),"X",$AG76)</f>
        <v/>
      </c>
      <c r="AI76" s="131" t="str">
        <f>IF(ISTEXT(VLOOKUP(CONCATENATE($A76,"_",AI$3),'Unit List'!$A$23:$H$3256,2,FALSE)),"X",$AG76)</f>
        <v/>
      </c>
      <c r="AJ76" s="132" t="str">
        <f>IF(ISTEXT(VLOOKUP(CONCATENATE($A76,"_",AJ$3),'Unit List'!$A$23:$H$3256,2,FALSE)),"X",$AG76)</f>
        <v/>
      </c>
      <c r="AK76" s="173" t="str">
        <f>IF(ISTEXT(VLOOKUP(CONCATENATE($A76,"_",AK$3),'Unit List'!$A$23:$H$3256,2,FALSE)),"+","")</f>
        <v/>
      </c>
      <c r="AL76" s="133" t="str">
        <f>IF(ISTEXT(VLOOKUP(CONCATENATE($A76,"_",AL$3),'Unit List'!$A$23:$H$3256,2,FALSE)),"X",$AK76)</f>
        <v/>
      </c>
      <c r="AM76" s="132" t="str">
        <f>IF(ISTEXT(VLOOKUP(CONCATENATE($A76,"_",AM$3),'Unit List'!$A$23:$H$3256,2,FALSE)),"X",$AK76)</f>
        <v/>
      </c>
      <c r="AN76" s="186" t="str">
        <f>IF(ISTEXT(VLOOKUP(CONCATENATE($A76,"_",AN$3),'Unit List'!$A$23:$H$3256,2,FALSE)),"+","")</f>
        <v/>
      </c>
      <c r="AO76" s="132" t="str">
        <f>IF(ISTEXT(VLOOKUP(CONCATENATE($A76,"_",AO$3),'Unit List'!$A$23:$H$3256,2,FALSE)),"X",$AN76)</f>
        <v/>
      </c>
      <c r="AP76" s="173" t="str">
        <f>IF(ISTEXT(VLOOKUP(CONCATENATE($A76,"_",AP$3),'Unit List'!$A$23:$H$3256,2,FALSE)),"+","")</f>
        <v/>
      </c>
      <c r="AQ76" s="131" t="str">
        <f>IF(ISTEXT(VLOOKUP(CONCATENATE($A76,"_",AQ$3),'Unit List'!$A$23:$H$3256,2,FALSE)),"X",$AP76)</f>
        <v/>
      </c>
      <c r="AR76" s="131" t="str">
        <f>IF(ISTEXT(VLOOKUP(CONCATENATE($A76,"_",AR$3),'Unit List'!$A$23:$H$3256,2,FALSE)),"X",$AP76)</f>
        <v/>
      </c>
      <c r="AS76" s="131" t="str">
        <f>IF(ISTEXT(VLOOKUP(CONCATENATE($A76,"_",AS$3),'Unit List'!$A$23:$H$3256,2,FALSE)),"X",$AP76)</f>
        <v/>
      </c>
      <c r="AT76" s="132" t="str">
        <f>IF(ISTEXT(VLOOKUP(CONCATENATE($A76,"_",AT$3),'Unit List'!$A$23:$H$3256,2,FALSE)),"X",$AP76)</f>
        <v/>
      </c>
      <c r="AU76" s="187" t="str">
        <f>IF(ISTEXT(VLOOKUP(CONCATENATE($A76,"_",AU$3),'Unit List'!$A$23:$H$3256,2,FALSE)),"+","")</f>
        <v/>
      </c>
      <c r="AV76" s="131" t="str">
        <f>IF(ISTEXT(VLOOKUP(CONCATENATE($A76,"_",AV$3),'Unit List'!$A$23:$H$3256,2,FALSE)),"X",$AU76)</f>
        <v/>
      </c>
      <c r="AW76" s="132" t="str">
        <f>IF(ISTEXT(VLOOKUP(CONCATENATE($A76,"_",AW$3),'Unit List'!$A$23:$H$3256,2,FALSE)),"X",$AU76)</f>
        <v/>
      </c>
      <c r="AX76" s="173" t="str">
        <f>IF(ISTEXT(VLOOKUP(CONCATENATE($A76,"_",AX$3),'Unit List'!$A$23:$H$3256,2,FALSE)),"+","")</f>
        <v/>
      </c>
      <c r="AY76" s="131" t="str">
        <f>IF(ISTEXT(VLOOKUP(CONCATENATE($A76,"_",AY$3),'Unit List'!$A$23:$H$3256,2,FALSE)),"X",$AX76)</f>
        <v/>
      </c>
      <c r="AZ76" s="132" t="str">
        <f>IF(ISTEXT(VLOOKUP(CONCATENATE($A76,"_",AZ$3),'Unit List'!$A$23:$H$3256,2,FALSE)),"X",$AX76)</f>
        <v/>
      </c>
      <c r="BA76" s="188" t="str">
        <f>IF(ISTEXT(VLOOKUP(CONCATENATE($A76,"_",BA$3),'Unit List'!$A$23:$H$3256,2,FALSE)),"+","")</f>
        <v/>
      </c>
      <c r="BB76" s="131" t="str">
        <f>IF(ISTEXT(VLOOKUP(CONCATENATE($A76,"_",BB$3),'Unit List'!$A$23:$H$3256,2,FALSE)),"X",$BA76)</f>
        <v/>
      </c>
      <c r="BC76" s="131" t="str">
        <f>IF(ISTEXT(VLOOKUP(CONCATENATE($A76,"_",BC$3),'Unit List'!$A$23:$H$3256,2,FALSE)),"X",$BA76)</f>
        <v/>
      </c>
      <c r="BD76" s="132" t="str">
        <f>IF(ISTEXT(VLOOKUP(CONCATENATE($A76,"_",BD$3),'Unit List'!$A$23:$H$3256,2,FALSE)),"X",$BA76)</f>
        <v/>
      </c>
      <c r="BE76" s="186" t="str">
        <f>IF(ISTEXT(VLOOKUP(CONCATENATE($A76,"_",BE$3),'Unit List'!$A$23:$H$3256,2,FALSE)),"+","")</f>
        <v/>
      </c>
      <c r="BF76" s="116" t="str">
        <f>IF(ISTEXT(VLOOKUP(CONCATENATE($A76,"_",BF$3),'Unit List'!$A$23:$H$3256,2,FALSE)),"X",$BE76)</f>
        <v/>
      </c>
      <c r="BG76" s="136"/>
      <c r="BH76" s="137" t="s">
        <v>0</v>
      </c>
      <c r="BI76" s="235"/>
      <c r="BJ76" s="236"/>
      <c r="BK76" s="236"/>
      <c r="BL76" s="236"/>
      <c r="BM76" s="237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1912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List'!$A$23:$H$3256,2,FALSE)),"+","")</f>
        <v/>
      </c>
      <c r="C78" s="119" t="str">
        <f>IF(ISTEXT(VLOOKUP(CONCATENATE($A78,"_",C$3),'Unit List'!$A$23:$H$3256,2,FALSE)),"X",$B78)</f>
        <v/>
      </c>
      <c r="D78" s="120" t="str">
        <f>IF(ISTEXT(VLOOKUP(CONCATENATE($A78,"_",D$3),'Unit List'!$A$23:$H$3256,2,FALSE)),"X",$B78)</f>
        <v/>
      </c>
      <c r="E78" s="120" t="str">
        <f>IF(ISTEXT(VLOOKUP(CONCATENATE($A78,"_",E$3),'Unit List'!$A$23:$H$3256,2,FALSE)),"X",$B78)</f>
        <v/>
      </c>
      <c r="F78" s="120" t="str">
        <f>IF(ISTEXT(VLOOKUP(CONCATENATE($A78,"_",F$3),'Unit List'!$A$23:$H$3256,2,FALSE)),"X",$B78)</f>
        <v/>
      </c>
      <c r="G78" s="120" t="str">
        <f>IF(ISTEXT(VLOOKUP(CONCATENATE($A78,"_",G$3),'Unit List'!$A$23:$H$3256,2,FALSE)),"X",$B78)</f>
        <v/>
      </c>
      <c r="H78" s="120" t="str">
        <f>IF(ISTEXT(VLOOKUP(CONCATENATE($A78,"_",H$3),'Unit List'!$A$23:$H$3256,2,FALSE)),"X",$B78)</f>
        <v/>
      </c>
      <c r="I78" s="122" t="str">
        <f>IF(ISTEXT(VLOOKUP(CONCATENATE($A78,"_",I$3),'Unit List'!$A$23:$H$3256,2,FALSE)),"X",$B78)</f>
        <v/>
      </c>
      <c r="J78" s="172" t="str">
        <f>IF(ISTEXT(VLOOKUP(CONCATENATE($A78,"_",J$3),'Unit List'!$A$23:$H$3256,2,FALSE)),"+","")</f>
        <v/>
      </c>
      <c r="K78" s="120" t="str">
        <f>IF(ISTEXT(VLOOKUP(CONCATENATE($A78,"_",K$3),'Unit List'!$A$23:$H$3256,2,FALSE)),"X",$J78)</f>
        <v/>
      </c>
      <c r="L78" s="75" t="str">
        <f>IF(ISTEXT(VLOOKUP(CONCATENATE($A78,"_",L$3),'Unit List'!$A$23:$H$3256,2,FALSE)),"X",$J78)</f>
        <v/>
      </c>
      <c r="M78" s="172" t="str">
        <f>IF(ISTEXT(VLOOKUP(CONCATENATE($A78,"_",M$3),'Unit List'!$A$23:$H$3256,2,FALSE)),"+","")</f>
        <v/>
      </c>
      <c r="N78" s="120" t="str">
        <f>IF(ISTEXT(VLOOKUP(CONCATENATE($A78,"_",N$3),'Unit List'!$A$23:$H$3256,2,FALSE)),"X",$M78)</f>
        <v/>
      </c>
      <c r="O78" s="122" t="str">
        <f>IF(ISTEXT(VLOOKUP(CONCATENATE($A78,"_",O$3),'Unit List'!$A$23:$H$3256,2,FALSE)),"X",$M78)</f>
        <v/>
      </c>
      <c r="P78" s="172" t="str">
        <f>IF(ISTEXT(VLOOKUP(CONCATENATE($A78,"_",P$3),'Unit List'!$A$23:$H$3256,2,FALSE)),"+","")</f>
        <v/>
      </c>
      <c r="Q78" s="120" t="str">
        <f>IF(ISTEXT(VLOOKUP(CONCATENATE($A78,"_",Q$3),'Unit List'!$A$23:$H$3256,2,FALSE)),"X",$P78)</f>
        <v/>
      </c>
      <c r="R78" s="120" t="str">
        <f>IF(ISTEXT(VLOOKUP(CONCATENATE($A78,"_",R$3),'Unit List'!$A$23:$H$3256,2,FALSE)),"X",$P78)</f>
        <v/>
      </c>
      <c r="S78" s="120" t="str">
        <f>IF(ISTEXT(VLOOKUP(CONCATENATE($A78,"_",S$3),'Unit List'!$A$23:$H$3256,2,FALSE)),"X",$P78)</f>
        <v/>
      </c>
      <c r="T78" s="121" t="str">
        <f>IF(ISTEXT(VLOOKUP(CONCATENATE($A78,"_",T$3),'Unit List'!$A$23:$H$3256,2,FALSE)),"X",$P78)</f>
        <v/>
      </c>
      <c r="U78" s="120" t="str">
        <f>IF(ISTEXT(VLOOKUP(CONCATENATE($A78,"_",U$3),'Unit List'!$A$23:$H$3256,2,FALSE)),"X",$P78)</f>
        <v/>
      </c>
      <c r="V78" s="120" t="str">
        <f>IF(ISTEXT(VLOOKUP(CONCATENATE($A78,"_",V$3),'Unit List'!$A$23:$H$3256,2,FALSE)),"X",$P78)</f>
        <v/>
      </c>
      <c r="W78" s="122" t="str">
        <f>IF(ISTEXT(VLOOKUP(CONCATENATE($A78,"_",W$3),'Unit List'!$A$23:$H$3256,2,FALSE)),"X",$P78)</f>
        <v/>
      </c>
      <c r="X78" s="172" t="str">
        <f>IF(ISTEXT(VLOOKUP(CONCATENATE($A78,"_",X$3),'Unit List'!$A$23:$H$3256,2,FALSE)),"+","")</f>
        <v/>
      </c>
      <c r="Y78" s="120" t="str">
        <f>IF(ISTEXT(VLOOKUP(CONCATENATE($A78,"_",Y$3),'Unit List'!$A$23:$H$3256,2,FALSE)),"X",$X78)</f>
        <v/>
      </c>
      <c r="Z78" s="120" t="str">
        <f>IF(ISTEXT(VLOOKUP(CONCATENATE($A78,"_",Z$3),'Unit List'!$A$23:$H$3256,2,FALSE)),"X",$X78)</f>
        <v/>
      </c>
      <c r="AA78" s="120" t="str">
        <f>IF(ISTEXT(VLOOKUP(CONCATENATE($A78,"_",AA$3),'Unit List'!$A$23:$H$3256,2,FALSE)),"X",$X78)</f>
        <v/>
      </c>
      <c r="AB78" s="120" t="str">
        <f>IF(ISTEXT(VLOOKUP(CONCATENATE($A78,"_",AB$3),'Unit List'!$A$23:$H$3256,2,FALSE)),"X",$X78)</f>
        <v/>
      </c>
      <c r="AC78" s="75" t="str">
        <f>IF(ISTEXT(VLOOKUP(CONCATENATE($A78,"_",AC$3),'Unit List'!$A$23:$H$3256,2,FALSE)),"X",$X78)</f>
        <v/>
      </c>
      <c r="AD78" s="172" t="str">
        <f>IF(ISTEXT(VLOOKUP(CONCATENATE($A78,"_",AD$3),'Unit List'!$A$23:$H$3256,2,FALSE)),"+","")</f>
        <v/>
      </c>
      <c r="AE78" s="120" t="str">
        <f>IF(ISTEXT(VLOOKUP(CONCATENATE($A78,"_",AE$3),'Unit List'!$A$23:$H$3256,2,FALSE)),"X",$AD78)</f>
        <v/>
      </c>
      <c r="AF78" s="120" t="str">
        <f>IF(ISTEXT(VLOOKUP(CONCATENATE($A78,"_",AF$3),'Unit List'!$A$23:$H$3256,2,FALSE)),"X",$AD78)</f>
        <v/>
      </c>
      <c r="AG78" s="172" t="str">
        <f>IF(ISTEXT(VLOOKUP(CONCATENATE($A78,"_",AG$3),'Unit List'!$A$23:$H$3256,2,FALSE)),"+","")</f>
        <v/>
      </c>
      <c r="AH78" s="120" t="str">
        <f>IF(ISTEXT(VLOOKUP(CONCATENATE($A78,"_",AH$3),'Unit List'!$A$23:$H$3256,2,FALSE)),"X",$AG78)</f>
        <v/>
      </c>
      <c r="AI78" s="120" t="str">
        <f>IF(ISTEXT(VLOOKUP(CONCATENATE($A78,"_",AI$3),'Unit List'!$A$23:$H$3256,2,FALSE)),"X",$AG78)</f>
        <v/>
      </c>
      <c r="AJ78" s="122" t="str">
        <f>IF(ISTEXT(VLOOKUP(CONCATENATE($A78,"_",AJ$3),'Unit List'!$A$23:$H$3256,2,FALSE)),"X",$AG78)</f>
        <v/>
      </c>
      <c r="AK78" s="172" t="str">
        <f>IF(ISTEXT(VLOOKUP(CONCATENATE($A78,"_",AK$3),'Unit List'!$A$23:$H$3256,2,FALSE)),"+","")</f>
        <v/>
      </c>
      <c r="AL78" s="121" t="str">
        <f>IF(ISTEXT(VLOOKUP(CONCATENATE($A78,"_",AL$3),'Unit List'!$A$23:$H$3256,2,FALSE)),"X",$AK78)</f>
        <v/>
      </c>
      <c r="AM78" s="122" t="str">
        <f>IF(ISTEXT(VLOOKUP(CONCATENATE($A78,"_",AM$3),'Unit List'!$A$23:$H$3256,2,FALSE)),"X",$AK78)</f>
        <v/>
      </c>
      <c r="AN78" s="125" t="str">
        <f>IF(ISTEXT(VLOOKUP(CONCATENATE($A78,"_",AN$3),'Unit List'!$A$23:$H$3256,2,FALSE)),"+","")</f>
        <v/>
      </c>
      <c r="AO78" s="122" t="str">
        <f>IF(ISTEXT(VLOOKUP(CONCATENATE($A78,"_",AO$3),'Unit List'!$A$23:$H$3256,2,FALSE)),"X",$AN78)</f>
        <v/>
      </c>
      <c r="AP78" s="172" t="str">
        <f>IF(ISTEXT(VLOOKUP(CONCATENATE($A78,"_",AP$3),'Unit List'!$A$23:$H$3256,2,FALSE)),"+","")</f>
        <v/>
      </c>
      <c r="AQ78" s="120" t="str">
        <f>IF(ISTEXT(VLOOKUP(CONCATENATE($A78,"_",AQ$3),'Unit List'!$A$23:$H$3256,2,FALSE)),"X",$AP78)</f>
        <v/>
      </c>
      <c r="AR78" s="120" t="str">
        <f>IF(ISTEXT(VLOOKUP(CONCATENATE($A78,"_",AR$3),'Unit List'!$A$23:$H$3256,2,FALSE)),"X",$AP78)</f>
        <v/>
      </c>
      <c r="AS78" s="120" t="str">
        <f>IF(ISTEXT(VLOOKUP(CONCATENATE($A78,"_",AS$3),'Unit List'!$A$23:$H$3256,2,FALSE)),"X",$AP78)</f>
        <v/>
      </c>
      <c r="AT78" s="122" t="str">
        <f>IF(ISTEXT(VLOOKUP(CONCATENATE($A78,"_",AT$3),'Unit List'!$A$23:$H$3256,2,FALSE)),"X",$AP78)</f>
        <v/>
      </c>
      <c r="AU78" s="124" t="str">
        <f>IF(ISTEXT(VLOOKUP(CONCATENATE($A78,"_",AU$3),'Unit List'!$A$23:$H$3256,2,FALSE)),"+","")</f>
        <v/>
      </c>
      <c r="AV78" s="120" t="str">
        <f>IF(ISTEXT(VLOOKUP(CONCATENATE($A78,"_",AV$3),'Unit List'!$A$23:$H$3256,2,FALSE)),"X",$AU78)</f>
        <v/>
      </c>
      <c r="AW78" s="122" t="str">
        <f>IF(ISTEXT(VLOOKUP(CONCATENATE($A78,"_",AW$3),'Unit List'!$A$23:$H$3256,2,FALSE)),"X",$AU78)</f>
        <v/>
      </c>
      <c r="AX78" s="172" t="str">
        <f>IF(ISTEXT(VLOOKUP(CONCATENATE($A78,"_",AX$3),'Unit List'!$A$23:$H$3256,2,FALSE)),"+","")</f>
        <v/>
      </c>
      <c r="AY78" s="120" t="str">
        <f>IF(ISTEXT(VLOOKUP(CONCATENATE($A78,"_",AY$3),'Unit List'!$A$23:$H$3256,2,FALSE)),"X",$AX78)</f>
        <v/>
      </c>
      <c r="AZ78" s="122" t="str">
        <f>IF(ISTEXT(VLOOKUP(CONCATENATE($A78,"_",AZ$3),'Unit List'!$A$23:$H$3256,2,FALSE)),"X",$AX78)</f>
        <v/>
      </c>
      <c r="BA78" s="182" t="str">
        <f>IF(ISTEXT(VLOOKUP(CONCATENATE($A78,"_",BA$3),'Unit List'!$A$23:$H$3256,2,FALSE)),"+","")</f>
        <v/>
      </c>
      <c r="BB78" s="120" t="str">
        <f>IF(ISTEXT(VLOOKUP(CONCATENATE($A78,"_",BB$3),'Unit List'!$A$23:$H$3256,2,FALSE)),"X",$BA78)</f>
        <v/>
      </c>
      <c r="BC78" s="120" t="str">
        <f>IF(ISTEXT(VLOOKUP(CONCATENATE($A78,"_",BC$3),'Unit List'!$A$23:$H$3256,2,FALSE)),"X",$BA78)</f>
        <v/>
      </c>
      <c r="BD78" s="122" t="str">
        <f>IF(ISTEXT(VLOOKUP(CONCATENATE($A78,"_",BD$3),'Unit List'!$A$23:$H$3256,2,FALSE)),"X",$BA78)</f>
        <v/>
      </c>
      <c r="BE78" s="125" t="str">
        <f>IF(ISTEXT(VLOOKUP(CONCATENATE($A78,"_",BE$3),'Unit List'!$A$23:$H$3256,2,FALSE)),"+","")</f>
        <v/>
      </c>
      <c r="BF78" s="75" t="str">
        <f>IF(ISTEXT(VLOOKUP(CONCATENATE($A78,"_",BF$3),'Unit List'!$A$23:$H$3256,2,FALSE)),"X",$BE78)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List'!$A$23:$H$3256,2,FALSE)),"+","")</f>
        <v/>
      </c>
      <c r="C79" s="119" t="str">
        <f>IF(ISTEXT(VLOOKUP(CONCATENATE($A79,"_",C$3),'Unit List'!$A$23:$H$3256,2,FALSE)),"X",$B79)</f>
        <v/>
      </c>
      <c r="D79" s="120" t="str">
        <f>IF(ISTEXT(VLOOKUP(CONCATENATE($A79,"_",D$3),'Unit List'!$A$23:$H$3256,2,FALSE)),"X",$B79)</f>
        <v/>
      </c>
      <c r="E79" s="120" t="str">
        <f>IF(ISTEXT(VLOOKUP(CONCATENATE($A79,"_",E$3),'Unit List'!$A$23:$H$3256,2,FALSE)),"X",$B79)</f>
        <v/>
      </c>
      <c r="F79" s="120" t="str">
        <f>IF(ISTEXT(VLOOKUP(CONCATENATE($A79,"_",F$3),'Unit List'!$A$23:$H$3256,2,FALSE)),"X",$B79)</f>
        <v/>
      </c>
      <c r="G79" s="120" t="str">
        <f>IF(ISTEXT(VLOOKUP(CONCATENATE($A79,"_",G$3),'Unit List'!$A$23:$H$3256,2,FALSE)),"X",$B79)</f>
        <v/>
      </c>
      <c r="H79" s="120" t="str">
        <f>IF(ISTEXT(VLOOKUP(CONCATENATE($A79,"_",H$3),'Unit List'!$A$23:$H$3256,2,FALSE)),"X",$B79)</f>
        <v/>
      </c>
      <c r="I79" s="122" t="str">
        <f>IF(ISTEXT(VLOOKUP(CONCATENATE($A79,"_",I$3),'Unit List'!$A$23:$H$3256,2,FALSE)),"X",$B79)</f>
        <v/>
      </c>
      <c r="J79" s="172" t="str">
        <f>IF(ISTEXT(VLOOKUP(CONCATENATE($A79,"_",J$3),'Unit List'!$A$23:$H$3256,2,FALSE)),"+","")</f>
        <v/>
      </c>
      <c r="K79" s="120" t="str">
        <f>IF(ISTEXT(VLOOKUP(CONCATENATE($A79,"_",K$3),'Unit List'!$A$23:$H$3256,2,FALSE)),"X",$J79)</f>
        <v/>
      </c>
      <c r="L79" s="75" t="str">
        <f>IF(ISTEXT(VLOOKUP(CONCATENATE($A79,"_",L$3),'Unit List'!$A$23:$H$3256,2,FALSE)),"X",$J79)</f>
        <v/>
      </c>
      <c r="M79" s="172" t="str">
        <f>IF(ISTEXT(VLOOKUP(CONCATENATE($A79,"_",M$3),'Unit List'!$A$23:$H$3256,2,FALSE)),"+","")</f>
        <v/>
      </c>
      <c r="N79" s="120" t="str">
        <f>IF(ISTEXT(VLOOKUP(CONCATENATE($A79,"_",N$3),'Unit List'!$A$23:$H$3256,2,FALSE)),"X",$M79)</f>
        <v/>
      </c>
      <c r="O79" s="122" t="str">
        <f>IF(ISTEXT(VLOOKUP(CONCATENATE($A79,"_",O$3),'Unit List'!$A$23:$H$3256,2,FALSE)),"X",$M79)</f>
        <v/>
      </c>
      <c r="P79" s="172" t="str">
        <f>IF(ISTEXT(VLOOKUP(CONCATENATE($A79,"_",P$3),'Unit List'!$A$23:$H$3256,2,FALSE)),"+","")</f>
        <v/>
      </c>
      <c r="Q79" s="120" t="str">
        <f>IF(ISTEXT(VLOOKUP(CONCATENATE($A79,"_",Q$3),'Unit List'!$A$23:$H$3256,2,FALSE)),"X",$P79)</f>
        <v/>
      </c>
      <c r="R79" s="120" t="str">
        <f>IF(ISTEXT(VLOOKUP(CONCATENATE($A79,"_",R$3),'Unit List'!$A$23:$H$3256,2,FALSE)),"X",$P79)</f>
        <v/>
      </c>
      <c r="S79" s="120" t="str">
        <f>IF(ISTEXT(VLOOKUP(CONCATENATE($A79,"_",S$3),'Unit List'!$A$23:$H$3256,2,FALSE)),"X",$P79)</f>
        <v/>
      </c>
      <c r="T79" s="121" t="str">
        <f>IF(ISTEXT(VLOOKUP(CONCATENATE($A79,"_",T$3),'Unit List'!$A$23:$H$3256,2,FALSE)),"X",$P79)</f>
        <v/>
      </c>
      <c r="U79" s="120" t="str">
        <f>IF(ISTEXT(VLOOKUP(CONCATENATE($A79,"_",U$3),'Unit List'!$A$23:$H$3256,2,FALSE)),"X",$P79)</f>
        <v/>
      </c>
      <c r="V79" s="120" t="str">
        <f>IF(ISTEXT(VLOOKUP(CONCATENATE($A79,"_",V$3),'Unit List'!$A$23:$H$3256,2,FALSE)),"X",$P79)</f>
        <v/>
      </c>
      <c r="W79" s="122" t="str">
        <f>IF(ISTEXT(VLOOKUP(CONCATENATE($A79,"_",W$3),'Unit List'!$A$23:$H$3256,2,FALSE)),"X",$P79)</f>
        <v/>
      </c>
      <c r="X79" s="172" t="str">
        <f>IF(ISTEXT(VLOOKUP(CONCATENATE($A79,"_",X$3),'Unit List'!$A$23:$H$3256,2,FALSE)),"+","")</f>
        <v/>
      </c>
      <c r="Y79" s="120" t="str">
        <f>IF(ISTEXT(VLOOKUP(CONCATENATE($A79,"_",Y$3),'Unit List'!$A$23:$H$3256,2,FALSE)),"X",$X79)</f>
        <v/>
      </c>
      <c r="Z79" s="120" t="str">
        <f>IF(ISTEXT(VLOOKUP(CONCATENATE($A79,"_",Z$3),'Unit List'!$A$23:$H$3256,2,FALSE)),"X",$X79)</f>
        <v/>
      </c>
      <c r="AA79" s="120" t="str">
        <f>IF(ISTEXT(VLOOKUP(CONCATENATE($A79,"_",AA$3),'Unit List'!$A$23:$H$3256,2,FALSE)),"X",$X79)</f>
        <v/>
      </c>
      <c r="AB79" s="120" t="str">
        <f>IF(ISTEXT(VLOOKUP(CONCATENATE($A79,"_",AB$3),'Unit List'!$A$23:$H$3256,2,FALSE)),"X",$X79)</f>
        <v/>
      </c>
      <c r="AC79" s="75" t="str">
        <f>IF(ISTEXT(VLOOKUP(CONCATENATE($A79,"_",AC$3),'Unit List'!$A$23:$H$3256,2,FALSE)),"X",$X79)</f>
        <v/>
      </c>
      <c r="AD79" s="172" t="str">
        <f>IF(ISTEXT(VLOOKUP(CONCATENATE($A79,"_",AD$3),'Unit List'!$A$23:$H$3256,2,FALSE)),"+","")</f>
        <v/>
      </c>
      <c r="AE79" s="120" t="str">
        <f>IF(ISTEXT(VLOOKUP(CONCATENATE($A79,"_",AE$3),'Unit List'!$A$23:$H$3256,2,FALSE)),"X",$AD79)</f>
        <v/>
      </c>
      <c r="AF79" s="120" t="str">
        <f>IF(ISTEXT(VLOOKUP(CONCATENATE($A79,"_",AF$3),'Unit List'!$A$23:$H$3256,2,FALSE)),"X",$AD79)</f>
        <v/>
      </c>
      <c r="AG79" s="172" t="str">
        <f>IF(ISTEXT(VLOOKUP(CONCATENATE($A79,"_",AG$3),'Unit List'!$A$23:$H$3256,2,FALSE)),"+","")</f>
        <v/>
      </c>
      <c r="AH79" s="120" t="str">
        <f>IF(ISTEXT(VLOOKUP(CONCATENATE($A79,"_",AH$3),'Unit List'!$A$23:$H$3256,2,FALSE)),"X",$AG79)</f>
        <v/>
      </c>
      <c r="AI79" s="120" t="str">
        <f>IF(ISTEXT(VLOOKUP(CONCATENATE($A79,"_",AI$3),'Unit List'!$A$23:$H$3256,2,FALSE)),"X",$AG79)</f>
        <v/>
      </c>
      <c r="AJ79" s="122" t="str">
        <f>IF(ISTEXT(VLOOKUP(CONCATENATE($A79,"_",AJ$3),'Unit List'!$A$23:$H$3256,2,FALSE)),"X",$AG79)</f>
        <v/>
      </c>
      <c r="AK79" s="172" t="str">
        <f>IF(ISTEXT(VLOOKUP(CONCATENATE($A79,"_",AK$3),'Unit List'!$A$23:$H$3256,2,FALSE)),"+","")</f>
        <v/>
      </c>
      <c r="AL79" s="121" t="str">
        <f>IF(ISTEXT(VLOOKUP(CONCATENATE($A79,"_",AL$3),'Unit List'!$A$23:$H$3256,2,FALSE)),"X",$AK79)</f>
        <v/>
      </c>
      <c r="AM79" s="122" t="str">
        <f>IF(ISTEXT(VLOOKUP(CONCATENATE($A79,"_",AM$3),'Unit List'!$A$23:$H$3256,2,FALSE)),"X",$AK79)</f>
        <v/>
      </c>
      <c r="AN79" s="125" t="str">
        <f>IF(ISTEXT(VLOOKUP(CONCATENATE($A79,"_",AN$3),'Unit List'!$A$23:$H$3256,2,FALSE)),"+","")</f>
        <v/>
      </c>
      <c r="AO79" s="122" t="str">
        <f>IF(ISTEXT(VLOOKUP(CONCATENATE($A79,"_",AO$3),'Unit List'!$A$23:$H$3256,2,FALSE)),"X",$AN79)</f>
        <v/>
      </c>
      <c r="AP79" s="172" t="str">
        <f>IF(ISTEXT(VLOOKUP(CONCATENATE($A79,"_",AP$3),'Unit List'!$A$23:$H$3256,2,FALSE)),"+","")</f>
        <v/>
      </c>
      <c r="AQ79" s="120" t="str">
        <f>IF(ISTEXT(VLOOKUP(CONCATENATE($A79,"_",AQ$3),'Unit List'!$A$23:$H$3256,2,FALSE)),"X",$AP79)</f>
        <v/>
      </c>
      <c r="AR79" s="120" t="str">
        <f>IF(ISTEXT(VLOOKUP(CONCATENATE($A79,"_",AR$3),'Unit List'!$A$23:$H$3256,2,FALSE)),"X",$AP79)</f>
        <v/>
      </c>
      <c r="AS79" s="120" t="str">
        <f>IF(ISTEXT(VLOOKUP(CONCATENATE($A79,"_",AS$3),'Unit List'!$A$23:$H$3256,2,FALSE)),"X",$AP79)</f>
        <v/>
      </c>
      <c r="AT79" s="122" t="str">
        <f>IF(ISTEXT(VLOOKUP(CONCATENATE($A79,"_",AT$3),'Unit List'!$A$23:$H$3256,2,FALSE)),"X",$AP79)</f>
        <v/>
      </c>
      <c r="AU79" s="124" t="str">
        <f>IF(ISTEXT(VLOOKUP(CONCATENATE($A79,"_",AU$3),'Unit List'!$A$23:$H$3256,2,FALSE)),"+","")</f>
        <v/>
      </c>
      <c r="AV79" s="120" t="str">
        <f>IF(ISTEXT(VLOOKUP(CONCATENATE($A79,"_",AV$3),'Unit List'!$A$23:$H$3256,2,FALSE)),"X",$AU79)</f>
        <v/>
      </c>
      <c r="AW79" s="122" t="str">
        <f>IF(ISTEXT(VLOOKUP(CONCATENATE($A79,"_",AW$3),'Unit List'!$A$23:$H$3256,2,FALSE)),"X",$AU79)</f>
        <v/>
      </c>
      <c r="AX79" s="172" t="str">
        <f>IF(ISTEXT(VLOOKUP(CONCATENATE($A79,"_",AX$3),'Unit List'!$A$23:$H$3256,2,FALSE)),"+","")</f>
        <v/>
      </c>
      <c r="AY79" s="120" t="str">
        <f>IF(ISTEXT(VLOOKUP(CONCATENATE($A79,"_",AY$3),'Unit List'!$A$23:$H$3256,2,FALSE)),"X",$AX79)</f>
        <v/>
      </c>
      <c r="AZ79" s="122" t="str">
        <f>IF(ISTEXT(VLOOKUP(CONCATENATE($A79,"_",AZ$3),'Unit List'!$A$23:$H$3256,2,FALSE)),"X",$AX79)</f>
        <v/>
      </c>
      <c r="BA79" s="182" t="str">
        <f>IF(ISTEXT(VLOOKUP(CONCATENATE($A79,"_",BA$3),'Unit List'!$A$23:$H$3256,2,FALSE)),"+","")</f>
        <v/>
      </c>
      <c r="BB79" s="120" t="str">
        <f>IF(ISTEXT(VLOOKUP(CONCATENATE($A79,"_",BB$3),'Unit List'!$A$23:$H$3256,2,FALSE)),"X",$BA79)</f>
        <v/>
      </c>
      <c r="BC79" s="120" t="str">
        <f>IF(ISTEXT(VLOOKUP(CONCATENATE($A79,"_",BC$3),'Unit List'!$A$23:$H$3256,2,FALSE)),"X",$BA79)</f>
        <v/>
      </c>
      <c r="BD79" s="122" t="str">
        <f>IF(ISTEXT(VLOOKUP(CONCATENATE($A79,"_",BD$3),'Unit List'!$A$23:$H$3256,2,FALSE)),"X",$BA79)</f>
        <v/>
      </c>
      <c r="BE79" s="125" t="str">
        <f>IF(ISTEXT(VLOOKUP(CONCATENATE($A79,"_",BE$3),'Unit List'!$A$23:$H$3256,2,FALSE)),"+","")</f>
        <v/>
      </c>
      <c r="BF79" s="75" t="str">
        <f>IF(ISTEXT(VLOOKUP(CONCATENATE($A79,"_",BF$3),'Unit List'!$A$23:$H$3256,2,FALSE)),"X",$BE79)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List'!$A$23:$H$3256,2,FALSE)),"+","")</f>
        <v>+</v>
      </c>
      <c r="C80" s="119" t="str">
        <f>IF(ISTEXT(VLOOKUP(CONCATENATE($A80,"_",C$3),'Unit List'!$A$23:$H$3256,2,FALSE)),"X",$B80)</f>
        <v>+</v>
      </c>
      <c r="D80" s="120" t="str">
        <f>IF(ISTEXT(VLOOKUP(CONCATENATE($A80,"_",D$3),'Unit List'!$A$23:$H$3256,2,FALSE)),"X",$B80)</f>
        <v>+</v>
      </c>
      <c r="E80" s="120" t="str">
        <f>IF(ISTEXT(VLOOKUP(CONCATENATE($A80,"_",E$3),'Unit List'!$A$23:$H$3256,2,FALSE)),"X",$B80)</f>
        <v>+</v>
      </c>
      <c r="F80" s="120" t="str">
        <f>IF(ISTEXT(VLOOKUP(CONCATENATE($A80,"_",F$3),'Unit List'!$A$23:$H$3256,2,FALSE)),"X",$B80)</f>
        <v>+</v>
      </c>
      <c r="G80" s="120" t="str">
        <f>IF(ISTEXT(VLOOKUP(CONCATENATE($A80,"_",G$3),'Unit List'!$A$23:$H$3256,2,FALSE)),"X",$B80)</f>
        <v>+</v>
      </c>
      <c r="H80" s="120" t="str">
        <f>IF(ISTEXT(VLOOKUP(CONCATENATE($A80,"_",H$3),'Unit List'!$A$23:$H$3256,2,FALSE)),"X",$B80)</f>
        <v>+</v>
      </c>
      <c r="I80" s="122" t="str">
        <f>IF(ISTEXT(VLOOKUP(CONCATENATE($A80,"_",I$3),'Unit List'!$A$23:$H$3256,2,FALSE)),"X",$B80)</f>
        <v>+</v>
      </c>
      <c r="J80" s="172" t="str">
        <f>IF(ISTEXT(VLOOKUP(CONCATENATE($A80,"_",J$3),'Unit List'!$A$23:$H$3256,2,FALSE)),"+","")</f>
        <v>+</v>
      </c>
      <c r="K80" s="120" t="str">
        <f>IF(ISTEXT(VLOOKUP(CONCATENATE($A80,"_",K$3),'Unit List'!$A$23:$H$3256,2,FALSE)),"X",$J80)</f>
        <v>+</v>
      </c>
      <c r="L80" s="75" t="str">
        <f>IF(ISTEXT(VLOOKUP(CONCATENATE($A80,"_",L$3),'Unit List'!$A$23:$H$3256,2,FALSE)),"X",$J80)</f>
        <v>+</v>
      </c>
      <c r="M80" s="172" t="str">
        <f>IF(ISTEXT(VLOOKUP(CONCATENATE($A80,"_",M$3),'Unit List'!$A$23:$H$3256,2,FALSE)),"+","")</f>
        <v>+</v>
      </c>
      <c r="N80" s="120" t="str">
        <f>IF(ISTEXT(VLOOKUP(CONCATENATE($A80,"_",N$3),'Unit List'!$A$23:$H$3256,2,FALSE)),"X",$M80)</f>
        <v>+</v>
      </c>
      <c r="O80" s="122" t="str">
        <f>IF(ISTEXT(VLOOKUP(CONCATENATE($A80,"_",O$3),'Unit List'!$A$23:$H$3256,2,FALSE)),"X",$M80)</f>
        <v>+</v>
      </c>
      <c r="P80" s="172" t="str">
        <f>IF(ISTEXT(VLOOKUP(CONCATENATE($A80,"_",P$3),'Unit List'!$A$23:$H$3256,2,FALSE)),"+","")</f>
        <v/>
      </c>
      <c r="Q80" s="120" t="str">
        <f>IF(ISTEXT(VLOOKUP(CONCATENATE($A80,"_",Q$3),'Unit List'!$A$23:$H$3256,2,FALSE)),"X",$P80)</f>
        <v/>
      </c>
      <c r="R80" s="120" t="str">
        <f>IF(ISTEXT(VLOOKUP(CONCATENATE($A80,"_",R$3),'Unit List'!$A$23:$H$3256,2,FALSE)),"X",$P80)</f>
        <v/>
      </c>
      <c r="S80" s="120" t="str">
        <f>IF(ISTEXT(VLOOKUP(CONCATENATE($A80,"_",S$3),'Unit List'!$A$23:$H$3256,2,FALSE)),"X",$P80)</f>
        <v/>
      </c>
      <c r="T80" s="121" t="str">
        <f>IF(ISTEXT(VLOOKUP(CONCATENATE($A80,"_",T$3),'Unit List'!$A$23:$H$3256,2,FALSE)),"X",$P80)</f>
        <v/>
      </c>
      <c r="U80" s="120" t="str">
        <f>IF(ISTEXT(VLOOKUP(CONCATENATE($A80,"_",U$3),'Unit List'!$A$23:$H$3256,2,FALSE)),"X",$P80)</f>
        <v/>
      </c>
      <c r="V80" s="120" t="str">
        <f>IF(ISTEXT(VLOOKUP(CONCATENATE($A80,"_",V$3),'Unit List'!$A$23:$H$3256,2,FALSE)),"X",$P80)</f>
        <v/>
      </c>
      <c r="W80" s="122" t="str">
        <f>IF(ISTEXT(VLOOKUP(CONCATENATE($A80,"_",W$3),'Unit List'!$A$23:$H$3256,2,FALSE)),"X",$P80)</f>
        <v/>
      </c>
      <c r="X80" s="172" t="str">
        <f>IF(ISTEXT(VLOOKUP(CONCATENATE($A80,"_",X$3),'Unit List'!$A$23:$H$3256,2,FALSE)),"+","")</f>
        <v/>
      </c>
      <c r="Y80" s="120" t="str">
        <f>IF(ISTEXT(VLOOKUP(CONCATENATE($A80,"_",Y$3),'Unit List'!$A$23:$H$3256,2,FALSE)),"X",$X80)</f>
        <v/>
      </c>
      <c r="Z80" s="120" t="str">
        <f>IF(ISTEXT(VLOOKUP(CONCATENATE($A80,"_",Z$3),'Unit List'!$A$23:$H$3256,2,FALSE)),"X",$X80)</f>
        <v/>
      </c>
      <c r="AA80" s="120" t="str">
        <f>IF(ISTEXT(VLOOKUP(CONCATENATE($A80,"_",AA$3),'Unit List'!$A$23:$H$3256,2,FALSE)),"X",$X80)</f>
        <v/>
      </c>
      <c r="AB80" s="120" t="str">
        <f>IF(ISTEXT(VLOOKUP(CONCATENATE($A80,"_",AB$3),'Unit List'!$A$23:$H$3256,2,FALSE)),"X",$X80)</f>
        <v/>
      </c>
      <c r="AC80" s="75" t="str">
        <f>IF(ISTEXT(VLOOKUP(CONCATENATE($A80,"_",AC$3),'Unit List'!$A$23:$H$3256,2,FALSE)),"X",$X80)</f>
        <v/>
      </c>
      <c r="AD80" s="172" t="str">
        <f>IF(ISTEXT(VLOOKUP(CONCATENATE($A80,"_",AD$3),'Unit List'!$A$23:$H$3256,2,FALSE)),"+","")</f>
        <v/>
      </c>
      <c r="AE80" s="120" t="str">
        <f>IF(ISTEXT(VLOOKUP(CONCATENATE($A80,"_",AE$3),'Unit List'!$A$23:$H$3256,2,FALSE)),"X",$AD80)</f>
        <v/>
      </c>
      <c r="AF80" s="120" t="str">
        <f>IF(ISTEXT(VLOOKUP(CONCATENATE($A80,"_",AF$3),'Unit List'!$A$23:$H$3256,2,FALSE)),"X",$AD80)</f>
        <v/>
      </c>
      <c r="AG80" s="172" t="str">
        <f>IF(ISTEXT(VLOOKUP(CONCATENATE($A80,"_",AG$3),'Unit List'!$A$23:$H$3256,2,FALSE)),"+","")</f>
        <v/>
      </c>
      <c r="AH80" s="120" t="str">
        <f>IF(ISTEXT(VLOOKUP(CONCATENATE($A80,"_",AH$3),'Unit List'!$A$23:$H$3256,2,FALSE)),"X",$AG80)</f>
        <v/>
      </c>
      <c r="AI80" s="120" t="str">
        <f>IF(ISTEXT(VLOOKUP(CONCATENATE($A80,"_",AI$3),'Unit List'!$A$23:$H$3256,2,FALSE)),"X",$AG80)</f>
        <v/>
      </c>
      <c r="AJ80" s="122" t="str">
        <f>IF(ISTEXT(VLOOKUP(CONCATENATE($A80,"_",AJ$3),'Unit List'!$A$23:$H$3256,2,FALSE)),"X",$AG80)</f>
        <v/>
      </c>
      <c r="AK80" s="172" t="str">
        <f>IF(ISTEXT(VLOOKUP(CONCATENATE($A80,"_",AK$3),'Unit List'!$A$23:$H$3256,2,FALSE)),"+","")</f>
        <v>+</v>
      </c>
      <c r="AL80" s="121" t="str">
        <f>IF(ISTEXT(VLOOKUP(CONCATENATE($A80,"_",AL$3),'Unit List'!$A$23:$H$3256,2,FALSE)),"X",$AK80)</f>
        <v>+</v>
      </c>
      <c r="AM80" s="122" t="str">
        <f>IF(ISTEXT(VLOOKUP(CONCATENATE($A80,"_",AM$3),'Unit List'!$A$23:$H$3256,2,FALSE)),"X",$AK80)</f>
        <v>+</v>
      </c>
      <c r="AN80" s="125" t="str">
        <f>IF(ISTEXT(VLOOKUP(CONCATENATE($A80,"_",AN$3),'Unit List'!$A$23:$H$3256,2,FALSE)),"+","")</f>
        <v/>
      </c>
      <c r="AO80" s="122" t="str">
        <f>IF(ISTEXT(VLOOKUP(CONCATENATE($A80,"_",AO$3),'Unit List'!$A$23:$H$3256,2,FALSE)),"X",$AN80)</f>
        <v/>
      </c>
      <c r="AP80" s="172" t="str">
        <f>IF(ISTEXT(VLOOKUP(CONCATENATE($A80,"_",AP$3),'Unit List'!$A$23:$H$3256,2,FALSE)),"+","")</f>
        <v/>
      </c>
      <c r="AQ80" s="120" t="str">
        <f>IF(ISTEXT(VLOOKUP(CONCATENATE($A80,"_",AQ$3),'Unit List'!$A$23:$H$3256,2,FALSE)),"X",$AP80)</f>
        <v/>
      </c>
      <c r="AR80" s="120" t="str">
        <f>IF(ISTEXT(VLOOKUP(CONCATENATE($A80,"_",AR$3),'Unit List'!$A$23:$H$3256,2,FALSE)),"X",$AP80)</f>
        <v/>
      </c>
      <c r="AS80" s="120" t="str">
        <f>IF(ISTEXT(VLOOKUP(CONCATENATE($A80,"_",AS$3),'Unit List'!$A$23:$H$3256,2,FALSE)),"X",$AP80)</f>
        <v/>
      </c>
      <c r="AT80" s="122" t="str">
        <f>IF(ISTEXT(VLOOKUP(CONCATENATE($A80,"_",AT$3),'Unit List'!$A$23:$H$3256,2,FALSE)),"X",$AP80)</f>
        <v/>
      </c>
      <c r="AU80" s="124" t="str">
        <f>IF(ISTEXT(VLOOKUP(CONCATENATE($A80,"_",AU$3),'Unit List'!$A$23:$H$3256,2,FALSE)),"+","")</f>
        <v/>
      </c>
      <c r="AV80" s="120" t="str">
        <f>IF(ISTEXT(VLOOKUP(CONCATENATE($A80,"_",AV$3),'Unit List'!$A$23:$H$3256,2,FALSE)),"X",$AU80)</f>
        <v/>
      </c>
      <c r="AW80" s="122" t="str">
        <f>IF(ISTEXT(VLOOKUP(CONCATENATE($A80,"_",AW$3),'Unit List'!$A$23:$H$3256,2,FALSE)),"X",$AU80)</f>
        <v/>
      </c>
      <c r="AX80" s="172" t="str">
        <f>IF(ISTEXT(VLOOKUP(CONCATENATE($A80,"_",AX$3),'Unit List'!$A$23:$H$3256,2,FALSE)),"+","")</f>
        <v/>
      </c>
      <c r="AY80" s="120" t="str">
        <f>IF(ISTEXT(VLOOKUP(CONCATENATE($A80,"_",AY$3),'Unit List'!$A$23:$H$3256,2,FALSE)),"X",$AX80)</f>
        <v/>
      </c>
      <c r="AZ80" s="122" t="str">
        <f>IF(ISTEXT(VLOOKUP(CONCATENATE($A80,"_",AZ$3),'Unit List'!$A$23:$H$3256,2,FALSE)),"X",$AX80)</f>
        <v/>
      </c>
      <c r="BA80" s="182" t="str">
        <f>IF(ISTEXT(VLOOKUP(CONCATENATE($A80,"_",BA$3),'Unit List'!$A$23:$H$3256,2,FALSE)),"+","")</f>
        <v/>
      </c>
      <c r="BB80" s="120" t="str">
        <f>IF(ISTEXT(VLOOKUP(CONCATENATE($A80,"_",BB$3),'Unit List'!$A$23:$H$3256,2,FALSE)),"X",$BA80)</f>
        <v/>
      </c>
      <c r="BC80" s="120" t="str">
        <f>IF(ISTEXT(VLOOKUP(CONCATENATE($A80,"_",BC$3),'Unit List'!$A$23:$H$3256,2,FALSE)),"X",$BA80)</f>
        <v/>
      </c>
      <c r="BD80" s="122" t="str">
        <f>IF(ISTEXT(VLOOKUP(CONCATENATE($A80,"_",BD$3),'Unit List'!$A$23:$H$3256,2,FALSE)),"X",$BA80)</f>
        <v/>
      </c>
      <c r="BE80" s="125" t="str">
        <f>IF(ISTEXT(VLOOKUP(CONCATENATE($A80,"_",BE$3),'Unit List'!$A$23:$H$3256,2,FALSE)),"+","")</f>
        <v/>
      </c>
      <c r="BF80" s="75" t="str">
        <f>IF(ISTEXT(VLOOKUP(CONCATENATE($A80,"_",BF$3),'Unit List'!$A$23:$H$3256,2,FALSE)),"X",$BE80)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List'!$A$23:$H$3256,2,FALSE)),"+","")</f>
        <v/>
      </c>
      <c r="C81" s="119" t="str">
        <f>IF(ISTEXT(VLOOKUP(CONCATENATE($A81,"_",C$3),'Unit List'!$A$23:$H$3256,2,FALSE)),"X",$B81)</f>
        <v/>
      </c>
      <c r="D81" s="120" t="str">
        <f>IF(ISTEXT(VLOOKUP(CONCATENATE($A81,"_",D$3),'Unit List'!$A$23:$H$3256,2,FALSE)),"X",$B81)</f>
        <v/>
      </c>
      <c r="E81" s="120" t="str">
        <f>IF(ISTEXT(VLOOKUP(CONCATENATE($A81,"_",E$3),'Unit List'!$A$23:$H$3256,2,FALSE)),"X",$B81)</f>
        <v/>
      </c>
      <c r="F81" s="120" t="str">
        <f>IF(ISTEXT(VLOOKUP(CONCATENATE($A81,"_",F$3),'Unit List'!$A$23:$H$3256,2,FALSE)),"X",$B81)</f>
        <v/>
      </c>
      <c r="G81" s="120" t="str">
        <f>IF(ISTEXT(VLOOKUP(CONCATENATE($A81,"_",G$3),'Unit List'!$A$23:$H$3256,2,FALSE)),"X",$B81)</f>
        <v/>
      </c>
      <c r="H81" s="120" t="str">
        <f>IF(ISTEXT(VLOOKUP(CONCATENATE($A81,"_",H$3),'Unit List'!$A$23:$H$3256,2,FALSE)),"X",$B81)</f>
        <v/>
      </c>
      <c r="I81" s="122" t="str">
        <f>IF(ISTEXT(VLOOKUP(CONCATENATE($A81,"_",I$3),'Unit List'!$A$23:$H$3256,2,FALSE)),"X",$B81)</f>
        <v/>
      </c>
      <c r="J81" s="172" t="str">
        <f>IF(ISTEXT(VLOOKUP(CONCATENATE($A81,"_",J$3),'Unit List'!$A$23:$H$3256,2,FALSE)),"+","")</f>
        <v/>
      </c>
      <c r="K81" s="120" t="str">
        <f>IF(ISTEXT(VLOOKUP(CONCATENATE($A81,"_",K$3),'Unit List'!$A$23:$H$3256,2,FALSE)),"X",$J81)</f>
        <v/>
      </c>
      <c r="L81" s="75" t="str">
        <f>IF(ISTEXT(VLOOKUP(CONCATENATE($A81,"_",L$3),'Unit List'!$A$23:$H$3256,2,FALSE)),"X",$J81)</f>
        <v/>
      </c>
      <c r="M81" s="172" t="str">
        <f>IF(ISTEXT(VLOOKUP(CONCATENATE($A81,"_",M$3),'Unit List'!$A$23:$H$3256,2,FALSE)),"+","")</f>
        <v/>
      </c>
      <c r="N81" s="120" t="str">
        <f>IF(ISTEXT(VLOOKUP(CONCATENATE($A81,"_",N$3),'Unit List'!$A$23:$H$3256,2,FALSE)),"X",$M81)</f>
        <v/>
      </c>
      <c r="O81" s="122" t="str">
        <f>IF(ISTEXT(VLOOKUP(CONCATENATE($A81,"_",O$3),'Unit List'!$A$23:$H$3256,2,FALSE)),"X",$M81)</f>
        <v/>
      </c>
      <c r="P81" s="172" t="str">
        <f>IF(ISTEXT(VLOOKUP(CONCATENATE($A81,"_",P$3),'Unit List'!$A$23:$H$3256,2,FALSE)),"+","")</f>
        <v/>
      </c>
      <c r="Q81" s="120" t="str">
        <f>IF(ISTEXT(VLOOKUP(CONCATENATE($A81,"_",Q$3),'Unit List'!$A$23:$H$3256,2,FALSE)),"X",$P81)</f>
        <v/>
      </c>
      <c r="R81" s="120" t="str">
        <f>IF(ISTEXT(VLOOKUP(CONCATENATE($A81,"_",R$3),'Unit List'!$A$23:$H$3256,2,FALSE)),"X",$P81)</f>
        <v/>
      </c>
      <c r="S81" s="120" t="str">
        <f>IF(ISTEXT(VLOOKUP(CONCATENATE($A81,"_",S$3),'Unit List'!$A$23:$H$3256,2,FALSE)),"X",$P81)</f>
        <v/>
      </c>
      <c r="T81" s="121" t="str">
        <f>IF(ISTEXT(VLOOKUP(CONCATENATE($A81,"_",T$3),'Unit List'!$A$23:$H$3256,2,FALSE)),"X",$P81)</f>
        <v/>
      </c>
      <c r="U81" s="120" t="str">
        <f>IF(ISTEXT(VLOOKUP(CONCATENATE($A81,"_",U$3),'Unit List'!$A$23:$H$3256,2,FALSE)),"X",$P81)</f>
        <v/>
      </c>
      <c r="V81" s="120" t="str">
        <f>IF(ISTEXT(VLOOKUP(CONCATENATE($A81,"_",V$3),'Unit List'!$A$23:$H$3256,2,FALSE)),"X",$P81)</f>
        <v/>
      </c>
      <c r="W81" s="122" t="str">
        <f>IF(ISTEXT(VLOOKUP(CONCATENATE($A81,"_",W$3),'Unit List'!$A$23:$H$3256,2,FALSE)),"X",$P81)</f>
        <v/>
      </c>
      <c r="X81" s="172" t="str">
        <f>IF(ISTEXT(VLOOKUP(CONCATENATE($A81,"_",X$3),'Unit List'!$A$23:$H$3256,2,FALSE)),"+","")</f>
        <v/>
      </c>
      <c r="Y81" s="120" t="str">
        <f>IF(ISTEXT(VLOOKUP(CONCATENATE($A81,"_",Y$3),'Unit List'!$A$23:$H$3256,2,FALSE)),"X",$X81)</f>
        <v/>
      </c>
      <c r="Z81" s="120" t="str">
        <f>IF(ISTEXT(VLOOKUP(CONCATENATE($A81,"_",Z$3),'Unit List'!$A$23:$H$3256,2,FALSE)),"X",$X81)</f>
        <v/>
      </c>
      <c r="AA81" s="120" t="str">
        <f>IF(ISTEXT(VLOOKUP(CONCATENATE($A81,"_",AA$3),'Unit List'!$A$23:$H$3256,2,FALSE)),"X",$X81)</f>
        <v/>
      </c>
      <c r="AB81" s="120" t="str">
        <f>IF(ISTEXT(VLOOKUP(CONCATENATE($A81,"_",AB$3),'Unit List'!$A$23:$H$3256,2,FALSE)),"X",$X81)</f>
        <v/>
      </c>
      <c r="AC81" s="75" t="str">
        <f>IF(ISTEXT(VLOOKUP(CONCATENATE($A81,"_",AC$3),'Unit List'!$A$23:$H$3256,2,FALSE)),"X",$X81)</f>
        <v/>
      </c>
      <c r="AD81" s="172" t="str">
        <f>IF(ISTEXT(VLOOKUP(CONCATENATE($A81,"_",AD$3),'Unit List'!$A$23:$H$3256,2,FALSE)),"+","")</f>
        <v/>
      </c>
      <c r="AE81" s="120" t="str">
        <f>IF(ISTEXT(VLOOKUP(CONCATENATE($A81,"_",AE$3),'Unit List'!$A$23:$H$3256,2,FALSE)),"X",$AD81)</f>
        <v/>
      </c>
      <c r="AF81" s="120" t="str">
        <f>IF(ISTEXT(VLOOKUP(CONCATENATE($A81,"_",AF$3),'Unit List'!$A$23:$H$3256,2,FALSE)),"X",$AD81)</f>
        <v/>
      </c>
      <c r="AG81" s="172" t="str">
        <f>IF(ISTEXT(VLOOKUP(CONCATENATE($A81,"_",AG$3),'Unit List'!$A$23:$H$3256,2,FALSE)),"+","")</f>
        <v/>
      </c>
      <c r="AH81" s="120" t="str">
        <f>IF(ISTEXT(VLOOKUP(CONCATENATE($A81,"_",AH$3),'Unit List'!$A$23:$H$3256,2,FALSE)),"X",$AG81)</f>
        <v/>
      </c>
      <c r="AI81" s="120" t="str">
        <f>IF(ISTEXT(VLOOKUP(CONCATENATE($A81,"_",AI$3),'Unit List'!$A$23:$H$3256,2,FALSE)),"X",$AG81)</f>
        <v/>
      </c>
      <c r="AJ81" s="122" t="str">
        <f>IF(ISTEXT(VLOOKUP(CONCATENATE($A81,"_",AJ$3),'Unit List'!$A$23:$H$3256,2,FALSE)),"X",$AG81)</f>
        <v/>
      </c>
      <c r="AK81" s="172" t="str">
        <f>IF(ISTEXT(VLOOKUP(CONCATENATE($A81,"_",AK$3),'Unit List'!$A$23:$H$3256,2,FALSE)),"+","")</f>
        <v/>
      </c>
      <c r="AL81" s="121" t="str">
        <f>IF(ISTEXT(VLOOKUP(CONCATENATE($A81,"_",AL$3),'Unit List'!$A$23:$H$3256,2,FALSE)),"X",$AK81)</f>
        <v/>
      </c>
      <c r="AM81" s="122" t="str">
        <f>IF(ISTEXT(VLOOKUP(CONCATENATE($A81,"_",AM$3),'Unit List'!$A$23:$H$3256,2,FALSE)),"X",$AK81)</f>
        <v/>
      </c>
      <c r="AN81" s="125" t="str">
        <f>IF(ISTEXT(VLOOKUP(CONCATENATE($A81,"_",AN$3),'Unit List'!$A$23:$H$3256,2,FALSE)),"+","")</f>
        <v/>
      </c>
      <c r="AO81" s="122" t="str">
        <f>IF(ISTEXT(VLOOKUP(CONCATENATE($A81,"_",AO$3),'Unit List'!$A$23:$H$3256,2,FALSE)),"X",$AN81)</f>
        <v/>
      </c>
      <c r="AP81" s="172" t="str">
        <f>IF(ISTEXT(VLOOKUP(CONCATENATE($A81,"_",AP$3),'Unit List'!$A$23:$H$3256,2,FALSE)),"+","")</f>
        <v/>
      </c>
      <c r="AQ81" s="120" t="str">
        <f>IF(ISTEXT(VLOOKUP(CONCATENATE($A81,"_",AQ$3),'Unit List'!$A$23:$H$3256,2,FALSE)),"X",$AP81)</f>
        <v/>
      </c>
      <c r="AR81" s="120" t="str">
        <f>IF(ISTEXT(VLOOKUP(CONCATENATE($A81,"_",AR$3),'Unit List'!$A$23:$H$3256,2,FALSE)),"X",$AP81)</f>
        <v/>
      </c>
      <c r="AS81" s="120" t="str">
        <f>IF(ISTEXT(VLOOKUP(CONCATENATE($A81,"_",AS$3),'Unit List'!$A$23:$H$3256,2,FALSE)),"X",$AP81)</f>
        <v/>
      </c>
      <c r="AT81" s="122" t="str">
        <f>IF(ISTEXT(VLOOKUP(CONCATENATE($A81,"_",AT$3),'Unit List'!$A$23:$H$3256,2,FALSE)),"X",$AP81)</f>
        <v/>
      </c>
      <c r="AU81" s="124" t="str">
        <f>IF(ISTEXT(VLOOKUP(CONCATENATE($A81,"_",AU$3),'Unit List'!$A$23:$H$3256,2,FALSE)),"+","")</f>
        <v/>
      </c>
      <c r="AV81" s="120" t="str">
        <f>IF(ISTEXT(VLOOKUP(CONCATENATE($A81,"_",AV$3),'Unit List'!$A$23:$H$3256,2,FALSE)),"X",$AU81)</f>
        <v/>
      </c>
      <c r="AW81" s="122" t="str">
        <f>IF(ISTEXT(VLOOKUP(CONCATENATE($A81,"_",AW$3),'Unit List'!$A$23:$H$3256,2,FALSE)),"X",$AU81)</f>
        <v/>
      </c>
      <c r="AX81" s="172" t="str">
        <f>IF(ISTEXT(VLOOKUP(CONCATENATE($A81,"_",AX$3),'Unit List'!$A$23:$H$3256,2,FALSE)),"+","")</f>
        <v/>
      </c>
      <c r="AY81" s="120" t="str">
        <f>IF(ISTEXT(VLOOKUP(CONCATENATE($A81,"_",AY$3),'Unit List'!$A$23:$H$3256,2,FALSE)),"X",$AX81)</f>
        <v/>
      </c>
      <c r="AZ81" s="122" t="str">
        <f>IF(ISTEXT(VLOOKUP(CONCATENATE($A81,"_",AZ$3),'Unit List'!$A$23:$H$3256,2,FALSE)),"X",$AX81)</f>
        <v/>
      </c>
      <c r="BA81" s="182" t="str">
        <f>IF(ISTEXT(VLOOKUP(CONCATENATE($A81,"_",BA$3),'Unit List'!$A$23:$H$3256,2,FALSE)),"+","")</f>
        <v/>
      </c>
      <c r="BB81" s="120" t="str">
        <f>IF(ISTEXT(VLOOKUP(CONCATENATE($A81,"_",BB$3),'Unit List'!$A$23:$H$3256,2,FALSE)),"X",$BA81)</f>
        <v/>
      </c>
      <c r="BC81" s="120" t="str">
        <f>IF(ISTEXT(VLOOKUP(CONCATENATE($A81,"_",BC$3),'Unit List'!$A$23:$H$3256,2,FALSE)),"X",$BA81)</f>
        <v/>
      </c>
      <c r="BD81" s="122" t="str">
        <f>IF(ISTEXT(VLOOKUP(CONCATENATE($A81,"_",BD$3),'Unit List'!$A$23:$H$3256,2,FALSE)),"X",$BA81)</f>
        <v/>
      </c>
      <c r="BE81" s="125" t="str">
        <f>IF(ISTEXT(VLOOKUP(CONCATENATE($A81,"_",BE$3),'Unit List'!$A$23:$H$3256,2,FALSE)),"+","")</f>
        <v/>
      </c>
      <c r="BF81" s="75" t="str">
        <f>IF(ISTEXT(VLOOKUP(CONCATENATE($A81,"_",BF$3),'Unit List'!$A$23:$H$3256,2,FALSE)),"X",$BE81)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List'!$A$23:$H$3256,2,FALSE)),"+","")</f>
        <v/>
      </c>
      <c r="C82" s="119" t="str">
        <f>IF(ISTEXT(VLOOKUP(CONCATENATE($A82,"_",C$3),'Unit List'!$A$23:$H$3256,2,FALSE)),"X",$B82)</f>
        <v/>
      </c>
      <c r="D82" s="120" t="str">
        <f>IF(ISTEXT(VLOOKUP(CONCATENATE($A82,"_",D$3),'Unit List'!$A$23:$H$3256,2,FALSE)),"X",$B82)</f>
        <v/>
      </c>
      <c r="E82" s="120" t="str">
        <f>IF(ISTEXT(VLOOKUP(CONCATENATE($A82,"_",E$3),'Unit List'!$A$23:$H$3256,2,FALSE)),"X",$B82)</f>
        <v/>
      </c>
      <c r="F82" s="120" t="str">
        <f>IF(ISTEXT(VLOOKUP(CONCATENATE($A82,"_",F$3),'Unit List'!$A$23:$H$3256,2,FALSE)),"X",$B82)</f>
        <v/>
      </c>
      <c r="G82" s="120" t="str">
        <f>IF(ISTEXT(VLOOKUP(CONCATENATE($A82,"_",G$3),'Unit List'!$A$23:$H$3256,2,FALSE)),"X",$B82)</f>
        <v/>
      </c>
      <c r="H82" s="120" t="str">
        <f>IF(ISTEXT(VLOOKUP(CONCATENATE($A82,"_",H$3),'Unit List'!$A$23:$H$3256,2,FALSE)),"X",$B82)</f>
        <v/>
      </c>
      <c r="I82" s="122" t="str">
        <f>IF(ISTEXT(VLOOKUP(CONCATENATE($A82,"_",I$3),'Unit List'!$A$23:$H$3256,2,FALSE)),"X",$B82)</f>
        <v/>
      </c>
      <c r="J82" s="172" t="str">
        <f>IF(ISTEXT(VLOOKUP(CONCATENATE($A82,"_",J$3),'Unit List'!$A$23:$H$3256,2,FALSE)),"+","")</f>
        <v/>
      </c>
      <c r="K82" s="120" t="str">
        <f>IF(ISTEXT(VLOOKUP(CONCATENATE($A82,"_",K$3),'Unit List'!$A$23:$H$3256,2,FALSE)),"X",$J82)</f>
        <v/>
      </c>
      <c r="L82" s="75" t="str">
        <f>IF(ISTEXT(VLOOKUP(CONCATENATE($A82,"_",L$3),'Unit List'!$A$23:$H$3256,2,FALSE)),"X",$J82)</f>
        <v/>
      </c>
      <c r="M82" s="172" t="str">
        <f>IF(ISTEXT(VLOOKUP(CONCATENATE($A82,"_",M$3),'Unit List'!$A$23:$H$3256,2,FALSE)),"+","")</f>
        <v/>
      </c>
      <c r="N82" s="120" t="str">
        <f>IF(ISTEXT(VLOOKUP(CONCATENATE($A82,"_",N$3),'Unit List'!$A$23:$H$3256,2,FALSE)),"X",$M82)</f>
        <v/>
      </c>
      <c r="O82" s="122" t="str">
        <f>IF(ISTEXT(VLOOKUP(CONCATENATE($A82,"_",O$3),'Unit List'!$A$23:$H$3256,2,FALSE)),"X",$M82)</f>
        <v/>
      </c>
      <c r="P82" s="172" t="str">
        <f>IF(ISTEXT(VLOOKUP(CONCATENATE($A82,"_",P$3),'Unit List'!$A$23:$H$3256,2,FALSE)),"+","")</f>
        <v/>
      </c>
      <c r="Q82" s="120" t="str">
        <f>IF(ISTEXT(VLOOKUP(CONCATENATE($A82,"_",Q$3),'Unit List'!$A$23:$H$3256,2,FALSE)),"X",$P82)</f>
        <v/>
      </c>
      <c r="R82" s="120" t="str">
        <f>IF(ISTEXT(VLOOKUP(CONCATENATE($A82,"_",R$3),'Unit List'!$A$23:$H$3256,2,FALSE)),"X",$P82)</f>
        <v/>
      </c>
      <c r="S82" s="120" t="str">
        <f>IF(ISTEXT(VLOOKUP(CONCATENATE($A82,"_",S$3),'Unit List'!$A$23:$H$3256,2,FALSE)),"X",$P82)</f>
        <v/>
      </c>
      <c r="T82" s="121" t="str">
        <f>IF(ISTEXT(VLOOKUP(CONCATENATE($A82,"_",T$3),'Unit List'!$A$23:$H$3256,2,FALSE)),"X",$P82)</f>
        <v/>
      </c>
      <c r="U82" s="120" t="str">
        <f>IF(ISTEXT(VLOOKUP(CONCATENATE($A82,"_",U$3),'Unit List'!$A$23:$H$3256,2,FALSE)),"X",$P82)</f>
        <v/>
      </c>
      <c r="V82" s="120" t="str">
        <f>IF(ISTEXT(VLOOKUP(CONCATENATE($A82,"_",V$3),'Unit List'!$A$23:$H$3256,2,FALSE)),"X",$P82)</f>
        <v/>
      </c>
      <c r="W82" s="122" t="str">
        <f>IF(ISTEXT(VLOOKUP(CONCATENATE($A82,"_",W$3),'Unit List'!$A$23:$H$3256,2,FALSE)),"X",$P82)</f>
        <v/>
      </c>
      <c r="X82" s="172" t="str">
        <f>IF(ISTEXT(VLOOKUP(CONCATENATE($A82,"_",X$3),'Unit List'!$A$23:$H$3256,2,FALSE)),"+","")</f>
        <v/>
      </c>
      <c r="Y82" s="120" t="str">
        <f>IF(ISTEXT(VLOOKUP(CONCATENATE($A82,"_",Y$3),'Unit List'!$A$23:$H$3256,2,FALSE)),"X",$X82)</f>
        <v/>
      </c>
      <c r="Z82" s="120" t="str">
        <f>IF(ISTEXT(VLOOKUP(CONCATENATE($A82,"_",Z$3),'Unit List'!$A$23:$H$3256,2,FALSE)),"X",$X82)</f>
        <v/>
      </c>
      <c r="AA82" s="120" t="str">
        <f>IF(ISTEXT(VLOOKUP(CONCATENATE($A82,"_",AA$3),'Unit List'!$A$23:$H$3256,2,FALSE)),"X",$X82)</f>
        <v/>
      </c>
      <c r="AB82" s="120" t="str">
        <f>IF(ISTEXT(VLOOKUP(CONCATENATE($A82,"_",AB$3),'Unit List'!$A$23:$H$3256,2,FALSE)),"X",$X82)</f>
        <v/>
      </c>
      <c r="AC82" s="75" t="str">
        <f>IF(ISTEXT(VLOOKUP(CONCATENATE($A82,"_",AC$3),'Unit List'!$A$23:$H$3256,2,FALSE)),"X",$X82)</f>
        <v/>
      </c>
      <c r="AD82" s="172" t="str">
        <f>IF(ISTEXT(VLOOKUP(CONCATENATE($A82,"_",AD$3),'Unit List'!$A$23:$H$3256,2,FALSE)),"+","")</f>
        <v/>
      </c>
      <c r="AE82" s="120" t="str">
        <f>IF(ISTEXT(VLOOKUP(CONCATENATE($A82,"_",AE$3),'Unit List'!$A$23:$H$3256,2,FALSE)),"X",$AD82)</f>
        <v/>
      </c>
      <c r="AF82" s="120" t="str">
        <f>IF(ISTEXT(VLOOKUP(CONCATENATE($A82,"_",AF$3),'Unit List'!$A$23:$H$3256,2,FALSE)),"X",$AD82)</f>
        <v/>
      </c>
      <c r="AG82" s="172" t="str">
        <f>IF(ISTEXT(VLOOKUP(CONCATENATE($A82,"_",AG$3),'Unit List'!$A$23:$H$3256,2,FALSE)),"+","")</f>
        <v/>
      </c>
      <c r="AH82" s="120" t="str">
        <f>IF(ISTEXT(VLOOKUP(CONCATENATE($A82,"_",AH$3),'Unit List'!$A$23:$H$3256,2,FALSE)),"X",$AG82)</f>
        <v/>
      </c>
      <c r="AI82" s="120" t="str">
        <f>IF(ISTEXT(VLOOKUP(CONCATENATE($A82,"_",AI$3),'Unit List'!$A$23:$H$3256,2,FALSE)),"X",$AG82)</f>
        <v/>
      </c>
      <c r="AJ82" s="122" t="str">
        <f>IF(ISTEXT(VLOOKUP(CONCATENATE($A82,"_",AJ$3),'Unit List'!$A$23:$H$3256,2,FALSE)),"X",$AG82)</f>
        <v/>
      </c>
      <c r="AK82" s="172" t="str">
        <f>IF(ISTEXT(VLOOKUP(CONCATENATE($A82,"_",AK$3),'Unit List'!$A$23:$H$3256,2,FALSE)),"+","")</f>
        <v/>
      </c>
      <c r="AL82" s="121" t="str">
        <f>IF(ISTEXT(VLOOKUP(CONCATENATE($A82,"_",AL$3),'Unit List'!$A$23:$H$3256,2,FALSE)),"X",$AK82)</f>
        <v/>
      </c>
      <c r="AM82" s="122" t="str">
        <f>IF(ISTEXT(VLOOKUP(CONCATENATE($A82,"_",AM$3),'Unit List'!$A$23:$H$3256,2,FALSE)),"X",$AK82)</f>
        <v/>
      </c>
      <c r="AN82" s="125" t="str">
        <f>IF(ISTEXT(VLOOKUP(CONCATENATE($A82,"_",AN$3),'Unit List'!$A$23:$H$3256,2,FALSE)),"+","")</f>
        <v/>
      </c>
      <c r="AO82" s="122" t="str">
        <f>IF(ISTEXT(VLOOKUP(CONCATENATE($A82,"_",AO$3),'Unit List'!$A$23:$H$3256,2,FALSE)),"X",$AN82)</f>
        <v/>
      </c>
      <c r="AP82" s="172" t="str">
        <f>IF(ISTEXT(VLOOKUP(CONCATENATE($A82,"_",AP$3),'Unit List'!$A$23:$H$3256,2,FALSE)),"+","")</f>
        <v/>
      </c>
      <c r="AQ82" s="120" t="str">
        <f>IF(ISTEXT(VLOOKUP(CONCATENATE($A82,"_",AQ$3),'Unit List'!$A$23:$H$3256,2,FALSE)),"X",$AP82)</f>
        <v/>
      </c>
      <c r="AR82" s="120" t="str">
        <f>IF(ISTEXT(VLOOKUP(CONCATENATE($A82,"_",AR$3),'Unit List'!$A$23:$H$3256,2,FALSE)),"X",$AP82)</f>
        <v/>
      </c>
      <c r="AS82" s="120" t="str">
        <f>IF(ISTEXT(VLOOKUP(CONCATENATE($A82,"_",AS$3),'Unit List'!$A$23:$H$3256,2,FALSE)),"X",$AP82)</f>
        <v/>
      </c>
      <c r="AT82" s="122" t="str">
        <f>IF(ISTEXT(VLOOKUP(CONCATENATE($A82,"_",AT$3),'Unit List'!$A$23:$H$3256,2,FALSE)),"X",$AP82)</f>
        <v/>
      </c>
      <c r="AU82" s="124" t="str">
        <f>IF(ISTEXT(VLOOKUP(CONCATENATE($A82,"_",AU$3),'Unit List'!$A$23:$H$3256,2,FALSE)),"+","")</f>
        <v/>
      </c>
      <c r="AV82" s="120" t="str">
        <f>IF(ISTEXT(VLOOKUP(CONCATENATE($A82,"_",AV$3),'Unit List'!$A$23:$H$3256,2,FALSE)),"X",$AU82)</f>
        <v/>
      </c>
      <c r="AW82" s="122" t="str">
        <f>IF(ISTEXT(VLOOKUP(CONCATENATE($A82,"_",AW$3),'Unit List'!$A$23:$H$3256,2,FALSE)),"X",$AU82)</f>
        <v/>
      </c>
      <c r="AX82" s="172" t="str">
        <f>IF(ISTEXT(VLOOKUP(CONCATENATE($A82,"_",AX$3),'Unit List'!$A$23:$H$3256,2,FALSE)),"+","")</f>
        <v/>
      </c>
      <c r="AY82" s="120" t="str">
        <f>IF(ISTEXT(VLOOKUP(CONCATENATE($A82,"_",AY$3),'Unit List'!$A$23:$H$3256,2,FALSE)),"X",$AX82)</f>
        <v/>
      </c>
      <c r="AZ82" s="122" t="str">
        <f>IF(ISTEXT(VLOOKUP(CONCATENATE($A82,"_",AZ$3),'Unit List'!$A$23:$H$3256,2,FALSE)),"X",$AX82)</f>
        <v/>
      </c>
      <c r="BA82" s="182" t="str">
        <f>IF(ISTEXT(VLOOKUP(CONCATENATE($A82,"_",BA$3),'Unit List'!$A$23:$H$3256,2,FALSE)),"+","")</f>
        <v/>
      </c>
      <c r="BB82" s="120" t="str">
        <f>IF(ISTEXT(VLOOKUP(CONCATENATE($A82,"_",BB$3),'Unit List'!$A$23:$H$3256,2,FALSE)),"X",$BA82)</f>
        <v/>
      </c>
      <c r="BC82" s="120" t="str">
        <f>IF(ISTEXT(VLOOKUP(CONCATENATE($A82,"_",BC$3),'Unit List'!$A$23:$H$3256,2,FALSE)),"X",$BA82)</f>
        <v/>
      </c>
      <c r="BD82" s="122" t="str">
        <f>IF(ISTEXT(VLOOKUP(CONCATENATE($A82,"_",BD$3),'Unit List'!$A$23:$H$3256,2,FALSE)),"X",$BA82)</f>
        <v/>
      </c>
      <c r="BE82" s="125" t="str">
        <f>IF(ISTEXT(VLOOKUP(CONCATENATE($A82,"_",BE$3),'Unit List'!$A$23:$H$3256,2,FALSE)),"+","")</f>
        <v/>
      </c>
      <c r="BF82" s="75" t="str">
        <f>IF(ISTEXT(VLOOKUP(CONCATENATE($A82,"_",BF$3),'Unit List'!$A$23:$H$3256,2,FALSE)),"X",$BE82)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List'!$A$23:$H$3256,2,FALSE)),"+","")</f>
        <v/>
      </c>
      <c r="C83" s="119" t="str">
        <f>IF(ISTEXT(VLOOKUP(CONCATENATE($A83,"_",C$3),'Unit List'!$A$23:$H$3256,2,FALSE)),"X",$B83)</f>
        <v/>
      </c>
      <c r="D83" s="120" t="str">
        <f>IF(ISTEXT(VLOOKUP(CONCATENATE($A83,"_",D$3),'Unit List'!$A$23:$H$3256,2,FALSE)),"X",$B83)</f>
        <v/>
      </c>
      <c r="E83" s="120" t="str">
        <f>IF(ISTEXT(VLOOKUP(CONCATENATE($A83,"_",E$3),'Unit List'!$A$23:$H$3256,2,FALSE)),"X",$B83)</f>
        <v/>
      </c>
      <c r="F83" s="120" t="str">
        <f>IF(ISTEXT(VLOOKUP(CONCATENATE($A83,"_",F$3),'Unit List'!$A$23:$H$3256,2,FALSE)),"X",$B83)</f>
        <v>X</v>
      </c>
      <c r="G83" s="120" t="str">
        <f>IF(ISTEXT(VLOOKUP(CONCATENATE($A83,"_",G$3),'Unit List'!$A$23:$H$3256,2,FALSE)),"X",$B83)</f>
        <v>X</v>
      </c>
      <c r="H83" s="120" t="str">
        <f>IF(ISTEXT(VLOOKUP(CONCATENATE($A83,"_",H$3),'Unit List'!$A$23:$H$3256,2,FALSE)),"X",$B83)</f>
        <v>X</v>
      </c>
      <c r="I83" s="122" t="str">
        <f>IF(ISTEXT(VLOOKUP(CONCATENATE($A83,"_",I$3),'Unit List'!$A$23:$H$3256,2,FALSE)),"X",$B83)</f>
        <v>X</v>
      </c>
      <c r="J83" s="172" t="str">
        <f>IF(ISTEXT(VLOOKUP(CONCATENATE($A83,"_",J$3),'Unit List'!$A$23:$H$3256,2,FALSE)),"+","")</f>
        <v/>
      </c>
      <c r="K83" s="120" t="str">
        <f>IF(ISTEXT(VLOOKUP(CONCATENATE($A83,"_",K$3),'Unit List'!$A$23:$H$3256,2,FALSE)),"X",$J83)</f>
        <v/>
      </c>
      <c r="L83" s="75" t="str">
        <f>IF(ISTEXT(VLOOKUP(CONCATENATE($A83,"_",L$3),'Unit List'!$A$23:$H$3256,2,FALSE)),"X",$J83)</f>
        <v>X</v>
      </c>
      <c r="M83" s="172" t="str">
        <f>IF(ISTEXT(VLOOKUP(CONCATENATE($A83,"_",M$3),'Unit List'!$A$23:$H$3256,2,FALSE)),"+","")</f>
        <v/>
      </c>
      <c r="N83" s="120" t="str">
        <f>IF(ISTEXT(VLOOKUP(CONCATENATE($A83,"_",N$3),'Unit List'!$A$23:$H$3256,2,FALSE)),"X",$M83)</f>
        <v>X</v>
      </c>
      <c r="O83" s="122" t="str">
        <f>IF(ISTEXT(VLOOKUP(CONCATENATE($A83,"_",O$3),'Unit List'!$A$23:$H$3256,2,FALSE)),"X",$M83)</f>
        <v>X</v>
      </c>
      <c r="P83" s="172" t="str">
        <f>IF(ISTEXT(VLOOKUP(CONCATENATE($A83,"_",P$3),'Unit List'!$A$23:$H$3256,2,FALSE)),"+","")</f>
        <v>+</v>
      </c>
      <c r="Q83" s="120" t="str">
        <f>IF(ISTEXT(VLOOKUP(CONCATENATE($A83,"_",Q$3),'Unit List'!$A$23:$H$3256,2,FALSE)),"X",$P83)</f>
        <v>+</v>
      </c>
      <c r="R83" s="120" t="str">
        <f>IF(ISTEXT(VLOOKUP(CONCATENATE($A83,"_",R$3),'Unit List'!$A$23:$H$3256,2,FALSE)),"X",$P83)</f>
        <v>+</v>
      </c>
      <c r="S83" s="120" t="str">
        <f>IF(ISTEXT(VLOOKUP(CONCATENATE($A83,"_",S$3),'Unit List'!$A$23:$H$3256,2,FALSE)),"X",$P83)</f>
        <v>+</v>
      </c>
      <c r="T83" s="121" t="str">
        <f>IF(ISTEXT(VLOOKUP(CONCATENATE($A83,"_",T$3),'Unit List'!$A$23:$H$3256,2,FALSE)),"X",$P83)</f>
        <v>+</v>
      </c>
      <c r="U83" s="120" t="str">
        <f>IF(ISTEXT(VLOOKUP(CONCATENATE($A83,"_",U$3),'Unit List'!$A$23:$H$3256,2,FALSE)),"X",$P83)</f>
        <v>X</v>
      </c>
      <c r="V83" s="120" t="str">
        <f>IF(ISTEXT(VLOOKUP(CONCATENATE($A83,"_",V$3),'Unit List'!$A$23:$H$3256,2,FALSE)),"X",$P83)</f>
        <v>X</v>
      </c>
      <c r="W83" s="122" t="str">
        <f>IF(ISTEXT(VLOOKUP(CONCATENATE($A83,"_",W$3),'Unit List'!$A$23:$H$3256,2,FALSE)),"X",$P83)</f>
        <v>+</v>
      </c>
      <c r="X83" s="172" t="str">
        <f>IF(ISTEXT(VLOOKUP(CONCATENATE($A83,"_",X$3),'Unit List'!$A$23:$H$3256,2,FALSE)),"+","")</f>
        <v/>
      </c>
      <c r="Y83" s="120" t="str">
        <f>IF(ISTEXT(VLOOKUP(CONCATENATE($A83,"_",Y$3),'Unit List'!$A$23:$H$3256,2,FALSE)),"X",$X83)</f>
        <v/>
      </c>
      <c r="Z83" s="120" t="str">
        <f>IF(ISTEXT(VLOOKUP(CONCATENATE($A83,"_",Z$3),'Unit List'!$A$23:$H$3256,2,FALSE)),"X",$X83)</f>
        <v/>
      </c>
      <c r="AA83" s="120" t="str">
        <f>IF(ISTEXT(VLOOKUP(CONCATENATE($A83,"_",AA$3),'Unit List'!$A$23:$H$3256,2,FALSE)),"X",$X83)</f>
        <v/>
      </c>
      <c r="AB83" s="120" t="str">
        <f>IF(ISTEXT(VLOOKUP(CONCATENATE($A83,"_",AB$3),'Unit List'!$A$23:$H$3256,2,FALSE)),"X",$X83)</f>
        <v/>
      </c>
      <c r="AC83" s="75" t="str">
        <f>IF(ISTEXT(VLOOKUP(CONCATENATE($A83,"_",AC$3),'Unit List'!$A$23:$H$3256,2,FALSE)),"X",$X83)</f>
        <v/>
      </c>
      <c r="AD83" s="172" t="str">
        <f>IF(ISTEXT(VLOOKUP(CONCATENATE($A83,"_",AD$3),'Unit List'!$A$23:$H$3256,2,FALSE)),"+","")</f>
        <v>+</v>
      </c>
      <c r="AE83" s="120" t="str">
        <f>IF(ISTEXT(VLOOKUP(CONCATENATE($A83,"_",AE$3),'Unit List'!$A$23:$H$3256,2,FALSE)),"X",$AD83)</f>
        <v>+</v>
      </c>
      <c r="AF83" s="120" t="str">
        <f>IF(ISTEXT(VLOOKUP(CONCATENATE($A83,"_",AF$3),'Unit List'!$A$23:$H$3256,2,FALSE)),"X",$AD83)</f>
        <v>+</v>
      </c>
      <c r="AG83" s="172" t="str">
        <f>IF(ISTEXT(VLOOKUP(CONCATENATE($A83,"_",AG$3),'Unit List'!$A$23:$H$3256,2,FALSE)),"+","")</f>
        <v/>
      </c>
      <c r="AH83" s="120" t="str">
        <f>IF(ISTEXT(VLOOKUP(CONCATENATE($A83,"_",AH$3),'Unit List'!$A$23:$H$3256,2,FALSE)),"X",$AG83)</f>
        <v/>
      </c>
      <c r="AI83" s="120" t="str">
        <f>IF(ISTEXT(VLOOKUP(CONCATENATE($A83,"_",AI$3),'Unit List'!$A$23:$H$3256,2,FALSE)),"X",$AG83)</f>
        <v/>
      </c>
      <c r="AJ83" s="122" t="str">
        <f>IF(ISTEXT(VLOOKUP(CONCATENATE($A83,"_",AJ$3),'Unit List'!$A$23:$H$3256,2,FALSE)),"X",$AG83)</f>
        <v/>
      </c>
      <c r="AK83" s="172" t="str">
        <f>IF(ISTEXT(VLOOKUP(CONCATENATE($A83,"_",AK$3),'Unit List'!$A$23:$H$3256,2,FALSE)),"+","")</f>
        <v/>
      </c>
      <c r="AL83" s="121" t="str">
        <f>IF(ISTEXT(VLOOKUP(CONCATENATE($A83,"_",AL$3),'Unit List'!$A$23:$H$3256,2,FALSE)),"X",$AK83)</f>
        <v/>
      </c>
      <c r="AM83" s="122" t="str">
        <f>IF(ISTEXT(VLOOKUP(CONCATENATE($A83,"_",AM$3),'Unit List'!$A$23:$H$3256,2,FALSE)),"X",$AK83)</f>
        <v>X</v>
      </c>
      <c r="AN83" s="125" t="str">
        <f>IF(ISTEXT(VLOOKUP(CONCATENATE($A83,"_",AN$3),'Unit List'!$A$23:$H$3256,2,FALSE)),"+","")</f>
        <v/>
      </c>
      <c r="AO83" s="122" t="str">
        <f>IF(ISTEXT(VLOOKUP(CONCATENATE($A83,"_",AO$3),'Unit List'!$A$23:$H$3256,2,FALSE)),"X",$AN83)</f>
        <v/>
      </c>
      <c r="AP83" s="172" t="str">
        <f>IF(ISTEXT(VLOOKUP(CONCATENATE($A83,"_",AP$3),'Unit List'!$A$23:$H$3256,2,FALSE)),"+","")</f>
        <v/>
      </c>
      <c r="AQ83" s="120" t="str">
        <f>IF(ISTEXT(VLOOKUP(CONCATENATE($A83,"_",AQ$3),'Unit List'!$A$23:$H$3256,2,FALSE)),"X",$AP83)</f>
        <v/>
      </c>
      <c r="AR83" s="120" t="str">
        <f>IF(ISTEXT(VLOOKUP(CONCATENATE($A83,"_",AR$3),'Unit List'!$A$23:$H$3256,2,FALSE)),"X",$AP83)</f>
        <v/>
      </c>
      <c r="AS83" s="120" t="str">
        <f>IF(ISTEXT(VLOOKUP(CONCATENATE($A83,"_",AS$3),'Unit List'!$A$23:$H$3256,2,FALSE)),"X",$AP83)</f>
        <v/>
      </c>
      <c r="AT83" s="122" t="str">
        <f>IF(ISTEXT(VLOOKUP(CONCATENATE($A83,"_",AT$3),'Unit List'!$A$23:$H$3256,2,FALSE)),"X",$AP83)</f>
        <v/>
      </c>
      <c r="AU83" s="124" t="str">
        <f>IF(ISTEXT(VLOOKUP(CONCATENATE($A83,"_",AU$3),'Unit List'!$A$23:$H$3256,2,FALSE)),"+","")</f>
        <v/>
      </c>
      <c r="AV83" s="120" t="str">
        <f>IF(ISTEXT(VLOOKUP(CONCATENATE($A83,"_",AV$3),'Unit List'!$A$23:$H$3256,2,FALSE)),"X",$AU83)</f>
        <v/>
      </c>
      <c r="AW83" s="122" t="str">
        <f>IF(ISTEXT(VLOOKUP(CONCATENATE($A83,"_",AW$3),'Unit List'!$A$23:$H$3256,2,FALSE)),"X",$AU83)</f>
        <v/>
      </c>
      <c r="AX83" s="172" t="str">
        <f>IF(ISTEXT(VLOOKUP(CONCATENATE($A83,"_",AX$3),'Unit List'!$A$23:$H$3256,2,FALSE)),"+","")</f>
        <v/>
      </c>
      <c r="AY83" s="120" t="str">
        <f>IF(ISTEXT(VLOOKUP(CONCATENATE($A83,"_",AY$3),'Unit List'!$A$23:$H$3256,2,FALSE)),"X",$AX83)</f>
        <v/>
      </c>
      <c r="AZ83" s="122" t="str">
        <f>IF(ISTEXT(VLOOKUP(CONCATENATE($A83,"_",AZ$3),'Unit List'!$A$23:$H$3256,2,FALSE)),"X",$AX83)</f>
        <v/>
      </c>
      <c r="BA83" s="182" t="str">
        <f>IF(ISTEXT(VLOOKUP(CONCATENATE($A83,"_",BA$3),'Unit List'!$A$23:$H$3256,2,FALSE)),"+","")</f>
        <v/>
      </c>
      <c r="BB83" s="120" t="str">
        <f>IF(ISTEXT(VLOOKUP(CONCATENATE($A83,"_",BB$3),'Unit List'!$A$23:$H$3256,2,FALSE)),"X",$BA83)</f>
        <v/>
      </c>
      <c r="BC83" s="120" t="str">
        <f>IF(ISTEXT(VLOOKUP(CONCATENATE($A83,"_",BC$3),'Unit List'!$A$23:$H$3256,2,FALSE)),"X",$BA83)</f>
        <v/>
      </c>
      <c r="BD83" s="122" t="str">
        <f>IF(ISTEXT(VLOOKUP(CONCATENATE($A83,"_",BD$3),'Unit List'!$A$23:$H$3256,2,FALSE)),"X",$BA83)</f>
        <v/>
      </c>
      <c r="BE83" s="125" t="str">
        <f>IF(ISTEXT(VLOOKUP(CONCATENATE($A83,"_",BE$3),'Unit List'!$A$23:$H$3256,2,FALSE)),"+","")</f>
        <v/>
      </c>
      <c r="BF83" s="75" t="str">
        <f>IF(ISTEXT(VLOOKUP(CONCATENATE($A83,"_",BF$3),'Unit List'!$A$23:$H$3256,2,FALSE)),"X",$BE83)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List'!$A$23:$H$3256,2,FALSE)),"+","")</f>
        <v/>
      </c>
      <c r="C84" s="119" t="str">
        <f>IF(ISTEXT(VLOOKUP(CONCATENATE($A84,"_",C$3),'Unit List'!$A$23:$H$3256,2,FALSE)),"X",$B84)</f>
        <v/>
      </c>
      <c r="D84" s="120" t="str">
        <f>IF(ISTEXT(VLOOKUP(CONCATENATE($A84,"_",D$3),'Unit List'!$A$23:$H$3256,2,FALSE)),"X",$B84)</f>
        <v/>
      </c>
      <c r="E84" s="120" t="str">
        <f>IF(ISTEXT(VLOOKUP(CONCATENATE($A84,"_",E$3),'Unit List'!$A$23:$H$3256,2,FALSE)),"X",$B84)</f>
        <v/>
      </c>
      <c r="F84" s="120" t="str">
        <f>IF(ISTEXT(VLOOKUP(CONCATENATE($A84,"_",F$3),'Unit List'!$A$23:$H$3256,2,FALSE)),"X",$B84)</f>
        <v/>
      </c>
      <c r="G84" s="120" t="str">
        <f>IF(ISTEXT(VLOOKUP(CONCATENATE($A84,"_",G$3),'Unit List'!$A$23:$H$3256,2,FALSE)),"X",$B84)</f>
        <v/>
      </c>
      <c r="H84" s="120" t="str">
        <f>IF(ISTEXT(VLOOKUP(CONCATENATE($A84,"_",H$3),'Unit List'!$A$23:$H$3256,2,FALSE)),"X",$B84)</f>
        <v/>
      </c>
      <c r="I84" s="122" t="str">
        <f>IF(ISTEXT(VLOOKUP(CONCATENATE($A84,"_",I$3),'Unit List'!$A$23:$H$3256,2,FALSE)),"X",$B84)</f>
        <v/>
      </c>
      <c r="J84" s="172" t="str">
        <f>IF(ISTEXT(VLOOKUP(CONCATENATE($A84,"_",J$3),'Unit List'!$A$23:$H$3256,2,FALSE)),"+","")</f>
        <v/>
      </c>
      <c r="K84" s="120" t="str">
        <f>IF(ISTEXT(VLOOKUP(CONCATENATE($A84,"_",K$3),'Unit List'!$A$23:$H$3256,2,FALSE)),"X",$J84)</f>
        <v/>
      </c>
      <c r="L84" s="75" t="str">
        <f>IF(ISTEXT(VLOOKUP(CONCATENATE($A84,"_",L$3),'Unit List'!$A$23:$H$3256,2,FALSE)),"X",$J84)</f>
        <v/>
      </c>
      <c r="M84" s="172" t="str">
        <f>IF(ISTEXT(VLOOKUP(CONCATENATE($A84,"_",M$3),'Unit List'!$A$23:$H$3256,2,FALSE)),"+","")</f>
        <v/>
      </c>
      <c r="N84" s="120" t="str">
        <f>IF(ISTEXT(VLOOKUP(CONCATENATE($A84,"_",N$3),'Unit List'!$A$23:$H$3256,2,FALSE)),"X",$M84)</f>
        <v/>
      </c>
      <c r="O84" s="122" t="str">
        <f>IF(ISTEXT(VLOOKUP(CONCATENATE($A84,"_",O$3),'Unit List'!$A$23:$H$3256,2,FALSE)),"X",$M84)</f>
        <v/>
      </c>
      <c r="P84" s="172" t="str">
        <f>IF(ISTEXT(VLOOKUP(CONCATENATE($A84,"_",P$3),'Unit List'!$A$23:$H$3256,2,FALSE)),"+","")</f>
        <v/>
      </c>
      <c r="Q84" s="120" t="str">
        <f>IF(ISTEXT(VLOOKUP(CONCATENATE($A84,"_",Q$3),'Unit List'!$A$23:$H$3256,2,FALSE)),"X",$P84)</f>
        <v/>
      </c>
      <c r="R84" s="120" t="str">
        <f>IF(ISTEXT(VLOOKUP(CONCATENATE($A84,"_",R$3),'Unit List'!$A$23:$H$3256,2,FALSE)),"X",$P84)</f>
        <v/>
      </c>
      <c r="S84" s="120" t="str">
        <f>IF(ISTEXT(VLOOKUP(CONCATENATE($A84,"_",S$3),'Unit List'!$A$23:$H$3256,2,FALSE)),"X",$P84)</f>
        <v/>
      </c>
      <c r="T84" s="121" t="str">
        <f>IF(ISTEXT(VLOOKUP(CONCATENATE($A84,"_",T$3),'Unit List'!$A$23:$H$3256,2,FALSE)),"X",$P84)</f>
        <v/>
      </c>
      <c r="U84" s="120" t="str">
        <f>IF(ISTEXT(VLOOKUP(CONCATENATE($A84,"_",U$3),'Unit List'!$A$23:$H$3256,2,FALSE)),"X",$P84)</f>
        <v/>
      </c>
      <c r="V84" s="120" t="str">
        <f>IF(ISTEXT(VLOOKUP(CONCATENATE($A84,"_",V$3),'Unit List'!$A$23:$H$3256,2,FALSE)),"X",$P84)</f>
        <v/>
      </c>
      <c r="W84" s="122" t="str">
        <f>IF(ISTEXT(VLOOKUP(CONCATENATE($A84,"_",W$3),'Unit List'!$A$23:$H$3256,2,FALSE)),"X",$P84)</f>
        <v/>
      </c>
      <c r="X84" s="172" t="str">
        <f>IF(ISTEXT(VLOOKUP(CONCATENATE($A84,"_",X$3),'Unit List'!$A$23:$H$3256,2,FALSE)),"+","")</f>
        <v/>
      </c>
      <c r="Y84" s="120" t="str">
        <f>IF(ISTEXT(VLOOKUP(CONCATENATE($A84,"_",Y$3),'Unit List'!$A$23:$H$3256,2,FALSE)),"X",$X84)</f>
        <v/>
      </c>
      <c r="Z84" s="120" t="str">
        <f>IF(ISTEXT(VLOOKUP(CONCATENATE($A84,"_",Z$3),'Unit List'!$A$23:$H$3256,2,FALSE)),"X",$X84)</f>
        <v/>
      </c>
      <c r="AA84" s="120" t="str">
        <f>IF(ISTEXT(VLOOKUP(CONCATENATE($A84,"_",AA$3),'Unit List'!$A$23:$H$3256,2,FALSE)),"X",$X84)</f>
        <v/>
      </c>
      <c r="AB84" s="120" t="str">
        <f>IF(ISTEXT(VLOOKUP(CONCATENATE($A84,"_",AB$3),'Unit List'!$A$23:$H$3256,2,FALSE)),"X",$X84)</f>
        <v/>
      </c>
      <c r="AC84" s="75" t="str">
        <f>IF(ISTEXT(VLOOKUP(CONCATENATE($A84,"_",AC$3),'Unit List'!$A$23:$H$3256,2,FALSE)),"X",$X84)</f>
        <v/>
      </c>
      <c r="AD84" s="172" t="str">
        <f>IF(ISTEXT(VLOOKUP(CONCATENATE($A84,"_",AD$3),'Unit List'!$A$23:$H$3256,2,FALSE)),"+","")</f>
        <v/>
      </c>
      <c r="AE84" s="120" t="str">
        <f>IF(ISTEXT(VLOOKUP(CONCATENATE($A84,"_",AE$3),'Unit List'!$A$23:$H$3256,2,FALSE)),"X",$AD84)</f>
        <v/>
      </c>
      <c r="AF84" s="120" t="str">
        <f>IF(ISTEXT(VLOOKUP(CONCATENATE($A84,"_",AF$3),'Unit List'!$A$23:$H$3256,2,FALSE)),"X",$AD84)</f>
        <v/>
      </c>
      <c r="AG84" s="172" t="str">
        <f>IF(ISTEXT(VLOOKUP(CONCATENATE($A84,"_",AG$3),'Unit List'!$A$23:$H$3256,2,FALSE)),"+","")</f>
        <v/>
      </c>
      <c r="AH84" s="120" t="str">
        <f>IF(ISTEXT(VLOOKUP(CONCATENATE($A84,"_",AH$3),'Unit List'!$A$23:$H$3256,2,FALSE)),"X",$AG84)</f>
        <v/>
      </c>
      <c r="AI84" s="120" t="str">
        <f>IF(ISTEXT(VLOOKUP(CONCATENATE($A84,"_",AI$3),'Unit List'!$A$23:$H$3256,2,FALSE)),"X",$AG84)</f>
        <v/>
      </c>
      <c r="AJ84" s="122" t="str">
        <f>IF(ISTEXT(VLOOKUP(CONCATENATE($A84,"_",AJ$3),'Unit List'!$A$23:$H$3256,2,FALSE)),"X",$AG84)</f>
        <v/>
      </c>
      <c r="AK84" s="172" t="str">
        <f>IF(ISTEXT(VLOOKUP(CONCATENATE($A84,"_",AK$3),'Unit List'!$A$23:$H$3256,2,FALSE)),"+","")</f>
        <v/>
      </c>
      <c r="AL84" s="121" t="str">
        <f>IF(ISTEXT(VLOOKUP(CONCATENATE($A84,"_",AL$3),'Unit List'!$A$23:$H$3256,2,FALSE)),"X",$AK84)</f>
        <v/>
      </c>
      <c r="AM84" s="122" t="str">
        <f>IF(ISTEXT(VLOOKUP(CONCATENATE($A84,"_",AM$3),'Unit List'!$A$23:$H$3256,2,FALSE)),"X",$AK84)</f>
        <v/>
      </c>
      <c r="AN84" s="125" t="str">
        <f>IF(ISTEXT(VLOOKUP(CONCATENATE($A84,"_",AN$3),'Unit List'!$A$23:$H$3256,2,FALSE)),"+","")</f>
        <v/>
      </c>
      <c r="AO84" s="122" t="str">
        <f>IF(ISTEXT(VLOOKUP(CONCATENATE($A84,"_",AO$3),'Unit List'!$A$23:$H$3256,2,FALSE)),"X",$AN84)</f>
        <v/>
      </c>
      <c r="AP84" s="172" t="str">
        <f>IF(ISTEXT(VLOOKUP(CONCATENATE($A84,"_",AP$3),'Unit List'!$A$23:$H$3256,2,FALSE)),"+","")</f>
        <v/>
      </c>
      <c r="AQ84" s="120" t="str">
        <f>IF(ISTEXT(VLOOKUP(CONCATENATE($A84,"_",AQ$3),'Unit List'!$A$23:$H$3256,2,FALSE)),"X",$AP84)</f>
        <v/>
      </c>
      <c r="AR84" s="120" t="str">
        <f>IF(ISTEXT(VLOOKUP(CONCATENATE($A84,"_",AR$3),'Unit List'!$A$23:$H$3256,2,FALSE)),"X",$AP84)</f>
        <v/>
      </c>
      <c r="AS84" s="120" t="str">
        <f>IF(ISTEXT(VLOOKUP(CONCATENATE($A84,"_",AS$3),'Unit List'!$A$23:$H$3256,2,FALSE)),"X",$AP84)</f>
        <v/>
      </c>
      <c r="AT84" s="122" t="str">
        <f>IF(ISTEXT(VLOOKUP(CONCATENATE($A84,"_",AT$3),'Unit List'!$A$23:$H$3256,2,FALSE)),"X",$AP84)</f>
        <v/>
      </c>
      <c r="AU84" s="124" t="str">
        <f>IF(ISTEXT(VLOOKUP(CONCATENATE($A84,"_",AU$3),'Unit List'!$A$23:$H$3256,2,FALSE)),"+","")</f>
        <v/>
      </c>
      <c r="AV84" s="120" t="str">
        <f>IF(ISTEXT(VLOOKUP(CONCATENATE($A84,"_",AV$3),'Unit List'!$A$23:$H$3256,2,FALSE)),"X",$AU84)</f>
        <v/>
      </c>
      <c r="AW84" s="122" t="str">
        <f>IF(ISTEXT(VLOOKUP(CONCATENATE($A84,"_",AW$3),'Unit List'!$A$23:$H$3256,2,FALSE)),"X",$AU84)</f>
        <v/>
      </c>
      <c r="AX84" s="172" t="str">
        <f>IF(ISTEXT(VLOOKUP(CONCATENATE($A84,"_",AX$3),'Unit List'!$A$23:$H$3256,2,FALSE)),"+","")</f>
        <v/>
      </c>
      <c r="AY84" s="120" t="str">
        <f>IF(ISTEXT(VLOOKUP(CONCATENATE($A84,"_",AY$3),'Unit List'!$A$23:$H$3256,2,FALSE)),"X",$AX84)</f>
        <v/>
      </c>
      <c r="AZ84" s="122" t="str">
        <f>IF(ISTEXT(VLOOKUP(CONCATENATE($A84,"_",AZ$3),'Unit List'!$A$23:$H$3256,2,FALSE)),"X",$AX84)</f>
        <v/>
      </c>
      <c r="BA84" s="182" t="str">
        <f>IF(ISTEXT(VLOOKUP(CONCATENATE($A84,"_",BA$3),'Unit List'!$A$23:$H$3256,2,FALSE)),"+","")</f>
        <v/>
      </c>
      <c r="BB84" s="120" t="str">
        <f>IF(ISTEXT(VLOOKUP(CONCATENATE($A84,"_",BB$3),'Unit List'!$A$23:$H$3256,2,FALSE)),"X",$BA84)</f>
        <v/>
      </c>
      <c r="BC84" s="120" t="str">
        <f>IF(ISTEXT(VLOOKUP(CONCATENATE($A84,"_",BC$3),'Unit List'!$A$23:$H$3256,2,FALSE)),"X",$BA84)</f>
        <v/>
      </c>
      <c r="BD84" s="122" t="str">
        <f>IF(ISTEXT(VLOOKUP(CONCATENATE($A84,"_",BD$3),'Unit List'!$A$23:$H$3256,2,FALSE)),"X",$BA84)</f>
        <v/>
      </c>
      <c r="BE84" s="125" t="str">
        <f>IF(ISTEXT(VLOOKUP(CONCATENATE($A84,"_",BE$3),'Unit List'!$A$23:$H$3256,2,FALSE)),"+","")</f>
        <v/>
      </c>
      <c r="BF84" s="75" t="str">
        <f>IF(ISTEXT(VLOOKUP(CONCATENATE($A84,"_",BF$3),'Unit List'!$A$23:$H$3256,2,FALSE)),"X",$BE84)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List'!$A$23:$H$3256,2,FALSE)),"+","")</f>
        <v/>
      </c>
      <c r="C85" s="119" t="str">
        <f>IF(ISTEXT(VLOOKUP(CONCATENATE($A85,"_",C$3),'Unit List'!$A$23:$H$3256,2,FALSE)),"X",$B85)</f>
        <v/>
      </c>
      <c r="D85" s="120" t="str">
        <f>IF(ISTEXT(VLOOKUP(CONCATENATE($A85,"_",D$3),'Unit List'!$A$23:$H$3256,2,FALSE)),"X",$B85)</f>
        <v/>
      </c>
      <c r="E85" s="120" t="str">
        <f>IF(ISTEXT(VLOOKUP(CONCATENATE($A85,"_",E$3),'Unit List'!$A$23:$H$3256,2,FALSE)),"X",$B85)</f>
        <v/>
      </c>
      <c r="F85" s="120" t="str">
        <f>IF(ISTEXT(VLOOKUP(CONCATENATE($A85,"_",F$3),'Unit List'!$A$23:$H$3256,2,FALSE)),"X",$B85)</f>
        <v/>
      </c>
      <c r="G85" s="120" t="str">
        <f>IF(ISTEXT(VLOOKUP(CONCATENATE($A85,"_",G$3),'Unit List'!$A$23:$H$3256,2,FALSE)),"X",$B85)</f>
        <v/>
      </c>
      <c r="H85" s="120" t="str">
        <f>IF(ISTEXT(VLOOKUP(CONCATENATE($A85,"_",H$3),'Unit List'!$A$23:$H$3256,2,FALSE)),"X",$B85)</f>
        <v/>
      </c>
      <c r="I85" s="122" t="str">
        <f>IF(ISTEXT(VLOOKUP(CONCATENATE($A85,"_",I$3),'Unit List'!$A$23:$H$3256,2,FALSE)),"X",$B85)</f>
        <v/>
      </c>
      <c r="J85" s="172" t="str">
        <f>IF(ISTEXT(VLOOKUP(CONCATENATE($A85,"_",J$3),'Unit List'!$A$23:$H$3256,2,FALSE)),"+","")</f>
        <v/>
      </c>
      <c r="K85" s="120" t="str">
        <f>IF(ISTEXT(VLOOKUP(CONCATENATE($A85,"_",K$3),'Unit List'!$A$23:$H$3256,2,FALSE)),"X",$J85)</f>
        <v/>
      </c>
      <c r="L85" s="75" t="str">
        <f>IF(ISTEXT(VLOOKUP(CONCATENATE($A85,"_",L$3),'Unit List'!$A$23:$H$3256,2,FALSE)),"X",$J85)</f>
        <v/>
      </c>
      <c r="M85" s="172" t="str">
        <f>IF(ISTEXT(VLOOKUP(CONCATENATE($A85,"_",M$3),'Unit List'!$A$23:$H$3256,2,FALSE)),"+","")</f>
        <v/>
      </c>
      <c r="N85" s="120" t="str">
        <f>IF(ISTEXT(VLOOKUP(CONCATENATE($A85,"_",N$3),'Unit List'!$A$23:$H$3256,2,FALSE)),"X",$M85)</f>
        <v/>
      </c>
      <c r="O85" s="122" t="str">
        <f>IF(ISTEXT(VLOOKUP(CONCATENATE($A85,"_",O$3),'Unit List'!$A$23:$H$3256,2,FALSE)),"X",$M85)</f>
        <v/>
      </c>
      <c r="P85" s="172" t="str">
        <f>IF(ISTEXT(VLOOKUP(CONCATENATE($A85,"_",P$3),'Unit List'!$A$23:$H$3256,2,FALSE)),"+","")</f>
        <v/>
      </c>
      <c r="Q85" s="120" t="str">
        <f>IF(ISTEXT(VLOOKUP(CONCATENATE($A85,"_",Q$3),'Unit List'!$A$23:$H$3256,2,FALSE)),"X",$P85)</f>
        <v/>
      </c>
      <c r="R85" s="120" t="str">
        <f>IF(ISTEXT(VLOOKUP(CONCATENATE($A85,"_",R$3),'Unit List'!$A$23:$H$3256,2,FALSE)),"X",$P85)</f>
        <v/>
      </c>
      <c r="S85" s="120" t="str">
        <f>IF(ISTEXT(VLOOKUP(CONCATENATE($A85,"_",S$3),'Unit List'!$A$23:$H$3256,2,FALSE)),"X",$P85)</f>
        <v/>
      </c>
      <c r="T85" s="121" t="str">
        <f>IF(ISTEXT(VLOOKUP(CONCATENATE($A85,"_",T$3),'Unit List'!$A$23:$H$3256,2,FALSE)),"X",$P85)</f>
        <v/>
      </c>
      <c r="U85" s="120" t="str">
        <f>IF(ISTEXT(VLOOKUP(CONCATENATE($A85,"_",U$3),'Unit List'!$A$23:$H$3256,2,FALSE)),"X",$P85)</f>
        <v/>
      </c>
      <c r="V85" s="120" t="str">
        <f>IF(ISTEXT(VLOOKUP(CONCATENATE($A85,"_",V$3),'Unit List'!$A$23:$H$3256,2,FALSE)),"X",$P85)</f>
        <v/>
      </c>
      <c r="W85" s="122" t="str">
        <f>IF(ISTEXT(VLOOKUP(CONCATENATE($A85,"_",W$3),'Unit List'!$A$23:$H$3256,2,FALSE)),"X",$P85)</f>
        <v/>
      </c>
      <c r="X85" s="172" t="str">
        <f>IF(ISTEXT(VLOOKUP(CONCATENATE($A85,"_",X$3),'Unit List'!$A$23:$H$3256,2,FALSE)),"+","")</f>
        <v/>
      </c>
      <c r="Y85" s="120" t="str">
        <f>IF(ISTEXT(VLOOKUP(CONCATENATE($A85,"_",Y$3),'Unit List'!$A$23:$H$3256,2,FALSE)),"X",$X85)</f>
        <v/>
      </c>
      <c r="Z85" s="120" t="str">
        <f>IF(ISTEXT(VLOOKUP(CONCATENATE($A85,"_",Z$3),'Unit List'!$A$23:$H$3256,2,FALSE)),"X",$X85)</f>
        <v/>
      </c>
      <c r="AA85" s="120" t="str">
        <f>IF(ISTEXT(VLOOKUP(CONCATENATE($A85,"_",AA$3),'Unit List'!$A$23:$H$3256,2,FALSE)),"X",$X85)</f>
        <v/>
      </c>
      <c r="AB85" s="120" t="str">
        <f>IF(ISTEXT(VLOOKUP(CONCATENATE($A85,"_",AB$3),'Unit List'!$A$23:$H$3256,2,FALSE)),"X",$X85)</f>
        <v/>
      </c>
      <c r="AC85" s="75" t="str">
        <f>IF(ISTEXT(VLOOKUP(CONCATENATE($A85,"_",AC$3),'Unit List'!$A$23:$H$3256,2,FALSE)),"X",$X85)</f>
        <v/>
      </c>
      <c r="AD85" s="172" t="str">
        <f>IF(ISTEXT(VLOOKUP(CONCATENATE($A85,"_",AD$3),'Unit List'!$A$23:$H$3256,2,FALSE)),"+","")</f>
        <v/>
      </c>
      <c r="AE85" s="120" t="str">
        <f>IF(ISTEXT(VLOOKUP(CONCATENATE($A85,"_",AE$3),'Unit List'!$A$23:$H$3256,2,FALSE)),"X",$AD85)</f>
        <v/>
      </c>
      <c r="AF85" s="120" t="str">
        <f>IF(ISTEXT(VLOOKUP(CONCATENATE($A85,"_",AF$3),'Unit List'!$A$23:$H$3256,2,FALSE)),"X",$AD85)</f>
        <v/>
      </c>
      <c r="AG85" s="172" t="str">
        <f>IF(ISTEXT(VLOOKUP(CONCATENATE($A85,"_",AG$3),'Unit List'!$A$23:$H$3256,2,FALSE)),"+","")</f>
        <v/>
      </c>
      <c r="AH85" s="120" t="str">
        <f>IF(ISTEXT(VLOOKUP(CONCATENATE($A85,"_",AH$3),'Unit List'!$A$23:$H$3256,2,FALSE)),"X",$AG85)</f>
        <v/>
      </c>
      <c r="AI85" s="120" t="str">
        <f>IF(ISTEXT(VLOOKUP(CONCATENATE($A85,"_",AI$3),'Unit List'!$A$23:$H$3256,2,FALSE)),"X",$AG85)</f>
        <v/>
      </c>
      <c r="AJ85" s="122" t="str">
        <f>IF(ISTEXT(VLOOKUP(CONCATENATE($A85,"_",AJ$3),'Unit List'!$A$23:$H$3256,2,FALSE)),"X",$AG85)</f>
        <v/>
      </c>
      <c r="AK85" s="172" t="str">
        <f>IF(ISTEXT(VLOOKUP(CONCATENATE($A85,"_",AK$3),'Unit List'!$A$23:$H$3256,2,FALSE)),"+","")</f>
        <v/>
      </c>
      <c r="AL85" s="121" t="str">
        <f>IF(ISTEXT(VLOOKUP(CONCATENATE($A85,"_",AL$3),'Unit List'!$A$23:$H$3256,2,FALSE)),"X",$AK85)</f>
        <v/>
      </c>
      <c r="AM85" s="122" t="str">
        <f>IF(ISTEXT(VLOOKUP(CONCATENATE($A85,"_",AM$3),'Unit List'!$A$23:$H$3256,2,FALSE)),"X",$AK85)</f>
        <v/>
      </c>
      <c r="AN85" s="125" t="str">
        <f>IF(ISTEXT(VLOOKUP(CONCATENATE($A85,"_",AN$3),'Unit List'!$A$23:$H$3256,2,FALSE)),"+","")</f>
        <v/>
      </c>
      <c r="AO85" s="122" t="str">
        <f>IF(ISTEXT(VLOOKUP(CONCATENATE($A85,"_",AO$3),'Unit List'!$A$23:$H$3256,2,FALSE)),"X",$AN85)</f>
        <v/>
      </c>
      <c r="AP85" s="172" t="str">
        <f>IF(ISTEXT(VLOOKUP(CONCATENATE($A85,"_",AP$3),'Unit List'!$A$23:$H$3256,2,FALSE)),"+","")</f>
        <v/>
      </c>
      <c r="AQ85" s="120" t="str">
        <f>IF(ISTEXT(VLOOKUP(CONCATENATE($A85,"_",AQ$3),'Unit List'!$A$23:$H$3256,2,FALSE)),"X",$AP85)</f>
        <v/>
      </c>
      <c r="AR85" s="120" t="str">
        <f>IF(ISTEXT(VLOOKUP(CONCATENATE($A85,"_",AR$3),'Unit List'!$A$23:$H$3256,2,FALSE)),"X",$AP85)</f>
        <v/>
      </c>
      <c r="AS85" s="120" t="str">
        <f>IF(ISTEXT(VLOOKUP(CONCATENATE($A85,"_",AS$3),'Unit List'!$A$23:$H$3256,2,FALSE)),"X",$AP85)</f>
        <v/>
      </c>
      <c r="AT85" s="122" t="str">
        <f>IF(ISTEXT(VLOOKUP(CONCATENATE($A85,"_",AT$3),'Unit List'!$A$23:$H$3256,2,FALSE)),"X",$AP85)</f>
        <v/>
      </c>
      <c r="AU85" s="124" t="str">
        <f>IF(ISTEXT(VLOOKUP(CONCATENATE($A85,"_",AU$3),'Unit List'!$A$23:$H$3256,2,FALSE)),"+","")</f>
        <v/>
      </c>
      <c r="AV85" s="120" t="str">
        <f>IF(ISTEXT(VLOOKUP(CONCATENATE($A85,"_",AV$3),'Unit List'!$A$23:$H$3256,2,FALSE)),"X",$AU85)</f>
        <v/>
      </c>
      <c r="AW85" s="122" t="str">
        <f>IF(ISTEXT(VLOOKUP(CONCATENATE($A85,"_",AW$3),'Unit List'!$A$23:$H$3256,2,FALSE)),"X",$AU85)</f>
        <v/>
      </c>
      <c r="AX85" s="172" t="str">
        <f>IF(ISTEXT(VLOOKUP(CONCATENATE($A85,"_",AX$3),'Unit List'!$A$23:$H$3256,2,FALSE)),"+","")</f>
        <v/>
      </c>
      <c r="AY85" s="120" t="str">
        <f>IF(ISTEXT(VLOOKUP(CONCATENATE($A85,"_",AY$3),'Unit List'!$A$23:$H$3256,2,FALSE)),"X",$AX85)</f>
        <v/>
      </c>
      <c r="AZ85" s="122" t="str">
        <f>IF(ISTEXT(VLOOKUP(CONCATENATE($A85,"_",AZ$3),'Unit List'!$A$23:$H$3256,2,FALSE)),"X",$AX85)</f>
        <v/>
      </c>
      <c r="BA85" s="182" t="str">
        <f>IF(ISTEXT(VLOOKUP(CONCATENATE($A85,"_",BA$3),'Unit List'!$A$23:$H$3256,2,FALSE)),"+","")</f>
        <v/>
      </c>
      <c r="BB85" s="120" t="str">
        <f>IF(ISTEXT(VLOOKUP(CONCATENATE($A85,"_",BB$3),'Unit List'!$A$23:$H$3256,2,FALSE)),"X",$BA85)</f>
        <v/>
      </c>
      <c r="BC85" s="120" t="str">
        <f>IF(ISTEXT(VLOOKUP(CONCATENATE($A85,"_",BC$3),'Unit List'!$A$23:$H$3256,2,FALSE)),"X",$BA85)</f>
        <v/>
      </c>
      <c r="BD85" s="122" t="str">
        <f>IF(ISTEXT(VLOOKUP(CONCATENATE($A85,"_",BD$3),'Unit List'!$A$23:$H$3256,2,FALSE)),"X",$BA85)</f>
        <v/>
      </c>
      <c r="BE85" s="125" t="str">
        <f>IF(ISTEXT(VLOOKUP(CONCATENATE($A85,"_",BE$3),'Unit List'!$A$23:$H$3256,2,FALSE)),"+","")</f>
        <v/>
      </c>
      <c r="BF85" s="75" t="str">
        <f>IF(ISTEXT(VLOOKUP(CONCATENATE($A85,"_",BF$3),'Unit List'!$A$23:$H$3256,2,FALSE)),"X",$BE85)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List'!$A$23:$H$3256,2,FALSE)),"+","")</f>
        <v/>
      </c>
      <c r="C86" s="119" t="str">
        <f>IF(ISTEXT(VLOOKUP(CONCATENATE($A86,"_",C$3),'Unit List'!$A$23:$H$3256,2,FALSE)),"X",$B86)</f>
        <v/>
      </c>
      <c r="D86" s="120" t="str">
        <f>IF(ISTEXT(VLOOKUP(CONCATENATE($A86,"_",D$3),'Unit List'!$A$23:$H$3256,2,FALSE)),"X",$B86)</f>
        <v/>
      </c>
      <c r="E86" s="120" t="str">
        <f>IF(ISTEXT(VLOOKUP(CONCATENATE($A86,"_",E$3),'Unit List'!$A$23:$H$3256,2,FALSE)),"X",$B86)</f>
        <v/>
      </c>
      <c r="F86" s="120" t="str">
        <f>IF(ISTEXT(VLOOKUP(CONCATENATE($A86,"_",F$3),'Unit List'!$A$23:$H$3256,2,FALSE)),"X",$B86)</f>
        <v/>
      </c>
      <c r="G86" s="120" t="str">
        <f>IF(ISTEXT(VLOOKUP(CONCATENATE($A86,"_",G$3),'Unit List'!$A$23:$H$3256,2,FALSE)),"X",$B86)</f>
        <v/>
      </c>
      <c r="H86" s="120" t="str">
        <f>IF(ISTEXT(VLOOKUP(CONCATENATE($A86,"_",H$3),'Unit List'!$A$23:$H$3256,2,FALSE)),"X",$B86)</f>
        <v/>
      </c>
      <c r="I86" s="122" t="str">
        <f>IF(ISTEXT(VLOOKUP(CONCATENATE($A86,"_",I$3),'Unit List'!$A$23:$H$3256,2,FALSE)),"X",$B86)</f>
        <v/>
      </c>
      <c r="J86" s="172" t="str">
        <f>IF(ISTEXT(VLOOKUP(CONCATENATE($A86,"_",J$3),'Unit List'!$A$23:$H$3256,2,FALSE)),"+","")</f>
        <v/>
      </c>
      <c r="K86" s="120" t="str">
        <f>IF(ISTEXT(VLOOKUP(CONCATENATE($A86,"_",K$3),'Unit List'!$A$23:$H$3256,2,FALSE)),"X",$J86)</f>
        <v/>
      </c>
      <c r="L86" s="75" t="str">
        <f>IF(ISTEXT(VLOOKUP(CONCATENATE($A86,"_",L$3),'Unit List'!$A$23:$H$3256,2,FALSE)),"X",$J86)</f>
        <v/>
      </c>
      <c r="M86" s="172" t="str">
        <f>IF(ISTEXT(VLOOKUP(CONCATENATE($A86,"_",M$3),'Unit List'!$A$23:$H$3256,2,FALSE)),"+","")</f>
        <v/>
      </c>
      <c r="N86" s="120" t="str">
        <f>IF(ISTEXT(VLOOKUP(CONCATENATE($A86,"_",N$3),'Unit List'!$A$23:$H$3256,2,FALSE)),"X",$M86)</f>
        <v/>
      </c>
      <c r="O86" s="122" t="str">
        <f>IF(ISTEXT(VLOOKUP(CONCATENATE($A86,"_",O$3),'Unit List'!$A$23:$H$3256,2,FALSE)),"X",$M86)</f>
        <v/>
      </c>
      <c r="P86" s="172" t="str">
        <f>IF(ISTEXT(VLOOKUP(CONCATENATE($A86,"_",P$3),'Unit List'!$A$23:$H$3256,2,FALSE)),"+","")</f>
        <v/>
      </c>
      <c r="Q86" s="120" t="str">
        <f>IF(ISTEXT(VLOOKUP(CONCATENATE($A86,"_",Q$3),'Unit List'!$A$23:$H$3256,2,FALSE)),"X",$P86)</f>
        <v/>
      </c>
      <c r="R86" s="120" t="str">
        <f>IF(ISTEXT(VLOOKUP(CONCATENATE($A86,"_",R$3),'Unit List'!$A$23:$H$3256,2,FALSE)),"X",$P86)</f>
        <v/>
      </c>
      <c r="S86" s="120" t="str">
        <f>IF(ISTEXT(VLOOKUP(CONCATENATE($A86,"_",S$3),'Unit List'!$A$23:$H$3256,2,FALSE)),"X",$P86)</f>
        <v/>
      </c>
      <c r="T86" s="121" t="str">
        <f>IF(ISTEXT(VLOOKUP(CONCATENATE($A86,"_",T$3),'Unit List'!$A$23:$H$3256,2,FALSE)),"X",$P86)</f>
        <v/>
      </c>
      <c r="U86" s="120" t="str">
        <f>IF(ISTEXT(VLOOKUP(CONCATENATE($A86,"_",U$3),'Unit List'!$A$23:$H$3256,2,FALSE)),"X",$P86)</f>
        <v/>
      </c>
      <c r="V86" s="120" t="str">
        <f>IF(ISTEXT(VLOOKUP(CONCATENATE($A86,"_",V$3),'Unit List'!$A$23:$H$3256,2,FALSE)),"X",$P86)</f>
        <v/>
      </c>
      <c r="W86" s="122" t="str">
        <f>IF(ISTEXT(VLOOKUP(CONCATENATE($A86,"_",W$3),'Unit List'!$A$23:$H$3256,2,FALSE)),"X",$P86)</f>
        <v/>
      </c>
      <c r="X86" s="172" t="str">
        <f>IF(ISTEXT(VLOOKUP(CONCATENATE($A86,"_",X$3),'Unit List'!$A$23:$H$3256,2,FALSE)),"+","")</f>
        <v/>
      </c>
      <c r="Y86" s="120" t="str">
        <f>IF(ISTEXT(VLOOKUP(CONCATENATE($A86,"_",Y$3),'Unit List'!$A$23:$H$3256,2,FALSE)),"X",$X86)</f>
        <v/>
      </c>
      <c r="Z86" s="120" t="str">
        <f>IF(ISTEXT(VLOOKUP(CONCATENATE($A86,"_",Z$3),'Unit List'!$A$23:$H$3256,2,FALSE)),"X",$X86)</f>
        <v/>
      </c>
      <c r="AA86" s="120" t="str">
        <f>IF(ISTEXT(VLOOKUP(CONCATENATE($A86,"_",AA$3),'Unit List'!$A$23:$H$3256,2,FALSE)),"X",$X86)</f>
        <v/>
      </c>
      <c r="AB86" s="120" t="str">
        <f>IF(ISTEXT(VLOOKUP(CONCATENATE($A86,"_",AB$3),'Unit List'!$A$23:$H$3256,2,FALSE)),"X",$X86)</f>
        <v/>
      </c>
      <c r="AC86" s="75" t="str">
        <f>IF(ISTEXT(VLOOKUP(CONCATENATE($A86,"_",AC$3),'Unit List'!$A$23:$H$3256,2,FALSE)),"X",$X86)</f>
        <v/>
      </c>
      <c r="AD86" s="172" t="str">
        <f>IF(ISTEXT(VLOOKUP(CONCATENATE($A86,"_",AD$3),'Unit List'!$A$23:$H$3256,2,FALSE)),"+","")</f>
        <v/>
      </c>
      <c r="AE86" s="120" t="str">
        <f>IF(ISTEXT(VLOOKUP(CONCATENATE($A86,"_",AE$3),'Unit List'!$A$23:$H$3256,2,FALSE)),"X",$AD86)</f>
        <v/>
      </c>
      <c r="AF86" s="120" t="str">
        <f>IF(ISTEXT(VLOOKUP(CONCATENATE($A86,"_",AF$3),'Unit List'!$A$23:$H$3256,2,FALSE)),"X",$AD86)</f>
        <v/>
      </c>
      <c r="AG86" s="172" t="str">
        <f>IF(ISTEXT(VLOOKUP(CONCATENATE($A86,"_",AG$3),'Unit List'!$A$23:$H$3256,2,FALSE)),"+","")</f>
        <v/>
      </c>
      <c r="AH86" s="120" t="str">
        <f>IF(ISTEXT(VLOOKUP(CONCATENATE($A86,"_",AH$3),'Unit List'!$A$23:$H$3256,2,FALSE)),"X",$AG86)</f>
        <v/>
      </c>
      <c r="AI86" s="120" t="str">
        <f>IF(ISTEXT(VLOOKUP(CONCATENATE($A86,"_",AI$3),'Unit List'!$A$23:$H$3256,2,FALSE)),"X",$AG86)</f>
        <v/>
      </c>
      <c r="AJ86" s="122" t="str">
        <f>IF(ISTEXT(VLOOKUP(CONCATENATE($A86,"_",AJ$3),'Unit List'!$A$23:$H$3256,2,FALSE)),"X",$AG86)</f>
        <v/>
      </c>
      <c r="AK86" s="172" t="str">
        <f>IF(ISTEXT(VLOOKUP(CONCATENATE($A86,"_",AK$3),'Unit List'!$A$23:$H$3256,2,FALSE)),"+","")</f>
        <v/>
      </c>
      <c r="AL86" s="121" t="str">
        <f>IF(ISTEXT(VLOOKUP(CONCATENATE($A86,"_",AL$3),'Unit List'!$A$23:$H$3256,2,FALSE)),"X",$AK86)</f>
        <v/>
      </c>
      <c r="AM86" s="122" t="str">
        <f>IF(ISTEXT(VLOOKUP(CONCATENATE($A86,"_",AM$3),'Unit List'!$A$23:$H$3256,2,FALSE)),"X",$AK86)</f>
        <v/>
      </c>
      <c r="AN86" s="125" t="str">
        <f>IF(ISTEXT(VLOOKUP(CONCATENATE($A86,"_",AN$3),'Unit List'!$A$23:$H$3256,2,FALSE)),"+","")</f>
        <v/>
      </c>
      <c r="AO86" s="122" t="str">
        <f>IF(ISTEXT(VLOOKUP(CONCATENATE($A86,"_",AO$3),'Unit List'!$A$23:$H$3256,2,FALSE)),"X",$AN86)</f>
        <v/>
      </c>
      <c r="AP86" s="172" t="str">
        <f>IF(ISTEXT(VLOOKUP(CONCATENATE($A86,"_",AP$3),'Unit List'!$A$23:$H$3256,2,FALSE)),"+","")</f>
        <v/>
      </c>
      <c r="AQ86" s="120" t="str">
        <f>IF(ISTEXT(VLOOKUP(CONCATENATE($A86,"_",AQ$3),'Unit List'!$A$23:$H$3256,2,FALSE)),"X",$AP86)</f>
        <v/>
      </c>
      <c r="AR86" s="120" t="str">
        <f>IF(ISTEXT(VLOOKUP(CONCATENATE($A86,"_",AR$3),'Unit List'!$A$23:$H$3256,2,FALSE)),"X",$AP86)</f>
        <v/>
      </c>
      <c r="AS86" s="120" t="str">
        <f>IF(ISTEXT(VLOOKUP(CONCATENATE($A86,"_",AS$3),'Unit List'!$A$23:$H$3256,2,FALSE)),"X",$AP86)</f>
        <v/>
      </c>
      <c r="AT86" s="122" t="str">
        <f>IF(ISTEXT(VLOOKUP(CONCATENATE($A86,"_",AT$3),'Unit List'!$A$23:$H$3256,2,FALSE)),"X",$AP86)</f>
        <v/>
      </c>
      <c r="AU86" s="124" t="str">
        <f>IF(ISTEXT(VLOOKUP(CONCATENATE($A86,"_",AU$3),'Unit List'!$A$23:$H$3256,2,FALSE)),"+","")</f>
        <v/>
      </c>
      <c r="AV86" s="120" t="str">
        <f>IF(ISTEXT(VLOOKUP(CONCATENATE($A86,"_",AV$3),'Unit List'!$A$23:$H$3256,2,FALSE)),"X",$AU86)</f>
        <v/>
      </c>
      <c r="AW86" s="122" t="str">
        <f>IF(ISTEXT(VLOOKUP(CONCATENATE($A86,"_",AW$3),'Unit List'!$A$23:$H$3256,2,FALSE)),"X",$AU86)</f>
        <v/>
      </c>
      <c r="AX86" s="172" t="str">
        <f>IF(ISTEXT(VLOOKUP(CONCATENATE($A86,"_",AX$3),'Unit List'!$A$23:$H$3256,2,FALSE)),"+","")</f>
        <v/>
      </c>
      <c r="AY86" s="120" t="str">
        <f>IF(ISTEXT(VLOOKUP(CONCATENATE($A86,"_",AY$3),'Unit List'!$A$23:$H$3256,2,FALSE)),"X",$AX86)</f>
        <v/>
      </c>
      <c r="AZ86" s="122" t="str">
        <f>IF(ISTEXT(VLOOKUP(CONCATENATE($A86,"_",AZ$3),'Unit List'!$A$23:$H$3256,2,FALSE)),"X",$AX86)</f>
        <v/>
      </c>
      <c r="BA86" s="182" t="str">
        <f>IF(ISTEXT(VLOOKUP(CONCATENATE($A86,"_",BA$3),'Unit List'!$A$23:$H$3256,2,FALSE)),"+","")</f>
        <v/>
      </c>
      <c r="BB86" s="120" t="str">
        <f>IF(ISTEXT(VLOOKUP(CONCATENATE($A86,"_",BB$3),'Unit List'!$A$23:$H$3256,2,FALSE)),"X",$BA86)</f>
        <v/>
      </c>
      <c r="BC86" s="120" t="str">
        <f>IF(ISTEXT(VLOOKUP(CONCATENATE($A86,"_",BC$3),'Unit List'!$A$23:$H$3256,2,FALSE)),"X",$BA86)</f>
        <v/>
      </c>
      <c r="BD86" s="122" t="str">
        <f>IF(ISTEXT(VLOOKUP(CONCATENATE($A86,"_",BD$3),'Unit List'!$A$23:$H$3256,2,FALSE)),"X",$BA86)</f>
        <v/>
      </c>
      <c r="BE86" s="125" t="str">
        <f>IF(ISTEXT(VLOOKUP(CONCATENATE($A86,"_",BE$3),'Unit List'!$A$23:$H$3256,2,FALSE)),"+","")</f>
        <v/>
      </c>
      <c r="BF86" s="75" t="str">
        <f>IF(ISTEXT(VLOOKUP(CONCATENATE($A86,"_",BF$3),'Unit List'!$A$23:$H$3256,2,FALSE)),"X",$BE86)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List'!$A$23:$H$3256,2,FALSE)),"+","")</f>
        <v/>
      </c>
      <c r="C87" s="119" t="str">
        <f>IF(ISTEXT(VLOOKUP(CONCATENATE($A87,"_",C$3),'Unit List'!$A$23:$H$3256,2,FALSE)),"X",$B87)</f>
        <v/>
      </c>
      <c r="D87" s="120" t="str">
        <f>IF(ISTEXT(VLOOKUP(CONCATENATE($A87,"_",D$3),'Unit List'!$A$23:$H$3256,2,FALSE)),"X",$B87)</f>
        <v/>
      </c>
      <c r="E87" s="120" t="str">
        <f>IF(ISTEXT(VLOOKUP(CONCATENATE($A87,"_",E$3),'Unit List'!$A$23:$H$3256,2,FALSE)),"X",$B87)</f>
        <v/>
      </c>
      <c r="F87" s="120" t="str">
        <f>IF(ISTEXT(VLOOKUP(CONCATENATE($A87,"_",F$3),'Unit List'!$A$23:$H$3256,2,FALSE)),"X",$B87)</f>
        <v/>
      </c>
      <c r="G87" s="120" t="str">
        <f>IF(ISTEXT(VLOOKUP(CONCATENATE($A87,"_",G$3),'Unit List'!$A$23:$H$3256,2,FALSE)),"X",$B87)</f>
        <v/>
      </c>
      <c r="H87" s="120" t="str">
        <f>IF(ISTEXT(VLOOKUP(CONCATENATE($A87,"_",H$3),'Unit List'!$A$23:$H$3256,2,FALSE)),"X",$B87)</f>
        <v/>
      </c>
      <c r="I87" s="122" t="str">
        <f>IF(ISTEXT(VLOOKUP(CONCATENATE($A87,"_",I$3),'Unit List'!$A$23:$H$3256,2,FALSE)),"X",$B87)</f>
        <v/>
      </c>
      <c r="J87" s="172" t="str">
        <f>IF(ISTEXT(VLOOKUP(CONCATENATE($A87,"_",J$3),'Unit List'!$A$23:$H$3256,2,FALSE)),"+","")</f>
        <v/>
      </c>
      <c r="K87" s="120" t="str">
        <f>IF(ISTEXT(VLOOKUP(CONCATENATE($A87,"_",K$3),'Unit List'!$A$23:$H$3256,2,FALSE)),"X",$J87)</f>
        <v/>
      </c>
      <c r="L87" s="75" t="str">
        <f>IF(ISTEXT(VLOOKUP(CONCATENATE($A87,"_",L$3),'Unit List'!$A$23:$H$3256,2,FALSE)),"X",$J87)</f>
        <v/>
      </c>
      <c r="M87" s="172" t="str">
        <f>IF(ISTEXT(VLOOKUP(CONCATENATE($A87,"_",M$3),'Unit List'!$A$23:$H$3256,2,FALSE)),"+","")</f>
        <v/>
      </c>
      <c r="N87" s="120" t="str">
        <f>IF(ISTEXT(VLOOKUP(CONCATENATE($A87,"_",N$3),'Unit List'!$A$23:$H$3256,2,FALSE)),"X",$M87)</f>
        <v/>
      </c>
      <c r="O87" s="122" t="str">
        <f>IF(ISTEXT(VLOOKUP(CONCATENATE($A87,"_",O$3),'Unit List'!$A$23:$H$3256,2,FALSE)),"X",$M87)</f>
        <v/>
      </c>
      <c r="P87" s="172" t="str">
        <f>IF(ISTEXT(VLOOKUP(CONCATENATE($A87,"_",P$3),'Unit List'!$A$23:$H$3256,2,FALSE)),"+","")</f>
        <v/>
      </c>
      <c r="Q87" s="120" t="str">
        <f>IF(ISTEXT(VLOOKUP(CONCATENATE($A87,"_",Q$3),'Unit List'!$A$23:$H$3256,2,FALSE)),"X",$P87)</f>
        <v/>
      </c>
      <c r="R87" s="120" t="str">
        <f>IF(ISTEXT(VLOOKUP(CONCATENATE($A87,"_",R$3),'Unit List'!$A$23:$H$3256,2,FALSE)),"X",$P87)</f>
        <v/>
      </c>
      <c r="S87" s="120" t="str">
        <f>IF(ISTEXT(VLOOKUP(CONCATENATE($A87,"_",S$3),'Unit List'!$A$23:$H$3256,2,FALSE)),"X",$P87)</f>
        <v/>
      </c>
      <c r="T87" s="121" t="str">
        <f>IF(ISTEXT(VLOOKUP(CONCATENATE($A87,"_",T$3),'Unit List'!$A$23:$H$3256,2,FALSE)),"X",$P87)</f>
        <v/>
      </c>
      <c r="U87" s="120" t="str">
        <f>IF(ISTEXT(VLOOKUP(CONCATENATE($A87,"_",U$3),'Unit List'!$A$23:$H$3256,2,FALSE)),"X",$P87)</f>
        <v>X</v>
      </c>
      <c r="V87" s="120" t="str">
        <f>IF(ISTEXT(VLOOKUP(CONCATENATE($A87,"_",V$3),'Unit List'!$A$23:$H$3256,2,FALSE)),"X",$P87)</f>
        <v/>
      </c>
      <c r="W87" s="122" t="str">
        <f>IF(ISTEXT(VLOOKUP(CONCATENATE($A87,"_",W$3),'Unit List'!$A$23:$H$3256,2,FALSE)),"X",$P87)</f>
        <v/>
      </c>
      <c r="X87" s="172" t="str">
        <f>IF(ISTEXT(VLOOKUP(CONCATENATE($A87,"_",X$3),'Unit List'!$A$23:$H$3256,2,FALSE)),"+","")</f>
        <v/>
      </c>
      <c r="Y87" s="120" t="str">
        <f>IF(ISTEXT(VLOOKUP(CONCATENATE($A87,"_",Y$3),'Unit List'!$A$23:$H$3256,2,FALSE)),"X",$X87)</f>
        <v/>
      </c>
      <c r="Z87" s="120" t="str">
        <f>IF(ISTEXT(VLOOKUP(CONCATENATE($A87,"_",Z$3),'Unit List'!$A$23:$H$3256,2,FALSE)),"X",$X87)</f>
        <v/>
      </c>
      <c r="AA87" s="120" t="str">
        <f>IF(ISTEXT(VLOOKUP(CONCATENATE($A87,"_",AA$3),'Unit List'!$A$23:$H$3256,2,FALSE)),"X",$X87)</f>
        <v/>
      </c>
      <c r="AB87" s="120" t="str">
        <f>IF(ISTEXT(VLOOKUP(CONCATENATE($A87,"_",AB$3),'Unit List'!$A$23:$H$3256,2,FALSE)),"X",$X87)</f>
        <v/>
      </c>
      <c r="AC87" s="75" t="str">
        <f>IF(ISTEXT(VLOOKUP(CONCATENATE($A87,"_",AC$3),'Unit List'!$A$23:$H$3256,2,FALSE)),"X",$X87)</f>
        <v/>
      </c>
      <c r="AD87" s="172" t="str">
        <f>IF(ISTEXT(VLOOKUP(CONCATENATE($A87,"_",AD$3),'Unit List'!$A$23:$H$3256,2,FALSE)),"+","")</f>
        <v/>
      </c>
      <c r="AE87" s="120" t="str">
        <f>IF(ISTEXT(VLOOKUP(CONCATENATE($A87,"_",AE$3),'Unit List'!$A$23:$H$3256,2,FALSE)),"X",$AD87)</f>
        <v/>
      </c>
      <c r="AF87" s="120" t="str">
        <f>IF(ISTEXT(VLOOKUP(CONCATENATE($A87,"_",AF$3),'Unit List'!$A$23:$H$3256,2,FALSE)),"X",$AD87)</f>
        <v/>
      </c>
      <c r="AG87" s="172" t="str">
        <f>IF(ISTEXT(VLOOKUP(CONCATENATE($A87,"_",AG$3),'Unit List'!$A$23:$H$3256,2,FALSE)),"+","")</f>
        <v/>
      </c>
      <c r="AH87" s="120" t="str">
        <f>IF(ISTEXT(VLOOKUP(CONCATENATE($A87,"_",AH$3),'Unit List'!$A$23:$H$3256,2,FALSE)),"X",$AG87)</f>
        <v/>
      </c>
      <c r="AI87" s="120" t="str">
        <f>IF(ISTEXT(VLOOKUP(CONCATENATE($A87,"_",AI$3),'Unit List'!$A$23:$H$3256,2,FALSE)),"X",$AG87)</f>
        <v/>
      </c>
      <c r="AJ87" s="122" t="str">
        <f>IF(ISTEXT(VLOOKUP(CONCATENATE($A87,"_",AJ$3),'Unit List'!$A$23:$H$3256,2,FALSE)),"X",$AG87)</f>
        <v/>
      </c>
      <c r="AK87" s="172" t="str">
        <f>IF(ISTEXT(VLOOKUP(CONCATENATE($A87,"_",AK$3),'Unit List'!$A$23:$H$3256,2,FALSE)),"+","")</f>
        <v/>
      </c>
      <c r="AL87" s="121" t="str">
        <f>IF(ISTEXT(VLOOKUP(CONCATENATE($A87,"_",AL$3),'Unit List'!$A$23:$H$3256,2,FALSE)),"X",$AK87)</f>
        <v/>
      </c>
      <c r="AM87" s="122" t="str">
        <f>IF(ISTEXT(VLOOKUP(CONCATENATE($A87,"_",AM$3),'Unit List'!$A$23:$H$3256,2,FALSE)),"X",$AK87)</f>
        <v/>
      </c>
      <c r="AN87" s="125" t="str">
        <f>IF(ISTEXT(VLOOKUP(CONCATENATE($A87,"_",AN$3),'Unit List'!$A$23:$H$3256,2,FALSE)),"+","")</f>
        <v/>
      </c>
      <c r="AO87" s="122" t="str">
        <f>IF(ISTEXT(VLOOKUP(CONCATENATE($A87,"_",AO$3),'Unit List'!$A$23:$H$3256,2,FALSE)),"X",$AN87)</f>
        <v/>
      </c>
      <c r="AP87" s="172" t="str">
        <f>IF(ISTEXT(VLOOKUP(CONCATENATE($A87,"_",AP$3),'Unit List'!$A$23:$H$3256,2,FALSE)),"+","")</f>
        <v/>
      </c>
      <c r="AQ87" s="120" t="str">
        <f>IF(ISTEXT(VLOOKUP(CONCATENATE($A87,"_",AQ$3),'Unit List'!$A$23:$H$3256,2,FALSE)),"X",$AP87)</f>
        <v/>
      </c>
      <c r="AR87" s="120" t="str">
        <f>IF(ISTEXT(VLOOKUP(CONCATENATE($A87,"_",AR$3),'Unit List'!$A$23:$H$3256,2,FALSE)),"X",$AP87)</f>
        <v/>
      </c>
      <c r="AS87" s="120" t="str">
        <f>IF(ISTEXT(VLOOKUP(CONCATENATE($A87,"_",AS$3),'Unit List'!$A$23:$H$3256,2,FALSE)),"X",$AP87)</f>
        <v/>
      </c>
      <c r="AT87" s="146" t="s">
        <v>0</v>
      </c>
      <c r="AU87" s="124" t="str">
        <f>IF(ISTEXT(VLOOKUP(CONCATENATE($A87,"_",AU$3),'Unit List'!$A$23:$H$3256,2,FALSE)),"+","")</f>
        <v/>
      </c>
      <c r="AV87" s="120" t="str">
        <f>IF(ISTEXT(VLOOKUP(CONCATENATE($A87,"_",AV$3),'Unit List'!$A$23:$H$3256,2,FALSE)),"X",$AU87)</f>
        <v/>
      </c>
      <c r="AW87" s="122" t="str">
        <f>IF(ISTEXT(VLOOKUP(CONCATENATE($A87,"_",AW$3),'Unit List'!$A$23:$H$3256,2,FALSE)),"X",$AU87)</f>
        <v/>
      </c>
      <c r="AX87" s="172" t="str">
        <f>IF(ISTEXT(VLOOKUP(CONCATENATE($A87,"_",AX$3),'Unit List'!$A$23:$H$3256,2,FALSE)),"+","")</f>
        <v/>
      </c>
      <c r="AY87" s="120" t="str">
        <f>IF(ISTEXT(VLOOKUP(CONCATENATE($A87,"_",AY$3),'Unit List'!$A$23:$H$3256,2,FALSE)),"X",$AX87)</f>
        <v/>
      </c>
      <c r="AZ87" s="122" t="str">
        <f>IF(ISTEXT(VLOOKUP(CONCATENATE($A87,"_",AZ$3),'Unit List'!$A$23:$H$3256,2,FALSE)),"X",$AX87)</f>
        <v/>
      </c>
      <c r="BA87" s="182" t="str">
        <f>IF(ISTEXT(VLOOKUP(CONCATENATE($A87,"_",BA$3),'Unit List'!$A$23:$H$3256,2,FALSE)),"+","")</f>
        <v/>
      </c>
      <c r="BB87" s="120" t="str">
        <f>IF(ISTEXT(VLOOKUP(CONCATENATE($A87,"_",BB$3),'Unit List'!$A$23:$H$3256,2,FALSE)),"X",$BA87)</f>
        <v/>
      </c>
      <c r="BC87" s="120" t="str">
        <f>IF(ISTEXT(VLOOKUP(CONCATENATE($A87,"_",BC$3),'Unit List'!$A$23:$H$3256,2,FALSE)),"X",$BA87)</f>
        <v/>
      </c>
      <c r="BD87" s="122" t="str">
        <f>IF(ISTEXT(VLOOKUP(CONCATENATE($A87,"_",BD$3),'Unit List'!$A$23:$H$3256,2,FALSE)),"X",$BA87)</f>
        <v/>
      </c>
      <c r="BE87" s="125" t="str">
        <f>IF(ISTEXT(VLOOKUP(CONCATENATE($A87,"_",BE$3),'Unit List'!$A$23:$H$3256,2,FALSE)),"+","")</f>
        <v/>
      </c>
      <c r="BF87" s="75" t="str">
        <f>IF(ISTEXT(VLOOKUP(CONCATENATE($A87,"_",BF$3),'Unit List'!$A$23:$H$3256,2,FALSE)),"X",$BE87)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List'!$A$23:$H$3256,2,FALSE)),"+","")</f>
        <v/>
      </c>
      <c r="C88" s="119" t="str">
        <f>IF(ISTEXT(VLOOKUP(CONCATENATE($A88,"_",C$3),'Unit List'!$A$23:$H$3256,2,FALSE)),"X",$B88)</f>
        <v/>
      </c>
      <c r="D88" s="120" t="str">
        <f>IF(ISTEXT(VLOOKUP(CONCATENATE($A88,"_",D$3),'Unit List'!$A$23:$H$3256,2,FALSE)),"X",$B88)</f>
        <v/>
      </c>
      <c r="E88" s="120" t="str">
        <f>IF(ISTEXT(VLOOKUP(CONCATENATE($A88,"_",E$3),'Unit List'!$A$23:$H$3256,2,FALSE)),"X",$B88)</f>
        <v/>
      </c>
      <c r="F88" s="120" t="str">
        <f>IF(ISTEXT(VLOOKUP(CONCATENATE($A88,"_",F$3),'Unit List'!$A$23:$H$3256,2,FALSE)),"X",$B88)</f>
        <v/>
      </c>
      <c r="G88" s="120" t="str">
        <f>IF(ISTEXT(VLOOKUP(CONCATENATE($A88,"_",G$3),'Unit List'!$A$23:$H$3256,2,FALSE)),"X",$B88)</f>
        <v/>
      </c>
      <c r="H88" s="120" t="str">
        <f>IF(ISTEXT(VLOOKUP(CONCATENATE($A88,"_",H$3),'Unit List'!$A$23:$H$3256,2,FALSE)),"X",$B88)</f>
        <v/>
      </c>
      <c r="I88" s="122" t="str">
        <f>IF(ISTEXT(VLOOKUP(CONCATENATE($A88,"_",I$3),'Unit List'!$A$23:$H$3256,2,FALSE)),"X",$B88)</f>
        <v/>
      </c>
      <c r="J88" s="172" t="str">
        <f>IF(ISTEXT(VLOOKUP(CONCATENATE($A88,"_",J$3),'Unit List'!$A$23:$H$3256,2,FALSE)),"+","")</f>
        <v/>
      </c>
      <c r="K88" s="120" t="str">
        <f>IF(ISTEXT(VLOOKUP(CONCATENATE($A88,"_",K$3),'Unit List'!$A$23:$H$3256,2,FALSE)),"X",$J88)</f>
        <v/>
      </c>
      <c r="L88" s="75" t="str">
        <f>IF(ISTEXT(VLOOKUP(CONCATENATE($A88,"_",L$3),'Unit List'!$A$23:$H$3256,2,FALSE)),"X",$J88)</f>
        <v/>
      </c>
      <c r="M88" s="172" t="str">
        <f>IF(ISTEXT(VLOOKUP(CONCATENATE($A88,"_",M$3),'Unit List'!$A$23:$H$3256,2,FALSE)),"+","")</f>
        <v/>
      </c>
      <c r="N88" s="120" t="str">
        <f>IF(ISTEXT(VLOOKUP(CONCATENATE($A88,"_",N$3),'Unit List'!$A$23:$H$3256,2,FALSE)),"X",$M88)</f>
        <v/>
      </c>
      <c r="O88" s="122" t="str">
        <f>IF(ISTEXT(VLOOKUP(CONCATENATE($A88,"_",O$3),'Unit List'!$A$23:$H$3256,2,FALSE)),"X",$M88)</f>
        <v/>
      </c>
      <c r="P88" s="172" t="str">
        <f>IF(ISTEXT(VLOOKUP(CONCATENATE($A88,"_",P$3),'Unit List'!$A$23:$H$3256,2,FALSE)),"+","")</f>
        <v/>
      </c>
      <c r="Q88" s="120" t="str">
        <f>IF(ISTEXT(VLOOKUP(CONCATENATE($A88,"_",Q$3),'Unit List'!$A$23:$H$3256,2,FALSE)),"X",$P88)</f>
        <v/>
      </c>
      <c r="R88" s="120" t="str">
        <f>IF(ISTEXT(VLOOKUP(CONCATENATE($A88,"_",R$3),'Unit List'!$A$23:$H$3256,2,FALSE)),"X",$P88)</f>
        <v/>
      </c>
      <c r="S88" s="120" t="str">
        <f>IF(ISTEXT(VLOOKUP(CONCATENATE($A88,"_",S$3),'Unit List'!$A$23:$H$3256,2,FALSE)),"X",$P88)</f>
        <v/>
      </c>
      <c r="T88" s="121" t="str">
        <f>IF(ISTEXT(VLOOKUP(CONCATENATE($A88,"_",T$3),'Unit List'!$A$23:$H$3256,2,FALSE)),"X",$P88)</f>
        <v/>
      </c>
      <c r="U88" s="120" t="str">
        <f>IF(ISTEXT(VLOOKUP(CONCATENATE($A88,"_",U$3),'Unit List'!$A$23:$H$3256,2,FALSE)),"X",$P88)</f>
        <v/>
      </c>
      <c r="V88" s="120" t="str">
        <f>IF(ISTEXT(VLOOKUP(CONCATENATE($A88,"_",V$3),'Unit List'!$A$23:$H$3256,2,FALSE)),"X",$P88)</f>
        <v/>
      </c>
      <c r="W88" s="122" t="str">
        <f>IF(ISTEXT(VLOOKUP(CONCATENATE($A88,"_",W$3),'Unit List'!$A$23:$H$3256,2,FALSE)),"X",$P88)</f>
        <v/>
      </c>
      <c r="X88" s="172" t="str">
        <f>IF(ISTEXT(VLOOKUP(CONCATENATE($A88,"_",X$3),'Unit List'!$A$23:$H$3256,2,FALSE)),"+","")</f>
        <v/>
      </c>
      <c r="Y88" s="120" t="str">
        <f>IF(ISTEXT(VLOOKUP(CONCATENATE($A88,"_",Y$3),'Unit List'!$A$23:$H$3256,2,FALSE)),"X",$X88)</f>
        <v/>
      </c>
      <c r="Z88" s="120" t="str">
        <f>IF(ISTEXT(VLOOKUP(CONCATENATE($A88,"_",Z$3),'Unit List'!$A$23:$H$3256,2,FALSE)),"X",$X88)</f>
        <v/>
      </c>
      <c r="AA88" s="120" t="str">
        <f>IF(ISTEXT(VLOOKUP(CONCATENATE($A88,"_",AA$3),'Unit List'!$A$23:$H$3256,2,FALSE)),"X",$X88)</f>
        <v/>
      </c>
      <c r="AB88" s="120" t="str">
        <f>IF(ISTEXT(VLOOKUP(CONCATENATE($A88,"_",AB$3),'Unit List'!$A$23:$H$3256,2,FALSE)),"X",$X88)</f>
        <v/>
      </c>
      <c r="AC88" s="75" t="str">
        <f>IF(ISTEXT(VLOOKUP(CONCATENATE($A88,"_",AC$3),'Unit List'!$A$23:$H$3256,2,FALSE)),"X",$X88)</f>
        <v/>
      </c>
      <c r="AD88" s="172" t="str">
        <f>IF(ISTEXT(VLOOKUP(CONCATENATE($A88,"_",AD$3),'Unit List'!$A$23:$H$3256,2,FALSE)),"+","")</f>
        <v/>
      </c>
      <c r="AE88" s="120" t="str">
        <f>IF(ISTEXT(VLOOKUP(CONCATENATE($A88,"_",AE$3),'Unit List'!$A$23:$H$3256,2,FALSE)),"X",$AD88)</f>
        <v/>
      </c>
      <c r="AF88" s="120" t="str">
        <f>IF(ISTEXT(VLOOKUP(CONCATENATE($A88,"_",AF$3),'Unit List'!$A$23:$H$3256,2,FALSE)),"X",$AD88)</f>
        <v/>
      </c>
      <c r="AG88" s="172" t="str">
        <f>IF(ISTEXT(VLOOKUP(CONCATENATE($A88,"_",AG$3),'Unit List'!$A$23:$H$3256,2,FALSE)),"+","")</f>
        <v/>
      </c>
      <c r="AH88" s="120" t="str">
        <f>IF(ISTEXT(VLOOKUP(CONCATENATE($A88,"_",AH$3),'Unit List'!$A$23:$H$3256,2,FALSE)),"X",$AG88)</f>
        <v/>
      </c>
      <c r="AI88" s="120" t="str">
        <f>IF(ISTEXT(VLOOKUP(CONCATENATE($A88,"_",AI$3),'Unit List'!$A$23:$H$3256,2,FALSE)),"X",$AG88)</f>
        <v/>
      </c>
      <c r="AJ88" s="122" t="str">
        <f>IF(ISTEXT(VLOOKUP(CONCATENATE($A88,"_",AJ$3),'Unit List'!$A$23:$H$3256,2,FALSE)),"X",$AG88)</f>
        <v/>
      </c>
      <c r="AK88" s="172" t="str">
        <f>IF(ISTEXT(VLOOKUP(CONCATENATE($A88,"_",AK$3),'Unit List'!$A$23:$H$3256,2,FALSE)),"+","")</f>
        <v/>
      </c>
      <c r="AL88" s="121" t="str">
        <f>IF(ISTEXT(VLOOKUP(CONCATENATE($A88,"_",AL$3),'Unit List'!$A$23:$H$3256,2,FALSE)),"X",$AK88)</f>
        <v/>
      </c>
      <c r="AM88" s="122" t="str">
        <f>IF(ISTEXT(VLOOKUP(CONCATENATE($A88,"_",AM$3),'Unit List'!$A$23:$H$3256,2,FALSE)),"X",$AK88)</f>
        <v/>
      </c>
      <c r="AN88" s="125" t="str">
        <f>IF(ISTEXT(VLOOKUP(CONCATENATE($A88,"_",AN$3),'Unit List'!$A$23:$H$3256,2,FALSE)),"+","")</f>
        <v/>
      </c>
      <c r="AO88" s="122" t="str">
        <f>IF(ISTEXT(VLOOKUP(CONCATENATE($A88,"_",AO$3),'Unit List'!$A$23:$H$3256,2,FALSE)),"X",$AN88)</f>
        <v/>
      </c>
      <c r="AP88" s="172" t="str">
        <f>IF(ISTEXT(VLOOKUP(CONCATENATE($A88,"_",AP$3),'Unit List'!$A$23:$H$3256,2,FALSE)),"+","")</f>
        <v/>
      </c>
      <c r="AQ88" s="120" t="str">
        <f>IF(ISTEXT(VLOOKUP(CONCATENATE($A88,"_",AQ$3),'Unit List'!$A$23:$H$3256,2,FALSE)),"X",$AP88)</f>
        <v/>
      </c>
      <c r="AR88" s="120" t="str">
        <f>IF(ISTEXT(VLOOKUP(CONCATENATE($A88,"_",AR$3),'Unit List'!$A$23:$H$3256,2,FALSE)),"X",$AP88)</f>
        <v/>
      </c>
      <c r="AS88" s="120" t="str">
        <f>IF(ISTEXT(VLOOKUP(CONCATENATE($A88,"_",AS$3),'Unit List'!$A$23:$H$3256,2,FALSE)),"X",$AP88)</f>
        <v/>
      </c>
      <c r="AT88" s="122" t="str">
        <f>IF(ISTEXT(VLOOKUP(CONCATENATE($A88,"_",AT$3),'Unit List'!$A$23:$H$3256,2,FALSE)),"X",$AP88)</f>
        <v/>
      </c>
      <c r="AU88" s="124" t="str">
        <f>IF(ISTEXT(VLOOKUP(CONCATENATE($A88,"_",AU$3),'Unit List'!$A$23:$H$3256,2,FALSE)),"+","")</f>
        <v/>
      </c>
      <c r="AV88" s="120" t="str">
        <f>IF(ISTEXT(VLOOKUP(CONCATENATE($A88,"_",AV$3),'Unit List'!$A$23:$H$3256,2,FALSE)),"X",$AU88)</f>
        <v/>
      </c>
      <c r="AW88" s="122" t="str">
        <f>IF(ISTEXT(VLOOKUP(CONCATENATE($A88,"_",AW$3),'Unit List'!$A$23:$H$3256,2,FALSE)),"X",$AU88)</f>
        <v/>
      </c>
      <c r="AX88" s="172" t="str">
        <f>IF(ISTEXT(VLOOKUP(CONCATENATE($A88,"_",AX$3),'Unit List'!$A$23:$H$3256,2,FALSE)),"+","")</f>
        <v/>
      </c>
      <c r="AY88" s="120" t="str">
        <f>IF(ISTEXT(VLOOKUP(CONCATENATE($A88,"_",AY$3),'Unit List'!$A$23:$H$3256,2,FALSE)),"X",$AX88)</f>
        <v/>
      </c>
      <c r="AZ88" s="122" t="str">
        <f>IF(ISTEXT(VLOOKUP(CONCATENATE($A88,"_",AZ$3),'Unit List'!$A$23:$H$3256,2,FALSE)),"X",$AX88)</f>
        <v/>
      </c>
      <c r="BA88" s="182" t="str">
        <f>IF(ISTEXT(VLOOKUP(CONCATENATE($A88,"_",BA$3),'Unit List'!$A$23:$H$3256,2,FALSE)),"+","")</f>
        <v/>
      </c>
      <c r="BB88" s="120" t="str">
        <f>IF(ISTEXT(VLOOKUP(CONCATENATE($A88,"_",BB$3),'Unit List'!$A$23:$H$3256,2,FALSE)),"X",$BA88)</f>
        <v/>
      </c>
      <c r="BC88" s="120" t="str">
        <f>IF(ISTEXT(VLOOKUP(CONCATENATE($A88,"_",BC$3),'Unit List'!$A$23:$H$3256,2,FALSE)),"X",$BA88)</f>
        <v/>
      </c>
      <c r="BD88" s="122" t="str">
        <f>IF(ISTEXT(VLOOKUP(CONCATENATE($A88,"_",BD$3),'Unit List'!$A$23:$H$3256,2,FALSE)),"X",$BA88)</f>
        <v/>
      </c>
      <c r="BE88" s="125" t="str">
        <f>IF(ISTEXT(VLOOKUP(CONCATENATE($A88,"_",BE$3),'Unit List'!$A$23:$H$3256,2,FALSE)),"+","")</f>
        <v/>
      </c>
      <c r="BF88" s="75" t="str">
        <f>IF(ISTEXT(VLOOKUP(CONCATENATE($A88,"_",BF$3),'Unit List'!$A$23:$H$3256,2,FALSE)),"X",$BE88)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List'!$A$23:$H$3256,2,FALSE)),"+","")</f>
        <v/>
      </c>
      <c r="C89" s="119" t="str">
        <f>IF(ISTEXT(VLOOKUP(CONCATENATE($A89,"_",C$3),'Unit List'!$A$23:$H$3256,2,FALSE)),"X",$B89)</f>
        <v/>
      </c>
      <c r="D89" s="120" t="str">
        <f>IF(ISTEXT(VLOOKUP(CONCATENATE($A89,"_",D$3),'Unit List'!$A$23:$H$3256,2,FALSE)),"X",$B89)</f>
        <v/>
      </c>
      <c r="E89" s="120" t="str">
        <f>IF(ISTEXT(VLOOKUP(CONCATENATE($A89,"_",E$3),'Unit List'!$A$23:$H$3256,2,FALSE)),"X",$B89)</f>
        <v/>
      </c>
      <c r="F89" s="120" t="str">
        <f>IF(ISTEXT(VLOOKUP(CONCATENATE($A89,"_",F$3),'Unit List'!$A$23:$H$3256,2,FALSE)),"X",$B89)</f>
        <v/>
      </c>
      <c r="G89" s="120" t="str">
        <f>IF(ISTEXT(VLOOKUP(CONCATENATE($A89,"_",G$3),'Unit List'!$A$23:$H$3256,2,FALSE)),"X",$B89)</f>
        <v/>
      </c>
      <c r="H89" s="120" t="str">
        <f>IF(ISTEXT(VLOOKUP(CONCATENATE($A89,"_",H$3),'Unit List'!$A$23:$H$3256,2,FALSE)),"X",$B89)</f>
        <v/>
      </c>
      <c r="I89" s="122" t="str">
        <f>IF(ISTEXT(VLOOKUP(CONCATENATE($A89,"_",I$3),'Unit List'!$A$23:$H$3256,2,FALSE)),"X",$B89)</f>
        <v/>
      </c>
      <c r="J89" s="172" t="str">
        <f>IF(ISTEXT(VLOOKUP(CONCATENATE($A89,"_",J$3),'Unit List'!$A$23:$H$3256,2,FALSE)),"+","")</f>
        <v/>
      </c>
      <c r="K89" s="120" t="str">
        <f>IF(ISTEXT(VLOOKUP(CONCATENATE($A89,"_",K$3),'Unit List'!$A$23:$H$3256,2,FALSE)),"X",$J89)</f>
        <v/>
      </c>
      <c r="L89" s="75" t="str">
        <f>IF(ISTEXT(VLOOKUP(CONCATENATE($A89,"_",L$3),'Unit List'!$A$23:$H$3256,2,FALSE)),"X",$J89)</f>
        <v/>
      </c>
      <c r="M89" s="172" t="str">
        <f>IF(ISTEXT(VLOOKUP(CONCATENATE($A89,"_",M$3),'Unit List'!$A$23:$H$3256,2,FALSE)),"+","")</f>
        <v/>
      </c>
      <c r="N89" s="120" t="str">
        <f>IF(ISTEXT(VLOOKUP(CONCATENATE($A89,"_",N$3),'Unit List'!$A$23:$H$3256,2,FALSE)),"X",$M89)</f>
        <v/>
      </c>
      <c r="O89" s="122" t="str">
        <f>IF(ISTEXT(VLOOKUP(CONCATENATE($A89,"_",O$3),'Unit List'!$A$23:$H$3256,2,FALSE)),"X",$M89)</f>
        <v/>
      </c>
      <c r="P89" s="172" t="str">
        <f>IF(ISTEXT(VLOOKUP(CONCATENATE($A89,"_",P$3),'Unit List'!$A$23:$H$3256,2,FALSE)),"+","")</f>
        <v/>
      </c>
      <c r="Q89" s="120" t="str">
        <f>IF(ISTEXT(VLOOKUP(CONCATENATE($A89,"_",Q$3),'Unit List'!$A$23:$H$3256,2,FALSE)),"X",$P89)</f>
        <v/>
      </c>
      <c r="R89" s="120" t="str">
        <f>IF(ISTEXT(VLOOKUP(CONCATENATE($A89,"_",R$3),'Unit List'!$A$23:$H$3256,2,FALSE)),"X",$P89)</f>
        <v/>
      </c>
      <c r="S89" s="120" t="str">
        <f>IF(ISTEXT(VLOOKUP(CONCATENATE($A89,"_",S$3),'Unit List'!$A$23:$H$3256,2,FALSE)),"X",$P89)</f>
        <v/>
      </c>
      <c r="T89" s="121" t="str">
        <f>IF(ISTEXT(VLOOKUP(CONCATENATE($A89,"_",T$3),'Unit List'!$A$23:$H$3256,2,FALSE)),"X",$P89)</f>
        <v/>
      </c>
      <c r="U89" s="120" t="str">
        <f>IF(ISTEXT(VLOOKUP(CONCATENATE($A89,"_",U$3),'Unit List'!$A$23:$H$3256,2,FALSE)),"X",$P89)</f>
        <v/>
      </c>
      <c r="V89" s="120" t="str">
        <f>IF(ISTEXT(VLOOKUP(CONCATENATE($A89,"_",V$3),'Unit List'!$A$23:$H$3256,2,FALSE)),"X",$P89)</f>
        <v/>
      </c>
      <c r="W89" s="122" t="str">
        <f>IF(ISTEXT(VLOOKUP(CONCATENATE($A89,"_",W$3),'Unit List'!$A$23:$H$3256,2,FALSE)),"X",$P89)</f>
        <v/>
      </c>
      <c r="X89" s="172" t="str">
        <f>IF(ISTEXT(VLOOKUP(CONCATENATE($A89,"_",X$3),'Unit List'!$A$23:$H$3256,2,FALSE)),"+","")</f>
        <v/>
      </c>
      <c r="Y89" s="120" t="str">
        <f>IF(ISTEXT(VLOOKUP(CONCATENATE($A89,"_",Y$3),'Unit List'!$A$23:$H$3256,2,FALSE)),"X",$X89)</f>
        <v/>
      </c>
      <c r="Z89" s="120" t="str">
        <f>IF(ISTEXT(VLOOKUP(CONCATENATE($A89,"_",Z$3),'Unit List'!$A$23:$H$3256,2,FALSE)),"X",$X89)</f>
        <v/>
      </c>
      <c r="AA89" s="120" t="str">
        <f>IF(ISTEXT(VLOOKUP(CONCATENATE($A89,"_",AA$3),'Unit List'!$A$23:$H$3256,2,FALSE)),"X",$X89)</f>
        <v/>
      </c>
      <c r="AB89" s="120" t="str">
        <f>IF(ISTEXT(VLOOKUP(CONCATENATE($A89,"_",AB$3),'Unit List'!$A$23:$H$3256,2,FALSE)),"X",$X89)</f>
        <v/>
      </c>
      <c r="AC89" s="75" t="str">
        <f>IF(ISTEXT(VLOOKUP(CONCATENATE($A89,"_",AC$3),'Unit List'!$A$23:$H$3256,2,FALSE)),"X",$X89)</f>
        <v/>
      </c>
      <c r="AD89" s="172" t="str">
        <f>IF(ISTEXT(VLOOKUP(CONCATENATE($A89,"_",AD$3),'Unit List'!$A$23:$H$3256,2,FALSE)),"+","")</f>
        <v/>
      </c>
      <c r="AE89" s="120" t="str">
        <f>IF(ISTEXT(VLOOKUP(CONCATENATE($A89,"_",AE$3),'Unit List'!$A$23:$H$3256,2,FALSE)),"X",$AD89)</f>
        <v/>
      </c>
      <c r="AF89" s="120" t="str">
        <f>IF(ISTEXT(VLOOKUP(CONCATENATE($A89,"_",AF$3),'Unit List'!$A$23:$H$3256,2,FALSE)),"X",$AD89)</f>
        <v/>
      </c>
      <c r="AG89" s="172" t="str">
        <f>IF(ISTEXT(VLOOKUP(CONCATENATE($A89,"_",AG$3),'Unit List'!$A$23:$H$3256,2,FALSE)),"+","")</f>
        <v/>
      </c>
      <c r="AH89" s="120" t="str">
        <f>IF(ISTEXT(VLOOKUP(CONCATENATE($A89,"_",AH$3),'Unit List'!$A$23:$H$3256,2,FALSE)),"X",$AG89)</f>
        <v/>
      </c>
      <c r="AI89" s="120" t="str">
        <f>IF(ISTEXT(VLOOKUP(CONCATENATE($A89,"_",AI$3),'Unit List'!$A$23:$H$3256,2,FALSE)),"X",$AG89)</f>
        <v/>
      </c>
      <c r="AJ89" s="122" t="str">
        <f>IF(ISTEXT(VLOOKUP(CONCATENATE($A89,"_",AJ$3),'Unit List'!$A$23:$H$3256,2,FALSE)),"X",$AG89)</f>
        <v/>
      </c>
      <c r="AK89" s="172" t="str">
        <f>IF(ISTEXT(VLOOKUP(CONCATENATE($A89,"_",AK$3),'Unit List'!$A$23:$H$3256,2,FALSE)),"+","")</f>
        <v/>
      </c>
      <c r="AL89" s="121" t="str">
        <f>IF(ISTEXT(VLOOKUP(CONCATENATE($A89,"_",AL$3),'Unit List'!$A$23:$H$3256,2,FALSE)),"X",$AK89)</f>
        <v/>
      </c>
      <c r="AM89" s="122" t="str">
        <f>IF(ISTEXT(VLOOKUP(CONCATENATE($A89,"_",AM$3),'Unit List'!$A$23:$H$3256,2,FALSE)),"X",$AK89)</f>
        <v/>
      </c>
      <c r="AN89" s="125" t="str">
        <f>IF(ISTEXT(VLOOKUP(CONCATENATE($A89,"_",AN$3),'Unit List'!$A$23:$H$3256,2,FALSE)),"+","")</f>
        <v/>
      </c>
      <c r="AO89" s="122" t="str">
        <f>IF(ISTEXT(VLOOKUP(CONCATENATE($A89,"_",AO$3),'Unit List'!$A$23:$H$3256,2,FALSE)),"X",$AN89)</f>
        <v/>
      </c>
      <c r="AP89" s="172" t="str">
        <f>IF(ISTEXT(VLOOKUP(CONCATENATE($A89,"_",AP$3),'Unit List'!$A$23:$H$3256,2,FALSE)),"+","")</f>
        <v/>
      </c>
      <c r="AQ89" s="120" t="str">
        <f>IF(ISTEXT(VLOOKUP(CONCATENATE($A89,"_",AQ$3),'Unit List'!$A$23:$H$3256,2,FALSE)),"X",$AP89)</f>
        <v/>
      </c>
      <c r="AR89" s="120" t="str">
        <f>IF(ISTEXT(VLOOKUP(CONCATENATE($A89,"_",AR$3),'Unit List'!$A$23:$H$3256,2,FALSE)),"X",$AP89)</f>
        <v/>
      </c>
      <c r="AS89" s="120" t="str">
        <f>IF(ISTEXT(VLOOKUP(CONCATENATE($A89,"_",AS$3),'Unit List'!$A$23:$H$3256,2,FALSE)),"X",$AP89)</f>
        <v/>
      </c>
      <c r="AT89" s="122" t="str">
        <f>IF(ISTEXT(VLOOKUP(CONCATENATE($A89,"_",AT$3),'Unit List'!$A$23:$H$3256,2,FALSE)),"X",$AP89)</f>
        <v/>
      </c>
      <c r="AU89" s="124" t="str">
        <f>IF(ISTEXT(VLOOKUP(CONCATENATE($A89,"_",AU$3),'Unit List'!$A$23:$H$3256,2,FALSE)),"+","")</f>
        <v/>
      </c>
      <c r="AV89" s="120" t="str">
        <f>IF(ISTEXT(VLOOKUP(CONCATENATE($A89,"_",AV$3),'Unit List'!$A$23:$H$3256,2,FALSE)),"X",$AU89)</f>
        <v/>
      </c>
      <c r="AW89" s="122" t="str">
        <f>IF(ISTEXT(VLOOKUP(CONCATENATE($A89,"_",AW$3),'Unit List'!$A$23:$H$3256,2,FALSE)),"X",$AU89)</f>
        <v/>
      </c>
      <c r="AX89" s="172" t="str">
        <f>IF(ISTEXT(VLOOKUP(CONCATENATE($A89,"_",AX$3),'Unit List'!$A$23:$H$3256,2,FALSE)),"+","")</f>
        <v/>
      </c>
      <c r="AY89" s="120" t="str">
        <f>IF(ISTEXT(VLOOKUP(CONCATENATE($A89,"_",AY$3),'Unit List'!$A$23:$H$3256,2,FALSE)),"X",$AX89)</f>
        <v/>
      </c>
      <c r="AZ89" s="122" t="str">
        <f>IF(ISTEXT(VLOOKUP(CONCATENATE($A89,"_",AZ$3),'Unit List'!$A$23:$H$3256,2,FALSE)),"X",$AX89)</f>
        <v/>
      </c>
      <c r="BA89" s="182" t="str">
        <f>IF(ISTEXT(VLOOKUP(CONCATENATE($A89,"_",BA$3),'Unit List'!$A$23:$H$3256,2,FALSE)),"+","")</f>
        <v/>
      </c>
      <c r="BB89" s="120" t="str">
        <f>IF(ISTEXT(VLOOKUP(CONCATENATE($A89,"_",BB$3),'Unit List'!$A$23:$H$3256,2,FALSE)),"X",$BA89)</f>
        <v/>
      </c>
      <c r="BC89" s="120" t="str">
        <f>IF(ISTEXT(VLOOKUP(CONCATENATE($A89,"_",BC$3),'Unit List'!$A$23:$H$3256,2,FALSE)),"X",$BA89)</f>
        <v/>
      </c>
      <c r="BD89" s="122" t="str">
        <f>IF(ISTEXT(VLOOKUP(CONCATENATE($A89,"_",BD$3),'Unit List'!$A$23:$H$3256,2,FALSE)),"X",$BA89)</f>
        <v/>
      </c>
      <c r="BE89" s="125" t="str">
        <f>IF(ISTEXT(VLOOKUP(CONCATENATE($A89,"_",BE$3),'Unit List'!$A$23:$H$3256,2,FALSE)),"+","")</f>
        <v/>
      </c>
      <c r="BF89" s="75" t="str">
        <f>IF(ISTEXT(VLOOKUP(CONCATENATE($A89,"_",BF$3),'Unit List'!$A$23:$H$3256,2,FALSE)),"X",$BE89)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List'!$A$23:$H$3256,2,FALSE)),"+","")</f>
        <v/>
      </c>
      <c r="C90" s="119" t="str">
        <f>IF(ISTEXT(VLOOKUP(CONCATENATE($A90,"_",C$3),'Unit List'!$A$23:$H$3256,2,FALSE)),"X",$B90)</f>
        <v/>
      </c>
      <c r="D90" s="120" t="str">
        <f>IF(ISTEXT(VLOOKUP(CONCATENATE($A90,"_",D$3),'Unit List'!$A$23:$H$3256,2,FALSE)),"X",$B90)</f>
        <v/>
      </c>
      <c r="E90" s="120" t="str">
        <f>IF(ISTEXT(VLOOKUP(CONCATENATE($A90,"_",E$3),'Unit List'!$A$23:$H$3256,2,FALSE)),"X",$B90)</f>
        <v/>
      </c>
      <c r="F90" s="120" t="str">
        <f>IF(ISTEXT(VLOOKUP(CONCATENATE($A90,"_",F$3),'Unit List'!$A$23:$H$3256,2,FALSE)),"X",$B90)</f>
        <v/>
      </c>
      <c r="G90" s="120" t="str">
        <f>IF(ISTEXT(VLOOKUP(CONCATENATE($A90,"_",G$3),'Unit List'!$A$23:$H$3256,2,FALSE)),"X",$B90)</f>
        <v/>
      </c>
      <c r="H90" s="120" t="str">
        <f>IF(ISTEXT(VLOOKUP(CONCATENATE($A90,"_",H$3),'Unit List'!$A$23:$H$3256,2,FALSE)),"X",$B90)</f>
        <v/>
      </c>
      <c r="I90" s="122" t="str">
        <f>IF(ISTEXT(VLOOKUP(CONCATENATE($A90,"_",I$3),'Unit List'!$A$23:$H$3256,2,FALSE)),"X",$B90)</f>
        <v/>
      </c>
      <c r="J90" s="172" t="str">
        <f>IF(ISTEXT(VLOOKUP(CONCATENATE($A90,"_",J$3),'Unit List'!$A$23:$H$3256,2,FALSE)),"+","")</f>
        <v/>
      </c>
      <c r="K90" s="120" t="str">
        <f>IF(ISTEXT(VLOOKUP(CONCATENATE($A90,"_",K$3),'Unit List'!$A$23:$H$3256,2,FALSE)),"X",$J90)</f>
        <v/>
      </c>
      <c r="L90" s="75" t="str">
        <f>IF(ISTEXT(VLOOKUP(CONCATENATE($A90,"_",L$3),'Unit List'!$A$23:$H$3256,2,FALSE)),"X",$J90)</f>
        <v/>
      </c>
      <c r="M90" s="172" t="str">
        <f>IF(ISTEXT(VLOOKUP(CONCATENATE($A90,"_",M$3),'Unit List'!$A$23:$H$3256,2,FALSE)),"+","")</f>
        <v/>
      </c>
      <c r="N90" s="120" t="str">
        <f>IF(ISTEXT(VLOOKUP(CONCATENATE($A90,"_",N$3),'Unit List'!$A$23:$H$3256,2,FALSE)),"X",$M90)</f>
        <v/>
      </c>
      <c r="O90" s="122" t="str">
        <f>IF(ISTEXT(VLOOKUP(CONCATENATE($A90,"_",O$3),'Unit List'!$A$23:$H$3256,2,FALSE)),"X",$M90)</f>
        <v/>
      </c>
      <c r="P90" s="172" t="str">
        <f>IF(ISTEXT(VLOOKUP(CONCATENATE($A90,"_",P$3),'Unit List'!$A$23:$H$3256,2,FALSE)),"+","")</f>
        <v/>
      </c>
      <c r="Q90" s="120" t="str">
        <f>IF(ISTEXT(VLOOKUP(CONCATENATE($A90,"_",Q$3),'Unit List'!$A$23:$H$3256,2,FALSE)),"X",$P90)</f>
        <v/>
      </c>
      <c r="R90" s="120" t="str">
        <f>IF(ISTEXT(VLOOKUP(CONCATENATE($A90,"_",R$3),'Unit List'!$A$23:$H$3256,2,FALSE)),"X",$P90)</f>
        <v/>
      </c>
      <c r="S90" s="120" t="str">
        <f>IF(ISTEXT(VLOOKUP(CONCATENATE($A90,"_",S$3),'Unit List'!$A$23:$H$3256,2,FALSE)),"X",$P90)</f>
        <v/>
      </c>
      <c r="T90" s="121" t="str">
        <f>IF(ISTEXT(VLOOKUP(CONCATENATE($A90,"_",T$3),'Unit List'!$A$23:$H$3256,2,FALSE)),"X",$P90)</f>
        <v/>
      </c>
      <c r="U90" s="120" t="str">
        <f>IF(ISTEXT(VLOOKUP(CONCATENATE($A90,"_",U$3),'Unit List'!$A$23:$H$3256,2,FALSE)),"X",$P90)</f>
        <v/>
      </c>
      <c r="V90" s="120" t="str">
        <f>IF(ISTEXT(VLOOKUP(CONCATENATE($A90,"_",V$3),'Unit List'!$A$23:$H$3256,2,FALSE)),"X",$P90)</f>
        <v/>
      </c>
      <c r="W90" s="122" t="str">
        <f>IF(ISTEXT(VLOOKUP(CONCATENATE($A90,"_",W$3),'Unit List'!$A$23:$H$3256,2,FALSE)),"X",$P90)</f>
        <v/>
      </c>
      <c r="X90" s="172" t="str">
        <f>IF(ISTEXT(VLOOKUP(CONCATENATE($A90,"_",X$3),'Unit List'!$A$23:$H$3256,2,FALSE)),"+","")</f>
        <v/>
      </c>
      <c r="Y90" s="120" t="str">
        <f>IF(ISTEXT(VLOOKUP(CONCATENATE($A90,"_",Y$3),'Unit List'!$A$23:$H$3256,2,FALSE)),"X",$X90)</f>
        <v/>
      </c>
      <c r="Z90" s="120" t="str">
        <f>IF(ISTEXT(VLOOKUP(CONCATENATE($A90,"_",Z$3),'Unit List'!$A$23:$H$3256,2,FALSE)),"X",$X90)</f>
        <v/>
      </c>
      <c r="AA90" s="120" t="str">
        <f>IF(ISTEXT(VLOOKUP(CONCATENATE($A90,"_",AA$3),'Unit List'!$A$23:$H$3256,2,FALSE)),"X",$X90)</f>
        <v/>
      </c>
      <c r="AB90" s="120" t="str">
        <f>IF(ISTEXT(VLOOKUP(CONCATENATE($A90,"_",AB$3),'Unit List'!$A$23:$H$3256,2,FALSE)),"X",$X90)</f>
        <v/>
      </c>
      <c r="AC90" s="75" t="str">
        <f>IF(ISTEXT(VLOOKUP(CONCATENATE($A90,"_",AC$3),'Unit List'!$A$23:$H$3256,2,FALSE)),"X",$X90)</f>
        <v/>
      </c>
      <c r="AD90" s="172" t="str">
        <f>IF(ISTEXT(VLOOKUP(CONCATENATE($A90,"_",AD$3),'Unit List'!$A$23:$H$3256,2,FALSE)),"+","")</f>
        <v/>
      </c>
      <c r="AE90" s="120" t="str">
        <f>IF(ISTEXT(VLOOKUP(CONCATENATE($A90,"_",AE$3),'Unit List'!$A$23:$H$3256,2,FALSE)),"X",$AD90)</f>
        <v/>
      </c>
      <c r="AF90" s="120" t="str">
        <f>IF(ISTEXT(VLOOKUP(CONCATENATE($A90,"_",AF$3),'Unit List'!$A$23:$H$3256,2,FALSE)),"X",$AD90)</f>
        <v/>
      </c>
      <c r="AG90" s="172" t="str">
        <f>IF(ISTEXT(VLOOKUP(CONCATENATE($A90,"_",AG$3),'Unit List'!$A$23:$H$3256,2,FALSE)),"+","")</f>
        <v/>
      </c>
      <c r="AH90" s="120" t="str">
        <f>IF(ISTEXT(VLOOKUP(CONCATENATE($A90,"_",AH$3),'Unit List'!$A$23:$H$3256,2,FALSE)),"X",$AG90)</f>
        <v/>
      </c>
      <c r="AI90" s="120" t="str">
        <f>IF(ISTEXT(VLOOKUP(CONCATENATE($A90,"_",AI$3),'Unit List'!$A$23:$H$3256,2,FALSE)),"X",$AG90)</f>
        <v/>
      </c>
      <c r="AJ90" s="122" t="str">
        <f>IF(ISTEXT(VLOOKUP(CONCATENATE($A90,"_",AJ$3),'Unit List'!$A$23:$H$3256,2,FALSE)),"X",$AG90)</f>
        <v/>
      </c>
      <c r="AK90" s="172" t="str">
        <f>IF(ISTEXT(VLOOKUP(CONCATENATE($A90,"_",AK$3),'Unit List'!$A$23:$H$3256,2,FALSE)),"+","")</f>
        <v/>
      </c>
      <c r="AL90" s="121" t="str">
        <f>IF(ISTEXT(VLOOKUP(CONCATENATE($A90,"_",AL$3),'Unit List'!$A$23:$H$3256,2,FALSE)),"X",$AK90)</f>
        <v/>
      </c>
      <c r="AM90" s="122" t="str">
        <f>IF(ISTEXT(VLOOKUP(CONCATENATE($A90,"_",AM$3),'Unit List'!$A$23:$H$3256,2,FALSE)),"X",$AK90)</f>
        <v/>
      </c>
      <c r="AN90" s="125" t="str">
        <f>IF(ISTEXT(VLOOKUP(CONCATENATE($A90,"_",AN$3),'Unit List'!$A$23:$H$3256,2,FALSE)),"+","")</f>
        <v/>
      </c>
      <c r="AO90" s="122" t="str">
        <f>IF(ISTEXT(VLOOKUP(CONCATENATE($A90,"_",AO$3),'Unit List'!$A$23:$H$3256,2,FALSE)),"X",$AN90)</f>
        <v/>
      </c>
      <c r="AP90" s="172" t="str">
        <f>IF(ISTEXT(VLOOKUP(CONCATENATE($A90,"_",AP$3),'Unit List'!$A$23:$H$3256,2,FALSE)),"+","")</f>
        <v/>
      </c>
      <c r="AQ90" s="120" t="str">
        <f>IF(ISTEXT(VLOOKUP(CONCATENATE($A90,"_",AQ$3),'Unit List'!$A$23:$H$3256,2,FALSE)),"X",$AP90)</f>
        <v/>
      </c>
      <c r="AR90" s="120" t="str">
        <f>IF(ISTEXT(VLOOKUP(CONCATENATE($A90,"_",AR$3),'Unit List'!$A$23:$H$3256,2,FALSE)),"X",$AP90)</f>
        <v/>
      </c>
      <c r="AS90" s="120" t="str">
        <f>IF(ISTEXT(VLOOKUP(CONCATENATE($A90,"_",AS$3),'Unit List'!$A$23:$H$3256,2,FALSE)),"X",$AP90)</f>
        <v/>
      </c>
      <c r="AT90" s="122" t="str">
        <f>IF(ISTEXT(VLOOKUP(CONCATENATE($A90,"_",AT$3),'Unit List'!$A$23:$H$3256,2,FALSE)),"X",$AP90)</f>
        <v/>
      </c>
      <c r="AU90" s="124" t="str">
        <f>IF(ISTEXT(VLOOKUP(CONCATENATE($A90,"_",AU$3),'Unit List'!$A$23:$H$3256,2,FALSE)),"+","")</f>
        <v/>
      </c>
      <c r="AV90" s="120" t="str">
        <f>IF(ISTEXT(VLOOKUP(CONCATENATE($A90,"_",AV$3),'Unit List'!$A$23:$H$3256,2,FALSE)),"X",$AU90)</f>
        <v/>
      </c>
      <c r="AW90" s="122" t="str">
        <f>IF(ISTEXT(VLOOKUP(CONCATENATE($A90,"_",AW$3),'Unit List'!$A$23:$H$3256,2,FALSE)),"X",$AU90)</f>
        <v/>
      </c>
      <c r="AX90" s="172" t="str">
        <f>IF(ISTEXT(VLOOKUP(CONCATENATE($A90,"_",AX$3),'Unit List'!$A$23:$H$3256,2,FALSE)),"+","")</f>
        <v/>
      </c>
      <c r="AY90" s="120" t="str">
        <f>IF(ISTEXT(VLOOKUP(CONCATENATE($A90,"_",AY$3),'Unit List'!$A$23:$H$3256,2,FALSE)),"X",$AX90)</f>
        <v/>
      </c>
      <c r="AZ90" s="122" t="str">
        <f>IF(ISTEXT(VLOOKUP(CONCATENATE($A90,"_",AZ$3),'Unit List'!$A$23:$H$3256,2,FALSE)),"X",$AX90)</f>
        <v/>
      </c>
      <c r="BA90" s="182" t="str">
        <f>IF(ISTEXT(VLOOKUP(CONCATENATE($A90,"_",BA$3),'Unit List'!$A$23:$H$3256,2,FALSE)),"+","")</f>
        <v/>
      </c>
      <c r="BB90" s="120" t="str">
        <f>IF(ISTEXT(VLOOKUP(CONCATENATE($A90,"_",BB$3),'Unit List'!$A$23:$H$3256,2,FALSE)),"X",$BA90)</f>
        <v/>
      </c>
      <c r="BC90" s="120" t="str">
        <f>IF(ISTEXT(VLOOKUP(CONCATENATE($A90,"_",BC$3),'Unit List'!$A$23:$H$3256,2,FALSE)),"X",$BA90)</f>
        <v/>
      </c>
      <c r="BD90" s="122" t="str">
        <f>IF(ISTEXT(VLOOKUP(CONCATENATE($A90,"_",BD$3),'Unit List'!$A$23:$H$3256,2,FALSE)),"X",$BA90)</f>
        <v/>
      </c>
      <c r="BE90" s="125" t="str">
        <f>IF(ISTEXT(VLOOKUP(CONCATENATE($A90,"_",BE$3),'Unit List'!$A$23:$H$3256,2,FALSE)),"+","")</f>
        <v/>
      </c>
      <c r="BF90" s="75" t="str">
        <f>IF(ISTEXT(VLOOKUP(CONCATENATE($A90,"_",BF$3),'Unit List'!$A$23:$H$3256,2,FALSE)),"X",$BE90)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List'!$A$23:$H$3256,2,FALSE)),"+","")</f>
        <v/>
      </c>
      <c r="C91" s="119" t="str">
        <f>IF(ISTEXT(VLOOKUP(CONCATENATE($A91,"_",C$3),'Unit List'!$A$23:$H$3256,2,FALSE)),"X",$B91)</f>
        <v/>
      </c>
      <c r="D91" s="120" t="str">
        <f>IF(ISTEXT(VLOOKUP(CONCATENATE($A91,"_",D$3),'Unit List'!$A$23:$H$3256,2,FALSE)),"X",$B91)</f>
        <v/>
      </c>
      <c r="E91" s="120" t="str">
        <f>IF(ISTEXT(VLOOKUP(CONCATENATE($A91,"_",E$3),'Unit List'!$A$23:$H$3256,2,FALSE)),"X",$B91)</f>
        <v/>
      </c>
      <c r="F91" s="120" t="str">
        <f>IF(ISTEXT(VLOOKUP(CONCATENATE($A91,"_",F$3),'Unit List'!$A$23:$H$3256,2,FALSE)),"X",$B91)</f>
        <v/>
      </c>
      <c r="G91" s="120" t="str">
        <f>IF(ISTEXT(VLOOKUP(CONCATENATE($A91,"_",G$3),'Unit List'!$A$23:$H$3256,2,FALSE)),"X",$B91)</f>
        <v/>
      </c>
      <c r="H91" s="120" t="str">
        <f>IF(ISTEXT(VLOOKUP(CONCATENATE($A91,"_",H$3),'Unit List'!$A$23:$H$3256,2,FALSE)),"X",$B91)</f>
        <v/>
      </c>
      <c r="I91" s="122" t="str">
        <f>IF(ISTEXT(VLOOKUP(CONCATENATE($A91,"_",I$3),'Unit List'!$A$23:$H$3256,2,FALSE)),"X",$B91)</f>
        <v/>
      </c>
      <c r="J91" s="172" t="str">
        <f>IF(ISTEXT(VLOOKUP(CONCATENATE($A91,"_",J$3),'Unit List'!$A$23:$H$3256,2,FALSE)),"+","")</f>
        <v/>
      </c>
      <c r="K91" s="120" t="str">
        <f>IF(ISTEXT(VLOOKUP(CONCATENATE($A91,"_",K$3),'Unit List'!$A$23:$H$3256,2,FALSE)),"X",$J91)</f>
        <v/>
      </c>
      <c r="L91" s="75" t="str">
        <f>IF(ISTEXT(VLOOKUP(CONCATENATE($A91,"_",L$3),'Unit List'!$A$23:$H$3256,2,FALSE)),"X",$J91)</f>
        <v/>
      </c>
      <c r="M91" s="172" t="str">
        <f>IF(ISTEXT(VLOOKUP(CONCATENATE($A91,"_",M$3),'Unit List'!$A$23:$H$3256,2,FALSE)),"+","")</f>
        <v/>
      </c>
      <c r="N91" s="120" t="str">
        <f>IF(ISTEXT(VLOOKUP(CONCATENATE($A91,"_",N$3),'Unit List'!$A$23:$H$3256,2,FALSE)),"X",$M91)</f>
        <v/>
      </c>
      <c r="O91" s="122" t="str">
        <f>IF(ISTEXT(VLOOKUP(CONCATENATE($A91,"_",O$3),'Unit List'!$A$23:$H$3256,2,FALSE)),"X",$M91)</f>
        <v/>
      </c>
      <c r="P91" s="172" t="str">
        <f>IF(ISTEXT(VLOOKUP(CONCATENATE($A91,"_",P$3),'Unit List'!$A$23:$H$3256,2,FALSE)),"+","")</f>
        <v/>
      </c>
      <c r="Q91" s="120" t="str">
        <f>IF(ISTEXT(VLOOKUP(CONCATENATE($A91,"_",Q$3),'Unit List'!$A$23:$H$3256,2,FALSE)),"X",$P91)</f>
        <v/>
      </c>
      <c r="R91" s="120" t="str">
        <f>IF(ISTEXT(VLOOKUP(CONCATENATE($A91,"_",R$3),'Unit List'!$A$23:$H$3256,2,FALSE)),"X",$P91)</f>
        <v/>
      </c>
      <c r="S91" s="120" t="str">
        <f>IF(ISTEXT(VLOOKUP(CONCATENATE($A91,"_",S$3),'Unit List'!$A$23:$H$3256,2,FALSE)),"X",$P91)</f>
        <v/>
      </c>
      <c r="T91" s="121" t="str">
        <f>IF(ISTEXT(VLOOKUP(CONCATENATE($A91,"_",T$3),'Unit List'!$A$23:$H$3256,2,FALSE)),"X",$P91)</f>
        <v/>
      </c>
      <c r="U91" s="120" t="str">
        <f>IF(ISTEXT(VLOOKUP(CONCATENATE($A91,"_",U$3),'Unit List'!$A$23:$H$3256,2,FALSE)),"X",$P91)</f>
        <v/>
      </c>
      <c r="V91" s="120" t="str">
        <f>IF(ISTEXT(VLOOKUP(CONCATENATE($A91,"_",V$3),'Unit List'!$A$23:$H$3256,2,FALSE)),"X",$P91)</f>
        <v/>
      </c>
      <c r="W91" s="122" t="str">
        <f>IF(ISTEXT(VLOOKUP(CONCATENATE($A91,"_",W$3),'Unit List'!$A$23:$H$3256,2,FALSE)),"X",$P91)</f>
        <v/>
      </c>
      <c r="X91" s="172" t="str">
        <f>IF(ISTEXT(VLOOKUP(CONCATENATE($A91,"_",X$3),'Unit List'!$A$23:$H$3256,2,FALSE)),"+","")</f>
        <v/>
      </c>
      <c r="Y91" s="120" t="str">
        <f>IF(ISTEXT(VLOOKUP(CONCATENATE($A91,"_",Y$3),'Unit List'!$A$23:$H$3256,2,FALSE)),"X",$X91)</f>
        <v/>
      </c>
      <c r="Z91" s="120" t="str">
        <f>IF(ISTEXT(VLOOKUP(CONCATENATE($A91,"_",Z$3),'Unit List'!$A$23:$H$3256,2,FALSE)),"X",$X91)</f>
        <v/>
      </c>
      <c r="AA91" s="120" t="str">
        <f>IF(ISTEXT(VLOOKUP(CONCATENATE($A91,"_",AA$3),'Unit List'!$A$23:$H$3256,2,FALSE)),"X",$X91)</f>
        <v/>
      </c>
      <c r="AB91" s="120" t="str">
        <f>IF(ISTEXT(VLOOKUP(CONCATENATE($A91,"_",AB$3),'Unit List'!$A$23:$H$3256,2,FALSE)),"X",$X91)</f>
        <v/>
      </c>
      <c r="AC91" s="75" t="str">
        <f>IF(ISTEXT(VLOOKUP(CONCATENATE($A91,"_",AC$3),'Unit List'!$A$23:$H$3256,2,FALSE)),"X",$X91)</f>
        <v/>
      </c>
      <c r="AD91" s="172" t="str">
        <f>IF(ISTEXT(VLOOKUP(CONCATENATE($A91,"_",AD$3),'Unit List'!$A$23:$H$3256,2,FALSE)),"+","")</f>
        <v/>
      </c>
      <c r="AE91" s="120" t="str">
        <f>IF(ISTEXT(VLOOKUP(CONCATENATE($A91,"_",AE$3),'Unit List'!$A$23:$H$3256,2,FALSE)),"X",$AD91)</f>
        <v/>
      </c>
      <c r="AF91" s="120" t="str">
        <f>IF(ISTEXT(VLOOKUP(CONCATENATE($A91,"_",AF$3),'Unit List'!$A$23:$H$3256,2,FALSE)),"X",$AD91)</f>
        <v/>
      </c>
      <c r="AG91" s="172" t="str">
        <f>IF(ISTEXT(VLOOKUP(CONCATENATE($A91,"_",AG$3),'Unit List'!$A$23:$H$3256,2,FALSE)),"+","")</f>
        <v/>
      </c>
      <c r="AH91" s="120" t="str">
        <f>IF(ISTEXT(VLOOKUP(CONCATENATE($A91,"_",AH$3),'Unit List'!$A$23:$H$3256,2,FALSE)),"X",$AG91)</f>
        <v/>
      </c>
      <c r="AI91" s="120" t="str">
        <f>IF(ISTEXT(VLOOKUP(CONCATENATE($A91,"_",AI$3),'Unit List'!$A$23:$H$3256,2,FALSE)),"X",$AG91)</f>
        <v/>
      </c>
      <c r="AJ91" s="122" t="str">
        <f>IF(ISTEXT(VLOOKUP(CONCATENATE($A91,"_",AJ$3),'Unit List'!$A$23:$H$3256,2,FALSE)),"X",$AG91)</f>
        <v/>
      </c>
      <c r="AK91" s="172" t="str">
        <f>IF(ISTEXT(VLOOKUP(CONCATENATE($A91,"_",AK$3),'Unit List'!$A$23:$H$3256,2,FALSE)),"+","")</f>
        <v/>
      </c>
      <c r="AL91" s="121" t="str">
        <f>IF(ISTEXT(VLOOKUP(CONCATENATE($A91,"_",AL$3),'Unit List'!$A$23:$H$3256,2,FALSE)),"X",$AK91)</f>
        <v/>
      </c>
      <c r="AM91" s="122" t="str">
        <f>IF(ISTEXT(VLOOKUP(CONCATENATE($A91,"_",AM$3),'Unit List'!$A$23:$H$3256,2,FALSE)),"X",$AK91)</f>
        <v/>
      </c>
      <c r="AN91" s="125" t="str">
        <f>IF(ISTEXT(VLOOKUP(CONCATENATE($A91,"_",AN$3),'Unit List'!$A$23:$H$3256,2,FALSE)),"+","")</f>
        <v/>
      </c>
      <c r="AO91" s="122" t="str">
        <f>IF(ISTEXT(VLOOKUP(CONCATENATE($A91,"_",AO$3),'Unit List'!$A$23:$H$3256,2,FALSE)),"X",$AN91)</f>
        <v/>
      </c>
      <c r="AP91" s="172" t="str">
        <f>IF(ISTEXT(VLOOKUP(CONCATENATE($A91,"_",AP$3),'Unit List'!$A$23:$H$3256,2,FALSE)),"+","")</f>
        <v/>
      </c>
      <c r="AQ91" s="120" t="str">
        <f>IF(ISTEXT(VLOOKUP(CONCATENATE($A91,"_",AQ$3),'Unit List'!$A$23:$H$3256,2,FALSE)),"X",$AP91)</f>
        <v/>
      </c>
      <c r="AR91" s="120" t="str">
        <f>IF(ISTEXT(VLOOKUP(CONCATENATE($A91,"_",AR$3),'Unit List'!$A$23:$H$3256,2,FALSE)),"X",$AP91)</f>
        <v/>
      </c>
      <c r="AS91" s="120" t="str">
        <f>IF(ISTEXT(VLOOKUP(CONCATENATE($A91,"_",AS$3),'Unit List'!$A$23:$H$3256,2,FALSE)),"X",$AP91)</f>
        <v/>
      </c>
      <c r="AT91" s="122" t="str">
        <f>IF(ISTEXT(VLOOKUP(CONCATENATE($A91,"_",AT$3),'Unit List'!$A$23:$H$3256,2,FALSE)),"X",$AP91)</f>
        <v/>
      </c>
      <c r="AU91" s="124" t="str">
        <f>IF(ISTEXT(VLOOKUP(CONCATENATE($A91,"_",AU$3),'Unit List'!$A$23:$H$3256,2,FALSE)),"+","")</f>
        <v/>
      </c>
      <c r="AV91" s="120" t="str">
        <f>IF(ISTEXT(VLOOKUP(CONCATENATE($A91,"_",AV$3),'Unit List'!$A$23:$H$3256,2,FALSE)),"X",$AU91)</f>
        <v/>
      </c>
      <c r="AW91" s="122" t="str">
        <f>IF(ISTEXT(VLOOKUP(CONCATENATE($A91,"_",AW$3),'Unit List'!$A$23:$H$3256,2,FALSE)),"X",$AU91)</f>
        <v/>
      </c>
      <c r="AX91" s="172" t="str">
        <f>IF(ISTEXT(VLOOKUP(CONCATENATE($A91,"_",AX$3),'Unit List'!$A$23:$H$3256,2,FALSE)),"+","")</f>
        <v/>
      </c>
      <c r="AY91" s="120" t="str">
        <f>IF(ISTEXT(VLOOKUP(CONCATENATE($A91,"_",AY$3),'Unit List'!$A$23:$H$3256,2,FALSE)),"X",$AX91)</f>
        <v/>
      </c>
      <c r="AZ91" s="122" t="str">
        <f>IF(ISTEXT(VLOOKUP(CONCATENATE($A91,"_",AZ$3),'Unit List'!$A$23:$H$3256,2,FALSE)),"X",$AX91)</f>
        <v/>
      </c>
      <c r="BA91" s="182" t="str">
        <f>IF(ISTEXT(VLOOKUP(CONCATENATE($A91,"_",BA$3),'Unit List'!$A$23:$H$3256,2,FALSE)),"+","")</f>
        <v/>
      </c>
      <c r="BB91" s="120" t="str">
        <f>IF(ISTEXT(VLOOKUP(CONCATENATE($A91,"_",BB$3),'Unit List'!$A$23:$H$3256,2,FALSE)),"X",$BA91)</f>
        <v/>
      </c>
      <c r="BC91" s="120" t="str">
        <f>IF(ISTEXT(VLOOKUP(CONCATENATE($A91,"_",BC$3),'Unit List'!$A$23:$H$3256,2,FALSE)),"X",$BA91)</f>
        <v/>
      </c>
      <c r="BD91" s="122" t="str">
        <f>IF(ISTEXT(VLOOKUP(CONCATENATE($A91,"_",BD$3),'Unit List'!$A$23:$H$3256,2,FALSE)),"X",$BA91)</f>
        <v/>
      </c>
      <c r="BE91" s="125" t="str">
        <f>IF(ISTEXT(VLOOKUP(CONCATENATE($A91,"_",BE$3),'Unit List'!$A$23:$H$3256,2,FALSE)),"+","")</f>
        <v/>
      </c>
      <c r="BF91" s="75" t="str">
        <f>IF(ISTEXT(VLOOKUP(CONCATENATE($A91,"_",BF$3),'Unit List'!$A$23:$H$3256,2,FALSE)),"X",$BE91)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List'!$A$23:$H$3256,2,FALSE)),"+","")</f>
        <v/>
      </c>
      <c r="C92" s="119" t="str">
        <f>IF(ISTEXT(VLOOKUP(CONCATENATE($A92,"_",C$3),'Unit List'!$A$23:$H$3256,2,FALSE)),"X",$B92)</f>
        <v/>
      </c>
      <c r="D92" s="120" t="str">
        <f>IF(ISTEXT(VLOOKUP(CONCATENATE($A92,"_",D$3),'Unit List'!$A$23:$H$3256,2,FALSE)),"X",$B92)</f>
        <v/>
      </c>
      <c r="E92" s="120" t="str">
        <f>IF(ISTEXT(VLOOKUP(CONCATENATE($A92,"_",E$3),'Unit List'!$A$23:$H$3256,2,FALSE)),"X",$B92)</f>
        <v/>
      </c>
      <c r="F92" s="120" t="str">
        <f>IF(ISTEXT(VLOOKUP(CONCATENATE($A92,"_",F$3),'Unit List'!$A$23:$H$3256,2,FALSE)),"X",$B92)</f>
        <v/>
      </c>
      <c r="G92" s="120" t="str">
        <f>IF(ISTEXT(VLOOKUP(CONCATENATE($A92,"_",G$3),'Unit List'!$A$23:$H$3256,2,FALSE)),"X",$B92)</f>
        <v/>
      </c>
      <c r="H92" s="120" t="str">
        <f>IF(ISTEXT(VLOOKUP(CONCATENATE($A92,"_",H$3),'Unit List'!$A$23:$H$3256,2,FALSE)),"X",$B92)</f>
        <v/>
      </c>
      <c r="I92" s="122" t="str">
        <f>IF(ISTEXT(VLOOKUP(CONCATENATE($A92,"_",I$3),'Unit List'!$A$23:$H$3256,2,FALSE)),"X",$B92)</f>
        <v/>
      </c>
      <c r="J92" s="172" t="str">
        <f>IF(ISTEXT(VLOOKUP(CONCATENATE($A92,"_",J$3),'Unit List'!$A$23:$H$3256,2,FALSE)),"+","")</f>
        <v/>
      </c>
      <c r="K92" s="120" t="str">
        <f>IF(ISTEXT(VLOOKUP(CONCATENATE($A92,"_",K$3),'Unit List'!$A$23:$H$3256,2,FALSE)),"X",$J92)</f>
        <v/>
      </c>
      <c r="L92" s="75" t="str">
        <f>IF(ISTEXT(VLOOKUP(CONCATENATE($A92,"_",L$3),'Unit List'!$A$23:$H$3256,2,FALSE)),"X",$J92)</f>
        <v/>
      </c>
      <c r="M92" s="172" t="str">
        <f>IF(ISTEXT(VLOOKUP(CONCATENATE($A92,"_",M$3),'Unit List'!$A$23:$H$3256,2,FALSE)),"+","")</f>
        <v/>
      </c>
      <c r="N92" s="120" t="str">
        <f>IF(ISTEXT(VLOOKUP(CONCATENATE($A92,"_",N$3),'Unit List'!$A$23:$H$3256,2,FALSE)),"X",$M92)</f>
        <v/>
      </c>
      <c r="O92" s="122" t="str">
        <f>IF(ISTEXT(VLOOKUP(CONCATENATE($A92,"_",O$3),'Unit List'!$A$23:$H$3256,2,FALSE)),"X",$M92)</f>
        <v/>
      </c>
      <c r="P92" s="172" t="str">
        <f>IF(ISTEXT(VLOOKUP(CONCATENATE($A92,"_",P$3),'Unit List'!$A$23:$H$3256,2,FALSE)),"+","")</f>
        <v/>
      </c>
      <c r="Q92" s="120" t="str">
        <f>IF(ISTEXT(VLOOKUP(CONCATENATE($A92,"_",Q$3),'Unit List'!$A$23:$H$3256,2,FALSE)),"X",$P92)</f>
        <v/>
      </c>
      <c r="R92" s="120" t="str">
        <f>IF(ISTEXT(VLOOKUP(CONCATENATE($A92,"_",R$3),'Unit List'!$A$23:$H$3256,2,FALSE)),"X",$P92)</f>
        <v/>
      </c>
      <c r="S92" s="120" t="str">
        <f>IF(ISTEXT(VLOOKUP(CONCATENATE($A92,"_",S$3),'Unit List'!$A$23:$H$3256,2,FALSE)),"X",$P92)</f>
        <v/>
      </c>
      <c r="T92" s="121" t="str">
        <f>IF(ISTEXT(VLOOKUP(CONCATENATE($A92,"_",T$3),'Unit List'!$A$23:$H$3256,2,FALSE)),"X",$P92)</f>
        <v/>
      </c>
      <c r="U92" s="120" t="str">
        <f>IF(ISTEXT(VLOOKUP(CONCATENATE($A92,"_",U$3),'Unit List'!$A$23:$H$3256,2,FALSE)),"X",$P92)</f>
        <v/>
      </c>
      <c r="V92" s="120" t="str">
        <f>IF(ISTEXT(VLOOKUP(CONCATENATE($A92,"_",V$3),'Unit List'!$A$23:$H$3256,2,FALSE)),"X",$P92)</f>
        <v/>
      </c>
      <c r="W92" s="122" t="str">
        <f>IF(ISTEXT(VLOOKUP(CONCATENATE($A92,"_",W$3),'Unit List'!$A$23:$H$3256,2,FALSE)),"X",$P92)</f>
        <v/>
      </c>
      <c r="X92" s="172" t="str">
        <f>IF(ISTEXT(VLOOKUP(CONCATENATE($A92,"_",X$3),'Unit List'!$A$23:$H$3256,2,FALSE)),"+","")</f>
        <v/>
      </c>
      <c r="Y92" s="120" t="str">
        <f>IF(ISTEXT(VLOOKUP(CONCATENATE($A92,"_",Y$3),'Unit List'!$A$23:$H$3256,2,FALSE)),"X",$X92)</f>
        <v/>
      </c>
      <c r="Z92" s="120" t="str">
        <f>IF(ISTEXT(VLOOKUP(CONCATENATE($A92,"_",Z$3),'Unit List'!$A$23:$H$3256,2,FALSE)),"X",$X92)</f>
        <v/>
      </c>
      <c r="AA92" s="120" t="str">
        <f>IF(ISTEXT(VLOOKUP(CONCATENATE($A92,"_",AA$3),'Unit List'!$A$23:$H$3256,2,FALSE)),"X",$X92)</f>
        <v/>
      </c>
      <c r="AB92" s="120" t="str">
        <f>IF(ISTEXT(VLOOKUP(CONCATENATE($A92,"_",AB$3),'Unit List'!$A$23:$H$3256,2,FALSE)),"X",$X92)</f>
        <v/>
      </c>
      <c r="AC92" s="75" t="str">
        <f>IF(ISTEXT(VLOOKUP(CONCATENATE($A92,"_",AC$3),'Unit List'!$A$23:$H$3256,2,FALSE)),"X",$X92)</f>
        <v/>
      </c>
      <c r="AD92" s="172" t="str">
        <f>IF(ISTEXT(VLOOKUP(CONCATENATE($A92,"_",AD$3),'Unit List'!$A$23:$H$3256,2,FALSE)),"+","")</f>
        <v/>
      </c>
      <c r="AE92" s="120" t="str">
        <f>IF(ISTEXT(VLOOKUP(CONCATENATE($A92,"_",AE$3),'Unit List'!$A$23:$H$3256,2,FALSE)),"X",$AD92)</f>
        <v/>
      </c>
      <c r="AF92" s="120" t="str">
        <f>IF(ISTEXT(VLOOKUP(CONCATENATE($A92,"_",AF$3),'Unit List'!$A$23:$H$3256,2,FALSE)),"X",$AD92)</f>
        <v/>
      </c>
      <c r="AG92" s="172" t="str">
        <f>IF(ISTEXT(VLOOKUP(CONCATENATE($A92,"_",AG$3),'Unit List'!$A$23:$H$3256,2,FALSE)),"+","")</f>
        <v/>
      </c>
      <c r="AH92" s="120" t="str">
        <f>IF(ISTEXT(VLOOKUP(CONCATENATE($A92,"_",AH$3),'Unit List'!$A$23:$H$3256,2,FALSE)),"X",$AG92)</f>
        <v/>
      </c>
      <c r="AI92" s="120" t="str">
        <f>IF(ISTEXT(VLOOKUP(CONCATENATE($A92,"_",AI$3),'Unit List'!$A$23:$H$3256,2,FALSE)),"X",$AG92)</f>
        <v/>
      </c>
      <c r="AJ92" s="122" t="str">
        <f>IF(ISTEXT(VLOOKUP(CONCATENATE($A92,"_",AJ$3),'Unit List'!$A$23:$H$3256,2,FALSE)),"X",$AG92)</f>
        <v/>
      </c>
      <c r="AK92" s="172" t="str">
        <f>IF(ISTEXT(VLOOKUP(CONCATENATE($A92,"_",AK$3),'Unit List'!$A$23:$H$3256,2,FALSE)),"+","")</f>
        <v/>
      </c>
      <c r="AL92" s="121" t="str">
        <f>IF(ISTEXT(VLOOKUP(CONCATENATE($A92,"_",AL$3),'Unit List'!$A$23:$H$3256,2,FALSE)),"X",$AK92)</f>
        <v/>
      </c>
      <c r="AM92" s="122" t="str">
        <f>IF(ISTEXT(VLOOKUP(CONCATENATE($A92,"_",AM$3),'Unit List'!$A$23:$H$3256,2,FALSE)),"X",$AK92)</f>
        <v/>
      </c>
      <c r="AN92" s="125" t="str">
        <f>IF(ISTEXT(VLOOKUP(CONCATENATE($A92,"_",AN$3),'Unit List'!$A$23:$H$3256,2,FALSE)),"+","")</f>
        <v/>
      </c>
      <c r="AO92" s="122" t="str">
        <f>IF(ISTEXT(VLOOKUP(CONCATENATE($A92,"_",AO$3),'Unit List'!$A$23:$H$3256,2,FALSE)),"X",$AN92)</f>
        <v/>
      </c>
      <c r="AP92" s="172" t="str">
        <f>IF(ISTEXT(VLOOKUP(CONCATENATE($A92,"_",AP$3),'Unit List'!$A$23:$H$3256,2,FALSE)),"+","")</f>
        <v/>
      </c>
      <c r="AQ92" s="120" t="str">
        <f>IF(ISTEXT(VLOOKUP(CONCATENATE($A92,"_",AQ$3),'Unit List'!$A$23:$H$3256,2,FALSE)),"X",$AP92)</f>
        <v/>
      </c>
      <c r="AR92" s="120" t="str">
        <f>IF(ISTEXT(VLOOKUP(CONCATENATE($A92,"_",AR$3),'Unit List'!$A$23:$H$3256,2,FALSE)),"X",$AP92)</f>
        <v/>
      </c>
      <c r="AS92" s="120" t="str">
        <f>IF(ISTEXT(VLOOKUP(CONCATENATE($A92,"_",AS$3),'Unit List'!$A$23:$H$3256,2,FALSE)),"X",$AP92)</f>
        <v/>
      </c>
      <c r="AT92" s="122" t="str">
        <f>IF(ISTEXT(VLOOKUP(CONCATENATE($A92,"_",AT$3),'Unit List'!$A$23:$H$3256,2,FALSE)),"X",$AP92)</f>
        <v/>
      </c>
      <c r="AU92" s="124" t="str">
        <f>IF(ISTEXT(VLOOKUP(CONCATENATE($A92,"_",AU$3),'Unit List'!$A$23:$H$3256,2,FALSE)),"+","")</f>
        <v/>
      </c>
      <c r="AV92" s="120" t="str">
        <f>IF(ISTEXT(VLOOKUP(CONCATENATE($A92,"_",AV$3),'Unit List'!$A$23:$H$3256,2,FALSE)),"X",$AU92)</f>
        <v/>
      </c>
      <c r="AW92" s="122" t="str">
        <f>IF(ISTEXT(VLOOKUP(CONCATENATE($A92,"_",AW$3),'Unit List'!$A$23:$H$3256,2,FALSE)),"X",$AU92)</f>
        <v/>
      </c>
      <c r="AX92" s="172" t="str">
        <f>IF(ISTEXT(VLOOKUP(CONCATENATE($A92,"_",AX$3),'Unit List'!$A$23:$H$3256,2,FALSE)),"+","")</f>
        <v/>
      </c>
      <c r="AY92" s="120" t="str">
        <f>IF(ISTEXT(VLOOKUP(CONCATENATE($A92,"_",AY$3),'Unit List'!$A$23:$H$3256,2,FALSE)),"X",$AX92)</f>
        <v/>
      </c>
      <c r="AZ92" s="122" t="str">
        <f>IF(ISTEXT(VLOOKUP(CONCATENATE($A92,"_",AZ$3),'Unit List'!$A$23:$H$3256,2,FALSE)),"X",$AX92)</f>
        <v/>
      </c>
      <c r="BA92" s="182" t="str">
        <f>IF(ISTEXT(VLOOKUP(CONCATENATE($A92,"_",BA$3),'Unit List'!$A$23:$H$3256,2,FALSE)),"+","")</f>
        <v/>
      </c>
      <c r="BB92" s="120" t="str">
        <f>IF(ISTEXT(VLOOKUP(CONCATENATE($A92,"_",BB$3),'Unit List'!$A$23:$H$3256,2,FALSE)),"X",$BA92)</f>
        <v/>
      </c>
      <c r="BC92" s="120" t="str">
        <f>IF(ISTEXT(VLOOKUP(CONCATENATE($A92,"_",BC$3),'Unit List'!$A$23:$H$3256,2,FALSE)),"X",$BA92)</f>
        <v/>
      </c>
      <c r="BD92" s="122" t="str">
        <f>IF(ISTEXT(VLOOKUP(CONCATENATE($A92,"_",BD$3),'Unit List'!$A$23:$H$3256,2,FALSE)),"X",$BA92)</f>
        <v/>
      </c>
      <c r="BE92" s="125" t="str">
        <f>IF(ISTEXT(VLOOKUP(CONCATENATE($A92,"_",BE$3),'Unit List'!$A$23:$H$3256,2,FALSE)),"+","")</f>
        <v/>
      </c>
      <c r="BF92" s="75" t="str">
        <f>IF(ISTEXT(VLOOKUP(CONCATENATE($A92,"_",BF$3),'Unit List'!$A$23:$H$3256,2,FALSE)),"X",$BE92)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List'!$A$23:$H$3256,2,FALSE)),"+","")</f>
        <v/>
      </c>
      <c r="C93" s="119" t="str">
        <f>IF(ISTEXT(VLOOKUP(CONCATENATE($A93,"_",C$3),'Unit List'!$A$23:$H$3256,2,FALSE)),"X",$B93)</f>
        <v/>
      </c>
      <c r="D93" s="120" t="str">
        <f>IF(ISTEXT(VLOOKUP(CONCATENATE($A93,"_",D$3),'Unit List'!$A$23:$H$3256,2,FALSE)),"X",$B93)</f>
        <v/>
      </c>
      <c r="E93" s="120" t="str">
        <f>IF(ISTEXT(VLOOKUP(CONCATENATE($A93,"_",E$3),'Unit List'!$A$23:$H$3256,2,FALSE)),"X",$B93)</f>
        <v/>
      </c>
      <c r="F93" s="120" t="str">
        <f>IF(ISTEXT(VLOOKUP(CONCATENATE($A93,"_",F$3),'Unit List'!$A$23:$H$3256,2,FALSE)),"X",$B93)</f>
        <v/>
      </c>
      <c r="G93" s="120" t="str">
        <f>IF(ISTEXT(VLOOKUP(CONCATENATE($A93,"_",G$3),'Unit List'!$A$23:$H$3256,2,FALSE)),"X",$B93)</f>
        <v/>
      </c>
      <c r="H93" s="120" t="str">
        <f>IF(ISTEXT(VLOOKUP(CONCATENATE($A93,"_",H$3),'Unit List'!$A$23:$H$3256,2,FALSE)),"X",$B93)</f>
        <v/>
      </c>
      <c r="I93" s="122" t="str">
        <f>IF(ISTEXT(VLOOKUP(CONCATENATE($A93,"_",I$3),'Unit List'!$A$23:$H$3256,2,FALSE)),"X",$B93)</f>
        <v/>
      </c>
      <c r="J93" s="172" t="str">
        <f>IF(ISTEXT(VLOOKUP(CONCATENATE($A93,"_",J$3),'Unit List'!$A$23:$H$3256,2,FALSE)),"+","")</f>
        <v/>
      </c>
      <c r="K93" s="120" t="str">
        <f>IF(ISTEXT(VLOOKUP(CONCATENATE($A93,"_",K$3),'Unit List'!$A$23:$H$3256,2,FALSE)),"X",$J93)</f>
        <v/>
      </c>
      <c r="L93" s="75" t="str">
        <f>IF(ISTEXT(VLOOKUP(CONCATENATE($A93,"_",L$3),'Unit List'!$A$23:$H$3256,2,FALSE)),"X",$J93)</f>
        <v/>
      </c>
      <c r="M93" s="172" t="str">
        <f>IF(ISTEXT(VLOOKUP(CONCATENATE($A93,"_",M$3),'Unit List'!$A$23:$H$3256,2,FALSE)),"+","")</f>
        <v/>
      </c>
      <c r="N93" s="120" t="str">
        <f>IF(ISTEXT(VLOOKUP(CONCATENATE($A93,"_",N$3),'Unit List'!$A$23:$H$3256,2,FALSE)),"X",$M93)</f>
        <v/>
      </c>
      <c r="O93" s="122" t="str">
        <f>IF(ISTEXT(VLOOKUP(CONCATENATE($A93,"_",O$3),'Unit List'!$A$23:$H$3256,2,FALSE)),"X",$M93)</f>
        <v/>
      </c>
      <c r="P93" s="172" t="str">
        <f>IF(ISTEXT(VLOOKUP(CONCATENATE($A93,"_",P$3),'Unit List'!$A$23:$H$3256,2,FALSE)),"+","")</f>
        <v/>
      </c>
      <c r="Q93" s="120" t="str">
        <f>IF(ISTEXT(VLOOKUP(CONCATENATE($A93,"_",Q$3),'Unit List'!$A$23:$H$3256,2,FALSE)),"X",$P93)</f>
        <v/>
      </c>
      <c r="R93" s="120" t="str">
        <f>IF(ISTEXT(VLOOKUP(CONCATENATE($A93,"_",R$3),'Unit List'!$A$23:$H$3256,2,FALSE)),"X",$P93)</f>
        <v/>
      </c>
      <c r="S93" s="120" t="str">
        <f>IF(ISTEXT(VLOOKUP(CONCATENATE($A93,"_",S$3),'Unit List'!$A$23:$H$3256,2,FALSE)),"X",$P93)</f>
        <v/>
      </c>
      <c r="T93" s="121" t="str">
        <f>IF(ISTEXT(VLOOKUP(CONCATENATE($A93,"_",T$3),'Unit List'!$A$23:$H$3256,2,FALSE)),"X",$P93)</f>
        <v/>
      </c>
      <c r="U93" s="120" t="str">
        <f>IF(ISTEXT(VLOOKUP(CONCATENATE($A93,"_",U$3),'Unit List'!$A$23:$H$3256,2,FALSE)),"X",$P93)</f>
        <v/>
      </c>
      <c r="V93" s="120" t="str">
        <f>IF(ISTEXT(VLOOKUP(CONCATENATE($A93,"_",V$3),'Unit List'!$A$23:$H$3256,2,FALSE)),"X",$P93)</f>
        <v/>
      </c>
      <c r="W93" s="122" t="str">
        <f>IF(ISTEXT(VLOOKUP(CONCATENATE($A93,"_",W$3),'Unit List'!$A$23:$H$3256,2,FALSE)),"X",$P93)</f>
        <v/>
      </c>
      <c r="X93" s="172" t="str">
        <f>IF(ISTEXT(VLOOKUP(CONCATENATE($A93,"_",X$3),'Unit List'!$A$23:$H$3256,2,FALSE)),"+","")</f>
        <v/>
      </c>
      <c r="Y93" s="120" t="str">
        <f>IF(ISTEXT(VLOOKUP(CONCATENATE($A93,"_",Y$3),'Unit List'!$A$23:$H$3256,2,FALSE)),"X",$X93)</f>
        <v/>
      </c>
      <c r="Z93" s="120" t="str">
        <f>IF(ISTEXT(VLOOKUP(CONCATENATE($A93,"_",Z$3),'Unit List'!$A$23:$H$3256,2,FALSE)),"X",$X93)</f>
        <v/>
      </c>
      <c r="AA93" s="120" t="str">
        <f>IF(ISTEXT(VLOOKUP(CONCATENATE($A93,"_",AA$3),'Unit List'!$A$23:$H$3256,2,FALSE)),"X",$X93)</f>
        <v/>
      </c>
      <c r="AB93" s="120" t="str">
        <f>IF(ISTEXT(VLOOKUP(CONCATENATE($A93,"_",AB$3),'Unit List'!$A$23:$H$3256,2,FALSE)),"X",$X93)</f>
        <v/>
      </c>
      <c r="AC93" s="75" t="str">
        <f>IF(ISTEXT(VLOOKUP(CONCATENATE($A93,"_",AC$3),'Unit List'!$A$23:$H$3256,2,FALSE)),"X",$X93)</f>
        <v/>
      </c>
      <c r="AD93" s="172" t="str">
        <f>IF(ISTEXT(VLOOKUP(CONCATENATE($A93,"_",AD$3),'Unit List'!$A$23:$H$3256,2,FALSE)),"+","")</f>
        <v/>
      </c>
      <c r="AE93" s="120" t="str">
        <f>IF(ISTEXT(VLOOKUP(CONCATENATE($A93,"_",AE$3),'Unit List'!$A$23:$H$3256,2,FALSE)),"X",$AD93)</f>
        <v/>
      </c>
      <c r="AF93" s="120" t="str">
        <f>IF(ISTEXT(VLOOKUP(CONCATENATE($A93,"_",AF$3),'Unit List'!$A$23:$H$3256,2,FALSE)),"X",$AD93)</f>
        <v/>
      </c>
      <c r="AG93" s="172" t="str">
        <f>IF(ISTEXT(VLOOKUP(CONCATENATE($A93,"_",AG$3),'Unit List'!$A$23:$H$3256,2,FALSE)),"+","")</f>
        <v/>
      </c>
      <c r="AH93" s="120" t="str">
        <f>IF(ISTEXT(VLOOKUP(CONCATENATE($A93,"_",AH$3),'Unit List'!$A$23:$H$3256,2,FALSE)),"X",$AG93)</f>
        <v/>
      </c>
      <c r="AI93" s="120" t="str">
        <f>IF(ISTEXT(VLOOKUP(CONCATENATE($A93,"_",AI$3),'Unit List'!$A$23:$H$3256,2,FALSE)),"X",$AG93)</f>
        <v/>
      </c>
      <c r="AJ93" s="122" t="str">
        <f>IF(ISTEXT(VLOOKUP(CONCATENATE($A93,"_",AJ$3),'Unit List'!$A$23:$H$3256,2,FALSE)),"X",$AG93)</f>
        <v/>
      </c>
      <c r="AK93" s="172" t="str">
        <f>IF(ISTEXT(VLOOKUP(CONCATENATE($A93,"_",AK$3),'Unit List'!$A$23:$H$3256,2,FALSE)),"+","")</f>
        <v/>
      </c>
      <c r="AL93" s="121" t="str">
        <f>IF(ISTEXT(VLOOKUP(CONCATENATE($A93,"_",AL$3),'Unit List'!$A$23:$H$3256,2,FALSE)),"X",$AK93)</f>
        <v/>
      </c>
      <c r="AM93" s="122" t="str">
        <f>IF(ISTEXT(VLOOKUP(CONCATENATE($A93,"_",AM$3),'Unit List'!$A$23:$H$3256,2,FALSE)),"X",$AK93)</f>
        <v/>
      </c>
      <c r="AN93" s="125" t="str">
        <f>IF(ISTEXT(VLOOKUP(CONCATENATE($A93,"_",AN$3),'Unit List'!$A$23:$H$3256,2,FALSE)),"+","")</f>
        <v/>
      </c>
      <c r="AO93" s="122" t="str">
        <f>IF(ISTEXT(VLOOKUP(CONCATENATE($A93,"_",AO$3),'Unit List'!$A$23:$H$3256,2,FALSE)),"X",$AN93)</f>
        <v/>
      </c>
      <c r="AP93" s="172" t="str">
        <f>IF(ISTEXT(VLOOKUP(CONCATENATE($A93,"_",AP$3),'Unit List'!$A$23:$H$3256,2,FALSE)),"+","")</f>
        <v/>
      </c>
      <c r="AQ93" s="120" t="str">
        <f>IF(ISTEXT(VLOOKUP(CONCATENATE($A93,"_",AQ$3),'Unit List'!$A$23:$H$3256,2,FALSE)),"X",$AP93)</f>
        <v/>
      </c>
      <c r="AR93" s="120" t="str">
        <f>IF(ISTEXT(VLOOKUP(CONCATENATE($A93,"_",AR$3),'Unit List'!$A$23:$H$3256,2,FALSE)),"X",$AP93)</f>
        <v/>
      </c>
      <c r="AS93" s="120" t="str">
        <f>IF(ISTEXT(VLOOKUP(CONCATENATE($A93,"_",AS$3),'Unit List'!$A$23:$H$3256,2,FALSE)),"X",$AP93)</f>
        <v/>
      </c>
      <c r="AT93" s="122" t="str">
        <f>IF(ISTEXT(VLOOKUP(CONCATENATE($A93,"_",AT$3),'Unit List'!$A$23:$H$3256,2,FALSE)),"X",$AP93)</f>
        <v/>
      </c>
      <c r="AU93" s="124" t="str">
        <f>IF(ISTEXT(VLOOKUP(CONCATENATE($A93,"_",AU$3),'Unit List'!$A$23:$H$3256,2,FALSE)),"+","")</f>
        <v/>
      </c>
      <c r="AV93" s="120" t="str">
        <f>IF(ISTEXT(VLOOKUP(CONCATENATE($A93,"_",AV$3),'Unit List'!$A$23:$H$3256,2,FALSE)),"X",$AU93)</f>
        <v/>
      </c>
      <c r="AW93" s="122" t="str">
        <f>IF(ISTEXT(VLOOKUP(CONCATENATE($A93,"_",AW$3),'Unit List'!$A$23:$H$3256,2,FALSE)),"X",$AU93)</f>
        <v/>
      </c>
      <c r="AX93" s="172" t="str">
        <f>IF(ISTEXT(VLOOKUP(CONCATENATE($A93,"_",AX$3),'Unit List'!$A$23:$H$3256,2,FALSE)),"+","")</f>
        <v/>
      </c>
      <c r="AY93" s="120" t="str">
        <f>IF(ISTEXT(VLOOKUP(CONCATENATE($A93,"_",AY$3),'Unit List'!$A$23:$H$3256,2,FALSE)),"X",$AX93)</f>
        <v/>
      </c>
      <c r="AZ93" s="122" t="str">
        <f>IF(ISTEXT(VLOOKUP(CONCATENATE($A93,"_",AZ$3),'Unit List'!$A$23:$H$3256,2,FALSE)),"X",$AX93)</f>
        <v/>
      </c>
      <c r="BA93" s="182" t="str">
        <f>IF(ISTEXT(VLOOKUP(CONCATENATE($A93,"_",BA$3),'Unit List'!$A$23:$H$3256,2,FALSE)),"+","")</f>
        <v/>
      </c>
      <c r="BB93" s="120" t="str">
        <f>IF(ISTEXT(VLOOKUP(CONCATENATE($A93,"_",BB$3),'Unit List'!$A$23:$H$3256,2,FALSE)),"X",$BA93)</f>
        <v/>
      </c>
      <c r="BC93" s="120" t="str">
        <f>IF(ISTEXT(VLOOKUP(CONCATENATE($A93,"_",BC$3),'Unit List'!$A$23:$H$3256,2,FALSE)),"X",$BA93)</f>
        <v/>
      </c>
      <c r="BD93" s="122" t="str">
        <f>IF(ISTEXT(VLOOKUP(CONCATENATE($A93,"_",BD$3),'Unit List'!$A$23:$H$3256,2,FALSE)),"X",$BA93)</f>
        <v/>
      </c>
      <c r="BE93" s="125" t="str">
        <f>IF(ISTEXT(VLOOKUP(CONCATENATE($A93,"_",BE$3),'Unit List'!$A$23:$H$3256,2,FALSE)),"+","")</f>
        <v/>
      </c>
      <c r="BF93" s="75" t="str">
        <f>IF(ISTEXT(VLOOKUP(CONCATENATE($A93,"_",BF$3),'Unit List'!$A$23:$H$3256,2,FALSE)),"X",$BE93)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List'!$A$23:$H$3256,2,FALSE)),"+","")</f>
        <v/>
      </c>
      <c r="C94" s="119" t="str">
        <f>IF(ISTEXT(VLOOKUP(CONCATENATE($A94,"_",C$3),'Unit List'!$A$23:$H$3256,2,FALSE)),"X",$B94)</f>
        <v/>
      </c>
      <c r="D94" s="120" t="str">
        <f>IF(ISTEXT(VLOOKUP(CONCATENATE($A94,"_",D$3),'Unit List'!$A$23:$H$3256,2,FALSE)),"X",$B94)</f>
        <v/>
      </c>
      <c r="E94" s="120" t="str">
        <f>IF(ISTEXT(VLOOKUP(CONCATENATE($A94,"_",E$3),'Unit List'!$A$23:$H$3256,2,FALSE)),"X",$B94)</f>
        <v/>
      </c>
      <c r="F94" s="120" t="str">
        <f>IF(ISTEXT(VLOOKUP(CONCATENATE($A94,"_",F$3),'Unit List'!$A$23:$H$3256,2,FALSE)),"X",$B94)</f>
        <v/>
      </c>
      <c r="G94" s="120" t="str">
        <f>IF(ISTEXT(VLOOKUP(CONCATENATE($A94,"_",G$3),'Unit List'!$A$23:$H$3256,2,FALSE)),"X",$B94)</f>
        <v/>
      </c>
      <c r="H94" s="120" t="str">
        <f>IF(ISTEXT(VLOOKUP(CONCATENATE($A94,"_",H$3),'Unit List'!$A$23:$H$3256,2,FALSE)),"X",$B94)</f>
        <v/>
      </c>
      <c r="I94" s="122" t="str">
        <f>IF(ISTEXT(VLOOKUP(CONCATENATE($A94,"_",I$3),'Unit List'!$A$23:$H$3256,2,FALSE)),"X",$B94)</f>
        <v/>
      </c>
      <c r="J94" s="172" t="str">
        <f>IF(ISTEXT(VLOOKUP(CONCATENATE($A94,"_",J$3),'Unit List'!$A$23:$H$3256,2,FALSE)),"+","")</f>
        <v/>
      </c>
      <c r="K94" s="120" t="str">
        <f>IF(ISTEXT(VLOOKUP(CONCATENATE($A94,"_",K$3),'Unit List'!$A$23:$H$3256,2,FALSE)),"X",$J94)</f>
        <v/>
      </c>
      <c r="L94" s="75" t="str">
        <f>IF(ISTEXT(VLOOKUP(CONCATENATE($A94,"_",L$3),'Unit List'!$A$23:$H$3256,2,FALSE)),"X",$J94)</f>
        <v/>
      </c>
      <c r="M94" s="172" t="str">
        <f>IF(ISTEXT(VLOOKUP(CONCATENATE($A94,"_",M$3),'Unit List'!$A$23:$H$3256,2,FALSE)),"+","")</f>
        <v/>
      </c>
      <c r="N94" s="120" t="str">
        <f>IF(ISTEXT(VLOOKUP(CONCATENATE($A94,"_",N$3),'Unit List'!$A$23:$H$3256,2,FALSE)),"X",$M94)</f>
        <v/>
      </c>
      <c r="O94" s="122" t="str">
        <f>IF(ISTEXT(VLOOKUP(CONCATENATE($A94,"_",O$3),'Unit List'!$A$23:$H$3256,2,FALSE)),"X",$M94)</f>
        <v/>
      </c>
      <c r="P94" s="172" t="str">
        <f>IF(ISTEXT(VLOOKUP(CONCATENATE($A94,"_",P$3),'Unit List'!$A$23:$H$3256,2,FALSE)),"+","")</f>
        <v/>
      </c>
      <c r="Q94" s="120" t="str">
        <f>IF(ISTEXT(VLOOKUP(CONCATENATE($A94,"_",Q$3),'Unit List'!$A$23:$H$3256,2,FALSE)),"X",$P94)</f>
        <v/>
      </c>
      <c r="R94" s="120" t="str">
        <f>IF(ISTEXT(VLOOKUP(CONCATENATE($A94,"_",R$3),'Unit List'!$A$23:$H$3256,2,FALSE)),"X",$P94)</f>
        <v/>
      </c>
      <c r="S94" s="120" t="str">
        <f>IF(ISTEXT(VLOOKUP(CONCATENATE($A94,"_",S$3),'Unit List'!$A$23:$H$3256,2,FALSE)),"X",$P94)</f>
        <v/>
      </c>
      <c r="T94" s="121" t="str">
        <f>IF(ISTEXT(VLOOKUP(CONCATENATE($A94,"_",T$3),'Unit List'!$A$23:$H$3256,2,FALSE)),"X",$P94)</f>
        <v/>
      </c>
      <c r="U94" s="120" t="str">
        <f>IF(ISTEXT(VLOOKUP(CONCATENATE($A94,"_",U$3),'Unit List'!$A$23:$H$3256,2,FALSE)),"X",$P94)</f>
        <v/>
      </c>
      <c r="V94" s="120" t="str">
        <f>IF(ISTEXT(VLOOKUP(CONCATENATE($A94,"_",V$3),'Unit List'!$A$23:$H$3256,2,FALSE)),"X",$P94)</f>
        <v/>
      </c>
      <c r="W94" s="122" t="str">
        <f>IF(ISTEXT(VLOOKUP(CONCATENATE($A94,"_",W$3),'Unit List'!$A$23:$H$3256,2,FALSE)),"X",$P94)</f>
        <v/>
      </c>
      <c r="X94" s="172" t="str">
        <f>IF(ISTEXT(VLOOKUP(CONCATENATE($A94,"_",X$3),'Unit List'!$A$23:$H$3256,2,FALSE)),"+","")</f>
        <v/>
      </c>
      <c r="Y94" s="120" t="str">
        <f>IF(ISTEXT(VLOOKUP(CONCATENATE($A94,"_",Y$3),'Unit List'!$A$23:$H$3256,2,FALSE)),"X",$X94)</f>
        <v/>
      </c>
      <c r="Z94" s="120" t="str">
        <f>IF(ISTEXT(VLOOKUP(CONCATENATE($A94,"_",Z$3),'Unit List'!$A$23:$H$3256,2,FALSE)),"X",$X94)</f>
        <v/>
      </c>
      <c r="AA94" s="120" t="str">
        <f>IF(ISTEXT(VLOOKUP(CONCATENATE($A94,"_",AA$3),'Unit List'!$A$23:$H$3256,2,FALSE)),"X",$X94)</f>
        <v/>
      </c>
      <c r="AB94" s="120" t="str">
        <f>IF(ISTEXT(VLOOKUP(CONCATENATE($A94,"_",AB$3),'Unit List'!$A$23:$H$3256,2,FALSE)),"X",$X94)</f>
        <v/>
      </c>
      <c r="AC94" s="75" t="str">
        <f>IF(ISTEXT(VLOOKUP(CONCATENATE($A94,"_",AC$3),'Unit List'!$A$23:$H$3256,2,FALSE)),"X",$X94)</f>
        <v/>
      </c>
      <c r="AD94" s="172" t="str">
        <f>IF(ISTEXT(VLOOKUP(CONCATENATE($A94,"_",AD$3),'Unit List'!$A$23:$H$3256,2,FALSE)),"+","")</f>
        <v/>
      </c>
      <c r="AE94" s="120" t="str">
        <f>IF(ISTEXT(VLOOKUP(CONCATENATE($A94,"_",AE$3),'Unit List'!$A$23:$H$3256,2,FALSE)),"X",$AD94)</f>
        <v/>
      </c>
      <c r="AF94" s="120" t="str">
        <f>IF(ISTEXT(VLOOKUP(CONCATENATE($A94,"_",AF$3),'Unit List'!$A$23:$H$3256,2,FALSE)),"X",$AD94)</f>
        <v/>
      </c>
      <c r="AG94" s="172" t="str">
        <f>IF(ISTEXT(VLOOKUP(CONCATENATE($A94,"_",AG$3),'Unit List'!$A$23:$H$3256,2,FALSE)),"+","")</f>
        <v/>
      </c>
      <c r="AH94" s="120" t="str">
        <f>IF(ISTEXT(VLOOKUP(CONCATENATE($A94,"_",AH$3),'Unit List'!$A$23:$H$3256,2,FALSE)),"X",$AG94)</f>
        <v/>
      </c>
      <c r="AI94" s="120" t="str">
        <f>IF(ISTEXT(VLOOKUP(CONCATENATE($A94,"_",AI$3),'Unit List'!$A$23:$H$3256,2,FALSE)),"X",$AG94)</f>
        <v/>
      </c>
      <c r="AJ94" s="122" t="str">
        <f>IF(ISTEXT(VLOOKUP(CONCATENATE($A94,"_",AJ$3),'Unit List'!$A$23:$H$3256,2,FALSE)),"X",$AG94)</f>
        <v/>
      </c>
      <c r="AK94" s="172" t="str">
        <f>IF(ISTEXT(VLOOKUP(CONCATENATE($A94,"_",AK$3),'Unit List'!$A$23:$H$3256,2,FALSE)),"+","")</f>
        <v/>
      </c>
      <c r="AL94" s="121" t="str">
        <f>IF(ISTEXT(VLOOKUP(CONCATENATE($A94,"_",AL$3),'Unit List'!$A$23:$H$3256,2,FALSE)),"X",$AK94)</f>
        <v/>
      </c>
      <c r="AM94" s="122" t="str">
        <f>IF(ISTEXT(VLOOKUP(CONCATENATE($A94,"_",AM$3),'Unit List'!$A$23:$H$3256,2,FALSE)),"X",$AK94)</f>
        <v/>
      </c>
      <c r="AN94" s="125" t="str">
        <f>IF(ISTEXT(VLOOKUP(CONCATENATE($A94,"_",AN$3),'Unit List'!$A$23:$H$3256,2,FALSE)),"+","")</f>
        <v/>
      </c>
      <c r="AO94" s="122" t="str">
        <f>IF(ISTEXT(VLOOKUP(CONCATENATE($A94,"_",AO$3),'Unit List'!$A$23:$H$3256,2,FALSE)),"X",$AN94)</f>
        <v/>
      </c>
      <c r="AP94" s="172" t="str">
        <f>IF(ISTEXT(VLOOKUP(CONCATENATE($A94,"_",AP$3),'Unit List'!$A$23:$H$3256,2,FALSE)),"+","")</f>
        <v/>
      </c>
      <c r="AQ94" s="120" t="str">
        <f>IF(ISTEXT(VLOOKUP(CONCATENATE($A94,"_",AQ$3),'Unit List'!$A$23:$H$3256,2,FALSE)),"X",$AP94)</f>
        <v/>
      </c>
      <c r="AR94" s="120" t="str">
        <f>IF(ISTEXT(VLOOKUP(CONCATENATE($A94,"_",AR$3),'Unit List'!$A$23:$H$3256,2,FALSE)),"X",$AP94)</f>
        <v/>
      </c>
      <c r="AS94" s="120" t="str">
        <f>IF(ISTEXT(VLOOKUP(CONCATENATE($A94,"_",AS$3),'Unit List'!$A$23:$H$3256,2,FALSE)),"X",$AP94)</f>
        <v/>
      </c>
      <c r="AT94" s="122" t="str">
        <f>IF(ISTEXT(VLOOKUP(CONCATENATE($A94,"_",AT$3),'Unit List'!$A$23:$H$3256,2,FALSE)),"X",$AP94)</f>
        <v/>
      </c>
      <c r="AU94" s="124" t="str">
        <f>IF(ISTEXT(VLOOKUP(CONCATENATE($A94,"_",AU$3),'Unit List'!$A$23:$H$3256,2,FALSE)),"+","")</f>
        <v/>
      </c>
      <c r="AV94" s="120" t="str">
        <f>IF(ISTEXT(VLOOKUP(CONCATENATE($A94,"_",AV$3),'Unit List'!$A$23:$H$3256,2,FALSE)),"X",$AU94)</f>
        <v/>
      </c>
      <c r="AW94" s="122" t="str">
        <f>IF(ISTEXT(VLOOKUP(CONCATENATE($A94,"_",AW$3),'Unit List'!$A$23:$H$3256,2,FALSE)),"X",$AU94)</f>
        <v/>
      </c>
      <c r="AX94" s="172" t="str">
        <f>IF(ISTEXT(VLOOKUP(CONCATENATE($A94,"_",AX$3),'Unit List'!$A$23:$H$3256,2,FALSE)),"+","")</f>
        <v/>
      </c>
      <c r="AY94" s="120" t="str">
        <f>IF(ISTEXT(VLOOKUP(CONCATENATE($A94,"_",AY$3),'Unit List'!$A$23:$H$3256,2,FALSE)),"X",$AX94)</f>
        <v/>
      </c>
      <c r="AZ94" s="122" t="str">
        <f>IF(ISTEXT(VLOOKUP(CONCATENATE($A94,"_",AZ$3),'Unit List'!$A$23:$H$3256,2,FALSE)),"X",$AX94)</f>
        <v/>
      </c>
      <c r="BA94" s="182" t="str">
        <f>IF(ISTEXT(VLOOKUP(CONCATENATE($A94,"_",BA$3),'Unit List'!$A$23:$H$3256,2,FALSE)),"+","")</f>
        <v/>
      </c>
      <c r="BB94" s="120" t="str">
        <f>IF(ISTEXT(VLOOKUP(CONCATENATE($A94,"_",BB$3),'Unit List'!$A$23:$H$3256,2,FALSE)),"X",$BA94)</f>
        <v/>
      </c>
      <c r="BC94" s="120" t="str">
        <f>IF(ISTEXT(VLOOKUP(CONCATENATE($A94,"_",BC$3),'Unit List'!$A$23:$H$3256,2,FALSE)),"X",$BA94)</f>
        <v/>
      </c>
      <c r="BD94" s="122" t="str">
        <f>IF(ISTEXT(VLOOKUP(CONCATENATE($A94,"_",BD$3),'Unit List'!$A$23:$H$3256,2,FALSE)),"X",$BA94)</f>
        <v/>
      </c>
      <c r="BE94" s="125" t="str">
        <f>IF(ISTEXT(VLOOKUP(CONCATENATE($A94,"_",BE$3),'Unit List'!$A$23:$H$3256,2,FALSE)),"+","")</f>
        <v/>
      </c>
      <c r="BF94" s="75" t="str">
        <f>IF(ISTEXT(VLOOKUP(CONCATENATE($A94,"_",BF$3),'Unit List'!$A$23:$H$3256,2,FALSE)),"X",$BE94)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List'!$A$23:$H$3256,2,FALSE)),"+","")</f>
        <v/>
      </c>
      <c r="C95" s="119" t="str">
        <f>IF(ISTEXT(VLOOKUP(CONCATENATE($A95,"_",C$3),'Unit List'!$A$23:$H$3256,2,FALSE)),"X",$B95)</f>
        <v/>
      </c>
      <c r="D95" s="120" t="str">
        <f>IF(ISTEXT(VLOOKUP(CONCATENATE($A95,"_",D$3),'Unit List'!$A$23:$H$3256,2,FALSE)),"X",$B95)</f>
        <v/>
      </c>
      <c r="E95" s="120" t="str">
        <f>IF(ISTEXT(VLOOKUP(CONCATENATE($A95,"_",E$3),'Unit List'!$A$23:$H$3256,2,FALSE)),"X",$B95)</f>
        <v/>
      </c>
      <c r="F95" s="120" t="str">
        <f>IF(ISTEXT(VLOOKUP(CONCATENATE($A95,"_",F$3),'Unit List'!$A$23:$H$3256,2,FALSE)),"X",$B95)</f>
        <v/>
      </c>
      <c r="G95" s="120" t="str">
        <f>IF(ISTEXT(VLOOKUP(CONCATENATE($A95,"_",G$3),'Unit List'!$A$23:$H$3256,2,FALSE)),"X",$B95)</f>
        <v/>
      </c>
      <c r="H95" s="120" t="str">
        <f>IF(ISTEXT(VLOOKUP(CONCATENATE($A95,"_",H$3),'Unit List'!$A$23:$H$3256,2,FALSE)),"X",$B95)</f>
        <v/>
      </c>
      <c r="I95" s="122" t="str">
        <f>IF(ISTEXT(VLOOKUP(CONCATENATE($A95,"_",I$3),'Unit List'!$A$23:$H$3256,2,FALSE)),"X",$B95)</f>
        <v/>
      </c>
      <c r="J95" s="172" t="str">
        <f>IF(ISTEXT(VLOOKUP(CONCATENATE($A95,"_",J$3),'Unit List'!$A$23:$H$3256,2,FALSE)),"+","")</f>
        <v/>
      </c>
      <c r="K95" s="120" t="str">
        <f>IF(ISTEXT(VLOOKUP(CONCATENATE($A95,"_",K$3),'Unit List'!$A$23:$H$3256,2,FALSE)),"X",$J95)</f>
        <v/>
      </c>
      <c r="L95" s="75" t="str">
        <f>IF(ISTEXT(VLOOKUP(CONCATENATE($A95,"_",L$3),'Unit List'!$A$23:$H$3256,2,FALSE)),"X",$J95)</f>
        <v/>
      </c>
      <c r="M95" s="172" t="str">
        <f>IF(ISTEXT(VLOOKUP(CONCATENATE($A95,"_",M$3),'Unit List'!$A$23:$H$3256,2,FALSE)),"+","")</f>
        <v/>
      </c>
      <c r="N95" s="120" t="str">
        <f>IF(ISTEXT(VLOOKUP(CONCATENATE($A95,"_",N$3),'Unit List'!$A$23:$H$3256,2,FALSE)),"X",$M95)</f>
        <v/>
      </c>
      <c r="O95" s="122" t="str">
        <f>IF(ISTEXT(VLOOKUP(CONCATENATE($A95,"_",O$3),'Unit List'!$A$23:$H$3256,2,FALSE)),"X",$M95)</f>
        <v/>
      </c>
      <c r="P95" s="172" t="str">
        <f>IF(ISTEXT(VLOOKUP(CONCATENATE($A95,"_",P$3),'Unit List'!$A$23:$H$3256,2,FALSE)),"+","")</f>
        <v/>
      </c>
      <c r="Q95" s="120" t="str">
        <f>IF(ISTEXT(VLOOKUP(CONCATENATE($A95,"_",Q$3),'Unit List'!$A$23:$H$3256,2,FALSE)),"X",$P95)</f>
        <v/>
      </c>
      <c r="R95" s="120" t="str">
        <f>IF(ISTEXT(VLOOKUP(CONCATENATE($A95,"_",R$3),'Unit List'!$A$23:$H$3256,2,FALSE)),"X",$P95)</f>
        <v/>
      </c>
      <c r="S95" s="120" t="str">
        <f>IF(ISTEXT(VLOOKUP(CONCATENATE($A95,"_",S$3),'Unit List'!$A$23:$H$3256,2,FALSE)),"X",$P95)</f>
        <v/>
      </c>
      <c r="T95" s="121" t="str">
        <f>IF(ISTEXT(VLOOKUP(CONCATENATE($A95,"_",T$3),'Unit List'!$A$23:$H$3256,2,FALSE)),"X",$P95)</f>
        <v/>
      </c>
      <c r="U95" s="120" t="str">
        <f>IF(ISTEXT(VLOOKUP(CONCATENATE($A95,"_",U$3),'Unit List'!$A$23:$H$3256,2,FALSE)),"X",$P95)</f>
        <v/>
      </c>
      <c r="V95" s="120" t="str">
        <f>IF(ISTEXT(VLOOKUP(CONCATENATE($A95,"_",V$3),'Unit List'!$A$23:$H$3256,2,FALSE)),"X",$P95)</f>
        <v/>
      </c>
      <c r="W95" s="122" t="str">
        <f>IF(ISTEXT(VLOOKUP(CONCATENATE($A95,"_",W$3),'Unit List'!$A$23:$H$3256,2,FALSE)),"X",$P95)</f>
        <v/>
      </c>
      <c r="X95" s="172" t="str">
        <f>IF(ISTEXT(VLOOKUP(CONCATENATE($A95,"_",X$3),'Unit List'!$A$23:$H$3256,2,FALSE)),"+","")</f>
        <v/>
      </c>
      <c r="Y95" s="120" t="str">
        <f>IF(ISTEXT(VLOOKUP(CONCATENATE($A95,"_",Y$3),'Unit List'!$A$23:$H$3256,2,FALSE)),"X",$X95)</f>
        <v/>
      </c>
      <c r="Z95" s="120" t="str">
        <f>IF(ISTEXT(VLOOKUP(CONCATENATE($A95,"_",Z$3),'Unit List'!$A$23:$H$3256,2,FALSE)),"X",$X95)</f>
        <v/>
      </c>
      <c r="AA95" s="120" t="str">
        <f>IF(ISTEXT(VLOOKUP(CONCATENATE($A95,"_",AA$3),'Unit List'!$A$23:$H$3256,2,FALSE)),"X",$X95)</f>
        <v/>
      </c>
      <c r="AB95" s="120" t="str">
        <f>IF(ISTEXT(VLOOKUP(CONCATENATE($A95,"_",AB$3),'Unit List'!$A$23:$H$3256,2,FALSE)),"X",$X95)</f>
        <v/>
      </c>
      <c r="AC95" s="75" t="str">
        <f>IF(ISTEXT(VLOOKUP(CONCATENATE($A95,"_",AC$3),'Unit List'!$A$23:$H$3256,2,FALSE)),"X",$X95)</f>
        <v/>
      </c>
      <c r="AD95" s="172" t="str">
        <f>IF(ISTEXT(VLOOKUP(CONCATENATE($A95,"_",AD$3),'Unit List'!$A$23:$H$3256,2,FALSE)),"+","")</f>
        <v/>
      </c>
      <c r="AE95" s="120" t="str">
        <f>IF(ISTEXT(VLOOKUP(CONCATENATE($A95,"_",AE$3),'Unit List'!$A$23:$H$3256,2,FALSE)),"X",$AD95)</f>
        <v/>
      </c>
      <c r="AF95" s="120" t="str">
        <f>IF(ISTEXT(VLOOKUP(CONCATENATE($A95,"_",AF$3),'Unit List'!$A$23:$H$3256,2,FALSE)),"X",$AD95)</f>
        <v/>
      </c>
      <c r="AG95" s="172" t="str">
        <f>IF(ISTEXT(VLOOKUP(CONCATENATE($A95,"_",AG$3),'Unit List'!$A$23:$H$3256,2,FALSE)),"+","")</f>
        <v/>
      </c>
      <c r="AH95" s="120" t="str">
        <f>IF(ISTEXT(VLOOKUP(CONCATENATE($A95,"_",AH$3),'Unit List'!$A$23:$H$3256,2,FALSE)),"X",$AG95)</f>
        <v/>
      </c>
      <c r="AI95" s="120" t="str">
        <f>IF(ISTEXT(VLOOKUP(CONCATENATE($A95,"_",AI$3),'Unit List'!$A$23:$H$3256,2,FALSE)),"X",$AG95)</f>
        <v/>
      </c>
      <c r="AJ95" s="122" t="str">
        <f>IF(ISTEXT(VLOOKUP(CONCATENATE($A95,"_",AJ$3),'Unit List'!$A$23:$H$3256,2,FALSE)),"X",$AG95)</f>
        <v/>
      </c>
      <c r="AK95" s="172" t="str">
        <f>IF(ISTEXT(VLOOKUP(CONCATENATE($A95,"_",AK$3),'Unit List'!$A$23:$H$3256,2,FALSE)),"+","")</f>
        <v/>
      </c>
      <c r="AL95" s="121" t="str">
        <f>IF(ISTEXT(VLOOKUP(CONCATENATE($A95,"_",AL$3),'Unit List'!$A$23:$H$3256,2,FALSE)),"X",$AK95)</f>
        <v/>
      </c>
      <c r="AM95" s="122" t="str">
        <f>IF(ISTEXT(VLOOKUP(CONCATENATE($A95,"_",AM$3),'Unit List'!$A$23:$H$3256,2,FALSE)),"X",$AK95)</f>
        <v/>
      </c>
      <c r="AN95" s="125" t="str">
        <f>IF(ISTEXT(VLOOKUP(CONCATENATE($A95,"_",AN$3),'Unit List'!$A$23:$H$3256,2,FALSE)),"+","")</f>
        <v/>
      </c>
      <c r="AO95" s="122" t="str">
        <f>IF(ISTEXT(VLOOKUP(CONCATENATE($A95,"_",AO$3),'Unit List'!$A$23:$H$3256,2,FALSE)),"X",$AN95)</f>
        <v/>
      </c>
      <c r="AP95" s="172" t="str">
        <f>IF(ISTEXT(VLOOKUP(CONCATENATE($A95,"_",AP$3),'Unit List'!$A$23:$H$3256,2,FALSE)),"+","")</f>
        <v/>
      </c>
      <c r="AQ95" s="120" t="str">
        <f>IF(ISTEXT(VLOOKUP(CONCATENATE($A95,"_",AQ$3),'Unit List'!$A$23:$H$3256,2,FALSE)),"X",$AP95)</f>
        <v/>
      </c>
      <c r="AR95" s="120" t="str">
        <f>IF(ISTEXT(VLOOKUP(CONCATENATE($A95,"_",AR$3),'Unit List'!$A$23:$H$3256,2,FALSE)),"X",$AP95)</f>
        <v/>
      </c>
      <c r="AS95" s="120" t="str">
        <f>IF(ISTEXT(VLOOKUP(CONCATENATE($A95,"_",AS$3),'Unit List'!$A$23:$H$3256,2,FALSE)),"X",$AP95)</f>
        <v/>
      </c>
      <c r="AT95" s="122" t="str">
        <f>IF(ISTEXT(VLOOKUP(CONCATENATE($A95,"_",AT$3),'Unit List'!$A$23:$H$3256,2,FALSE)),"X",$AP95)</f>
        <v/>
      </c>
      <c r="AU95" s="124" t="str">
        <f>IF(ISTEXT(VLOOKUP(CONCATENATE($A95,"_",AU$3),'Unit List'!$A$23:$H$3256,2,FALSE)),"+","")</f>
        <v/>
      </c>
      <c r="AV95" s="120" t="str">
        <f>IF(ISTEXT(VLOOKUP(CONCATENATE($A95,"_",AV$3),'Unit List'!$A$23:$H$3256,2,FALSE)),"X",$AU95)</f>
        <v/>
      </c>
      <c r="AW95" s="122" t="str">
        <f>IF(ISTEXT(VLOOKUP(CONCATENATE($A95,"_",AW$3),'Unit List'!$A$23:$H$3256,2,FALSE)),"X",$AU95)</f>
        <v/>
      </c>
      <c r="AX95" s="172" t="str">
        <f>IF(ISTEXT(VLOOKUP(CONCATENATE($A95,"_",AX$3),'Unit List'!$A$23:$H$3256,2,FALSE)),"+","")</f>
        <v/>
      </c>
      <c r="AY95" s="120" t="str">
        <f>IF(ISTEXT(VLOOKUP(CONCATENATE($A95,"_",AY$3),'Unit List'!$A$23:$H$3256,2,FALSE)),"X",$AX95)</f>
        <v/>
      </c>
      <c r="AZ95" s="122" t="str">
        <f>IF(ISTEXT(VLOOKUP(CONCATENATE($A95,"_",AZ$3),'Unit List'!$A$23:$H$3256,2,FALSE)),"X",$AX95)</f>
        <v/>
      </c>
      <c r="BA95" s="182" t="str">
        <f>IF(ISTEXT(VLOOKUP(CONCATENATE($A95,"_",BA$3),'Unit List'!$A$23:$H$3256,2,FALSE)),"+","")</f>
        <v/>
      </c>
      <c r="BB95" s="120" t="str">
        <f>IF(ISTEXT(VLOOKUP(CONCATENATE($A95,"_",BB$3),'Unit List'!$A$23:$H$3256,2,FALSE)),"X",$BA95)</f>
        <v/>
      </c>
      <c r="BC95" s="120" t="str">
        <f>IF(ISTEXT(VLOOKUP(CONCATENATE($A95,"_",BC$3),'Unit List'!$A$23:$H$3256,2,FALSE)),"X",$BA95)</f>
        <v/>
      </c>
      <c r="BD95" s="122" t="str">
        <f>IF(ISTEXT(VLOOKUP(CONCATENATE($A95,"_",BD$3),'Unit List'!$A$23:$H$3256,2,FALSE)),"X",$BA95)</f>
        <v/>
      </c>
      <c r="BE95" s="125" t="str">
        <f>IF(ISTEXT(VLOOKUP(CONCATENATE($A95,"_",BE$3),'Unit List'!$A$23:$H$3256,2,FALSE)),"+","")</f>
        <v/>
      </c>
      <c r="BF95" s="75" t="str">
        <f>IF(ISTEXT(VLOOKUP(CONCATENATE($A95,"_",BF$3),'Unit List'!$A$23:$H$3256,2,FALSE)),"X",$BE95)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List'!$A$23:$H$3256,2,FALSE)),"+","")</f>
        <v/>
      </c>
      <c r="C96" s="119" t="str">
        <f>IF(ISTEXT(VLOOKUP(CONCATENATE($A96,"_",C$3),'Unit List'!$A$23:$H$3256,2,FALSE)),"X",$B96)</f>
        <v/>
      </c>
      <c r="D96" s="120" t="str">
        <f>IF(ISTEXT(VLOOKUP(CONCATENATE($A96,"_",D$3),'Unit List'!$A$23:$H$3256,2,FALSE)),"X",$B96)</f>
        <v/>
      </c>
      <c r="E96" s="120" t="str">
        <f>IF(ISTEXT(VLOOKUP(CONCATENATE($A96,"_",E$3),'Unit List'!$A$23:$H$3256,2,FALSE)),"X",$B96)</f>
        <v/>
      </c>
      <c r="F96" s="120" t="str">
        <f>IF(ISTEXT(VLOOKUP(CONCATENATE($A96,"_",F$3),'Unit List'!$A$23:$H$3256,2,FALSE)),"X",$B96)</f>
        <v/>
      </c>
      <c r="G96" s="120" t="str">
        <f>IF(ISTEXT(VLOOKUP(CONCATENATE($A96,"_",G$3),'Unit List'!$A$23:$H$3256,2,FALSE)),"X",$B96)</f>
        <v/>
      </c>
      <c r="H96" s="120" t="str">
        <f>IF(ISTEXT(VLOOKUP(CONCATENATE($A96,"_",H$3),'Unit List'!$A$23:$H$3256,2,FALSE)),"X",$B96)</f>
        <v/>
      </c>
      <c r="I96" s="122" t="str">
        <f>IF(ISTEXT(VLOOKUP(CONCATENATE($A96,"_",I$3),'Unit List'!$A$23:$H$3256,2,FALSE)),"X",$B96)</f>
        <v/>
      </c>
      <c r="J96" s="172" t="str">
        <f>IF(ISTEXT(VLOOKUP(CONCATENATE($A96,"_",J$3),'Unit List'!$A$23:$H$3256,2,FALSE)),"+","")</f>
        <v/>
      </c>
      <c r="K96" s="120" t="str">
        <f>IF(ISTEXT(VLOOKUP(CONCATENATE($A96,"_",K$3),'Unit List'!$A$23:$H$3256,2,FALSE)),"X",$J96)</f>
        <v/>
      </c>
      <c r="L96" s="75" t="str">
        <f>IF(ISTEXT(VLOOKUP(CONCATENATE($A96,"_",L$3),'Unit List'!$A$23:$H$3256,2,FALSE)),"X",$J96)</f>
        <v/>
      </c>
      <c r="M96" s="172" t="str">
        <f>IF(ISTEXT(VLOOKUP(CONCATENATE($A96,"_",M$3),'Unit List'!$A$23:$H$3256,2,FALSE)),"+","")</f>
        <v/>
      </c>
      <c r="N96" s="120" t="str">
        <f>IF(ISTEXT(VLOOKUP(CONCATENATE($A96,"_",N$3),'Unit List'!$A$23:$H$3256,2,FALSE)),"X",$M96)</f>
        <v/>
      </c>
      <c r="O96" s="122" t="str">
        <f>IF(ISTEXT(VLOOKUP(CONCATENATE($A96,"_",O$3),'Unit List'!$A$23:$H$3256,2,FALSE)),"X",$M96)</f>
        <v/>
      </c>
      <c r="P96" s="172" t="str">
        <f>IF(ISTEXT(VLOOKUP(CONCATENATE($A96,"_",P$3),'Unit List'!$A$23:$H$3256,2,FALSE)),"+","")</f>
        <v/>
      </c>
      <c r="Q96" s="120" t="str">
        <f>IF(ISTEXT(VLOOKUP(CONCATENATE($A96,"_",Q$3),'Unit List'!$A$23:$H$3256,2,FALSE)),"X",$P96)</f>
        <v/>
      </c>
      <c r="R96" s="120" t="str">
        <f>IF(ISTEXT(VLOOKUP(CONCATENATE($A96,"_",R$3),'Unit List'!$A$23:$H$3256,2,FALSE)),"X",$P96)</f>
        <v/>
      </c>
      <c r="S96" s="120" t="str">
        <f>IF(ISTEXT(VLOOKUP(CONCATENATE($A96,"_",S$3),'Unit List'!$A$23:$H$3256,2,FALSE)),"X",$P96)</f>
        <v/>
      </c>
      <c r="T96" s="121" t="str">
        <f>IF(ISTEXT(VLOOKUP(CONCATENATE($A96,"_",T$3),'Unit List'!$A$23:$H$3256,2,FALSE)),"X",$P96)</f>
        <v/>
      </c>
      <c r="U96" s="120" t="str">
        <f>IF(ISTEXT(VLOOKUP(CONCATENATE($A96,"_",U$3),'Unit List'!$A$23:$H$3256,2,FALSE)),"X",$P96)</f>
        <v/>
      </c>
      <c r="V96" s="120" t="str">
        <f>IF(ISTEXT(VLOOKUP(CONCATENATE($A96,"_",V$3),'Unit List'!$A$23:$H$3256,2,FALSE)),"X",$P96)</f>
        <v/>
      </c>
      <c r="W96" s="122" t="str">
        <f>IF(ISTEXT(VLOOKUP(CONCATENATE($A96,"_",W$3),'Unit List'!$A$23:$H$3256,2,FALSE)),"X",$P96)</f>
        <v/>
      </c>
      <c r="X96" s="172" t="str">
        <f>IF(ISTEXT(VLOOKUP(CONCATENATE($A96,"_",X$3),'Unit List'!$A$23:$H$3256,2,FALSE)),"+","")</f>
        <v/>
      </c>
      <c r="Y96" s="120" t="str">
        <f>IF(ISTEXT(VLOOKUP(CONCATENATE($A96,"_",Y$3),'Unit List'!$A$23:$H$3256,2,FALSE)),"X",$X96)</f>
        <v/>
      </c>
      <c r="Z96" s="120" t="str">
        <f>IF(ISTEXT(VLOOKUP(CONCATENATE($A96,"_",Z$3),'Unit List'!$A$23:$H$3256,2,FALSE)),"X",$X96)</f>
        <v/>
      </c>
      <c r="AA96" s="120" t="str">
        <f>IF(ISTEXT(VLOOKUP(CONCATENATE($A96,"_",AA$3),'Unit List'!$A$23:$H$3256,2,FALSE)),"X",$X96)</f>
        <v/>
      </c>
      <c r="AB96" s="120" t="str">
        <f>IF(ISTEXT(VLOOKUP(CONCATENATE($A96,"_",AB$3),'Unit List'!$A$23:$H$3256,2,FALSE)),"X",$X96)</f>
        <v/>
      </c>
      <c r="AC96" s="75" t="str">
        <f>IF(ISTEXT(VLOOKUP(CONCATENATE($A96,"_",AC$3),'Unit List'!$A$23:$H$3256,2,FALSE)),"X",$X96)</f>
        <v/>
      </c>
      <c r="AD96" s="172" t="str">
        <f>IF(ISTEXT(VLOOKUP(CONCATENATE($A96,"_",AD$3),'Unit List'!$A$23:$H$3256,2,FALSE)),"+","")</f>
        <v/>
      </c>
      <c r="AE96" s="120" t="str">
        <f>IF(ISTEXT(VLOOKUP(CONCATENATE($A96,"_",AE$3),'Unit List'!$A$23:$H$3256,2,FALSE)),"X",$AD96)</f>
        <v/>
      </c>
      <c r="AF96" s="120" t="str">
        <f>IF(ISTEXT(VLOOKUP(CONCATENATE($A96,"_",AF$3),'Unit List'!$A$23:$H$3256,2,FALSE)),"X",$AD96)</f>
        <v/>
      </c>
      <c r="AG96" s="172" t="str">
        <f>IF(ISTEXT(VLOOKUP(CONCATENATE($A96,"_",AG$3),'Unit List'!$A$23:$H$3256,2,FALSE)),"+","")</f>
        <v/>
      </c>
      <c r="AH96" s="120" t="str">
        <f>IF(ISTEXT(VLOOKUP(CONCATENATE($A96,"_",AH$3),'Unit List'!$A$23:$H$3256,2,FALSE)),"X",$AG96)</f>
        <v/>
      </c>
      <c r="AI96" s="120" t="str">
        <f>IF(ISTEXT(VLOOKUP(CONCATENATE($A96,"_",AI$3),'Unit List'!$A$23:$H$3256,2,FALSE)),"X",$AG96)</f>
        <v/>
      </c>
      <c r="AJ96" s="122" t="str">
        <f>IF(ISTEXT(VLOOKUP(CONCATENATE($A96,"_",AJ$3),'Unit List'!$A$23:$H$3256,2,FALSE)),"X",$AG96)</f>
        <v/>
      </c>
      <c r="AK96" s="172" t="str">
        <f>IF(ISTEXT(VLOOKUP(CONCATENATE($A96,"_",AK$3),'Unit List'!$A$23:$H$3256,2,FALSE)),"+","")</f>
        <v/>
      </c>
      <c r="AL96" s="121" t="str">
        <f>IF(ISTEXT(VLOOKUP(CONCATENATE($A96,"_",AL$3),'Unit List'!$A$23:$H$3256,2,FALSE)),"X",$AK96)</f>
        <v/>
      </c>
      <c r="AM96" s="122" t="str">
        <f>IF(ISTEXT(VLOOKUP(CONCATENATE($A96,"_",AM$3),'Unit List'!$A$23:$H$3256,2,FALSE)),"X",$AK96)</f>
        <v/>
      </c>
      <c r="AN96" s="125" t="str">
        <f>IF(ISTEXT(VLOOKUP(CONCATENATE($A96,"_",AN$3),'Unit List'!$A$23:$H$3256,2,FALSE)),"+","")</f>
        <v/>
      </c>
      <c r="AO96" s="122" t="str">
        <f>IF(ISTEXT(VLOOKUP(CONCATENATE($A96,"_",AO$3),'Unit List'!$A$23:$H$3256,2,FALSE)),"X",$AN96)</f>
        <v/>
      </c>
      <c r="AP96" s="172" t="str">
        <f>IF(ISTEXT(VLOOKUP(CONCATENATE($A96,"_",AP$3),'Unit List'!$A$23:$H$3256,2,FALSE)),"+","")</f>
        <v/>
      </c>
      <c r="AQ96" s="120" t="str">
        <f>IF(ISTEXT(VLOOKUP(CONCATENATE($A96,"_",AQ$3),'Unit List'!$A$23:$H$3256,2,FALSE)),"X",$AP96)</f>
        <v/>
      </c>
      <c r="AR96" s="120" t="str">
        <f>IF(ISTEXT(VLOOKUP(CONCATENATE($A96,"_",AR$3),'Unit List'!$A$23:$H$3256,2,FALSE)),"X",$AP96)</f>
        <v/>
      </c>
      <c r="AS96" s="120" t="str">
        <f>IF(ISTEXT(VLOOKUP(CONCATENATE($A96,"_",AS$3),'Unit List'!$A$23:$H$3256,2,FALSE)),"X",$AP96)</f>
        <v/>
      </c>
      <c r="AT96" s="122" t="str">
        <f>IF(ISTEXT(VLOOKUP(CONCATENATE($A96,"_",AT$3),'Unit List'!$A$23:$H$3256,2,FALSE)),"X",$AP96)</f>
        <v/>
      </c>
      <c r="AU96" s="124" t="str">
        <f>IF(ISTEXT(VLOOKUP(CONCATENATE($A96,"_",AU$3),'Unit List'!$A$23:$H$3256,2,FALSE)),"+","")</f>
        <v/>
      </c>
      <c r="AV96" s="120" t="str">
        <f>IF(ISTEXT(VLOOKUP(CONCATENATE($A96,"_",AV$3),'Unit List'!$A$23:$H$3256,2,FALSE)),"X",$AU96)</f>
        <v/>
      </c>
      <c r="AW96" s="122" t="str">
        <f>IF(ISTEXT(VLOOKUP(CONCATENATE($A96,"_",AW$3),'Unit List'!$A$23:$H$3256,2,FALSE)),"X",$AU96)</f>
        <v/>
      </c>
      <c r="AX96" s="172" t="str">
        <f>IF(ISTEXT(VLOOKUP(CONCATENATE($A96,"_",AX$3),'Unit List'!$A$23:$H$3256,2,FALSE)),"+","")</f>
        <v/>
      </c>
      <c r="AY96" s="120" t="str">
        <f>IF(ISTEXT(VLOOKUP(CONCATENATE($A96,"_",AY$3),'Unit List'!$A$23:$H$3256,2,FALSE)),"X",$AX96)</f>
        <v/>
      </c>
      <c r="AZ96" s="122" t="str">
        <f>IF(ISTEXT(VLOOKUP(CONCATENATE($A96,"_",AZ$3),'Unit List'!$A$23:$H$3256,2,FALSE)),"X",$AX96)</f>
        <v/>
      </c>
      <c r="BA96" s="182" t="str">
        <f>IF(ISTEXT(VLOOKUP(CONCATENATE($A96,"_",BA$3),'Unit List'!$A$23:$H$3256,2,FALSE)),"+","")</f>
        <v/>
      </c>
      <c r="BB96" s="120" t="str">
        <f>IF(ISTEXT(VLOOKUP(CONCATENATE($A96,"_",BB$3),'Unit List'!$A$23:$H$3256,2,FALSE)),"X",$BA96)</f>
        <v/>
      </c>
      <c r="BC96" s="120" t="str">
        <f>IF(ISTEXT(VLOOKUP(CONCATENATE($A96,"_",BC$3),'Unit List'!$A$23:$H$3256,2,FALSE)),"X",$BA96)</f>
        <v/>
      </c>
      <c r="BD96" s="122" t="str">
        <f>IF(ISTEXT(VLOOKUP(CONCATENATE($A96,"_",BD$3),'Unit List'!$A$23:$H$3256,2,FALSE)),"X",$BA96)</f>
        <v/>
      </c>
      <c r="BE96" s="125" t="str">
        <f>IF(ISTEXT(VLOOKUP(CONCATENATE($A96,"_",BE$3),'Unit List'!$A$23:$H$3256,2,FALSE)),"+","")</f>
        <v/>
      </c>
      <c r="BF96" s="75" t="str">
        <f>IF(ISTEXT(VLOOKUP(CONCATENATE($A96,"_",BF$3),'Unit List'!$A$23:$H$3256,2,FALSE)),"X",$BE96)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List'!$A$23:$H$3256,2,FALSE)),"+","")</f>
        <v/>
      </c>
      <c r="C97" s="119" t="str">
        <f>IF(ISTEXT(VLOOKUP(CONCATENATE($A97,"_",C$3),'Unit List'!$A$23:$H$3256,2,FALSE)),"X",$B97)</f>
        <v/>
      </c>
      <c r="D97" s="120" t="str">
        <f>IF(ISTEXT(VLOOKUP(CONCATENATE($A97,"_",D$3),'Unit List'!$A$23:$H$3256,2,FALSE)),"X",$B97)</f>
        <v/>
      </c>
      <c r="E97" s="120" t="str">
        <f>IF(ISTEXT(VLOOKUP(CONCATENATE($A97,"_",E$3),'Unit List'!$A$23:$H$3256,2,FALSE)),"X",$B97)</f>
        <v/>
      </c>
      <c r="F97" s="120" t="str">
        <f>IF(ISTEXT(VLOOKUP(CONCATENATE($A97,"_",F$3),'Unit List'!$A$23:$H$3256,2,FALSE)),"X",$B97)</f>
        <v/>
      </c>
      <c r="G97" s="120" t="str">
        <f>IF(ISTEXT(VLOOKUP(CONCATENATE($A97,"_",G$3),'Unit List'!$A$23:$H$3256,2,FALSE)),"X",$B97)</f>
        <v/>
      </c>
      <c r="H97" s="120" t="str">
        <f>IF(ISTEXT(VLOOKUP(CONCATENATE($A97,"_",H$3),'Unit List'!$A$23:$H$3256,2,FALSE)),"X",$B97)</f>
        <v/>
      </c>
      <c r="I97" s="122" t="str">
        <f>IF(ISTEXT(VLOOKUP(CONCATENATE($A97,"_",I$3),'Unit List'!$A$23:$H$3256,2,FALSE)),"X",$B97)</f>
        <v/>
      </c>
      <c r="J97" s="172" t="str">
        <f>IF(ISTEXT(VLOOKUP(CONCATENATE($A97,"_",J$3),'Unit List'!$A$23:$H$3256,2,FALSE)),"+","")</f>
        <v/>
      </c>
      <c r="K97" s="120" t="str">
        <f>IF(ISTEXT(VLOOKUP(CONCATENATE($A97,"_",K$3),'Unit List'!$A$23:$H$3256,2,FALSE)),"X",$J97)</f>
        <v/>
      </c>
      <c r="L97" s="75" t="str">
        <f>IF(ISTEXT(VLOOKUP(CONCATENATE($A97,"_",L$3),'Unit List'!$A$23:$H$3256,2,FALSE)),"X",$J97)</f>
        <v/>
      </c>
      <c r="M97" s="172" t="str">
        <f>IF(ISTEXT(VLOOKUP(CONCATENATE($A97,"_",M$3),'Unit List'!$A$23:$H$3256,2,FALSE)),"+","")</f>
        <v/>
      </c>
      <c r="N97" s="120" t="str">
        <f>IF(ISTEXT(VLOOKUP(CONCATENATE($A97,"_",N$3),'Unit List'!$A$23:$H$3256,2,FALSE)),"X",$M97)</f>
        <v/>
      </c>
      <c r="O97" s="122" t="str">
        <f>IF(ISTEXT(VLOOKUP(CONCATENATE($A97,"_",O$3),'Unit List'!$A$23:$H$3256,2,FALSE)),"X",$M97)</f>
        <v/>
      </c>
      <c r="P97" s="172" t="str">
        <f>IF(ISTEXT(VLOOKUP(CONCATENATE($A97,"_",P$3),'Unit List'!$A$23:$H$3256,2,FALSE)),"+","")</f>
        <v/>
      </c>
      <c r="Q97" s="120" t="str">
        <f>IF(ISTEXT(VLOOKUP(CONCATENATE($A97,"_",Q$3),'Unit List'!$A$23:$H$3256,2,FALSE)),"X",$P97)</f>
        <v/>
      </c>
      <c r="R97" s="120" t="str">
        <f>IF(ISTEXT(VLOOKUP(CONCATENATE($A97,"_",R$3),'Unit List'!$A$23:$H$3256,2,FALSE)),"X",$P97)</f>
        <v/>
      </c>
      <c r="S97" s="120" t="str">
        <f>IF(ISTEXT(VLOOKUP(CONCATENATE($A97,"_",S$3),'Unit List'!$A$23:$H$3256,2,FALSE)),"X",$P97)</f>
        <v/>
      </c>
      <c r="T97" s="121" t="str">
        <f>IF(ISTEXT(VLOOKUP(CONCATENATE($A97,"_",T$3),'Unit List'!$A$23:$H$3256,2,FALSE)),"X",$P97)</f>
        <v/>
      </c>
      <c r="U97" s="120" t="str">
        <f>IF(ISTEXT(VLOOKUP(CONCATENATE($A97,"_",U$3),'Unit List'!$A$23:$H$3256,2,FALSE)),"X",$P97)</f>
        <v/>
      </c>
      <c r="V97" s="120" t="str">
        <f>IF(ISTEXT(VLOOKUP(CONCATENATE($A97,"_",V$3),'Unit List'!$A$23:$H$3256,2,FALSE)),"X",$P97)</f>
        <v/>
      </c>
      <c r="W97" s="146" t="s">
        <v>0</v>
      </c>
      <c r="X97" s="172" t="str">
        <f>IF(ISTEXT(VLOOKUP(CONCATENATE($A97,"_",X$3),'Unit List'!$A$23:$H$3256,2,FALSE)),"+","")</f>
        <v/>
      </c>
      <c r="Y97" s="120" t="str">
        <f>IF(ISTEXT(VLOOKUP(CONCATENATE($A97,"_",Y$3),'Unit List'!$A$23:$H$3256,2,FALSE)),"X",$X97)</f>
        <v/>
      </c>
      <c r="Z97" s="120" t="str">
        <f>IF(ISTEXT(VLOOKUP(CONCATENATE($A97,"_",Z$3),'Unit List'!$A$23:$H$3256,2,FALSE)),"X",$X97)</f>
        <v/>
      </c>
      <c r="AA97" s="120" t="str">
        <f>IF(ISTEXT(VLOOKUP(CONCATENATE($A97,"_",AA$3),'Unit List'!$A$23:$H$3256,2,FALSE)),"X",$X97)</f>
        <v/>
      </c>
      <c r="AB97" s="120" t="str">
        <f>IF(ISTEXT(VLOOKUP(CONCATENATE($A97,"_",AB$3),'Unit List'!$A$23:$H$3256,2,FALSE)),"X",$X97)</f>
        <v/>
      </c>
      <c r="AC97" s="75" t="str">
        <f>IF(ISTEXT(VLOOKUP(CONCATENATE($A97,"_",AC$3),'Unit List'!$A$23:$H$3256,2,FALSE)),"X",$X97)</f>
        <v/>
      </c>
      <c r="AD97" s="172" t="str">
        <f>IF(ISTEXT(VLOOKUP(CONCATENATE($A97,"_",AD$3),'Unit List'!$A$23:$H$3256,2,FALSE)),"+","")</f>
        <v/>
      </c>
      <c r="AE97" s="120" t="str">
        <f>IF(ISTEXT(VLOOKUP(CONCATENATE($A97,"_",AE$3),'Unit List'!$A$23:$H$3256,2,FALSE)),"X",$AD97)</f>
        <v/>
      </c>
      <c r="AF97" s="120" t="str">
        <f>IF(ISTEXT(VLOOKUP(CONCATENATE($A97,"_",AF$3),'Unit List'!$A$23:$H$3256,2,FALSE)),"X",$AD97)</f>
        <v/>
      </c>
      <c r="AG97" s="172" t="str">
        <f>IF(ISTEXT(VLOOKUP(CONCATENATE($A97,"_",AG$3),'Unit List'!$A$23:$H$3256,2,FALSE)),"+","")</f>
        <v/>
      </c>
      <c r="AH97" s="120" t="str">
        <f>IF(ISTEXT(VLOOKUP(CONCATENATE($A97,"_",AH$3),'Unit List'!$A$23:$H$3256,2,FALSE)),"X",$AG97)</f>
        <v/>
      </c>
      <c r="AI97" s="120" t="str">
        <f>IF(ISTEXT(VLOOKUP(CONCATENATE($A97,"_",AI$3),'Unit List'!$A$23:$H$3256,2,FALSE)),"X",$AG97)</f>
        <v/>
      </c>
      <c r="AJ97" s="122" t="str">
        <f>IF(ISTEXT(VLOOKUP(CONCATENATE($A97,"_",AJ$3),'Unit List'!$A$23:$H$3256,2,FALSE)),"X",$AG97)</f>
        <v/>
      </c>
      <c r="AK97" s="172" t="str">
        <f>IF(ISTEXT(VLOOKUP(CONCATENATE($A97,"_",AK$3),'Unit List'!$A$23:$H$3256,2,FALSE)),"+","")</f>
        <v/>
      </c>
      <c r="AL97" s="121" t="str">
        <f>IF(ISTEXT(VLOOKUP(CONCATENATE($A97,"_",AL$3),'Unit List'!$A$23:$H$3256,2,FALSE)),"X",$AK97)</f>
        <v/>
      </c>
      <c r="AM97" s="122" t="str">
        <f>IF(ISTEXT(VLOOKUP(CONCATENATE($A97,"_",AM$3),'Unit List'!$A$23:$H$3256,2,FALSE)),"X",$AK97)</f>
        <v/>
      </c>
      <c r="AN97" s="125" t="str">
        <f>IF(ISTEXT(VLOOKUP(CONCATENATE($A97,"_",AN$3),'Unit List'!$A$23:$H$3256,2,FALSE)),"+","")</f>
        <v/>
      </c>
      <c r="AO97" s="122" t="str">
        <f>IF(ISTEXT(VLOOKUP(CONCATENATE($A97,"_",AO$3),'Unit List'!$A$23:$H$3256,2,FALSE)),"X",$AN97)</f>
        <v/>
      </c>
      <c r="AP97" s="172" t="str">
        <f>IF(ISTEXT(VLOOKUP(CONCATENATE($A97,"_",AP$3),'Unit List'!$A$23:$H$3256,2,FALSE)),"+","")</f>
        <v/>
      </c>
      <c r="AQ97" s="120" t="str">
        <f>IF(ISTEXT(VLOOKUP(CONCATENATE($A97,"_",AQ$3),'Unit List'!$A$23:$H$3256,2,FALSE)),"X",$AP97)</f>
        <v/>
      </c>
      <c r="AR97" s="120" t="str">
        <f>IF(ISTEXT(VLOOKUP(CONCATENATE($A97,"_",AR$3),'Unit List'!$A$23:$H$3256,2,FALSE)),"X",$AP97)</f>
        <v/>
      </c>
      <c r="AS97" s="120" t="str">
        <f>IF(ISTEXT(VLOOKUP(CONCATENATE($A97,"_",AS$3),'Unit List'!$A$23:$H$3256,2,FALSE)),"X",$AP97)</f>
        <v/>
      </c>
      <c r="AT97" s="122" t="str">
        <f>IF(ISTEXT(VLOOKUP(CONCATENATE($A97,"_",AT$3),'Unit List'!$A$23:$H$3256,2,FALSE)),"X",$AP97)</f>
        <v/>
      </c>
      <c r="AU97" s="124" t="str">
        <f>IF(ISTEXT(VLOOKUP(CONCATENATE($A97,"_",AU$3),'Unit List'!$A$23:$H$3256,2,FALSE)),"+","")</f>
        <v/>
      </c>
      <c r="AV97" s="120" t="str">
        <f>IF(ISTEXT(VLOOKUP(CONCATENATE($A97,"_",AV$3),'Unit List'!$A$23:$H$3256,2,FALSE)),"X",$AU97)</f>
        <v/>
      </c>
      <c r="AW97" s="122" t="str">
        <f>IF(ISTEXT(VLOOKUP(CONCATENATE($A97,"_",AW$3),'Unit List'!$A$23:$H$3256,2,FALSE)),"X",$AU97)</f>
        <v/>
      </c>
      <c r="AX97" s="172" t="str">
        <f>IF(ISTEXT(VLOOKUP(CONCATENATE($A97,"_",AX$3),'Unit List'!$A$23:$H$3256,2,FALSE)),"+","")</f>
        <v/>
      </c>
      <c r="AY97" s="120" t="str">
        <f>IF(ISTEXT(VLOOKUP(CONCATENATE($A97,"_",AY$3),'Unit List'!$A$23:$H$3256,2,FALSE)),"X",$AX97)</f>
        <v/>
      </c>
      <c r="AZ97" s="122" t="str">
        <f>IF(ISTEXT(VLOOKUP(CONCATENATE($A97,"_",AZ$3),'Unit List'!$A$23:$H$3256,2,FALSE)),"X",$AX97)</f>
        <v/>
      </c>
      <c r="BA97" s="182" t="str">
        <f>IF(ISTEXT(VLOOKUP(CONCATENATE($A97,"_",BA$3),'Unit List'!$A$23:$H$3256,2,FALSE)),"+","")</f>
        <v/>
      </c>
      <c r="BB97" s="120" t="str">
        <f>IF(ISTEXT(VLOOKUP(CONCATENATE($A97,"_",BB$3),'Unit List'!$A$23:$H$3256,2,FALSE)),"X",$BA97)</f>
        <v/>
      </c>
      <c r="BC97" s="120" t="str">
        <f>IF(ISTEXT(VLOOKUP(CONCATENATE($A97,"_",BC$3),'Unit List'!$A$23:$H$3256,2,FALSE)),"X",$BA97)</f>
        <v/>
      </c>
      <c r="BD97" s="122" t="str">
        <f>IF(ISTEXT(VLOOKUP(CONCATENATE($A97,"_",BD$3),'Unit List'!$A$23:$H$3256,2,FALSE)),"X",$BA97)</f>
        <v/>
      </c>
      <c r="BE97" s="125" t="str">
        <f>IF(ISTEXT(VLOOKUP(CONCATENATE($A97,"_",BE$3),'Unit List'!$A$23:$H$3256,2,FALSE)),"+","")</f>
        <v/>
      </c>
      <c r="BF97" s="75" t="str">
        <f>IF(ISTEXT(VLOOKUP(CONCATENATE($A97,"_",BF$3),'Unit List'!$A$23:$H$3256,2,FALSE)),"X",$BE97)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List'!$A$23:$H$3256,2,FALSE)),"+","")</f>
        <v/>
      </c>
      <c r="C98" s="119" t="str">
        <f>IF(ISTEXT(VLOOKUP(CONCATENATE($A98,"_",C$3),'Unit List'!$A$23:$H$3256,2,FALSE)),"X",$B98)</f>
        <v/>
      </c>
      <c r="D98" s="120" t="str">
        <f>IF(ISTEXT(VLOOKUP(CONCATENATE($A98,"_",D$3),'Unit List'!$A$23:$H$3256,2,FALSE)),"X",$B98)</f>
        <v/>
      </c>
      <c r="E98" s="120" t="str">
        <f>IF(ISTEXT(VLOOKUP(CONCATENATE($A98,"_",E$3),'Unit List'!$A$23:$H$3256,2,FALSE)),"X",$B98)</f>
        <v/>
      </c>
      <c r="F98" s="120" t="str">
        <f>IF(ISTEXT(VLOOKUP(CONCATENATE($A98,"_",F$3),'Unit List'!$A$23:$H$3256,2,FALSE)),"X",$B98)</f>
        <v/>
      </c>
      <c r="G98" s="120" t="str">
        <f>IF(ISTEXT(VLOOKUP(CONCATENATE($A98,"_",G$3),'Unit List'!$A$23:$H$3256,2,FALSE)),"X",$B98)</f>
        <v/>
      </c>
      <c r="H98" s="120" t="str">
        <f>IF(ISTEXT(VLOOKUP(CONCATENATE($A98,"_",H$3),'Unit List'!$A$23:$H$3256,2,FALSE)),"X",$B98)</f>
        <v/>
      </c>
      <c r="I98" s="122" t="str">
        <f>IF(ISTEXT(VLOOKUP(CONCATENATE($A98,"_",I$3),'Unit List'!$A$23:$H$3256,2,FALSE)),"X",$B98)</f>
        <v/>
      </c>
      <c r="J98" s="172" t="str">
        <f>IF(ISTEXT(VLOOKUP(CONCATENATE($A98,"_",J$3),'Unit List'!$A$23:$H$3256,2,FALSE)),"+","")</f>
        <v/>
      </c>
      <c r="K98" s="120" t="str">
        <f>IF(ISTEXT(VLOOKUP(CONCATENATE($A98,"_",K$3),'Unit List'!$A$23:$H$3256,2,FALSE)),"X",$J98)</f>
        <v/>
      </c>
      <c r="L98" s="75" t="str">
        <f>IF(ISTEXT(VLOOKUP(CONCATENATE($A98,"_",L$3),'Unit List'!$A$23:$H$3256,2,FALSE)),"X",$J98)</f>
        <v/>
      </c>
      <c r="M98" s="172" t="str">
        <f>IF(ISTEXT(VLOOKUP(CONCATENATE($A98,"_",M$3),'Unit List'!$A$23:$H$3256,2,FALSE)),"+","")</f>
        <v/>
      </c>
      <c r="N98" s="120" t="str">
        <f>IF(ISTEXT(VLOOKUP(CONCATENATE($A98,"_",N$3),'Unit List'!$A$23:$H$3256,2,FALSE)),"X",$M98)</f>
        <v/>
      </c>
      <c r="O98" s="122" t="str">
        <f>IF(ISTEXT(VLOOKUP(CONCATENATE($A98,"_",O$3),'Unit List'!$A$23:$H$3256,2,FALSE)),"X",$M98)</f>
        <v/>
      </c>
      <c r="P98" s="172" t="str">
        <f>IF(ISTEXT(VLOOKUP(CONCATENATE($A98,"_",P$3),'Unit List'!$A$23:$H$3256,2,FALSE)),"+","")</f>
        <v/>
      </c>
      <c r="Q98" s="120" t="str">
        <f>IF(ISTEXT(VLOOKUP(CONCATENATE($A98,"_",Q$3),'Unit List'!$A$23:$H$3256,2,FALSE)),"X",$P98)</f>
        <v/>
      </c>
      <c r="R98" s="120" t="str">
        <f>IF(ISTEXT(VLOOKUP(CONCATENATE($A98,"_",R$3),'Unit List'!$A$23:$H$3256,2,FALSE)),"X",$P98)</f>
        <v/>
      </c>
      <c r="S98" s="120" t="str">
        <f>IF(ISTEXT(VLOOKUP(CONCATENATE($A98,"_",S$3),'Unit List'!$A$23:$H$3256,2,FALSE)),"X",$P98)</f>
        <v/>
      </c>
      <c r="T98" s="121" t="str">
        <f>IF(ISTEXT(VLOOKUP(CONCATENATE($A98,"_",T$3),'Unit List'!$A$23:$H$3256,2,FALSE)),"X",$P98)</f>
        <v/>
      </c>
      <c r="U98" s="120" t="str">
        <f>IF(ISTEXT(VLOOKUP(CONCATENATE($A98,"_",U$3),'Unit List'!$A$23:$H$3256,2,FALSE)),"X",$P98)</f>
        <v/>
      </c>
      <c r="V98" s="120" t="str">
        <f>IF(ISTEXT(VLOOKUP(CONCATENATE($A98,"_",V$3),'Unit List'!$A$23:$H$3256,2,FALSE)),"X",$P98)</f>
        <v/>
      </c>
      <c r="W98" s="122" t="str">
        <f>IF(ISTEXT(VLOOKUP(CONCATENATE($A98,"_",W$3),'Unit List'!$A$23:$H$3256,2,FALSE)),"X",$P98)</f>
        <v/>
      </c>
      <c r="X98" s="172" t="str">
        <f>IF(ISTEXT(VLOOKUP(CONCATENATE($A98,"_",X$3),'Unit List'!$A$23:$H$3256,2,FALSE)),"+","")</f>
        <v/>
      </c>
      <c r="Y98" s="120" t="str">
        <f>IF(ISTEXT(VLOOKUP(CONCATENATE($A98,"_",Y$3),'Unit List'!$A$23:$H$3256,2,FALSE)),"X",$X98)</f>
        <v/>
      </c>
      <c r="Z98" s="120" t="str">
        <f>IF(ISTEXT(VLOOKUP(CONCATENATE($A98,"_",Z$3),'Unit List'!$A$23:$H$3256,2,FALSE)),"X",$X98)</f>
        <v/>
      </c>
      <c r="AA98" s="120" t="str">
        <f>IF(ISTEXT(VLOOKUP(CONCATENATE($A98,"_",AA$3),'Unit List'!$A$23:$H$3256,2,FALSE)),"X",$X98)</f>
        <v/>
      </c>
      <c r="AB98" s="120" t="str">
        <f>IF(ISTEXT(VLOOKUP(CONCATENATE($A98,"_",AB$3),'Unit List'!$A$23:$H$3256,2,FALSE)),"X",$X98)</f>
        <v/>
      </c>
      <c r="AC98" s="75" t="str">
        <f>IF(ISTEXT(VLOOKUP(CONCATENATE($A98,"_",AC$3),'Unit List'!$A$23:$H$3256,2,FALSE)),"X",$X98)</f>
        <v/>
      </c>
      <c r="AD98" s="172" t="str">
        <f>IF(ISTEXT(VLOOKUP(CONCATENATE($A98,"_",AD$3),'Unit List'!$A$23:$H$3256,2,FALSE)),"+","")</f>
        <v/>
      </c>
      <c r="AE98" s="120" t="str">
        <f>IF(ISTEXT(VLOOKUP(CONCATENATE($A98,"_",AE$3),'Unit List'!$A$23:$H$3256,2,FALSE)),"X",$AD98)</f>
        <v/>
      </c>
      <c r="AF98" s="120" t="str">
        <f>IF(ISTEXT(VLOOKUP(CONCATENATE($A98,"_",AF$3),'Unit List'!$A$23:$H$3256,2,FALSE)),"X",$AD98)</f>
        <v/>
      </c>
      <c r="AG98" s="172" t="str">
        <f>IF(ISTEXT(VLOOKUP(CONCATENATE($A98,"_",AG$3),'Unit List'!$A$23:$H$3256,2,FALSE)),"+","")</f>
        <v/>
      </c>
      <c r="AH98" s="120" t="str">
        <f>IF(ISTEXT(VLOOKUP(CONCATENATE($A98,"_",AH$3),'Unit List'!$A$23:$H$3256,2,FALSE)),"X",$AG98)</f>
        <v/>
      </c>
      <c r="AI98" s="120" t="str">
        <f>IF(ISTEXT(VLOOKUP(CONCATENATE($A98,"_",AI$3),'Unit List'!$A$23:$H$3256,2,FALSE)),"X",$AG98)</f>
        <v/>
      </c>
      <c r="AJ98" s="122" t="str">
        <f>IF(ISTEXT(VLOOKUP(CONCATENATE($A98,"_",AJ$3),'Unit List'!$A$23:$H$3256,2,FALSE)),"X",$AG98)</f>
        <v/>
      </c>
      <c r="AK98" s="172" t="str">
        <f>IF(ISTEXT(VLOOKUP(CONCATENATE($A98,"_",AK$3),'Unit List'!$A$23:$H$3256,2,FALSE)),"+","")</f>
        <v/>
      </c>
      <c r="AL98" s="121" t="str">
        <f>IF(ISTEXT(VLOOKUP(CONCATENATE($A98,"_",AL$3),'Unit List'!$A$23:$H$3256,2,FALSE)),"X",$AK98)</f>
        <v/>
      </c>
      <c r="AM98" s="122" t="str">
        <f>IF(ISTEXT(VLOOKUP(CONCATENATE($A98,"_",AM$3),'Unit List'!$A$23:$H$3256,2,FALSE)),"X",$AK98)</f>
        <v/>
      </c>
      <c r="AN98" s="125" t="str">
        <f>IF(ISTEXT(VLOOKUP(CONCATENATE($A98,"_",AN$3),'Unit List'!$A$23:$H$3256,2,FALSE)),"+","")</f>
        <v/>
      </c>
      <c r="AO98" s="122" t="str">
        <f>IF(ISTEXT(VLOOKUP(CONCATENATE($A98,"_",AO$3),'Unit List'!$A$23:$H$3256,2,FALSE)),"X",$AN98)</f>
        <v/>
      </c>
      <c r="AP98" s="172" t="str">
        <f>IF(ISTEXT(VLOOKUP(CONCATENATE($A98,"_",AP$3),'Unit List'!$A$23:$H$3256,2,FALSE)),"+","")</f>
        <v/>
      </c>
      <c r="AQ98" s="120" t="str">
        <f>IF(ISTEXT(VLOOKUP(CONCATENATE($A98,"_",AQ$3),'Unit List'!$A$23:$H$3256,2,FALSE)),"X",$AP98)</f>
        <v/>
      </c>
      <c r="AR98" s="120" t="str">
        <f>IF(ISTEXT(VLOOKUP(CONCATENATE($A98,"_",AR$3),'Unit List'!$A$23:$H$3256,2,FALSE)),"X",$AP98)</f>
        <v/>
      </c>
      <c r="AS98" s="120" t="str">
        <f>IF(ISTEXT(VLOOKUP(CONCATENATE($A98,"_",AS$3),'Unit List'!$A$23:$H$3256,2,FALSE)),"X",$AP98)</f>
        <v/>
      </c>
      <c r="AT98" s="122" t="str">
        <f>IF(ISTEXT(VLOOKUP(CONCATENATE($A98,"_",AT$3),'Unit List'!$A$23:$H$3256,2,FALSE)),"X",$AP98)</f>
        <v/>
      </c>
      <c r="AU98" s="124" t="str">
        <f>IF(ISTEXT(VLOOKUP(CONCATENATE($A98,"_",AU$3),'Unit List'!$A$23:$H$3256,2,FALSE)),"+","")</f>
        <v/>
      </c>
      <c r="AV98" s="120" t="str">
        <f>IF(ISTEXT(VLOOKUP(CONCATENATE($A98,"_",AV$3),'Unit List'!$A$23:$H$3256,2,FALSE)),"X",$AU98)</f>
        <v/>
      </c>
      <c r="AW98" s="122" t="str">
        <f>IF(ISTEXT(VLOOKUP(CONCATENATE($A98,"_",AW$3),'Unit List'!$A$23:$H$3256,2,FALSE)),"X",$AU98)</f>
        <v/>
      </c>
      <c r="AX98" s="172" t="str">
        <f>IF(ISTEXT(VLOOKUP(CONCATENATE($A98,"_",AX$3),'Unit List'!$A$23:$H$3256,2,FALSE)),"+","")</f>
        <v/>
      </c>
      <c r="AY98" s="120" t="str">
        <f>IF(ISTEXT(VLOOKUP(CONCATENATE($A98,"_",AY$3),'Unit List'!$A$23:$H$3256,2,FALSE)),"X",$AX98)</f>
        <v/>
      </c>
      <c r="AZ98" s="122" t="str">
        <f>IF(ISTEXT(VLOOKUP(CONCATENATE($A98,"_",AZ$3),'Unit List'!$A$23:$H$3256,2,FALSE)),"X",$AX98)</f>
        <v/>
      </c>
      <c r="BA98" s="182" t="str">
        <f>IF(ISTEXT(VLOOKUP(CONCATENATE($A98,"_",BA$3),'Unit List'!$A$23:$H$3256,2,FALSE)),"+","")</f>
        <v/>
      </c>
      <c r="BB98" s="120" t="str">
        <f>IF(ISTEXT(VLOOKUP(CONCATENATE($A98,"_",BB$3),'Unit List'!$A$23:$H$3256,2,FALSE)),"X",$BA98)</f>
        <v/>
      </c>
      <c r="BC98" s="120" t="str">
        <f>IF(ISTEXT(VLOOKUP(CONCATENATE($A98,"_",BC$3),'Unit List'!$A$23:$H$3256,2,FALSE)),"X",$BA98)</f>
        <v/>
      </c>
      <c r="BD98" s="122" t="str">
        <f>IF(ISTEXT(VLOOKUP(CONCATENATE($A98,"_",BD$3),'Unit List'!$A$23:$H$3256,2,FALSE)),"X",$BA98)</f>
        <v/>
      </c>
      <c r="BE98" s="125" t="str">
        <f>IF(ISTEXT(VLOOKUP(CONCATENATE($A98,"_",BE$3),'Unit List'!$A$23:$H$3256,2,FALSE)),"+","")</f>
        <v/>
      </c>
      <c r="BF98" s="75" t="str">
        <f>IF(ISTEXT(VLOOKUP(CONCATENATE($A98,"_",BF$3),'Unit List'!$A$23:$H$3256,2,FALSE)),"X",$BE98)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List'!$A$23:$H$3256,2,FALSE)),"+","")</f>
        <v/>
      </c>
      <c r="C99" s="119" t="str">
        <f>IF(ISTEXT(VLOOKUP(CONCATENATE($A99,"_",C$3),'Unit List'!$A$23:$H$3256,2,FALSE)),"X",$B99)</f>
        <v/>
      </c>
      <c r="D99" s="120" t="str">
        <f>IF(ISTEXT(VLOOKUP(CONCATENATE($A99,"_",D$3),'Unit List'!$A$23:$H$3256,2,FALSE)),"X",$B99)</f>
        <v/>
      </c>
      <c r="E99" s="120" t="str">
        <f>IF(ISTEXT(VLOOKUP(CONCATENATE($A99,"_",E$3),'Unit List'!$A$23:$H$3256,2,FALSE)),"X",$B99)</f>
        <v/>
      </c>
      <c r="F99" s="120" t="str">
        <f>IF(ISTEXT(VLOOKUP(CONCATENATE($A99,"_",F$3),'Unit List'!$A$23:$H$3256,2,FALSE)),"X",$B99)</f>
        <v/>
      </c>
      <c r="G99" s="120" t="str">
        <f>IF(ISTEXT(VLOOKUP(CONCATENATE($A99,"_",G$3),'Unit List'!$A$23:$H$3256,2,FALSE)),"X",$B99)</f>
        <v/>
      </c>
      <c r="H99" s="120" t="str">
        <f>IF(ISTEXT(VLOOKUP(CONCATENATE($A99,"_",H$3),'Unit List'!$A$23:$H$3256,2,FALSE)),"X",$B99)</f>
        <v/>
      </c>
      <c r="I99" s="122" t="str">
        <f>IF(ISTEXT(VLOOKUP(CONCATENATE($A99,"_",I$3),'Unit List'!$A$23:$H$3256,2,FALSE)),"X",$B99)</f>
        <v/>
      </c>
      <c r="J99" s="172" t="str">
        <f>IF(ISTEXT(VLOOKUP(CONCATENATE($A99,"_",J$3),'Unit List'!$A$23:$H$3256,2,FALSE)),"+","")</f>
        <v/>
      </c>
      <c r="K99" s="120" t="str">
        <f>IF(ISTEXT(VLOOKUP(CONCATENATE($A99,"_",K$3),'Unit List'!$A$23:$H$3256,2,FALSE)),"X",$J99)</f>
        <v/>
      </c>
      <c r="L99" s="75" t="str">
        <f>IF(ISTEXT(VLOOKUP(CONCATENATE($A99,"_",L$3),'Unit List'!$A$23:$H$3256,2,FALSE)),"X",$J99)</f>
        <v/>
      </c>
      <c r="M99" s="172" t="str">
        <f>IF(ISTEXT(VLOOKUP(CONCATENATE($A99,"_",M$3),'Unit List'!$A$23:$H$3256,2,FALSE)),"+","")</f>
        <v/>
      </c>
      <c r="N99" s="120" t="str">
        <f>IF(ISTEXT(VLOOKUP(CONCATENATE($A99,"_",N$3),'Unit List'!$A$23:$H$3256,2,FALSE)),"X",$M99)</f>
        <v/>
      </c>
      <c r="O99" s="122" t="str">
        <f>IF(ISTEXT(VLOOKUP(CONCATENATE($A99,"_",O$3),'Unit List'!$A$23:$H$3256,2,FALSE)),"X",$M99)</f>
        <v/>
      </c>
      <c r="P99" s="172" t="str">
        <f>IF(ISTEXT(VLOOKUP(CONCATENATE($A99,"_",P$3),'Unit List'!$A$23:$H$3256,2,FALSE)),"+","")</f>
        <v/>
      </c>
      <c r="Q99" s="120" t="str">
        <f>IF(ISTEXT(VLOOKUP(CONCATENATE($A99,"_",Q$3),'Unit List'!$A$23:$H$3256,2,FALSE)),"X",$P99)</f>
        <v/>
      </c>
      <c r="R99" s="120" t="str">
        <f>IF(ISTEXT(VLOOKUP(CONCATENATE($A99,"_",R$3),'Unit List'!$A$23:$H$3256,2,FALSE)),"X",$P99)</f>
        <v/>
      </c>
      <c r="S99" s="120" t="str">
        <f>IF(ISTEXT(VLOOKUP(CONCATENATE($A99,"_",S$3),'Unit List'!$A$23:$H$3256,2,FALSE)),"X",$P99)</f>
        <v/>
      </c>
      <c r="T99" s="121" t="str">
        <f>IF(ISTEXT(VLOOKUP(CONCATENATE($A99,"_",T$3),'Unit List'!$A$23:$H$3256,2,FALSE)),"X",$P99)</f>
        <v/>
      </c>
      <c r="U99" s="120" t="str">
        <f>IF(ISTEXT(VLOOKUP(CONCATENATE($A99,"_",U$3),'Unit List'!$A$23:$H$3256,2,FALSE)),"X",$P99)</f>
        <v/>
      </c>
      <c r="V99" s="120" t="str">
        <f>IF(ISTEXT(VLOOKUP(CONCATENATE($A99,"_",V$3),'Unit List'!$A$23:$H$3256,2,FALSE)),"X",$P99)</f>
        <v/>
      </c>
      <c r="W99" s="122" t="str">
        <f>IF(ISTEXT(VLOOKUP(CONCATENATE($A99,"_",W$3),'Unit List'!$A$23:$H$3256,2,FALSE)),"X",$P99)</f>
        <v/>
      </c>
      <c r="X99" s="172" t="str">
        <f>IF(ISTEXT(VLOOKUP(CONCATENATE($A99,"_",X$3),'Unit List'!$A$23:$H$3256,2,FALSE)),"+","")</f>
        <v/>
      </c>
      <c r="Y99" s="120" t="str">
        <f>IF(ISTEXT(VLOOKUP(CONCATENATE($A99,"_",Y$3),'Unit List'!$A$23:$H$3256,2,FALSE)),"X",$X99)</f>
        <v/>
      </c>
      <c r="Z99" s="120" t="str">
        <f>IF(ISTEXT(VLOOKUP(CONCATENATE($A99,"_",Z$3),'Unit List'!$A$23:$H$3256,2,FALSE)),"X",$X99)</f>
        <v/>
      </c>
      <c r="AA99" s="120" t="str">
        <f>IF(ISTEXT(VLOOKUP(CONCATENATE($A99,"_",AA$3),'Unit List'!$A$23:$H$3256,2,FALSE)),"X",$X99)</f>
        <v/>
      </c>
      <c r="AB99" s="120" t="str">
        <f>IF(ISTEXT(VLOOKUP(CONCATENATE($A99,"_",AB$3),'Unit List'!$A$23:$H$3256,2,FALSE)),"X",$X99)</f>
        <v/>
      </c>
      <c r="AC99" s="75" t="str">
        <f>IF(ISTEXT(VLOOKUP(CONCATENATE($A99,"_",AC$3),'Unit List'!$A$23:$H$3256,2,FALSE)),"X",$X99)</f>
        <v/>
      </c>
      <c r="AD99" s="172" t="str">
        <f>IF(ISTEXT(VLOOKUP(CONCATENATE($A99,"_",AD$3),'Unit List'!$A$23:$H$3256,2,FALSE)),"+","")</f>
        <v/>
      </c>
      <c r="AE99" s="120" t="str">
        <f>IF(ISTEXT(VLOOKUP(CONCATENATE($A99,"_",AE$3),'Unit List'!$A$23:$H$3256,2,FALSE)),"X",$AD99)</f>
        <v/>
      </c>
      <c r="AF99" s="120" t="str">
        <f>IF(ISTEXT(VLOOKUP(CONCATENATE($A99,"_",AF$3),'Unit List'!$A$23:$H$3256,2,FALSE)),"X",$AD99)</f>
        <v/>
      </c>
      <c r="AG99" s="172" t="str">
        <f>IF(ISTEXT(VLOOKUP(CONCATENATE($A99,"_",AG$3),'Unit List'!$A$23:$H$3256,2,FALSE)),"+","")</f>
        <v/>
      </c>
      <c r="AH99" s="120" t="str">
        <f>IF(ISTEXT(VLOOKUP(CONCATENATE($A99,"_",AH$3),'Unit List'!$A$23:$H$3256,2,FALSE)),"X",$AG99)</f>
        <v/>
      </c>
      <c r="AI99" s="120" t="str">
        <f>IF(ISTEXT(VLOOKUP(CONCATENATE($A99,"_",AI$3),'Unit List'!$A$23:$H$3256,2,FALSE)),"X",$AG99)</f>
        <v/>
      </c>
      <c r="AJ99" s="122" t="str">
        <f>IF(ISTEXT(VLOOKUP(CONCATENATE($A99,"_",AJ$3),'Unit List'!$A$23:$H$3256,2,FALSE)),"X",$AG99)</f>
        <v/>
      </c>
      <c r="AK99" s="172" t="str">
        <f>IF(ISTEXT(VLOOKUP(CONCATENATE($A99,"_",AK$3),'Unit List'!$A$23:$H$3256,2,FALSE)),"+","")</f>
        <v/>
      </c>
      <c r="AL99" s="121" t="str">
        <f>IF(ISTEXT(VLOOKUP(CONCATENATE($A99,"_",AL$3),'Unit List'!$A$23:$H$3256,2,FALSE)),"X",$AK99)</f>
        <v/>
      </c>
      <c r="AM99" s="122" t="str">
        <f>IF(ISTEXT(VLOOKUP(CONCATENATE($A99,"_",AM$3),'Unit List'!$A$23:$H$3256,2,FALSE)),"X",$AK99)</f>
        <v/>
      </c>
      <c r="AN99" s="125" t="str">
        <f>IF(ISTEXT(VLOOKUP(CONCATENATE($A99,"_",AN$3),'Unit List'!$A$23:$H$3256,2,FALSE)),"+","")</f>
        <v/>
      </c>
      <c r="AO99" s="122" t="str">
        <f>IF(ISTEXT(VLOOKUP(CONCATENATE($A99,"_",AO$3),'Unit List'!$A$23:$H$3256,2,FALSE)),"X",$AN99)</f>
        <v/>
      </c>
      <c r="AP99" s="172" t="str">
        <f>IF(ISTEXT(VLOOKUP(CONCATENATE($A99,"_",AP$3),'Unit List'!$A$23:$H$3256,2,FALSE)),"+","")</f>
        <v/>
      </c>
      <c r="AQ99" s="120" t="str">
        <f>IF(ISTEXT(VLOOKUP(CONCATENATE($A99,"_",AQ$3),'Unit List'!$A$23:$H$3256,2,FALSE)),"X",$AP99)</f>
        <v/>
      </c>
      <c r="AR99" s="120" t="str">
        <f>IF(ISTEXT(VLOOKUP(CONCATENATE($A99,"_",AR$3),'Unit List'!$A$23:$H$3256,2,FALSE)),"X",$AP99)</f>
        <v/>
      </c>
      <c r="AS99" s="120" t="str">
        <f>IF(ISTEXT(VLOOKUP(CONCATENATE($A99,"_",AS$3),'Unit List'!$A$23:$H$3256,2,FALSE)),"X",$AP99)</f>
        <v/>
      </c>
      <c r="AT99" s="122" t="str">
        <f>IF(ISTEXT(VLOOKUP(CONCATENATE($A99,"_",AT$3),'Unit List'!$A$23:$H$3256,2,FALSE)),"X",$AP99)</f>
        <v/>
      </c>
      <c r="AU99" s="124" t="str">
        <f>IF(ISTEXT(VLOOKUP(CONCATENATE($A99,"_",AU$3),'Unit List'!$A$23:$H$3256,2,FALSE)),"+","")</f>
        <v/>
      </c>
      <c r="AV99" s="120" t="str">
        <f>IF(ISTEXT(VLOOKUP(CONCATENATE($A99,"_",AV$3),'Unit List'!$A$23:$H$3256,2,FALSE)),"X",$AU99)</f>
        <v/>
      </c>
      <c r="AW99" s="122" t="str">
        <f>IF(ISTEXT(VLOOKUP(CONCATENATE($A99,"_",AW$3),'Unit List'!$A$23:$H$3256,2,FALSE)),"X",$AU99)</f>
        <v/>
      </c>
      <c r="AX99" s="172" t="str">
        <f>IF(ISTEXT(VLOOKUP(CONCATENATE($A99,"_",AX$3),'Unit List'!$A$23:$H$3256,2,FALSE)),"+","")</f>
        <v/>
      </c>
      <c r="AY99" s="120" t="str">
        <f>IF(ISTEXT(VLOOKUP(CONCATENATE($A99,"_",AY$3),'Unit List'!$A$23:$H$3256,2,FALSE)),"X",$AX99)</f>
        <v/>
      </c>
      <c r="AZ99" s="122" t="str">
        <f>IF(ISTEXT(VLOOKUP(CONCATENATE($A99,"_",AZ$3),'Unit List'!$A$23:$H$3256,2,FALSE)),"X",$AX99)</f>
        <v/>
      </c>
      <c r="BA99" s="182" t="str">
        <f>IF(ISTEXT(VLOOKUP(CONCATENATE($A99,"_",BA$3),'Unit List'!$A$23:$H$3256,2,FALSE)),"+","")</f>
        <v/>
      </c>
      <c r="BB99" s="120" t="str">
        <f>IF(ISTEXT(VLOOKUP(CONCATENATE($A99,"_",BB$3),'Unit List'!$A$23:$H$3256,2,FALSE)),"X",$BA99)</f>
        <v/>
      </c>
      <c r="BC99" s="120" t="str">
        <f>IF(ISTEXT(VLOOKUP(CONCATENATE($A99,"_",BC$3),'Unit List'!$A$23:$H$3256,2,FALSE)),"X",$BA99)</f>
        <v/>
      </c>
      <c r="BD99" s="122" t="str">
        <f>IF(ISTEXT(VLOOKUP(CONCATENATE($A99,"_",BD$3),'Unit List'!$A$23:$H$3256,2,FALSE)),"X",$BA99)</f>
        <v/>
      </c>
      <c r="BE99" s="125" t="str">
        <f>IF(ISTEXT(VLOOKUP(CONCATENATE($A99,"_",BE$3),'Unit List'!$A$23:$H$3256,2,FALSE)),"+","")</f>
        <v/>
      </c>
      <c r="BF99" s="75" t="str">
        <f>IF(ISTEXT(VLOOKUP(CONCATENATE($A99,"_",BF$3),'Unit List'!$A$23:$H$3256,2,FALSE)),"X",$BE99)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List'!$A$23:$H$3256,2,FALSE)),"+","")</f>
        <v/>
      </c>
      <c r="C100" s="119" t="str">
        <f>IF(ISTEXT(VLOOKUP(CONCATENATE($A100,"_",C$3),'Unit List'!$A$23:$H$3256,2,FALSE)),"X",$B100)</f>
        <v/>
      </c>
      <c r="D100" s="120" t="str">
        <f>IF(ISTEXT(VLOOKUP(CONCATENATE($A100,"_",D$3),'Unit List'!$A$23:$H$3256,2,FALSE)),"X",$B100)</f>
        <v/>
      </c>
      <c r="E100" s="120" t="str">
        <f>IF(ISTEXT(VLOOKUP(CONCATENATE($A100,"_",E$3),'Unit List'!$A$23:$H$3256,2,FALSE)),"X",$B100)</f>
        <v/>
      </c>
      <c r="F100" s="120" t="str">
        <f>IF(ISTEXT(VLOOKUP(CONCATENATE($A100,"_",F$3),'Unit List'!$A$23:$H$3256,2,FALSE)),"X",$B100)</f>
        <v/>
      </c>
      <c r="G100" s="120" t="str">
        <f>IF(ISTEXT(VLOOKUP(CONCATENATE($A100,"_",G$3),'Unit List'!$A$23:$H$3256,2,FALSE)),"X",$B100)</f>
        <v/>
      </c>
      <c r="H100" s="120" t="str">
        <f>IF(ISTEXT(VLOOKUP(CONCATENATE($A100,"_",H$3),'Unit List'!$A$23:$H$3256,2,FALSE)),"X",$B100)</f>
        <v/>
      </c>
      <c r="I100" s="122" t="str">
        <f>IF(ISTEXT(VLOOKUP(CONCATENATE($A100,"_",I$3),'Unit List'!$A$23:$H$3256,2,FALSE)),"X",$B100)</f>
        <v/>
      </c>
      <c r="J100" s="172" t="str">
        <f>IF(ISTEXT(VLOOKUP(CONCATENATE($A100,"_",J$3),'Unit List'!$A$23:$H$3256,2,FALSE)),"+","")</f>
        <v/>
      </c>
      <c r="K100" s="120" t="str">
        <f>IF(ISTEXT(VLOOKUP(CONCATENATE($A100,"_",K$3),'Unit List'!$A$23:$H$3256,2,FALSE)),"X",$J100)</f>
        <v/>
      </c>
      <c r="L100" s="75" t="str">
        <f>IF(ISTEXT(VLOOKUP(CONCATENATE($A100,"_",L$3),'Unit List'!$A$23:$H$3256,2,FALSE)),"X",$J100)</f>
        <v/>
      </c>
      <c r="M100" s="172" t="str">
        <f>IF(ISTEXT(VLOOKUP(CONCATENATE($A100,"_",M$3),'Unit List'!$A$23:$H$3256,2,FALSE)),"+","")</f>
        <v/>
      </c>
      <c r="N100" s="120" t="str">
        <f>IF(ISTEXT(VLOOKUP(CONCATENATE($A100,"_",N$3),'Unit List'!$A$23:$H$3256,2,FALSE)),"X",$M100)</f>
        <v/>
      </c>
      <c r="O100" s="122" t="str">
        <f>IF(ISTEXT(VLOOKUP(CONCATENATE($A100,"_",O$3),'Unit List'!$A$23:$H$3256,2,FALSE)),"X",$M100)</f>
        <v/>
      </c>
      <c r="P100" s="172" t="str">
        <f>IF(ISTEXT(VLOOKUP(CONCATENATE($A100,"_",P$3),'Unit List'!$A$23:$H$3256,2,FALSE)),"+","")</f>
        <v/>
      </c>
      <c r="Q100" s="120" t="str">
        <f>IF(ISTEXT(VLOOKUP(CONCATENATE($A100,"_",Q$3),'Unit List'!$A$23:$H$3256,2,FALSE)),"X",$P100)</f>
        <v/>
      </c>
      <c r="R100" s="120" t="str">
        <f>IF(ISTEXT(VLOOKUP(CONCATENATE($A100,"_",R$3),'Unit List'!$A$23:$H$3256,2,FALSE)),"X",$P100)</f>
        <v/>
      </c>
      <c r="S100" s="120" t="str">
        <f>IF(ISTEXT(VLOOKUP(CONCATENATE($A100,"_",S$3),'Unit List'!$A$23:$H$3256,2,FALSE)),"X",$P100)</f>
        <v/>
      </c>
      <c r="T100" s="121" t="str">
        <f>IF(ISTEXT(VLOOKUP(CONCATENATE($A100,"_",T$3),'Unit List'!$A$23:$H$3256,2,FALSE)),"X",$P100)</f>
        <v/>
      </c>
      <c r="U100" s="120" t="str">
        <f>IF(ISTEXT(VLOOKUP(CONCATENATE($A100,"_",U$3),'Unit List'!$A$23:$H$3256,2,FALSE)),"X",$P100)</f>
        <v/>
      </c>
      <c r="V100" s="120" t="str">
        <f>IF(ISTEXT(VLOOKUP(CONCATENATE($A100,"_",V$3),'Unit List'!$A$23:$H$3256,2,FALSE)),"X",$P100)</f>
        <v/>
      </c>
      <c r="W100" s="122" t="str">
        <f>IF(ISTEXT(VLOOKUP(CONCATENATE($A100,"_",W$3),'Unit List'!$A$23:$H$3256,2,FALSE)),"X",$P100)</f>
        <v/>
      </c>
      <c r="X100" s="172" t="str">
        <f>IF(ISTEXT(VLOOKUP(CONCATENATE($A100,"_",X$3),'Unit List'!$A$23:$H$3256,2,FALSE)),"+","")</f>
        <v/>
      </c>
      <c r="Y100" s="120" t="str">
        <f>IF(ISTEXT(VLOOKUP(CONCATENATE($A100,"_",Y$3),'Unit List'!$A$23:$H$3256,2,FALSE)),"X",$X100)</f>
        <v/>
      </c>
      <c r="Z100" s="120" t="str">
        <f>IF(ISTEXT(VLOOKUP(CONCATENATE($A100,"_",Z$3),'Unit List'!$A$23:$H$3256,2,FALSE)),"X",$X100)</f>
        <v/>
      </c>
      <c r="AA100" s="120" t="str">
        <f>IF(ISTEXT(VLOOKUP(CONCATENATE($A100,"_",AA$3),'Unit List'!$A$23:$H$3256,2,FALSE)),"X",$X100)</f>
        <v/>
      </c>
      <c r="AB100" s="120" t="str">
        <f>IF(ISTEXT(VLOOKUP(CONCATENATE($A100,"_",AB$3),'Unit List'!$A$23:$H$3256,2,FALSE)),"X",$X100)</f>
        <v/>
      </c>
      <c r="AC100" s="75" t="str">
        <f>IF(ISTEXT(VLOOKUP(CONCATENATE($A100,"_",AC$3),'Unit List'!$A$23:$H$3256,2,FALSE)),"X",$X100)</f>
        <v/>
      </c>
      <c r="AD100" s="172" t="str">
        <f>IF(ISTEXT(VLOOKUP(CONCATENATE($A100,"_",AD$3),'Unit List'!$A$23:$H$3256,2,FALSE)),"+","")</f>
        <v/>
      </c>
      <c r="AE100" s="120" t="str">
        <f>IF(ISTEXT(VLOOKUP(CONCATENATE($A100,"_",AE$3),'Unit List'!$A$23:$H$3256,2,FALSE)),"X",$AD100)</f>
        <v/>
      </c>
      <c r="AF100" s="120" t="str">
        <f>IF(ISTEXT(VLOOKUP(CONCATENATE($A100,"_",AF$3),'Unit List'!$A$23:$H$3256,2,FALSE)),"X",$AD100)</f>
        <v/>
      </c>
      <c r="AG100" s="172" t="str">
        <f>IF(ISTEXT(VLOOKUP(CONCATENATE($A100,"_",AG$3),'Unit List'!$A$23:$H$3256,2,FALSE)),"+","")</f>
        <v/>
      </c>
      <c r="AH100" s="120" t="str">
        <f>IF(ISTEXT(VLOOKUP(CONCATENATE($A100,"_",AH$3),'Unit List'!$A$23:$H$3256,2,FALSE)),"X",$AG100)</f>
        <v/>
      </c>
      <c r="AI100" s="120" t="str">
        <f>IF(ISTEXT(VLOOKUP(CONCATENATE($A100,"_",AI$3),'Unit List'!$A$23:$H$3256,2,FALSE)),"X",$AG100)</f>
        <v/>
      </c>
      <c r="AJ100" s="122" t="str">
        <f>IF(ISTEXT(VLOOKUP(CONCATENATE($A100,"_",AJ$3),'Unit List'!$A$23:$H$3256,2,FALSE)),"X",$AG100)</f>
        <v/>
      </c>
      <c r="AK100" s="172" t="str">
        <f>IF(ISTEXT(VLOOKUP(CONCATENATE($A100,"_",AK$3),'Unit List'!$A$23:$H$3256,2,FALSE)),"+","")</f>
        <v/>
      </c>
      <c r="AL100" s="121" t="str">
        <f>IF(ISTEXT(VLOOKUP(CONCATENATE($A100,"_",AL$3),'Unit List'!$A$23:$H$3256,2,FALSE)),"X",$AK100)</f>
        <v/>
      </c>
      <c r="AM100" s="122" t="str">
        <f>IF(ISTEXT(VLOOKUP(CONCATENATE($A100,"_",AM$3),'Unit List'!$A$23:$H$3256,2,FALSE)),"X",$AK100)</f>
        <v/>
      </c>
      <c r="AN100" s="125" t="str">
        <f>IF(ISTEXT(VLOOKUP(CONCATENATE($A100,"_",AN$3),'Unit List'!$A$23:$H$3256,2,FALSE)),"+","")</f>
        <v/>
      </c>
      <c r="AO100" s="122" t="str">
        <f>IF(ISTEXT(VLOOKUP(CONCATENATE($A100,"_",AO$3),'Unit List'!$A$23:$H$3256,2,FALSE)),"X",$AN100)</f>
        <v/>
      </c>
      <c r="AP100" s="172" t="str">
        <f>IF(ISTEXT(VLOOKUP(CONCATENATE($A100,"_",AP$3),'Unit List'!$A$23:$H$3256,2,FALSE)),"+","")</f>
        <v/>
      </c>
      <c r="AQ100" s="120" t="str">
        <f>IF(ISTEXT(VLOOKUP(CONCATENATE($A100,"_",AQ$3),'Unit List'!$A$23:$H$3256,2,FALSE)),"X",$AP100)</f>
        <v/>
      </c>
      <c r="AR100" s="120" t="str">
        <f>IF(ISTEXT(VLOOKUP(CONCATENATE($A100,"_",AR$3),'Unit List'!$A$23:$H$3256,2,FALSE)),"X",$AP100)</f>
        <v/>
      </c>
      <c r="AS100" s="120" t="str">
        <f>IF(ISTEXT(VLOOKUP(CONCATENATE($A100,"_",AS$3),'Unit List'!$A$23:$H$3256,2,FALSE)),"X",$AP100)</f>
        <v/>
      </c>
      <c r="AT100" s="122" t="str">
        <f>IF(ISTEXT(VLOOKUP(CONCATENATE($A100,"_",AT$3),'Unit List'!$A$23:$H$3256,2,FALSE)),"X",$AP100)</f>
        <v/>
      </c>
      <c r="AU100" s="124" t="str">
        <f>IF(ISTEXT(VLOOKUP(CONCATENATE($A100,"_",AU$3),'Unit List'!$A$23:$H$3256,2,FALSE)),"+","")</f>
        <v/>
      </c>
      <c r="AV100" s="120" t="str">
        <f>IF(ISTEXT(VLOOKUP(CONCATENATE($A100,"_",AV$3),'Unit List'!$A$23:$H$3256,2,FALSE)),"X",$AU100)</f>
        <v/>
      </c>
      <c r="AW100" s="122" t="str">
        <f>IF(ISTEXT(VLOOKUP(CONCATENATE($A100,"_",AW$3),'Unit List'!$A$23:$H$3256,2,FALSE)),"X",$AU100)</f>
        <v/>
      </c>
      <c r="AX100" s="172" t="str">
        <f>IF(ISTEXT(VLOOKUP(CONCATENATE($A100,"_",AX$3),'Unit List'!$A$23:$H$3256,2,FALSE)),"+","")</f>
        <v/>
      </c>
      <c r="AY100" s="120" t="str">
        <f>IF(ISTEXT(VLOOKUP(CONCATENATE($A100,"_",AY$3),'Unit List'!$A$23:$H$3256,2,FALSE)),"X",$AX100)</f>
        <v/>
      </c>
      <c r="AZ100" s="122" t="str">
        <f>IF(ISTEXT(VLOOKUP(CONCATENATE($A100,"_",AZ$3),'Unit List'!$A$23:$H$3256,2,FALSE)),"X",$AX100)</f>
        <v/>
      </c>
      <c r="BA100" s="182" t="str">
        <f>IF(ISTEXT(VLOOKUP(CONCATENATE($A100,"_",BA$3),'Unit List'!$A$23:$H$3256,2,FALSE)),"+","")</f>
        <v/>
      </c>
      <c r="BB100" s="120" t="str">
        <f>IF(ISTEXT(VLOOKUP(CONCATENATE($A100,"_",BB$3),'Unit List'!$A$23:$H$3256,2,FALSE)),"X",$BA100)</f>
        <v/>
      </c>
      <c r="BC100" s="120" t="str">
        <f>IF(ISTEXT(VLOOKUP(CONCATENATE($A100,"_",BC$3),'Unit List'!$A$23:$H$3256,2,FALSE)),"X",$BA100)</f>
        <v/>
      </c>
      <c r="BD100" s="122" t="str">
        <f>IF(ISTEXT(VLOOKUP(CONCATENATE($A100,"_",BD$3),'Unit List'!$A$23:$H$3256,2,FALSE)),"X",$BA100)</f>
        <v/>
      </c>
      <c r="BE100" s="125" t="str">
        <f>IF(ISTEXT(VLOOKUP(CONCATENATE($A100,"_",BE$3),'Unit List'!$A$23:$H$3256,2,FALSE)),"+","")</f>
        <v/>
      </c>
      <c r="BF100" s="75" t="str">
        <f>IF(ISTEXT(VLOOKUP(CONCATENATE($A100,"_",BF$3),'Unit List'!$A$23:$H$3256,2,FALSE)),"X",$BE100)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List'!$A$23:$H$3256,2,FALSE)),"+","")</f>
        <v/>
      </c>
      <c r="C101" s="119" t="str">
        <f>IF(ISTEXT(VLOOKUP(CONCATENATE($A101,"_",C$3),'Unit List'!$A$23:$H$3256,2,FALSE)),"X",$B101)</f>
        <v/>
      </c>
      <c r="D101" s="120" t="str">
        <f>IF(ISTEXT(VLOOKUP(CONCATENATE($A101,"_",D$3),'Unit List'!$A$23:$H$3256,2,FALSE)),"X",$B101)</f>
        <v/>
      </c>
      <c r="E101" s="120" t="str">
        <f>IF(ISTEXT(VLOOKUP(CONCATENATE($A101,"_",E$3),'Unit List'!$A$23:$H$3256,2,FALSE)),"X",$B101)</f>
        <v/>
      </c>
      <c r="F101" s="120" t="str">
        <f>IF(ISTEXT(VLOOKUP(CONCATENATE($A101,"_",F$3),'Unit List'!$A$23:$H$3256,2,FALSE)),"X",$B101)</f>
        <v/>
      </c>
      <c r="G101" s="120" t="str">
        <f>IF(ISTEXT(VLOOKUP(CONCATENATE($A101,"_",G$3),'Unit List'!$A$23:$H$3256,2,FALSE)),"X",$B101)</f>
        <v/>
      </c>
      <c r="H101" s="120" t="str">
        <f>IF(ISTEXT(VLOOKUP(CONCATENATE($A101,"_",H$3),'Unit List'!$A$23:$H$3256,2,FALSE)),"X",$B101)</f>
        <v/>
      </c>
      <c r="I101" s="122" t="str">
        <f>IF(ISTEXT(VLOOKUP(CONCATENATE($A101,"_",I$3),'Unit List'!$A$23:$H$3256,2,FALSE)),"X",$B101)</f>
        <v/>
      </c>
      <c r="J101" s="172" t="str">
        <f>IF(ISTEXT(VLOOKUP(CONCATENATE($A101,"_",J$3),'Unit List'!$A$23:$H$3256,2,FALSE)),"+","")</f>
        <v/>
      </c>
      <c r="K101" s="120" t="str">
        <f>IF(ISTEXT(VLOOKUP(CONCATENATE($A101,"_",K$3),'Unit List'!$A$23:$H$3256,2,FALSE)),"X",$J101)</f>
        <v/>
      </c>
      <c r="L101" s="75" t="str">
        <f>IF(ISTEXT(VLOOKUP(CONCATENATE($A101,"_",L$3),'Unit List'!$A$23:$H$3256,2,FALSE)),"X",$J101)</f>
        <v/>
      </c>
      <c r="M101" s="172" t="str">
        <f>IF(ISTEXT(VLOOKUP(CONCATENATE($A101,"_",M$3),'Unit List'!$A$23:$H$3256,2,FALSE)),"+","")</f>
        <v/>
      </c>
      <c r="N101" s="120" t="str">
        <f>IF(ISTEXT(VLOOKUP(CONCATENATE($A101,"_",N$3),'Unit List'!$A$23:$H$3256,2,FALSE)),"X",$M101)</f>
        <v/>
      </c>
      <c r="O101" s="122" t="str">
        <f>IF(ISTEXT(VLOOKUP(CONCATENATE($A101,"_",O$3),'Unit List'!$A$23:$H$3256,2,FALSE)),"X",$M101)</f>
        <v/>
      </c>
      <c r="P101" s="172" t="str">
        <f>IF(ISTEXT(VLOOKUP(CONCATENATE($A101,"_",P$3),'Unit List'!$A$23:$H$3256,2,FALSE)),"+","")</f>
        <v/>
      </c>
      <c r="Q101" s="120" t="str">
        <f>IF(ISTEXT(VLOOKUP(CONCATENATE($A101,"_",Q$3),'Unit List'!$A$23:$H$3256,2,FALSE)),"X",$P101)</f>
        <v/>
      </c>
      <c r="R101" s="120" t="str">
        <f>IF(ISTEXT(VLOOKUP(CONCATENATE($A101,"_",R$3),'Unit List'!$A$23:$H$3256,2,FALSE)),"X",$P101)</f>
        <v/>
      </c>
      <c r="S101" s="120" t="str">
        <f>IF(ISTEXT(VLOOKUP(CONCATENATE($A101,"_",S$3),'Unit List'!$A$23:$H$3256,2,FALSE)),"X",$P101)</f>
        <v/>
      </c>
      <c r="T101" s="121" t="str">
        <f>IF(ISTEXT(VLOOKUP(CONCATENATE($A101,"_",T$3),'Unit List'!$A$23:$H$3256,2,FALSE)),"X",$P101)</f>
        <v/>
      </c>
      <c r="U101" s="120" t="str">
        <f>IF(ISTEXT(VLOOKUP(CONCATENATE($A101,"_",U$3),'Unit List'!$A$23:$H$3256,2,FALSE)),"X",$P101)</f>
        <v/>
      </c>
      <c r="V101" s="120" t="str">
        <f>IF(ISTEXT(VLOOKUP(CONCATENATE($A101,"_",V$3),'Unit List'!$A$23:$H$3256,2,FALSE)),"X",$P101)</f>
        <v/>
      </c>
      <c r="W101" s="122" t="str">
        <f>IF(ISTEXT(VLOOKUP(CONCATENATE($A101,"_",W$3),'Unit List'!$A$23:$H$3256,2,FALSE)),"X",$P101)</f>
        <v/>
      </c>
      <c r="X101" s="172" t="str">
        <f>IF(ISTEXT(VLOOKUP(CONCATENATE($A101,"_",X$3),'Unit List'!$A$23:$H$3256,2,FALSE)),"+","")</f>
        <v/>
      </c>
      <c r="Y101" s="120" t="str">
        <f>IF(ISTEXT(VLOOKUP(CONCATENATE($A101,"_",Y$3),'Unit List'!$A$23:$H$3256,2,FALSE)),"X",$X101)</f>
        <v/>
      </c>
      <c r="Z101" s="120" t="str">
        <f>IF(ISTEXT(VLOOKUP(CONCATENATE($A101,"_",Z$3),'Unit List'!$A$23:$H$3256,2,FALSE)),"X",$X101)</f>
        <v/>
      </c>
      <c r="AA101" s="120" t="str">
        <f>IF(ISTEXT(VLOOKUP(CONCATENATE($A101,"_",AA$3),'Unit List'!$A$23:$H$3256,2,FALSE)),"X",$X101)</f>
        <v/>
      </c>
      <c r="AB101" s="120" t="str">
        <f>IF(ISTEXT(VLOOKUP(CONCATENATE($A101,"_",AB$3),'Unit List'!$A$23:$H$3256,2,FALSE)),"X",$X101)</f>
        <v/>
      </c>
      <c r="AC101" s="75" t="str">
        <f>IF(ISTEXT(VLOOKUP(CONCATENATE($A101,"_",AC$3),'Unit List'!$A$23:$H$3256,2,FALSE)),"X",$X101)</f>
        <v/>
      </c>
      <c r="AD101" s="172" t="str">
        <f>IF(ISTEXT(VLOOKUP(CONCATENATE($A101,"_",AD$3),'Unit List'!$A$23:$H$3256,2,FALSE)),"+","")</f>
        <v/>
      </c>
      <c r="AE101" s="120" t="str">
        <f>IF(ISTEXT(VLOOKUP(CONCATENATE($A101,"_",AE$3),'Unit List'!$A$23:$H$3256,2,FALSE)),"X",$AD101)</f>
        <v/>
      </c>
      <c r="AF101" s="120" t="str">
        <f>IF(ISTEXT(VLOOKUP(CONCATENATE($A101,"_",AF$3),'Unit List'!$A$23:$H$3256,2,FALSE)),"X",$AD101)</f>
        <v/>
      </c>
      <c r="AG101" s="172" t="str">
        <f>IF(ISTEXT(VLOOKUP(CONCATENATE($A101,"_",AG$3),'Unit List'!$A$23:$H$3256,2,FALSE)),"+","")</f>
        <v/>
      </c>
      <c r="AH101" s="120" t="str">
        <f>IF(ISTEXT(VLOOKUP(CONCATENATE($A101,"_",AH$3),'Unit List'!$A$23:$H$3256,2,FALSE)),"X",$AG101)</f>
        <v/>
      </c>
      <c r="AI101" s="120" t="str">
        <f>IF(ISTEXT(VLOOKUP(CONCATENATE($A101,"_",AI$3),'Unit List'!$A$23:$H$3256,2,FALSE)),"X",$AG101)</f>
        <v/>
      </c>
      <c r="AJ101" s="122" t="str">
        <f>IF(ISTEXT(VLOOKUP(CONCATENATE($A101,"_",AJ$3),'Unit List'!$A$23:$H$3256,2,FALSE)),"X",$AG101)</f>
        <v/>
      </c>
      <c r="AK101" s="172" t="str">
        <f>IF(ISTEXT(VLOOKUP(CONCATENATE($A101,"_",AK$3),'Unit List'!$A$23:$H$3256,2,FALSE)),"+","")</f>
        <v/>
      </c>
      <c r="AL101" s="121" t="str">
        <f>IF(ISTEXT(VLOOKUP(CONCATENATE($A101,"_",AL$3),'Unit List'!$A$23:$H$3256,2,FALSE)),"X",$AK101)</f>
        <v/>
      </c>
      <c r="AM101" s="122" t="str">
        <f>IF(ISTEXT(VLOOKUP(CONCATENATE($A101,"_",AM$3),'Unit List'!$A$23:$H$3256,2,FALSE)),"X",$AK101)</f>
        <v/>
      </c>
      <c r="AN101" s="125" t="str">
        <f>IF(ISTEXT(VLOOKUP(CONCATENATE($A101,"_",AN$3),'Unit List'!$A$23:$H$3256,2,FALSE)),"+","")</f>
        <v/>
      </c>
      <c r="AO101" s="122" t="str">
        <f>IF(ISTEXT(VLOOKUP(CONCATENATE($A101,"_",AO$3),'Unit List'!$A$23:$H$3256,2,FALSE)),"X",$AN101)</f>
        <v/>
      </c>
      <c r="AP101" s="172" t="str">
        <f>IF(ISTEXT(VLOOKUP(CONCATENATE($A101,"_",AP$3),'Unit List'!$A$23:$H$3256,2,FALSE)),"+","")</f>
        <v/>
      </c>
      <c r="AQ101" s="120" t="str">
        <f>IF(ISTEXT(VLOOKUP(CONCATENATE($A101,"_",AQ$3),'Unit List'!$A$23:$H$3256,2,FALSE)),"X",$AP101)</f>
        <v/>
      </c>
      <c r="AR101" s="120" t="str">
        <f>IF(ISTEXT(VLOOKUP(CONCATENATE($A101,"_",AR$3),'Unit List'!$A$23:$H$3256,2,FALSE)),"X",$AP101)</f>
        <v/>
      </c>
      <c r="AS101" s="120" t="str">
        <f>IF(ISTEXT(VLOOKUP(CONCATENATE($A101,"_",AS$3),'Unit List'!$A$23:$H$3256,2,FALSE)),"X",$AP101)</f>
        <v/>
      </c>
      <c r="AT101" s="122" t="str">
        <f>IF(ISTEXT(VLOOKUP(CONCATENATE($A101,"_",AT$3),'Unit List'!$A$23:$H$3256,2,FALSE)),"X",$AP101)</f>
        <v/>
      </c>
      <c r="AU101" s="124" t="str">
        <f>IF(ISTEXT(VLOOKUP(CONCATENATE($A101,"_",AU$3),'Unit List'!$A$23:$H$3256,2,FALSE)),"+","")</f>
        <v/>
      </c>
      <c r="AV101" s="120" t="str">
        <f>IF(ISTEXT(VLOOKUP(CONCATENATE($A101,"_",AV$3),'Unit List'!$A$23:$H$3256,2,FALSE)),"X",$AU101)</f>
        <v/>
      </c>
      <c r="AW101" s="122" t="str">
        <f>IF(ISTEXT(VLOOKUP(CONCATENATE($A101,"_",AW$3),'Unit List'!$A$23:$H$3256,2,FALSE)),"X",$AU101)</f>
        <v/>
      </c>
      <c r="AX101" s="172" t="str">
        <f>IF(ISTEXT(VLOOKUP(CONCATENATE($A101,"_",AX$3),'Unit List'!$A$23:$H$3256,2,FALSE)),"+","")</f>
        <v/>
      </c>
      <c r="AY101" s="120" t="str">
        <f>IF(ISTEXT(VLOOKUP(CONCATENATE($A101,"_",AY$3),'Unit List'!$A$23:$H$3256,2,FALSE)),"X",$AX101)</f>
        <v/>
      </c>
      <c r="AZ101" s="122" t="str">
        <f>IF(ISTEXT(VLOOKUP(CONCATENATE($A101,"_",AZ$3),'Unit List'!$A$23:$H$3256,2,FALSE)),"X",$AX101)</f>
        <v/>
      </c>
      <c r="BA101" s="182" t="str">
        <f>IF(ISTEXT(VLOOKUP(CONCATENATE($A101,"_",BA$3),'Unit List'!$A$23:$H$3256,2,FALSE)),"+","")</f>
        <v/>
      </c>
      <c r="BB101" s="120" t="str">
        <f>IF(ISTEXT(VLOOKUP(CONCATENATE($A101,"_",BB$3),'Unit List'!$A$23:$H$3256,2,FALSE)),"X",$BA101)</f>
        <v/>
      </c>
      <c r="BC101" s="120" t="str">
        <f>IF(ISTEXT(VLOOKUP(CONCATENATE($A101,"_",BC$3),'Unit List'!$A$23:$H$3256,2,FALSE)),"X",$BA101)</f>
        <v/>
      </c>
      <c r="BD101" s="122" t="str">
        <f>IF(ISTEXT(VLOOKUP(CONCATENATE($A101,"_",BD$3),'Unit List'!$A$23:$H$3256,2,FALSE)),"X",$BA101)</f>
        <v/>
      </c>
      <c r="BE101" s="125" t="str">
        <f>IF(ISTEXT(VLOOKUP(CONCATENATE($A101,"_",BE$3),'Unit List'!$A$23:$H$3256,2,FALSE)),"+","")</f>
        <v/>
      </c>
      <c r="BF101" s="75" t="str">
        <f>IF(ISTEXT(VLOOKUP(CONCATENATE($A101,"_",BF$3),'Unit List'!$A$23:$H$3256,2,FALSE)),"X",$BE101)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List'!$A$23:$H$3256,2,FALSE)),"+","")</f>
        <v/>
      </c>
      <c r="C102" s="119" t="str">
        <f>IF(ISTEXT(VLOOKUP(CONCATENATE($A102,"_",C$3),'Unit List'!$A$23:$H$3256,2,FALSE)),"X",$B102)</f>
        <v/>
      </c>
      <c r="D102" s="120" t="str">
        <f>IF(ISTEXT(VLOOKUP(CONCATENATE($A102,"_",D$3),'Unit List'!$A$23:$H$3256,2,FALSE)),"X",$B102)</f>
        <v/>
      </c>
      <c r="E102" s="120" t="str">
        <f>IF(ISTEXT(VLOOKUP(CONCATENATE($A102,"_",E$3),'Unit List'!$A$23:$H$3256,2,FALSE)),"X",$B102)</f>
        <v/>
      </c>
      <c r="F102" s="120" t="str">
        <f>IF(ISTEXT(VLOOKUP(CONCATENATE($A102,"_",F$3),'Unit List'!$A$23:$H$3256,2,FALSE)),"X",$B102)</f>
        <v/>
      </c>
      <c r="G102" s="120" t="str">
        <f>IF(ISTEXT(VLOOKUP(CONCATENATE($A102,"_",G$3),'Unit List'!$A$23:$H$3256,2,FALSE)),"X",$B102)</f>
        <v/>
      </c>
      <c r="H102" s="120" t="str">
        <f>IF(ISTEXT(VLOOKUP(CONCATENATE($A102,"_",H$3),'Unit List'!$A$23:$H$3256,2,FALSE)),"X",$B102)</f>
        <v/>
      </c>
      <c r="I102" s="122" t="str">
        <f>IF(ISTEXT(VLOOKUP(CONCATENATE($A102,"_",I$3),'Unit List'!$A$23:$H$3256,2,FALSE)),"X",$B102)</f>
        <v/>
      </c>
      <c r="J102" s="172" t="str">
        <f>IF(ISTEXT(VLOOKUP(CONCATENATE($A102,"_",J$3),'Unit List'!$A$23:$H$3256,2,FALSE)),"+","")</f>
        <v/>
      </c>
      <c r="K102" s="120" t="str">
        <f>IF(ISTEXT(VLOOKUP(CONCATENATE($A102,"_",K$3),'Unit List'!$A$23:$H$3256,2,FALSE)),"X",$J102)</f>
        <v/>
      </c>
      <c r="L102" s="75" t="str">
        <f>IF(ISTEXT(VLOOKUP(CONCATENATE($A102,"_",L$3),'Unit List'!$A$23:$H$3256,2,FALSE)),"X",$J102)</f>
        <v/>
      </c>
      <c r="M102" s="172" t="str">
        <f>IF(ISTEXT(VLOOKUP(CONCATENATE($A102,"_",M$3),'Unit List'!$A$23:$H$3256,2,FALSE)),"+","")</f>
        <v/>
      </c>
      <c r="N102" s="120" t="str">
        <f>IF(ISTEXT(VLOOKUP(CONCATENATE($A102,"_",N$3),'Unit List'!$A$23:$H$3256,2,FALSE)),"X",$M102)</f>
        <v/>
      </c>
      <c r="O102" s="122" t="str">
        <f>IF(ISTEXT(VLOOKUP(CONCATENATE($A102,"_",O$3),'Unit List'!$A$23:$H$3256,2,FALSE)),"X",$M102)</f>
        <v/>
      </c>
      <c r="P102" s="172" t="str">
        <f>IF(ISTEXT(VLOOKUP(CONCATENATE($A102,"_",P$3),'Unit List'!$A$23:$H$3256,2,FALSE)),"+","")</f>
        <v/>
      </c>
      <c r="Q102" s="120" t="str">
        <f>IF(ISTEXT(VLOOKUP(CONCATENATE($A102,"_",Q$3),'Unit List'!$A$23:$H$3256,2,FALSE)),"X",$P102)</f>
        <v/>
      </c>
      <c r="R102" s="120" t="str">
        <f>IF(ISTEXT(VLOOKUP(CONCATENATE($A102,"_",R$3),'Unit List'!$A$23:$H$3256,2,FALSE)),"X",$P102)</f>
        <v/>
      </c>
      <c r="S102" s="120" t="str">
        <f>IF(ISTEXT(VLOOKUP(CONCATENATE($A102,"_",S$3),'Unit List'!$A$23:$H$3256,2,FALSE)),"X",$P102)</f>
        <v/>
      </c>
      <c r="T102" s="121" t="str">
        <f>IF(ISTEXT(VLOOKUP(CONCATENATE($A102,"_",T$3),'Unit List'!$A$23:$H$3256,2,FALSE)),"X",$P102)</f>
        <v/>
      </c>
      <c r="U102" s="120" t="str">
        <f>IF(ISTEXT(VLOOKUP(CONCATENATE($A102,"_",U$3),'Unit List'!$A$23:$H$3256,2,FALSE)),"X",$P102)</f>
        <v/>
      </c>
      <c r="V102" s="120" t="str">
        <f>IF(ISTEXT(VLOOKUP(CONCATENATE($A102,"_",V$3),'Unit List'!$A$23:$H$3256,2,FALSE)),"X",$P102)</f>
        <v/>
      </c>
      <c r="W102" s="122" t="str">
        <f>IF(ISTEXT(VLOOKUP(CONCATENATE($A102,"_",W$3),'Unit List'!$A$23:$H$3256,2,FALSE)),"X",$P102)</f>
        <v/>
      </c>
      <c r="X102" s="172" t="str">
        <f>IF(ISTEXT(VLOOKUP(CONCATENATE($A102,"_",X$3),'Unit List'!$A$23:$H$3256,2,FALSE)),"+","")</f>
        <v/>
      </c>
      <c r="Y102" s="120" t="str">
        <f>IF(ISTEXT(VLOOKUP(CONCATENATE($A102,"_",Y$3),'Unit List'!$A$23:$H$3256,2,FALSE)),"X",$X102)</f>
        <v/>
      </c>
      <c r="Z102" s="120" t="str">
        <f>IF(ISTEXT(VLOOKUP(CONCATENATE($A102,"_",Z$3),'Unit List'!$A$23:$H$3256,2,FALSE)),"X",$X102)</f>
        <v/>
      </c>
      <c r="AA102" s="120" t="str">
        <f>IF(ISTEXT(VLOOKUP(CONCATENATE($A102,"_",AA$3),'Unit List'!$A$23:$H$3256,2,FALSE)),"X",$X102)</f>
        <v/>
      </c>
      <c r="AB102" s="120" t="str">
        <f>IF(ISTEXT(VLOOKUP(CONCATENATE($A102,"_",AB$3),'Unit List'!$A$23:$H$3256,2,FALSE)),"X",$X102)</f>
        <v/>
      </c>
      <c r="AC102" s="75" t="str">
        <f>IF(ISTEXT(VLOOKUP(CONCATENATE($A102,"_",AC$3),'Unit List'!$A$23:$H$3256,2,FALSE)),"X",$X102)</f>
        <v/>
      </c>
      <c r="AD102" s="172" t="str">
        <f>IF(ISTEXT(VLOOKUP(CONCATENATE($A102,"_",AD$3),'Unit List'!$A$23:$H$3256,2,FALSE)),"+","")</f>
        <v/>
      </c>
      <c r="AE102" s="120" t="str">
        <f>IF(ISTEXT(VLOOKUP(CONCATENATE($A102,"_",AE$3),'Unit List'!$A$23:$H$3256,2,FALSE)),"X",$AD102)</f>
        <v/>
      </c>
      <c r="AF102" s="120" t="str">
        <f>IF(ISTEXT(VLOOKUP(CONCATENATE($A102,"_",AF$3),'Unit List'!$A$23:$H$3256,2,FALSE)),"X",$AD102)</f>
        <v/>
      </c>
      <c r="AG102" s="172" t="str">
        <f>IF(ISTEXT(VLOOKUP(CONCATENATE($A102,"_",AG$3),'Unit List'!$A$23:$H$3256,2,FALSE)),"+","")</f>
        <v/>
      </c>
      <c r="AH102" s="120" t="str">
        <f>IF(ISTEXT(VLOOKUP(CONCATENATE($A102,"_",AH$3),'Unit List'!$A$23:$H$3256,2,FALSE)),"X",$AG102)</f>
        <v/>
      </c>
      <c r="AI102" s="120" t="str">
        <f>IF(ISTEXT(VLOOKUP(CONCATENATE($A102,"_",AI$3),'Unit List'!$A$23:$H$3256,2,FALSE)),"X",$AG102)</f>
        <v/>
      </c>
      <c r="AJ102" s="122" t="str">
        <f>IF(ISTEXT(VLOOKUP(CONCATENATE($A102,"_",AJ$3),'Unit List'!$A$23:$H$3256,2,FALSE)),"X",$AG102)</f>
        <v/>
      </c>
      <c r="AK102" s="172" t="str">
        <f>IF(ISTEXT(VLOOKUP(CONCATENATE($A102,"_",AK$3),'Unit List'!$A$23:$H$3256,2,FALSE)),"+","")</f>
        <v/>
      </c>
      <c r="AL102" s="121" t="str">
        <f>IF(ISTEXT(VLOOKUP(CONCATENATE($A102,"_",AL$3),'Unit List'!$A$23:$H$3256,2,FALSE)),"X",$AK102)</f>
        <v/>
      </c>
      <c r="AM102" s="122" t="str">
        <f>IF(ISTEXT(VLOOKUP(CONCATENATE($A102,"_",AM$3),'Unit List'!$A$23:$H$3256,2,FALSE)),"X",$AK102)</f>
        <v/>
      </c>
      <c r="AN102" s="125" t="str">
        <f>IF(ISTEXT(VLOOKUP(CONCATENATE($A102,"_",AN$3),'Unit List'!$A$23:$H$3256,2,FALSE)),"+","")</f>
        <v/>
      </c>
      <c r="AO102" s="122" t="str">
        <f>IF(ISTEXT(VLOOKUP(CONCATENATE($A102,"_",AO$3),'Unit List'!$A$23:$H$3256,2,FALSE)),"X",$AN102)</f>
        <v/>
      </c>
      <c r="AP102" s="172" t="str">
        <f>IF(ISTEXT(VLOOKUP(CONCATENATE($A102,"_",AP$3),'Unit List'!$A$23:$H$3256,2,FALSE)),"+","")</f>
        <v/>
      </c>
      <c r="AQ102" s="120" t="str">
        <f>IF(ISTEXT(VLOOKUP(CONCATENATE($A102,"_",AQ$3),'Unit List'!$A$23:$H$3256,2,FALSE)),"X",$AP102)</f>
        <v/>
      </c>
      <c r="AR102" s="120" t="str">
        <f>IF(ISTEXT(VLOOKUP(CONCATENATE($A102,"_",AR$3),'Unit List'!$A$23:$H$3256,2,FALSE)),"X",$AP102)</f>
        <v/>
      </c>
      <c r="AS102" s="120" t="str">
        <f>IF(ISTEXT(VLOOKUP(CONCATENATE($A102,"_",AS$3),'Unit List'!$A$23:$H$3256,2,FALSE)),"X",$AP102)</f>
        <v/>
      </c>
      <c r="AT102" s="122" t="str">
        <f>IF(ISTEXT(VLOOKUP(CONCATENATE($A102,"_",AT$3),'Unit List'!$A$23:$H$3256,2,FALSE)),"X",$AP102)</f>
        <v/>
      </c>
      <c r="AU102" s="124" t="str">
        <f>IF(ISTEXT(VLOOKUP(CONCATENATE($A102,"_",AU$3),'Unit List'!$A$23:$H$3256,2,FALSE)),"+","")</f>
        <v/>
      </c>
      <c r="AV102" s="120" t="str">
        <f>IF(ISTEXT(VLOOKUP(CONCATENATE($A102,"_",AV$3),'Unit List'!$A$23:$H$3256,2,FALSE)),"X",$AU102)</f>
        <v/>
      </c>
      <c r="AW102" s="122" t="str">
        <f>IF(ISTEXT(VLOOKUP(CONCATENATE($A102,"_",AW$3),'Unit List'!$A$23:$H$3256,2,FALSE)),"X",$AU102)</f>
        <v/>
      </c>
      <c r="AX102" s="172" t="str">
        <f>IF(ISTEXT(VLOOKUP(CONCATENATE($A102,"_",AX$3),'Unit List'!$A$23:$H$3256,2,FALSE)),"+","")</f>
        <v/>
      </c>
      <c r="AY102" s="120" t="str">
        <f>IF(ISTEXT(VLOOKUP(CONCATENATE($A102,"_",AY$3),'Unit List'!$A$23:$H$3256,2,FALSE)),"X",$AX102)</f>
        <v/>
      </c>
      <c r="AZ102" s="122" t="str">
        <f>IF(ISTEXT(VLOOKUP(CONCATENATE($A102,"_",AZ$3),'Unit List'!$A$23:$H$3256,2,FALSE)),"X",$AX102)</f>
        <v/>
      </c>
      <c r="BA102" s="182" t="str">
        <f>IF(ISTEXT(VLOOKUP(CONCATENATE($A102,"_",BA$3),'Unit List'!$A$23:$H$3256,2,FALSE)),"+","")</f>
        <v/>
      </c>
      <c r="BB102" s="120" t="str">
        <f>IF(ISTEXT(VLOOKUP(CONCATENATE($A102,"_",BB$3),'Unit List'!$A$23:$H$3256,2,FALSE)),"X",$BA102)</f>
        <v/>
      </c>
      <c r="BC102" s="120" t="str">
        <f>IF(ISTEXT(VLOOKUP(CONCATENATE($A102,"_",BC$3),'Unit List'!$A$23:$H$3256,2,FALSE)),"X",$BA102)</f>
        <v/>
      </c>
      <c r="BD102" s="122" t="str">
        <f>IF(ISTEXT(VLOOKUP(CONCATENATE($A102,"_",BD$3),'Unit List'!$A$23:$H$3256,2,FALSE)),"X",$BA102)</f>
        <v/>
      </c>
      <c r="BE102" s="125" t="str">
        <f>IF(ISTEXT(VLOOKUP(CONCATENATE($A102,"_",BE$3),'Unit List'!$A$23:$H$3256,2,FALSE)),"+","")</f>
        <v/>
      </c>
      <c r="BF102" s="75" t="str">
        <f>IF(ISTEXT(VLOOKUP(CONCATENATE($A102,"_",BF$3),'Unit List'!$A$23:$H$3256,2,FALSE)),"X",$BE102)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List'!$A$23:$H$3256,2,FALSE)),"+","")</f>
        <v/>
      </c>
      <c r="C103" s="119" t="str">
        <f>IF(ISTEXT(VLOOKUP(CONCATENATE($A103,"_",C$3),'Unit List'!$A$23:$H$3256,2,FALSE)),"X",$B103)</f>
        <v/>
      </c>
      <c r="D103" s="120" t="str">
        <f>IF(ISTEXT(VLOOKUP(CONCATENATE($A103,"_",D$3),'Unit List'!$A$23:$H$3256,2,FALSE)),"X",$B103)</f>
        <v/>
      </c>
      <c r="E103" s="120" t="str">
        <f>IF(ISTEXT(VLOOKUP(CONCATENATE($A103,"_",E$3),'Unit List'!$A$23:$H$3256,2,FALSE)),"X",$B103)</f>
        <v/>
      </c>
      <c r="F103" s="120" t="str">
        <f>IF(ISTEXT(VLOOKUP(CONCATENATE($A103,"_",F$3),'Unit List'!$A$23:$H$3256,2,FALSE)),"X",$B103)</f>
        <v/>
      </c>
      <c r="G103" s="120" t="str">
        <f>IF(ISTEXT(VLOOKUP(CONCATENATE($A103,"_",G$3),'Unit List'!$A$23:$H$3256,2,FALSE)),"X",$B103)</f>
        <v/>
      </c>
      <c r="H103" s="120" t="str">
        <f>IF(ISTEXT(VLOOKUP(CONCATENATE($A103,"_",H$3),'Unit List'!$A$23:$H$3256,2,FALSE)),"X",$B103)</f>
        <v/>
      </c>
      <c r="I103" s="122" t="str">
        <f>IF(ISTEXT(VLOOKUP(CONCATENATE($A103,"_",I$3),'Unit List'!$A$23:$H$3256,2,FALSE)),"X",$B103)</f>
        <v>X</v>
      </c>
      <c r="J103" s="172" t="str">
        <f>IF(ISTEXT(VLOOKUP(CONCATENATE($A103,"_",J$3),'Unit List'!$A$23:$H$3256,2,FALSE)),"+","")</f>
        <v/>
      </c>
      <c r="K103" s="120" t="str">
        <f>IF(ISTEXT(VLOOKUP(CONCATENATE($A103,"_",K$3),'Unit List'!$A$23:$H$3256,2,FALSE)),"X",$J103)</f>
        <v/>
      </c>
      <c r="L103" s="75" t="str">
        <f>IF(ISTEXT(VLOOKUP(CONCATENATE($A103,"_",L$3),'Unit List'!$A$23:$H$3256,2,FALSE)),"X",$J103)</f>
        <v/>
      </c>
      <c r="M103" s="172" t="str">
        <f>IF(ISTEXT(VLOOKUP(CONCATENATE($A103,"_",M$3),'Unit List'!$A$23:$H$3256,2,FALSE)),"+","")</f>
        <v/>
      </c>
      <c r="N103" s="120" t="str">
        <f>IF(ISTEXT(VLOOKUP(CONCATENATE($A103,"_",N$3),'Unit List'!$A$23:$H$3256,2,FALSE)),"X",$M103)</f>
        <v/>
      </c>
      <c r="O103" s="122" t="str">
        <f>IF(ISTEXT(VLOOKUP(CONCATENATE($A103,"_",O$3),'Unit List'!$A$23:$H$3256,2,FALSE)),"X",$M103)</f>
        <v/>
      </c>
      <c r="P103" s="172" t="str">
        <f>IF(ISTEXT(VLOOKUP(CONCATENATE($A103,"_",P$3),'Unit List'!$A$23:$H$3256,2,FALSE)),"+","")</f>
        <v/>
      </c>
      <c r="Q103" s="120" t="str">
        <f>IF(ISTEXT(VLOOKUP(CONCATENATE($A103,"_",Q$3),'Unit List'!$A$23:$H$3256,2,FALSE)),"X",$P103)</f>
        <v/>
      </c>
      <c r="R103" s="120" t="str">
        <f>IF(ISTEXT(VLOOKUP(CONCATENATE($A103,"_",R$3),'Unit List'!$A$23:$H$3256,2,FALSE)),"X",$P103)</f>
        <v/>
      </c>
      <c r="S103" s="120" t="str">
        <f>IF(ISTEXT(VLOOKUP(CONCATENATE($A103,"_",S$3),'Unit List'!$A$23:$H$3256,2,FALSE)),"X",$P103)</f>
        <v/>
      </c>
      <c r="T103" s="121" t="str">
        <f>IF(ISTEXT(VLOOKUP(CONCATENATE($A103,"_",T$3),'Unit List'!$A$23:$H$3256,2,FALSE)),"X",$P103)</f>
        <v/>
      </c>
      <c r="U103" s="120" t="str">
        <f>IF(ISTEXT(VLOOKUP(CONCATENATE($A103,"_",U$3),'Unit List'!$A$23:$H$3256,2,FALSE)),"X",$P103)</f>
        <v/>
      </c>
      <c r="V103" s="120" t="str">
        <f>IF(ISTEXT(VLOOKUP(CONCATENATE($A103,"_",V$3),'Unit List'!$A$23:$H$3256,2,FALSE)),"X",$P103)</f>
        <v/>
      </c>
      <c r="W103" s="122" t="str">
        <f>IF(ISTEXT(VLOOKUP(CONCATENATE($A103,"_",W$3),'Unit List'!$A$23:$H$3256,2,FALSE)),"X",$P103)</f>
        <v/>
      </c>
      <c r="X103" s="172" t="str">
        <f>IF(ISTEXT(VLOOKUP(CONCATENATE($A103,"_",X$3),'Unit List'!$A$23:$H$3256,2,FALSE)),"+","")</f>
        <v/>
      </c>
      <c r="Y103" s="120" t="str">
        <f>IF(ISTEXT(VLOOKUP(CONCATENATE($A103,"_",Y$3),'Unit List'!$A$23:$H$3256,2,FALSE)),"X",$X103)</f>
        <v/>
      </c>
      <c r="Z103" s="120" t="str">
        <f>IF(ISTEXT(VLOOKUP(CONCATENATE($A103,"_",Z$3),'Unit List'!$A$23:$H$3256,2,FALSE)),"X",$X103)</f>
        <v/>
      </c>
      <c r="AA103" s="120" t="str">
        <f>IF(ISTEXT(VLOOKUP(CONCATENATE($A103,"_",AA$3),'Unit List'!$A$23:$H$3256,2,FALSE)),"X",$X103)</f>
        <v/>
      </c>
      <c r="AB103" s="120" t="str">
        <f>IF(ISTEXT(VLOOKUP(CONCATENATE($A103,"_",AB$3),'Unit List'!$A$23:$H$3256,2,FALSE)),"X",$X103)</f>
        <v/>
      </c>
      <c r="AC103" s="75" t="str">
        <f>IF(ISTEXT(VLOOKUP(CONCATENATE($A103,"_",AC$3),'Unit List'!$A$23:$H$3256,2,FALSE)),"X",$X103)</f>
        <v/>
      </c>
      <c r="AD103" s="172" t="str">
        <f>IF(ISTEXT(VLOOKUP(CONCATENATE($A103,"_",AD$3),'Unit List'!$A$23:$H$3256,2,FALSE)),"+","")</f>
        <v/>
      </c>
      <c r="AE103" s="120" t="str">
        <f>IF(ISTEXT(VLOOKUP(CONCATENATE($A103,"_",AE$3),'Unit List'!$A$23:$H$3256,2,FALSE)),"X",$AD103)</f>
        <v/>
      </c>
      <c r="AF103" s="120" t="str">
        <f>IF(ISTEXT(VLOOKUP(CONCATENATE($A103,"_",AF$3),'Unit List'!$A$23:$H$3256,2,FALSE)),"X",$AD103)</f>
        <v/>
      </c>
      <c r="AG103" s="172" t="str">
        <f>IF(ISTEXT(VLOOKUP(CONCATENATE($A103,"_",AG$3),'Unit List'!$A$23:$H$3256,2,FALSE)),"+","")</f>
        <v/>
      </c>
      <c r="AH103" s="120" t="str">
        <f>IF(ISTEXT(VLOOKUP(CONCATENATE($A103,"_",AH$3),'Unit List'!$A$23:$H$3256,2,FALSE)),"X",$AG103)</f>
        <v/>
      </c>
      <c r="AI103" s="120" t="str">
        <f>IF(ISTEXT(VLOOKUP(CONCATENATE($A103,"_",AI$3),'Unit List'!$A$23:$H$3256,2,FALSE)),"X",$AG103)</f>
        <v/>
      </c>
      <c r="AJ103" s="122" t="str">
        <f>IF(ISTEXT(VLOOKUP(CONCATENATE($A103,"_",AJ$3),'Unit List'!$A$23:$H$3256,2,FALSE)),"X",$AG103)</f>
        <v/>
      </c>
      <c r="AK103" s="172" t="str">
        <f>IF(ISTEXT(VLOOKUP(CONCATENATE($A103,"_",AK$3),'Unit List'!$A$23:$H$3256,2,FALSE)),"+","")</f>
        <v/>
      </c>
      <c r="AL103" s="121" t="str">
        <f>IF(ISTEXT(VLOOKUP(CONCATENATE($A103,"_",AL$3),'Unit List'!$A$23:$H$3256,2,FALSE)),"X",$AK103)</f>
        <v/>
      </c>
      <c r="AM103" s="122" t="str">
        <f>IF(ISTEXT(VLOOKUP(CONCATENATE($A103,"_",AM$3),'Unit List'!$A$23:$H$3256,2,FALSE)),"X",$AK103)</f>
        <v/>
      </c>
      <c r="AN103" s="125" t="str">
        <f>IF(ISTEXT(VLOOKUP(CONCATENATE($A103,"_",AN$3),'Unit List'!$A$23:$H$3256,2,FALSE)),"+","")</f>
        <v/>
      </c>
      <c r="AO103" s="122" t="str">
        <f>IF(ISTEXT(VLOOKUP(CONCATENATE($A103,"_",AO$3),'Unit List'!$A$23:$H$3256,2,FALSE)),"X",$AN103)</f>
        <v/>
      </c>
      <c r="AP103" s="172" t="str">
        <f>IF(ISTEXT(VLOOKUP(CONCATENATE($A103,"_",AP$3),'Unit List'!$A$23:$H$3256,2,FALSE)),"+","")</f>
        <v>+</v>
      </c>
      <c r="AQ103" s="120" t="str">
        <f>IF(ISTEXT(VLOOKUP(CONCATENATE($A103,"_",AQ$3),'Unit List'!$A$23:$H$3256,2,FALSE)),"X",$AP103)</f>
        <v>+</v>
      </c>
      <c r="AR103" s="120" t="str">
        <f>IF(ISTEXT(VLOOKUP(CONCATENATE($A103,"_",AR$3),'Unit List'!$A$23:$H$3256,2,FALSE)),"X",$AP103)</f>
        <v>+</v>
      </c>
      <c r="AS103" s="120" t="str">
        <f>IF(ISTEXT(VLOOKUP(CONCATENATE($A103,"_",AS$3),'Unit List'!$A$23:$H$3256,2,FALSE)),"X",$AP103)</f>
        <v>+</v>
      </c>
      <c r="AT103" s="122" t="str">
        <f>IF(ISTEXT(VLOOKUP(CONCATENATE($A103,"_",AT$3),'Unit List'!$A$23:$H$3256,2,FALSE)),"X",$AP103)</f>
        <v>+</v>
      </c>
      <c r="AU103" s="124" t="str">
        <f>IF(ISTEXT(VLOOKUP(CONCATENATE($A103,"_",AU$3),'Unit List'!$A$23:$H$3256,2,FALSE)),"+","")</f>
        <v>+</v>
      </c>
      <c r="AV103" s="120" t="str">
        <f>IF(ISTEXT(VLOOKUP(CONCATENATE($A103,"_",AV$3),'Unit List'!$A$23:$H$3256,2,FALSE)),"X",$AU103)</f>
        <v>+</v>
      </c>
      <c r="AW103" s="122" t="str">
        <f>IF(ISTEXT(VLOOKUP(CONCATENATE($A103,"_",AW$3),'Unit List'!$A$23:$H$3256,2,FALSE)),"X",$AU103)</f>
        <v>+</v>
      </c>
      <c r="AX103" s="172" t="str">
        <f>IF(ISTEXT(VLOOKUP(CONCATENATE($A103,"_",AX$3),'Unit List'!$A$23:$H$3256,2,FALSE)),"+","")</f>
        <v/>
      </c>
      <c r="AY103" s="120" t="str">
        <f>IF(ISTEXT(VLOOKUP(CONCATENATE($A103,"_",AY$3),'Unit List'!$A$23:$H$3256,2,FALSE)),"X",$AX103)</f>
        <v/>
      </c>
      <c r="AZ103" s="122" t="str">
        <f>IF(ISTEXT(VLOOKUP(CONCATENATE($A103,"_",AZ$3),'Unit List'!$A$23:$H$3256,2,FALSE)),"X",$AX103)</f>
        <v/>
      </c>
      <c r="BA103" s="182" t="str">
        <f>IF(ISTEXT(VLOOKUP(CONCATENATE($A103,"_",BA$3),'Unit List'!$A$23:$H$3256,2,FALSE)),"+","")</f>
        <v>+</v>
      </c>
      <c r="BB103" s="120" t="str">
        <f>IF(ISTEXT(VLOOKUP(CONCATENATE($A103,"_",BB$3),'Unit List'!$A$23:$H$3256,2,FALSE)),"X",$BA103)</f>
        <v>+</v>
      </c>
      <c r="BC103" s="120" t="str">
        <f>IF(ISTEXT(VLOOKUP(CONCATENATE($A103,"_",BC$3),'Unit List'!$A$23:$H$3256,2,FALSE)),"X",$BA103)</f>
        <v>+</v>
      </c>
      <c r="BD103" s="122" t="str">
        <f>IF(ISTEXT(VLOOKUP(CONCATENATE($A103,"_",BD$3),'Unit List'!$A$23:$H$3256,2,FALSE)),"X",$BA103)</f>
        <v>+</v>
      </c>
      <c r="BE103" s="125" t="str">
        <f>IF(ISTEXT(VLOOKUP(CONCATENATE($A103,"_",BE$3),'Unit List'!$A$23:$H$3256,2,FALSE)),"+","")</f>
        <v>+</v>
      </c>
      <c r="BF103" s="75" t="str">
        <f>IF(ISTEXT(VLOOKUP(CONCATENATE($A103,"_",BF$3),'Unit List'!$A$23:$H$3256,2,FALSE)),"X",$BE103)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List'!$A$23:$H$3256,2,FALSE)),"+","")</f>
        <v/>
      </c>
      <c r="C104" s="130" t="str">
        <f>IF(ISTEXT(VLOOKUP(CONCATENATE($A104,"_",C$3),'Unit List'!$A$23:$H$3256,2,FALSE)),"X",$B104)</f>
        <v/>
      </c>
      <c r="D104" s="131" t="str">
        <f>IF(ISTEXT(VLOOKUP(CONCATENATE($A104,"_",D$3),'Unit List'!$A$23:$H$3256,2,FALSE)),"X",$B104)</f>
        <v/>
      </c>
      <c r="E104" s="131" t="str">
        <f>IF(ISTEXT(VLOOKUP(CONCATENATE($A104,"_",E$3),'Unit List'!$A$23:$H$3256,2,FALSE)),"X",$B104)</f>
        <v/>
      </c>
      <c r="F104" s="131" t="str">
        <f>IF(ISTEXT(VLOOKUP(CONCATENATE($A104,"_",F$3),'Unit List'!$A$23:$H$3256,2,FALSE)),"X",$B104)</f>
        <v/>
      </c>
      <c r="G104" s="131" t="str">
        <f>IF(ISTEXT(VLOOKUP(CONCATENATE($A104,"_",G$3),'Unit List'!$A$23:$H$3256,2,FALSE)),"X",$B104)</f>
        <v/>
      </c>
      <c r="H104" s="131" t="str">
        <f>IF(ISTEXT(VLOOKUP(CONCATENATE($A104,"_",H$3),'Unit List'!$A$23:$H$3256,2,FALSE)),"X",$B104)</f>
        <v/>
      </c>
      <c r="I104" s="132" t="str">
        <f>IF(ISTEXT(VLOOKUP(CONCATENATE($A104,"_",I$3),'Unit List'!$A$23:$H$3256,2,FALSE)),"X",$B104)</f>
        <v/>
      </c>
      <c r="J104" s="172" t="str">
        <f>IF(ISTEXT(VLOOKUP(CONCATENATE($A104,"_",J$3),'Unit List'!$A$23:$H$3256,2,FALSE)),"+","")</f>
        <v/>
      </c>
      <c r="K104" s="131" t="str">
        <f>IF(ISTEXT(VLOOKUP(CONCATENATE($A104,"_",K$3),'Unit List'!$A$23:$H$3256,2,FALSE)),"X",$J104)</f>
        <v/>
      </c>
      <c r="L104" s="116" t="str">
        <f>IF(ISTEXT(VLOOKUP(CONCATENATE($A104,"_",L$3),'Unit List'!$A$23:$H$3256,2,FALSE)),"X",$J104)</f>
        <v/>
      </c>
      <c r="M104" s="173" t="str">
        <f>IF(ISTEXT(VLOOKUP(CONCATENATE($A104,"_",M$3),'Unit List'!$A$23:$H$3256,2,FALSE)),"+","")</f>
        <v/>
      </c>
      <c r="N104" s="131" t="str">
        <f>IF(ISTEXT(VLOOKUP(CONCATENATE($A104,"_",N$3),'Unit List'!$A$23:$H$3256,2,FALSE)),"X",$M104)</f>
        <v/>
      </c>
      <c r="O104" s="132" t="str">
        <f>IF(ISTEXT(VLOOKUP(CONCATENATE($A104,"_",O$3),'Unit List'!$A$23:$H$3256,2,FALSE)),"X",$M104)</f>
        <v/>
      </c>
      <c r="P104" s="173" t="str">
        <f>IF(ISTEXT(VLOOKUP(CONCATENATE($A104,"_",P$3),'Unit List'!$A$23:$H$3256,2,FALSE)),"+","")</f>
        <v/>
      </c>
      <c r="Q104" s="131" t="str">
        <f>IF(ISTEXT(VLOOKUP(CONCATENATE($A104,"_",Q$3),'Unit List'!$A$23:$H$3256,2,FALSE)),"X",$P104)</f>
        <v/>
      </c>
      <c r="R104" s="131" t="str">
        <f>IF(ISTEXT(VLOOKUP(CONCATENATE($A104,"_",R$3),'Unit List'!$A$23:$H$3256,2,FALSE)),"X",$P104)</f>
        <v/>
      </c>
      <c r="S104" s="131" t="str">
        <f>IF(ISTEXT(VLOOKUP(CONCATENATE($A104,"_",S$3),'Unit List'!$A$23:$H$3256,2,FALSE)),"X",$P104)</f>
        <v/>
      </c>
      <c r="T104" s="133" t="str">
        <f>IF(ISTEXT(VLOOKUP(CONCATENATE($A104,"_",T$3),'Unit List'!$A$23:$H$3256,2,FALSE)),"X",$P104)</f>
        <v/>
      </c>
      <c r="U104" s="131" t="str">
        <f>IF(ISTEXT(VLOOKUP(CONCATENATE($A104,"_",U$3),'Unit List'!$A$23:$H$3256,2,FALSE)),"X",$P104)</f>
        <v/>
      </c>
      <c r="V104" s="131" t="str">
        <f>IF(ISTEXT(VLOOKUP(CONCATENATE($A104,"_",V$3),'Unit List'!$A$23:$H$3256,2,FALSE)),"X",$P104)</f>
        <v/>
      </c>
      <c r="W104" s="132" t="str">
        <f>IF(ISTEXT(VLOOKUP(CONCATENATE($A104,"_",W$3),'Unit List'!$A$23:$H$3256,2,FALSE)),"X",$P104)</f>
        <v/>
      </c>
      <c r="X104" s="173" t="str">
        <f>IF(ISTEXT(VLOOKUP(CONCATENATE($A104,"_",X$3),'Unit List'!$A$23:$H$3256,2,FALSE)),"+","")</f>
        <v/>
      </c>
      <c r="Y104" s="131" t="str">
        <f>IF(ISTEXT(VLOOKUP(CONCATENATE($A104,"_",Y$3),'Unit List'!$A$23:$H$3256,2,FALSE)),"X",$X104)</f>
        <v/>
      </c>
      <c r="Z104" s="131" t="str">
        <f>IF(ISTEXT(VLOOKUP(CONCATENATE($A104,"_",Z$3),'Unit List'!$A$23:$H$3256,2,FALSE)),"X",$X104)</f>
        <v/>
      </c>
      <c r="AA104" s="131" t="str">
        <f>IF(ISTEXT(VLOOKUP(CONCATENATE($A104,"_",AA$3),'Unit List'!$A$23:$H$3256,2,FALSE)),"X",$X104)</f>
        <v/>
      </c>
      <c r="AB104" s="131" t="str">
        <f>IF(ISTEXT(VLOOKUP(CONCATENATE($A104,"_",AB$3),'Unit List'!$A$23:$H$3256,2,FALSE)),"X",$X104)</f>
        <v/>
      </c>
      <c r="AC104" s="116" t="str">
        <f>IF(ISTEXT(VLOOKUP(CONCATENATE($A104,"_",AC$3),'Unit List'!$A$23:$H$3256,2,FALSE)),"X",$X104)</f>
        <v/>
      </c>
      <c r="AD104" s="173" t="str">
        <f>IF(ISTEXT(VLOOKUP(CONCATENATE($A104,"_",AD$3),'Unit List'!$A$23:$H$3256,2,FALSE)),"+","")</f>
        <v/>
      </c>
      <c r="AE104" s="131" t="str">
        <f>IF(ISTEXT(VLOOKUP(CONCATENATE($A104,"_",AE$3),'Unit List'!$A$23:$H$3256,2,FALSE)),"X",$AD104)</f>
        <v/>
      </c>
      <c r="AF104" s="131" t="str">
        <f>IF(ISTEXT(VLOOKUP(CONCATENATE($A104,"_",AF$3),'Unit List'!$A$23:$H$3256,2,FALSE)),"X",$AD104)</f>
        <v/>
      </c>
      <c r="AG104" s="173" t="str">
        <f>IF(ISTEXT(VLOOKUP(CONCATENATE($A104,"_",AG$3),'Unit List'!$A$23:$H$3256,2,FALSE)),"+","")</f>
        <v/>
      </c>
      <c r="AH104" s="131" t="str">
        <f>IF(ISTEXT(VLOOKUP(CONCATENATE($A104,"_",AH$3),'Unit List'!$A$23:$H$3256,2,FALSE)),"X",$AG104)</f>
        <v/>
      </c>
      <c r="AI104" s="131" t="str">
        <f>IF(ISTEXT(VLOOKUP(CONCATENATE($A104,"_",AI$3),'Unit List'!$A$23:$H$3256,2,FALSE)),"X",$AG104)</f>
        <v/>
      </c>
      <c r="AJ104" s="132" t="str">
        <f>IF(ISTEXT(VLOOKUP(CONCATENATE($A104,"_",AJ$3),'Unit List'!$A$23:$H$3256,2,FALSE)),"X",$AG104)</f>
        <v/>
      </c>
      <c r="AK104" s="173" t="str">
        <f>IF(ISTEXT(VLOOKUP(CONCATENATE($A104,"_",AK$3),'Unit List'!$A$23:$H$3256,2,FALSE)),"+","")</f>
        <v/>
      </c>
      <c r="AL104" s="133" t="str">
        <f>IF(ISTEXT(VLOOKUP(CONCATENATE($A104,"_",AL$3),'Unit List'!$A$23:$H$3256,2,FALSE)),"X",$AK104)</f>
        <v/>
      </c>
      <c r="AM104" s="132" t="str">
        <f>IF(ISTEXT(VLOOKUP(CONCATENATE($A104,"_",AM$3),'Unit List'!$A$23:$H$3256,2,FALSE)),"X",$AK104)</f>
        <v/>
      </c>
      <c r="AN104" s="186" t="str">
        <f>IF(ISTEXT(VLOOKUP(CONCATENATE($A104,"_",AN$3),'Unit List'!$A$23:$H$3256,2,FALSE)),"+","")</f>
        <v/>
      </c>
      <c r="AO104" s="132" t="str">
        <f>IF(ISTEXT(VLOOKUP(CONCATENATE($A104,"_",AO$3),'Unit List'!$A$23:$H$3256,2,FALSE)),"X",$AN104)</f>
        <v/>
      </c>
      <c r="AP104" s="173" t="str">
        <f>IF(ISTEXT(VLOOKUP(CONCATENATE($A104,"_",AP$3),'Unit List'!$A$23:$H$3256,2,FALSE)),"+","")</f>
        <v/>
      </c>
      <c r="AQ104" s="131" t="str">
        <f>IF(ISTEXT(VLOOKUP(CONCATENATE($A104,"_",AQ$3),'Unit List'!$A$23:$H$3256,2,FALSE)),"X",$AP104)</f>
        <v/>
      </c>
      <c r="AR104" s="131" t="str">
        <f>IF(ISTEXT(VLOOKUP(CONCATENATE($A104,"_",AR$3),'Unit List'!$A$23:$H$3256,2,FALSE)),"X",$AP104)</f>
        <v/>
      </c>
      <c r="AS104" s="131" t="str">
        <f>IF(ISTEXT(VLOOKUP(CONCATENATE($A104,"_",AS$3),'Unit List'!$A$23:$H$3256,2,FALSE)),"X",$AP104)</f>
        <v/>
      </c>
      <c r="AT104" s="132" t="str">
        <f>IF(ISTEXT(VLOOKUP(CONCATENATE($A104,"_",AT$3),'Unit List'!$A$23:$H$3256,2,FALSE)),"X",$AP104)</f>
        <v/>
      </c>
      <c r="AU104" s="187" t="str">
        <f>IF(ISTEXT(VLOOKUP(CONCATENATE($A104,"_",AU$3),'Unit List'!$A$23:$H$3256,2,FALSE)),"+","")</f>
        <v/>
      </c>
      <c r="AV104" s="131" t="str">
        <f>IF(ISTEXT(VLOOKUP(CONCATENATE($A104,"_",AV$3),'Unit List'!$A$23:$H$3256,2,FALSE)),"X",$AU104)</f>
        <v/>
      </c>
      <c r="AW104" s="132" t="str">
        <f>IF(ISTEXT(VLOOKUP(CONCATENATE($A104,"_",AW$3),'Unit List'!$A$23:$H$3256,2,FALSE)),"X",$AU104)</f>
        <v/>
      </c>
      <c r="AX104" s="173" t="str">
        <f>IF(ISTEXT(VLOOKUP(CONCATENATE($A104,"_",AX$3),'Unit List'!$A$23:$H$3256,2,FALSE)),"+","")</f>
        <v/>
      </c>
      <c r="AY104" s="131" t="str">
        <f>IF(ISTEXT(VLOOKUP(CONCATENATE($A104,"_",AY$3),'Unit List'!$A$23:$H$3256,2,FALSE)),"X",$AX104)</f>
        <v/>
      </c>
      <c r="AZ104" s="132" t="str">
        <f>IF(ISTEXT(VLOOKUP(CONCATENATE($A104,"_",AZ$3),'Unit List'!$A$23:$H$3256,2,FALSE)),"X",$AX104)</f>
        <v/>
      </c>
      <c r="BA104" s="188" t="str">
        <f>IF(ISTEXT(VLOOKUP(CONCATENATE($A104,"_",BA$3),'Unit List'!$A$23:$H$3256,2,FALSE)),"+","")</f>
        <v/>
      </c>
      <c r="BB104" s="131" t="str">
        <f>IF(ISTEXT(VLOOKUP(CONCATENATE($A104,"_",BB$3),'Unit List'!$A$23:$H$3256,2,FALSE)),"X",$BA104)</f>
        <v/>
      </c>
      <c r="BC104" s="131" t="str">
        <f>IF(ISTEXT(VLOOKUP(CONCATENATE($A104,"_",BC$3),'Unit List'!$A$23:$H$3256,2,FALSE)),"X",$BA104)</f>
        <v/>
      </c>
      <c r="BD104" s="132" t="str">
        <f>IF(ISTEXT(VLOOKUP(CONCATENATE($A104,"_",BD$3),'Unit List'!$A$23:$H$3256,2,FALSE)),"X",$BA104)</f>
        <v/>
      </c>
      <c r="BE104" s="186" t="str">
        <f>IF(ISTEXT(VLOOKUP(CONCATENATE($A104,"_",BE$3),'Unit List'!$A$23:$H$3256,2,FALSE)),"+","")</f>
        <v/>
      </c>
      <c r="BF104" s="116" t="str">
        <f>IF(ISTEXT(VLOOKUP(CONCATENATE($A104,"_",BF$3),'Unit List'!$A$23:$H$3256,2,FALSE)),"X",$BE104)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3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2020</v>
      </c>
      <c r="C1" s="24" t="s">
        <v>2035</v>
      </c>
      <c r="D1" s="24" t="s">
        <v>2113</v>
      </c>
      <c r="E1" s="24" t="s">
        <v>1731</v>
      </c>
      <c r="F1" s="24" t="s">
        <v>1730</v>
      </c>
      <c r="G1" s="24" t="s">
        <v>1729</v>
      </c>
      <c r="H1" s="24" t="s">
        <v>2036</v>
      </c>
      <c r="I1" s="24" t="s">
        <v>1749</v>
      </c>
      <c r="J1" s="164" t="s">
        <v>1967</v>
      </c>
      <c r="K1" s="164" t="s">
        <v>1918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1913</v>
      </c>
      <c r="E3" s="34" t="s">
        <v>1920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1914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2387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2018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2310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2311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2388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2020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1967</v>
      </c>
      <c r="K13" s="164" t="s">
        <v>1918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2534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1909</v>
      </c>
      <c r="AM14" s="5"/>
      <c r="AN14" s="5"/>
      <c r="AO14" s="5" t="s">
        <v>1909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2535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1909</v>
      </c>
      <c r="AM15" s="5"/>
      <c r="AN15" s="5"/>
      <c r="AO15" s="5" t="s">
        <v>1909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2536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1909</v>
      </c>
      <c r="AM16" s="5"/>
      <c r="AN16" s="5"/>
      <c r="AO16" s="5" t="s">
        <v>1909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2537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1909</v>
      </c>
      <c r="AM17" s="5"/>
      <c r="AN17" s="5"/>
      <c r="AO17" s="5" t="s">
        <v>1909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2538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1909</v>
      </c>
      <c r="AM18" s="5"/>
      <c r="AN18" s="5"/>
      <c r="AO18" s="5" t="s">
        <v>1909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2539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1909</v>
      </c>
      <c r="AM19" s="5"/>
      <c r="AN19" s="5"/>
      <c r="AO19" s="5" t="s">
        <v>1909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2540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1909</v>
      </c>
      <c r="AM20" s="5"/>
      <c r="AN20" s="5"/>
      <c r="AO20" s="5" t="s">
        <v>1909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2541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1909</v>
      </c>
      <c r="AM21" s="5"/>
      <c r="AN21" s="5"/>
      <c r="AO21" s="5" t="s">
        <v>1909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2542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1909</v>
      </c>
      <c r="AM22" s="5"/>
      <c r="AN22" s="5"/>
      <c r="AO22" s="5" t="s">
        <v>1909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2236</v>
      </c>
      <c r="C23" s="5"/>
      <c r="D23" s="5"/>
      <c r="E23" s="5" t="s">
        <v>1078</v>
      </c>
      <c r="F23" s="5" t="s">
        <v>2236</v>
      </c>
      <c r="G23" s="5" t="s">
        <v>2017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2236</v>
      </c>
      <c r="C24" s="5"/>
      <c r="D24" s="5"/>
      <c r="E24" s="5" t="s">
        <v>1078</v>
      </c>
      <c r="F24" s="5" t="s">
        <v>2236</v>
      </c>
      <c r="G24" s="5" t="s">
        <v>2038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2236</v>
      </c>
      <c r="C25" s="5"/>
      <c r="D25" s="5"/>
      <c r="E25" s="5" t="s">
        <v>1078</v>
      </c>
      <c r="F25" s="5" t="s">
        <v>2236</v>
      </c>
      <c r="G25" s="5" t="s">
        <v>2039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2236</v>
      </c>
      <c r="C26" s="5"/>
      <c r="D26" s="5"/>
      <c r="E26" s="5" t="s">
        <v>1078</v>
      </c>
      <c r="F26" s="5" t="s">
        <v>2236</v>
      </c>
      <c r="G26" s="5" t="s">
        <v>2040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2236</v>
      </c>
      <c r="C27" s="5"/>
      <c r="D27" s="5"/>
      <c r="E27" s="5" t="s">
        <v>1078</v>
      </c>
      <c r="F27" s="5" t="s">
        <v>2236</v>
      </c>
      <c r="G27" s="5" t="s">
        <v>2041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2236</v>
      </c>
      <c r="C28" s="5"/>
      <c r="D28" s="5"/>
      <c r="E28" s="5" t="s">
        <v>1078</v>
      </c>
      <c r="F28" s="5" t="s">
        <v>2236</v>
      </c>
      <c r="G28" s="5" t="s">
        <v>2042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2236</v>
      </c>
      <c r="C29" s="5"/>
      <c r="D29" s="5"/>
      <c r="E29" s="5" t="s">
        <v>1078</v>
      </c>
      <c r="F29" s="5" t="s">
        <v>2236</v>
      </c>
      <c r="G29" s="5" t="s">
        <v>2043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2236</v>
      </c>
      <c r="C30" s="5"/>
      <c r="D30" s="5"/>
      <c r="E30" s="5" t="s">
        <v>1078</v>
      </c>
      <c r="F30" s="5" t="s">
        <v>2236</v>
      </c>
      <c r="G30" s="5" t="s">
        <v>2044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2236</v>
      </c>
      <c r="C31" s="5"/>
      <c r="D31" s="5"/>
      <c r="E31" s="5" t="s">
        <v>1078</v>
      </c>
      <c r="F31" s="5" t="s">
        <v>2236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2533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1909</v>
      </c>
      <c r="AM32" s="5"/>
      <c r="AN32" s="5"/>
      <c r="AO32" s="5" t="s">
        <v>1909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2543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1909</v>
      </c>
      <c r="AM33" s="5"/>
      <c r="AN33" s="5"/>
      <c r="AO33" s="5" t="s">
        <v>1909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2544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1909</v>
      </c>
      <c r="AM34" s="5"/>
      <c r="AN34" s="5"/>
      <c r="AO34" s="5" t="s">
        <v>1909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2545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1909</v>
      </c>
      <c r="AM35" s="5"/>
      <c r="AN35" s="5"/>
      <c r="AO35" s="5" t="s">
        <v>1909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2546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1909</v>
      </c>
      <c r="AM36" s="5"/>
      <c r="AN36" s="5"/>
      <c r="AO36" s="5" t="s">
        <v>1909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2547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1909</v>
      </c>
      <c r="AM37" s="5"/>
      <c r="AN37" s="5"/>
      <c r="AO37" s="5" t="s">
        <v>1909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2548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1909</v>
      </c>
      <c r="AM38" s="5"/>
      <c r="AN38" s="5"/>
      <c r="AO38" s="5" t="s">
        <v>1909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2549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1909</v>
      </c>
      <c r="AM39" s="5"/>
      <c r="AN39" s="5"/>
      <c r="AO39" s="5" t="s">
        <v>1909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2550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1909</v>
      </c>
      <c r="AM40" s="5"/>
      <c r="AN40" s="5"/>
      <c r="AO40" s="5" t="s">
        <v>1909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2236</v>
      </c>
      <c r="C41" s="5" t="s">
        <v>694</v>
      </c>
      <c r="D41" s="5"/>
      <c r="E41" s="5" t="s">
        <v>1078</v>
      </c>
      <c r="F41" s="5" t="s">
        <v>2236</v>
      </c>
      <c r="G41" s="5" t="s">
        <v>2015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2236</v>
      </c>
      <c r="C42" s="5" t="s">
        <v>694</v>
      </c>
      <c r="D42" s="5"/>
      <c r="E42" s="5" t="s">
        <v>1078</v>
      </c>
      <c r="F42" s="5" t="s">
        <v>2236</v>
      </c>
      <c r="G42" s="5" t="s">
        <v>2038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2236</v>
      </c>
      <c r="C43" s="5" t="s">
        <v>694</v>
      </c>
      <c r="D43" s="5"/>
      <c r="E43" s="5" t="s">
        <v>1078</v>
      </c>
      <c r="F43" s="5" t="s">
        <v>2236</v>
      </c>
      <c r="G43" s="5" t="s">
        <v>2039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2236</v>
      </c>
      <c r="C44" s="5" t="s">
        <v>694</v>
      </c>
      <c r="D44" s="5"/>
      <c r="E44" s="5" t="s">
        <v>1078</v>
      </c>
      <c r="F44" s="5" t="s">
        <v>2236</v>
      </c>
      <c r="G44" s="5" t="s">
        <v>2040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2236</v>
      </c>
      <c r="C45" s="5" t="s">
        <v>694</v>
      </c>
      <c r="D45" s="5"/>
      <c r="E45" s="5" t="s">
        <v>1078</v>
      </c>
      <c r="F45" s="5" t="s">
        <v>2236</v>
      </c>
      <c r="G45" s="5" t="s">
        <v>2041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2236</v>
      </c>
      <c r="C46" s="5" t="s">
        <v>694</v>
      </c>
      <c r="D46" s="5"/>
      <c r="E46" s="5" t="s">
        <v>1078</v>
      </c>
      <c r="F46" s="5" t="s">
        <v>2236</v>
      </c>
      <c r="G46" s="5" t="s">
        <v>2042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2236</v>
      </c>
      <c r="C47" s="5" t="s">
        <v>694</v>
      </c>
      <c r="D47" s="5"/>
      <c r="E47" s="5" t="s">
        <v>1078</v>
      </c>
      <c r="F47" s="5" t="s">
        <v>2236</v>
      </c>
      <c r="G47" s="5" t="s">
        <v>2043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2236</v>
      </c>
      <c r="C48" s="5" t="s">
        <v>694</v>
      </c>
      <c r="D48" s="5"/>
      <c r="E48" s="5" t="s">
        <v>1078</v>
      </c>
      <c r="F48" s="5" t="s">
        <v>2236</v>
      </c>
      <c r="G48" s="5" t="s">
        <v>2044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2236</v>
      </c>
      <c r="C49" s="5" t="s">
        <v>694</v>
      </c>
      <c r="D49" s="5"/>
      <c r="E49" s="5" t="s">
        <v>1078</v>
      </c>
      <c r="F49" s="5" t="s">
        <v>2236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2551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1909</v>
      </c>
      <c r="AM50" s="5"/>
      <c r="AN50" s="5"/>
      <c r="AO50" s="5" t="s">
        <v>1909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2552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1909</v>
      </c>
      <c r="AM51" s="5"/>
      <c r="AN51" s="5"/>
      <c r="AO51" s="5" t="s">
        <v>1909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2553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1909</v>
      </c>
      <c r="AM52" s="5"/>
      <c r="AN52" s="5"/>
      <c r="AO52" s="5" t="s">
        <v>1909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2554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1909</v>
      </c>
      <c r="AM53" s="5"/>
      <c r="AN53" s="5"/>
      <c r="AO53" s="5" t="s">
        <v>1909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2555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1909</v>
      </c>
      <c r="AM54" s="5"/>
      <c r="AN54" s="5"/>
      <c r="AO54" s="5" t="s">
        <v>1909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2556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1909</v>
      </c>
      <c r="AM55" s="5"/>
      <c r="AN55" s="5"/>
      <c r="AO55" s="5" t="s">
        <v>1909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2557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1909</v>
      </c>
      <c r="AM56" s="5"/>
      <c r="AN56" s="5"/>
      <c r="AO56" s="5" t="s">
        <v>1909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2558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1909</v>
      </c>
      <c r="AM57" s="5"/>
      <c r="AN57" s="5"/>
      <c r="AO57" s="5" t="s">
        <v>1909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2559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1909</v>
      </c>
      <c r="AM58" s="5"/>
      <c r="AN58" s="5"/>
      <c r="AO58" s="5" t="s">
        <v>1909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2236</v>
      </c>
      <c r="C59" s="5" t="s">
        <v>697</v>
      </c>
      <c r="D59" s="5"/>
      <c r="E59" s="5" t="s">
        <v>1078</v>
      </c>
      <c r="F59" s="5" t="s">
        <v>2236</v>
      </c>
      <c r="G59" s="5" t="s">
        <v>2016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2236</v>
      </c>
      <c r="C60" s="5" t="s">
        <v>697</v>
      </c>
      <c r="D60" s="5"/>
      <c r="E60" s="5" t="s">
        <v>1078</v>
      </c>
      <c r="F60" s="5" t="s">
        <v>2236</v>
      </c>
      <c r="G60" s="5" t="s">
        <v>2038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2236</v>
      </c>
      <c r="C61" s="5" t="s">
        <v>697</v>
      </c>
      <c r="D61" s="5"/>
      <c r="E61" s="5" t="s">
        <v>1078</v>
      </c>
      <c r="F61" s="5" t="s">
        <v>2236</v>
      </c>
      <c r="G61" s="5" t="s">
        <v>2039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2236</v>
      </c>
      <c r="C62" s="5" t="s">
        <v>697</v>
      </c>
      <c r="D62" s="5"/>
      <c r="E62" s="5" t="s">
        <v>1078</v>
      </c>
      <c r="F62" s="5" t="s">
        <v>2236</v>
      </c>
      <c r="G62" s="5" t="s">
        <v>2040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2236</v>
      </c>
      <c r="C63" s="5" t="s">
        <v>697</v>
      </c>
      <c r="D63" s="5"/>
      <c r="E63" s="5" t="s">
        <v>1078</v>
      </c>
      <c r="F63" s="5" t="s">
        <v>2236</v>
      </c>
      <c r="G63" s="5" t="s">
        <v>2041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2236</v>
      </c>
      <c r="C64" s="5" t="s">
        <v>697</v>
      </c>
      <c r="D64" s="5"/>
      <c r="E64" s="5" t="s">
        <v>1078</v>
      </c>
      <c r="F64" s="5" t="s">
        <v>2236</v>
      </c>
      <c r="G64" s="5" t="s">
        <v>2042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2236</v>
      </c>
      <c r="C65" s="5" t="s">
        <v>697</v>
      </c>
      <c r="D65" s="5"/>
      <c r="E65" s="5" t="s">
        <v>1078</v>
      </c>
      <c r="F65" s="5" t="s">
        <v>2236</v>
      </c>
      <c r="G65" s="5" t="s">
        <v>2043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2236</v>
      </c>
      <c r="C66" s="5" t="s">
        <v>697</v>
      </c>
      <c r="D66" s="5"/>
      <c r="E66" s="5" t="s">
        <v>1078</v>
      </c>
      <c r="F66" s="5" t="s">
        <v>2236</v>
      </c>
      <c r="G66" s="5" t="s">
        <v>2044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2236</v>
      </c>
      <c r="C67" s="5" t="s">
        <v>697</v>
      </c>
      <c r="D67" s="5"/>
      <c r="E67" s="5" t="s">
        <v>1078</v>
      </c>
      <c r="F67" s="5" t="s">
        <v>2236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2560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1909</v>
      </c>
      <c r="AM68" s="5"/>
      <c r="AN68" s="5"/>
      <c r="AO68" s="5" t="s">
        <v>1909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2561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1909</v>
      </c>
      <c r="AM69" s="5"/>
      <c r="AN69" s="5"/>
      <c r="AO69" s="5" t="s">
        <v>1909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2562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1909</v>
      </c>
      <c r="AM70" s="5"/>
      <c r="AN70" s="5"/>
      <c r="AO70" s="5" t="s">
        <v>1909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2563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1909</v>
      </c>
      <c r="AM71" s="5"/>
      <c r="AN71" s="5"/>
      <c r="AO71" s="5" t="s">
        <v>1909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2564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1909</v>
      </c>
      <c r="AM72" s="5"/>
      <c r="AN72" s="5"/>
      <c r="AO72" s="5" t="s">
        <v>1909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2565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1909</v>
      </c>
      <c r="AM73" s="5"/>
      <c r="AN73" s="5"/>
      <c r="AO73" s="5" t="s">
        <v>1909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2566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1909</v>
      </c>
      <c r="AM74" s="5"/>
      <c r="AN74" s="5"/>
      <c r="AO74" s="5" t="s">
        <v>1909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2567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1909</v>
      </c>
      <c r="AM75" s="5"/>
      <c r="AN75" s="5"/>
      <c r="AO75" s="5" t="s">
        <v>1909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2568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1909</v>
      </c>
      <c r="AM76" s="5"/>
      <c r="AN76" s="5"/>
      <c r="AO76" s="5" t="s">
        <v>1909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2236</v>
      </c>
      <c r="C77" s="5" t="s">
        <v>693</v>
      </c>
      <c r="D77" s="5"/>
      <c r="E77" s="5" t="s">
        <v>1078</v>
      </c>
      <c r="F77" s="5" t="s">
        <v>2236</v>
      </c>
      <c r="G77" s="5" t="s">
        <v>2037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2236</v>
      </c>
      <c r="C78" s="5" t="s">
        <v>693</v>
      </c>
      <c r="D78" s="5"/>
      <c r="E78" s="5" t="s">
        <v>1078</v>
      </c>
      <c r="F78" s="5" t="s">
        <v>2236</v>
      </c>
      <c r="G78" s="5" t="s">
        <v>2038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2236</v>
      </c>
      <c r="C79" s="5" t="s">
        <v>693</v>
      </c>
      <c r="D79" s="5"/>
      <c r="E79" s="5" t="s">
        <v>1078</v>
      </c>
      <c r="F79" s="5" t="s">
        <v>2236</v>
      </c>
      <c r="G79" s="5" t="s">
        <v>2039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2236</v>
      </c>
      <c r="C80" s="5" t="s">
        <v>693</v>
      </c>
      <c r="D80" s="5"/>
      <c r="E80" s="5" t="s">
        <v>1078</v>
      </c>
      <c r="F80" s="5" t="s">
        <v>2236</v>
      </c>
      <c r="G80" s="5" t="s">
        <v>2040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2236</v>
      </c>
      <c r="C81" s="5" t="s">
        <v>693</v>
      </c>
      <c r="D81" s="5"/>
      <c r="E81" s="5" t="s">
        <v>1078</v>
      </c>
      <c r="F81" s="5" t="s">
        <v>2236</v>
      </c>
      <c r="G81" s="5" t="s">
        <v>2041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2236</v>
      </c>
      <c r="C82" s="5" t="s">
        <v>693</v>
      </c>
      <c r="D82" s="5"/>
      <c r="E82" s="5" t="s">
        <v>1078</v>
      </c>
      <c r="F82" s="5" t="s">
        <v>2236</v>
      </c>
      <c r="G82" s="5" t="s">
        <v>2042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2236</v>
      </c>
      <c r="C83" s="5" t="s">
        <v>693</v>
      </c>
      <c r="D83" s="5"/>
      <c r="E83" s="5" t="s">
        <v>1078</v>
      </c>
      <c r="F83" s="5" t="s">
        <v>2236</v>
      </c>
      <c r="G83" s="5" t="s">
        <v>2043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2236</v>
      </c>
      <c r="C84" s="5" t="s">
        <v>693</v>
      </c>
      <c r="D84" s="5"/>
      <c r="E84" s="5" t="s">
        <v>1078</v>
      </c>
      <c r="F84" s="5" t="s">
        <v>2236</v>
      </c>
      <c r="G84" s="5" t="s">
        <v>2044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2236</v>
      </c>
      <c r="C85" s="5" t="s">
        <v>693</v>
      </c>
      <c r="D85" s="5"/>
      <c r="E85" s="5" t="s">
        <v>1078</v>
      </c>
      <c r="F85" s="5" t="s">
        <v>2236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2236</v>
      </c>
      <c r="C86" s="4" t="s">
        <v>918</v>
      </c>
      <c r="D86" s="4" t="s">
        <v>694</v>
      </c>
      <c r="E86" s="4" t="s">
        <v>1078</v>
      </c>
      <c r="F86" s="5" t="s">
        <v>2236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2236</v>
      </c>
      <c r="C87" s="4" t="s">
        <v>690</v>
      </c>
      <c r="D87" s="4" t="s">
        <v>694</v>
      </c>
      <c r="E87" s="4" t="s">
        <v>1078</v>
      </c>
      <c r="F87" s="5" t="s">
        <v>2236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2236</v>
      </c>
      <c r="C88" s="4" t="s">
        <v>2009</v>
      </c>
      <c r="D88" s="4" t="s">
        <v>694</v>
      </c>
      <c r="E88" s="4" t="s">
        <v>1078</v>
      </c>
      <c r="F88" s="5" t="s">
        <v>2236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2236</v>
      </c>
      <c r="C89" s="4" t="s">
        <v>994</v>
      </c>
      <c r="D89" s="4" t="s">
        <v>697</v>
      </c>
      <c r="E89" s="4" t="s">
        <v>1078</v>
      </c>
      <c r="F89" s="5" t="s">
        <v>2236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2236</v>
      </c>
      <c r="C90" s="4" t="s">
        <v>691</v>
      </c>
      <c r="D90" s="4" t="s">
        <v>697</v>
      </c>
      <c r="E90" s="4" t="s">
        <v>1078</v>
      </c>
      <c r="F90" s="5" t="s">
        <v>2236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2236</v>
      </c>
      <c r="C91" s="4" t="s">
        <v>695</v>
      </c>
      <c r="D91" s="4" t="s">
        <v>693</v>
      </c>
      <c r="E91" s="4" t="s">
        <v>1078</v>
      </c>
      <c r="F91" s="5" t="s">
        <v>2236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2236</v>
      </c>
      <c r="C92" s="4" t="s">
        <v>696</v>
      </c>
      <c r="D92" s="4" t="s">
        <v>693</v>
      </c>
      <c r="E92" s="4" t="s">
        <v>1078</v>
      </c>
      <c r="F92" s="5" t="s">
        <v>2236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2045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2046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2045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2046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1940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49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2045</v>
      </c>
      <c r="H99" s="4" t="s">
        <v>861</v>
      </c>
      <c r="I99" s="4" t="s">
        <v>1940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2047</v>
      </c>
      <c r="H100" s="4" t="s">
        <v>860</v>
      </c>
      <c r="I100" s="4" t="s">
        <v>1940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2046</v>
      </c>
      <c r="H101" s="4" t="s">
        <v>682</v>
      </c>
      <c r="I101" s="4" t="s">
        <v>1940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1940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2045</v>
      </c>
      <c r="H103" s="4" t="s">
        <v>861</v>
      </c>
      <c r="I103" s="4" t="s">
        <v>1940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2047</v>
      </c>
      <c r="H104" s="4" t="s">
        <v>860</v>
      </c>
      <c r="I104" s="4" t="s">
        <v>1940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2046</v>
      </c>
      <c r="H105" s="4" t="s">
        <v>682</v>
      </c>
      <c r="I105" s="4" t="s">
        <v>1940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2045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2045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2609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2045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2045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2045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2045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2045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2045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2045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2045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2045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2045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2045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2</v>
      </c>
      <c r="R137" s="11"/>
      <c r="S137" s="4"/>
      <c r="T137" s="11">
        <v>3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2045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1</v>
      </c>
      <c r="R138" s="11"/>
      <c r="S138" s="4"/>
      <c r="T138" s="11">
        <v>2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 t="s">
        <v>2047</v>
      </c>
      <c r="H139" s="4" t="s">
        <v>364</v>
      </c>
      <c r="I139" s="4" t="s">
        <v>1820</v>
      </c>
      <c r="J139" s="11"/>
      <c r="K139" s="11"/>
      <c r="L139" s="4"/>
      <c r="M139" s="12"/>
      <c r="N139" s="4"/>
      <c r="O139" s="4"/>
      <c r="P139" s="4"/>
      <c r="Q139" s="9">
        <v>1</v>
      </c>
      <c r="R139" s="11"/>
      <c r="S139" s="4"/>
      <c r="T139" s="11">
        <v>2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1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2045</v>
      </c>
      <c r="H141" s="4" t="s">
        <v>886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2</v>
      </c>
      <c r="R141" s="11"/>
      <c r="S141" s="4"/>
      <c r="T141" s="11">
        <v>3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1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2047</v>
      </c>
      <c r="H142" s="4" t="s">
        <v>364</v>
      </c>
      <c r="I142" s="4" t="s">
        <v>1820</v>
      </c>
      <c r="J142" s="11"/>
      <c r="K142" s="11"/>
      <c r="L142" s="4"/>
      <c r="M142" s="12"/>
      <c r="N142" s="4"/>
      <c r="O142" s="4"/>
      <c r="P142" s="4"/>
      <c r="Q142" s="9">
        <v>2</v>
      </c>
      <c r="R142" s="11"/>
      <c r="S142" s="4"/>
      <c r="T142" s="11">
        <v>3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5</v>
      </c>
      <c r="U143" s="11"/>
      <c r="V143" s="4"/>
      <c r="W143" s="11"/>
      <c r="X143" s="11"/>
      <c r="Y143" s="4"/>
      <c r="Z143" s="9">
        <v>1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2045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4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_WARRIOR_NETHERLANDS</v>
      </c>
      <c r="B145" s="9" t="s">
        <v>787</v>
      </c>
      <c r="C145" s="4" t="s">
        <v>730</v>
      </c>
      <c r="D145" s="4"/>
      <c r="E145" s="4" t="s">
        <v>743</v>
      </c>
      <c r="F145" s="4" t="s">
        <v>787</v>
      </c>
      <c r="G145" s="4"/>
      <c r="H145" s="4" t="s">
        <v>977</v>
      </c>
      <c r="I145" s="4" t="s">
        <v>1795</v>
      </c>
      <c r="J145" s="11"/>
      <c r="K145" s="11"/>
      <c r="L145" s="4"/>
      <c r="M145" s="12"/>
      <c r="N145" s="4"/>
      <c r="O145" s="4"/>
      <c r="P145" s="4"/>
      <c r="Q145" s="9">
        <v>3</v>
      </c>
      <c r="R145" s="11"/>
      <c r="S145" s="4"/>
      <c r="T145" s="11">
        <v>4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2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_WARRIOR_NETHERLANDS</v>
      </c>
      <c r="B146" s="9" t="s">
        <v>787</v>
      </c>
      <c r="C146" s="4" t="s">
        <v>730</v>
      </c>
      <c r="D146" s="4"/>
      <c r="E146" s="4" t="s">
        <v>743</v>
      </c>
      <c r="F146" s="4" t="s">
        <v>787</v>
      </c>
      <c r="G146" s="4" t="s">
        <v>2045</v>
      </c>
      <c r="H146" s="4" t="s">
        <v>219</v>
      </c>
      <c r="I146" s="4" t="s">
        <v>1795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5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2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2047</v>
      </c>
      <c r="H147" s="4" t="s">
        <v>817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1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2045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ref="A150:A223" si="6">CONCATENATE(E150,IF(ISBLANK(C150),"",CONCATENATE("_",C150)))</f>
        <v>_WARRIOR_BYZANTIUM</v>
      </c>
      <c r="B150" s="9" t="s">
        <v>787</v>
      </c>
      <c r="C150" s="4" t="s">
        <v>707</v>
      </c>
      <c r="D150" s="4"/>
      <c r="E150" s="4" t="s">
        <v>743</v>
      </c>
      <c r="F150" s="4" t="s">
        <v>787</v>
      </c>
      <c r="G150" s="4"/>
      <c r="H150" s="4" t="s">
        <v>818</v>
      </c>
      <c r="I150" s="4" t="s">
        <v>1820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0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6"/>
        <v>_WARRIOR_BYZANTIUM</v>
      </c>
      <c r="B151" s="9" t="s">
        <v>787</v>
      </c>
      <c r="C151" s="4" t="s">
        <v>707</v>
      </c>
      <c r="D151" s="4"/>
      <c r="E151" s="4" t="s">
        <v>743</v>
      </c>
      <c r="F151" s="4" t="s">
        <v>787</v>
      </c>
      <c r="G151" s="4" t="s">
        <v>2045</v>
      </c>
      <c r="H151" s="4" t="s">
        <v>225</v>
      </c>
      <c r="I151" s="4" t="s">
        <v>1820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6"/>
        <v>_WARRIOR_CARTHAGE</v>
      </c>
      <c r="B152" s="9" t="s">
        <v>787</v>
      </c>
      <c r="C152" s="4" t="s">
        <v>708</v>
      </c>
      <c r="D152" s="4"/>
      <c r="E152" s="4" t="s">
        <v>743</v>
      </c>
      <c r="F152" s="4" t="s">
        <v>787</v>
      </c>
      <c r="G152" s="14" t="s">
        <v>132</v>
      </c>
      <c r="H152" s="4" t="s">
        <v>227</v>
      </c>
      <c r="I152" s="4" t="s">
        <v>1821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9"/>
      <c r="AH152" s="4"/>
      <c r="AI152" s="9"/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6"/>
        <v>_WARRIOR_GREECE</v>
      </c>
      <c r="B153" s="9" t="s">
        <v>787</v>
      </c>
      <c r="C153" s="4" t="s">
        <v>718</v>
      </c>
      <c r="D153" s="4"/>
      <c r="E153" s="4" t="s">
        <v>743</v>
      </c>
      <c r="F153" s="4" t="s">
        <v>787</v>
      </c>
      <c r="G153" s="4"/>
      <c r="H153" s="4" t="s">
        <v>396</v>
      </c>
      <c r="I153" s="4" t="s">
        <v>1819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6"/>
        <v>_WARRIOR_PORTUGAL</v>
      </c>
      <c r="B154" s="9" t="s">
        <v>787</v>
      </c>
      <c r="C154" s="4" t="s">
        <v>733</v>
      </c>
      <c r="D154" s="4"/>
      <c r="E154" s="4" t="s">
        <v>743</v>
      </c>
      <c r="F154" s="4" t="s">
        <v>787</v>
      </c>
      <c r="G154" s="14" t="s">
        <v>132</v>
      </c>
      <c r="H154" s="4" t="s">
        <v>524</v>
      </c>
      <c r="I154" s="4" t="s">
        <v>1795</v>
      </c>
      <c r="J154" s="11"/>
      <c r="K154" s="11"/>
      <c r="L154" s="4"/>
      <c r="M154" s="12"/>
      <c r="N154" s="4"/>
      <c r="O154" s="4"/>
      <c r="P154" s="4"/>
      <c r="Q154" s="9" t="s">
        <v>1736</v>
      </c>
      <c r="R154" s="11"/>
      <c r="S154" s="4"/>
      <c r="T154" s="9"/>
      <c r="U154" s="11"/>
      <c r="V154" s="4"/>
      <c r="W154" s="9"/>
      <c r="X154" s="11"/>
      <c r="Y154" s="4"/>
      <c r="Z154" s="9"/>
      <c r="AA154" s="11"/>
      <c r="AB154" s="4"/>
      <c r="AC154" s="11"/>
      <c r="AD154" s="11"/>
      <c r="AE154" s="4"/>
      <c r="AF154" s="9"/>
      <c r="AG154" s="11"/>
      <c r="AH154" s="4"/>
      <c r="AI154" s="9"/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_WARRIOR_ROME</v>
      </c>
      <c r="B155" s="9" t="s">
        <v>787</v>
      </c>
      <c r="C155" s="4" t="s">
        <v>734</v>
      </c>
      <c r="D155" s="4"/>
      <c r="E155" s="4" t="s">
        <v>743</v>
      </c>
      <c r="F155" s="4" t="s">
        <v>787</v>
      </c>
      <c r="G155" s="4"/>
      <c r="H155" s="4" t="s">
        <v>998</v>
      </c>
      <c r="I155" s="4" t="s">
        <v>1795</v>
      </c>
      <c r="J155" s="11"/>
      <c r="K155" s="11"/>
      <c r="L155" s="4"/>
      <c r="M155" s="12"/>
      <c r="N155" s="4"/>
      <c r="O155" s="4"/>
      <c r="P155" s="4"/>
      <c r="Q155" s="9" t="s">
        <v>1736</v>
      </c>
      <c r="R155" s="11"/>
      <c r="S155" s="4"/>
      <c r="T155" s="11"/>
      <c r="U155" s="11"/>
      <c r="V155" s="4"/>
      <c r="W155" s="11"/>
      <c r="X155" s="11"/>
      <c r="Y155" s="4"/>
      <c r="Z155" s="9"/>
      <c r="AA155" s="11"/>
      <c r="AB155" s="4"/>
      <c r="AC155" s="11"/>
      <c r="AD155" s="11"/>
      <c r="AE155" s="4"/>
      <c r="AF155" s="11"/>
      <c r="AG155" s="11"/>
      <c r="AH155" s="4"/>
      <c r="AI155" s="11"/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1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3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2045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1</v>
      </c>
      <c r="AG157" s="11"/>
      <c r="AH157" s="4"/>
      <c r="AI157" s="11">
        <v>2</v>
      </c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_WARRIOR_SPAIN</v>
      </c>
      <c r="B158" s="9" t="s">
        <v>787</v>
      </c>
      <c r="C158" s="4" t="s">
        <v>738</v>
      </c>
      <c r="D158" s="4"/>
      <c r="E158" s="4" t="s">
        <v>743</v>
      </c>
      <c r="F158" s="4" t="s">
        <v>787</v>
      </c>
      <c r="G158" s="4"/>
      <c r="H158" s="4" t="s">
        <v>1021</v>
      </c>
      <c r="I158" s="4" t="s">
        <v>1820</v>
      </c>
      <c r="J158" s="11"/>
      <c r="K158" s="11"/>
      <c r="L158" s="4"/>
      <c r="M158" s="12"/>
      <c r="N158" s="4"/>
      <c r="O158" s="4"/>
      <c r="P158" s="4"/>
      <c r="Q158" s="9">
        <v>4</v>
      </c>
      <c r="R158" s="11"/>
      <c r="S158" s="4"/>
      <c r="T158" s="11">
        <v>5</v>
      </c>
      <c r="U158" s="11"/>
      <c r="V158" s="4"/>
      <c r="W158" s="11"/>
      <c r="X158" s="11"/>
      <c r="Y158" s="4"/>
      <c r="Z158" s="9">
        <v>0</v>
      </c>
      <c r="AA158" s="11"/>
      <c r="AB158" s="4"/>
      <c r="AC158" s="11"/>
      <c r="AD158" s="11"/>
      <c r="AE158" s="4"/>
      <c r="AF158" s="11">
        <v>1</v>
      </c>
      <c r="AG158" s="11"/>
      <c r="AH158" s="4"/>
      <c r="AI158" s="11">
        <v>2</v>
      </c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_WARRIOR_SPAIN</v>
      </c>
      <c r="B159" s="9" t="s">
        <v>787</v>
      </c>
      <c r="C159" s="4" t="s">
        <v>738</v>
      </c>
      <c r="D159" s="4"/>
      <c r="E159" s="4" t="s">
        <v>743</v>
      </c>
      <c r="F159" s="4" t="s">
        <v>787</v>
      </c>
      <c r="G159" s="4" t="s">
        <v>2045</v>
      </c>
      <c r="H159" s="4" t="s">
        <v>646</v>
      </c>
      <c r="I159" s="4" t="s">
        <v>1820</v>
      </c>
      <c r="J159" s="11"/>
      <c r="K159" s="11"/>
      <c r="L159" s="4"/>
      <c r="M159" s="12"/>
      <c r="N159" s="4"/>
      <c r="O159" s="4"/>
      <c r="P159" s="4"/>
      <c r="Q159" s="9">
        <v>2</v>
      </c>
      <c r="R159" s="11"/>
      <c r="S159" s="4"/>
      <c r="T159" s="11">
        <v>3</v>
      </c>
      <c r="U159" s="11"/>
      <c r="V159" s="4"/>
      <c r="W159" s="11"/>
      <c r="X159" s="11"/>
      <c r="Y159" s="4"/>
      <c r="Z159" s="9">
        <v>0</v>
      </c>
      <c r="AA159" s="11"/>
      <c r="AB159" s="4"/>
      <c r="AC159" s="11"/>
      <c r="AD159" s="11"/>
      <c r="AE159" s="4"/>
      <c r="AF159" s="11">
        <v>0</v>
      </c>
      <c r="AG159" s="11"/>
      <c r="AH159" s="4"/>
      <c r="AI159" s="11">
        <v>0</v>
      </c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_WARRIOR_MIDEAST</v>
      </c>
      <c r="B160" s="9" t="s">
        <v>787</v>
      </c>
      <c r="C160" s="4" t="s">
        <v>690</v>
      </c>
      <c r="D160" s="4"/>
      <c r="E160" s="4" t="s">
        <v>743</v>
      </c>
      <c r="F160" s="4" t="s">
        <v>787</v>
      </c>
      <c r="G160" s="4"/>
      <c r="H160" s="4" t="s">
        <v>959</v>
      </c>
      <c r="I160" s="4" t="s">
        <v>1055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_WARRIOR_BABYLON</v>
      </c>
      <c r="B161" s="9" t="s">
        <v>787</v>
      </c>
      <c r="C161" s="4" t="s">
        <v>703</v>
      </c>
      <c r="D161" s="4"/>
      <c r="E161" s="4" t="s">
        <v>743</v>
      </c>
      <c r="F161" s="4" t="s">
        <v>787</v>
      </c>
      <c r="G161" s="4"/>
      <c r="H161" s="4" t="s">
        <v>2181</v>
      </c>
      <c r="I161" s="4" t="s">
        <v>1793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_WARRIOR_EGYPT</v>
      </c>
      <c r="B162" s="9" t="s">
        <v>787</v>
      </c>
      <c r="C162" s="4" t="s">
        <v>712</v>
      </c>
      <c r="D162" s="4"/>
      <c r="E162" s="4" t="s">
        <v>743</v>
      </c>
      <c r="F162" s="4" t="s">
        <v>787</v>
      </c>
      <c r="G162" s="4"/>
      <c r="H162" s="4" t="s">
        <v>1784</v>
      </c>
      <c r="I162" s="4" t="s">
        <v>1794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_WARRIOR_LEVANT</v>
      </c>
      <c r="B163" s="9" t="s">
        <v>787</v>
      </c>
      <c r="C163" s="4" t="s">
        <v>724</v>
      </c>
      <c r="D163" s="4"/>
      <c r="E163" s="4" t="s">
        <v>743</v>
      </c>
      <c r="F163" s="4" t="s">
        <v>787</v>
      </c>
      <c r="G163" s="14" t="s">
        <v>132</v>
      </c>
      <c r="H163" s="4" t="s">
        <v>505</v>
      </c>
      <c r="I163" s="4" t="s">
        <v>1063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_WARRIOR_PERSIA</v>
      </c>
      <c r="B164" s="9" t="s">
        <v>787</v>
      </c>
      <c r="C164" s="4" t="s">
        <v>731</v>
      </c>
      <c r="D164" s="4"/>
      <c r="E164" s="4" t="s">
        <v>743</v>
      </c>
      <c r="F164" s="4" t="s">
        <v>787</v>
      </c>
      <c r="G164" s="14"/>
      <c r="H164" s="4" t="s">
        <v>1785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 t="s">
        <v>1736</v>
      </c>
      <c r="R164" s="11"/>
      <c r="S164" s="4"/>
      <c r="T164" s="9"/>
      <c r="U164" s="11"/>
      <c r="V164" s="4"/>
      <c r="W164" s="9"/>
      <c r="X164" s="11"/>
      <c r="Y164" s="4"/>
      <c r="Z164" s="9"/>
      <c r="AA164" s="11"/>
      <c r="AB164" s="4"/>
      <c r="AC164" s="11"/>
      <c r="AD164" s="11"/>
      <c r="AE164" s="4"/>
      <c r="AF164" s="9"/>
      <c r="AG164" s="11"/>
      <c r="AH164" s="4"/>
      <c r="AI164" s="9"/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>CONCATENATE(E165,IF(ISBLANK(C165),"",CONCATENATE("_",C165)))</f>
        <v>_WARRIOR_NORTHAF</v>
      </c>
      <c r="B165" s="9" t="s">
        <v>787</v>
      </c>
      <c r="C165" s="4" t="s">
        <v>2009</v>
      </c>
      <c r="D165" s="4"/>
      <c r="E165" s="4" t="s">
        <v>743</v>
      </c>
      <c r="F165" s="4" t="s">
        <v>787</v>
      </c>
      <c r="G165" s="14" t="s">
        <v>132</v>
      </c>
      <c r="H165" s="4" t="s">
        <v>640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1736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5</v>
      </c>
      <c r="U166" s="11">
        <v>9.5000000000000001E-2</v>
      </c>
      <c r="V166" s="4"/>
      <c r="W166" s="11"/>
      <c r="X166" s="11" t="s">
        <v>3</v>
      </c>
      <c r="Y166" s="4"/>
      <c r="Z166" s="9">
        <v>1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2045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4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1</v>
      </c>
      <c r="AG167" s="11"/>
      <c r="AH167" s="4"/>
      <c r="AI167" s="11">
        <v>1</v>
      </c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_WARRIOR_NORTHEU</v>
      </c>
      <c r="B168" s="9" t="s">
        <v>787</v>
      </c>
      <c r="C168" s="4" t="s">
        <v>962</v>
      </c>
      <c r="D168" s="4"/>
      <c r="E168" s="4" t="s">
        <v>743</v>
      </c>
      <c r="F168" s="4" t="s">
        <v>787</v>
      </c>
      <c r="G168" s="4"/>
      <c r="H168" s="4" t="s">
        <v>839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>
        <v>3</v>
      </c>
      <c r="R168" s="11">
        <v>0.15</v>
      </c>
      <c r="S168" s="4"/>
      <c r="T168" s="11">
        <v>4</v>
      </c>
      <c r="U168" s="11">
        <v>9.5000000000000001E-2</v>
      </c>
      <c r="V168" s="4"/>
      <c r="W168" s="11"/>
      <c r="X168" s="11" t="s">
        <v>3</v>
      </c>
      <c r="Y168" s="4"/>
      <c r="Z168" s="9">
        <v>0</v>
      </c>
      <c r="AA168" s="11"/>
      <c r="AB168" s="4"/>
      <c r="AC168" s="11"/>
      <c r="AD168" s="11"/>
      <c r="AE168" s="4"/>
      <c r="AF168" s="11">
        <v>1</v>
      </c>
      <c r="AG168" s="11"/>
      <c r="AH168" s="4"/>
      <c r="AI168" s="11">
        <v>2</v>
      </c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_WARRIOR_NORTHEU</v>
      </c>
      <c r="B169" s="9" t="s">
        <v>787</v>
      </c>
      <c r="C169" s="4" t="s">
        <v>962</v>
      </c>
      <c r="D169" s="4"/>
      <c r="E169" s="4" t="s">
        <v>743</v>
      </c>
      <c r="F169" s="4" t="s">
        <v>787</v>
      </c>
      <c r="G169" s="4" t="s">
        <v>2045</v>
      </c>
      <c r="H169" s="4" t="s">
        <v>263</v>
      </c>
      <c r="I169" s="4" t="s">
        <v>1795</v>
      </c>
      <c r="J169" s="11"/>
      <c r="K169" s="11"/>
      <c r="L169" s="4"/>
      <c r="M169" s="12"/>
      <c r="N169" s="4"/>
      <c r="O169" s="4"/>
      <c r="P169" s="4"/>
      <c r="Q169" s="9">
        <v>3</v>
      </c>
      <c r="R169" s="11">
        <v>0.15</v>
      </c>
      <c r="S169" s="4"/>
      <c r="T169" s="11">
        <v>5</v>
      </c>
      <c r="U169" s="11">
        <v>9.5000000000000001E-2</v>
      </c>
      <c r="V169" s="4"/>
      <c r="W169" s="11"/>
      <c r="X169" s="11" t="s">
        <v>3</v>
      </c>
      <c r="Y169" s="4"/>
      <c r="Z169" s="9">
        <v>0</v>
      </c>
      <c r="AA169" s="11"/>
      <c r="AB169" s="4"/>
      <c r="AC169" s="11"/>
      <c r="AD169" s="11"/>
      <c r="AE169" s="4"/>
      <c r="AF169" s="11">
        <v>0</v>
      </c>
      <c r="AG169" s="11"/>
      <c r="AH169" s="4"/>
      <c r="AI169" s="11">
        <v>2</v>
      </c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_WARRIOR_SWEDEN</v>
      </c>
      <c r="B170" s="9" t="s">
        <v>787</v>
      </c>
      <c r="C170" s="4" t="s">
        <v>739</v>
      </c>
      <c r="D170" s="4"/>
      <c r="E170" s="4" t="s">
        <v>743</v>
      </c>
      <c r="F170" s="4" t="s">
        <v>787</v>
      </c>
      <c r="G170" s="4"/>
      <c r="H170" s="4" t="s">
        <v>666</v>
      </c>
      <c r="I170" s="4" t="s">
        <v>1795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>
        <v>0.14499999999999999</v>
      </c>
      <c r="S170" s="4"/>
      <c r="T170" s="11"/>
      <c r="U170" s="11">
        <v>9.5000000000000001E-2</v>
      </c>
      <c r="V170" s="4"/>
      <c r="W170" s="11"/>
      <c r="X170" s="11" t="s">
        <v>3</v>
      </c>
      <c r="Y170" s="4"/>
      <c r="Z170" s="9"/>
      <c r="AA170" s="11"/>
      <c r="AB170" s="4"/>
      <c r="AC170" s="11"/>
      <c r="AD170" s="11"/>
      <c r="AE170" s="4"/>
      <c r="AF170" s="11"/>
      <c r="AG170" s="11"/>
      <c r="AH170" s="4"/>
      <c r="AI170" s="11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_WARRIOR_OCEAN</v>
      </c>
      <c r="B171" s="9" t="s">
        <v>787</v>
      </c>
      <c r="C171" s="4" t="s">
        <v>994</v>
      </c>
      <c r="D171" s="4"/>
      <c r="E171" s="4" t="s">
        <v>743</v>
      </c>
      <c r="F171" s="4" t="s">
        <v>787</v>
      </c>
      <c r="G171" s="4"/>
      <c r="H171" s="4" t="s">
        <v>1789</v>
      </c>
      <c r="I171" s="4" t="s">
        <v>1793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_WARRIOR_SAHUL</v>
      </c>
      <c r="B172" s="9" t="s">
        <v>787</v>
      </c>
      <c r="C172" s="4" t="s">
        <v>1787</v>
      </c>
      <c r="D172" s="4"/>
      <c r="E172" s="4" t="s">
        <v>743</v>
      </c>
      <c r="F172" s="4" t="s">
        <v>787</v>
      </c>
      <c r="G172" s="4"/>
      <c r="H172" s="4" t="s">
        <v>1790</v>
      </c>
      <c r="I172" s="4" t="s">
        <v>1793</v>
      </c>
      <c r="J172" s="11"/>
      <c r="K172" s="11"/>
      <c r="L172" s="4"/>
      <c r="M172" s="12"/>
      <c r="N172" s="4"/>
      <c r="O172" s="4"/>
      <c r="P172" s="4"/>
      <c r="Q172" s="9" t="s">
        <v>1736</v>
      </c>
      <c r="R172" s="11"/>
      <c r="S172" s="4"/>
      <c r="T172" s="9"/>
      <c r="U172" s="11"/>
      <c r="V172" s="4"/>
      <c r="W172" s="9"/>
      <c r="X172" s="11"/>
      <c r="Y172" s="4"/>
      <c r="Z172" s="9"/>
      <c r="AA172" s="11"/>
      <c r="AB172" s="4"/>
      <c r="AC172" s="11"/>
      <c r="AD172" s="11"/>
      <c r="AE172" s="4"/>
      <c r="AF172" s="9"/>
      <c r="AG172" s="11"/>
      <c r="AH172" s="4"/>
      <c r="AI172" s="9"/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_WARRIOR_SOUTHAM</v>
      </c>
      <c r="B173" s="9" t="s">
        <v>787</v>
      </c>
      <c r="C173" s="4" t="s">
        <v>691</v>
      </c>
      <c r="D173" s="4"/>
      <c r="E173" s="4" t="s">
        <v>743</v>
      </c>
      <c r="F173" s="4" t="s">
        <v>787</v>
      </c>
      <c r="G173" s="4"/>
      <c r="H173" s="4" t="s">
        <v>1816</v>
      </c>
      <c r="I173" s="4" t="s">
        <v>963</v>
      </c>
      <c r="J173" s="11"/>
      <c r="K173" s="11"/>
      <c r="L173" s="4"/>
      <c r="M173" s="12"/>
      <c r="N173" s="4"/>
      <c r="O173" s="4"/>
      <c r="P173" s="4"/>
      <c r="Q173" s="9" t="s">
        <v>1736</v>
      </c>
      <c r="R173" s="11"/>
      <c r="S173" s="4"/>
      <c r="T173" s="9"/>
      <c r="U173" s="11"/>
      <c r="V173" s="4"/>
      <c r="W173" s="9"/>
      <c r="X173" s="11"/>
      <c r="Y173" s="4"/>
      <c r="Z173" s="9"/>
      <c r="AA173" s="11"/>
      <c r="AB173" s="4"/>
      <c r="AC173" s="11"/>
      <c r="AD173" s="11"/>
      <c r="AE173" s="4"/>
      <c r="AF173" s="9"/>
      <c r="AG173" s="11"/>
      <c r="AH173" s="4"/>
      <c r="AI173" s="9"/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/>
      <c r="H174" s="4" t="s">
        <v>930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1</v>
      </c>
      <c r="U174" s="11"/>
      <c r="V174" s="4"/>
      <c r="W174" s="11"/>
      <c r="X174" s="11"/>
      <c r="Y174" s="4"/>
      <c r="Z174" s="9">
        <v>1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1</v>
      </c>
      <c r="AJ174" s="11"/>
      <c r="AK174" s="4"/>
      <c r="AL174" s="4"/>
      <c r="AM174" s="4"/>
      <c r="AN174" s="4"/>
      <c r="AO174" s="4"/>
      <c r="AP174" s="4"/>
      <c r="AQ174" s="4"/>
    </row>
    <row r="175" spans="1:43" x14ac:dyDescent="0.25">
      <c r="A175" s="161" t="str">
        <f>CONCATENATE(E175,IF(ISBLANK(C175),"",CONCATENATE("_",C175)))</f>
        <v>_WARRIOR_INCA</v>
      </c>
      <c r="B175" s="9" t="s">
        <v>787</v>
      </c>
      <c r="C175" s="10" t="s">
        <v>719</v>
      </c>
      <c r="E175" s="4" t="s">
        <v>743</v>
      </c>
      <c r="F175" s="4" t="s">
        <v>787</v>
      </c>
      <c r="G175" s="4" t="s">
        <v>2045</v>
      </c>
      <c r="H175" s="4" t="s">
        <v>423</v>
      </c>
      <c r="I175" s="4" t="s">
        <v>963</v>
      </c>
      <c r="Q175" s="11">
        <v>4</v>
      </c>
      <c r="T175" s="11">
        <v>5</v>
      </c>
      <c r="Z175" s="11">
        <v>0</v>
      </c>
      <c r="AF175" s="11">
        <v>1</v>
      </c>
      <c r="AI175" s="11">
        <v>3</v>
      </c>
    </row>
    <row r="176" spans="1:43" s="2" customFormat="1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D176" s="4"/>
      <c r="E176" s="4" t="s">
        <v>743</v>
      </c>
      <c r="F176" s="4" t="s">
        <v>787</v>
      </c>
      <c r="G176" s="4" t="s">
        <v>2047</v>
      </c>
      <c r="H176" s="4" t="s">
        <v>417</v>
      </c>
      <c r="I176" s="4" t="s">
        <v>2096</v>
      </c>
      <c r="J176" s="11"/>
      <c r="K176" s="11"/>
      <c r="L176" s="4"/>
      <c r="M176" s="12"/>
      <c r="N176" s="4"/>
      <c r="O176" s="4"/>
      <c r="P176" s="4"/>
      <c r="Q176" s="9">
        <v>1</v>
      </c>
      <c r="R176" s="11"/>
      <c r="S176" s="4"/>
      <c r="T176" s="11">
        <v>2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>
        <v>1</v>
      </c>
      <c r="AG176" s="11"/>
      <c r="AH176" s="4"/>
      <c r="AI176" s="11">
        <v>1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/>
      <c r="H177" s="4" t="s">
        <v>930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1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4"/>
      <c r="AM177" s="4"/>
      <c r="AN177" s="4"/>
      <c r="AO177" s="4"/>
      <c r="AP177" s="4"/>
      <c r="AQ177" s="4"/>
    </row>
    <row r="178" spans="1:43" x14ac:dyDescent="0.25">
      <c r="A178" s="161" t="str">
        <f>CONCATENATE(E178,IF(ISBLANK(C178),"",CONCATENATE("_",C178)))</f>
        <v>_WARRIOR_INCA</v>
      </c>
      <c r="B178" s="9" t="s">
        <v>787</v>
      </c>
      <c r="C178" s="4" t="s">
        <v>719</v>
      </c>
      <c r="E178" s="4" t="s">
        <v>743</v>
      </c>
      <c r="F178" s="4" t="s">
        <v>787</v>
      </c>
      <c r="G178" s="4" t="s">
        <v>2045</v>
      </c>
      <c r="H178" s="4" t="s">
        <v>423</v>
      </c>
      <c r="I178" s="4" t="s">
        <v>963</v>
      </c>
      <c r="Q178" s="11">
        <v>4</v>
      </c>
      <c r="T178" s="11">
        <v>5</v>
      </c>
      <c r="Z178" s="11">
        <v>0</v>
      </c>
      <c r="AF178" s="11">
        <v>1</v>
      </c>
      <c r="AI178" s="11">
        <v>2</v>
      </c>
    </row>
    <row r="179" spans="1:43" s="2" customFormat="1" x14ac:dyDescent="0.25">
      <c r="A179" s="161" t="str">
        <f>CONCATENATE(E179,IF(ISBLANK(C179),"",CONCATENATE("_",C179)))</f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 t="s">
        <v>2047</v>
      </c>
      <c r="H179" s="4" t="s">
        <v>417</v>
      </c>
      <c r="I179" s="4" t="s">
        <v>2096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/>
      <c r="H180" s="4" t="s">
        <v>851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1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 t="s">
        <v>2045</v>
      </c>
      <c r="H181" s="4" t="s">
        <v>975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2047</v>
      </c>
      <c r="H182" s="4" t="s">
        <v>514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3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/>
      <c r="H183" s="4" t="s">
        <v>851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2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6"/>
        <v>_WARRIOR_MAYA</v>
      </c>
      <c r="B184" s="9" t="s">
        <v>787</v>
      </c>
      <c r="C184" s="4" t="s">
        <v>725</v>
      </c>
      <c r="D184" s="4"/>
      <c r="E184" s="4" t="s">
        <v>743</v>
      </c>
      <c r="F184" s="4" t="s">
        <v>787</v>
      </c>
      <c r="G184" s="4" t="s">
        <v>2045</v>
      </c>
      <c r="H184" s="4" t="s">
        <v>975</v>
      </c>
      <c r="I184" s="4" t="s">
        <v>1025</v>
      </c>
      <c r="J184" s="11"/>
      <c r="K184" s="11"/>
      <c r="L184" s="4"/>
      <c r="M184" s="12"/>
      <c r="N184" s="4"/>
      <c r="O184" s="4"/>
      <c r="P184" s="4"/>
      <c r="Q184" s="9">
        <v>2</v>
      </c>
      <c r="R184" s="11">
        <v>0.13500000000000001</v>
      </c>
      <c r="S184" s="4"/>
      <c r="T184" s="11">
        <v>4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0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 t="s">
        <v>2047</v>
      </c>
      <c r="H185" s="4" t="s">
        <v>514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0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>CONCATENATE(E186,IF(ISBLANK(C186),"",CONCATENATE("_",C186)))</f>
        <v>_WORKER</v>
      </c>
      <c r="B186" s="9"/>
      <c r="C186" s="5"/>
      <c r="D186" s="5"/>
      <c r="E186" s="5" t="s">
        <v>1316</v>
      </c>
      <c r="F186" s="5" t="s">
        <v>2577</v>
      </c>
      <c r="G186" s="5"/>
      <c r="H186" s="5" t="s">
        <v>1539</v>
      </c>
      <c r="I186" s="5" t="s">
        <v>128</v>
      </c>
      <c r="J186" s="6">
        <v>1</v>
      </c>
      <c r="K186" s="6"/>
      <c r="L186" s="5" t="s">
        <v>1707</v>
      </c>
      <c r="M186" s="8"/>
      <c r="N186" s="5"/>
      <c r="O186" s="5"/>
      <c r="P186" s="5"/>
      <c r="Q186" s="7">
        <v>0</v>
      </c>
      <c r="R186" s="7" t="s">
        <v>1736</v>
      </c>
      <c r="S186" s="5" t="s">
        <v>1609</v>
      </c>
      <c r="T186" s="6">
        <v>0</v>
      </c>
      <c r="U186" s="7" t="s">
        <v>1736</v>
      </c>
      <c r="V186" s="5"/>
      <c r="W186" s="7">
        <v>0</v>
      </c>
      <c r="X186" s="6" t="s">
        <v>3</v>
      </c>
      <c r="Y186" s="5"/>
      <c r="Z186" s="7">
        <v>0</v>
      </c>
      <c r="AA186" s="6"/>
      <c r="AB186" s="5"/>
      <c r="AC186" s="6">
        <v>0</v>
      </c>
      <c r="AD186" s="6" t="s">
        <v>3</v>
      </c>
      <c r="AE186" s="5"/>
      <c r="AF186" s="6">
        <v>0</v>
      </c>
      <c r="AG186" s="6"/>
      <c r="AH186" s="5"/>
      <c r="AI186" s="7">
        <v>0</v>
      </c>
      <c r="AJ186" s="6"/>
      <c r="AK186" s="5"/>
      <c r="AL186" s="5" t="s">
        <v>1909</v>
      </c>
      <c r="AM186" s="5"/>
      <c r="AN186" s="5"/>
      <c r="AO186" s="5" t="s">
        <v>1909</v>
      </c>
      <c r="AP186" s="5"/>
      <c r="AQ186" s="5"/>
    </row>
    <row r="187" spans="1:43" s="2" customFormat="1" x14ac:dyDescent="0.25">
      <c r="A187" s="161" t="str">
        <f t="shared" si="6"/>
        <v>_WORKER</v>
      </c>
      <c r="B187" s="9" t="s">
        <v>2079</v>
      </c>
      <c r="C187" s="5"/>
      <c r="D187" s="5"/>
      <c r="E187" s="5" t="s">
        <v>1316</v>
      </c>
      <c r="F187" s="5" t="s">
        <v>2079</v>
      </c>
      <c r="G187" s="5"/>
      <c r="H187" s="5" t="s">
        <v>1539</v>
      </c>
      <c r="I187" s="5" t="s">
        <v>128</v>
      </c>
      <c r="J187" s="6">
        <v>1</v>
      </c>
      <c r="K187" s="6"/>
      <c r="L187" s="5" t="s">
        <v>1707</v>
      </c>
      <c r="M187" s="8"/>
      <c r="N187" s="5"/>
      <c r="O187" s="5"/>
      <c r="P187" s="5"/>
      <c r="Q187" s="7">
        <v>8</v>
      </c>
      <c r="R187" s="7" t="s">
        <v>1736</v>
      </c>
      <c r="S187" s="5" t="s">
        <v>1609</v>
      </c>
      <c r="T187" s="6"/>
      <c r="U187" s="7" t="s">
        <v>1736</v>
      </c>
      <c r="V187" s="5"/>
      <c r="W187" s="7" t="s">
        <v>3</v>
      </c>
      <c r="X187" s="6" t="s">
        <v>3</v>
      </c>
      <c r="Y187" s="5"/>
      <c r="Z187" s="7">
        <v>1</v>
      </c>
      <c r="AA187" s="6"/>
      <c r="AB187" s="5"/>
      <c r="AC187" s="6"/>
      <c r="AD187" s="6" t="s">
        <v>3</v>
      </c>
      <c r="AE187" s="5"/>
      <c r="AF187" s="6"/>
      <c r="AG187" s="6"/>
      <c r="AH187" s="5"/>
      <c r="AI187" s="7">
        <v>5</v>
      </c>
      <c r="AJ187" s="6"/>
      <c r="AK187" s="5"/>
      <c r="AL187" s="5"/>
      <c r="AM187" s="5"/>
      <c r="AN187" s="5"/>
      <c r="AO187" s="5"/>
      <c r="AP187" s="5"/>
      <c r="AQ187" s="5"/>
    </row>
    <row r="188" spans="1:43" s="2" customFormat="1" x14ac:dyDescent="0.25">
      <c r="A188" s="161" t="str">
        <f>CONCATENATE(E188,IF(ISBLANK(C188),"",CONCATENATE("_",C188)))</f>
        <v>_WORKER_NETHERLANDS</v>
      </c>
      <c r="B188" s="9" t="s">
        <v>2079</v>
      </c>
      <c r="C188" s="5" t="s">
        <v>730</v>
      </c>
      <c r="D188" s="5"/>
      <c r="E188" s="5" t="s">
        <v>1316</v>
      </c>
      <c r="F188" s="5" t="s">
        <v>2079</v>
      </c>
      <c r="G188" s="5"/>
      <c r="H188" s="5" t="s">
        <v>2081</v>
      </c>
      <c r="I188" s="5" t="s">
        <v>835</v>
      </c>
      <c r="J188" s="6"/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5"/>
      <c r="AM188" s="5"/>
      <c r="AN188" s="5"/>
      <c r="AO188" s="5"/>
      <c r="AP188" s="5"/>
      <c r="AQ188" s="5"/>
    </row>
    <row r="189" spans="1:43" s="2" customFormat="1" x14ac:dyDescent="0.25">
      <c r="A189" s="161" t="str">
        <f t="shared" si="6"/>
        <v>_WORKER_ASIA</v>
      </c>
      <c r="B189" s="9" t="s">
        <v>2079</v>
      </c>
      <c r="C189" s="5" t="s">
        <v>693</v>
      </c>
      <c r="D189" s="5"/>
      <c r="E189" s="5" t="s">
        <v>1316</v>
      </c>
      <c r="F189" s="5" t="s">
        <v>2079</v>
      </c>
      <c r="G189" s="5"/>
      <c r="H189" s="5" t="s">
        <v>2095</v>
      </c>
      <c r="I189" s="5"/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5"/>
      <c r="AM189" s="5"/>
      <c r="AN189" s="5"/>
      <c r="AO189" s="5"/>
      <c r="AP189" s="5"/>
      <c r="AQ189" s="5"/>
    </row>
    <row r="190" spans="1:43" s="2" customFormat="1" x14ac:dyDescent="0.25">
      <c r="A190" s="161" t="str">
        <f t="shared" si="6"/>
        <v>_WORKER_SEASIA</v>
      </c>
      <c r="B190" s="9" t="s">
        <v>2079</v>
      </c>
      <c r="C190" s="5" t="s">
        <v>696</v>
      </c>
      <c r="D190" s="5" t="s">
        <v>693</v>
      </c>
      <c r="E190" s="5" t="s">
        <v>1316</v>
      </c>
      <c r="F190" s="5" t="s">
        <v>2079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5"/>
      <c r="AM190" s="5"/>
      <c r="AN190" s="5"/>
      <c r="AO190" s="5"/>
      <c r="AP190" s="5"/>
      <c r="AQ190" s="5"/>
    </row>
    <row r="191" spans="1:43" s="2" customFormat="1" x14ac:dyDescent="0.25">
      <c r="A191" s="161" t="str">
        <f t="shared" si="6"/>
        <v>_WORKER_SOUTHAM</v>
      </c>
      <c r="B191" s="9" t="s">
        <v>2079</v>
      </c>
      <c r="C191" s="5" t="s">
        <v>691</v>
      </c>
      <c r="D191" s="5"/>
      <c r="E191" s="5" t="s">
        <v>1316</v>
      </c>
      <c r="F191" s="5" t="s">
        <v>2079</v>
      </c>
      <c r="G191" s="5"/>
      <c r="H191" s="5" t="s">
        <v>2080</v>
      </c>
      <c r="I191" s="5" t="s">
        <v>963</v>
      </c>
      <c r="J191" s="6">
        <v>1</v>
      </c>
      <c r="K191" s="6"/>
      <c r="L191" s="5"/>
      <c r="M191" s="8"/>
      <c r="N191" s="5"/>
      <c r="O191" s="5"/>
      <c r="P191" s="5"/>
      <c r="Q191" s="7"/>
      <c r="R191" s="7"/>
      <c r="S191" s="5"/>
      <c r="T191" s="6"/>
      <c r="U191" s="7"/>
      <c r="V191" s="5"/>
      <c r="W191" s="7"/>
      <c r="X191" s="6"/>
      <c r="Y191" s="5"/>
      <c r="Z191" s="7"/>
      <c r="AA191" s="6"/>
      <c r="AB191" s="5"/>
      <c r="AC191" s="6"/>
      <c r="AD191" s="6"/>
      <c r="AE191" s="5"/>
      <c r="AF191" s="6"/>
      <c r="AG191" s="6"/>
      <c r="AH191" s="5"/>
      <c r="AI191" s="7"/>
      <c r="AJ191" s="6"/>
      <c r="AK191" s="5"/>
      <c r="AL191" s="5"/>
      <c r="AM191" s="5"/>
      <c r="AN191" s="5"/>
      <c r="AO191" s="5"/>
      <c r="AP191" s="5"/>
      <c r="AQ191" s="5"/>
    </row>
    <row r="192" spans="1:43" s="2" customFormat="1" x14ac:dyDescent="0.25">
      <c r="A192" s="161" t="str">
        <f t="shared" si="6"/>
        <v>_WORKER_OCEAN</v>
      </c>
      <c r="B192" s="9" t="s">
        <v>2079</v>
      </c>
      <c r="C192" s="5" t="s">
        <v>994</v>
      </c>
      <c r="D192" s="5" t="s">
        <v>691</v>
      </c>
      <c r="E192" s="5" t="s">
        <v>1316</v>
      </c>
      <c r="F192" s="5" t="s">
        <v>2079</v>
      </c>
      <c r="G192" s="5"/>
      <c r="H192" s="5"/>
      <c r="I192" s="5"/>
      <c r="J192" s="6">
        <v>1</v>
      </c>
      <c r="K192" s="6"/>
      <c r="L192" s="5"/>
      <c r="M192" s="8"/>
      <c r="N192" s="5"/>
      <c r="O192" s="5"/>
      <c r="P192" s="5"/>
      <c r="Q192" s="7"/>
      <c r="R192" s="7"/>
      <c r="S192" s="5"/>
      <c r="T192" s="6"/>
      <c r="U192" s="7"/>
      <c r="V192" s="5"/>
      <c r="W192" s="7"/>
      <c r="X192" s="6"/>
      <c r="Y192" s="5"/>
      <c r="Z192" s="7"/>
      <c r="AA192" s="6"/>
      <c r="AB192" s="5"/>
      <c r="AC192" s="6"/>
      <c r="AD192" s="6"/>
      <c r="AE192" s="5"/>
      <c r="AF192" s="6"/>
      <c r="AG192" s="6"/>
      <c r="AH192" s="5"/>
      <c r="AI192" s="7"/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_WORKER_LATE</v>
      </c>
      <c r="B193" s="9"/>
      <c r="C193" s="5"/>
      <c r="D193" s="5"/>
      <c r="E193" s="5" t="s">
        <v>1317</v>
      </c>
      <c r="F193" s="5" t="s">
        <v>2578</v>
      </c>
      <c r="G193" s="5"/>
      <c r="H193" s="5" t="s">
        <v>1540</v>
      </c>
      <c r="I193" s="5" t="s">
        <v>128</v>
      </c>
      <c r="J193" s="6"/>
      <c r="K193" s="6"/>
      <c r="L193" s="5" t="s">
        <v>1707</v>
      </c>
      <c r="M193" s="8"/>
      <c r="N193" s="5"/>
      <c r="O193" s="5"/>
      <c r="P193" s="5"/>
      <c r="Q193" s="7">
        <v>0</v>
      </c>
      <c r="R193" s="7" t="s">
        <v>1736</v>
      </c>
      <c r="S193" s="5" t="s">
        <v>1609</v>
      </c>
      <c r="T193" s="6">
        <v>0</v>
      </c>
      <c r="U193" s="7" t="s">
        <v>1736</v>
      </c>
      <c r="V193" s="5"/>
      <c r="W193" s="7">
        <v>0</v>
      </c>
      <c r="X193" s="6" t="s">
        <v>3</v>
      </c>
      <c r="Y193" s="5"/>
      <c r="Z193" s="7">
        <v>0</v>
      </c>
      <c r="AA193" s="6"/>
      <c r="AB193" s="5"/>
      <c r="AC193" s="6">
        <v>0</v>
      </c>
      <c r="AD193" s="6" t="s">
        <v>3</v>
      </c>
      <c r="AE193" s="5"/>
      <c r="AF193" s="6">
        <v>0</v>
      </c>
      <c r="AG193" s="6"/>
      <c r="AH193" s="5"/>
      <c r="AI193" s="7">
        <v>0</v>
      </c>
      <c r="AJ193" s="6"/>
      <c r="AK193" s="5"/>
      <c r="AL193" s="5" t="s">
        <v>1909</v>
      </c>
      <c r="AM193" s="5"/>
      <c r="AN193" s="5"/>
      <c r="AO193" s="5" t="s">
        <v>1909</v>
      </c>
      <c r="AP193" s="5"/>
      <c r="AQ193" s="5"/>
    </row>
    <row r="194" spans="1:43" s="2" customFormat="1" x14ac:dyDescent="0.25">
      <c r="A194" s="161" t="str">
        <f t="shared" si="6"/>
        <v>_WORKER_LATE</v>
      </c>
      <c r="B194" s="9" t="s">
        <v>2079</v>
      </c>
      <c r="C194" s="5"/>
      <c r="D194" s="5"/>
      <c r="E194" s="5" t="s">
        <v>1317</v>
      </c>
      <c r="F194" s="5" t="s">
        <v>2082</v>
      </c>
      <c r="G194" s="5"/>
      <c r="H194" s="5" t="s">
        <v>1540</v>
      </c>
      <c r="I194" s="5" t="s">
        <v>128</v>
      </c>
      <c r="J194" s="6"/>
      <c r="K194" s="6"/>
      <c r="L194" s="5" t="s">
        <v>1707</v>
      </c>
      <c r="M194" s="8"/>
      <c r="N194" s="5"/>
      <c r="O194" s="5"/>
      <c r="P194" s="5"/>
      <c r="Q194" s="7">
        <v>8</v>
      </c>
      <c r="R194" s="7" t="s">
        <v>1736</v>
      </c>
      <c r="S194" s="5" t="s">
        <v>1609</v>
      </c>
      <c r="T194" s="6"/>
      <c r="U194" s="7" t="s">
        <v>1736</v>
      </c>
      <c r="V194" s="5"/>
      <c r="W194" s="7" t="s">
        <v>3</v>
      </c>
      <c r="X194" s="6" t="s">
        <v>3</v>
      </c>
      <c r="Y194" s="5"/>
      <c r="Z194" s="7">
        <v>1</v>
      </c>
      <c r="AA194" s="6"/>
      <c r="AB194" s="5"/>
      <c r="AC194" s="6"/>
      <c r="AD194" s="6" t="s">
        <v>3</v>
      </c>
      <c r="AE194" s="5"/>
      <c r="AF194" s="6"/>
      <c r="AG194" s="6"/>
      <c r="AH194" s="5"/>
      <c r="AI194" s="7">
        <v>5</v>
      </c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ANTI_AIRCRAFT_GUN</v>
      </c>
      <c r="B195" s="9" t="s">
        <v>744</v>
      </c>
      <c r="C195" s="5"/>
      <c r="D195" s="5"/>
      <c r="E195" s="5" t="s">
        <v>744</v>
      </c>
      <c r="F195" s="5" t="s">
        <v>788</v>
      </c>
      <c r="G195" s="5"/>
      <c r="H195" s="5" t="s">
        <v>2666</v>
      </c>
      <c r="I195" s="5" t="s">
        <v>102</v>
      </c>
      <c r="J195" s="6"/>
      <c r="K195" s="6"/>
      <c r="L195" s="13" t="s">
        <v>1708</v>
      </c>
      <c r="M195" s="8"/>
      <c r="N195" s="5"/>
      <c r="O195" s="5"/>
      <c r="P195" s="5"/>
      <c r="Q195" s="7">
        <v>3</v>
      </c>
      <c r="R195" s="6" t="s">
        <v>1694</v>
      </c>
      <c r="S195" s="13" t="s">
        <v>1610</v>
      </c>
      <c r="T195" s="7">
        <v>4</v>
      </c>
      <c r="U195" s="7" t="s">
        <v>1736</v>
      </c>
      <c r="V195" s="13" t="s">
        <v>688</v>
      </c>
      <c r="W195" s="7" t="s">
        <v>3</v>
      </c>
      <c r="X195" s="6" t="s">
        <v>3</v>
      </c>
      <c r="Y195" s="13"/>
      <c r="Z195" s="7">
        <v>1</v>
      </c>
      <c r="AA195" s="6"/>
      <c r="AB195" s="13"/>
      <c r="AC195" s="6"/>
      <c r="AD195" s="6" t="s">
        <v>3</v>
      </c>
      <c r="AE195" s="13"/>
      <c r="AF195" s="6"/>
      <c r="AG195" s="6"/>
      <c r="AH195" s="13"/>
      <c r="AI195" s="6"/>
      <c r="AJ195" s="6"/>
      <c r="AK195" s="13"/>
      <c r="AL195" s="13"/>
      <c r="AM195" s="13"/>
      <c r="AN195" s="13"/>
      <c r="AO195" s="13"/>
      <c r="AP195" s="13"/>
      <c r="AQ195" s="13"/>
    </row>
    <row r="196" spans="1:43" s="2" customFormat="1" x14ac:dyDescent="0.25">
      <c r="A196" s="161" t="str">
        <f t="shared" si="6"/>
        <v>ANTI_AIRCRAFT_GUN_AMER</v>
      </c>
      <c r="B196" s="9" t="s">
        <v>744</v>
      </c>
      <c r="C196" s="5" t="s">
        <v>697</v>
      </c>
      <c r="D196" s="5" t="s">
        <v>699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13"/>
      <c r="AM196" s="13"/>
      <c r="AN196" s="13"/>
      <c r="AO196" s="13"/>
      <c r="AP196" s="13"/>
      <c r="AQ196" s="13"/>
    </row>
    <row r="197" spans="1:43" s="2" customFormat="1" x14ac:dyDescent="0.25">
      <c r="A197" s="161" t="str">
        <f t="shared" si="6"/>
        <v>ANTI_AIRCRAFT_GUN_ASIA</v>
      </c>
      <c r="B197" s="9" t="s">
        <v>744</v>
      </c>
      <c r="C197" s="5" t="s">
        <v>693</v>
      </c>
      <c r="D197" s="5"/>
      <c r="E197" s="5" t="s">
        <v>744</v>
      </c>
      <c r="F197" s="5" t="s">
        <v>788</v>
      </c>
      <c r="G197" s="5"/>
      <c r="H197" s="5" t="s">
        <v>2669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13"/>
      <c r="AM197" s="13"/>
      <c r="AN197" s="13"/>
      <c r="AO197" s="13"/>
      <c r="AP197" s="13"/>
      <c r="AQ197" s="13"/>
    </row>
    <row r="198" spans="1:43" s="2" customFormat="1" x14ac:dyDescent="0.25">
      <c r="A198" s="161" t="str">
        <f t="shared" si="6"/>
        <v>ANTI_AIRCRAFT_GUN_JAPAN</v>
      </c>
      <c r="B198" s="9" t="s">
        <v>744</v>
      </c>
      <c r="C198" s="5" t="s">
        <v>722</v>
      </c>
      <c r="D198" s="5" t="s">
        <v>693</v>
      </c>
      <c r="E198" s="5" t="s">
        <v>744</v>
      </c>
      <c r="F198" s="5" t="s">
        <v>788</v>
      </c>
      <c r="G198" s="5"/>
      <c r="H198" s="5"/>
      <c r="I198" s="5"/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13"/>
      <c r="AM198" s="13"/>
      <c r="AN198" s="13"/>
      <c r="AO198" s="13"/>
      <c r="AP198" s="13"/>
      <c r="AQ198" s="13"/>
    </row>
    <row r="199" spans="1:43" s="2" customFormat="1" x14ac:dyDescent="0.25">
      <c r="A199" s="161" t="str">
        <f t="shared" si="6"/>
        <v>ANTI_AIRCRAFT_GUN_AMERICA</v>
      </c>
      <c r="B199" s="9" t="s">
        <v>744</v>
      </c>
      <c r="C199" s="5" t="s">
        <v>699</v>
      </c>
      <c r="D199" s="5"/>
      <c r="E199" s="5" t="s">
        <v>744</v>
      </c>
      <c r="F199" s="5" t="s">
        <v>788</v>
      </c>
      <c r="G199" s="5"/>
      <c r="H199" s="5" t="s">
        <v>2667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ANTI_AIRCRAFT_GUN_FRANCE</v>
      </c>
      <c r="B200" s="9" t="s">
        <v>744</v>
      </c>
      <c r="C200" s="5" t="s">
        <v>715</v>
      </c>
      <c r="D200" s="5"/>
      <c r="E200" s="5" t="s">
        <v>744</v>
      </c>
      <c r="F200" s="5" t="s">
        <v>788</v>
      </c>
      <c r="G200" s="5"/>
      <c r="H200" s="5" t="s">
        <v>2668</v>
      </c>
      <c r="I200" s="5" t="s">
        <v>102</v>
      </c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ANTI_AIRCRAFT_GUN_MED</v>
      </c>
      <c r="B201" s="9" t="s">
        <v>744</v>
      </c>
      <c r="C201" s="5" t="s">
        <v>692</v>
      </c>
      <c r="D201" s="5"/>
      <c r="E201" s="5" t="s">
        <v>744</v>
      </c>
      <c r="F201" s="5" t="s">
        <v>788</v>
      </c>
      <c r="G201" s="5"/>
      <c r="H201" s="5" t="s">
        <v>2670</v>
      </c>
      <c r="I201" s="5" t="s">
        <v>102</v>
      </c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ANTI_AIRCRAFT_GUN_ROME</v>
      </c>
      <c r="B202" s="9" t="s">
        <v>744</v>
      </c>
      <c r="C202" s="5" t="s">
        <v>734</v>
      </c>
      <c r="D202" s="5" t="s">
        <v>692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13"/>
      <c r="AM202" s="13"/>
      <c r="AN202" s="13"/>
      <c r="AO202" s="13"/>
      <c r="AP202" s="13"/>
      <c r="AQ202" s="13"/>
    </row>
    <row r="203" spans="1:43" s="2" customFormat="1" x14ac:dyDescent="0.25">
      <c r="A203" s="161" t="str">
        <f t="shared" si="6"/>
        <v>ANTI_AIRCRAFT_GUN_NORTHAF</v>
      </c>
      <c r="B203" s="9" t="s">
        <v>744</v>
      </c>
      <c r="C203" s="5" t="s">
        <v>2009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13"/>
      <c r="AM203" s="13"/>
      <c r="AN203" s="13"/>
      <c r="AO203" s="13"/>
      <c r="AP203" s="13"/>
      <c r="AQ203" s="13"/>
    </row>
    <row r="204" spans="1:43" s="2" customFormat="1" x14ac:dyDescent="0.25">
      <c r="A204" s="161" t="str">
        <f t="shared" si="6"/>
        <v>ANTI_AIRCRAFT_GUN_OCEAN</v>
      </c>
      <c r="B204" s="9" t="s">
        <v>744</v>
      </c>
      <c r="C204" s="5" t="s">
        <v>994</v>
      </c>
      <c r="D204" s="5" t="s">
        <v>699</v>
      </c>
      <c r="E204" s="5" t="s">
        <v>744</v>
      </c>
      <c r="F204" s="5" t="s">
        <v>788</v>
      </c>
      <c r="G204" s="5"/>
      <c r="H204" s="5"/>
      <c r="I204" s="5"/>
      <c r="J204" s="6"/>
      <c r="K204" s="6"/>
      <c r="L204" s="13"/>
      <c r="M204" s="8"/>
      <c r="N204" s="5"/>
      <c r="O204" s="5"/>
      <c r="P204" s="5"/>
      <c r="Q204" s="7"/>
      <c r="R204" s="6"/>
      <c r="S204" s="13"/>
      <c r="T204" s="7"/>
      <c r="U204" s="7"/>
      <c r="V204" s="13"/>
      <c r="W204" s="7"/>
      <c r="X204" s="6"/>
      <c r="Y204" s="13"/>
      <c r="Z204" s="7"/>
      <c r="AA204" s="6"/>
      <c r="AB204" s="13"/>
      <c r="AC204" s="6"/>
      <c r="AD204" s="6"/>
      <c r="AE204" s="13"/>
      <c r="AF204" s="6"/>
      <c r="AG204" s="6"/>
      <c r="AH204" s="13"/>
      <c r="AI204" s="6"/>
      <c r="AJ204" s="6"/>
      <c r="AK204" s="13"/>
      <c r="AL204" s="13"/>
      <c r="AM204" s="13"/>
      <c r="AN204" s="13"/>
      <c r="AO204" s="13"/>
      <c r="AP204" s="13"/>
      <c r="AQ204" s="13"/>
    </row>
    <row r="205" spans="1:43" s="2" customFormat="1" x14ac:dyDescent="0.25">
      <c r="A205" s="161" t="str">
        <f t="shared" si="6"/>
        <v>ANTI_AIRCRAFT_GUN_SEASIA</v>
      </c>
      <c r="B205" s="9" t="s">
        <v>744</v>
      </c>
      <c r="C205" s="5" t="s">
        <v>696</v>
      </c>
      <c r="D205" s="5" t="s">
        <v>715</v>
      </c>
      <c r="E205" s="5" t="s">
        <v>744</v>
      </c>
      <c r="F205" s="5" t="s">
        <v>788</v>
      </c>
      <c r="G205" s="5"/>
      <c r="H205" s="5"/>
      <c r="I205" s="5"/>
      <c r="J205" s="6"/>
      <c r="K205" s="6"/>
      <c r="L205" s="13"/>
      <c r="M205" s="8"/>
      <c r="N205" s="5"/>
      <c r="O205" s="5"/>
      <c r="P205" s="5"/>
      <c r="Q205" s="7"/>
      <c r="R205" s="6"/>
      <c r="S205" s="13"/>
      <c r="T205" s="7"/>
      <c r="U205" s="7"/>
      <c r="V205" s="13"/>
      <c r="W205" s="7"/>
      <c r="X205" s="6"/>
      <c r="Y205" s="13"/>
      <c r="Z205" s="7"/>
      <c r="AA205" s="6"/>
      <c r="AB205" s="13"/>
      <c r="AC205" s="6"/>
      <c r="AD205" s="6"/>
      <c r="AE205" s="13"/>
      <c r="AF205" s="6"/>
      <c r="AG205" s="6"/>
      <c r="AH205" s="13"/>
      <c r="AI205" s="6"/>
      <c r="AJ205" s="6"/>
      <c r="AK205" s="13"/>
      <c r="AL205" s="13"/>
      <c r="AM205" s="13"/>
      <c r="AN205" s="13"/>
      <c r="AO205" s="13"/>
      <c r="AP205" s="13"/>
      <c r="AQ205" s="13"/>
    </row>
    <row r="206" spans="1:43" s="2" customFormat="1" x14ac:dyDescent="0.25">
      <c r="A206" s="161" t="str">
        <f t="shared" si="6"/>
        <v>ANTI_TANK_GUN</v>
      </c>
      <c r="B206" s="9" t="s">
        <v>745</v>
      </c>
      <c r="C206" s="5"/>
      <c r="D206" s="5"/>
      <c r="E206" s="5" t="s">
        <v>745</v>
      </c>
      <c r="F206" s="5" t="s">
        <v>789</v>
      </c>
      <c r="G206" s="5"/>
      <c r="H206" s="5" t="s">
        <v>1394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7">
        <v>3</v>
      </c>
      <c r="R206" s="6" t="s">
        <v>1694</v>
      </c>
      <c r="S206" s="13" t="s">
        <v>1610</v>
      </c>
      <c r="T206" s="6"/>
      <c r="U206" s="7" t="s">
        <v>1736</v>
      </c>
      <c r="V206" s="13"/>
      <c r="W206" s="7">
        <v>7</v>
      </c>
      <c r="X206" s="6" t="s">
        <v>3</v>
      </c>
      <c r="Y206" s="13"/>
      <c r="Z206" s="7">
        <v>1</v>
      </c>
      <c r="AA206" s="6"/>
      <c r="AB206" s="13"/>
      <c r="AC206" s="6"/>
      <c r="AD206" s="6" t="s">
        <v>3</v>
      </c>
      <c r="AE206" s="13"/>
      <c r="AF206" s="6"/>
      <c r="AG206" s="6"/>
      <c r="AH206" s="13"/>
      <c r="AI206" s="6"/>
      <c r="AJ206" s="6"/>
      <c r="AK206" s="13"/>
      <c r="AL206" s="13"/>
      <c r="AM206" s="13"/>
      <c r="AN206" s="13"/>
      <c r="AO206" s="13"/>
      <c r="AP206" s="13"/>
      <c r="AQ206" s="13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/>
      <c r="H207" s="5" t="s">
        <v>1395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1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1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ARCHAEOLOGIST</v>
      </c>
      <c r="B208" s="9" t="s">
        <v>1111</v>
      </c>
      <c r="C208" s="5"/>
      <c r="D208" s="5"/>
      <c r="E208" s="5" t="s">
        <v>1111</v>
      </c>
      <c r="F208" s="5" t="s">
        <v>1111</v>
      </c>
      <c r="G208" s="5" t="s">
        <v>2038</v>
      </c>
      <c r="H208" s="5" t="s">
        <v>1396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1</v>
      </c>
      <c r="R208" s="6" t="s">
        <v>1694</v>
      </c>
      <c r="S208" s="13" t="s">
        <v>1694</v>
      </c>
      <c r="T208" s="6">
        <v>1</v>
      </c>
      <c r="U208" s="7" t="s">
        <v>1736</v>
      </c>
      <c r="V208" s="5"/>
      <c r="W208" s="6"/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1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ARCHAEOLOGIST</v>
      </c>
      <c r="B209" s="9" t="s">
        <v>1111</v>
      </c>
      <c r="C209" s="5"/>
      <c r="D209" s="5"/>
      <c r="E209" s="5" t="s">
        <v>1111</v>
      </c>
      <c r="F209" s="5" t="s">
        <v>1111</v>
      </c>
      <c r="G209" s="5" t="s">
        <v>2039</v>
      </c>
      <c r="H209" s="5" t="s">
        <v>1397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1</v>
      </c>
      <c r="R209" s="6" t="s">
        <v>1694</v>
      </c>
      <c r="S209" s="13" t="s">
        <v>1694</v>
      </c>
      <c r="T209" s="6">
        <v>1</v>
      </c>
      <c r="U209" s="7" t="s">
        <v>1736</v>
      </c>
      <c r="V209" s="5"/>
      <c r="W209" s="6"/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1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 t="s">
        <v>2045</v>
      </c>
      <c r="H210" s="5" t="s">
        <v>1398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0</v>
      </c>
      <c r="R210" s="6" t="s">
        <v>1736</v>
      </c>
      <c r="S210" s="13" t="s">
        <v>44</v>
      </c>
      <c r="T210" s="6">
        <v>3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0</v>
      </c>
      <c r="AG210" s="6"/>
      <c r="AH210" s="5"/>
      <c r="AI210" s="6">
        <v>0</v>
      </c>
      <c r="AJ210" s="6"/>
      <c r="AK210" s="5"/>
      <c r="AL210" s="5"/>
      <c r="AM210" s="5"/>
      <c r="AN210" s="5"/>
      <c r="AO210" s="5"/>
      <c r="AP210" s="5"/>
      <c r="AQ210" s="5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2047</v>
      </c>
      <c r="H211" s="5" t="s">
        <v>1399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6" t="s">
        <v>3</v>
      </c>
      <c r="X211" s="6" t="s">
        <v>3</v>
      </c>
      <c r="Y211" s="5"/>
      <c r="Z211" s="6">
        <v>1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5"/>
      <c r="AM211" s="5"/>
      <c r="AN211" s="5"/>
      <c r="AO211" s="5"/>
      <c r="AP211" s="5"/>
      <c r="AQ211" s="5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/>
      <c r="H212" s="5" t="s">
        <v>44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6</v>
      </c>
      <c r="R212" s="6" t="s">
        <v>1736</v>
      </c>
      <c r="S212" s="13" t="s">
        <v>44</v>
      </c>
      <c r="T212" s="6">
        <v>4</v>
      </c>
      <c r="U212" s="7" t="s">
        <v>1736</v>
      </c>
      <c r="V212" s="5"/>
      <c r="W212" s="6" t="s">
        <v>3</v>
      </c>
      <c r="X212" s="6" t="s">
        <v>3</v>
      </c>
      <c r="Y212" s="5"/>
      <c r="Z212" s="6">
        <v>0</v>
      </c>
      <c r="AA212" s="6"/>
      <c r="AB212" s="5"/>
      <c r="AC212" s="6"/>
      <c r="AD212" s="6" t="s">
        <v>3</v>
      </c>
      <c r="AE212" s="5"/>
      <c r="AF212" s="6">
        <v>1</v>
      </c>
      <c r="AG212" s="6"/>
      <c r="AH212" s="5"/>
      <c r="AI212" s="6">
        <v>3</v>
      </c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6"/>
        <v>ARCHER</v>
      </c>
      <c r="B213" s="9" t="s">
        <v>119</v>
      </c>
      <c r="C213" s="5"/>
      <c r="D213" s="5"/>
      <c r="E213" s="5" t="s">
        <v>119</v>
      </c>
      <c r="F213" s="5" t="s">
        <v>119</v>
      </c>
      <c r="G213" s="5" t="s">
        <v>2045</v>
      </c>
      <c r="H213" s="5" t="s">
        <v>1398</v>
      </c>
      <c r="I213" s="5" t="s">
        <v>128</v>
      </c>
      <c r="J213" s="6"/>
      <c r="K213" s="6"/>
      <c r="L213" s="13" t="s">
        <v>1707</v>
      </c>
      <c r="M213" s="8"/>
      <c r="N213" s="5"/>
      <c r="O213" s="5"/>
      <c r="P213" s="5"/>
      <c r="Q213" s="6">
        <v>3</v>
      </c>
      <c r="R213" s="6" t="s">
        <v>1736</v>
      </c>
      <c r="S213" s="13" t="s">
        <v>44</v>
      </c>
      <c r="T213" s="6">
        <v>3</v>
      </c>
      <c r="U213" s="7" t="s">
        <v>1736</v>
      </c>
      <c r="V213" s="5"/>
      <c r="W213" s="7" t="s">
        <v>3</v>
      </c>
      <c r="X213" s="6" t="s">
        <v>3</v>
      </c>
      <c r="Y213" s="5"/>
      <c r="Z213" s="7">
        <v>0</v>
      </c>
      <c r="AA213" s="6"/>
      <c r="AB213" s="5"/>
      <c r="AC213" s="6"/>
      <c r="AD213" s="6" t="s">
        <v>3</v>
      </c>
      <c r="AE213" s="5"/>
      <c r="AF213" s="6">
        <v>1</v>
      </c>
      <c r="AG213" s="6"/>
      <c r="AH213" s="5"/>
      <c r="AI213" s="6">
        <v>2</v>
      </c>
      <c r="AJ213" s="6"/>
      <c r="AK213" s="5"/>
      <c r="AL213" s="5"/>
      <c r="AM213" s="5"/>
      <c r="AN213" s="5"/>
      <c r="AO213" s="5"/>
      <c r="AP213" s="5"/>
      <c r="AQ213" s="5"/>
    </row>
    <row r="214" spans="1:43" s="2" customFormat="1" x14ac:dyDescent="0.25">
      <c r="A214" s="161" t="str">
        <f t="shared" si="6"/>
        <v>ARCHER</v>
      </c>
      <c r="B214" s="9" t="s">
        <v>119</v>
      </c>
      <c r="C214" s="5"/>
      <c r="D214" s="5"/>
      <c r="E214" s="5" t="s">
        <v>119</v>
      </c>
      <c r="F214" s="5" t="s">
        <v>119</v>
      </c>
      <c r="G214" s="5" t="s">
        <v>2047</v>
      </c>
      <c r="H214" s="5" t="s">
        <v>1399</v>
      </c>
      <c r="I214" s="5" t="s">
        <v>128</v>
      </c>
      <c r="J214" s="6"/>
      <c r="K214" s="6"/>
      <c r="L214" s="13" t="s">
        <v>1707</v>
      </c>
      <c r="M214" s="8"/>
      <c r="N214" s="5"/>
      <c r="O214" s="5"/>
      <c r="P214" s="5"/>
      <c r="Q214" s="6">
        <v>0</v>
      </c>
      <c r="R214" s="6" t="s">
        <v>1736</v>
      </c>
      <c r="S214" s="13" t="s">
        <v>44</v>
      </c>
      <c r="T214" s="6">
        <v>3</v>
      </c>
      <c r="U214" s="7" t="s">
        <v>1736</v>
      </c>
      <c r="V214" s="5"/>
      <c r="W214" s="7" t="s">
        <v>3</v>
      </c>
      <c r="X214" s="6" t="s">
        <v>3</v>
      </c>
      <c r="Y214" s="5"/>
      <c r="Z214" s="7">
        <v>0</v>
      </c>
      <c r="AA214" s="6"/>
      <c r="AB214" s="5"/>
      <c r="AC214" s="6"/>
      <c r="AD214" s="6" t="s">
        <v>3</v>
      </c>
      <c r="AE214" s="5"/>
      <c r="AF214" s="6">
        <v>0</v>
      </c>
      <c r="AG214" s="6"/>
      <c r="AH214" s="5"/>
      <c r="AI214" s="6">
        <v>0</v>
      </c>
      <c r="AJ214" s="6"/>
      <c r="AK214" s="5"/>
      <c r="AL214" s="5"/>
      <c r="AM214" s="5"/>
      <c r="AN214" s="5"/>
      <c r="AO214" s="5"/>
      <c r="AP214" s="5"/>
      <c r="AQ214" s="5"/>
    </row>
    <row r="215" spans="1:43" s="2" customFormat="1" x14ac:dyDescent="0.25">
      <c r="A215" s="161" t="str">
        <f t="shared" si="6"/>
        <v>ARCHER_AFRI</v>
      </c>
      <c r="B215" s="9" t="s">
        <v>119</v>
      </c>
      <c r="C215" s="4" t="s">
        <v>694</v>
      </c>
      <c r="D215" s="4"/>
      <c r="E215" s="4" t="s">
        <v>119</v>
      </c>
      <c r="F215" s="4" t="s">
        <v>119</v>
      </c>
      <c r="G215" s="4"/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 t="s">
        <v>1736</v>
      </c>
      <c r="R215" s="11"/>
      <c r="S215" s="4"/>
      <c r="T215" s="9"/>
      <c r="U215" s="11"/>
      <c r="V215" s="4"/>
      <c r="W215" s="9"/>
      <c r="X215" s="11"/>
      <c r="Y215" s="4"/>
      <c r="Z215" s="9"/>
      <c r="AA215" s="11"/>
      <c r="AB215" s="4"/>
      <c r="AC215" s="11"/>
      <c r="AD215" s="11"/>
      <c r="AE215" s="4"/>
      <c r="AF215" s="9"/>
      <c r="AG215" s="11"/>
      <c r="AH215" s="4"/>
      <c r="AI215" s="9"/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1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1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2045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11">
        <v>2</v>
      </c>
      <c r="R217" s="11"/>
      <c r="S217" s="4"/>
      <c r="T217" s="11">
        <v>2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>
        <v>2</v>
      </c>
      <c r="AG217" s="11"/>
      <c r="AH217" s="4"/>
      <c r="AI217" s="11">
        <v>2</v>
      </c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11">
        <v>3</v>
      </c>
      <c r="R218" s="11"/>
      <c r="S218" s="4"/>
      <c r="T218" s="11">
        <v>3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 t="s">
        <v>1736</v>
      </c>
      <c r="AG218" s="11"/>
      <c r="AH218" s="4"/>
      <c r="AI218" s="11">
        <v>3</v>
      </c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2045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1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6"/>
        <v>ARCHER_ETHIOPIA</v>
      </c>
      <c r="B220" s="9" t="s">
        <v>119</v>
      </c>
      <c r="C220" s="4" t="s">
        <v>714</v>
      </c>
      <c r="D220" s="4"/>
      <c r="E220" s="4" t="s">
        <v>119</v>
      </c>
      <c r="F220" s="4" t="s">
        <v>119</v>
      </c>
      <c r="G220" s="4"/>
      <c r="H220" s="4" t="s">
        <v>870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>
        <v>2</v>
      </c>
      <c r="R220" s="11"/>
      <c r="S220" s="4"/>
      <c r="T220" s="11">
        <v>2</v>
      </c>
      <c r="U220" s="11"/>
      <c r="V220" s="4"/>
      <c r="W220" s="11"/>
      <c r="X220" s="11"/>
      <c r="Y220" s="4"/>
      <c r="Z220" s="9">
        <v>0</v>
      </c>
      <c r="AA220" s="11"/>
      <c r="AB220" s="4"/>
      <c r="AC220" s="11"/>
      <c r="AD220" s="11"/>
      <c r="AE220" s="4"/>
      <c r="AF220" s="11">
        <v>2</v>
      </c>
      <c r="AG220" s="11"/>
      <c r="AH220" s="4"/>
      <c r="AI220" s="11">
        <v>2</v>
      </c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6"/>
        <v>ARCHER_ETHIOPIA</v>
      </c>
      <c r="B221" s="9" t="s">
        <v>119</v>
      </c>
      <c r="C221" s="4" t="s">
        <v>714</v>
      </c>
      <c r="D221" s="4"/>
      <c r="E221" s="4" t="s">
        <v>119</v>
      </c>
      <c r="F221" s="4" t="s">
        <v>119</v>
      </c>
      <c r="G221" s="4" t="s">
        <v>2045</v>
      </c>
      <c r="H221" s="4" t="s">
        <v>319</v>
      </c>
      <c r="I221" s="4" t="s">
        <v>1025</v>
      </c>
      <c r="J221" s="11"/>
      <c r="K221" s="11"/>
      <c r="L221" s="4"/>
      <c r="M221" s="12"/>
      <c r="N221" s="4"/>
      <c r="O221" s="4"/>
      <c r="P221" s="4"/>
      <c r="Q221" s="9">
        <v>3</v>
      </c>
      <c r="R221" s="11"/>
      <c r="S221" s="4"/>
      <c r="T221" s="11">
        <v>3</v>
      </c>
      <c r="U221" s="11"/>
      <c r="V221" s="4"/>
      <c r="W221" s="11"/>
      <c r="X221" s="11"/>
      <c r="Y221" s="4"/>
      <c r="Z221" s="9">
        <v>0</v>
      </c>
      <c r="AA221" s="11"/>
      <c r="AB221" s="4"/>
      <c r="AC221" s="11"/>
      <c r="AD221" s="11"/>
      <c r="AE221" s="4"/>
      <c r="AF221" s="11" t="s">
        <v>1736</v>
      </c>
      <c r="AG221" s="11"/>
      <c r="AH221" s="4"/>
      <c r="AI221" s="11">
        <v>3</v>
      </c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6"/>
        <v>ARCHER_SONGHAI</v>
      </c>
      <c r="B222" s="9" t="s">
        <v>119</v>
      </c>
      <c r="C222" s="4" t="s">
        <v>737</v>
      </c>
      <c r="D222" s="4"/>
      <c r="E222" s="4" t="s">
        <v>119</v>
      </c>
      <c r="F222" s="4" t="s">
        <v>119</v>
      </c>
      <c r="G222" s="4"/>
      <c r="H222" s="4" t="s">
        <v>1965</v>
      </c>
      <c r="I222" s="4" t="s">
        <v>1025</v>
      </c>
      <c r="J222" s="11"/>
      <c r="K222" s="11"/>
      <c r="L222" s="4"/>
      <c r="M222" s="12"/>
      <c r="N222" s="4"/>
      <c r="O222" s="4"/>
      <c r="P222" s="4"/>
      <c r="Q222" s="9"/>
      <c r="R222" s="11"/>
      <c r="S222" s="4"/>
      <c r="T222" s="11"/>
      <c r="U222" s="11"/>
      <c r="V222" s="4"/>
      <c r="W222" s="11"/>
      <c r="X222" s="11"/>
      <c r="Y222" s="4"/>
      <c r="Z222" s="9"/>
      <c r="AA222" s="11"/>
      <c r="AB222" s="4"/>
      <c r="AC222" s="11"/>
      <c r="AD222" s="11"/>
      <c r="AE222" s="4"/>
      <c r="AF222" s="11"/>
      <c r="AG222" s="11"/>
      <c r="AH222" s="4"/>
      <c r="AI222" s="11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6"/>
        <v>ARCHER_AMER</v>
      </c>
      <c r="B223" s="9" t="s">
        <v>119</v>
      </c>
      <c r="C223" s="4" t="s">
        <v>697</v>
      </c>
      <c r="D223" s="4"/>
      <c r="E223" s="4" t="s">
        <v>119</v>
      </c>
      <c r="F223" s="4" t="s">
        <v>119</v>
      </c>
      <c r="G223" s="4"/>
      <c r="H223" s="4" t="s">
        <v>458</v>
      </c>
      <c r="I223" s="4" t="s">
        <v>1933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ref="A224:A293" si="7">CONCATENATE(E224,IF(ISBLANK(C224),"",CONCATENATE("_",C224)))</f>
        <v>ARCHER_ASIA</v>
      </c>
      <c r="B224" s="9" t="s">
        <v>119</v>
      </c>
      <c r="C224" s="4" t="s">
        <v>693</v>
      </c>
      <c r="D224" s="4"/>
      <c r="E224" s="4" t="s">
        <v>119</v>
      </c>
      <c r="F224" s="4" t="s">
        <v>119</v>
      </c>
      <c r="G224" s="4"/>
      <c r="H224" s="4" t="s">
        <v>446</v>
      </c>
      <c r="I224" s="4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ARCHER_CHINA</v>
      </c>
      <c r="B225" s="9" t="s">
        <v>119</v>
      </c>
      <c r="C225" s="4" t="s">
        <v>710</v>
      </c>
      <c r="D225" s="4"/>
      <c r="E225" s="4" t="s">
        <v>119</v>
      </c>
      <c r="F225" s="4" t="s">
        <v>119</v>
      </c>
      <c r="G225" s="14" t="s">
        <v>132</v>
      </c>
      <c r="H225" s="4" t="s">
        <v>242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ARCHER_JAPAN</v>
      </c>
      <c r="B226" s="9" t="s">
        <v>119</v>
      </c>
      <c r="C226" s="4" t="s">
        <v>722</v>
      </c>
      <c r="D226" s="4"/>
      <c r="E226" s="4" t="s">
        <v>119</v>
      </c>
      <c r="F226" s="4" t="s">
        <v>119</v>
      </c>
      <c r="G226" s="14" t="s">
        <v>132</v>
      </c>
      <c r="H226" s="4" t="s">
        <v>473</v>
      </c>
      <c r="I226" s="10" t="s">
        <v>102</v>
      </c>
      <c r="J226" s="11"/>
      <c r="K226" s="11"/>
      <c r="L226" s="4"/>
      <c r="M226" s="12"/>
      <c r="N226" s="4"/>
      <c r="O226" s="4"/>
      <c r="P226" s="4"/>
      <c r="Q226" s="9" t="s">
        <v>1736</v>
      </c>
      <c r="R226" s="11"/>
      <c r="S226" s="4"/>
      <c r="T226" s="9"/>
      <c r="U226" s="11"/>
      <c r="V226" s="4"/>
      <c r="W226" s="9"/>
      <c r="X226" s="11"/>
      <c r="Y226" s="4"/>
      <c r="Z226" s="9"/>
      <c r="AA226" s="11"/>
      <c r="AB226" s="4"/>
      <c r="AC226" s="11"/>
      <c r="AD226" s="11"/>
      <c r="AE226" s="4"/>
      <c r="AF226" s="9"/>
      <c r="AG226" s="11"/>
      <c r="AH226" s="4"/>
      <c r="AI226" s="9"/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ARCHER_KOREA</v>
      </c>
      <c r="B227" s="9" t="s">
        <v>119</v>
      </c>
      <c r="C227" s="4" t="s">
        <v>723</v>
      </c>
      <c r="D227" s="4"/>
      <c r="E227" s="4" t="s">
        <v>119</v>
      </c>
      <c r="F227" s="4" t="s">
        <v>119</v>
      </c>
      <c r="G227" s="14" t="s">
        <v>132</v>
      </c>
      <c r="H227" s="4" t="s">
        <v>496</v>
      </c>
      <c r="I227" s="4" t="s">
        <v>102</v>
      </c>
      <c r="J227" s="11"/>
      <c r="K227" s="11"/>
      <c r="L227" s="4"/>
      <c r="M227" s="12"/>
      <c r="N227" s="4"/>
      <c r="O227" s="4"/>
      <c r="P227" s="4"/>
      <c r="Q227" s="9" t="s">
        <v>1736</v>
      </c>
      <c r="R227" s="11"/>
      <c r="S227" s="4"/>
      <c r="T227" s="9"/>
      <c r="U227" s="11"/>
      <c r="V227" s="4"/>
      <c r="W227" s="9"/>
      <c r="X227" s="11"/>
      <c r="Y227" s="4"/>
      <c r="Z227" s="9"/>
      <c r="AA227" s="11"/>
      <c r="AB227" s="4"/>
      <c r="AC227" s="11"/>
      <c r="AD227" s="11"/>
      <c r="AE227" s="4"/>
      <c r="AF227" s="9"/>
      <c r="AG227" s="11"/>
      <c r="AH227" s="4"/>
      <c r="AI227" s="9"/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2096</v>
      </c>
      <c r="J228" s="11"/>
      <c r="K228" s="11"/>
      <c r="L228" s="4"/>
      <c r="M228" s="12"/>
      <c r="N228" s="4"/>
      <c r="O228" s="4"/>
      <c r="P228" s="4"/>
      <c r="Q228" s="11">
        <v>3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1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2045</v>
      </c>
      <c r="H229" s="4" t="s">
        <v>526</v>
      </c>
      <c r="I229" s="4" t="s">
        <v>2096</v>
      </c>
      <c r="J229" s="11"/>
      <c r="K229" s="11"/>
      <c r="L229" s="4"/>
      <c r="M229" s="12"/>
      <c r="N229" s="4"/>
      <c r="O229" s="4"/>
      <c r="P229" s="4"/>
      <c r="Q229" s="11">
        <v>2</v>
      </c>
      <c r="R229" s="11"/>
      <c r="S229" s="4"/>
      <c r="T229" s="11">
        <v>5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1</v>
      </c>
      <c r="AG229" s="11"/>
      <c r="AH229" s="4"/>
      <c r="AI229" s="11">
        <v>1</v>
      </c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2096</v>
      </c>
      <c r="J230" s="11"/>
      <c r="K230" s="11"/>
      <c r="L230" s="4"/>
      <c r="M230" s="12"/>
      <c r="N230" s="4"/>
      <c r="O230" s="4"/>
      <c r="P230" s="4"/>
      <c r="Q230" s="11">
        <v>1</v>
      </c>
      <c r="R230" s="11"/>
      <c r="S230" s="4"/>
      <c r="T230" s="11">
        <v>3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1</v>
      </c>
      <c r="AG230" s="11"/>
      <c r="AH230" s="4"/>
      <c r="AI230" s="11">
        <v>1</v>
      </c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2045</v>
      </c>
      <c r="H231" s="4" t="s">
        <v>526</v>
      </c>
      <c r="I231" s="4" t="s">
        <v>2096</v>
      </c>
      <c r="J231" s="11"/>
      <c r="K231" s="11"/>
      <c r="L231" s="4"/>
      <c r="M231" s="12"/>
      <c r="N231" s="4"/>
      <c r="O231" s="4"/>
      <c r="P231" s="4"/>
      <c r="Q231" s="9">
        <v>3</v>
      </c>
      <c r="R231" s="11"/>
      <c r="S231" s="4"/>
      <c r="T231" s="11">
        <v>1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ARCHER_MONGOL</v>
      </c>
      <c r="B232" s="9" t="s">
        <v>119</v>
      </c>
      <c r="C232" s="4" t="s">
        <v>728</v>
      </c>
      <c r="D232" s="4"/>
      <c r="E232" s="4" t="s">
        <v>119</v>
      </c>
      <c r="F232" s="4" t="s">
        <v>119</v>
      </c>
      <c r="G232" s="4"/>
      <c r="H232" s="4" t="s">
        <v>976</v>
      </c>
      <c r="I232" s="4" t="s">
        <v>2096</v>
      </c>
      <c r="J232" s="11"/>
      <c r="K232" s="11"/>
      <c r="L232" s="4"/>
      <c r="M232" s="12"/>
      <c r="N232" s="4"/>
      <c r="O232" s="4"/>
      <c r="P232" s="4"/>
      <c r="Q232" s="9">
        <v>2</v>
      </c>
      <c r="R232" s="11"/>
      <c r="S232" s="4"/>
      <c r="T232" s="11">
        <v>2</v>
      </c>
      <c r="U232" s="11"/>
      <c r="V232" s="4"/>
      <c r="W232" s="11"/>
      <c r="X232" s="11"/>
      <c r="Y232" s="4"/>
      <c r="Z232" s="9">
        <v>0</v>
      </c>
      <c r="AA232" s="11"/>
      <c r="AB232" s="4"/>
      <c r="AC232" s="11"/>
      <c r="AD232" s="11"/>
      <c r="AE232" s="4"/>
      <c r="AF232" s="11">
        <v>0</v>
      </c>
      <c r="AG232" s="11"/>
      <c r="AH232" s="4"/>
      <c r="AI232" s="11">
        <v>2</v>
      </c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ARCHER_MONGOL</v>
      </c>
      <c r="B233" s="9" t="s">
        <v>119</v>
      </c>
      <c r="C233" s="4" t="s">
        <v>728</v>
      </c>
      <c r="D233" s="4"/>
      <c r="E233" s="4" t="s">
        <v>119</v>
      </c>
      <c r="F233" s="4" t="s">
        <v>119</v>
      </c>
      <c r="G233" s="4" t="s">
        <v>2045</v>
      </c>
      <c r="H233" s="4" t="s">
        <v>526</v>
      </c>
      <c r="I233" s="4" t="s">
        <v>2096</v>
      </c>
      <c r="J233" s="11"/>
      <c r="K233" s="11"/>
      <c r="L233" s="4"/>
      <c r="M233" s="12"/>
      <c r="N233" s="4"/>
      <c r="O233" s="4"/>
      <c r="P233" s="4"/>
      <c r="Q233" s="9">
        <v>1</v>
      </c>
      <c r="R233" s="11"/>
      <c r="S233" s="4"/>
      <c r="T233" s="11">
        <v>2</v>
      </c>
      <c r="U233" s="11"/>
      <c r="V233" s="4"/>
      <c r="W233" s="11"/>
      <c r="X233" s="11"/>
      <c r="Y233" s="4"/>
      <c r="Z233" s="9">
        <v>0</v>
      </c>
      <c r="AA233" s="11"/>
      <c r="AB233" s="4"/>
      <c r="AC233" s="11"/>
      <c r="AD233" s="11"/>
      <c r="AE233" s="4"/>
      <c r="AF233" s="11">
        <v>0</v>
      </c>
      <c r="AG233" s="11"/>
      <c r="AH233" s="4"/>
      <c r="AI233" s="11">
        <v>1</v>
      </c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ARCHER_CENTAS</v>
      </c>
      <c r="B234" s="9" t="s">
        <v>119</v>
      </c>
      <c r="C234" s="4" t="s">
        <v>918</v>
      </c>
      <c r="D234" s="4"/>
      <c r="E234" s="4" t="s">
        <v>119</v>
      </c>
      <c r="F234" s="4" t="s">
        <v>119</v>
      </c>
      <c r="G234" s="14" t="s">
        <v>132</v>
      </c>
      <c r="H234" s="4" t="s">
        <v>1026</v>
      </c>
      <c r="I234" s="4" t="s">
        <v>2096</v>
      </c>
      <c r="J234" s="11"/>
      <c r="K234" s="11"/>
      <c r="L234" s="4"/>
      <c r="M234" s="12"/>
      <c r="N234" s="4"/>
      <c r="O234" s="4"/>
      <c r="P234" s="4"/>
      <c r="Q234" s="9" t="s">
        <v>1736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ARCHER_EASTEU</v>
      </c>
      <c r="B235" s="9" t="s">
        <v>119</v>
      </c>
      <c r="C235" s="4" t="s">
        <v>698</v>
      </c>
      <c r="D235" s="4"/>
      <c r="E235" s="4" t="s">
        <v>119</v>
      </c>
      <c r="F235" s="4" t="s">
        <v>119</v>
      </c>
      <c r="G235" s="4"/>
      <c r="H235" s="4" t="s">
        <v>566</v>
      </c>
      <c r="I235" s="4" t="s">
        <v>2096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ARCHER_AUSTRIA</v>
      </c>
      <c r="B236" s="9" t="s">
        <v>119</v>
      </c>
      <c r="C236" s="4" t="s">
        <v>701</v>
      </c>
      <c r="D236" s="4" t="s">
        <v>717</v>
      </c>
      <c r="E236" s="4" t="s">
        <v>119</v>
      </c>
      <c r="F236" s="4" t="s">
        <v>119</v>
      </c>
      <c r="G236" s="4"/>
      <c r="H236" s="4"/>
      <c r="I236" s="4"/>
      <c r="J236" s="11"/>
      <c r="K236" s="11"/>
      <c r="L236" s="4"/>
      <c r="M236" s="12"/>
      <c r="N236" s="4"/>
      <c r="O236" s="4"/>
      <c r="P236" s="4"/>
      <c r="Q236" s="9"/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ARCHER_ENGLAND</v>
      </c>
      <c r="B237" s="9" t="s">
        <v>119</v>
      </c>
      <c r="C237" s="4" t="s">
        <v>713</v>
      </c>
      <c r="D237" s="4"/>
      <c r="E237" s="4" t="s">
        <v>119</v>
      </c>
      <c r="F237" s="4" t="s">
        <v>119</v>
      </c>
      <c r="G237" s="14" t="s">
        <v>132</v>
      </c>
      <c r="H237" s="4" t="s">
        <v>290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ARCHER_FRANCE</v>
      </c>
      <c r="B238" s="9" t="s">
        <v>119</v>
      </c>
      <c r="C238" s="4" t="s">
        <v>715</v>
      </c>
      <c r="D238" s="4"/>
      <c r="E238" s="4" t="s">
        <v>119</v>
      </c>
      <c r="F238" s="4" t="s">
        <v>119</v>
      </c>
      <c r="G238" s="14" t="s">
        <v>132</v>
      </c>
      <c r="H238" s="4" t="s">
        <v>334</v>
      </c>
      <c r="I238" s="4" t="s">
        <v>102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ARCHER_GERMANY</v>
      </c>
      <c r="B239" s="9" t="s">
        <v>119</v>
      </c>
      <c r="C239" s="4" t="s">
        <v>717</v>
      </c>
      <c r="D239" s="4"/>
      <c r="E239" s="4" t="s">
        <v>119</v>
      </c>
      <c r="F239" s="4" t="s">
        <v>119</v>
      </c>
      <c r="G239" s="14" t="s">
        <v>132</v>
      </c>
      <c r="H239" s="4" t="s">
        <v>365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ARCHER_MED</v>
      </c>
      <c r="B240" s="9" t="s">
        <v>119</v>
      </c>
      <c r="C240" s="4" t="s">
        <v>692</v>
      </c>
      <c r="D240" s="4"/>
      <c r="E240" s="4" t="s">
        <v>119</v>
      </c>
      <c r="F240" s="4" t="s">
        <v>119</v>
      </c>
      <c r="G240" s="4"/>
      <c r="H240" s="4" t="s">
        <v>647</v>
      </c>
      <c r="I240" s="4" t="s">
        <v>2096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ARCHER_CARTHAGE</v>
      </c>
      <c r="B241" s="9" t="s">
        <v>119</v>
      </c>
      <c r="C241" s="4" t="s">
        <v>708</v>
      </c>
      <c r="D241" s="4"/>
      <c r="E241" s="4" t="s">
        <v>119</v>
      </c>
      <c r="F241" s="4" t="s">
        <v>119</v>
      </c>
      <c r="G241" s="4"/>
      <c r="H241" s="4" t="s">
        <v>2676</v>
      </c>
      <c r="I241" s="4" t="s">
        <v>2673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ARCHER_GREECE</v>
      </c>
      <c r="B242" s="9" t="s">
        <v>119</v>
      </c>
      <c r="C242" s="4" t="s">
        <v>718</v>
      </c>
      <c r="D242" s="4"/>
      <c r="E242" s="4" t="s">
        <v>119</v>
      </c>
      <c r="F242" s="4" t="s">
        <v>119</v>
      </c>
      <c r="G242" s="14" t="s">
        <v>132</v>
      </c>
      <c r="H242" s="4" t="s">
        <v>397</v>
      </c>
      <c r="I242" s="4" t="s">
        <v>102</v>
      </c>
      <c r="J242" s="11"/>
      <c r="K242" s="11"/>
      <c r="L242" s="4"/>
      <c r="M242" s="12"/>
      <c r="N242" s="4"/>
      <c r="O242" s="4"/>
      <c r="P242" s="4"/>
      <c r="Q242" s="9" t="s">
        <v>1736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ARCHER_ROME</v>
      </c>
      <c r="B243" s="9" t="s">
        <v>119</v>
      </c>
      <c r="C243" s="4" t="s">
        <v>734</v>
      </c>
      <c r="D243" s="4"/>
      <c r="E243" s="4" t="s">
        <v>119</v>
      </c>
      <c r="F243" s="4" t="s">
        <v>119</v>
      </c>
      <c r="G243" s="14" t="s">
        <v>132</v>
      </c>
      <c r="H243" s="4" t="s">
        <v>581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ARCHER_SPAIN</v>
      </c>
      <c r="B244" s="9" t="s">
        <v>119</v>
      </c>
      <c r="C244" s="4" t="s">
        <v>738</v>
      </c>
      <c r="D244" s="4" t="s">
        <v>692</v>
      </c>
      <c r="E244" s="4" t="s">
        <v>119</v>
      </c>
      <c r="F244" s="4" t="s">
        <v>119</v>
      </c>
      <c r="G244" s="14" t="s">
        <v>132</v>
      </c>
      <c r="H244" s="4"/>
      <c r="I244" s="4"/>
      <c r="J244" s="11"/>
      <c r="K244" s="11"/>
      <c r="L244" s="4"/>
      <c r="M244" s="12"/>
      <c r="N244" s="4"/>
      <c r="O244" s="4"/>
      <c r="P244" s="4"/>
      <c r="Q244" s="9"/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ARCHER_MIDEAST</v>
      </c>
      <c r="B245" s="9" t="s">
        <v>119</v>
      </c>
      <c r="C245" s="4" t="s">
        <v>690</v>
      </c>
      <c r="D245" s="4"/>
      <c r="E245" s="4" t="s">
        <v>119</v>
      </c>
      <c r="F245" s="4" t="s">
        <v>119</v>
      </c>
      <c r="G245" s="4"/>
      <c r="H245" s="4" t="s">
        <v>205</v>
      </c>
      <c r="I245" s="4" t="s">
        <v>102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ARCHER_ARABIA</v>
      </c>
      <c r="B246" s="9" t="s">
        <v>119</v>
      </c>
      <c r="C246" s="4" t="s">
        <v>700</v>
      </c>
      <c r="D246" s="14"/>
      <c r="E246" s="4" t="s">
        <v>119</v>
      </c>
      <c r="F246" s="4" t="s">
        <v>119</v>
      </c>
      <c r="G246" s="14"/>
      <c r="H246" s="4" t="s">
        <v>157</v>
      </c>
      <c r="I246" s="4" t="s">
        <v>2096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ARCHER_EGYPT</v>
      </c>
      <c r="B247" s="9" t="s">
        <v>119</v>
      </c>
      <c r="C247" s="4" t="s">
        <v>712</v>
      </c>
      <c r="D247" s="4"/>
      <c r="E247" s="4" t="s">
        <v>119</v>
      </c>
      <c r="F247" s="4" t="s">
        <v>119</v>
      </c>
      <c r="G247" s="14" t="s">
        <v>132</v>
      </c>
      <c r="H247" s="4" t="s">
        <v>274</v>
      </c>
      <c r="I247" s="4" t="s">
        <v>2096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 t="shared" si="7"/>
        <v>ARCHER_LEVANT</v>
      </c>
      <c r="B248" s="9" t="s">
        <v>119</v>
      </c>
      <c r="C248" s="4" t="s">
        <v>724</v>
      </c>
      <c r="D248" s="4"/>
      <c r="E248" s="4" t="s">
        <v>119</v>
      </c>
      <c r="F248" s="4" t="s">
        <v>119</v>
      </c>
      <c r="G248" s="14" t="s">
        <v>132</v>
      </c>
      <c r="H248" s="4" t="s">
        <v>506</v>
      </c>
      <c r="I248" s="4" t="s">
        <v>1063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7"/>
        <v>ARCHER_PERSIA</v>
      </c>
      <c r="B249" s="9" t="s">
        <v>119</v>
      </c>
      <c r="C249" s="4" t="s">
        <v>731</v>
      </c>
      <c r="D249" s="4"/>
      <c r="E249" s="4" t="s">
        <v>119</v>
      </c>
      <c r="F249" s="4" t="s">
        <v>119</v>
      </c>
      <c r="G249" s="14" t="s">
        <v>132</v>
      </c>
      <c r="H249" s="4" t="s">
        <v>551</v>
      </c>
      <c r="I249" s="4" t="s">
        <v>102</v>
      </c>
      <c r="J249" s="11"/>
      <c r="K249" s="11"/>
      <c r="L249" s="4"/>
      <c r="M249" s="12"/>
      <c r="N249" s="4"/>
      <c r="O249" s="4"/>
      <c r="P249" s="4"/>
      <c r="Q249" s="9" t="s">
        <v>1736</v>
      </c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ARCHER_NORTHEU</v>
      </c>
      <c r="B250" s="9" t="s">
        <v>119</v>
      </c>
      <c r="C250" s="4" t="s">
        <v>962</v>
      </c>
      <c r="D250" s="4"/>
      <c r="E250" s="4" t="s">
        <v>119</v>
      </c>
      <c r="F250" s="4" t="s">
        <v>119</v>
      </c>
      <c r="G250" s="14" t="s">
        <v>132</v>
      </c>
      <c r="H250" s="4" t="s">
        <v>264</v>
      </c>
      <c r="I250" s="4" t="s">
        <v>102</v>
      </c>
      <c r="J250" s="11"/>
      <c r="K250" s="11"/>
      <c r="L250" s="4"/>
      <c r="M250" s="12"/>
      <c r="N250" s="4"/>
      <c r="O250" s="4"/>
      <c r="P250" s="4"/>
      <c r="Q250" s="9" t="s">
        <v>1736</v>
      </c>
      <c r="R250" s="11"/>
      <c r="S250" s="4"/>
      <c r="T250" s="9"/>
      <c r="U250" s="11"/>
      <c r="V250" s="4"/>
      <c r="W250" s="9"/>
      <c r="X250" s="11"/>
      <c r="Y250" s="4"/>
      <c r="Z250" s="9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ARCHER_OCEAN</v>
      </c>
      <c r="B251" s="9" t="s">
        <v>119</v>
      </c>
      <c r="C251" s="4" t="s">
        <v>994</v>
      </c>
      <c r="D251" s="4" t="s">
        <v>702</v>
      </c>
      <c r="E251" s="4" t="s">
        <v>119</v>
      </c>
      <c r="F251" s="4" t="s">
        <v>119</v>
      </c>
      <c r="G251" s="4"/>
      <c r="H251" s="4"/>
      <c r="I251" s="4"/>
      <c r="J251" s="11"/>
      <c r="K251" s="11"/>
      <c r="L251" s="4"/>
      <c r="M251" s="12"/>
      <c r="N251" s="4"/>
      <c r="O251" s="4"/>
      <c r="P251" s="4"/>
      <c r="Q251" s="9"/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ARCHER_SEASIA</v>
      </c>
      <c r="B252" s="9" t="s">
        <v>119</v>
      </c>
      <c r="C252" s="4" t="s">
        <v>696</v>
      </c>
      <c r="D252" s="4" t="s">
        <v>693</v>
      </c>
      <c r="E252" s="4" t="s">
        <v>119</v>
      </c>
      <c r="F252" s="4" t="s">
        <v>119</v>
      </c>
      <c r="G252" s="4"/>
      <c r="H252" s="4"/>
      <c r="I252" s="4"/>
      <c r="J252" s="11"/>
      <c r="K252" s="11"/>
      <c r="L252" s="4"/>
      <c r="M252" s="12"/>
      <c r="N252" s="4"/>
      <c r="O252" s="4"/>
      <c r="P252" s="4"/>
      <c r="Q252" s="9"/>
      <c r="R252" s="11"/>
      <c r="S252" s="4"/>
      <c r="T252" s="9"/>
      <c r="U252" s="11"/>
      <c r="V252" s="4"/>
      <c r="W252" s="9"/>
      <c r="X252" s="11"/>
      <c r="Y252" s="4"/>
      <c r="Z252" s="11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7"/>
        <v>ARCHER_SOUTHAM</v>
      </c>
      <c r="B253" s="9" t="s">
        <v>119</v>
      </c>
      <c r="C253" s="4" t="s">
        <v>691</v>
      </c>
      <c r="D253" s="4"/>
      <c r="E253" s="4" t="s">
        <v>119</v>
      </c>
      <c r="F253" s="4" t="s">
        <v>119</v>
      </c>
      <c r="G253" s="4"/>
      <c r="H253" s="4" t="s">
        <v>1814</v>
      </c>
      <c r="I253" s="4" t="s">
        <v>963</v>
      </c>
      <c r="J253" s="11"/>
      <c r="K253" s="11"/>
      <c r="L253" s="4"/>
      <c r="M253" s="12"/>
      <c r="N253" s="4"/>
      <c r="O253" s="4"/>
      <c r="P253" s="4"/>
      <c r="Q253" s="9" t="s">
        <v>1736</v>
      </c>
      <c r="R253" s="11"/>
      <c r="S253" s="4"/>
      <c r="T253" s="9"/>
      <c r="U253" s="11"/>
      <c r="V253" s="4"/>
      <c r="W253" s="9"/>
      <c r="X253" s="11"/>
      <c r="Y253" s="4"/>
      <c r="Z253" s="9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>CONCATENATE(E254,IF(ISBLANK(C254),"",CONCATENATE("_",C254)))</f>
        <v>ARCHER_AZTEC</v>
      </c>
      <c r="B254" s="9" t="s">
        <v>119</v>
      </c>
      <c r="C254" s="4" t="s">
        <v>702</v>
      </c>
      <c r="D254" s="4"/>
      <c r="E254" s="4" t="s">
        <v>119</v>
      </c>
      <c r="F254" s="4" t="s">
        <v>119</v>
      </c>
      <c r="G254" s="4"/>
      <c r="H254" s="4" t="s">
        <v>191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9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ARCHER_SOUTHAS</v>
      </c>
      <c r="B255" s="9" t="s">
        <v>119</v>
      </c>
      <c r="C255" s="4" t="s">
        <v>695</v>
      </c>
      <c r="D255" s="4" t="s">
        <v>693</v>
      </c>
      <c r="E255" s="4" t="s">
        <v>119</v>
      </c>
      <c r="F255" s="4" t="s">
        <v>119</v>
      </c>
      <c r="G255" s="4"/>
      <c r="H255" s="4"/>
      <c r="I255" s="4"/>
      <c r="J255" s="11"/>
      <c r="K255" s="11"/>
      <c r="L255" s="4"/>
      <c r="M255" s="12"/>
      <c r="N255" s="4"/>
      <c r="O255" s="4"/>
      <c r="P255" s="4"/>
      <c r="Q255" s="9"/>
      <c r="R255" s="11"/>
      <c r="S255" s="4"/>
      <c r="T255" s="9"/>
      <c r="U255" s="11"/>
      <c r="V255" s="4"/>
      <c r="W255" s="9"/>
      <c r="X255" s="11"/>
      <c r="Y255" s="4"/>
      <c r="Z255" s="11"/>
      <c r="AA255" s="11"/>
      <c r="AB255" s="4"/>
      <c r="AC255" s="11"/>
      <c r="AD255" s="11"/>
      <c r="AE255" s="4"/>
      <c r="AF255" s="9"/>
      <c r="AG255" s="11"/>
      <c r="AH255" s="4"/>
      <c r="AI255" s="9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7"/>
        <v>ARCHER_INDIA</v>
      </c>
      <c r="B256" s="9" t="s">
        <v>119</v>
      </c>
      <c r="C256" s="4" t="s">
        <v>720</v>
      </c>
      <c r="D256" s="4"/>
      <c r="E256" s="4" t="s">
        <v>119</v>
      </c>
      <c r="F256" s="4" t="s">
        <v>119</v>
      </c>
      <c r="G256" s="14" t="s">
        <v>132</v>
      </c>
      <c r="H256" s="4" t="s">
        <v>430</v>
      </c>
      <c r="I256" s="4" t="s">
        <v>102</v>
      </c>
      <c r="J256" s="11"/>
      <c r="K256" s="11"/>
      <c r="L256" s="4"/>
      <c r="M256" s="12"/>
      <c r="N256" s="4"/>
      <c r="O256" s="4"/>
      <c r="P256" s="4"/>
      <c r="Q256" s="9" t="s">
        <v>1736</v>
      </c>
      <c r="R256" s="11"/>
      <c r="S256" s="4"/>
      <c r="T256" s="9"/>
      <c r="U256" s="11"/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7"/>
        <v>ARTILLERY</v>
      </c>
      <c r="B257" s="9" t="s">
        <v>746</v>
      </c>
      <c r="C257" s="5"/>
      <c r="D257" s="5"/>
      <c r="E257" s="5" t="s">
        <v>746</v>
      </c>
      <c r="F257" s="5" t="s">
        <v>746</v>
      </c>
      <c r="G257" s="5"/>
      <c r="H257" s="5" t="s">
        <v>43</v>
      </c>
      <c r="I257" s="5" t="s">
        <v>128</v>
      </c>
      <c r="J257" s="6"/>
      <c r="K257" s="6"/>
      <c r="L257" s="13" t="s">
        <v>746</v>
      </c>
      <c r="M257" s="8"/>
      <c r="N257" s="5"/>
      <c r="O257" s="5"/>
      <c r="P257" s="5"/>
      <c r="Q257" s="7">
        <v>2</v>
      </c>
      <c r="R257" s="6" t="s">
        <v>1694</v>
      </c>
      <c r="S257" s="13" t="s">
        <v>1612</v>
      </c>
      <c r="T257" s="7">
        <v>3</v>
      </c>
      <c r="U257" s="7" t="s">
        <v>1736</v>
      </c>
      <c r="V257" s="5" t="s">
        <v>688</v>
      </c>
      <c r="W257" s="7">
        <v>7</v>
      </c>
      <c r="X257" s="6" t="s">
        <v>3</v>
      </c>
      <c r="Y257" s="5"/>
      <c r="Z257" s="7">
        <v>1</v>
      </c>
      <c r="AA257" s="6"/>
      <c r="AB257" s="5"/>
      <c r="AC257" s="6"/>
      <c r="AD257" s="6" t="s">
        <v>3</v>
      </c>
      <c r="AE257" s="5"/>
      <c r="AF257" s="6"/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ARTILLERY_EASTEU</v>
      </c>
      <c r="B258" s="9" t="s">
        <v>746</v>
      </c>
      <c r="C258" s="4" t="s">
        <v>698</v>
      </c>
      <c r="D258" s="4"/>
      <c r="E258" s="4" t="s">
        <v>746</v>
      </c>
      <c r="F258" s="4" t="s">
        <v>746</v>
      </c>
      <c r="G258" s="14" t="s">
        <v>132</v>
      </c>
      <c r="H258" s="4" t="s">
        <v>605</v>
      </c>
      <c r="I258" s="4" t="s">
        <v>2219</v>
      </c>
      <c r="J258" s="11"/>
      <c r="K258" s="11"/>
      <c r="L258" s="4"/>
      <c r="M258" s="12"/>
      <c r="N258" s="4"/>
      <c r="O258" s="4"/>
      <c r="P258" s="4"/>
      <c r="Q258" s="9"/>
      <c r="R258" s="11">
        <v>0.107</v>
      </c>
      <c r="S258" s="4"/>
      <c r="T258" s="9"/>
      <c r="U258" s="11">
        <v>7.4999999999999997E-2</v>
      </c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7"/>
        <v>ARTILLERY_FRANCE</v>
      </c>
      <c r="B259" s="9" t="s">
        <v>746</v>
      </c>
      <c r="C259" s="4" t="s">
        <v>715</v>
      </c>
      <c r="D259" s="4"/>
      <c r="E259" s="4" t="s">
        <v>746</v>
      </c>
      <c r="F259" s="4" t="s">
        <v>746</v>
      </c>
      <c r="G259" s="14"/>
      <c r="H259" s="4" t="s">
        <v>2220</v>
      </c>
      <c r="I259" s="4" t="s">
        <v>2221</v>
      </c>
      <c r="J259" s="11"/>
      <c r="K259" s="11"/>
      <c r="L259" s="4"/>
      <c r="M259" s="12"/>
      <c r="N259" s="4"/>
      <c r="O259" s="4"/>
      <c r="P259" s="4"/>
      <c r="Q259" s="9"/>
      <c r="R259" s="11">
        <v>0.108</v>
      </c>
      <c r="S259" s="4"/>
      <c r="T259" s="9"/>
      <c r="U259" s="11">
        <v>7.4999999999999997E-2</v>
      </c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2048</v>
      </c>
      <c r="H260" s="5" t="s">
        <v>1471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1</v>
      </c>
      <c r="R260" s="7" t="s">
        <v>1694</v>
      </c>
      <c r="S260" s="13" t="s">
        <v>1613</v>
      </c>
      <c r="T260" s="6">
        <v>1</v>
      </c>
      <c r="U260" s="7" t="s">
        <v>1736</v>
      </c>
      <c r="V260" s="5"/>
      <c r="W260" s="7">
        <v>2</v>
      </c>
      <c r="X260" s="6" t="s">
        <v>3</v>
      </c>
      <c r="Y260" s="5"/>
      <c r="Z260" s="7">
        <v>1</v>
      </c>
      <c r="AA260" s="6"/>
      <c r="AB260" s="5"/>
      <c r="AC260" s="6"/>
      <c r="AD260" s="6" t="s">
        <v>3</v>
      </c>
      <c r="AE260" s="5"/>
      <c r="AF260" s="6">
        <v>0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2049</v>
      </c>
      <c r="H261" s="5" t="s">
        <v>1472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0</v>
      </c>
      <c r="AG261" s="6"/>
      <c r="AH261" s="5"/>
      <c r="AI261" s="6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/>
      <c r="H262" s="5" t="s">
        <v>1470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1</v>
      </c>
      <c r="AG262" s="6"/>
      <c r="AH262" s="5"/>
      <c r="AI262" s="6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2050</v>
      </c>
      <c r="H263" s="5" t="s">
        <v>1467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7"/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2051</v>
      </c>
      <c r="H264" s="5" t="s">
        <v>1468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1</v>
      </c>
      <c r="R264" s="7" t="s">
        <v>1694</v>
      </c>
      <c r="S264" s="13" t="s">
        <v>1613</v>
      </c>
      <c r="T264" s="6">
        <v>1</v>
      </c>
      <c r="U264" s="7" t="s">
        <v>1736</v>
      </c>
      <c r="V264" s="5"/>
      <c r="W264" s="7">
        <v>2</v>
      </c>
      <c r="X264" s="6" t="s">
        <v>3</v>
      </c>
      <c r="Y264" s="5"/>
      <c r="Z264" s="7">
        <v>0</v>
      </c>
      <c r="AA264" s="6"/>
      <c r="AB264" s="5"/>
      <c r="AC264" s="6"/>
      <c r="AD264" s="6" t="s">
        <v>3</v>
      </c>
      <c r="AE264" s="5"/>
      <c r="AF264" s="6">
        <v>0</v>
      </c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7"/>
        <v>ARTIST</v>
      </c>
      <c r="B265" s="9"/>
      <c r="C265" s="5"/>
      <c r="D265" s="5"/>
      <c r="E265" s="5" t="s">
        <v>1312</v>
      </c>
      <c r="F265" s="5" t="s">
        <v>1310</v>
      </c>
      <c r="G265" s="5" t="s">
        <v>2052</v>
      </c>
      <c r="H265" s="5" t="s">
        <v>1469</v>
      </c>
      <c r="I265" s="5" t="s">
        <v>128</v>
      </c>
      <c r="J265" s="6">
        <v>1</v>
      </c>
      <c r="K265" s="6"/>
      <c r="L265" s="13" t="s">
        <v>1709</v>
      </c>
      <c r="M265" s="8"/>
      <c r="N265" s="5"/>
      <c r="O265" s="5"/>
      <c r="P265" s="5"/>
      <c r="Q265" s="6">
        <v>1</v>
      </c>
      <c r="R265" s="7" t="s">
        <v>1694</v>
      </c>
      <c r="S265" s="13" t="s">
        <v>1613</v>
      </c>
      <c r="T265" s="6">
        <v>1</v>
      </c>
      <c r="U265" s="7" t="s">
        <v>1736</v>
      </c>
      <c r="V265" s="5"/>
      <c r="W265" s="7">
        <v>2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>CONCATENATE(E266,IF(ISBLANK(C266),"",CONCATENATE("_",C266)))</f>
        <v>ARTIST</v>
      </c>
      <c r="B266" s="9"/>
      <c r="C266" s="5"/>
      <c r="D266" s="5"/>
      <c r="E266" s="5" t="s">
        <v>1312</v>
      </c>
      <c r="F266" s="5" t="s">
        <v>1310</v>
      </c>
      <c r="G266" s="5" t="s">
        <v>2573</v>
      </c>
      <c r="H266" s="5" t="s">
        <v>1470</v>
      </c>
      <c r="I266" s="5" t="s">
        <v>128</v>
      </c>
      <c r="J266" s="6">
        <v>1</v>
      </c>
      <c r="K266" s="6"/>
      <c r="L266" s="13" t="s">
        <v>1709</v>
      </c>
      <c r="M266" s="8"/>
      <c r="N266" s="5"/>
      <c r="O266" s="5"/>
      <c r="P266" s="5"/>
      <c r="Q266" s="6">
        <v>0</v>
      </c>
      <c r="R266" s="7" t="s">
        <v>1694</v>
      </c>
      <c r="S266" s="13" t="s">
        <v>1613</v>
      </c>
      <c r="T266" s="6">
        <v>0</v>
      </c>
      <c r="U266" s="7" t="s">
        <v>1736</v>
      </c>
      <c r="V266" s="5"/>
      <c r="W266" s="7">
        <v>0</v>
      </c>
      <c r="X266" s="6" t="s">
        <v>3</v>
      </c>
      <c r="Y266" s="5"/>
      <c r="Z266" s="7">
        <v>0</v>
      </c>
      <c r="AA266" s="6"/>
      <c r="AB266" s="5"/>
      <c r="AC266" s="6">
        <v>0</v>
      </c>
      <c r="AD266" s="6" t="s">
        <v>3</v>
      </c>
      <c r="AE266" s="5"/>
      <c r="AF266" s="6">
        <v>0</v>
      </c>
      <c r="AG266" s="6"/>
      <c r="AH266" s="5"/>
      <c r="AI266" s="6">
        <v>0</v>
      </c>
      <c r="AJ266" s="6"/>
      <c r="AK266" s="5"/>
      <c r="AL266" s="5" t="s">
        <v>1909</v>
      </c>
      <c r="AM266" s="5"/>
      <c r="AN266" s="5"/>
      <c r="AO266" s="5" t="s">
        <v>1909</v>
      </c>
      <c r="AP266" s="5"/>
      <c r="AQ266" s="5"/>
    </row>
    <row r="267" spans="1:43" s="2" customFormat="1" x14ac:dyDescent="0.25">
      <c r="A267" s="161" t="str">
        <f t="shared" si="7"/>
        <v>ARTIST_LATE</v>
      </c>
      <c r="B267" s="9"/>
      <c r="C267" s="5"/>
      <c r="D267" s="5"/>
      <c r="E267" s="5" t="s">
        <v>1318</v>
      </c>
      <c r="F267" s="5" t="s">
        <v>1311</v>
      </c>
      <c r="G267" s="5"/>
      <c r="H267" s="5" t="s">
        <v>1473</v>
      </c>
      <c r="I267" s="5" t="s">
        <v>128</v>
      </c>
      <c r="J267" s="6"/>
      <c r="K267" s="6"/>
      <c r="L267" s="13" t="s">
        <v>1709</v>
      </c>
      <c r="M267" s="8"/>
      <c r="N267" s="5"/>
      <c r="O267" s="5"/>
      <c r="P267" s="5"/>
      <c r="Q267" s="7">
        <v>1</v>
      </c>
      <c r="R267" s="7">
        <v>0.1</v>
      </c>
      <c r="S267" s="13"/>
      <c r="T267" s="7"/>
      <c r="U267" s="7">
        <v>0.08</v>
      </c>
      <c r="V267" s="5"/>
      <c r="W267" s="7"/>
      <c r="X267" s="6" t="s">
        <v>3</v>
      </c>
      <c r="Y267" s="5"/>
      <c r="Z267" s="7"/>
      <c r="AA267" s="6"/>
      <c r="AB267" s="5"/>
      <c r="AC267" s="6"/>
      <c r="AD267" s="6" t="s">
        <v>3</v>
      </c>
      <c r="AE267" s="5"/>
      <c r="AF267" s="7"/>
      <c r="AG267" s="6"/>
      <c r="AH267" s="5"/>
      <c r="AI267" s="7"/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ATOMIC_BOMB</v>
      </c>
      <c r="B268" s="9" t="s">
        <v>747</v>
      </c>
      <c r="C268" s="5"/>
      <c r="D268" s="5"/>
      <c r="E268" s="5" t="s">
        <v>747</v>
      </c>
      <c r="F268" s="5" t="s">
        <v>790</v>
      </c>
      <c r="G268" s="5"/>
      <c r="H268" s="5" t="s">
        <v>1400</v>
      </c>
      <c r="I268" s="5" t="s">
        <v>128</v>
      </c>
      <c r="J268" s="6"/>
      <c r="K268" s="7"/>
      <c r="L268" s="13" t="s">
        <v>1710</v>
      </c>
      <c r="M268" s="8">
        <v>1.5</v>
      </c>
      <c r="N268" s="13" t="s">
        <v>1724</v>
      </c>
      <c r="O268" s="13"/>
      <c r="P268" s="13"/>
      <c r="Q268" s="7">
        <v>1</v>
      </c>
      <c r="R268" s="6">
        <v>7.0000000000000007E-2</v>
      </c>
      <c r="S268" s="5"/>
      <c r="T268" s="7">
        <v>1</v>
      </c>
      <c r="U268" s="7" t="s">
        <v>1736</v>
      </c>
      <c r="V268" s="5"/>
      <c r="W268" s="7"/>
      <c r="X268" s="6" t="s">
        <v>3</v>
      </c>
      <c r="Y268" s="5"/>
      <c r="Z268" s="7"/>
      <c r="AA268" s="6"/>
      <c r="AB268" s="5"/>
      <c r="AC268" s="6"/>
      <c r="AD268" s="6" t="s">
        <v>3</v>
      </c>
      <c r="AE268" s="5"/>
      <c r="AF268" s="7"/>
      <c r="AG268" s="6"/>
      <c r="AH268" s="5"/>
      <c r="AI268" s="7"/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>CONCATENATE(E269,IF(ISBLANK(C269),"",CONCATENATE("_",C269)))</f>
        <v>BARBARIAN_ARCHER</v>
      </c>
      <c r="B269" s="9"/>
      <c r="C269" s="5"/>
      <c r="D269" s="5"/>
      <c r="E269" s="5" t="s">
        <v>1306</v>
      </c>
      <c r="F269" s="5" t="s">
        <v>1306</v>
      </c>
      <c r="G269" s="5" t="s">
        <v>2077</v>
      </c>
      <c r="H269" s="5" t="s">
        <v>1401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0</v>
      </c>
      <c r="R269" s="6" t="s">
        <v>1736</v>
      </c>
      <c r="S269" s="13" t="s">
        <v>46</v>
      </c>
      <c r="T269" s="6">
        <v>0</v>
      </c>
      <c r="U269" s="6" t="s">
        <v>1736</v>
      </c>
      <c r="V269" s="5"/>
      <c r="W269" s="6">
        <v>0</v>
      </c>
      <c r="X269" s="6" t="s">
        <v>3</v>
      </c>
      <c r="Y269" s="5"/>
      <c r="Z269" s="7">
        <v>0</v>
      </c>
      <c r="AA269" s="6"/>
      <c r="AB269" s="5"/>
      <c r="AC269" s="6">
        <v>0</v>
      </c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 t="s">
        <v>1909</v>
      </c>
      <c r="AM269" s="5"/>
      <c r="AN269" s="5"/>
      <c r="AO269" s="5" t="s">
        <v>1909</v>
      </c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/>
      <c r="H270" s="5" t="s">
        <v>1401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5</v>
      </c>
      <c r="U270" s="6" t="s">
        <v>1736</v>
      </c>
      <c r="V270" s="5"/>
      <c r="W270" s="6">
        <v>5</v>
      </c>
      <c r="X270" s="6" t="s">
        <v>3</v>
      </c>
      <c r="Y270" s="5"/>
      <c r="Z270" s="7">
        <v>1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 t="s">
        <v>2045</v>
      </c>
      <c r="H271" s="5" t="s">
        <v>1402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6</v>
      </c>
      <c r="R271" s="6" t="s">
        <v>1736</v>
      </c>
      <c r="S271" s="13" t="s">
        <v>46</v>
      </c>
      <c r="T271" s="6">
        <v>7</v>
      </c>
      <c r="U271" s="6" t="s">
        <v>1736</v>
      </c>
      <c r="V271" s="5"/>
      <c r="W271" s="6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1</v>
      </c>
      <c r="AG271" s="6"/>
      <c r="AH271" s="5"/>
      <c r="AI271" s="6">
        <v>3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2047</v>
      </c>
      <c r="H272" s="5" t="s">
        <v>1403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3</v>
      </c>
      <c r="R272" s="6" t="s">
        <v>1736</v>
      </c>
      <c r="S272" s="13" t="s">
        <v>46</v>
      </c>
      <c r="T272" s="6">
        <v>6</v>
      </c>
      <c r="U272" s="15" t="s">
        <v>1736</v>
      </c>
      <c r="V272" s="5"/>
      <c r="W272" s="6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/>
      <c r="H273" s="5" t="s">
        <v>1401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6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BARBARIAN_ARCHER</v>
      </c>
      <c r="B274" s="9" t="s">
        <v>1306</v>
      </c>
      <c r="C274" s="5"/>
      <c r="D274" s="5"/>
      <c r="E274" s="5" t="s">
        <v>1306</v>
      </c>
      <c r="F274" s="5" t="s">
        <v>1306</v>
      </c>
      <c r="G274" s="5" t="s">
        <v>2045</v>
      </c>
      <c r="H274" s="5" t="s">
        <v>1402</v>
      </c>
      <c r="I274" s="5" t="s">
        <v>128</v>
      </c>
      <c r="J274" s="6"/>
      <c r="K274" s="6"/>
      <c r="L274" s="13" t="s">
        <v>1707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6" t="s">
        <v>1736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 t="shared" si="7"/>
        <v>BARBARIAN_ARCHER</v>
      </c>
      <c r="B275" s="9" t="s">
        <v>1306</v>
      </c>
      <c r="C275" s="5"/>
      <c r="D275" s="5"/>
      <c r="E275" s="5" t="s">
        <v>1306</v>
      </c>
      <c r="F275" s="5" t="s">
        <v>1306</v>
      </c>
      <c r="G275" s="5" t="s">
        <v>2047</v>
      </c>
      <c r="H275" s="5" t="s">
        <v>1403</v>
      </c>
      <c r="I275" s="5" t="s">
        <v>128</v>
      </c>
      <c r="J275" s="6"/>
      <c r="K275" s="6"/>
      <c r="L275" s="13" t="s">
        <v>1707</v>
      </c>
      <c r="M275" s="8"/>
      <c r="N275" s="5"/>
      <c r="O275" s="5"/>
      <c r="P275" s="5"/>
      <c r="Q275" s="6">
        <v>0</v>
      </c>
      <c r="R275" s="6" t="s">
        <v>1736</v>
      </c>
      <c r="S275" s="13" t="s">
        <v>46</v>
      </c>
      <c r="T275" s="6">
        <v>0</v>
      </c>
      <c r="U275" s="15" t="s">
        <v>1736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/>
      <c r="C276" s="5"/>
      <c r="D276" s="5"/>
      <c r="E276" s="5" t="s">
        <v>2569</v>
      </c>
      <c r="F276" s="5" t="s">
        <v>2569</v>
      </c>
      <c r="G276" s="5" t="s">
        <v>2570</v>
      </c>
      <c r="H276" s="5" t="s">
        <v>1404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0</v>
      </c>
      <c r="R276" s="6" t="s">
        <v>1736</v>
      </c>
      <c r="S276" s="13" t="s">
        <v>46</v>
      </c>
      <c r="T276" s="6">
        <v>0</v>
      </c>
      <c r="U276" s="7" t="s">
        <v>1736</v>
      </c>
      <c r="V276" s="5"/>
      <c r="W276" s="7">
        <v>0</v>
      </c>
      <c r="X276" s="6" t="s">
        <v>3</v>
      </c>
      <c r="Y276" s="5"/>
      <c r="Z276" s="7">
        <v>0</v>
      </c>
      <c r="AA276" s="6"/>
      <c r="AB276" s="5"/>
      <c r="AC276" s="6">
        <v>0</v>
      </c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 t="s">
        <v>1909</v>
      </c>
      <c r="AM276" s="5"/>
      <c r="AN276" s="5"/>
      <c r="AO276" s="5" t="s">
        <v>1909</v>
      </c>
      <c r="AP276" s="5"/>
      <c r="AQ276" s="5"/>
    </row>
    <row r="277" spans="1:43" s="2" customFormat="1" x14ac:dyDescent="0.25">
      <c r="A277" s="161" t="str">
        <f t="shared" si="7"/>
        <v>BARBARIAN_EURO</v>
      </c>
      <c r="B277" s="9" t="s">
        <v>2312</v>
      </c>
      <c r="C277" s="5"/>
      <c r="D277" s="5"/>
      <c r="E277" s="5" t="s">
        <v>2569</v>
      </c>
      <c r="F277" s="5" t="s">
        <v>2569</v>
      </c>
      <c r="G277" s="5"/>
      <c r="H277" s="5" t="s">
        <v>1404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2</v>
      </c>
      <c r="R277" s="6" t="s">
        <v>1736</v>
      </c>
      <c r="S277" s="13" t="s">
        <v>46</v>
      </c>
      <c r="T277" s="6">
        <v>5</v>
      </c>
      <c r="U277" s="7" t="s">
        <v>1736</v>
      </c>
      <c r="V277" s="5"/>
      <c r="W277" s="7">
        <v>5</v>
      </c>
      <c r="X277" s="6" t="s">
        <v>3</v>
      </c>
      <c r="Y277" s="5"/>
      <c r="Z277" s="7">
        <v>1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BARBARIAN_EURO</v>
      </c>
      <c r="B278" s="9" t="s">
        <v>2312</v>
      </c>
      <c r="C278" s="5"/>
      <c r="D278" s="5"/>
      <c r="E278" s="5" t="s">
        <v>2569</v>
      </c>
      <c r="F278" s="5" t="s">
        <v>2569</v>
      </c>
      <c r="G278" s="5" t="s">
        <v>2571</v>
      </c>
      <c r="H278" s="5" t="s">
        <v>1405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4</v>
      </c>
      <c r="R278" s="6" t="s">
        <v>1736</v>
      </c>
      <c r="S278" s="13" t="s">
        <v>46</v>
      </c>
      <c r="T278" s="6">
        <v>7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3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BARBARIAN_EURO</v>
      </c>
      <c r="B279" s="9" t="s">
        <v>2312</v>
      </c>
      <c r="C279" s="5"/>
      <c r="D279" s="5"/>
      <c r="E279" s="5" t="s">
        <v>2569</v>
      </c>
      <c r="F279" s="5" t="s">
        <v>2569</v>
      </c>
      <c r="G279" s="5" t="s">
        <v>2572</v>
      </c>
      <c r="H279" s="5" t="s">
        <v>1406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4</v>
      </c>
      <c r="R279" s="6" t="s">
        <v>1736</v>
      </c>
      <c r="S279" s="13" t="s">
        <v>46</v>
      </c>
      <c r="T279" s="6">
        <v>6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>CONCATENATE(E280,IF(ISBLANK(C280),"",CONCATENATE("_",C280)))</f>
        <v>BARBARIAN_EURO</v>
      </c>
      <c r="B280" s="9" t="s">
        <v>2312</v>
      </c>
      <c r="C280" s="5"/>
      <c r="D280" s="5"/>
      <c r="E280" s="5" t="s">
        <v>2569</v>
      </c>
      <c r="F280" s="5" t="s">
        <v>2569</v>
      </c>
      <c r="G280" s="5"/>
      <c r="H280" s="5" t="s">
        <v>1404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>CONCATENATE(E281,IF(ISBLANK(C281),"",CONCATENATE("_",C281)))</f>
        <v>BARBARIAN_EURO</v>
      </c>
      <c r="B281" s="9" t="s">
        <v>2312</v>
      </c>
      <c r="C281" s="5"/>
      <c r="D281" s="5"/>
      <c r="E281" s="5" t="s">
        <v>2569</v>
      </c>
      <c r="F281" s="5" t="s">
        <v>2569</v>
      </c>
      <c r="G281" s="5" t="s">
        <v>2571</v>
      </c>
      <c r="H281" s="5" t="s">
        <v>1405</v>
      </c>
      <c r="I281" s="5" t="s">
        <v>128</v>
      </c>
      <c r="J281" s="6"/>
      <c r="K281" s="6"/>
      <c r="L281" s="13" t="s">
        <v>1717</v>
      </c>
      <c r="M281" s="8"/>
      <c r="N281" s="5"/>
      <c r="O281" s="5"/>
      <c r="P281" s="5"/>
      <c r="Q281" s="6">
        <v>0</v>
      </c>
      <c r="R281" s="6" t="s">
        <v>1736</v>
      </c>
      <c r="S281" s="13" t="s">
        <v>46</v>
      </c>
      <c r="T281" s="6">
        <v>0</v>
      </c>
      <c r="U281" s="7" t="s">
        <v>1736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>CONCATENATE(E282,IF(ISBLANK(C282),"",CONCATENATE("_",C282)))</f>
        <v>BARBARIAN_EURO</v>
      </c>
      <c r="B282" s="9" t="s">
        <v>2312</v>
      </c>
      <c r="C282" s="5"/>
      <c r="D282" s="5"/>
      <c r="E282" s="5" t="s">
        <v>2569</v>
      </c>
      <c r="F282" s="5" t="s">
        <v>2569</v>
      </c>
      <c r="G282" s="5" t="s">
        <v>2572</v>
      </c>
      <c r="H282" s="5" t="s">
        <v>1406</v>
      </c>
      <c r="I282" s="5" t="s">
        <v>128</v>
      </c>
      <c r="J282" s="6"/>
      <c r="K282" s="6"/>
      <c r="L282" s="13" t="s">
        <v>1717</v>
      </c>
      <c r="M282" s="8"/>
      <c r="N282" s="5"/>
      <c r="O282" s="5"/>
      <c r="P282" s="5"/>
      <c r="Q282" s="6">
        <v>0</v>
      </c>
      <c r="R282" s="6" t="s">
        <v>1736</v>
      </c>
      <c r="S282" s="13" t="s">
        <v>46</v>
      </c>
      <c r="T282" s="6">
        <v>0</v>
      </c>
      <c r="U282" s="7" t="s">
        <v>1736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BARBARIAN_GALLEY</v>
      </c>
      <c r="B283" s="9" t="s">
        <v>784</v>
      </c>
      <c r="C283" s="5"/>
      <c r="D283" s="5"/>
      <c r="E283" s="5" t="s">
        <v>1307</v>
      </c>
      <c r="F283" s="5" t="s">
        <v>1307</v>
      </c>
      <c r="G283" s="5"/>
      <c r="H283" s="5" t="s">
        <v>1407</v>
      </c>
      <c r="I283" s="5" t="s">
        <v>128</v>
      </c>
      <c r="J283" s="6"/>
      <c r="K283" s="7"/>
      <c r="L283" s="13" t="s">
        <v>1711</v>
      </c>
      <c r="M283" s="8"/>
      <c r="N283" s="13" t="s">
        <v>1726</v>
      </c>
      <c r="O283" s="13"/>
      <c r="P283" s="13"/>
      <c r="Q283" s="7">
        <v>1</v>
      </c>
      <c r="R283" s="6">
        <v>0.09</v>
      </c>
      <c r="S283" s="13"/>
      <c r="T283" s="7">
        <v>3</v>
      </c>
      <c r="U283" s="6">
        <v>0.06</v>
      </c>
      <c r="V283" s="5" t="s">
        <v>1695</v>
      </c>
      <c r="W283" s="6"/>
      <c r="X283" s="6"/>
      <c r="Y283" s="5"/>
      <c r="Z283" s="6"/>
      <c r="AA283" s="6"/>
      <c r="AB283" s="5"/>
      <c r="AC283" s="6"/>
      <c r="AD283" s="6"/>
      <c r="AE283" s="5"/>
      <c r="AF283" s="6"/>
      <c r="AG283" s="6"/>
      <c r="AH283" s="5"/>
      <c r="AI283" s="6"/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/>
      <c r="H284" s="5" t="s">
        <v>1408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4</v>
      </c>
      <c r="R284" s="6" t="s">
        <v>1736</v>
      </c>
      <c r="S284" s="13" t="s">
        <v>46</v>
      </c>
      <c r="T284" s="6">
        <v>6</v>
      </c>
      <c r="U284" s="7" t="s">
        <v>1736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 t="s">
        <v>2045</v>
      </c>
      <c r="H285" s="5" t="s">
        <v>1409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5</v>
      </c>
      <c r="R285" s="6" t="s">
        <v>1736</v>
      </c>
      <c r="S285" s="13" t="s">
        <v>46</v>
      </c>
      <c r="T285" s="6">
        <v>7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2047</v>
      </c>
      <c r="H286" s="5" t="s">
        <v>1410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3</v>
      </c>
      <c r="R286" s="6" t="s">
        <v>1736</v>
      </c>
      <c r="S286" s="13" t="s">
        <v>46</v>
      </c>
      <c r="T286" s="6">
        <v>5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/>
      <c r="H287" s="5" t="s">
        <v>1408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BARBARIAN_SPEARMAN</v>
      </c>
      <c r="B288" s="9" t="s">
        <v>1308</v>
      </c>
      <c r="C288" s="5"/>
      <c r="D288" s="5"/>
      <c r="E288" s="5" t="s">
        <v>1308</v>
      </c>
      <c r="F288" s="5" t="s">
        <v>1308</v>
      </c>
      <c r="G288" s="5" t="s">
        <v>2045</v>
      </c>
      <c r="H288" s="5" t="s">
        <v>1409</v>
      </c>
      <c r="I288" s="5" t="s">
        <v>128</v>
      </c>
      <c r="J288" s="6"/>
      <c r="K288" s="6"/>
      <c r="L288" s="13" t="s">
        <v>1707</v>
      </c>
      <c r="M288" s="8"/>
      <c r="N288" s="5"/>
      <c r="O288" s="5"/>
      <c r="P288" s="5"/>
      <c r="Q288" s="6">
        <v>0</v>
      </c>
      <c r="R288" s="6" t="s">
        <v>1736</v>
      </c>
      <c r="S288" s="13" t="s">
        <v>46</v>
      </c>
      <c r="T288" s="6">
        <v>0</v>
      </c>
      <c r="U288" s="7" t="s">
        <v>1736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7"/>
        <v>BARBARIAN_SPEARMAN</v>
      </c>
      <c r="B289" s="9" t="s">
        <v>1308</v>
      </c>
      <c r="C289" s="5"/>
      <c r="D289" s="5"/>
      <c r="E289" s="5" t="s">
        <v>1308</v>
      </c>
      <c r="F289" s="5" t="s">
        <v>1308</v>
      </c>
      <c r="G289" s="5" t="s">
        <v>2047</v>
      </c>
      <c r="H289" s="5" t="s">
        <v>1410</v>
      </c>
      <c r="I289" s="5" t="s">
        <v>128</v>
      </c>
      <c r="J289" s="6"/>
      <c r="K289" s="6"/>
      <c r="L289" s="13" t="s">
        <v>1707</v>
      </c>
      <c r="M289" s="8"/>
      <c r="N289" s="5"/>
      <c r="O289" s="5"/>
      <c r="P289" s="5"/>
      <c r="Q289" s="6">
        <v>0</v>
      </c>
      <c r="R289" s="6" t="s">
        <v>1736</v>
      </c>
      <c r="S289" s="13" t="s">
        <v>46</v>
      </c>
      <c r="T289" s="6">
        <v>0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/>
      <c r="H290" s="5" t="s">
        <v>1411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6</v>
      </c>
      <c r="U290" s="7" t="s">
        <v>1736</v>
      </c>
      <c r="V290" s="5"/>
      <c r="W290" s="7">
        <v>5</v>
      </c>
      <c r="X290" s="6" t="s">
        <v>3</v>
      </c>
      <c r="Y290" s="5"/>
      <c r="Z290" s="7">
        <v>1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 t="s">
        <v>2045</v>
      </c>
      <c r="H291" s="5" t="s">
        <v>1412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6</v>
      </c>
      <c r="R291" s="6" t="s">
        <v>1694</v>
      </c>
      <c r="S291" s="13" t="s">
        <v>46</v>
      </c>
      <c r="T291" s="6">
        <v>7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>
        <v>3</v>
      </c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7"/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2047</v>
      </c>
      <c r="H292" s="5" t="s">
        <v>1413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3</v>
      </c>
      <c r="R292" s="6" t="s">
        <v>1694</v>
      </c>
      <c r="S292" s="13" t="s">
        <v>46</v>
      </c>
      <c r="T292" s="6">
        <v>5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>
        <v>2</v>
      </c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7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/>
      <c r="H293" s="5" t="s">
        <v>1411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ref="A294:A418" si="8">CONCATENATE(E294,IF(ISBLANK(C294),"",CONCATENATE("_",C294)))</f>
        <v>BARBARIAN_SWORDSMAN</v>
      </c>
      <c r="B294" s="9" t="s">
        <v>1309</v>
      </c>
      <c r="C294" s="5"/>
      <c r="D294" s="5"/>
      <c r="E294" s="5" t="s">
        <v>1309</v>
      </c>
      <c r="F294" s="5" t="s">
        <v>1309</v>
      </c>
      <c r="G294" s="5" t="s">
        <v>2045</v>
      </c>
      <c r="H294" s="5" t="s">
        <v>1412</v>
      </c>
      <c r="I294" s="5" t="s">
        <v>128</v>
      </c>
      <c r="J294" s="6"/>
      <c r="K294" s="6"/>
      <c r="L294" s="13" t="s">
        <v>1717</v>
      </c>
      <c r="M294" s="8"/>
      <c r="N294" s="5"/>
      <c r="O294" s="5"/>
      <c r="P294" s="5"/>
      <c r="Q294" s="6">
        <v>0</v>
      </c>
      <c r="R294" s="6" t="s">
        <v>1694</v>
      </c>
      <c r="S294" s="13" t="s">
        <v>46</v>
      </c>
      <c r="T294" s="6">
        <v>0</v>
      </c>
      <c r="U294" s="7" t="s">
        <v>1736</v>
      </c>
      <c r="V294" s="5"/>
      <c r="W294" s="7">
        <v>5</v>
      </c>
      <c r="X294" s="6" t="s">
        <v>3</v>
      </c>
      <c r="Y294" s="5"/>
      <c r="Z294" s="7">
        <v>0</v>
      </c>
      <c r="AA294" s="6"/>
      <c r="AB294" s="5"/>
      <c r="AC294" s="6"/>
      <c r="AD294" s="6" t="s">
        <v>3</v>
      </c>
      <c r="AE294" s="5"/>
      <c r="AF294" s="6">
        <v>0</v>
      </c>
      <c r="AG294" s="6"/>
      <c r="AH294" s="5"/>
      <c r="AI294" s="6">
        <v>0</v>
      </c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BARBARIAN_SWORDSMAN</v>
      </c>
      <c r="B295" s="9" t="s">
        <v>1309</v>
      </c>
      <c r="C295" s="5"/>
      <c r="D295" s="5"/>
      <c r="E295" s="5" t="s">
        <v>1309</v>
      </c>
      <c r="F295" s="5" t="s">
        <v>1309</v>
      </c>
      <c r="G295" s="5" t="s">
        <v>2047</v>
      </c>
      <c r="H295" s="5" t="s">
        <v>1413</v>
      </c>
      <c r="I295" s="5" t="s">
        <v>128</v>
      </c>
      <c r="J295" s="6"/>
      <c r="K295" s="6"/>
      <c r="L295" s="13" t="s">
        <v>1717</v>
      </c>
      <c r="M295" s="8"/>
      <c r="N295" s="5"/>
      <c r="O295" s="5"/>
      <c r="P295" s="5"/>
      <c r="Q295" s="6">
        <v>0</v>
      </c>
      <c r="R295" s="6" t="s">
        <v>1694</v>
      </c>
      <c r="S295" s="13" t="s">
        <v>46</v>
      </c>
      <c r="T295" s="6">
        <v>0</v>
      </c>
      <c r="U295" s="7" t="s">
        <v>1736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0</v>
      </c>
      <c r="AG295" s="6"/>
      <c r="AH295" s="5"/>
      <c r="AI295" s="6">
        <v>0</v>
      </c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 t="shared" si="8"/>
        <v>BATTLESHIP</v>
      </c>
      <c r="B296" s="9" t="s">
        <v>126</v>
      </c>
      <c r="C296" s="5"/>
      <c r="D296" s="5"/>
      <c r="E296" s="5" t="s">
        <v>126</v>
      </c>
      <c r="F296" s="5" t="s">
        <v>126</v>
      </c>
      <c r="G296" s="5"/>
      <c r="H296" s="5" t="s">
        <v>1498</v>
      </c>
      <c r="I296" s="5" t="s">
        <v>102</v>
      </c>
      <c r="J296" s="6"/>
      <c r="K296" s="7"/>
      <c r="L296" s="13" t="s">
        <v>1712</v>
      </c>
      <c r="M296" s="8"/>
      <c r="N296" s="13" t="s">
        <v>1726</v>
      </c>
      <c r="O296" s="13"/>
      <c r="P296" s="13"/>
      <c r="Q296" s="7">
        <v>1</v>
      </c>
      <c r="R296" s="6">
        <v>0.09</v>
      </c>
      <c r="S296" s="5"/>
      <c r="T296" s="6"/>
      <c r="U296" s="6">
        <v>0.105</v>
      </c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 t="shared" si="8"/>
        <v>BATTLESHIP_ZULU</v>
      </c>
      <c r="B297" s="9" t="s">
        <v>126</v>
      </c>
      <c r="C297" s="5" t="s">
        <v>742</v>
      </c>
      <c r="D297" s="5" t="s">
        <v>713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8"/>
        <v>BATTLESHIP_AMER</v>
      </c>
      <c r="B298" s="9" t="s">
        <v>126</v>
      </c>
      <c r="C298" s="5" t="s">
        <v>697</v>
      </c>
      <c r="D298" s="5" t="s">
        <v>699</v>
      </c>
      <c r="E298" s="5" t="s">
        <v>126</v>
      </c>
      <c r="F298" s="5" t="s">
        <v>126</v>
      </c>
      <c r="G298" s="5"/>
      <c r="H298" s="5"/>
      <c r="I298" s="5"/>
      <c r="J298" s="6"/>
      <c r="K298" s="7"/>
      <c r="L298" s="13"/>
      <c r="M298" s="8"/>
      <c r="N298" s="13"/>
      <c r="O298" s="13"/>
      <c r="P298" s="13"/>
      <c r="Q298" s="7"/>
      <c r="R298" s="6"/>
      <c r="S298" s="5"/>
      <c r="T298" s="6"/>
      <c r="U298" s="6"/>
      <c r="V298" s="5"/>
      <c r="W298" s="6"/>
      <c r="X298" s="6"/>
      <c r="Y298" s="5"/>
      <c r="Z298" s="6"/>
      <c r="AA298" s="6"/>
      <c r="AB298" s="5"/>
      <c r="AC298" s="6"/>
      <c r="AD298" s="6"/>
      <c r="AE298" s="5"/>
      <c r="AF298" s="6"/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8"/>
        <v>BATTLESHIP_ASIA</v>
      </c>
      <c r="B299" s="9" t="s">
        <v>126</v>
      </c>
      <c r="C299" s="5" t="s">
        <v>693</v>
      </c>
      <c r="D299" s="5" t="s">
        <v>698</v>
      </c>
      <c r="E299" s="5" t="s">
        <v>126</v>
      </c>
      <c r="F299" s="5" t="s">
        <v>126</v>
      </c>
      <c r="G299" s="5"/>
      <c r="H299" s="5"/>
      <c r="I299" s="5"/>
      <c r="J299" s="6"/>
      <c r="K299" s="7"/>
      <c r="L299" s="13"/>
      <c r="M299" s="8"/>
      <c r="N299" s="13"/>
      <c r="O299" s="13"/>
      <c r="P299" s="13"/>
      <c r="Q299" s="7"/>
      <c r="R299" s="6"/>
      <c r="S299" s="5"/>
      <c r="T299" s="6"/>
      <c r="U299" s="6"/>
      <c r="V299" s="5"/>
      <c r="W299" s="6"/>
      <c r="X299" s="6"/>
      <c r="Y299" s="5"/>
      <c r="Z299" s="6"/>
      <c r="AA299" s="6"/>
      <c r="AB299" s="5"/>
      <c r="AC299" s="6"/>
      <c r="AD299" s="6"/>
      <c r="AE299" s="5"/>
      <c r="AF299" s="6"/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8"/>
        <v>BATTLESHIP_JAPAN</v>
      </c>
      <c r="B300" s="9" t="s">
        <v>126</v>
      </c>
      <c r="C300" s="4" t="s">
        <v>722</v>
      </c>
      <c r="D300" s="4"/>
      <c r="E300" s="4" t="s">
        <v>126</v>
      </c>
      <c r="F300" s="4" t="s">
        <v>126</v>
      </c>
      <c r="G300" s="14" t="s">
        <v>132</v>
      </c>
      <c r="H300" s="4" t="s">
        <v>474</v>
      </c>
      <c r="I300" s="4" t="s">
        <v>1065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BATTLESHIP_KOREA</v>
      </c>
      <c r="B301" s="9" t="s">
        <v>126</v>
      </c>
      <c r="C301" s="4" t="s">
        <v>723</v>
      </c>
      <c r="D301" s="4" t="s">
        <v>722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BATTLESHIP_EASTEU</v>
      </c>
      <c r="B302" s="9" t="s">
        <v>126</v>
      </c>
      <c r="C302" s="4" t="s">
        <v>698</v>
      </c>
      <c r="D302" s="4"/>
      <c r="E302" s="4" t="s">
        <v>126</v>
      </c>
      <c r="F302" s="4" t="s">
        <v>126</v>
      </c>
      <c r="G302" s="14" t="s">
        <v>132</v>
      </c>
      <c r="H302" s="4" t="s">
        <v>606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BATTLESHIP_RUSSIA</v>
      </c>
      <c r="B303" s="9" t="s">
        <v>126</v>
      </c>
      <c r="C303" s="4" t="s">
        <v>735</v>
      </c>
      <c r="D303" s="4" t="s">
        <v>698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BATTLESHIP_AMERICA</v>
      </c>
      <c r="B304" s="9" t="s">
        <v>126</v>
      </c>
      <c r="C304" s="4" t="s">
        <v>699</v>
      </c>
      <c r="D304" s="4"/>
      <c r="E304" s="4" t="s">
        <v>126</v>
      </c>
      <c r="F304" s="4" t="s">
        <v>126</v>
      </c>
      <c r="G304" s="14"/>
      <c r="H304" s="4" t="s">
        <v>133</v>
      </c>
      <c r="I304" s="4" t="s">
        <v>1048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BATTLESHIP_AUSTRALIA</v>
      </c>
      <c r="B305" s="9" t="s">
        <v>126</v>
      </c>
      <c r="C305" s="4" t="s">
        <v>1302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BATTLESHIP_CANADA</v>
      </c>
      <c r="B306" s="9" t="s">
        <v>126</v>
      </c>
      <c r="C306" s="4" t="s">
        <v>2207</v>
      </c>
      <c r="D306" s="4" t="s">
        <v>713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BATTLESHIP_CELTS</v>
      </c>
      <c r="B307" s="9" t="s">
        <v>126</v>
      </c>
      <c r="C307" s="4" t="s">
        <v>709</v>
      </c>
      <c r="D307" s="4" t="s">
        <v>713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BATTLESHIP_ENGLAND</v>
      </c>
      <c r="B308" s="9" t="s">
        <v>126</v>
      </c>
      <c r="C308" s="4" t="s">
        <v>713</v>
      </c>
      <c r="D308" s="4"/>
      <c r="E308" s="4" t="s">
        <v>126</v>
      </c>
      <c r="F308" s="4" t="s">
        <v>126</v>
      </c>
      <c r="G308" s="14" t="s">
        <v>132</v>
      </c>
      <c r="H308" s="4" t="s">
        <v>291</v>
      </c>
      <c r="I308" s="4" t="s">
        <v>102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BATTLESHIP_FRANCE</v>
      </c>
      <c r="B309" s="9" t="s">
        <v>126</v>
      </c>
      <c r="C309" s="4" t="s">
        <v>715</v>
      </c>
      <c r="D309" s="4"/>
      <c r="E309" s="4" t="s">
        <v>126</v>
      </c>
      <c r="F309" s="4" t="s">
        <v>126</v>
      </c>
      <c r="G309" s="14" t="s">
        <v>132</v>
      </c>
      <c r="H309" s="4" t="s">
        <v>335</v>
      </c>
      <c r="I309" s="4" t="s">
        <v>102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BATTLESHIP_GERMANY</v>
      </c>
      <c r="B310" s="9" t="s">
        <v>126</v>
      </c>
      <c r="C310" s="4" t="s">
        <v>717</v>
      </c>
      <c r="D310" s="4"/>
      <c r="E310" s="4" t="s">
        <v>126</v>
      </c>
      <c r="F310" s="4" t="s">
        <v>126</v>
      </c>
      <c r="G310" s="14" t="s">
        <v>132</v>
      </c>
      <c r="H310" s="4" t="s">
        <v>366</v>
      </c>
      <c r="I310" s="4" t="s">
        <v>131</v>
      </c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BATTLESHIP_ROME</v>
      </c>
      <c r="B311" s="9" t="s">
        <v>126</v>
      </c>
      <c r="C311" s="4" t="s">
        <v>734</v>
      </c>
      <c r="D311" s="4"/>
      <c r="E311" s="4" t="s">
        <v>126</v>
      </c>
      <c r="F311" s="4" t="s">
        <v>126</v>
      </c>
      <c r="G311" s="14" t="s">
        <v>132</v>
      </c>
      <c r="H311" s="4" t="s">
        <v>582</v>
      </c>
      <c r="I311" s="4" t="s">
        <v>1048</v>
      </c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4"/>
      <c r="AM311" s="4"/>
      <c r="AN311" s="4"/>
      <c r="AO311" s="4"/>
      <c r="AP311" s="4"/>
      <c r="AQ311" s="4"/>
    </row>
    <row r="312" spans="1:43" s="2" customFormat="1" x14ac:dyDescent="0.25">
      <c r="A312" s="161" t="str">
        <f t="shared" si="8"/>
        <v>BATTLESHIP_NORTHAF</v>
      </c>
      <c r="B312" s="9" t="s">
        <v>126</v>
      </c>
      <c r="C312" s="4" t="s">
        <v>2009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4"/>
      <c r="AM312" s="4"/>
      <c r="AN312" s="4"/>
      <c r="AO312" s="4"/>
      <c r="AP312" s="4"/>
      <c r="AQ312" s="4"/>
    </row>
    <row r="313" spans="1:43" s="2" customFormat="1" x14ac:dyDescent="0.25">
      <c r="A313" s="161" t="str">
        <f t="shared" si="8"/>
        <v>BATTLESHIP_OCEAN</v>
      </c>
      <c r="B313" s="9" t="s">
        <v>126</v>
      </c>
      <c r="C313" s="4" t="s">
        <v>994</v>
      </c>
      <c r="D313" s="4" t="s">
        <v>699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4"/>
      <c r="AM313" s="4"/>
      <c r="AN313" s="4"/>
      <c r="AO313" s="4"/>
      <c r="AP313" s="4"/>
      <c r="AQ313" s="4"/>
    </row>
    <row r="314" spans="1:43" s="2" customFormat="1" x14ac:dyDescent="0.25">
      <c r="A314" s="161" t="str">
        <f t="shared" si="8"/>
        <v>BATTLESHIP_SEASIA</v>
      </c>
      <c r="B314" s="9" t="s">
        <v>126</v>
      </c>
      <c r="C314" s="4" t="s">
        <v>696</v>
      </c>
      <c r="D314" s="4" t="s">
        <v>715</v>
      </c>
      <c r="E314" s="4" t="s">
        <v>126</v>
      </c>
      <c r="F314" s="4" t="s">
        <v>126</v>
      </c>
      <c r="G314" s="14"/>
      <c r="H314" s="4"/>
      <c r="I314" s="4"/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4"/>
      <c r="AM314" s="4"/>
      <c r="AN314" s="4"/>
      <c r="AO314" s="4"/>
      <c r="AP314" s="4"/>
      <c r="AQ314" s="4"/>
    </row>
    <row r="315" spans="1:43" s="2" customFormat="1" x14ac:dyDescent="0.25">
      <c r="A315" s="161" t="str">
        <f t="shared" si="8"/>
        <v>BATTLESHIP_SOUTHAS</v>
      </c>
      <c r="B315" s="9" t="s">
        <v>126</v>
      </c>
      <c r="C315" s="4" t="s">
        <v>695</v>
      </c>
      <c r="D315" s="4" t="s">
        <v>713</v>
      </c>
      <c r="E315" s="4" t="s">
        <v>126</v>
      </c>
      <c r="F315" s="4" t="s">
        <v>126</v>
      </c>
      <c r="G315" s="14"/>
      <c r="H315" s="4"/>
      <c r="I315" s="4"/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4"/>
      <c r="AM315" s="4"/>
      <c r="AN315" s="4"/>
      <c r="AO315" s="4"/>
      <c r="AP315" s="4"/>
      <c r="AQ315" s="4"/>
    </row>
    <row r="316" spans="1:43" s="2" customFormat="1" x14ac:dyDescent="0.25">
      <c r="A316" s="161" t="str">
        <f t="shared" si="8"/>
        <v>BAZOOKA_INFANTRY</v>
      </c>
      <c r="B316" s="9" t="s">
        <v>2313</v>
      </c>
      <c r="C316" s="5"/>
      <c r="D316" s="5"/>
      <c r="E316" s="5" t="s">
        <v>1110</v>
      </c>
      <c r="F316" s="5" t="s">
        <v>1110</v>
      </c>
      <c r="G316" s="5"/>
      <c r="H316" s="5" t="s">
        <v>1112</v>
      </c>
      <c r="I316" s="5" t="s">
        <v>128</v>
      </c>
      <c r="J316" s="6"/>
      <c r="K316" s="6"/>
      <c r="L316" s="13" t="s">
        <v>1707</v>
      </c>
      <c r="M316" s="8"/>
      <c r="N316" s="5"/>
      <c r="O316" s="5"/>
      <c r="P316" s="5"/>
      <c r="Q316" s="7">
        <v>3</v>
      </c>
      <c r="R316" s="6" t="s">
        <v>1694</v>
      </c>
      <c r="S316" s="13" t="s">
        <v>1610</v>
      </c>
      <c r="T316" s="6"/>
      <c r="U316" s="7" t="s">
        <v>1736</v>
      </c>
      <c r="V316" s="5"/>
      <c r="W316" s="6" t="s">
        <v>3</v>
      </c>
      <c r="X316" s="6" t="s">
        <v>3</v>
      </c>
      <c r="Y316" s="5"/>
      <c r="Z316" s="7">
        <v>1</v>
      </c>
      <c r="AA316" s="6"/>
      <c r="AB316" s="5"/>
      <c r="AC316" s="6"/>
      <c r="AD316" s="6" t="s">
        <v>3</v>
      </c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s="2" customFormat="1" x14ac:dyDescent="0.25">
      <c r="A317" s="161" t="str">
        <f t="shared" si="8"/>
        <v>BOMBER</v>
      </c>
      <c r="B317" s="9" t="s">
        <v>118</v>
      </c>
      <c r="C317" s="5"/>
      <c r="D317" s="5"/>
      <c r="E317" s="5" t="s">
        <v>118</v>
      </c>
      <c r="F317" s="5" t="s">
        <v>118</v>
      </c>
      <c r="G317" s="5"/>
      <c r="H317" s="5" t="s">
        <v>40</v>
      </c>
      <c r="I317" s="5" t="s">
        <v>128</v>
      </c>
      <c r="J317" s="6"/>
      <c r="K317" s="7"/>
      <c r="L317" s="13" t="s">
        <v>1710</v>
      </c>
      <c r="M317" s="8">
        <v>1.7</v>
      </c>
      <c r="N317" s="13" t="s">
        <v>1724</v>
      </c>
      <c r="O317" s="13"/>
      <c r="P317" s="13"/>
      <c r="Q317" s="7">
        <v>1</v>
      </c>
      <c r="R317" s="6">
        <v>0.08</v>
      </c>
      <c r="S317" s="13" t="s">
        <v>1614</v>
      </c>
      <c r="T317" s="7">
        <v>3</v>
      </c>
      <c r="U317" s="7" t="s">
        <v>1736</v>
      </c>
      <c r="V317" s="5"/>
      <c r="W317" s="6" t="s">
        <v>3</v>
      </c>
      <c r="X317" s="6" t="s">
        <v>3</v>
      </c>
      <c r="Y317" s="5"/>
      <c r="Z317" s="6"/>
      <c r="AA317" s="6"/>
      <c r="AB317" s="5"/>
      <c r="AC317" s="6"/>
      <c r="AD317" s="6" t="s">
        <v>3</v>
      </c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s="2" customFormat="1" x14ac:dyDescent="0.25">
      <c r="A318" s="161" t="str">
        <f t="shared" si="8"/>
        <v>BOMBER_ZULU</v>
      </c>
      <c r="B318" s="9" t="s">
        <v>118</v>
      </c>
      <c r="C318" s="5" t="s">
        <v>742</v>
      </c>
      <c r="D318" s="5" t="s">
        <v>713</v>
      </c>
      <c r="E318" s="5" t="s">
        <v>118</v>
      </c>
      <c r="F318" s="5" t="s">
        <v>118</v>
      </c>
      <c r="G318" s="5"/>
      <c r="H318" s="5"/>
      <c r="I318" s="5"/>
      <c r="J318" s="6"/>
      <c r="K318" s="7"/>
      <c r="L318" s="13"/>
      <c r="M318" s="8"/>
      <c r="N318" s="13"/>
      <c r="O318" s="13"/>
      <c r="P318" s="13"/>
      <c r="Q318" s="7"/>
      <c r="R318" s="6"/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s="2" customFormat="1" x14ac:dyDescent="0.25">
      <c r="A319" s="161" t="str">
        <f t="shared" si="8"/>
        <v>BOMBER_AMER</v>
      </c>
      <c r="B319" s="9" t="s">
        <v>118</v>
      </c>
      <c r="C319" s="5" t="s">
        <v>697</v>
      </c>
      <c r="D319" s="5" t="s">
        <v>699</v>
      </c>
      <c r="E319" s="5" t="s">
        <v>118</v>
      </c>
      <c r="F319" s="5" t="s">
        <v>118</v>
      </c>
      <c r="G319" s="5"/>
      <c r="H319" s="5"/>
      <c r="I319" s="5"/>
      <c r="J319" s="6"/>
      <c r="K319" s="7"/>
      <c r="L319" s="13"/>
      <c r="M319" s="8"/>
      <c r="N319" s="13"/>
      <c r="O319" s="13"/>
      <c r="P319" s="13"/>
      <c r="Q319" s="7"/>
      <c r="R319" s="6"/>
      <c r="S319" s="13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8"/>
        <v>BOMBER_ASIA</v>
      </c>
      <c r="B320" s="9" t="s">
        <v>118</v>
      </c>
      <c r="C320" s="5" t="s">
        <v>693</v>
      </c>
      <c r="D320" s="5"/>
      <c r="E320" s="5" t="s">
        <v>118</v>
      </c>
      <c r="F320" s="5" t="s">
        <v>118</v>
      </c>
      <c r="G320" s="5"/>
      <c r="H320" s="4" t="s">
        <v>475</v>
      </c>
      <c r="I320" s="5" t="s">
        <v>102</v>
      </c>
      <c r="J320" s="11"/>
      <c r="K320" s="7"/>
      <c r="L320" s="13"/>
      <c r="M320" s="8"/>
      <c r="N320" s="13"/>
      <c r="O320" s="13"/>
      <c r="P320" s="13"/>
      <c r="Q320" s="7"/>
      <c r="R320" s="6">
        <v>8.2000000000000003E-2</v>
      </c>
      <c r="S320" s="13"/>
      <c r="T320" s="7"/>
      <c r="U320" s="7"/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8"/>
        <v>BOMBER_CHINA</v>
      </c>
      <c r="B321" s="9" t="s">
        <v>118</v>
      </c>
      <c r="C321" s="4" t="s">
        <v>710</v>
      </c>
      <c r="D321" s="4"/>
      <c r="E321" s="4" t="s">
        <v>118</v>
      </c>
      <c r="F321" s="4" t="s">
        <v>118</v>
      </c>
      <c r="G321" s="14" t="s">
        <v>132</v>
      </c>
      <c r="H321" s="4" t="s">
        <v>243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BOMBER_JAPAN</v>
      </c>
      <c r="B322" s="9" t="s">
        <v>118</v>
      </c>
      <c r="C322" s="4" t="s">
        <v>722</v>
      </c>
      <c r="D322" s="4" t="s">
        <v>693</v>
      </c>
      <c r="E322" s="4" t="s">
        <v>118</v>
      </c>
      <c r="F322" s="4" t="s">
        <v>118</v>
      </c>
      <c r="G322" s="14" t="s">
        <v>132</v>
      </c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BOMBER_EASTEU</v>
      </c>
      <c r="B323" s="9" t="s">
        <v>118</v>
      </c>
      <c r="C323" s="4" t="s">
        <v>698</v>
      </c>
      <c r="D323" s="4"/>
      <c r="E323" s="4" t="s">
        <v>118</v>
      </c>
      <c r="F323" s="4" t="s">
        <v>118</v>
      </c>
      <c r="G323" s="14"/>
      <c r="H323" s="4" t="s">
        <v>607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7.6999999999999999E-2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BOMBER_HUNS</v>
      </c>
      <c r="B324" s="9" t="s">
        <v>118</v>
      </c>
      <c r="C324" s="4" t="s">
        <v>904</v>
      </c>
      <c r="D324" s="4"/>
      <c r="E324" s="4" t="s">
        <v>118</v>
      </c>
      <c r="F324" s="4" t="s">
        <v>118</v>
      </c>
      <c r="G324" s="4"/>
      <c r="H324" s="4" t="s">
        <v>905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BOMBER_POLAND</v>
      </c>
      <c r="B325" s="9" t="s">
        <v>118</v>
      </c>
      <c r="C325" s="4" t="s">
        <v>732</v>
      </c>
      <c r="D325" s="4"/>
      <c r="E325" s="4" t="s">
        <v>118</v>
      </c>
      <c r="F325" s="4" t="s">
        <v>118</v>
      </c>
      <c r="G325" s="14" t="s">
        <v>132</v>
      </c>
      <c r="H325" s="4" t="s">
        <v>567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BOMBER_RUSSIA</v>
      </c>
      <c r="B326" s="9" t="s">
        <v>118</v>
      </c>
      <c r="C326" s="4" t="s">
        <v>735</v>
      </c>
      <c r="D326" s="4" t="s">
        <v>698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BOMBER_AMERICA</v>
      </c>
      <c r="B327" s="9" t="s">
        <v>118</v>
      </c>
      <c r="C327" s="4" t="s">
        <v>699</v>
      </c>
      <c r="D327" s="4"/>
      <c r="E327" s="4" t="s">
        <v>118</v>
      </c>
      <c r="F327" s="4" t="s">
        <v>118</v>
      </c>
      <c r="G327" s="14"/>
      <c r="H327" s="4" t="s">
        <v>134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8.7999999999999995E-2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BOMBER_AUSTRALIA</v>
      </c>
      <c r="B328" s="9" t="s">
        <v>118</v>
      </c>
      <c r="C328" s="4" t="s">
        <v>1302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BOMBER_AUSTRIA</v>
      </c>
      <c r="B329" s="9" t="s">
        <v>118</v>
      </c>
      <c r="C329" s="4" t="s">
        <v>701</v>
      </c>
      <c r="D329" s="4"/>
      <c r="E329" s="4" t="s">
        <v>118</v>
      </c>
      <c r="F329" s="4" t="s">
        <v>118</v>
      </c>
      <c r="G329" s="14"/>
      <c r="H329" s="4" t="s">
        <v>177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8.5000000000000006E-2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BOMBER_CANADA</v>
      </c>
      <c r="B330" s="9" t="s">
        <v>118</v>
      </c>
      <c r="C330" s="4" t="s">
        <v>2207</v>
      </c>
      <c r="D330" s="4" t="s">
        <v>713</v>
      </c>
      <c r="E330" s="4" t="s">
        <v>118</v>
      </c>
      <c r="F330" s="4" t="s">
        <v>118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BOMBER_CELTS</v>
      </c>
      <c r="B331" s="9" t="s">
        <v>118</v>
      </c>
      <c r="C331" s="4" t="s">
        <v>709</v>
      </c>
      <c r="D331" s="4" t="s">
        <v>713</v>
      </c>
      <c r="E331" s="4" t="s">
        <v>118</v>
      </c>
      <c r="F331" s="4" t="s">
        <v>118</v>
      </c>
      <c r="G331" s="14"/>
      <c r="H331" s="4"/>
      <c r="I331" s="4"/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BOMBER_ENGLAND</v>
      </c>
      <c r="B332" s="9" t="s">
        <v>118</v>
      </c>
      <c r="C332" s="4" t="s">
        <v>713</v>
      </c>
      <c r="D332" s="4"/>
      <c r="E332" s="4" t="s">
        <v>118</v>
      </c>
      <c r="F332" s="4" t="s">
        <v>118</v>
      </c>
      <c r="G332" s="14" t="s">
        <v>132</v>
      </c>
      <c r="H332" s="4" t="s">
        <v>292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8.5000000000000006E-2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BOMBER_FRANCE</v>
      </c>
      <c r="B333" s="9" t="s">
        <v>118</v>
      </c>
      <c r="C333" s="4" t="s">
        <v>715</v>
      </c>
      <c r="D333" s="4"/>
      <c r="E333" s="4" t="s">
        <v>118</v>
      </c>
      <c r="F333" s="4" t="s">
        <v>118</v>
      </c>
      <c r="G333" s="14" t="s">
        <v>132</v>
      </c>
      <c r="H333" s="4" t="s">
        <v>336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BOMBER_GERMANY</v>
      </c>
      <c r="B334" s="9" t="s">
        <v>118</v>
      </c>
      <c r="C334" s="4" t="s">
        <v>717</v>
      </c>
      <c r="D334" s="4"/>
      <c r="E334" s="4" t="s">
        <v>118</v>
      </c>
      <c r="F334" s="4" t="s">
        <v>118</v>
      </c>
      <c r="G334" s="14" t="s">
        <v>132</v>
      </c>
      <c r="H334" s="4" t="s">
        <v>367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8.3000000000000004E-2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8"/>
        <v>BOMBER_NETHERLANDS</v>
      </c>
      <c r="B335" s="9" t="s">
        <v>118</v>
      </c>
      <c r="C335" s="4" t="s">
        <v>730</v>
      </c>
      <c r="D335" s="4"/>
      <c r="E335" s="4" t="s">
        <v>118</v>
      </c>
      <c r="F335" s="4" t="s">
        <v>118</v>
      </c>
      <c r="G335" s="14" t="s">
        <v>132</v>
      </c>
      <c r="H335" s="4" t="s">
        <v>538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BOMBER_GREECE</v>
      </c>
      <c r="B336" s="9" t="s">
        <v>118</v>
      </c>
      <c r="C336" s="4" t="s">
        <v>718</v>
      </c>
      <c r="D336" s="4"/>
      <c r="E336" s="4" t="s">
        <v>118</v>
      </c>
      <c r="F336" s="4" t="s">
        <v>118</v>
      </c>
      <c r="G336" s="14" t="s">
        <v>132</v>
      </c>
      <c r="H336" s="4" t="s">
        <v>398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BOMBER_ROME</v>
      </c>
      <c r="B337" s="9" t="s">
        <v>118</v>
      </c>
      <c r="C337" s="4" t="s">
        <v>734</v>
      </c>
      <c r="D337" s="4"/>
      <c r="E337" s="4" t="s">
        <v>118</v>
      </c>
      <c r="F337" s="4" t="s">
        <v>118</v>
      </c>
      <c r="G337" s="14" t="s">
        <v>132</v>
      </c>
      <c r="H337" s="4" t="s">
        <v>1073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BOMBER_SPAIN</v>
      </c>
      <c r="B338" s="9" t="s">
        <v>118</v>
      </c>
      <c r="C338" s="4" t="s">
        <v>738</v>
      </c>
      <c r="D338" s="4"/>
      <c r="E338" s="4" t="s">
        <v>118</v>
      </c>
      <c r="F338" s="4" t="s">
        <v>118</v>
      </c>
      <c r="G338" s="14" t="s">
        <v>132</v>
      </c>
      <c r="H338" s="4" t="s">
        <v>648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BOMBER_EGYPT</v>
      </c>
      <c r="B339" s="9" t="s">
        <v>118</v>
      </c>
      <c r="C339" s="4" t="s">
        <v>712</v>
      </c>
      <c r="D339" s="4"/>
      <c r="E339" s="4" t="s">
        <v>118</v>
      </c>
      <c r="F339" s="4" t="s">
        <v>118</v>
      </c>
      <c r="G339" s="14" t="s">
        <v>132</v>
      </c>
      <c r="H339" s="4" t="s">
        <v>275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>CONCATENATE(E340,IF(ISBLANK(C340),"",CONCATENATE("_",C340)))</f>
        <v>BOMBER_NORTHAF</v>
      </c>
      <c r="B340" s="9" t="s">
        <v>118</v>
      </c>
      <c r="C340" s="4" t="s">
        <v>2009</v>
      </c>
      <c r="D340" s="4" t="s">
        <v>715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BOMBER_SWEDEN</v>
      </c>
      <c r="B341" s="9" t="s">
        <v>118</v>
      </c>
      <c r="C341" s="4" t="s">
        <v>739</v>
      </c>
      <c r="D341" s="4"/>
      <c r="E341" s="4" t="s">
        <v>118</v>
      </c>
      <c r="F341" s="4" t="s">
        <v>118</v>
      </c>
      <c r="G341" s="14" t="s">
        <v>132</v>
      </c>
      <c r="H341" s="4" t="s">
        <v>667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8"/>
        <v>BOMBER_OCEAN</v>
      </c>
      <c r="B342" s="9" t="s">
        <v>118</v>
      </c>
      <c r="C342" s="4" t="s">
        <v>994</v>
      </c>
      <c r="D342" s="4" t="s">
        <v>699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BOMBER_SAHUL</v>
      </c>
      <c r="B343" s="9" t="s">
        <v>118</v>
      </c>
      <c r="C343" s="4" t="s">
        <v>1787</v>
      </c>
      <c r="D343" s="4" t="s">
        <v>730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BOMBER_SEASIA</v>
      </c>
      <c r="B344" s="9" t="s">
        <v>118</v>
      </c>
      <c r="C344" s="4" t="s">
        <v>696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4"/>
      <c r="AM344" s="4"/>
      <c r="AN344" s="4"/>
      <c r="AO344" s="4"/>
      <c r="AP344" s="4"/>
      <c r="AQ344" s="4"/>
    </row>
    <row r="345" spans="1:43" s="2" customFormat="1" x14ac:dyDescent="0.25">
      <c r="A345" s="161" t="str">
        <f t="shared" si="8"/>
        <v>BOMBER_SOUTHAS</v>
      </c>
      <c r="B345" s="9" t="s">
        <v>118</v>
      </c>
      <c r="C345" s="4" t="s">
        <v>695</v>
      </c>
      <c r="D345" s="4" t="s">
        <v>713</v>
      </c>
      <c r="E345" s="4" t="s">
        <v>118</v>
      </c>
      <c r="F345" s="4" t="s">
        <v>118</v>
      </c>
      <c r="G345" s="14"/>
      <c r="H345" s="4"/>
      <c r="I345" s="4"/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4"/>
      <c r="AM345" s="4"/>
      <c r="AN345" s="4"/>
      <c r="AO345" s="4"/>
      <c r="AP345" s="4"/>
      <c r="AQ345" s="4"/>
    </row>
    <row r="346" spans="1:43" s="2" customFormat="1" x14ac:dyDescent="0.25">
      <c r="A346" s="161" t="str">
        <f t="shared" si="8"/>
        <v>CANNON</v>
      </c>
      <c r="B346" s="9" t="s">
        <v>748</v>
      </c>
      <c r="C346" s="5"/>
      <c r="D346" s="5"/>
      <c r="E346" s="5" t="s">
        <v>748</v>
      </c>
      <c r="F346" s="5" t="s">
        <v>748</v>
      </c>
      <c r="G346" s="5"/>
      <c r="H346" s="5" t="s">
        <v>39</v>
      </c>
      <c r="I346" s="5" t="s">
        <v>128</v>
      </c>
      <c r="J346" s="6"/>
      <c r="K346" s="6"/>
      <c r="L346" s="13" t="s">
        <v>746</v>
      </c>
      <c r="M346" s="8"/>
      <c r="N346" s="5"/>
      <c r="O346" s="5"/>
      <c r="P346" s="5"/>
      <c r="Q346" s="7">
        <v>3</v>
      </c>
      <c r="R346" s="6" t="s">
        <v>1694</v>
      </c>
      <c r="S346" s="13" t="s">
        <v>1610</v>
      </c>
      <c r="T346" s="6"/>
      <c r="U346" s="7" t="s">
        <v>1736</v>
      </c>
      <c r="V346" s="5" t="s">
        <v>1696</v>
      </c>
      <c r="W346" s="6" t="s">
        <v>3</v>
      </c>
      <c r="X346" s="6" t="s">
        <v>3</v>
      </c>
      <c r="Y346" s="5"/>
      <c r="Z346" s="7">
        <v>1</v>
      </c>
      <c r="AA346" s="6"/>
      <c r="AB346" s="5"/>
      <c r="AC346" s="6"/>
      <c r="AD346" s="6" t="s">
        <v>3</v>
      </c>
      <c r="AE346" s="5"/>
      <c r="AF346" s="6"/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CANNON_ENGLAND</v>
      </c>
      <c r="B347" s="9" t="s">
        <v>748</v>
      </c>
      <c r="C347" s="4" t="s">
        <v>713</v>
      </c>
      <c r="D347" s="4"/>
      <c r="E347" s="4" t="s">
        <v>748</v>
      </c>
      <c r="F347" s="4" t="s">
        <v>748</v>
      </c>
      <c r="G347" s="14" t="s">
        <v>132</v>
      </c>
      <c r="H347" s="4" t="s">
        <v>293</v>
      </c>
      <c r="I347" s="4" t="s">
        <v>966</v>
      </c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8"/>
        <v>CANNON_FRANCE</v>
      </c>
      <c r="B348" s="9" t="s">
        <v>748</v>
      </c>
      <c r="C348" s="4" t="s">
        <v>715</v>
      </c>
      <c r="D348" s="4"/>
      <c r="E348" s="4" t="s">
        <v>748</v>
      </c>
      <c r="F348" s="4" t="s">
        <v>748</v>
      </c>
      <c r="G348" s="14" t="s">
        <v>132</v>
      </c>
      <c r="H348" s="4" t="s">
        <v>337</v>
      </c>
      <c r="I348" s="4" t="s">
        <v>1059</v>
      </c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/>
      <c r="H349" s="5" t="s">
        <v>1414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1</v>
      </c>
      <c r="AA349" s="6"/>
      <c r="AB349" s="5"/>
      <c r="AC349" s="6"/>
      <c r="AD349" s="6" t="s">
        <v>3</v>
      </c>
      <c r="AE349" s="5"/>
      <c r="AF349" s="6">
        <v>1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8"/>
        <v>CARAVAN</v>
      </c>
      <c r="B350" s="9" t="s">
        <v>1319</v>
      </c>
      <c r="C350" s="5"/>
      <c r="D350" s="5"/>
      <c r="E350" s="5" t="s">
        <v>1319</v>
      </c>
      <c r="F350" s="5" t="s">
        <v>1319</v>
      </c>
      <c r="G350" s="5" t="s">
        <v>2038</v>
      </c>
      <c r="H350" s="5" t="s">
        <v>1415</v>
      </c>
      <c r="I350" s="5" t="s">
        <v>128</v>
      </c>
      <c r="J350" s="6">
        <v>1</v>
      </c>
      <c r="K350" s="6"/>
      <c r="L350" s="13" t="s">
        <v>1707</v>
      </c>
      <c r="M350" s="8"/>
      <c r="N350" s="5"/>
      <c r="O350" s="5"/>
      <c r="P350" s="5"/>
      <c r="Q350" s="6">
        <v>1</v>
      </c>
      <c r="R350" s="6">
        <v>0.11799999999999999</v>
      </c>
      <c r="S350" s="13" t="s">
        <v>1615</v>
      </c>
      <c r="T350" s="6"/>
      <c r="U350" s="7" t="s">
        <v>1694</v>
      </c>
      <c r="V350" s="5"/>
      <c r="W350" s="6"/>
      <c r="X350" s="6" t="s">
        <v>3</v>
      </c>
      <c r="Y350" s="5"/>
      <c r="Z350" s="7">
        <v>0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</v>
      </c>
      <c r="B351" s="9" t="s">
        <v>1319</v>
      </c>
      <c r="C351" s="5"/>
      <c r="D351" s="5"/>
      <c r="E351" s="5" t="s">
        <v>1319</v>
      </c>
      <c r="F351" s="5" t="s">
        <v>1319</v>
      </c>
      <c r="G351" s="5" t="s">
        <v>2039</v>
      </c>
      <c r="H351" s="5" t="s">
        <v>1416</v>
      </c>
      <c r="I351" s="5" t="s">
        <v>128</v>
      </c>
      <c r="J351" s="6">
        <v>1</v>
      </c>
      <c r="K351" s="6"/>
      <c r="L351" s="13" t="s">
        <v>1707</v>
      </c>
      <c r="M351" s="8"/>
      <c r="N351" s="5"/>
      <c r="O351" s="5"/>
      <c r="P351" s="5"/>
      <c r="Q351" s="6">
        <v>1</v>
      </c>
      <c r="R351" s="6">
        <v>0.11799999999999999</v>
      </c>
      <c r="S351" s="13" t="s">
        <v>1615</v>
      </c>
      <c r="T351" s="6"/>
      <c r="U351" s="7" t="s">
        <v>1694</v>
      </c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0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CARAVAN_CENTAS</v>
      </c>
      <c r="B352" s="9" t="s">
        <v>1319</v>
      </c>
      <c r="C352" s="5" t="s">
        <v>918</v>
      </c>
      <c r="D352" s="5" t="s">
        <v>689</v>
      </c>
      <c r="E352" s="5" t="s">
        <v>1319</v>
      </c>
      <c r="F352" s="5" t="s">
        <v>1319</v>
      </c>
      <c r="G352" s="5"/>
      <c r="H352" s="5"/>
      <c r="I352" s="5"/>
      <c r="J352" s="6"/>
      <c r="K352" s="6"/>
      <c r="L352" s="13"/>
      <c r="M352" s="8"/>
      <c r="N352" s="5"/>
      <c r="O352" s="5"/>
      <c r="P352" s="5"/>
      <c r="Q352" s="6"/>
      <c r="R352" s="6"/>
      <c r="S352" s="13"/>
      <c r="T352" s="6"/>
      <c r="U352" s="7"/>
      <c r="V352" s="5"/>
      <c r="W352" s="6"/>
      <c r="X352" s="6"/>
      <c r="Y352" s="5"/>
      <c r="Z352" s="7"/>
      <c r="AA352" s="6"/>
      <c r="AB352" s="5"/>
      <c r="AC352" s="6"/>
      <c r="AD352" s="6"/>
      <c r="AE352" s="5"/>
      <c r="AF352" s="6"/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>CONCATENATE(E353,IF(ISBLANK(C353),"",CONCATENATE("_",C353)))</f>
        <v>CARAVAN_EASTEU</v>
      </c>
      <c r="B353" s="9" t="s">
        <v>1319</v>
      </c>
      <c r="C353" s="5" t="s">
        <v>698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/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>CONCATENATE(E354,IF(ISBLANK(C354),"",CONCATENATE("_",C354)))</f>
        <v>CARAVAN_EURO</v>
      </c>
      <c r="B354" s="9" t="s">
        <v>1319</v>
      </c>
      <c r="C354" s="5" t="s">
        <v>689</v>
      </c>
      <c r="D354" s="5"/>
      <c r="E354" s="5" t="s">
        <v>1319</v>
      </c>
      <c r="F354" s="5" t="s">
        <v>1319</v>
      </c>
      <c r="G354" s="5"/>
      <c r="H354" s="5" t="s">
        <v>2112</v>
      </c>
      <c r="I354" s="5" t="s">
        <v>966</v>
      </c>
      <c r="J354" s="6">
        <v>1</v>
      </c>
      <c r="K354" s="6"/>
      <c r="L354" s="13"/>
      <c r="M354" s="8"/>
      <c r="N354" s="5"/>
      <c r="O354" s="5"/>
      <c r="P354" s="5"/>
      <c r="Q354" s="6">
        <v>1</v>
      </c>
      <c r="R354" s="6">
        <v>0.09</v>
      </c>
      <c r="S354" s="13" t="s">
        <v>1615</v>
      </c>
      <c r="T354" s="6">
        <v>2</v>
      </c>
      <c r="U354" s="7">
        <v>0.06</v>
      </c>
      <c r="V354" s="5"/>
      <c r="W354" s="6"/>
      <c r="X354" s="6" t="s">
        <v>3</v>
      </c>
      <c r="Y354" s="5"/>
      <c r="Z354" s="7">
        <v>1</v>
      </c>
      <c r="AA354" s="6">
        <v>8.5000000000000006E-2</v>
      </c>
      <c r="AB354" s="5"/>
      <c r="AC354" s="6"/>
      <c r="AD354" s="6" t="s">
        <v>3</v>
      </c>
      <c r="AE354" s="5"/>
      <c r="AF354" s="6">
        <v>2</v>
      </c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>CONCATENATE(E355,IF(ISBLANK(C355),"",CONCATENATE("_",C355)))</f>
        <v>CARAVAN_NORTHEU</v>
      </c>
      <c r="B355" s="9" t="s">
        <v>1319</v>
      </c>
      <c r="C355" s="5" t="s">
        <v>962</v>
      </c>
      <c r="D355" s="5" t="s">
        <v>689</v>
      </c>
      <c r="E355" s="5" t="s">
        <v>1319</v>
      </c>
      <c r="F355" s="5" t="s">
        <v>1319</v>
      </c>
      <c r="G355" s="5"/>
      <c r="H355" s="5"/>
      <c r="I355" s="5"/>
      <c r="J355" s="6"/>
      <c r="K355" s="6"/>
      <c r="L355" s="13"/>
      <c r="M355" s="8"/>
      <c r="N355" s="5"/>
      <c r="O355" s="5"/>
      <c r="P355" s="5"/>
      <c r="Q355" s="6"/>
      <c r="R355" s="6"/>
      <c r="S355" s="13"/>
      <c r="T355" s="6"/>
      <c r="U355" s="7"/>
      <c r="V355" s="5"/>
      <c r="W355" s="6"/>
      <c r="X355" s="6"/>
      <c r="Y355" s="5"/>
      <c r="Z355" s="7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/>
      <c r="H356" s="5" t="s">
        <v>1417</v>
      </c>
      <c r="I356" s="5" t="s">
        <v>128</v>
      </c>
      <c r="J356" s="6"/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1</v>
      </c>
      <c r="AA356" s="6"/>
      <c r="AB356" s="5"/>
      <c r="AC356" s="6"/>
      <c r="AD356" s="6" t="s">
        <v>3</v>
      </c>
      <c r="AE356" s="5"/>
      <c r="AF356" s="6">
        <v>1</v>
      </c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8"/>
        <v>CARAVAN_POSTMODERN</v>
      </c>
      <c r="B357" s="9" t="s">
        <v>1319</v>
      </c>
      <c r="C357" s="5"/>
      <c r="D357" s="5"/>
      <c r="E357" s="5" t="s">
        <v>1320</v>
      </c>
      <c r="F357" s="5" t="s">
        <v>1321</v>
      </c>
      <c r="G357" s="5" t="s">
        <v>2038</v>
      </c>
      <c r="H357" s="5" t="s">
        <v>1418</v>
      </c>
      <c r="I357" s="5" t="s">
        <v>128</v>
      </c>
      <c r="J357" s="6"/>
      <c r="K357" s="6"/>
      <c r="L357" s="13" t="s">
        <v>1707</v>
      </c>
      <c r="M357" s="8"/>
      <c r="N357" s="5"/>
      <c r="O357" s="5"/>
      <c r="P357" s="5"/>
      <c r="Q357" s="6">
        <v>1</v>
      </c>
      <c r="R357" s="6">
        <v>0.04</v>
      </c>
      <c r="S357" s="13" t="s">
        <v>1616</v>
      </c>
      <c r="T357" s="6"/>
      <c r="U357" s="7"/>
      <c r="V357" s="5"/>
      <c r="W357" s="6"/>
      <c r="X357" s="6" t="s">
        <v>3</v>
      </c>
      <c r="Y357" s="5"/>
      <c r="Z357" s="7">
        <v>0</v>
      </c>
      <c r="AA357" s="6"/>
      <c r="AB357" s="5"/>
      <c r="AC357" s="6"/>
      <c r="AD357" s="6" t="s">
        <v>3</v>
      </c>
      <c r="AE357" s="5"/>
      <c r="AF357" s="6">
        <v>1</v>
      </c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CARAVAN_POSTMODERN</v>
      </c>
      <c r="B358" s="9" t="s">
        <v>1319</v>
      </c>
      <c r="C358" s="5"/>
      <c r="D358" s="5"/>
      <c r="E358" s="5" t="s">
        <v>1320</v>
      </c>
      <c r="F358" s="5" t="s">
        <v>1321</v>
      </c>
      <c r="G358" s="5" t="s">
        <v>2039</v>
      </c>
      <c r="H358" s="5" t="s">
        <v>1419</v>
      </c>
      <c r="I358" s="5" t="s">
        <v>128</v>
      </c>
      <c r="J358" s="6"/>
      <c r="K358" s="6"/>
      <c r="L358" s="13" t="s">
        <v>1707</v>
      </c>
      <c r="M358" s="8"/>
      <c r="N358" s="5"/>
      <c r="O358" s="5"/>
      <c r="P358" s="5"/>
      <c r="Q358" s="6">
        <v>1</v>
      </c>
      <c r="R358" s="6">
        <v>0.04</v>
      </c>
      <c r="S358" s="13" t="s">
        <v>1616</v>
      </c>
      <c r="T358" s="6"/>
      <c r="U358" s="7"/>
      <c r="V358" s="5"/>
      <c r="W358" s="6"/>
      <c r="X358" s="6" t="s">
        <v>3</v>
      </c>
      <c r="Y358" s="5"/>
      <c r="Z358" s="7">
        <v>0</v>
      </c>
      <c r="AA358" s="6"/>
      <c r="AB358" s="5"/>
      <c r="AC358" s="6"/>
      <c r="AD358" s="6" t="s">
        <v>3</v>
      </c>
      <c r="AE358" s="5"/>
      <c r="AF358" s="6">
        <v>0</v>
      </c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s="2" customFormat="1" x14ac:dyDescent="0.25">
      <c r="A359" s="161" t="str">
        <f t="shared" si="8"/>
        <v>CARAVEL</v>
      </c>
      <c r="B359" s="9" t="s">
        <v>749</v>
      </c>
      <c r="C359" s="5"/>
      <c r="D359" s="5"/>
      <c r="E359" s="5" t="s">
        <v>749</v>
      </c>
      <c r="F359" s="5" t="s">
        <v>749</v>
      </c>
      <c r="G359" s="5"/>
      <c r="H359" s="5" t="s">
        <v>38</v>
      </c>
      <c r="I359" s="5" t="s">
        <v>128</v>
      </c>
      <c r="J359" s="6"/>
      <c r="K359" s="7"/>
      <c r="L359" s="13" t="s">
        <v>1712</v>
      </c>
      <c r="M359" s="8"/>
      <c r="N359" s="13" t="s">
        <v>1726</v>
      </c>
      <c r="O359" s="13"/>
      <c r="P359" s="13"/>
      <c r="Q359" s="7">
        <v>1</v>
      </c>
      <c r="R359" s="6" t="s">
        <v>1736</v>
      </c>
      <c r="S359" s="5"/>
      <c r="T359" s="7">
        <v>3</v>
      </c>
      <c r="U359" s="6">
        <v>0.1</v>
      </c>
      <c r="V359" s="5" t="s">
        <v>1697</v>
      </c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s="2" customFormat="1" x14ac:dyDescent="0.25">
      <c r="A360" s="161" t="str">
        <f t="shared" si="8"/>
        <v>CARGO_SHIP</v>
      </c>
      <c r="B360" s="9" t="s">
        <v>1322</v>
      </c>
      <c r="C360" s="5"/>
      <c r="D360" s="5"/>
      <c r="E360" s="5" t="s">
        <v>1322</v>
      </c>
      <c r="F360" s="5" t="s">
        <v>1322</v>
      </c>
      <c r="G360" s="5"/>
      <c r="H360" s="5" t="s">
        <v>1420</v>
      </c>
      <c r="I360" s="5" t="s">
        <v>128</v>
      </c>
      <c r="J360" s="6">
        <v>1</v>
      </c>
      <c r="K360" s="7"/>
      <c r="L360" s="13" t="s">
        <v>1707</v>
      </c>
      <c r="M360" s="8"/>
      <c r="N360" s="13" t="s">
        <v>1726</v>
      </c>
      <c r="O360" s="13"/>
      <c r="P360" s="13"/>
      <c r="Q360" s="7">
        <v>1</v>
      </c>
      <c r="R360" s="6">
        <v>0.15</v>
      </c>
      <c r="S360" s="13" t="s">
        <v>1694</v>
      </c>
      <c r="T360" s="7">
        <v>3</v>
      </c>
      <c r="U360" s="7" t="s">
        <v>1694</v>
      </c>
      <c r="V360" s="5" t="s">
        <v>1695</v>
      </c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s="2" customFormat="1" x14ac:dyDescent="0.25">
      <c r="A361" s="161" t="str">
        <f t="shared" si="8"/>
        <v>CARGO_SHIP_POSTMODERN</v>
      </c>
      <c r="B361" s="9" t="s">
        <v>1322</v>
      </c>
      <c r="C361" s="5"/>
      <c r="D361" s="5"/>
      <c r="E361" s="5" t="s">
        <v>1323</v>
      </c>
      <c r="F361" s="5" t="s">
        <v>1325</v>
      </c>
      <c r="G361" s="5"/>
      <c r="H361" s="5" t="s">
        <v>1421</v>
      </c>
      <c r="I361" s="5" t="s">
        <v>128</v>
      </c>
      <c r="J361" s="6"/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7.0000000000000007E-2</v>
      </c>
      <c r="S361" s="13" t="s">
        <v>1694</v>
      </c>
      <c r="T361" s="6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s="2" customFormat="1" x14ac:dyDescent="0.25">
      <c r="A362" s="161" t="str">
        <f>CONCATENATE(E362,IF(ISBLANK(C362),"",CONCATENATE("_",C362)))</f>
        <v>CARGO_SHIP_RENAISSANCE_POSTMODERN</v>
      </c>
      <c r="B362" s="9" t="s">
        <v>1322</v>
      </c>
      <c r="C362" s="5"/>
      <c r="D362" s="5"/>
      <c r="E362" s="5" t="s">
        <v>2390</v>
      </c>
      <c r="F362" s="5" t="s">
        <v>1325</v>
      </c>
      <c r="G362" s="5"/>
      <c r="H362" s="5" t="s">
        <v>1421</v>
      </c>
      <c r="I362" s="5" t="s">
        <v>128</v>
      </c>
      <c r="J362" s="6"/>
      <c r="K362" s="7"/>
      <c r="L362" s="13"/>
      <c r="M362" s="8"/>
      <c r="N362" s="13"/>
      <c r="O362" s="13"/>
      <c r="P362" s="13"/>
      <c r="Q362" s="7">
        <v>1</v>
      </c>
      <c r="R362" s="6">
        <v>7.0000000000000007E-2</v>
      </c>
      <c r="S362" s="13" t="s">
        <v>1694</v>
      </c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s="2" customFormat="1" x14ac:dyDescent="0.25">
      <c r="A363" s="161" t="str">
        <f t="shared" si="8"/>
        <v>CARGO_SHIP_RENAISSANCE</v>
      </c>
      <c r="B363" s="9" t="s">
        <v>1322</v>
      </c>
      <c r="C363" s="5"/>
      <c r="D363" s="5"/>
      <c r="E363" s="5" t="s">
        <v>1324</v>
      </c>
      <c r="F363" s="5" t="s">
        <v>1326</v>
      </c>
      <c r="G363" s="5"/>
      <c r="H363" s="5" t="s">
        <v>1422</v>
      </c>
      <c r="I363" s="5" t="s">
        <v>128</v>
      </c>
      <c r="J363" s="6">
        <v>1</v>
      </c>
      <c r="K363" s="7"/>
      <c r="L363" s="13" t="s">
        <v>1707</v>
      </c>
      <c r="M363" s="8"/>
      <c r="N363" s="13" t="s">
        <v>1726</v>
      </c>
      <c r="O363" s="13"/>
      <c r="P363" s="13"/>
      <c r="Q363" s="7">
        <v>1</v>
      </c>
      <c r="R363" s="6">
        <v>0.125</v>
      </c>
      <c r="S363" s="13" t="s">
        <v>1694</v>
      </c>
      <c r="T363" s="7">
        <v>3</v>
      </c>
      <c r="U363" s="7" t="s">
        <v>1694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ref="A364:A377" si="9">CONCATENATE(E364,IF(ISBLANK(C364),"",CONCATENATE("_",C364)))</f>
        <v>CARGO_SHIP_RENAISSANCE_OTTOMAN</v>
      </c>
      <c r="B364" s="9" t="s">
        <v>1322</v>
      </c>
      <c r="C364" s="5" t="s">
        <v>1037</v>
      </c>
      <c r="D364" s="5"/>
      <c r="E364" s="5" t="s">
        <v>1324</v>
      </c>
      <c r="F364" s="5" t="s">
        <v>1326</v>
      </c>
      <c r="G364" s="5"/>
      <c r="H364" s="5" t="s">
        <v>1979</v>
      </c>
      <c r="I364" s="5" t="s">
        <v>1982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CARGO_SHIP_RENAISSANCE_POLAND</v>
      </c>
      <c r="B365" s="9" t="s">
        <v>1322</v>
      </c>
      <c r="C365" s="5" t="s">
        <v>732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CARGO_SHIP_RENAISSANCE_RUSSIA</v>
      </c>
      <c r="B366" s="9" t="s">
        <v>1322</v>
      </c>
      <c r="C366" s="5" t="s">
        <v>735</v>
      </c>
      <c r="D366" s="5"/>
      <c r="E366" s="5" t="s">
        <v>1324</v>
      </c>
      <c r="F366" s="5" t="s">
        <v>1326</v>
      </c>
      <c r="G366" s="5"/>
      <c r="H366" s="5" t="s">
        <v>1975</v>
      </c>
      <c r="I366" s="5" t="s">
        <v>1982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CARGO_SHIP_RENAISSANCE_ENGLAND</v>
      </c>
      <c r="B367" s="9" t="s">
        <v>1322</v>
      </c>
      <c r="C367" s="5" t="s">
        <v>713</v>
      </c>
      <c r="D367" s="5"/>
      <c r="E367" s="5" t="s">
        <v>1324</v>
      </c>
      <c r="F367" s="5" t="s">
        <v>1326</v>
      </c>
      <c r="G367" s="5"/>
      <c r="H367" s="5" t="s">
        <v>1976</v>
      </c>
      <c r="I367" s="5" t="s">
        <v>1982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0.11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CARGO_SHIP_RENAISSANCE_FRANCE</v>
      </c>
      <c r="B368" s="9" t="s">
        <v>1322</v>
      </c>
      <c r="C368" s="5" t="s">
        <v>715</v>
      </c>
      <c r="D368" s="5"/>
      <c r="E368" s="5" t="s">
        <v>1324</v>
      </c>
      <c r="F368" s="5" t="s">
        <v>1326</v>
      </c>
      <c r="G368" s="5"/>
      <c r="H368" s="5" t="s">
        <v>1977</v>
      </c>
      <c r="I368" s="5" t="s">
        <v>1982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CARGO_SHIP_RENAISSANCE_GERMANY</v>
      </c>
      <c r="B369" s="9" t="s">
        <v>1322</v>
      </c>
      <c r="C369" s="5" t="s">
        <v>717</v>
      </c>
      <c r="D369" s="5"/>
      <c r="E369" s="5" t="s">
        <v>1324</v>
      </c>
      <c r="F369" s="5" t="s">
        <v>1326</v>
      </c>
      <c r="G369" s="5"/>
      <c r="H369" s="5" t="s">
        <v>1954</v>
      </c>
      <c r="I369" s="5" t="s">
        <v>1955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0.17499999999999999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CARGO_SHIP_RENAISSANCE_NETHERLANDS</v>
      </c>
      <c r="B370" s="9" t="s">
        <v>1322</v>
      </c>
      <c r="C370" s="5" t="s">
        <v>730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/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CARGO_SHIP_RENAISSANCE_RIGA</v>
      </c>
      <c r="B371" s="9" t="s">
        <v>1322</v>
      </c>
      <c r="C371" s="5" t="s">
        <v>1203</v>
      </c>
      <c r="D371" s="5" t="s">
        <v>717</v>
      </c>
      <c r="E371" s="5" t="s">
        <v>1324</v>
      </c>
      <c r="F371" s="5" t="s">
        <v>1326</v>
      </c>
      <c r="G371" s="5"/>
      <c r="H371" s="5"/>
      <c r="I371" s="5"/>
      <c r="J371" s="6"/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CARGO_SHIP_RENAISSANCE_WITTENBERG</v>
      </c>
      <c r="B372" s="9" t="s">
        <v>1322</v>
      </c>
      <c r="C372" s="5" t="s">
        <v>1215</v>
      </c>
      <c r="D372" s="5" t="s">
        <v>717</v>
      </c>
      <c r="E372" s="5" t="s">
        <v>1324</v>
      </c>
      <c r="F372" s="5" t="s">
        <v>1326</v>
      </c>
      <c r="G372" s="5"/>
      <c r="H372" s="5"/>
      <c r="I372" s="5"/>
      <c r="J372" s="6"/>
      <c r="K372" s="7"/>
      <c r="L372" s="13"/>
      <c r="M372" s="8"/>
      <c r="N372" s="13"/>
      <c r="O372" s="13"/>
      <c r="P372" s="13"/>
      <c r="Q372" s="7"/>
      <c r="R372" s="6"/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x14ac:dyDescent="0.25">
      <c r="A373" s="161" t="str">
        <f t="shared" si="9"/>
        <v>CARGO_SHIP_RENAISSANCE_MED</v>
      </c>
      <c r="B373" s="9" t="s">
        <v>1322</v>
      </c>
      <c r="C373" s="5" t="s">
        <v>692</v>
      </c>
      <c r="D373" s="5"/>
      <c r="E373" s="5" t="s">
        <v>1324</v>
      </c>
      <c r="F373" s="5" t="s">
        <v>1326</v>
      </c>
      <c r="G373" s="5"/>
      <c r="H373" s="5" t="s">
        <v>2062</v>
      </c>
      <c r="I373" s="5" t="s">
        <v>1982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0.11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x14ac:dyDescent="0.25">
      <c r="A374" s="161" t="str">
        <f t="shared" si="9"/>
        <v>CARGO_SHIP_RENAISSANCE_ROME</v>
      </c>
      <c r="B374" s="9" t="s">
        <v>1322</v>
      </c>
      <c r="C374" s="5" t="s">
        <v>734</v>
      </c>
      <c r="D374" s="5"/>
      <c r="E374" s="5" t="s">
        <v>1324</v>
      </c>
      <c r="F374" s="5" t="s">
        <v>1326</v>
      </c>
      <c r="G374" s="5"/>
      <c r="H374" s="5" t="s">
        <v>1981</v>
      </c>
      <c r="I374" s="5" t="s">
        <v>1982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x14ac:dyDescent="0.25">
      <c r="A375" s="161" t="str">
        <f t="shared" si="9"/>
        <v>CARGO_SHIP_RENAISSANCE_SPAIN</v>
      </c>
      <c r="B375" s="9" t="s">
        <v>1322</v>
      </c>
      <c r="C375" s="5" t="s">
        <v>738</v>
      </c>
      <c r="D375" s="5"/>
      <c r="E375" s="5" t="s">
        <v>1324</v>
      </c>
      <c r="F375" s="5" t="s">
        <v>1326</v>
      </c>
      <c r="G375" s="5"/>
      <c r="H375" s="5" t="s">
        <v>1657</v>
      </c>
      <c r="I375" s="5" t="s">
        <v>128</v>
      </c>
      <c r="J375" s="6">
        <v>1</v>
      </c>
      <c r="K375" s="7"/>
      <c r="L375" s="13" t="s">
        <v>1711</v>
      </c>
      <c r="M375" s="8"/>
      <c r="N375" s="13" t="s">
        <v>1726</v>
      </c>
      <c r="O375" s="13"/>
      <c r="P375" s="13"/>
      <c r="Q375" s="7">
        <v>1</v>
      </c>
      <c r="R375" s="6">
        <v>0.15</v>
      </c>
      <c r="S375" s="13"/>
      <c r="T375" s="6">
        <v>3</v>
      </c>
      <c r="U375" s="6" t="s">
        <v>1694</v>
      </c>
      <c r="V375" s="5" t="s">
        <v>1695</v>
      </c>
      <c r="W375" s="6"/>
      <c r="X375" s="6"/>
      <c r="Y375" s="5"/>
      <c r="Z375" s="7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x14ac:dyDescent="0.25">
      <c r="A376" s="161" t="str">
        <f t="shared" si="9"/>
        <v>CARGO_SHIP_RENAISSANCE_NORTHAF</v>
      </c>
      <c r="B376" s="9" t="s">
        <v>1322</v>
      </c>
      <c r="C376" s="5" t="s">
        <v>2009</v>
      </c>
      <c r="D376" s="5"/>
      <c r="E376" s="5" t="s">
        <v>1324</v>
      </c>
      <c r="F376" s="5" t="s">
        <v>1326</v>
      </c>
      <c r="G376" s="5"/>
      <c r="H376" s="5" t="s">
        <v>1978</v>
      </c>
      <c r="I376" s="5" t="s">
        <v>1982</v>
      </c>
      <c r="J376" s="6">
        <v>1</v>
      </c>
      <c r="K376" s="7"/>
      <c r="L376" s="13"/>
      <c r="M376" s="8"/>
      <c r="N376" s="13"/>
      <c r="O376" s="13"/>
      <c r="P376" s="13"/>
      <c r="Q376" s="7"/>
      <c r="R376" s="6">
        <v>0.11</v>
      </c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x14ac:dyDescent="0.25">
      <c r="A377" s="161" t="str">
        <f t="shared" si="9"/>
        <v>CARGO_SHIP_RENAISSANCE_SWEDEN</v>
      </c>
      <c r="B377" s="9" t="s">
        <v>1322</v>
      </c>
      <c r="C377" s="5" t="s">
        <v>739</v>
      </c>
      <c r="D377" s="5"/>
      <c r="E377" s="5" t="s">
        <v>1324</v>
      </c>
      <c r="F377" s="5" t="s">
        <v>1326</v>
      </c>
      <c r="G377" s="5"/>
      <c r="H377" s="5" t="s">
        <v>1980</v>
      </c>
      <c r="I377" s="5" t="s">
        <v>1982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5"/>
      <c r="AM377" s="5"/>
      <c r="AN377" s="5"/>
      <c r="AO377" s="5"/>
      <c r="AP377" s="5"/>
      <c r="AQ377" s="5"/>
    </row>
    <row r="378" spans="1:43" s="2" customFormat="1" x14ac:dyDescent="0.25">
      <c r="A378" s="161" t="str">
        <f t="shared" si="8"/>
        <v>CARRIER</v>
      </c>
      <c r="B378" s="9" t="s">
        <v>117</v>
      </c>
      <c r="C378" s="5"/>
      <c r="D378" s="5"/>
      <c r="E378" s="5" t="s">
        <v>117</v>
      </c>
      <c r="F378" s="5" t="s">
        <v>117</v>
      </c>
      <c r="G378" s="5"/>
      <c r="H378" s="5" t="s">
        <v>1499</v>
      </c>
      <c r="I378" s="5" t="s">
        <v>102</v>
      </c>
      <c r="J378" s="6"/>
      <c r="K378" s="7"/>
      <c r="L378" s="13" t="s">
        <v>1712</v>
      </c>
      <c r="M378" s="8"/>
      <c r="N378" s="13" t="s">
        <v>1726</v>
      </c>
      <c r="O378" s="13"/>
      <c r="P378" s="13"/>
      <c r="Q378" s="7">
        <v>1</v>
      </c>
      <c r="R378" s="6">
        <v>0.09</v>
      </c>
      <c r="S378" s="5"/>
      <c r="T378" s="6"/>
      <c r="U378" s="6">
        <v>0.105</v>
      </c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5"/>
      <c r="AM378" s="5"/>
      <c r="AN378" s="5"/>
      <c r="AO378" s="5"/>
      <c r="AP378" s="5"/>
      <c r="AQ378" s="5"/>
    </row>
    <row r="379" spans="1:43" s="2" customFormat="1" x14ac:dyDescent="0.25">
      <c r="A379" s="161" t="str">
        <f t="shared" si="8"/>
        <v>CARRIER_ZULU</v>
      </c>
      <c r="B379" s="9" t="s">
        <v>117</v>
      </c>
      <c r="C379" s="5" t="s">
        <v>742</v>
      </c>
      <c r="D379" s="5" t="s">
        <v>713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5"/>
      <c r="AM379" s="5"/>
      <c r="AN379" s="5"/>
      <c r="AO379" s="5"/>
      <c r="AP379" s="5"/>
      <c r="AQ379" s="5"/>
    </row>
    <row r="380" spans="1:43" s="2" customFormat="1" x14ac:dyDescent="0.25">
      <c r="A380" s="161" t="str">
        <f t="shared" si="8"/>
        <v>CARRIER_AMER</v>
      </c>
      <c r="B380" s="9" t="s">
        <v>117</v>
      </c>
      <c r="C380" s="5" t="s">
        <v>697</v>
      </c>
      <c r="D380" s="5" t="s">
        <v>699</v>
      </c>
      <c r="E380" s="5" t="s">
        <v>117</v>
      </c>
      <c r="F380" s="5" t="s">
        <v>117</v>
      </c>
      <c r="G380" s="5"/>
      <c r="H380" s="5"/>
      <c r="I380" s="5"/>
      <c r="J380" s="6"/>
      <c r="K380" s="7"/>
      <c r="L380" s="13"/>
      <c r="M380" s="8"/>
      <c r="N380" s="13"/>
      <c r="O380" s="13"/>
      <c r="P380" s="13"/>
      <c r="Q380" s="7"/>
      <c r="R380" s="6"/>
      <c r="S380" s="5"/>
      <c r="T380" s="6"/>
      <c r="U380" s="6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5"/>
      <c r="AM380" s="5"/>
      <c r="AN380" s="5"/>
      <c r="AO380" s="5"/>
      <c r="AP380" s="5"/>
      <c r="AQ380" s="5"/>
    </row>
    <row r="381" spans="1:43" s="2" customFormat="1" x14ac:dyDescent="0.25">
      <c r="A381" s="161" t="str">
        <f t="shared" si="8"/>
        <v>CARRIER_ASIA</v>
      </c>
      <c r="B381" s="9" t="s">
        <v>117</v>
      </c>
      <c r="C381" s="5" t="s">
        <v>693</v>
      </c>
      <c r="D381" s="5" t="s">
        <v>698</v>
      </c>
      <c r="E381" s="5" t="s">
        <v>117</v>
      </c>
      <c r="F381" s="5" t="s">
        <v>117</v>
      </c>
      <c r="G381" s="5"/>
      <c r="H381" s="5"/>
      <c r="I381" s="5"/>
      <c r="J381" s="6"/>
      <c r="K381" s="7"/>
      <c r="L381" s="13"/>
      <c r="M381" s="8"/>
      <c r="N381" s="13"/>
      <c r="O381" s="13"/>
      <c r="P381" s="13"/>
      <c r="Q381" s="7"/>
      <c r="R381" s="6"/>
      <c r="S381" s="5"/>
      <c r="T381" s="6"/>
      <c r="U381" s="6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5"/>
      <c r="AM381" s="5"/>
      <c r="AN381" s="5"/>
      <c r="AO381" s="5"/>
      <c r="AP381" s="5"/>
      <c r="AQ381" s="5"/>
    </row>
    <row r="382" spans="1:43" s="2" customFormat="1" x14ac:dyDescent="0.25">
      <c r="A382" s="161" t="str">
        <f t="shared" si="8"/>
        <v>CARRIER_JAPAN</v>
      </c>
      <c r="B382" s="9" t="s">
        <v>117</v>
      </c>
      <c r="C382" s="4" t="s">
        <v>722</v>
      </c>
      <c r="D382" s="4"/>
      <c r="E382" s="4" t="s">
        <v>117</v>
      </c>
      <c r="F382" s="4" t="s">
        <v>117</v>
      </c>
      <c r="G382" s="14" t="s">
        <v>132</v>
      </c>
      <c r="H382" s="4" t="s">
        <v>1934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CARRIER_KOREA</v>
      </c>
      <c r="B383" s="9" t="s">
        <v>117</v>
      </c>
      <c r="C383" s="4" t="s">
        <v>723</v>
      </c>
      <c r="D383" s="4" t="s">
        <v>722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CARRIER_EASTEU</v>
      </c>
      <c r="B384" s="9" t="s">
        <v>117</v>
      </c>
      <c r="C384" s="4" t="s">
        <v>698</v>
      </c>
      <c r="D384" s="4"/>
      <c r="E384" s="4" t="s">
        <v>117</v>
      </c>
      <c r="F384" s="4" t="s">
        <v>117</v>
      </c>
      <c r="G384" s="14"/>
      <c r="H384" s="4" t="s">
        <v>608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CARRIER_RUSSIA</v>
      </c>
      <c r="B385" s="9" t="s">
        <v>117</v>
      </c>
      <c r="C385" s="4" t="s">
        <v>735</v>
      </c>
      <c r="D385" s="4" t="s">
        <v>698</v>
      </c>
      <c r="E385" s="4" t="s">
        <v>117</v>
      </c>
      <c r="F385" s="4" t="s">
        <v>117</v>
      </c>
      <c r="G385" s="14" t="s">
        <v>132</v>
      </c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CARRIER_AMERICA</v>
      </c>
      <c r="B386" s="9" t="s">
        <v>117</v>
      </c>
      <c r="C386" s="4" t="s">
        <v>699</v>
      </c>
      <c r="D386" s="4"/>
      <c r="E386" s="4" t="s">
        <v>117</v>
      </c>
      <c r="F386" s="4" t="s">
        <v>117</v>
      </c>
      <c r="G386" s="14"/>
      <c r="H386" s="4" t="s">
        <v>135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CARRIER_AUSTRALIA</v>
      </c>
      <c r="B387" s="9" t="s">
        <v>117</v>
      </c>
      <c r="C387" s="4" t="s">
        <v>1302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CARRIER_AUSTRIA</v>
      </c>
      <c r="B388" s="9" t="s">
        <v>117</v>
      </c>
      <c r="C388" s="4" t="s">
        <v>701</v>
      </c>
      <c r="D388" s="4" t="s">
        <v>717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CARRIER_CANADA</v>
      </c>
      <c r="B389" s="9" t="s">
        <v>117</v>
      </c>
      <c r="C389" s="4" t="s">
        <v>2207</v>
      </c>
      <c r="D389" s="4" t="s">
        <v>713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CARRIER_CELTS</v>
      </c>
      <c r="B390" s="9" t="s">
        <v>117</v>
      </c>
      <c r="C390" s="4" t="s">
        <v>709</v>
      </c>
      <c r="D390" s="4" t="s">
        <v>713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CARRIER_ENGLAND</v>
      </c>
      <c r="B391" s="9" t="s">
        <v>117</v>
      </c>
      <c r="C391" s="4" t="s">
        <v>713</v>
      </c>
      <c r="D391" s="4"/>
      <c r="E391" s="4" t="s">
        <v>117</v>
      </c>
      <c r="F391" s="4" t="s">
        <v>117</v>
      </c>
      <c r="G391" s="14" t="s">
        <v>132</v>
      </c>
      <c r="H391" s="4" t="s">
        <v>294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CARRIER_FRANCE</v>
      </c>
      <c r="B392" s="9" t="s">
        <v>117</v>
      </c>
      <c r="C392" s="4" t="s">
        <v>715</v>
      </c>
      <c r="D392" s="4"/>
      <c r="E392" s="4" t="s">
        <v>117</v>
      </c>
      <c r="F392" s="4" t="s">
        <v>117</v>
      </c>
      <c r="G392" s="14" t="s">
        <v>132</v>
      </c>
      <c r="H392" s="4" t="s">
        <v>338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CARRIER_GERMANY</v>
      </c>
      <c r="B393" s="9" t="s">
        <v>117</v>
      </c>
      <c r="C393" s="4" t="s">
        <v>717</v>
      </c>
      <c r="D393" s="4"/>
      <c r="E393" s="4" t="s">
        <v>117</v>
      </c>
      <c r="F393" s="4" t="s">
        <v>117</v>
      </c>
      <c r="G393" s="14" t="s">
        <v>132</v>
      </c>
      <c r="H393" s="4" t="s">
        <v>368</v>
      </c>
      <c r="I393" s="4" t="s">
        <v>102</v>
      </c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CARRIER_ROME</v>
      </c>
      <c r="B394" s="9" t="s">
        <v>117</v>
      </c>
      <c r="C394" s="4" t="s">
        <v>734</v>
      </c>
      <c r="D394" s="4"/>
      <c r="E394" s="4" t="s">
        <v>117</v>
      </c>
      <c r="F394" s="4" t="s">
        <v>117</v>
      </c>
      <c r="G394" s="14" t="s">
        <v>132</v>
      </c>
      <c r="H394" s="4" t="s">
        <v>583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CARRIER_NORTHAF</v>
      </c>
      <c r="B395" s="9" t="s">
        <v>117</v>
      </c>
      <c r="C395" s="4" t="s">
        <v>2009</v>
      </c>
      <c r="D395" s="4" t="s">
        <v>715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4"/>
      <c r="AM395" s="4"/>
      <c r="AN395" s="4"/>
      <c r="AO395" s="4"/>
      <c r="AP395" s="4"/>
      <c r="AQ395" s="4"/>
    </row>
    <row r="396" spans="1:43" s="2" customFormat="1" x14ac:dyDescent="0.25">
      <c r="A396" s="161" t="str">
        <f t="shared" si="8"/>
        <v>CARRIER_SWEDEN</v>
      </c>
      <c r="B396" s="9" t="s">
        <v>117</v>
      </c>
      <c r="C396" s="4" t="s">
        <v>739</v>
      </c>
      <c r="D396" s="4"/>
      <c r="E396" s="4" t="s">
        <v>117</v>
      </c>
      <c r="F396" s="4" t="s">
        <v>117</v>
      </c>
      <c r="G396" s="14" t="s">
        <v>132</v>
      </c>
      <c r="H396" s="4" t="s">
        <v>668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8"/>
        <v>CARRIER_OCEAN</v>
      </c>
      <c r="B397" s="9" t="s">
        <v>117</v>
      </c>
      <c r="C397" s="4" t="s">
        <v>994</v>
      </c>
      <c r="D397" s="4" t="s">
        <v>699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CARRIER_SEASIA</v>
      </c>
      <c r="B398" s="9" t="s">
        <v>117</v>
      </c>
      <c r="C398" s="4" t="s">
        <v>696</v>
      </c>
      <c r="D398" s="4" t="s">
        <v>715</v>
      </c>
      <c r="E398" s="4" t="s">
        <v>117</v>
      </c>
      <c r="F398" s="4" t="s">
        <v>117</v>
      </c>
      <c r="G398" s="14"/>
      <c r="H398" s="4"/>
      <c r="I398" s="4"/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CARRIER_SOUTHAS</v>
      </c>
      <c r="B399" s="9" t="s">
        <v>117</v>
      </c>
      <c r="C399" s="4" t="s">
        <v>695</v>
      </c>
      <c r="D399" s="4" t="s">
        <v>713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CATAPULT</v>
      </c>
      <c r="B400" s="9" t="s">
        <v>750</v>
      </c>
      <c r="C400" s="5"/>
      <c r="D400" s="5"/>
      <c r="E400" s="5" t="s">
        <v>750</v>
      </c>
      <c r="F400" s="5" t="s">
        <v>750</v>
      </c>
      <c r="G400" s="5"/>
      <c r="H400" s="5" t="s">
        <v>36</v>
      </c>
      <c r="I400" s="5" t="s">
        <v>128</v>
      </c>
      <c r="J400" s="6"/>
      <c r="K400" s="6"/>
      <c r="L400" s="13" t="s">
        <v>746</v>
      </c>
      <c r="M400" s="8"/>
      <c r="N400" s="5"/>
      <c r="O400" s="5"/>
      <c r="P400" s="5"/>
      <c r="Q400" s="7">
        <v>2</v>
      </c>
      <c r="R400" s="6" t="s">
        <v>1694</v>
      </c>
      <c r="S400" s="13" t="s">
        <v>1612</v>
      </c>
      <c r="T400" s="6">
        <v>4</v>
      </c>
      <c r="U400" s="6"/>
      <c r="V400" s="5" t="s">
        <v>1610</v>
      </c>
      <c r="W400" s="6">
        <v>7</v>
      </c>
      <c r="X400" s="6" t="s">
        <v>3</v>
      </c>
      <c r="Y400" s="5"/>
      <c r="Z400" s="6">
        <v>1</v>
      </c>
      <c r="AA400" s="6"/>
      <c r="AB400" s="5"/>
      <c r="AC400" s="6"/>
      <c r="AD400" s="6" t="s">
        <v>3</v>
      </c>
      <c r="AE400" s="5"/>
      <c r="AF400" s="6"/>
      <c r="AG400" s="6"/>
      <c r="AH400" s="5"/>
      <c r="AI400" s="6"/>
      <c r="AJ400" s="6"/>
      <c r="AK400" s="5"/>
      <c r="AL400" s="5"/>
      <c r="AM400" s="5"/>
      <c r="AN400" s="5"/>
      <c r="AO400" s="5"/>
      <c r="AP400" s="5"/>
      <c r="AQ400" s="5"/>
    </row>
    <row r="401" spans="1:43" s="2" customFormat="1" x14ac:dyDescent="0.25">
      <c r="A401" s="161" t="str">
        <f t="shared" si="8"/>
        <v>CAVALRY</v>
      </c>
      <c r="B401" s="9" t="s">
        <v>751</v>
      </c>
      <c r="C401" s="5"/>
      <c r="D401" s="5"/>
      <c r="E401" s="5" t="s">
        <v>751</v>
      </c>
      <c r="F401" s="5" t="s">
        <v>751</v>
      </c>
      <c r="G401" s="5"/>
      <c r="H401" s="5" t="s">
        <v>35</v>
      </c>
      <c r="I401" s="5" t="s">
        <v>128</v>
      </c>
      <c r="J401" s="6"/>
      <c r="K401" s="6"/>
      <c r="L401" s="13" t="s">
        <v>1713</v>
      </c>
      <c r="M401" s="8"/>
      <c r="N401" s="5"/>
      <c r="O401" s="5"/>
      <c r="P401" s="5"/>
      <c r="Q401" s="7" t="s">
        <v>1694</v>
      </c>
      <c r="R401" s="6" t="s">
        <v>1694</v>
      </c>
      <c r="S401" s="13" t="s">
        <v>1694</v>
      </c>
      <c r="T401" s="7" t="s">
        <v>1694</v>
      </c>
      <c r="U401" s="6" t="s">
        <v>1694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 t="s">
        <v>1694</v>
      </c>
      <c r="AG401" s="6"/>
      <c r="AH401" s="5"/>
      <c r="AI401" s="6"/>
      <c r="AJ401" s="6"/>
      <c r="AK401" s="5"/>
      <c r="AL401" s="5"/>
      <c r="AM401" s="5"/>
      <c r="AN401" s="5"/>
      <c r="AO401" s="5"/>
      <c r="AP401" s="5"/>
      <c r="AQ401" s="5"/>
    </row>
    <row r="402" spans="1:43" s="2" customFormat="1" x14ac:dyDescent="0.25">
      <c r="A402" s="161" t="str">
        <f t="shared" si="8"/>
        <v>CAVALRY_HUNS</v>
      </c>
      <c r="B402" s="9" t="s">
        <v>751</v>
      </c>
      <c r="C402" s="4" t="s">
        <v>904</v>
      </c>
      <c r="D402" s="4"/>
      <c r="E402" s="4" t="s">
        <v>751</v>
      </c>
      <c r="F402" s="4" t="s">
        <v>762</v>
      </c>
      <c r="G402" s="4"/>
      <c r="H402" s="4" t="s">
        <v>906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4"/>
      <c r="AM402" s="4"/>
      <c r="AN402" s="4"/>
      <c r="AO402" s="4"/>
      <c r="AP402" s="4"/>
      <c r="AQ402" s="4"/>
    </row>
    <row r="403" spans="1:43" s="2" customFormat="1" x14ac:dyDescent="0.25">
      <c r="A403" s="161" t="str">
        <f t="shared" si="8"/>
        <v>CAVALRY_FRANCE</v>
      </c>
      <c r="B403" s="9" t="s">
        <v>751</v>
      </c>
      <c r="C403" s="4" t="s">
        <v>715</v>
      </c>
      <c r="D403" s="4"/>
      <c r="E403" s="4" t="s">
        <v>751</v>
      </c>
      <c r="F403" s="4" t="s">
        <v>751</v>
      </c>
      <c r="G403" s="14" t="s">
        <v>132</v>
      </c>
      <c r="H403" s="4" t="s">
        <v>339</v>
      </c>
      <c r="I403" s="4" t="s">
        <v>122</v>
      </c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8"/>
        <v>CAVALRY_GERMANY</v>
      </c>
      <c r="B404" s="9" t="s">
        <v>751</v>
      </c>
      <c r="C404" s="4" t="s">
        <v>717</v>
      </c>
      <c r="D404" s="4"/>
      <c r="E404" s="4" t="s">
        <v>751</v>
      </c>
      <c r="F404" s="4" t="s">
        <v>751</v>
      </c>
      <c r="G404" s="14" t="s">
        <v>132</v>
      </c>
      <c r="H404" s="4" t="s">
        <v>369</v>
      </c>
      <c r="I404" s="4" t="s">
        <v>122</v>
      </c>
      <c r="J404" s="11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CAVALRY_MIDEAST</v>
      </c>
      <c r="B405" s="9" t="s">
        <v>751</v>
      </c>
      <c r="C405" s="4" t="s">
        <v>690</v>
      </c>
      <c r="D405" s="4"/>
      <c r="E405" s="4" t="s">
        <v>751</v>
      </c>
      <c r="F405" s="4" t="s">
        <v>751</v>
      </c>
      <c r="G405" s="4"/>
      <c r="H405" s="14" t="s">
        <v>958</v>
      </c>
      <c r="I405" s="4" t="s">
        <v>957</v>
      </c>
      <c r="J405" s="167"/>
      <c r="K405" s="11"/>
      <c r="L405" s="4"/>
      <c r="M405" s="12"/>
      <c r="N405" s="4"/>
      <c r="O405" s="4"/>
      <c r="P405" s="4"/>
      <c r="Q405" s="11"/>
      <c r="R405" s="11"/>
      <c r="S405" s="4"/>
      <c r="T405" s="11"/>
      <c r="U405" s="11"/>
      <c r="V405" s="4"/>
      <c r="W405" s="11"/>
      <c r="X405" s="11"/>
      <c r="Y405" s="4"/>
      <c r="Z405" s="11"/>
      <c r="AA405" s="11"/>
      <c r="AB405" s="4"/>
      <c r="AC405" s="11"/>
      <c r="AD405" s="11"/>
      <c r="AE405" s="4"/>
      <c r="AF405" s="11"/>
      <c r="AG405" s="11"/>
      <c r="AH405" s="4"/>
      <c r="AI405" s="11"/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CAVALRY_NORTHAF</v>
      </c>
      <c r="B406" s="9" t="s">
        <v>751</v>
      </c>
      <c r="C406" s="4" t="s">
        <v>2009</v>
      </c>
      <c r="D406" s="4" t="s">
        <v>690</v>
      </c>
      <c r="E406" s="4" t="s">
        <v>751</v>
      </c>
      <c r="F406" s="4" t="s">
        <v>751</v>
      </c>
      <c r="G406" s="4"/>
      <c r="H406" s="14"/>
      <c r="I406" s="4"/>
      <c r="J406" s="167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</v>
      </c>
      <c r="B407" s="9" t="s">
        <v>752</v>
      </c>
      <c r="C407" s="5"/>
      <c r="D407" s="5"/>
      <c r="E407" s="5" t="s">
        <v>752</v>
      </c>
      <c r="F407" s="5" t="s">
        <v>791</v>
      </c>
      <c r="G407" s="5"/>
      <c r="H407" s="5" t="s">
        <v>1423</v>
      </c>
      <c r="I407" s="5" t="s">
        <v>128</v>
      </c>
      <c r="J407" s="6"/>
      <c r="K407" s="6"/>
      <c r="L407" s="13" t="s">
        <v>1708</v>
      </c>
      <c r="M407" s="8"/>
      <c r="N407" s="5"/>
      <c r="O407" s="5"/>
      <c r="P407" s="5"/>
      <c r="Q407" s="7">
        <v>2</v>
      </c>
      <c r="R407" s="6">
        <v>0.13</v>
      </c>
      <c r="S407" s="13" t="s">
        <v>1617</v>
      </c>
      <c r="T407" s="7">
        <v>3</v>
      </c>
      <c r="U407" s="6" t="s">
        <v>1694</v>
      </c>
      <c r="V407" s="5"/>
      <c r="W407" s="6" t="s">
        <v>3</v>
      </c>
      <c r="X407" s="6" t="s">
        <v>3</v>
      </c>
      <c r="Y407" s="5"/>
      <c r="Z407" s="6">
        <v>1</v>
      </c>
      <c r="AA407" s="6"/>
      <c r="AB407" s="5"/>
      <c r="AC407" s="6"/>
      <c r="AD407" s="6" t="s">
        <v>3</v>
      </c>
      <c r="AE407" s="5"/>
      <c r="AF407" s="6"/>
      <c r="AG407" s="6"/>
      <c r="AH407" s="5"/>
      <c r="AI407" s="6"/>
      <c r="AJ407" s="6"/>
      <c r="AK407" s="5"/>
      <c r="AL407" s="5"/>
      <c r="AM407" s="5"/>
      <c r="AN407" s="5"/>
      <c r="AO407" s="5"/>
      <c r="AP407" s="5"/>
      <c r="AQ407" s="5"/>
    </row>
    <row r="408" spans="1:43" s="2" customFormat="1" x14ac:dyDescent="0.25">
      <c r="A408" s="161" t="str">
        <f t="shared" si="8"/>
        <v>CHARIOT_ARCHER_AFRI</v>
      </c>
      <c r="B408" s="9" t="s">
        <v>752</v>
      </c>
      <c r="C408" s="5" t="s">
        <v>694</v>
      </c>
      <c r="D408" s="5"/>
      <c r="E408" s="5" t="s">
        <v>752</v>
      </c>
      <c r="F408" s="5" t="s">
        <v>791</v>
      </c>
      <c r="G408" s="5"/>
      <c r="H408" s="5" t="s">
        <v>1961</v>
      </c>
      <c r="I408" s="5" t="s">
        <v>1025</v>
      </c>
      <c r="J408" s="6"/>
      <c r="K408" s="6"/>
      <c r="L408" s="13"/>
      <c r="M408" s="8"/>
      <c r="N408" s="5"/>
      <c r="O408" s="5"/>
      <c r="P408" s="5"/>
      <c r="Q408" s="7"/>
      <c r="R408" s="6"/>
      <c r="S408" s="13"/>
      <c r="T408" s="7"/>
      <c r="U408" s="6"/>
      <c r="V408" s="5"/>
      <c r="W408" s="6"/>
      <c r="X408" s="6"/>
      <c r="Y408" s="5"/>
      <c r="Z408" s="6"/>
      <c r="AA408" s="6"/>
      <c r="AB408" s="5"/>
      <c r="AC408" s="6"/>
      <c r="AD408" s="6"/>
      <c r="AE408" s="5"/>
      <c r="AF408" s="6"/>
      <c r="AG408" s="6"/>
      <c r="AH408" s="5"/>
      <c r="AI408" s="6"/>
      <c r="AJ408" s="6"/>
      <c r="AK408" s="5"/>
      <c r="AL408" s="5"/>
      <c r="AM408" s="5"/>
      <c r="AN408" s="5"/>
      <c r="AO408" s="5"/>
      <c r="AP408" s="5"/>
      <c r="AQ408" s="5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1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1</v>
      </c>
      <c r="AA409" s="11"/>
      <c r="AB409" s="4"/>
      <c r="AC409" s="11"/>
      <c r="AD409" s="11"/>
      <c r="AE409" s="4"/>
      <c r="AF409" s="11">
        <v>1</v>
      </c>
      <c r="AG409" s="11"/>
      <c r="AH409" s="4"/>
      <c r="AI409" s="11">
        <v>1</v>
      </c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8"/>
        <v>CHARIOT_ARCHER_AMER</v>
      </c>
      <c r="B410" s="9" t="s">
        <v>752</v>
      </c>
      <c r="C410" s="4" t="s">
        <v>697</v>
      </c>
      <c r="D410" s="4"/>
      <c r="E410" s="4" t="s">
        <v>752</v>
      </c>
      <c r="F410" s="4" t="s">
        <v>791</v>
      </c>
      <c r="G410" s="4" t="s">
        <v>2045</v>
      </c>
      <c r="H410" s="4" t="s">
        <v>632</v>
      </c>
      <c r="I410" s="4" t="s">
        <v>835</v>
      </c>
      <c r="J410" s="11"/>
      <c r="K410" s="11"/>
      <c r="L410" s="4"/>
      <c r="M410" s="12"/>
      <c r="N410" s="4"/>
      <c r="O410" s="4"/>
      <c r="P410" s="4"/>
      <c r="Q410" s="11">
        <v>2</v>
      </c>
      <c r="R410" s="11" t="s">
        <v>1694</v>
      </c>
      <c r="S410" s="4" t="s">
        <v>1694</v>
      </c>
      <c r="T410" s="11">
        <v>1</v>
      </c>
      <c r="U410" s="11"/>
      <c r="V410" s="4"/>
      <c r="W410" s="11"/>
      <c r="X410" s="11"/>
      <c r="Y410" s="4"/>
      <c r="Z410" s="11">
        <v>0</v>
      </c>
      <c r="AA410" s="11"/>
      <c r="AB410" s="4"/>
      <c r="AC410" s="11"/>
      <c r="AD410" s="11"/>
      <c r="AE410" s="4"/>
      <c r="AF410" s="11">
        <v>1</v>
      </c>
      <c r="AG410" s="11"/>
      <c r="AH410" s="4"/>
      <c r="AI410" s="11">
        <v>1</v>
      </c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CHARIOT_ARCHER_AMER</v>
      </c>
      <c r="B411" s="9" t="s">
        <v>752</v>
      </c>
      <c r="C411" s="4" t="s">
        <v>697</v>
      </c>
      <c r="D411" s="4"/>
      <c r="E411" s="4" t="s">
        <v>752</v>
      </c>
      <c r="F411" s="4" t="s">
        <v>791</v>
      </c>
      <c r="G411" s="4"/>
      <c r="H411" s="4" t="s">
        <v>459</v>
      </c>
      <c r="I411" s="4" t="s">
        <v>835</v>
      </c>
      <c r="J411" s="11"/>
      <c r="K411" s="11"/>
      <c r="L411" s="4"/>
      <c r="M411" s="12"/>
      <c r="N411" s="4"/>
      <c r="O411" s="4"/>
      <c r="P411" s="4"/>
      <c r="Q411" s="11">
        <v>2</v>
      </c>
      <c r="R411" s="11" t="s">
        <v>1694</v>
      </c>
      <c r="S411" s="4" t="s">
        <v>1694</v>
      </c>
      <c r="T411" s="11">
        <v>1</v>
      </c>
      <c r="U411" s="11"/>
      <c r="V411" s="4"/>
      <c r="W411" s="11"/>
      <c r="X411" s="11"/>
      <c r="Y411" s="4"/>
      <c r="Z411" s="11">
        <v>0</v>
      </c>
      <c r="AA411" s="11"/>
      <c r="AB411" s="4"/>
      <c r="AC411" s="11"/>
      <c r="AD411" s="11"/>
      <c r="AE411" s="4"/>
      <c r="AF411" s="11">
        <v>0</v>
      </c>
      <c r="AG411" s="11"/>
      <c r="AH411" s="4"/>
      <c r="AI411" s="11">
        <v>0</v>
      </c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CHARIOT_ARCHER_ASIA</v>
      </c>
      <c r="B412" s="9" t="s">
        <v>752</v>
      </c>
      <c r="C412" s="4" t="s">
        <v>693</v>
      </c>
      <c r="D412" s="4"/>
      <c r="E412" s="4" t="s">
        <v>752</v>
      </c>
      <c r="F412" s="4" t="s">
        <v>791</v>
      </c>
      <c r="G412" s="4"/>
      <c r="H412" s="4" t="s">
        <v>2117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>
        <v>5</v>
      </c>
      <c r="R412" s="11" t="s">
        <v>1694</v>
      </c>
      <c r="S412" s="4" t="s">
        <v>1694</v>
      </c>
      <c r="T412" s="11">
        <v>3</v>
      </c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>
        <v>2</v>
      </c>
      <c r="AG412" s="11"/>
      <c r="AH412" s="4"/>
      <c r="AI412" s="11">
        <v>2</v>
      </c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8"/>
        <v>CHARIOT_ARCHER_MED</v>
      </c>
      <c r="B413" s="9" t="s">
        <v>752</v>
      </c>
      <c r="C413" s="4" t="s">
        <v>692</v>
      </c>
      <c r="D413" s="4"/>
      <c r="E413" s="4" t="s">
        <v>752</v>
      </c>
      <c r="F413" s="4" t="s">
        <v>791</v>
      </c>
      <c r="G413" s="4"/>
      <c r="H413" s="4" t="s">
        <v>2680</v>
      </c>
      <c r="I413" s="4" t="s">
        <v>1025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8"/>
        <v>CHARIOT_ARCHER_NORTHAF</v>
      </c>
      <c r="B414" s="9" t="s">
        <v>752</v>
      </c>
      <c r="C414" s="4" t="s">
        <v>2009</v>
      </c>
      <c r="D414" s="4" t="s">
        <v>694</v>
      </c>
      <c r="E414" s="4" t="s">
        <v>752</v>
      </c>
      <c r="F414" s="4" t="s">
        <v>791</v>
      </c>
      <c r="G414" s="4"/>
      <c r="H414" s="4"/>
      <c r="I414" s="4"/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11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8"/>
        <v>COMPOSITE_BOWMAN</v>
      </c>
      <c r="B415" s="9" t="s">
        <v>116</v>
      </c>
      <c r="C415" s="5"/>
      <c r="D415" s="5"/>
      <c r="E415" s="5" t="s">
        <v>116</v>
      </c>
      <c r="F415" s="5" t="s">
        <v>116</v>
      </c>
      <c r="G415" s="5"/>
      <c r="H415" s="5" t="s">
        <v>1273</v>
      </c>
      <c r="I415" s="5" t="s">
        <v>128</v>
      </c>
      <c r="J415" s="6"/>
      <c r="K415" s="6"/>
      <c r="L415" s="13" t="s">
        <v>1707</v>
      </c>
      <c r="M415" s="8"/>
      <c r="N415" s="5"/>
      <c r="O415" s="5"/>
      <c r="P415" s="5"/>
      <c r="Q415" s="7" t="s">
        <v>1736</v>
      </c>
      <c r="R415" s="6" t="s">
        <v>1736</v>
      </c>
      <c r="S415" s="13" t="s">
        <v>44</v>
      </c>
      <c r="T415" s="7">
        <v>18</v>
      </c>
      <c r="U415" s="7" t="s">
        <v>1736</v>
      </c>
      <c r="V415" s="5"/>
      <c r="W415" s="6" t="s">
        <v>3</v>
      </c>
      <c r="X415" s="6" t="s">
        <v>3</v>
      </c>
      <c r="Y415" s="5"/>
      <c r="Z415" s="7">
        <v>1</v>
      </c>
      <c r="AA415" s="6"/>
      <c r="AB415" s="5"/>
      <c r="AC415" s="6"/>
      <c r="AD415" s="6" t="s">
        <v>3</v>
      </c>
      <c r="AE415" s="5"/>
      <c r="AF415" s="6" t="s">
        <v>1736</v>
      </c>
      <c r="AG415" s="6"/>
      <c r="AH415" s="5"/>
      <c r="AI415" s="6" t="s">
        <v>1736</v>
      </c>
      <c r="AJ415" s="6"/>
      <c r="AK415" s="5"/>
      <c r="AL415" s="5"/>
      <c r="AM415" s="5"/>
      <c r="AN415" s="5"/>
      <c r="AO415" s="5"/>
      <c r="AP415" s="5"/>
      <c r="AQ415" s="5"/>
    </row>
    <row r="416" spans="1:43" s="2" customFormat="1" x14ac:dyDescent="0.25">
      <c r="A416" s="161" t="str">
        <f t="shared" si="8"/>
        <v>COMPOSITE_BOWMAN_AFRI</v>
      </c>
      <c r="B416" s="9" t="s">
        <v>116</v>
      </c>
      <c r="C416" s="4" t="s">
        <v>694</v>
      </c>
      <c r="D416" s="4"/>
      <c r="E416" s="4" t="s">
        <v>116</v>
      </c>
      <c r="F416" s="4" t="s">
        <v>116</v>
      </c>
      <c r="G416" s="4"/>
      <c r="H416" s="4" t="s">
        <v>320</v>
      </c>
      <c r="I416" s="4" t="s">
        <v>1025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8"/>
        <v>COMPOSITE_BOWMAN_SONGHAI</v>
      </c>
      <c r="B417" s="9" t="s">
        <v>116</v>
      </c>
      <c r="C417" s="4" t="s">
        <v>737</v>
      </c>
      <c r="D417" s="4"/>
      <c r="E417" s="4" t="s">
        <v>116</v>
      </c>
      <c r="F417" s="4" t="s">
        <v>116</v>
      </c>
      <c r="G417" s="4"/>
      <c r="H417" s="4" t="s">
        <v>1964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8"/>
        <v>COMPOSITE_BOWMAN_AMER</v>
      </c>
      <c r="B418" s="9" t="s">
        <v>116</v>
      </c>
      <c r="C418" s="4" t="s">
        <v>697</v>
      </c>
      <c r="D418" s="4"/>
      <c r="E418" s="4" t="s">
        <v>116</v>
      </c>
      <c r="F418" s="4" t="s">
        <v>116</v>
      </c>
      <c r="G418" s="4"/>
      <c r="H418" s="4" t="s">
        <v>460</v>
      </c>
      <c r="I418" s="4" t="s">
        <v>1933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ref="A419:A483" si="10">CONCATENATE(E419,IF(ISBLANK(C419),"",CONCATENATE("_",C419)))</f>
        <v>COMPOSITE_BOWMAN_ASIA</v>
      </c>
      <c r="B419" s="9" t="s">
        <v>116</v>
      </c>
      <c r="C419" s="4" t="s">
        <v>693</v>
      </c>
      <c r="D419" s="4"/>
      <c r="E419" s="4" t="s">
        <v>116</v>
      </c>
      <c r="F419" s="4" t="s">
        <v>116</v>
      </c>
      <c r="G419" s="4"/>
      <c r="H419" s="4" t="s">
        <v>447</v>
      </c>
      <c r="I419" s="4" t="s">
        <v>102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COMPOSITE_BOWMAN_CHINA</v>
      </c>
      <c r="B420" s="9" t="s">
        <v>116</v>
      </c>
      <c r="C420" s="4" t="s">
        <v>710</v>
      </c>
      <c r="D420" s="4"/>
      <c r="E420" s="4" t="s">
        <v>116</v>
      </c>
      <c r="F420" s="4" t="s">
        <v>116</v>
      </c>
      <c r="G420" s="14" t="s">
        <v>132</v>
      </c>
      <c r="H420" s="4" t="s">
        <v>244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COMPOSITE_BOWMAN_JAPAN</v>
      </c>
      <c r="B421" s="9" t="s">
        <v>116</v>
      </c>
      <c r="C421" s="4" t="s">
        <v>722</v>
      </c>
      <c r="D421" s="4"/>
      <c r="E421" s="4" t="s">
        <v>116</v>
      </c>
      <c r="F421" s="4" t="s">
        <v>116</v>
      </c>
      <c r="G421" s="14" t="s">
        <v>132</v>
      </c>
      <c r="H421" s="4" t="s">
        <v>476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COMPOSITE_BOWMAN_KOREA</v>
      </c>
      <c r="B422" s="9" t="s">
        <v>116</v>
      </c>
      <c r="C422" s="4" t="s">
        <v>723</v>
      </c>
      <c r="D422" s="4"/>
      <c r="E422" s="4" t="s">
        <v>116</v>
      </c>
      <c r="F422" s="4" t="s">
        <v>116</v>
      </c>
      <c r="G422" s="14" t="s">
        <v>132</v>
      </c>
      <c r="H422" s="4" t="s">
        <v>497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COMPOSITE_BOWMAN_MONGOL</v>
      </c>
      <c r="B423" s="9" t="s">
        <v>116</v>
      </c>
      <c r="C423" s="4" t="s">
        <v>728</v>
      </c>
      <c r="D423" s="4"/>
      <c r="E423" s="4" t="s">
        <v>116</v>
      </c>
      <c r="F423" s="4" t="s">
        <v>116</v>
      </c>
      <c r="G423" s="14" t="s">
        <v>132</v>
      </c>
      <c r="H423" s="4" t="s">
        <v>527</v>
      </c>
      <c r="I423" s="4" t="s">
        <v>2096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s="2" customFormat="1" x14ac:dyDescent="0.25">
      <c r="A424" s="161" t="str">
        <f t="shared" si="10"/>
        <v>COMPOSITE_BOWMAN_CENTAS</v>
      </c>
      <c r="B424" s="9" t="s">
        <v>116</v>
      </c>
      <c r="C424" s="4" t="s">
        <v>918</v>
      </c>
      <c r="D424" s="4"/>
      <c r="E424" s="4" t="s">
        <v>116</v>
      </c>
      <c r="F424" s="4" t="s">
        <v>116</v>
      </c>
      <c r="G424" s="14" t="s">
        <v>132</v>
      </c>
      <c r="H424" s="4" t="s">
        <v>1029</v>
      </c>
      <c r="I424" s="4" t="s">
        <v>2096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4"/>
      <c r="AM424" s="4"/>
      <c r="AN424" s="4"/>
      <c r="AO424" s="4"/>
      <c r="AP424" s="4"/>
      <c r="AQ424" s="4"/>
    </row>
    <row r="425" spans="1:43" s="2" customFormat="1" x14ac:dyDescent="0.25">
      <c r="A425" s="161" t="str">
        <f t="shared" si="10"/>
        <v>COMPOSITE_BOWMAN_EASTEU</v>
      </c>
      <c r="B425" s="9" t="s">
        <v>116</v>
      </c>
      <c r="C425" s="4" t="s">
        <v>698</v>
      </c>
      <c r="D425" s="4"/>
      <c r="E425" s="4" t="s">
        <v>116</v>
      </c>
      <c r="F425" s="4" t="s">
        <v>116</v>
      </c>
      <c r="G425" s="4"/>
      <c r="H425" s="4" t="s">
        <v>609</v>
      </c>
      <c r="I425" s="4" t="s">
        <v>2096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4"/>
      <c r="AM425" s="4"/>
      <c r="AN425" s="4"/>
      <c r="AO425" s="4"/>
      <c r="AP425" s="4"/>
      <c r="AQ425" s="4"/>
    </row>
    <row r="426" spans="1:43" s="2" customFormat="1" x14ac:dyDescent="0.25">
      <c r="A426" s="161" t="str">
        <f t="shared" si="10"/>
        <v>COMPOSITE_BOWMAN_RUSSIA</v>
      </c>
      <c r="B426" s="9" t="s">
        <v>116</v>
      </c>
      <c r="C426" s="4" t="s">
        <v>735</v>
      </c>
      <c r="D426" s="4" t="s">
        <v>698</v>
      </c>
      <c r="E426" s="4" t="s">
        <v>116</v>
      </c>
      <c r="F426" s="4" t="s">
        <v>116</v>
      </c>
      <c r="G426" s="14" t="s">
        <v>132</v>
      </c>
      <c r="H426" s="4"/>
      <c r="I426" s="4"/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4"/>
      <c r="AM426" s="4"/>
      <c r="AN426" s="4"/>
      <c r="AO426" s="4"/>
      <c r="AP426" s="4"/>
      <c r="AQ426" s="4"/>
    </row>
    <row r="427" spans="1:43" s="2" customFormat="1" x14ac:dyDescent="0.25">
      <c r="A427" s="161" t="str">
        <f t="shared" si="10"/>
        <v>COMPOSITE_BOWMAN_ENGLAND</v>
      </c>
      <c r="B427" s="9" t="s">
        <v>116</v>
      </c>
      <c r="C427" s="4" t="s">
        <v>713</v>
      </c>
      <c r="D427" s="4"/>
      <c r="E427" s="4" t="s">
        <v>116</v>
      </c>
      <c r="F427" s="4" t="s">
        <v>116</v>
      </c>
      <c r="G427" s="14" t="s">
        <v>132</v>
      </c>
      <c r="H427" s="4" t="s">
        <v>295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4"/>
      <c r="AM427" s="4"/>
      <c r="AN427" s="4"/>
      <c r="AO427" s="4"/>
      <c r="AP427" s="4"/>
      <c r="AQ427" s="4"/>
    </row>
    <row r="428" spans="1:43" s="2" customFormat="1" x14ac:dyDescent="0.25">
      <c r="A428" s="161" t="str">
        <f t="shared" si="10"/>
        <v>COMPOSITE_BOWMAN_FRANCE</v>
      </c>
      <c r="B428" s="9" t="s">
        <v>116</v>
      </c>
      <c r="C428" s="4" t="s">
        <v>715</v>
      </c>
      <c r="D428" s="4"/>
      <c r="E428" s="4" t="s">
        <v>116</v>
      </c>
      <c r="F428" s="4" t="s">
        <v>116</v>
      </c>
      <c r="G428" s="14" t="s">
        <v>132</v>
      </c>
      <c r="H428" s="4" t="s">
        <v>340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>
        <v>0.15</v>
      </c>
      <c r="S428" s="4"/>
      <c r="T428" s="11"/>
      <c r="U428" s="11">
        <v>9.5000000000000001E-2</v>
      </c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4"/>
      <c r="AM428" s="4"/>
      <c r="AN428" s="4"/>
      <c r="AO428" s="4"/>
      <c r="AP428" s="4"/>
      <c r="AQ428" s="4"/>
    </row>
    <row r="429" spans="1:43" s="2" customFormat="1" x14ac:dyDescent="0.25">
      <c r="A429" s="161" t="str">
        <f t="shared" si="10"/>
        <v>COMPOSITE_BOWMAN_GERMANY</v>
      </c>
      <c r="B429" s="9" t="s">
        <v>116</v>
      </c>
      <c r="C429" s="4" t="s">
        <v>717</v>
      </c>
      <c r="D429" s="4"/>
      <c r="E429" s="4" t="s">
        <v>116</v>
      </c>
      <c r="F429" s="4" t="s">
        <v>116</v>
      </c>
      <c r="G429" s="14" t="s">
        <v>132</v>
      </c>
      <c r="H429" s="4" t="s">
        <v>370</v>
      </c>
      <c r="I429" s="4" t="s">
        <v>102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4"/>
      <c r="AM429" s="4"/>
      <c r="AN429" s="4"/>
      <c r="AO429" s="4"/>
      <c r="AP429" s="4"/>
      <c r="AQ429" s="4"/>
    </row>
    <row r="430" spans="1:43" x14ac:dyDescent="0.25">
      <c r="A430" s="161" t="str">
        <f t="shared" si="10"/>
        <v>COMPOSITE_BOWMAN_NETHERLANDS</v>
      </c>
      <c r="B430" s="9" t="s">
        <v>116</v>
      </c>
      <c r="C430" s="4" t="s">
        <v>730</v>
      </c>
      <c r="E430" s="4" t="s">
        <v>116</v>
      </c>
      <c r="F430" s="4" t="s">
        <v>116</v>
      </c>
      <c r="G430" s="14" t="s">
        <v>132</v>
      </c>
      <c r="H430" s="4" t="s">
        <v>539</v>
      </c>
      <c r="I430" s="4" t="s">
        <v>1933</v>
      </c>
      <c r="Z430" s="9"/>
    </row>
    <row r="431" spans="1:43" x14ac:dyDescent="0.25">
      <c r="A431" s="161" t="str">
        <f t="shared" si="10"/>
        <v>COMPOSITE_BOWMAN_CARTHAGE</v>
      </c>
      <c r="B431" s="9" t="s">
        <v>116</v>
      </c>
      <c r="C431" s="4" t="s">
        <v>708</v>
      </c>
      <c r="E431" s="4" t="s">
        <v>116</v>
      </c>
      <c r="F431" s="4" t="s">
        <v>116</v>
      </c>
      <c r="G431" s="14"/>
      <c r="H431" s="4" t="s">
        <v>2704</v>
      </c>
      <c r="I431" s="4" t="s">
        <v>1025</v>
      </c>
      <c r="Z431" s="9"/>
    </row>
    <row r="432" spans="1:43" x14ac:dyDescent="0.25">
      <c r="A432" s="161" t="str">
        <f t="shared" si="10"/>
        <v>COMPOSITE_BOWMAN_MED</v>
      </c>
      <c r="B432" s="9" t="s">
        <v>116</v>
      </c>
      <c r="C432" s="4" t="s">
        <v>692</v>
      </c>
      <c r="E432" s="4" t="s">
        <v>116</v>
      </c>
      <c r="F432" s="4" t="s">
        <v>116</v>
      </c>
      <c r="H432" s="4" t="s">
        <v>649</v>
      </c>
      <c r="I432" s="4" t="s">
        <v>2096</v>
      </c>
      <c r="Z432" s="9"/>
    </row>
    <row r="433" spans="1:26" x14ac:dyDescent="0.25">
      <c r="A433" s="161" t="str">
        <f t="shared" si="10"/>
        <v>COMPOSITE_BOWMAN_GREECE</v>
      </c>
      <c r="B433" s="9" t="s">
        <v>116</v>
      </c>
      <c r="C433" s="4" t="s">
        <v>718</v>
      </c>
      <c r="E433" s="4" t="s">
        <v>116</v>
      </c>
      <c r="F433" s="4" t="s">
        <v>116</v>
      </c>
      <c r="G433" s="14" t="s">
        <v>132</v>
      </c>
      <c r="H433" s="4" t="s">
        <v>399</v>
      </c>
      <c r="I433" s="4" t="s">
        <v>102</v>
      </c>
      <c r="Z433" s="9"/>
    </row>
    <row r="434" spans="1:26" x14ac:dyDescent="0.25">
      <c r="A434" s="161" t="str">
        <f t="shared" si="10"/>
        <v>COMPOSITE_BOWMAN_ROME</v>
      </c>
      <c r="B434" s="9" t="s">
        <v>116</v>
      </c>
      <c r="C434" s="4" t="s">
        <v>734</v>
      </c>
      <c r="E434" s="4" t="s">
        <v>116</v>
      </c>
      <c r="F434" s="4" t="s">
        <v>116</v>
      </c>
      <c r="G434" s="14" t="s">
        <v>132</v>
      </c>
      <c r="H434" s="4" t="s">
        <v>584</v>
      </c>
      <c r="I434" s="4" t="s">
        <v>102</v>
      </c>
      <c r="Z434" s="9"/>
    </row>
    <row r="435" spans="1:26" x14ac:dyDescent="0.25">
      <c r="A435" s="161" t="str">
        <f t="shared" si="10"/>
        <v>COMPOSITE_BOWMAN_SPAIN</v>
      </c>
      <c r="B435" s="9" t="s">
        <v>116</v>
      </c>
      <c r="C435" s="4" t="s">
        <v>738</v>
      </c>
      <c r="D435" s="4" t="s">
        <v>692</v>
      </c>
      <c r="E435" s="4" t="s">
        <v>116</v>
      </c>
      <c r="F435" s="4" t="s">
        <v>116</v>
      </c>
      <c r="G435" s="14" t="s">
        <v>132</v>
      </c>
      <c r="Z435" s="9"/>
    </row>
    <row r="436" spans="1:26" x14ac:dyDescent="0.25">
      <c r="A436" s="161" t="str">
        <f t="shared" si="10"/>
        <v>COMPOSITE_BOWMAN_MIDEAST</v>
      </c>
      <c r="B436" s="9" t="s">
        <v>116</v>
      </c>
      <c r="C436" s="4" t="s">
        <v>690</v>
      </c>
      <c r="E436" s="4" t="s">
        <v>116</v>
      </c>
      <c r="F436" s="4" t="s">
        <v>116</v>
      </c>
      <c r="H436" s="4" t="s">
        <v>158</v>
      </c>
      <c r="I436" s="4" t="s">
        <v>2096</v>
      </c>
      <c r="Z436" s="9"/>
    </row>
    <row r="437" spans="1:26" x14ac:dyDescent="0.25">
      <c r="A437" s="161" t="str">
        <f t="shared" si="10"/>
        <v>COMPOSITE_BOWMAN_BABYLON</v>
      </c>
      <c r="B437" s="9" t="s">
        <v>116</v>
      </c>
      <c r="C437" s="4" t="s">
        <v>703</v>
      </c>
      <c r="E437" s="4" t="s">
        <v>116</v>
      </c>
      <c r="F437" s="4" t="s">
        <v>116</v>
      </c>
      <c r="G437" s="14"/>
      <c r="H437" s="4" t="s">
        <v>206</v>
      </c>
      <c r="I437" s="4" t="s">
        <v>102</v>
      </c>
      <c r="Z437" s="9"/>
    </row>
    <row r="438" spans="1:26" x14ac:dyDescent="0.25">
      <c r="A438" s="161" t="str">
        <f t="shared" si="10"/>
        <v>COMPOSITE_BOWMAN_EGYPT</v>
      </c>
      <c r="B438" s="9" t="s">
        <v>116</v>
      </c>
      <c r="C438" s="4" t="s">
        <v>712</v>
      </c>
      <c r="E438" s="4" t="s">
        <v>116</v>
      </c>
      <c r="F438" s="4" t="s">
        <v>116</v>
      </c>
      <c r="G438" s="14" t="s">
        <v>132</v>
      </c>
      <c r="H438" s="4" t="s">
        <v>276</v>
      </c>
      <c r="I438" s="4" t="s">
        <v>2096</v>
      </c>
      <c r="Z438" s="9"/>
    </row>
    <row r="439" spans="1:26" x14ac:dyDescent="0.25">
      <c r="A439" s="161" t="str">
        <f t="shared" si="10"/>
        <v>COMPOSITE_BOWMAN_LEVANT</v>
      </c>
      <c r="B439" s="9" t="s">
        <v>116</v>
      </c>
      <c r="C439" s="4" t="s">
        <v>724</v>
      </c>
      <c r="E439" s="4" t="s">
        <v>116</v>
      </c>
      <c r="F439" s="4" t="s">
        <v>116</v>
      </c>
      <c r="G439" s="14" t="s">
        <v>132</v>
      </c>
      <c r="H439" s="4" t="s">
        <v>507</v>
      </c>
      <c r="I439" s="4" t="s">
        <v>1063</v>
      </c>
      <c r="Z439" s="9"/>
    </row>
    <row r="440" spans="1:26" x14ac:dyDescent="0.25">
      <c r="A440" s="161" t="str">
        <f t="shared" si="10"/>
        <v>COMPOSITE_BOWMAN_PERSIA</v>
      </c>
      <c r="B440" s="9" t="s">
        <v>116</v>
      </c>
      <c r="C440" s="4" t="s">
        <v>731</v>
      </c>
      <c r="E440" s="4" t="s">
        <v>116</v>
      </c>
      <c r="F440" s="4" t="s">
        <v>116</v>
      </c>
      <c r="G440" s="14" t="s">
        <v>132</v>
      </c>
      <c r="H440" s="4" t="s">
        <v>552</v>
      </c>
      <c r="I440" s="4" t="s">
        <v>102</v>
      </c>
      <c r="Z440" s="9"/>
    </row>
    <row r="441" spans="1:26" x14ac:dyDescent="0.25">
      <c r="A441" s="161" t="str">
        <f t="shared" si="10"/>
        <v>COMPOSITE_BOWMAN_NORTHEU</v>
      </c>
      <c r="B441" s="9" t="s">
        <v>116</v>
      </c>
      <c r="C441" s="4" t="s">
        <v>962</v>
      </c>
      <c r="E441" s="4" t="s">
        <v>116</v>
      </c>
      <c r="F441" s="4" t="s">
        <v>116</v>
      </c>
      <c r="G441" s="14" t="s">
        <v>132</v>
      </c>
      <c r="H441" s="4" t="s">
        <v>265</v>
      </c>
      <c r="I441" s="4" t="s">
        <v>102</v>
      </c>
      <c r="R441" s="11">
        <v>0.15</v>
      </c>
      <c r="U441" s="11">
        <v>9.5000000000000001E-2</v>
      </c>
      <c r="Z441" s="9"/>
    </row>
    <row r="442" spans="1:26" x14ac:dyDescent="0.25">
      <c r="A442" s="161" t="str">
        <f t="shared" si="10"/>
        <v>COMPOSITE_BOWMAN_OCEAN</v>
      </c>
      <c r="B442" s="9" t="s">
        <v>116</v>
      </c>
      <c r="C442" s="4" t="s">
        <v>994</v>
      </c>
      <c r="D442" s="4" t="s">
        <v>691</v>
      </c>
      <c r="E442" s="4" t="s">
        <v>116</v>
      </c>
      <c r="F442" s="4" t="s">
        <v>116</v>
      </c>
      <c r="Z442" s="9"/>
    </row>
    <row r="443" spans="1:26" x14ac:dyDescent="0.25">
      <c r="A443" s="161" t="str">
        <f t="shared" si="10"/>
        <v>COMPOSITE_BOWMAN_SEASIA</v>
      </c>
      <c r="B443" s="9" t="s">
        <v>116</v>
      </c>
      <c r="C443" s="4" t="s">
        <v>696</v>
      </c>
      <c r="D443" s="4" t="s">
        <v>693</v>
      </c>
      <c r="E443" s="4" t="s">
        <v>116</v>
      </c>
      <c r="F443" s="4" t="s">
        <v>116</v>
      </c>
      <c r="Z443" s="9"/>
    </row>
    <row r="444" spans="1:26" x14ac:dyDescent="0.25">
      <c r="A444" s="161" t="str">
        <f t="shared" si="10"/>
        <v>COMPOSITE_BOWMAN_SOUTHAM</v>
      </c>
      <c r="B444" s="9" t="s">
        <v>116</v>
      </c>
      <c r="C444" s="4" t="s">
        <v>691</v>
      </c>
      <c r="E444" s="4" t="s">
        <v>116</v>
      </c>
      <c r="F444" s="4" t="s">
        <v>116</v>
      </c>
      <c r="H444" s="4" t="s">
        <v>192</v>
      </c>
      <c r="I444" s="4" t="s">
        <v>2096</v>
      </c>
      <c r="Z444" s="9"/>
    </row>
    <row r="445" spans="1:26" x14ac:dyDescent="0.25">
      <c r="A445" s="161" t="str">
        <f t="shared" si="10"/>
        <v>COMPOSITE_BOWMAN_AZTEC</v>
      </c>
      <c r="B445" s="9" t="s">
        <v>116</v>
      </c>
      <c r="C445" s="4" t="s">
        <v>702</v>
      </c>
      <c r="D445" s="4" t="s">
        <v>691</v>
      </c>
      <c r="E445" s="4" t="s">
        <v>116</v>
      </c>
      <c r="F445" s="4" t="s">
        <v>116</v>
      </c>
      <c r="G445" s="14"/>
      <c r="Z445" s="9"/>
    </row>
    <row r="446" spans="1:26" x14ac:dyDescent="0.25">
      <c r="A446" s="161" t="str">
        <f t="shared" si="10"/>
        <v>COMPOSITE_BOWMAN_INCA</v>
      </c>
      <c r="B446" s="9" t="s">
        <v>116</v>
      </c>
      <c r="C446" s="4" t="s">
        <v>719</v>
      </c>
      <c r="E446" s="4" t="s">
        <v>116</v>
      </c>
      <c r="F446" s="4" t="s">
        <v>116</v>
      </c>
      <c r="G446" s="14" t="s">
        <v>132</v>
      </c>
      <c r="H446" s="4" t="s">
        <v>418</v>
      </c>
      <c r="I446" s="4" t="s">
        <v>2096</v>
      </c>
      <c r="Z446" s="9"/>
    </row>
    <row r="447" spans="1:26" x14ac:dyDescent="0.25">
      <c r="A447" s="161" t="str">
        <f t="shared" si="10"/>
        <v>COMPOSITE_BOWMAN_MAYA</v>
      </c>
      <c r="B447" s="9" t="s">
        <v>116</v>
      </c>
      <c r="C447" s="4" t="s">
        <v>725</v>
      </c>
      <c r="E447" s="4" t="s">
        <v>116</v>
      </c>
      <c r="F447" s="4" t="s">
        <v>116</v>
      </c>
      <c r="G447" s="14" t="s">
        <v>132</v>
      </c>
      <c r="H447" s="4" t="s">
        <v>515</v>
      </c>
      <c r="I447" s="4" t="s">
        <v>2096</v>
      </c>
      <c r="Z447" s="9"/>
    </row>
    <row r="448" spans="1:26" x14ac:dyDescent="0.25">
      <c r="A448" s="161" t="str">
        <f t="shared" si="10"/>
        <v>COMPOSITE_BOWMAN_SOUTHAS</v>
      </c>
      <c r="B448" s="9" t="s">
        <v>116</v>
      </c>
      <c r="C448" s="4" t="s">
        <v>695</v>
      </c>
      <c r="D448" s="4" t="s">
        <v>693</v>
      </c>
      <c r="E448" s="4" t="s">
        <v>116</v>
      </c>
      <c r="F448" s="4" t="s">
        <v>116</v>
      </c>
      <c r="Z448" s="9"/>
    </row>
    <row r="449" spans="1:43" x14ac:dyDescent="0.25">
      <c r="A449" s="161" t="str">
        <f t="shared" si="10"/>
        <v>COMPOSITE_BOWMAN_INDIA</v>
      </c>
      <c r="B449" s="9" t="s">
        <v>116</v>
      </c>
      <c r="C449" s="4" t="s">
        <v>720</v>
      </c>
      <c r="E449" s="4" t="s">
        <v>116</v>
      </c>
      <c r="F449" s="4" t="s">
        <v>116</v>
      </c>
      <c r="G449" s="14" t="s">
        <v>132</v>
      </c>
      <c r="H449" s="4" t="s">
        <v>431</v>
      </c>
      <c r="I449" s="4" t="s">
        <v>102</v>
      </c>
      <c r="Z449" s="9"/>
    </row>
    <row r="450" spans="1:43" x14ac:dyDescent="0.25">
      <c r="A450" s="161" t="str">
        <f t="shared" si="10"/>
        <v>CONFEDERATE_ARTILLERY_NAPOLEON</v>
      </c>
      <c r="C450" s="5"/>
      <c r="D450" s="5"/>
      <c r="E450" s="5" t="s">
        <v>1327</v>
      </c>
      <c r="F450" s="5" t="s">
        <v>1327</v>
      </c>
      <c r="G450" s="5"/>
      <c r="H450" s="5" t="s">
        <v>1424</v>
      </c>
      <c r="I450" s="5" t="s">
        <v>128</v>
      </c>
      <c r="J450" s="6"/>
      <c r="K450" s="6"/>
      <c r="L450" s="13" t="s">
        <v>746</v>
      </c>
      <c r="M450" s="8"/>
      <c r="N450" s="5"/>
      <c r="O450" s="5"/>
      <c r="P450" s="5"/>
      <c r="Q450" s="7">
        <v>2</v>
      </c>
      <c r="R450" s="6" t="s">
        <v>1694</v>
      </c>
      <c r="S450" s="13" t="s">
        <v>1612</v>
      </c>
      <c r="T450" s="6"/>
      <c r="U450" s="6" t="s">
        <v>1694</v>
      </c>
      <c r="V450" s="5"/>
      <c r="W450" s="7" t="s">
        <v>3</v>
      </c>
      <c r="X450" s="6" t="s">
        <v>3</v>
      </c>
      <c r="Y450" s="5"/>
      <c r="Z450" s="7">
        <v>1</v>
      </c>
      <c r="AA450" s="6"/>
      <c r="AB450" s="5"/>
      <c r="AC450" s="6"/>
      <c r="AD450" s="6" t="s">
        <v>3</v>
      </c>
      <c r="AE450" s="5"/>
      <c r="AF450" s="6"/>
      <c r="AG450" s="6"/>
      <c r="AH450" s="5"/>
      <c r="AI450" s="6"/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CONFEDERATE_ARTILLERY_PARROTT</v>
      </c>
      <c r="C451" s="5"/>
      <c r="D451" s="5"/>
      <c r="E451" s="5" t="s">
        <v>1328</v>
      </c>
      <c r="F451" s="5" t="s">
        <v>1328</v>
      </c>
      <c r="G451" s="5"/>
      <c r="H451" s="5" t="s">
        <v>1425</v>
      </c>
      <c r="I451" s="5" t="s">
        <v>128</v>
      </c>
      <c r="J451" s="6"/>
      <c r="K451" s="6"/>
      <c r="L451" s="13" t="s">
        <v>746</v>
      </c>
      <c r="M451" s="8"/>
      <c r="N451" s="5"/>
      <c r="O451" s="5"/>
      <c r="P451" s="5"/>
      <c r="Q451" s="7">
        <v>2</v>
      </c>
      <c r="R451" s="6" t="s">
        <v>1694</v>
      </c>
      <c r="S451" s="13" t="s">
        <v>1612</v>
      </c>
      <c r="T451" s="6"/>
      <c r="U451" s="7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/>
      <c r="AG451" s="6"/>
      <c r="AH451" s="5"/>
      <c r="AI451" s="6"/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CONFEDERATE_CAVALRY_CARBINE</v>
      </c>
      <c r="C452" s="5"/>
      <c r="D452" s="5"/>
      <c r="E452" s="5" t="s">
        <v>1329</v>
      </c>
      <c r="F452" s="5" t="s">
        <v>1329</v>
      </c>
      <c r="G452" s="5"/>
      <c r="H452" s="5" t="s">
        <v>1426</v>
      </c>
      <c r="I452" s="5" t="s">
        <v>128</v>
      </c>
      <c r="J452" s="6"/>
      <c r="K452" s="6"/>
      <c r="L452" s="13" t="s">
        <v>1713</v>
      </c>
      <c r="M452" s="8"/>
      <c r="N452" s="5"/>
      <c r="O452" s="5"/>
      <c r="P452" s="5"/>
      <c r="Q452" s="7" t="s">
        <v>1694</v>
      </c>
      <c r="R452" s="6" t="s">
        <v>1694</v>
      </c>
      <c r="S452" s="13" t="s">
        <v>1694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 t="s">
        <v>1736</v>
      </c>
      <c r="AG452" s="6"/>
      <c r="AH452" s="5"/>
      <c r="AI452" s="6"/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CONFEDERATE_CAVALRY_PISTOL</v>
      </c>
      <c r="C453" s="5"/>
      <c r="D453" s="5"/>
      <c r="E453" s="5" t="s">
        <v>1330</v>
      </c>
      <c r="F453" s="5" t="s">
        <v>1330</v>
      </c>
      <c r="G453" s="5"/>
      <c r="H453" s="5" t="s">
        <v>1427</v>
      </c>
      <c r="I453" s="5" t="s">
        <v>128</v>
      </c>
      <c r="J453" s="6"/>
      <c r="K453" s="6"/>
      <c r="L453" s="13" t="s">
        <v>1713</v>
      </c>
      <c r="M453" s="8"/>
      <c r="N453" s="5"/>
      <c r="O453" s="5"/>
      <c r="P453" s="5"/>
      <c r="Q453" s="7" t="s">
        <v>1694</v>
      </c>
      <c r="R453" s="6" t="s">
        <v>1694</v>
      </c>
      <c r="S453" s="13" t="s">
        <v>1694</v>
      </c>
      <c r="T453" s="6"/>
      <c r="U453" s="7" t="s">
        <v>1694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 t="s">
        <v>1736</v>
      </c>
      <c r="AG453" s="6"/>
      <c r="AH453" s="5"/>
      <c r="AI453" s="6"/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/>
      <c r="H454" s="5" t="s">
        <v>1430</v>
      </c>
      <c r="I454" s="5" t="s">
        <v>128</v>
      </c>
      <c r="J454" s="6"/>
      <c r="K454" s="6"/>
      <c r="L454" s="13" t="s">
        <v>1707</v>
      </c>
      <c r="M454" s="8"/>
      <c r="N454" s="5"/>
      <c r="O454" s="5"/>
      <c r="P454" s="5"/>
      <c r="Q454" s="6">
        <v>2</v>
      </c>
      <c r="R454" s="6" t="s">
        <v>1736</v>
      </c>
      <c r="S454" s="13" t="s">
        <v>1618</v>
      </c>
      <c r="T454" s="6">
        <v>2</v>
      </c>
      <c r="U454" s="7" t="s">
        <v>1736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 t="s">
        <v>2053</v>
      </c>
      <c r="H455" s="5" t="s">
        <v>1431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1</v>
      </c>
      <c r="R455" s="6" t="s">
        <v>1736</v>
      </c>
      <c r="S455" s="13" t="s">
        <v>1618</v>
      </c>
      <c r="T455" s="6">
        <v>1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 t="s">
        <v>2045</v>
      </c>
      <c r="H456" s="5" t="s">
        <v>1432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2</v>
      </c>
      <c r="R456" s="6" t="s">
        <v>1736</v>
      </c>
      <c r="S456" s="13" t="s">
        <v>1618</v>
      </c>
      <c r="T456" s="6">
        <v>2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/>
      <c r="H457" s="5" t="s">
        <v>1430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1</v>
      </c>
      <c r="R457" s="6" t="s">
        <v>1736</v>
      </c>
      <c r="S457" s="13" t="s">
        <v>1618</v>
      </c>
      <c r="T457" s="6">
        <v>1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1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 t="s">
        <v>2053</v>
      </c>
      <c r="H458" s="5" t="s">
        <v>1431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1</v>
      </c>
      <c r="R458" s="6" t="s">
        <v>1736</v>
      </c>
      <c r="S458" s="13" t="s">
        <v>1618</v>
      </c>
      <c r="T458" s="6">
        <v>1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/>
      <c r="H459" s="5" t="s">
        <v>1430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2</v>
      </c>
      <c r="R459" s="6" t="s">
        <v>1736</v>
      </c>
      <c r="S459" s="13" t="s">
        <v>1618</v>
      </c>
      <c r="T459" s="6">
        <v>2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 t="s">
        <v>2045</v>
      </c>
      <c r="H460" s="5" t="s">
        <v>1432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4</v>
      </c>
      <c r="R460" s="6" t="s">
        <v>1736</v>
      </c>
      <c r="S460" s="13" t="s">
        <v>1618</v>
      </c>
      <c r="T460" s="6">
        <v>4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CONFEDERATE_CORPS</v>
      </c>
      <c r="C461" s="5"/>
      <c r="D461" s="5"/>
      <c r="E461" s="5" t="s">
        <v>1331</v>
      </c>
      <c r="F461" s="5" t="s">
        <v>1333</v>
      </c>
      <c r="G461" s="5" t="s">
        <v>2053</v>
      </c>
      <c r="H461" s="5" t="s">
        <v>1431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1</v>
      </c>
      <c r="R461" s="6" t="s">
        <v>1736</v>
      </c>
      <c r="S461" s="13" t="s">
        <v>1618</v>
      </c>
      <c r="T461" s="6">
        <v>1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0</v>
      </c>
      <c r="AG461" s="6"/>
      <c r="AH461" s="5"/>
      <c r="AI461" s="6">
        <v>1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CONFEDERATE_DIVISION</v>
      </c>
      <c r="C462" s="5"/>
      <c r="D462" s="5"/>
      <c r="E462" s="5" t="s">
        <v>1332</v>
      </c>
      <c r="F462" s="5" t="s">
        <v>1333</v>
      </c>
      <c r="G462" s="5"/>
      <c r="H462" s="5" t="s">
        <v>1430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2</v>
      </c>
      <c r="R462" s="6" t="s">
        <v>1736</v>
      </c>
      <c r="S462" s="13" t="s">
        <v>1618</v>
      </c>
      <c r="T462" s="6">
        <v>2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 t="s">
        <v>2053</v>
      </c>
      <c r="H463" s="5" t="s">
        <v>1431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1</v>
      </c>
      <c r="R463" s="6" t="s">
        <v>1736</v>
      </c>
      <c r="S463" s="13" t="s">
        <v>1618</v>
      </c>
      <c r="T463" s="6">
        <v>1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1</v>
      </c>
      <c r="AG463" s="6"/>
      <c r="AH463" s="5"/>
      <c r="AI463" s="6">
        <v>1</v>
      </c>
      <c r="AJ463" s="6"/>
      <c r="AK463" s="5"/>
      <c r="AL463" s="5"/>
      <c r="AM463" s="5"/>
      <c r="AN463" s="5"/>
      <c r="AO463" s="5"/>
      <c r="AP463" s="5"/>
      <c r="AQ463" s="5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 t="s">
        <v>2045</v>
      </c>
      <c r="H464" s="5" t="s">
        <v>1432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2</v>
      </c>
      <c r="R464" s="6" t="s">
        <v>1736</v>
      </c>
      <c r="S464" s="13" t="s">
        <v>1618</v>
      </c>
      <c r="T464" s="6">
        <v>2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/>
      <c r="H465" s="5" t="s">
        <v>1430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1</v>
      </c>
      <c r="R465" s="6" t="s">
        <v>1736</v>
      </c>
      <c r="S465" s="13" t="s">
        <v>1618</v>
      </c>
      <c r="T465" s="6">
        <v>1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10"/>
        <v>CONFEDERATE_DIVISION</v>
      </c>
      <c r="C466" s="5"/>
      <c r="D466" s="5"/>
      <c r="E466" s="5" t="s">
        <v>1332</v>
      </c>
      <c r="F466" s="5" t="s">
        <v>1333</v>
      </c>
      <c r="G466" s="5" t="s">
        <v>2053</v>
      </c>
      <c r="H466" s="5" t="s">
        <v>1431</v>
      </c>
      <c r="I466" s="5" t="s">
        <v>128</v>
      </c>
      <c r="J466" s="6"/>
      <c r="K466" s="6"/>
      <c r="L466" s="13" t="s">
        <v>1707</v>
      </c>
      <c r="M466" s="8"/>
      <c r="N466" s="5"/>
      <c r="O466" s="5"/>
      <c r="P466" s="5"/>
      <c r="Q466" s="6">
        <v>1</v>
      </c>
      <c r="R466" s="7" t="s">
        <v>1736</v>
      </c>
      <c r="S466" s="13" t="s">
        <v>1618</v>
      </c>
      <c r="T466" s="6">
        <v>1</v>
      </c>
      <c r="U466" s="7" t="s">
        <v>1736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10"/>
        <v>CONFEDERATE_GENERAL</v>
      </c>
      <c r="C467" s="5"/>
      <c r="D467" s="5"/>
      <c r="E467" s="5" t="s">
        <v>1334</v>
      </c>
      <c r="F467" s="5" t="s">
        <v>1335</v>
      </c>
      <c r="G467" s="5"/>
      <c r="H467" s="5" t="s">
        <v>1428</v>
      </c>
      <c r="I467" s="5" t="s">
        <v>128</v>
      </c>
      <c r="J467" s="6"/>
      <c r="K467" s="6"/>
      <c r="L467" s="13" t="s">
        <v>1709</v>
      </c>
      <c r="M467" s="8"/>
      <c r="N467" s="5"/>
      <c r="O467" s="5"/>
      <c r="P467" s="5"/>
      <c r="Q467" s="7">
        <v>1</v>
      </c>
      <c r="R467" s="6" t="s">
        <v>1694</v>
      </c>
      <c r="S467" s="13" t="s">
        <v>1619</v>
      </c>
      <c r="T467" s="6"/>
      <c r="U467" s="7" t="s">
        <v>1736</v>
      </c>
      <c r="V467" s="5"/>
      <c r="W467" s="6"/>
      <c r="X467" s="6" t="s">
        <v>3</v>
      </c>
      <c r="Y467" s="5"/>
      <c r="Z467" s="6"/>
      <c r="AA467" s="6"/>
      <c r="AB467" s="5"/>
      <c r="AC467" s="6"/>
      <c r="AD467" s="6" t="s">
        <v>3</v>
      </c>
      <c r="AE467" s="5"/>
      <c r="AF467" s="6"/>
      <c r="AG467" s="6"/>
      <c r="AH467" s="5"/>
      <c r="AI467" s="6"/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10"/>
        <v>CONFEDERATE_IRONCLAD</v>
      </c>
      <c r="C468" s="5"/>
      <c r="D468" s="5"/>
      <c r="E468" s="5" t="s">
        <v>1336</v>
      </c>
      <c r="F468" s="5" t="s">
        <v>1336</v>
      </c>
      <c r="G468" s="5"/>
      <c r="H468" s="5" t="s">
        <v>1429</v>
      </c>
      <c r="I468" s="5" t="s">
        <v>128</v>
      </c>
      <c r="J468" s="6"/>
      <c r="K468" s="7"/>
      <c r="L468" s="13" t="s">
        <v>1712</v>
      </c>
      <c r="M468" s="8"/>
      <c r="N468" s="13" t="s">
        <v>1726</v>
      </c>
      <c r="O468" s="13"/>
      <c r="P468" s="13"/>
      <c r="Q468" s="7">
        <v>1</v>
      </c>
      <c r="R468" s="6" t="s">
        <v>1736</v>
      </c>
      <c r="S468" s="5"/>
      <c r="T468" s="6"/>
      <c r="U468" s="6"/>
      <c r="V468" s="5"/>
      <c r="W468" s="6" t="s">
        <v>3</v>
      </c>
      <c r="X468" s="6"/>
      <c r="Y468" s="5"/>
      <c r="Z468" s="6"/>
      <c r="AA468" s="6"/>
      <c r="AB468" s="5"/>
      <c r="AC468" s="6"/>
      <c r="AD468" s="6"/>
      <c r="AE468" s="5"/>
      <c r="AF468" s="6"/>
      <c r="AG468" s="6"/>
      <c r="AH468" s="5"/>
      <c r="AI468" s="6"/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10"/>
        <v>CROSSBOWMAN</v>
      </c>
      <c r="B469" s="9" t="s">
        <v>115</v>
      </c>
      <c r="C469" s="5"/>
      <c r="D469" s="5"/>
      <c r="E469" s="5" t="s">
        <v>115</v>
      </c>
      <c r="F469" s="5" t="s">
        <v>115</v>
      </c>
      <c r="G469" s="5"/>
      <c r="H469" s="5" t="s">
        <v>34</v>
      </c>
      <c r="I469" s="5" t="s">
        <v>128</v>
      </c>
      <c r="J469" s="6"/>
      <c r="K469" s="6"/>
      <c r="L469" s="13" t="s">
        <v>1707</v>
      </c>
      <c r="M469" s="8"/>
      <c r="N469" s="5"/>
      <c r="O469" s="5"/>
      <c r="P469" s="5"/>
      <c r="Q469" s="7" t="s">
        <v>1736</v>
      </c>
      <c r="R469" s="6" t="s">
        <v>1736</v>
      </c>
      <c r="S469" s="13" t="s">
        <v>44</v>
      </c>
      <c r="T469" s="7">
        <v>15</v>
      </c>
      <c r="U469" s="7" t="s">
        <v>1736</v>
      </c>
      <c r="V469" s="5" t="s">
        <v>34</v>
      </c>
      <c r="W469" s="6" t="s">
        <v>3</v>
      </c>
      <c r="X469" s="6" t="s">
        <v>3</v>
      </c>
      <c r="Y469" s="5"/>
      <c r="Z469" s="7">
        <v>1</v>
      </c>
      <c r="AA469" s="6"/>
      <c r="AB469" s="5"/>
      <c r="AC469" s="6"/>
      <c r="AD469" s="6" t="s">
        <v>3</v>
      </c>
      <c r="AE469" s="5"/>
      <c r="AF469" s="7" t="s">
        <v>1736</v>
      </c>
      <c r="AG469" s="6"/>
      <c r="AH469" s="5"/>
      <c r="AI469" s="7" t="s">
        <v>1736</v>
      </c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10"/>
        <v>CROSSBOWMAN_AFRI</v>
      </c>
      <c r="B470" s="9" t="s">
        <v>115</v>
      </c>
      <c r="C470" s="4" t="s">
        <v>694</v>
      </c>
      <c r="E470" s="4" t="s">
        <v>115</v>
      </c>
      <c r="F470" s="4" t="s">
        <v>115</v>
      </c>
      <c r="H470" s="4" t="s">
        <v>321</v>
      </c>
      <c r="I470" s="4" t="s">
        <v>1025</v>
      </c>
      <c r="Z470" s="9"/>
    </row>
    <row r="471" spans="1:43" x14ac:dyDescent="0.25">
      <c r="A471" s="161" t="str">
        <f t="shared" si="10"/>
        <v>CROSSBOWMAN_SONGHAI</v>
      </c>
      <c r="B471" s="9" t="s">
        <v>115</v>
      </c>
      <c r="C471" s="4" t="s">
        <v>737</v>
      </c>
      <c r="E471" s="4" t="s">
        <v>115</v>
      </c>
      <c r="F471" s="4" t="s">
        <v>115</v>
      </c>
      <c r="H471" s="4" t="s">
        <v>1960</v>
      </c>
      <c r="I471" s="4" t="s">
        <v>1025</v>
      </c>
      <c r="Z471" s="9"/>
    </row>
    <row r="472" spans="1:43" x14ac:dyDescent="0.25">
      <c r="A472" s="161" t="str">
        <f t="shared" si="10"/>
        <v>CROSSBOWMAN_AMER</v>
      </c>
      <c r="B472" s="9" t="s">
        <v>115</v>
      </c>
      <c r="C472" s="4" t="s">
        <v>697</v>
      </c>
      <c r="E472" s="4" t="s">
        <v>115</v>
      </c>
      <c r="F472" s="4" t="s">
        <v>115</v>
      </c>
      <c r="H472" s="4" t="s">
        <v>461</v>
      </c>
      <c r="I472" s="4" t="s">
        <v>1933</v>
      </c>
      <c r="Z472" s="9"/>
      <c r="AF472" s="9"/>
      <c r="AI472" s="9"/>
    </row>
    <row r="473" spans="1:43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H473" s="4" t="s">
        <v>931</v>
      </c>
      <c r="I473" s="4" t="s">
        <v>1933</v>
      </c>
      <c r="Q473" s="11">
        <v>2</v>
      </c>
      <c r="T473" s="11">
        <v>1</v>
      </c>
      <c r="Z473" s="9">
        <v>1</v>
      </c>
      <c r="AF473" s="11">
        <v>1</v>
      </c>
      <c r="AI473" s="11">
        <v>1</v>
      </c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G474" s="4" t="s">
        <v>2045</v>
      </c>
      <c r="H474" s="4" t="s">
        <v>932</v>
      </c>
      <c r="I474" s="4" t="s">
        <v>1933</v>
      </c>
      <c r="Q474" s="11">
        <v>1</v>
      </c>
      <c r="T474" s="11">
        <v>3</v>
      </c>
      <c r="Z474" s="9">
        <v>0</v>
      </c>
      <c r="AF474" s="11">
        <v>1</v>
      </c>
      <c r="AI474" s="11">
        <v>1</v>
      </c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2047</v>
      </c>
      <c r="H475" s="4" t="s">
        <v>933</v>
      </c>
      <c r="I475" s="4" t="s">
        <v>1933</v>
      </c>
      <c r="Q475" s="11">
        <v>2</v>
      </c>
      <c r="T475" s="11">
        <v>1</v>
      </c>
      <c r="Z475" s="9">
        <v>0</v>
      </c>
      <c r="AF475" s="11">
        <v>1</v>
      </c>
      <c r="AI475" s="11">
        <v>1</v>
      </c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G476" s="4" t="s">
        <v>2046</v>
      </c>
      <c r="H476" s="4" t="s">
        <v>461</v>
      </c>
      <c r="I476" s="4" t="s">
        <v>1933</v>
      </c>
      <c r="Q476" s="9">
        <v>3</v>
      </c>
      <c r="T476" s="11">
        <v>2</v>
      </c>
      <c r="Z476" s="9">
        <v>0</v>
      </c>
      <c r="AF476" s="11">
        <v>0</v>
      </c>
      <c r="AI476" s="11">
        <v>1</v>
      </c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H477" s="4" t="s">
        <v>931</v>
      </c>
      <c r="I477" s="4" t="s">
        <v>1933</v>
      </c>
      <c r="Q477" s="9">
        <v>1</v>
      </c>
      <c r="T477" s="11">
        <v>3</v>
      </c>
      <c r="Z477" s="9">
        <v>0</v>
      </c>
      <c r="AF477" s="11">
        <v>0</v>
      </c>
      <c r="AI477" s="11">
        <v>1</v>
      </c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G478" s="4" t="s">
        <v>2045</v>
      </c>
      <c r="H478" s="4" t="s">
        <v>932</v>
      </c>
      <c r="I478" s="4" t="s">
        <v>1933</v>
      </c>
      <c r="Q478" s="9">
        <v>2</v>
      </c>
      <c r="T478" s="11">
        <v>1</v>
      </c>
      <c r="Z478" s="9">
        <v>0</v>
      </c>
      <c r="AF478" s="11">
        <v>0</v>
      </c>
      <c r="AI478" s="11">
        <v>1</v>
      </c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2047</v>
      </c>
      <c r="H479" s="4" t="s">
        <v>933</v>
      </c>
      <c r="I479" s="4" t="s">
        <v>1933</v>
      </c>
      <c r="Q479" s="9">
        <v>1</v>
      </c>
      <c r="T479" s="11">
        <v>3</v>
      </c>
      <c r="Z479" s="9">
        <v>0</v>
      </c>
      <c r="AF479" s="11">
        <v>0</v>
      </c>
      <c r="AI479" s="11">
        <v>1</v>
      </c>
    </row>
    <row r="480" spans="1:43" x14ac:dyDescent="0.25">
      <c r="A480" s="161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2046</v>
      </c>
      <c r="H480" s="4" t="s">
        <v>461</v>
      </c>
      <c r="I480" s="4" t="s">
        <v>1933</v>
      </c>
      <c r="Q480" s="9">
        <v>0</v>
      </c>
      <c r="T480" s="11">
        <v>1</v>
      </c>
      <c r="Z480" s="9">
        <v>0</v>
      </c>
      <c r="AF480" s="11">
        <v>0</v>
      </c>
      <c r="AI480" s="11">
        <v>0</v>
      </c>
    </row>
    <row r="481" spans="1:35" x14ac:dyDescent="0.25">
      <c r="A481" s="161" t="str">
        <f t="shared" si="10"/>
        <v>CROSSBOWMAN_ASIA</v>
      </c>
      <c r="B481" s="9" t="s">
        <v>115</v>
      </c>
      <c r="C481" s="4" t="s">
        <v>693</v>
      </c>
      <c r="E481" s="4" t="s">
        <v>115</v>
      </c>
      <c r="F481" s="4" t="s">
        <v>115</v>
      </c>
      <c r="H481" s="4" t="s">
        <v>245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0"/>
        <v>CROSSBOWMAN_JAPAN</v>
      </c>
      <c r="B482" s="9" t="s">
        <v>115</v>
      </c>
      <c r="C482" s="4" t="s">
        <v>722</v>
      </c>
      <c r="E482" s="4" t="s">
        <v>115</v>
      </c>
      <c r="F482" s="4" t="s">
        <v>115</v>
      </c>
      <c r="G482" s="14" t="s">
        <v>132</v>
      </c>
      <c r="H482" s="4" t="s">
        <v>477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0"/>
        <v>CROSSBOWMAN_MONGOL</v>
      </c>
      <c r="B483" s="9" t="s">
        <v>115</v>
      </c>
      <c r="C483" s="4" t="s">
        <v>728</v>
      </c>
      <c r="E483" s="4" t="s">
        <v>115</v>
      </c>
      <c r="F483" s="4" t="s">
        <v>115</v>
      </c>
      <c r="G483" s="14" t="s">
        <v>132</v>
      </c>
      <c r="H483" s="4" t="s">
        <v>528</v>
      </c>
      <c r="I483" s="4" t="s">
        <v>2096</v>
      </c>
      <c r="Z483" s="9"/>
      <c r="AF483" s="9"/>
      <c r="AI483" s="9"/>
    </row>
    <row r="484" spans="1:35" x14ac:dyDescent="0.25">
      <c r="A484" s="161" t="str">
        <f t="shared" ref="A484:A570" si="11">CONCATENATE(E484,IF(ISBLANK(C484),"",CONCATENATE("_",C484)))</f>
        <v>CROSSBOWMAN_CENTAS</v>
      </c>
      <c r="B484" s="9" t="s">
        <v>115</v>
      </c>
      <c r="C484" s="4" t="s">
        <v>918</v>
      </c>
      <c r="E484" s="4" t="s">
        <v>115</v>
      </c>
      <c r="F484" s="4" t="s">
        <v>115</v>
      </c>
      <c r="G484" s="14" t="s">
        <v>132</v>
      </c>
      <c r="H484" s="4" t="s">
        <v>1027</v>
      </c>
      <c r="I484" s="4" t="s">
        <v>2096</v>
      </c>
      <c r="Z484" s="9"/>
      <c r="AF484" s="9"/>
      <c r="AI484" s="9"/>
    </row>
    <row r="485" spans="1:35" x14ac:dyDescent="0.25">
      <c r="A485" s="161" t="str">
        <f t="shared" si="11"/>
        <v>CROSSBOWMAN_RUSSIA</v>
      </c>
      <c r="B485" s="9" t="s">
        <v>115</v>
      </c>
      <c r="C485" s="4" t="s">
        <v>735</v>
      </c>
      <c r="E485" s="4" t="s">
        <v>115</v>
      </c>
      <c r="F485" s="4" t="s">
        <v>115</v>
      </c>
      <c r="G485" s="14" t="s">
        <v>132</v>
      </c>
      <c r="H485" s="4" t="s">
        <v>610</v>
      </c>
      <c r="I485" s="4" t="s">
        <v>2096</v>
      </c>
      <c r="Z485" s="9"/>
      <c r="AF485" s="9"/>
      <c r="AI485" s="9"/>
    </row>
    <row r="486" spans="1:35" x14ac:dyDescent="0.25">
      <c r="A486" s="161" t="str">
        <f t="shared" si="11"/>
        <v>CROSSBOWMAN_AMERICA</v>
      </c>
      <c r="B486" s="9" t="s">
        <v>115</v>
      </c>
      <c r="C486" s="4" t="s">
        <v>699</v>
      </c>
      <c r="E486" s="4" t="s">
        <v>115</v>
      </c>
      <c r="F486" s="4" t="s">
        <v>115</v>
      </c>
      <c r="G486" s="14"/>
      <c r="H486" s="4" t="s">
        <v>136</v>
      </c>
      <c r="I486" s="4" t="s">
        <v>1939</v>
      </c>
      <c r="Z486" s="9"/>
      <c r="AF486" s="9"/>
      <c r="AI486" s="9"/>
    </row>
    <row r="487" spans="1:35" x14ac:dyDescent="0.25">
      <c r="A487" s="161" t="str">
        <f t="shared" si="11"/>
        <v>CROSSBOWMAN_FRANCE</v>
      </c>
      <c r="B487" s="9" t="s">
        <v>115</v>
      </c>
      <c r="C487" s="4" t="s">
        <v>715</v>
      </c>
      <c r="E487" s="4" t="s">
        <v>115</v>
      </c>
      <c r="F487" s="4" t="s">
        <v>115</v>
      </c>
      <c r="G487" s="14" t="s">
        <v>132</v>
      </c>
      <c r="H487" s="4" t="s">
        <v>341</v>
      </c>
      <c r="I487" s="4" t="s">
        <v>102</v>
      </c>
      <c r="Z487" s="9"/>
      <c r="AF487" s="9"/>
      <c r="AI487" s="9"/>
    </row>
    <row r="488" spans="1:35" x14ac:dyDescent="0.25">
      <c r="A488" s="161" t="str">
        <f t="shared" si="11"/>
        <v>CROSSBOWMAN_GERMANY</v>
      </c>
      <c r="B488" s="9" t="s">
        <v>115</v>
      </c>
      <c r="C488" s="4" t="s">
        <v>717</v>
      </c>
      <c r="E488" s="4" t="s">
        <v>115</v>
      </c>
      <c r="F488" s="4" t="s">
        <v>115</v>
      </c>
      <c r="G488" s="14" t="s">
        <v>132</v>
      </c>
      <c r="H488" s="4" t="s">
        <v>371</v>
      </c>
      <c r="I488" s="4" t="s">
        <v>102</v>
      </c>
      <c r="Z488" s="9"/>
      <c r="AF488" s="9"/>
      <c r="AI488" s="9"/>
    </row>
    <row r="489" spans="1:35" x14ac:dyDescent="0.25">
      <c r="A489" s="161" t="str">
        <f t="shared" si="11"/>
        <v>CROSSBOWMAN_MED</v>
      </c>
      <c r="B489" s="9" t="s">
        <v>115</v>
      </c>
      <c r="C489" s="4" t="s">
        <v>692</v>
      </c>
      <c r="E489" s="4" t="s">
        <v>115</v>
      </c>
      <c r="F489" s="4" t="s">
        <v>115</v>
      </c>
      <c r="H489" s="4" t="s">
        <v>650</v>
      </c>
      <c r="I489" s="4" t="s">
        <v>2096</v>
      </c>
      <c r="Z489" s="9"/>
      <c r="AF489" s="9"/>
      <c r="AI489" s="9"/>
    </row>
    <row r="490" spans="1:35" x14ac:dyDescent="0.25">
      <c r="A490" s="161" t="str">
        <f t="shared" si="11"/>
        <v>CROSSBOWMAN_GREECE</v>
      </c>
      <c r="B490" s="9" t="s">
        <v>115</v>
      </c>
      <c r="C490" s="4" t="s">
        <v>718</v>
      </c>
      <c r="E490" s="4" t="s">
        <v>115</v>
      </c>
      <c r="F490" s="4" t="s">
        <v>115</v>
      </c>
      <c r="G490" s="14" t="s">
        <v>132</v>
      </c>
      <c r="H490" s="4" t="s">
        <v>400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1"/>
        <v>CROSSBOWMAN_ROME</v>
      </c>
      <c r="B491" s="9" t="s">
        <v>115</v>
      </c>
      <c r="C491" s="4" t="s">
        <v>734</v>
      </c>
      <c r="E491" s="4" t="s">
        <v>115</v>
      </c>
      <c r="F491" s="4" t="s">
        <v>115</v>
      </c>
      <c r="G491" s="14" t="s">
        <v>132</v>
      </c>
      <c r="H491" s="4" t="s">
        <v>585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CROSSBOWMAN_SPAIN</v>
      </c>
      <c r="B492" s="9" t="s">
        <v>115</v>
      </c>
      <c r="C492" s="4" t="s">
        <v>738</v>
      </c>
      <c r="D492" s="4" t="s">
        <v>692</v>
      </c>
      <c r="E492" s="4" t="s">
        <v>115</v>
      </c>
      <c r="F492" s="4" t="s">
        <v>115</v>
      </c>
      <c r="G492" s="14" t="s">
        <v>132</v>
      </c>
      <c r="Z492" s="9"/>
      <c r="AF492" s="9"/>
      <c r="AI492" s="9"/>
    </row>
    <row r="493" spans="1:35" x14ac:dyDescent="0.25">
      <c r="A493" s="161" t="str">
        <f t="shared" si="11"/>
        <v>CROSSBOWMAN_MIDEAST</v>
      </c>
      <c r="B493" s="9" t="s">
        <v>115</v>
      </c>
      <c r="C493" s="4" t="s">
        <v>690</v>
      </c>
      <c r="E493" s="4" t="s">
        <v>115</v>
      </c>
      <c r="F493" s="4" t="s">
        <v>115</v>
      </c>
      <c r="H493" s="4" t="s">
        <v>159</v>
      </c>
      <c r="I493" s="4" t="s">
        <v>2096</v>
      </c>
      <c r="Z493" s="9"/>
      <c r="AF493" s="9"/>
      <c r="AI493" s="9"/>
    </row>
    <row r="494" spans="1:35" x14ac:dyDescent="0.25">
      <c r="A494" s="161" t="str">
        <f t="shared" si="11"/>
        <v>CROSSBOWMAN_ARABIA</v>
      </c>
      <c r="B494" s="9" t="s">
        <v>115</v>
      </c>
      <c r="C494" s="4" t="s">
        <v>700</v>
      </c>
      <c r="D494" s="14" t="s">
        <v>690</v>
      </c>
      <c r="E494" s="4" t="s">
        <v>115</v>
      </c>
      <c r="F494" s="4" t="s">
        <v>115</v>
      </c>
      <c r="G494" s="14"/>
      <c r="Z494" s="9"/>
      <c r="AF494" s="9"/>
      <c r="AI494" s="9"/>
    </row>
    <row r="495" spans="1:35" x14ac:dyDescent="0.25">
      <c r="A495" s="161" t="str">
        <f t="shared" si="11"/>
        <v>CROSSBOWMAN_BABYLON</v>
      </c>
      <c r="B495" s="9" t="s">
        <v>115</v>
      </c>
      <c r="C495" s="4" t="s">
        <v>703</v>
      </c>
      <c r="E495" s="4" t="s">
        <v>115</v>
      </c>
      <c r="F495" s="4" t="s">
        <v>115</v>
      </c>
      <c r="G495" s="14"/>
      <c r="H495" s="4" t="s">
        <v>207</v>
      </c>
      <c r="I495" s="4" t="s">
        <v>102</v>
      </c>
      <c r="Z495" s="9"/>
      <c r="AF495" s="9"/>
      <c r="AI495" s="9"/>
    </row>
    <row r="496" spans="1:35" x14ac:dyDescent="0.25">
      <c r="A496" s="161" t="str">
        <f t="shared" si="11"/>
        <v>CROSSBOWMAN_EGYPT</v>
      </c>
      <c r="B496" s="9" t="s">
        <v>115</v>
      </c>
      <c r="C496" s="4" t="s">
        <v>712</v>
      </c>
      <c r="E496" s="4" t="s">
        <v>115</v>
      </c>
      <c r="F496" s="4" t="s">
        <v>115</v>
      </c>
      <c r="G496" s="14" t="s">
        <v>132</v>
      </c>
      <c r="H496" s="4" t="s">
        <v>277</v>
      </c>
      <c r="I496" s="4" t="s">
        <v>2096</v>
      </c>
      <c r="Z496" s="9"/>
      <c r="AF496" s="9"/>
      <c r="AI496" s="9"/>
    </row>
    <row r="497" spans="1:43" x14ac:dyDescent="0.25">
      <c r="A497" s="161" t="str">
        <f t="shared" si="11"/>
        <v>CROSSBOWMAN_LEVANT</v>
      </c>
      <c r="B497" s="9" t="s">
        <v>115</v>
      </c>
      <c r="C497" s="4" t="s">
        <v>724</v>
      </c>
      <c r="E497" s="4" t="s">
        <v>115</v>
      </c>
      <c r="F497" s="4" t="s">
        <v>115</v>
      </c>
      <c r="G497" s="14" t="s">
        <v>132</v>
      </c>
      <c r="H497" s="4" t="s">
        <v>508</v>
      </c>
      <c r="I497" s="4" t="s">
        <v>102</v>
      </c>
      <c r="Z497" s="9"/>
      <c r="AF497" s="9"/>
      <c r="AI497" s="9"/>
    </row>
    <row r="498" spans="1:43" x14ac:dyDescent="0.25">
      <c r="A498" s="161" t="str">
        <f t="shared" si="11"/>
        <v>CROSSBOWMAN_PERSIA</v>
      </c>
      <c r="B498" s="9" t="s">
        <v>115</v>
      </c>
      <c r="C498" s="4" t="s">
        <v>731</v>
      </c>
      <c r="E498" s="4" t="s">
        <v>115</v>
      </c>
      <c r="F498" s="4" t="s">
        <v>115</v>
      </c>
      <c r="G498" s="14" t="s">
        <v>132</v>
      </c>
      <c r="H498" s="4" t="s">
        <v>553</v>
      </c>
      <c r="I498" s="4" t="s">
        <v>102</v>
      </c>
      <c r="Z498" s="9"/>
      <c r="AF498" s="9"/>
      <c r="AI498" s="9"/>
    </row>
    <row r="499" spans="1:43" x14ac:dyDescent="0.25">
      <c r="A499" s="161" t="str">
        <f>CONCATENATE(E499,IF(ISBLANK(C499),"",CONCATENATE("_",C499)))</f>
        <v>CROSSBOWMAN_NORTHAF</v>
      </c>
      <c r="B499" s="9" t="s">
        <v>115</v>
      </c>
      <c r="C499" s="4" t="s">
        <v>2009</v>
      </c>
      <c r="E499" s="4" t="s">
        <v>115</v>
      </c>
      <c r="F499" s="4" t="s">
        <v>115</v>
      </c>
      <c r="G499" s="14" t="s">
        <v>132</v>
      </c>
      <c r="H499" s="4" t="s">
        <v>536</v>
      </c>
      <c r="I499" s="4" t="s">
        <v>1066</v>
      </c>
      <c r="Z499" s="9"/>
      <c r="AF499" s="9"/>
      <c r="AI499" s="9"/>
    </row>
    <row r="500" spans="1:43" x14ac:dyDescent="0.25">
      <c r="A500" s="161" t="str">
        <f t="shared" si="11"/>
        <v>CROSSBOWMAN_NORTHEU</v>
      </c>
      <c r="B500" s="9" t="s">
        <v>115</v>
      </c>
      <c r="C500" s="4" t="s">
        <v>962</v>
      </c>
      <c r="E500" s="4" t="s">
        <v>115</v>
      </c>
      <c r="F500" s="4" t="s">
        <v>115</v>
      </c>
      <c r="G500" s="14" t="s">
        <v>132</v>
      </c>
      <c r="H500" s="4" t="s">
        <v>266</v>
      </c>
      <c r="I500" s="4" t="s">
        <v>102</v>
      </c>
      <c r="Z500" s="9"/>
      <c r="AF500" s="9"/>
      <c r="AI500" s="9"/>
    </row>
    <row r="501" spans="1:43" x14ac:dyDescent="0.25">
      <c r="A501" s="161" t="str">
        <f t="shared" si="11"/>
        <v>CROSSBOWMAN_OCEAN</v>
      </c>
      <c r="B501" s="9" t="s">
        <v>115</v>
      </c>
      <c r="C501" s="4" t="s">
        <v>994</v>
      </c>
      <c r="D501" s="4" t="s">
        <v>691</v>
      </c>
      <c r="E501" s="4" t="s">
        <v>115</v>
      </c>
      <c r="F501" s="4" t="s">
        <v>115</v>
      </c>
      <c r="Z501" s="9"/>
      <c r="AF501" s="9"/>
      <c r="AI501" s="9"/>
    </row>
    <row r="502" spans="1:43" x14ac:dyDescent="0.25">
      <c r="A502" s="161" t="str">
        <f t="shared" si="11"/>
        <v>CROSSBOWMAN_SEASIA</v>
      </c>
      <c r="B502" s="9" t="s">
        <v>115</v>
      </c>
      <c r="C502" s="4" t="s">
        <v>696</v>
      </c>
      <c r="D502" s="4" t="s">
        <v>693</v>
      </c>
      <c r="E502" s="4" t="s">
        <v>115</v>
      </c>
      <c r="F502" s="4" t="s">
        <v>115</v>
      </c>
      <c r="Z502" s="9"/>
      <c r="AF502" s="9"/>
      <c r="AI502" s="9"/>
    </row>
    <row r="503" spans="1:43" x14ac:dyDescent="0.25">
      <c r="A503" s="161" t="str">
        <f t="shared" si="11"/>
        <v>CROSSBOWMAN_SOUTHAM</v>
      </c>
      <c r="B503" s="9" t="s">
        <v>115</v>
      </c>
      <c r="C503" s="4" t="s">
        <v>691</v>
      </c>
      <c r="E503" s="4" t="s">
        <v>115</v>
      </c>
      <c r="F503" s="4" t="s">
        <v>115</v>
      </c>
      <c r="H503" s="4" t="s">
        <v>193</v>
      </c>
      <c r="I503" s="4" t="s">
        <v>2096</v>
      </c>
      <c r="Z503" s="9"/>
      <c r="AF503" s="9"/>
      <c r="AI503" s="9"/>
    </row>
    <row r="504" spans="1:43" x14ac:dyDescent="0.25">
      <c r="A504" s="161" t="str">
        <f t="shared" si="11"/>
        <v>CROSSBOWMAN_AZTEC</v>
      </c>
      <c r="B504" s="9" t="s">
        <v>115</v>
      </c>
      <c r="C504" s="4" t="s">
        <v>702</v>
      </c>
      <c r="D504" s="4" t="s">
        <v>691</v>
      </c>
      <c r="E504" s="4" t="s">
        <v>115</v>
      </c>
      <c r="F504" s="4" t="s">
        <v>115</v>
      </c>
      <c r="G504" s="14"/>
      <c r="Z504" s="9"/>
      <c r="AF504" s="9"/>
      <c r="AI504" s="9"/>
    </row>
    <row r="505" spans="1:43" x14ac:dyDescent="0.25">
      <c r="A505" s="161" t="str">
        <f t="shared" si="11"/>
        <v>CROSSBOWMAN_INCA</v>
      </c>
      <c r="B505" s="9" t="s">
        <v>115</v>
      </c>
      <c r="C505" s="4" t="s">
        <v>719</v>
      </c>
      <c r="E505" s="4" t="s">
        <v>115</v>
      </c>
      <c r="F505" s="4" t="s">
        <v>115</v>
      </c>
      <c r="G505" s="14" t="s">
        <v>132</v>
      </c>
      <c r="H505" s="4" t="s">
        <v>419</v>
      </c>
      <c r="I505" s="4" t="s">
        <v>2096</v>
      </c>
      <c r="Z505" s="9"/>
      <c r="AF505" s="9"/>
      <c r="AI505" s="9"/>
    </row>
    <row r="506" spans="1:43" x14ac:dyDescent="0.25">
      <c r="A506" s="161" t="str">
        <f t="shared" si="11"/>
        <v>CROSSBOWMAN_MAYA</v>
      </c>
      <c r="B506" s="9" t="s">
        <v>115</v>
      </c>
      <c r="C506" s="4" t="s">
        <v>725</v>
      </c>
      <c r="E506" s="4" t="s">
        <v>115</v>
      </c>
      <c r="F506" s="4" t="s">
        <v>115</v>
      </c>
      <c r="G506" s="14" t="s">
        <v>132</v>
      </c>
      <c r="H506" s="4" t="s">
        <v>516</v>
      </c>
      <c r="I506" s="4" t="s">
        <v>2096</v>
      </c>
      <c r="Z506" s="9"/>
      <c r="AF506" s="9"/>
      <c r="AI506" s="9"/>
    </row>
    <row r="507" spans="1:43" x14ac:dyDescent="0.25">
      <c r="A507" s="161" t="str">
        <f t="shared" si="11"/>
        <v>CROSSBOWMAN_SOUTHAS</v>
      </c>
      <c r="B507" s="9" t="s">
        <v>115</v>
      </c>
      <c r="C507" s="4" t="s">
        <v>695</v>
      </c>
      <c r="E507" s="4" t="s">
        <v>115</v>
      </c>
      <c r="F507" s="4" t="s">
        <v>115</v>
      </c>
      <c r="H507" s="4" t="s">
        <v>432</v>
      </c>
      <c r="I507" s="4" t="s">
        <v>102</v>
      </c>
      <c r="Z507" s="9"/>
      <c r="AF507" s="9"/>
      <c r="AI507" s="9"/>
    </row>
    <row r="508" spans="1:43" x14ac:dyDescent="0.25">
      <c r="A508" s="161" t="str">
        <f t="shared" si="11"/>
        <v>DESTROYER</v>
      </c>
      <c r="B508" s="9" t="s">
        <v>114</v>
      </c>
      <c r="C508" s="5"/>
      <c r="D508" s="5"/>
      <c r="E508" s="5" t="s">
        <v>114</v>
      </c>
      <c r="F508" s="5" t="s">
        <v>114</v>
      </c>
      <c r="G508" s="5"/>
      <c r="H508" s="5" t="s">
        <v>1500</v>
      </c>
      <c r="I508" s="5" t="s">
        <v>102</v>
      </c>
      <c r="J508" s="6"/>
      <c r="K508" s="7"/>
      <c r="L508" s="13" t="s">
        <v>1712</v>
      </c>
      <c r="M508" s="8"/>
      <c r="N508" s="13" t="s">
        <v>1726</v>
      </c>
      <c r="O508" s="13"/>
      <c r="P508" s="13"/>
      <c r="Q508" s="7">
        <v>1</v>
      </c>
      <c r="R508" s="6" t="s">
        <v>1694</v>
      </c>
      <c r="S508" s="5"/>
      <c r="T508" s="6"/>
      <c r="U508" s="6"/>
      <c r="V508" s="5"/>
      <c r="W508" s="6" t="s">
        <v>3</v>
      </c>
      <c r="X508" s="6"/>
      <c r="Y508" s="5" t="s">
        <v>1699</v>
      </c>
      <c r="Z508" s="6"/>
      <c r="AA508" s="6"/>
      <c r="AB508" s="5"/>
      <c r="AC508" s="6"/>
      <c r="AD508" s="6"/>
      <c r="AE508" s="5"/>
      <c r="AF508" s="6"/>
      <c r="AG508" s="6"/>
      <c r="AH508" s="5"/>
      <c r="AI508" s="6"/>
      <c r="AJ508" s="6"/>
      <c r="AK508" s="5"/>
      <c r="AL508" s="5"/>
      <c r="AM508" s="5"/>
      <c r="AN508" s="5"/>
      <c r="AO508" s="5"/>
      <c r="AP508" s="5"/>
      <c r="AQ508" s="5"/>
    </row>
    <row r="509" spans="1:43" x14ac:dyDescent="0.25">
      <c r="A509" s="161" t="str">
        <f t="shared" si="11"/>
        <v>DESTROYER_ZULU</v>
      </c>
      <c r="B509" s="9" t="s">
        <v>114</v>
      </c>
      <c r="C509" s="5" t="s">
        <v>742</v>
      </c>
      <c r="D509" s="5" t="s">
        <v>713</v>
      </c>
      <c r="E509" s="5" t="s">
        <v>114</v>
      </c>
      <c r="F509" s="5" t="s">
        <v>114</v>
      </c>
      <c r="G509" s="5"/>
      <c r="H509" s="5"/>
      <c r="I509" s="5"/>
      <c r="J509" s="6"/>
      <c r="K509" s="7"/>
      <c r="L509" s="13"/>
      <c r="M509" s="8"/>
      <c r="N509" s="13"/>
      <c r="O509" s="13"/>
      <c r="P509" s="13"/>
      <c r="Q509" s="7"/>
      <c r="R509" s="6"/>
      <c r="S509" s="5"/>
      <c r="T509" s="6"/>
      <c r="U509" s="6"/>
      <c r="V509" s="5"/>
      <c r="W509" s="6"/>
      <c r="X509" s="6"/>
      <c r="Y509" s="5"/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5"/>
      <c r="AM509" s="5"/>
      <c r="AN509" s="5"/>
      <c r="AO509" s="5"/>
      <c r="AP509" s="5"/>
      <c r="AQ509" s="5"/>
    </row>
    <row r="510" spans="1:43" x14ac:dyDescent="0.25">
      <c r="A510" s="161" t="str">
        <f t="shared" si="11"/>
        <v>DESTROYER_AMER</v>
      </c>
      <c r="B510" s="9" t="s">
        <v>114</v>
      </c>
      <c r="C510" s="5" t="s">
        <v>697</v>
      </c>
      <c r="D510" s="5" t="s">
        <v>699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5"/>
      <c r="AM510" s="5"/>
      <c r="AN510" s="5"/>
      <c r="AO510" s="5"/>
      <c r="AP510" s="5"/>
      <c r="AQ510" s="5"/>
    </row>
    <row r="511" spans="1:43" x14ac:dyDescent="0.25">
      <c r="A511" s="161" t="str">
        <f t="shared" si="11"/>
        <v>DESTROYER_ASIA</v>
      </c>
      <c r="B511" s="9" t="s">
        <v>114</v>
      </c>
      <c r="C511" s="5" t="s">
        <v>693</v>
      </c>
      <c r="D511" s="5" t="s">
        <v>698</v>
      </c>
      <c r="E511" s="5" t="s">
        <v>114</v>
      </c>
      <c r="F511" s="5" t="s">
        <v>114</v>
      </c>
      <c r="G511" s="5"/>
      <c r="H511" s="5"/>
      <c r="I511" s="5"/>
      <c r="J511" s="6"/>
      <c r="K511" s="7"/>
      <c r="L511" s="13"/>
      <c r="M511" s="8"/>
      <c r="N511" s="13"/>
      <c r="O511" s="13"/>
      <c r="P511" s="13"/>
      <c r="Q511" s="7"/>
      <c r="R511" s="6"/>
      <c r="S511" s="5"/>
      <c r="T511" s="6"/>
      <c r="U511" s="6"/>
      <c r="V511" s="5"/>
      <c r="W511" s="6"/>
      <c r="X511" s="6"/>
      <c r="Y511" s="5"/>
      <c r="Z511" s="6"/>
      <c r="AA511" s="6"/>
      <c r="AB511" s="5"/>
      <c r="AC511" s="6"/>
      <c r="AD511" s="6"/>
      <c r="AE511" s="5"/>
      <c r="AF511" s="6"/>
      <c r="AG511" s="6"/>
      <c r="AH511" s="5"/>
      <c r="AI511" s="6"/>
      <c r="AJ511" s="6"/>
      <c r="AK511" s="5"/>
      <c r="AL511" s="5"/>
      <c r="AM511" s="5"/>
      <c r="AN511" s="5"/>
      <c r="AO511" s="5"/>
      <c r="AP511" s="5"/>
      <c r="AQ511" s="5"/>
    </row>
    <row r="512" spans="1:43" x14ac:dyDescent="0.25">
      <c r="A512" s="161" t="str">
        <f t="shared" si="11"/>
        <v>DESTROYER_JAPAN</v>
      </c>
      <c r="B512" s="9" t="s">
        <v>114</v>
      </c>
      <c r="C512" s="4" t="s">
        <v>722</v>
      </c>
      <c r="E512" s="4" t="s">
        <v>114</v>
      </c>
      <c r="F512" s="4" t="s">
        <v>114</v>
      </c>
      <c r="G512" s="14" t="s">
        <v>132</v>
      </c>
      <c r="H512" s="4" t="s">
        <v>478</v>
      </c>
      <c r="I512" s="4" t="s">
        <v>102</v>
      </c>
    </row>
    <row r="513" spans="1:9" x14ac:dyDescent="0.25">
      <c r="A513" s="161" t="str">
        <f t="shared" si="11"/>
        <v>DESTROYER_KOREA</v>
      </c>
      <c r="B513" s="9" t="s">
        <v>114</v>
      </c>
      <c r="C513" s="4" t="s">
        <v>723</v>
      </c>
      <c r="D513" s="4" t="s">
        <v>722</v>
      </c>
      <c r="E513" s="4" t="s">
        <v>114</v>
      </c>
      <c r="F513" s="4" t="s">
        <v>114</v>
      </c>
      <c r="G513" s="14"/>
    </row>
    <row r="514" spans="1:9" x14ac:dyDescent="0.25">
      <c r="A514" s="161" t="str">
        <f t="shared" si="11"/>
        <v>DESTROYER_EASTEU</v>
      </c>
      <c r="B514" s="9" t="s">
        <v>114</v>
      </c>
      <c r="C514" s="4" t="s">
        <v>698</v>
      </c>
      <c r="E514" s="4" t="s">
        <v>114</v>
      </c>
      <c r="F514" s="4" t="s">
        <v>114</v>
      </c>
      <c r="G514" s="14"/>
      <c r="H514" s="4" t="s">
        <v>611</v>
      </c>
      <c r="I514" s="4" t="s">
        <v>102</v>
      </c>
    </row>
    <row r="515" spans="1:9" x14ac:dyDescent="0.25">
      <c r="A515" s="161" t="str">
        <f t="shared" si="11"/>
        <v>DESTROYER_POLAND</v>
      </c>
      <c r="B515" s="9" t="s">
        <v>114</v>
      </c>
      <c r="C515" s="4" t="s">
        <v>732</v>
      </c>
      <c r="E515" s="4" t="s">
        <v>114</v>
      </c>
      <c r="F515" s="4" t="s">
        <v>114</v>
      </c>
      <c r="G515" s="14" t="s">
        <v>132</v>
      </c>
      <c r="H515" s="4" t="s">
        <v>568</v>
      </c>
      <c r="I515" s="4" t="s">
        <v>102</v>
      </c>
    </row>
    <row r="516" spans="1:9" x14ac:dyDescent="0.25">
      <c r="A516" s="161" t="str">
        <f t="shared" si="11"/>
        <v>DESTROYER_RUSSIA</v>
      </c>
      <c r="B516" s="9" t="s">
        <v>114</v>
      </c>
      <c r="C516" s="4" t="s">
        <v>735</v>
      </c>
      <c r="D516" s="4" t="s">
        <v>698</v>
      </c>
      <c r="E516" s="4" t="s">
        <v>114</v>
      </c>
      <c r="F516" s="4" t="s">
        <v>114</v>
      </c>
      <c r="G516" s="14" t="s">
        <v>132</v>
      </c>
      <c r="I516" s="4" t="s">
        <v>102</v>
      </c>
    </row>
    <row r="517" spans="1:9" x14ac:dyDescent="0.25">
      <c r="A517" s="161" t="str">
        <f t="shared" si="11"/>
        <v>DESTROYER_AMERICA</v>
      </c>
      <c r="B517" s="9" t="s">
        <v>114</v>
      </c>
      <c r="C517" s="4" t="s">
        <v>699</v>
      </c>
      <c r="E517" s="4" t="s">
        <v>114</v>
      </c>
      <c r="F517" s="4" t="s">
        <v>114</v>
      </c>
      <c r="G517" s="14"/>
      <c r="H517" s="4" t="s">
        <v>137</v>
      </c>
      <c r="I517" s="4" t="s">
        <v>102</v>
      </c>
    </row>
    <row r="518" spans="1:9" x14ac:dyDescent="0.25">
      <c r="A518" s="161" t="str">
        <f t="shared" si="11"/>
        <v>DESTROYER_AUSTRALIA</v>
      </c>
      <c r="B518" s="9" t="s">
        <v>114</v>
      </c>
      <c r="C518" s="4" t="s">
        <v>1302</v>
      </c>
      <c r="D518" s="4" t="s">
        <v>713</v>
      </c>
      <c r="E518" s="4" t="s">
        <v>114</v>
      </c>
      <c r="F518" s="4" t="s">
        <v>114</v>
      </c>
      <c r="G518" s="14"/>
    </row>
    <row r="519" spans="1:9" x14ac:dyDescent="0.25">
      <c r="A519" s="161" t="str">
        <f t="shared" si="11"/>
        <v>DESTROYER_AUSTRIA</v>
      </c>
      <c r="B519" s="9" t="s">
        <v>114</v>
      </c>
      <c r="C519" s="4" t="s">
        <v>701</v>
      </c>
      <c r="D519" s="4" t="s">
        <v>717</v>
      </c>
      <c r="E519" s="4" t="s">
        <v>114</v>
      </c>
      <c r="F519" s="4" t="s">
        <v>114</v>
      </c>
      <c r="G519" s="14"/>
    </row>
    <row r="520" spans="1:9" x14ac:dyDescent="0.25">
      <c r="A520" s="161" t="str">
        <f t="shared" si="11"/>
        <v>DESTROYER_CANADA</v>
      </c>
      <c r="B520" s="9" t="s">
        <v>114</v>
      </c>
      <c r="C520" s="4" t="s">
        <v>2207</v>
      </c>
      <c r="D520" s="4" t="s">
        <v>713</v>
      </c>
      <c r="E520" s="4" t="s">
        <v>114</v>
      </c>
      <c r="F520" s="4" t="s">
        <v>114</v>
      </c>
      <c r="G520" s="14"/>
    </row>
    <row r="521" spans="1:9" x14ac:dyDescent="0.25">
      <c r="A521" s="161" t="str">
        <f t="shared" si="11"/>
        <v>DESTROYER_CELTS</v>
      </c>
      <c r="B521" s="9" t="s">
        <v>114</v>
      </c>
      <c r="C521" s="4" t="s">
        <v>709</v>
      </c>
      <c r="D521" s="4" t="s">
        <v>713</v>
      </c>
      <c r="E521" s="4" t="s">
        <v>114</v>
      </c>
      <c r="F521" s="4" t="s">
        <v>114</v>
      </c>
      <c r="G521" s="14"/>
    </row>
    <row r="522" spans="1:9" x14ac:dyDescent="0.25">
      <c r="A522" s="161" t="str">
        <f t="shared" si="11"/>
        <v>DESTROYER_ENGLAND</v>
      </c>
      <c r="B522" s="9" t="s">
        <v>114</v>
      </c>
      <c r="C522" s="4" t="s">
        <v>713</v>
      </c>
      <c r="E522" s="4" t="s">
        <v>114</v>
      </c>
      <c r="F522" s="4" t="s">
        <v>114</v>
      </c>
      <c r="G522" s="14" t="s">
        <v>132</v>
      </c>
      <c r="H522" s="4" t="s">
        <v>296</v>
      </c>
      <c r="I522" s="4" t="s">
        <v>102</v>
      </c>
    </row>
    <row r="523" spans="1:9" x14ac:dyDescent="0.25">
      <c r="A523" s="161" t="str">
        <f t="shared" si="11"/>
        <v>DESTROYER_FRANCE</v>
      </c>
      <c r="B523" s="9" t="s">
        <v>114</v>
      </c>
      <c r="C523" s="4" t="s">
        <v>715</v>
      </c>
      <c r="E523" s="4" t="s">
        <v>114</v>
      </c>
      <c r="F523" s="4" t="s">
        <v>114</v>
      </c>
      <c r="G523" s="14" t="s">
        <v>132</v>
      </c>
      <c r="H523" s="4" t="s">
        <v>342</v>
      </c>
      <c r="I523" s="4" t="s">
        <v>102</v>
      </c>
    </row>
    <row r="524" spans="1:9" x14ac:dyDescent="0.25">
      <c r="A524" s="161" t="str">
        <f t="shared" si="11"/>
        <v>DESTROYER_GERMANY</v>
      </c>
      <c r="B524" s="9" t="s">
        <v>114</v>
      </c>
      <c r="C524" s="4" t="s">
        <v>717</v>
      </c>
      <c r="E524" s="4" t="s">
        <v>114</v>
      </c>
      <c r="F524" s="4" t="s">
        <v>114</v>
      </c>
      <c r="G524" s="14" t="s">
        <v>132</v>
      </c>
      <c r="H524" s="4" t="s">
        <v>372</v>
      </c>
      <c r="I524" s="4" t="s">
        <v>102</v>
      </c>
    </row>
    <row r="525" spans="1:9" x14ac:dyDescent="0.25">
      <c r="A525" s="161" t="str">
        <f t="shared" si="11"/>
        <v>DESTROYER_NETHERLANDS</v>
      </c>
      <c r="B525" s="9" t="s">
        <v>114</v>
      </c>
      <c r="C525" s="4" t="s">
        <v>730</v>
      </c>
      <c r="E525" s="4" t="s">
        <v>114</v>
      </c>
      <c r="F525" s="4" t="s">
        <v>114</v>
      </c>
      <c r="G525" s="14" t="s">
        <v>132</v>
      </c>
      <c r="H525" s="4" t="s">
        <v>540</v>
      </c>
      <c r="I525" s="4" t="s">
        <v>102</v>
      </c>
    </row>
    <row r="526" spans="1:9" x14ac:dyDescent="0.25">
      <c r="A526" s="161" t="str">
        <f t="shared" si="11"/>
        <v>DESTROYER_GREECE</v>
      </c>
      <c r="B526" s="9" t="s">
        <v>114</v>
      </c>
      <c r="C526" s="4" t="s">
        <v>718</v>
      </c>
      <c r="E526" s="4" t="s">
        <v>114</v>
      </c>
      <c r="F526" s="4" t="s">
        <v>114</v>
      </c>
      <c r="G526" s="14" t="s">
        <v>132</v>
      </c>
      <c r="H526" s="4" t="s">
        <v>401</v>
      </c>
      <c r="I526" s="4" t="s">
        <v>102</v>
      </c>
    </row>
    <row r="527" spans="1:9" x14ac:dyDescent="0.25">
      <c r="A527" s="161" t="str">
        <f t="shared" si="11"/>
        <v>DESTROYER_ROME</v>
      </c>
      <c r="B527" s="9" t="s">
        <v>114</v>
      </c>
      <c r="C527" s="4" t="s">
        <v>734</v>
      </c>
      <c r="E527" s="4" t="s">
        <v>114</v>
      </c>
      <c r="F527" s="4" t="s">
        <v>114</v>
      </c>
      <c r="G527" s="14" t="s">
        <v>132</v>
      </c>
      <c r="H527" s="4" t="s">
        <v>586</v>
      </c>
      <c r="I527" s="4" t="s">
        <v>102</v>
      </c>
    </row>
    <row r="528" spans="1:9" x14ac:dyDescent="0.25">
      <c r="A528" s="161" t="str">
        <f t="shared" si="11"/>
        <v>DESTROYER_NORTHAF</v>
      </c>
      <c r="B528" s="9" t="s">
        <v>114</v>
      </c>
      <c r="C528" s="4" t="s">
        <v>2009</v>
      </c>
      <c r="D528" s="4" t="s">
        <v>715</v>
      </c>
      <c r="E528" s="4" t="s">
        <v>114</v>
      </c>
      <c r="F528" s="4" t="s">
        <v>114</v>
      </c>
      <c r="G528" s="14"/>
    </row>
    <row r="529" spans="1:43" x14ac:dyDescent="0.25">
      <c r="A529" s="161" t="str">
        <f t="shared" si="11"/>
        <v>DESTROYER_SWEDEN</v>
      </c>
      <c r="B529" s="9" t="s">
        <v>114</v>
      </c>
      <c r="C529" s="4" t="s">
        <v>739</v>
      </c>
      <c r="E529" s="4" t="s">
        <v>114</v>
      </c>
      <c r="F529" s="4" t="s">
        <v>114</v>
      </c>
      <c r="G529" s="14" t="s">
        <v>132</v>
      </c>
      <c r="H529" s="4" t="s">
        <v>669</v>
      </c>
      <c r="I529" s="4" t="s">
        <v>102</v>
      </c>
    </row>
    <row r="530" spans="1:43" x14ac:dyDescent="0.25">
      <c r="A530" s="161" t="str">
        <f t="shared" si="11"/>
        <v>DESTROYER_SAHUL</v>
      </c>
      <c r="B530" s="9" t="s">
        <v>114</v>
      </c>
      <c r="C530" s="4" t="s">
        <v>1787</v>
      </c>
      <c r="D530" s="4" t="s">
        <v>730</v>
      </c>
      <c r="E530" s="4" t="s">
        <v>114</v>
      </c>
      <c r="F530" s="4" t="s">
        <v>114</v>
      </c>
      <c r="G530" s="14"/>
    </row>
    <row r="531" spans="1:43" x14ac:dyDescent="0.25">
      <c r="A531" s="161" t="str">
        <f t="shared" si="11"/>
        <v>DESTROYER_OCEAN</v>
      </c>
      <c r="B531" s="9" t="s">
        <v>114</v>
      </c>
      <c r="C531" s="4" t="s">
        <v>994</v>
      </c>
      <c r="D531" s="4" t="s">
        <v>699</v>
      </c>
      <c r="E531" s="4" t="s">
        <v>114</v>
      </c>
      <c r="F531" s="4" t="s">
        <v>114</v>
      </c>
      <c r="G531" s="14"/>
      <c r="H531" s="1"/>
    </row>
    <row r="532" spans="1:43" x14ac:dyDescent="0.25">
      <c r="A532" s="161" t="str">
        <f t="shared" si="11"/>
        <v>DESTROYER_SEASIA</v>
      </c>
      <c r="B532" s="9" t="s">
        <v>114</v>
      </c>
      <c r="C532" s="4" t="s">
        <v>696</v>
      </c>
      <c r="D532" s="4" t="s">
        <v>715</v>
      </c>
      <c r="E532" s="4" t="s">
        <v>114</v>
      </c>
      <c r="F532" s="4" t="s">
        <v>114</v>
      </c>
      <c r="G532" s="14"/>
      <c r="H532" s="1"/>
    </row>
    <row r="533" spans="1:43" x14ac:dyDescent="0.25">
      <c r="A533" s="161" t="str">
        <f t="shared" si="11"/>
        <v>DESTROYER_SOUTHAS</v>
      </c>
      <c r="B533" s="9" t="s">
        <v>114</v>
      </c>
      <c r="C533" s="4" t="s">
        <v>695</v>
      </c>
      <c r="D533" s="4" t="s">
        <v>713</v>
      </c>
      <c r="E533" s="4" t="s">
        <v>114</v>
      </c>
      <c r="F533" s="4" t="s">
        <v>114</v>
      </c>
      <c r="G533" s="14"/>
      <c r="H533" s="1"/>
    </row>
    <row r="534" spans="1:43" x14ac:dyDescent="0.25">
      <c r="A534" s="161" t="str">
        <f t="shared" si="11"/>
        <v>ENGINEER</v>
      </c>
      <c r="B534" s="9" t="s">
        <v>1315</v>
      </c>
      <c r="C534" s="5"/>
      <c r="D534" s="5"/>
      <c r="E534" s="5" t="s">
        <v>1315</v>
      </c>
      <c r="F534" s="5" t="s">
        <v>1313</v>
      </c>
      <c r="G534" s="5"/>
      <c r="H534" s="5" t="s">
        <v>1718</v>
      </c>
      <c r="I534" s="5" t="s">
        <v>128</v>
      </c>
      <c r="J534" s="6">
        <v>1</v>
      </c>
      <c r="K534" s="6"/>
      <c r="L534" s="13" t="s">
        <v>1709</v>
      </c>
      <c r="M534" s="8"/>
      <c r="N534" s="5"/>
      <c r="O534" s="5"/>
      <c r="P534" s="5"/>
      <c r="Q534" s="7">
        <v>1</v>
      </c>
      <c r="R534" s="7" t="s">
        <v>1694</v>
      </c>
      <c r="S534" s="5"/>
      <c r="T534" s="6"/>
      <c r="U534" s="7" t="s">
        <v>1736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11"/>
        <v>ENGINEER_LATE</v>
      </c>
      <c r="B535" s="9" t="s">
        <v>1315</v>
      </c>
      <c r="C535" s="5"/>
      <c r="D535" s="5"/>
      <c r="E535" s="5" t="s">
        <v>1337</v>
      </c>
      <c r="F535" s="5" t="s">
        <v>1314</v>
      </c>
      <c r="G535" s="5"/>
      <c r="H535" s="5" t="s">
        <v>1719</v>
      </c>
      <c r="I535" s="5" t="s">
        <v>128</v>
      </c>
      <c r="J535" s="6"/>
      <c r="K535" s="6"/>
      <c r="L535" s="13" t="s">
        <v>1709</v>
      </c>
      <c r="M535" s="8"/>
      <c r="N535" s="5"/>
      <c r="O535" s="5"/>
      <c r="P535" s="5"/>
      <c r="Q535" s="7">
        <v>1</v>
      </c>
      <c r="R535" s="7">
        <v>0.09</v>
      </c>
      <c r="S535" s="5"/>
      <c r="T535" s="6"/>
      <c r="U535" s="7">
        <v>0.08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11"/>
        <v>EXPLORER</v>
      </c>
      <c r="C536" s="5"/>
      <c r="D536" s="5"/>
      <c r="E536" s="5" t="s">
        <v>1338</v>
      </c>
      <c r="F536" s="5" t="s">
        <v>1339</v>
      </c>
      <c r="G536" s="5"/>
      <c r="H536" s="5" t="s">
        <v>1451</v>
      </c>
      <c r="I536" s="5" t="s">
        <v>128</v>
      </c>
      <c r="J536" s="6"/>
      <c r="K536" s="6"/>
      <c r="L536" s="13" t="s">
        <v>1707</v>
      </c>
      <c r="M536" s="8"/>
      <c r="N536" s="5"/>
      <c r="O536" s="5"/>
      <c r="P536" s="5"/>
      <c r="Q536" s="6">
        <v>1</v>
      </c>
      <c r="R536" s="7" t="s">
        <v>1694</v>
      </c>
      <c r="S536" s="13" t="s">
        <v>1613</v>
      </c>
      <c r="T536" s="6">
        <v>1</v>
      </c>
      <c r="U536" s="7" t="s">
        <v>1736</v>
      </c>
      <c r="V536" s="5"/>
      <c r="W536" s="6"/>
      <c r="X536" s="6" t="s">
        <v>3</v>
      </c>
      <c r="Y536" s="5"/>
      <c r="Z536" s="6">
        <v>1</v>
      </c>
      <c r="AA536" s="6"/>
      <c r="AB536" s="5"/>
      <c r="AC536" s="6"/>
      <c r="AD536" s="6" t="s">
        <v>3</v>
      </c>
      <c r="AE536" s="5"/>
      <c r="AF536" s="6">
        <v>1</v>
      </c>
      <c r="AG536" s="6"/>
      <c r="AH536" s="5"/>
      <c r="AI536" s="6">
        <v>1</v>
      </c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 t="s">
        <v>2038</v>
      </c>
      <c r="H537" s="5" t="s">
        <v>1450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6</v>
      </c>
      <c r="R537" s="7" t="s">
        <v>1694</v>
      </c>
      <c r="S537" s="13" t="s">
        <v>1613</v>
      </c>
      <c r="T537" s="6">
        <v>6</v>
      </c>
      <c r="U537" s="7" t="s">
        <v>1736</v>
      </c>
      <c r="V537" s="5"/>
      <c r="W537" s="6"/>
      <c r="X537" s="6" t="s">
        <v>3</v>
      </c>
      <c r="Y537" s="5"/>
      <c r="Z537" s="6">
        <v>0</v>
      </c>
      <c r="AA537" s="6"/>
      <c r="AB537" s="5"/>
      <c r="AC537" s="6"/>
      <c r="AD537" s="6" t="s">
        <v>3</v>
      </c>
      <c r="AE537" s="5"/>
      <c r="AF537" s="6">
        <v>1</v>
      </c>
      <c r="AG537" s="6"/>
      <c r="AH537" s="5"/>
      <c r="AI537" s="6">
        <v>3</v>
      </c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11"/>
        <v>EXPLORER</v>
      </c>
      <c r="C538" s="5"/>
      <c r="D538" s="5"/>
      <c r="E538" s="5" t="s">
        <v>1338</v>
      </c>
      <c r="F538" s="5" t="s">
        <v>1339</v>
      </c>
      <c r="G538" s="5" t="s">
        <v>2039</v>
      </c>
      <c r="H538" s="5" t="s">
        <v>1452</v>
      </c>
      <c r="I538" s="5" t="s">
        <v>128</v>
      </c>
      <c r="J538" s="6"/>
      <c r="K538" s="6"/>
      <c r="L538" s="13" t="s">
        <v>1707</v>
      </c>
      <c r="M538" s="8"/>
      <c r="N538" s="5"/>
      <c r="O538" s="5"/>
      <c r="P538" s="5"/>
      <c r="Q538" s="6">
        <v>1</v>
      </c>
      <c r="R538" s="7" t="s">
        <v>1694</v>
      </c>
      <c r="S538" s="13" t="s">
        <v>1613</v>
      </c>
      <c r="T538" s="6">
        <v>1</v>
      </c>
      <c r="U538" s="7" t="s">
        <v>1736</v>
      </c>
      <c r="V538" s="5"/>
      <c r="W538" s="6"/>
      <c r="X538" s="6" t="s">
        <v>3</v>
      </c>
      <c r="Y538" s="5"/>
      <c r="Z538" s="6">
        <v>0</v>
      </c>
      <c r="AA538" s="6"/>
      <c r="AB538" s="5"/>
      <c r="AC538" s="6"/>
      <c r="AD538" s="6" t="s">
        <v>3</v>
      </c>
      <c r="AE538" s="5"/>
      <c r="AF538" s="6">
        <v>0</v>
      </c>
      <c r="AG538" s="6"/>
      <c r="AH538" s="5"/>
      <c r="AI538" s="6">
        <v>1</v>
      </c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11"/>
        <v>FIGHTER</v>
      </c>
      <c r="B539" s="9" t="s">
        <v>113</v>
      </c>
      <c r="C539" s="5"/>
      <c r="D539" s="5"/>
      <c r="E539" s="5" t="s">
        <v>113</v>
      </c>
      <c r="F539" s="5" t="s">
        <v>113</v>
      </c>
      <c r="G539" s="5"/>
      <c r="H539" s="5" t="s">
        <v>32</v>
      </c>
      <c r="I539" s="5" t="s">
        <v>128</v>
      </c>
      <c r="J539" s="6"/>
      <c r="K539" s="7"/>
      <c r="L539" s="13" t="s">
        <v>1710</v>
      </c>
      <c r="M539" s="8">
        <v>2</v>
      </c>
      <c r="N539" s="13" t="s">
        <v>1724</v>
      </c>
      <c r="O539" s="13"/>
      <c r="P539" s="13"/>
      <c r="Q539" s="7">
        <v>3</v>
      </c>
      <c r="R539" s="6">
        <v>7.4999999999999997E-2</v>
      </c>
      <c r="S539" s="13" t="s">
        <v>1620</v>
      </c>
      <c r="T539" s="7">
        <v>4</v>
      </c>
      <c r="U539" s="6">
        <v>7.0000000000000007E-2</v>
      </c>
      <c r="V539" s="5" t="s">
        <v>1698</v>
      </c>
      <c r="W539" s="6" t="s">
        <v>3</v>
      </c>
      <c r="X539" s="6" t="s">
        <v>3</v>
      </c>
      <c r="Y539" s="5"/>
      <c r="Z539" s="6">
        <v>1</v>
      </c>
      <c r="AA539" s="6"/>
      <c r="AB539" s="5"/>
      <c r="AC539" s="6"/>
      <c r="AD539" s="6" t="s">
        <v>3</v>
      </c>
      <c r="AE539" s="5"/>
      <c r="AF539" s="6"/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11"/>
        <v>FIGHTER_AFRI</v>
      </c>
      <c r="B540" s="9" t="s">
        <v>113</v>
      </c>
      <c r="C540" s="4" t="s">
        <v>694</v>
      </c>
      <c r="D540" s="4" t="s">
        <v>690</v>
      </c>
      <c r="E540" s="4" t="s">
        <v>113</v>
      </c>
      <c r="F540" s="4" t="s">
        <v>113</v>
      </c>
    </row>
    <row r="541" spans="1:43" x14ac:dyDescent="0.25">
      <c r="A541" s="161" t="str">
        <f t="shared" si="11"/>
        <v>FIGHTER_ZULU</v>
      </c>
      <c r="B541" s="9" t="s">
        <v>113</v>
      </c>
      <c r="C541" s="4" t="s">
        <v>742</v>
      </c>
      <c r="D541" s="4" t="s">
        <v>713</v>
      </c>
      <c r="E541" s="4" t="s">
        <v>113</v>
      </c>
      <c r="F541" s="4" t="s">
        <v>113</v>
      </c>
    </row>
    <row r="542" spans="1:43" x14ac:dyDescent="0.25">
      <c r="A542" s="161" t="str">
        <f t="shared" si="11"/>
        <v>FIGHTER_AMER</v>
      </c>
      <c r="B542" s="9" t="s">
        <v>113</v>
      </c>
      <c r="C542" s="4" t="s">
        <v>697</v>
      </c>
      <c r="D542" s="4" t="s">
        <v>690</v>
      </c>
      <c r="E542" s="4" t="s">
        <v>113</v>
      </c>
      <c r="F542" s="4" t="s">
        <v>113</v>
      </c>
    </row>
    <row r="543" spans="1:43" x14ac:dyDescent="0.25">
      <c r="A543" s="161" t="str">
        <f t="shared" si="11"/>
        <v>FIGHTER_CHINA</v>
      </c>
      <c r="B543" s="9" t="s">
        <v>113</v>
      </c>
      <c r="C543" s="4" t="s">
        <v>710</v>
      </c>
      <c r="E543" s="4" t="s">
        <v>113</v>
      </c>
      <c r="F543" s="4" t="s">
        <v>113</v>
      </c>
      <c r="G543" s="14" t="s">
        <v>132</v>
      </c>
      <c r="H543" s="4" t="s">
        <v>246</v>
      </c>
      <c r="I543" s="4" t="s">
        <v>102</v>
      </c>
    </row>
    <row r="544" spans="1:43" x14ac:dyDescent="0.25">
      <c r="A544" s="161" t="str">
        <f t="shared" si="11"/>
        <v>FIGHTER_OTTOMAN</v>
      </c>
      <c r="B544" s="9" t="s">
        <v>113</v>
      </c>
      <c r="C544" s="4" t="s">
        <v>1037</v>
      </c>
      <c r="E544" s="4" t="s">
        <v>113</v>
      </c>
      <c r="F544" s="4" t="s">
        <v>113</v>
      </c>
      <c r="G544" s="14" t="s">
        <v>132</v>
      </c>
      <c r="H544" s="14" t="s">
        <v>1038</v>
      </c>
      <c r="I544" s="4" t="s">
        <v>120</v>
      </c>
      <c r="J544" s="167"/>
    </row>
    <row r="545" spans="1:9" x14ac:dyDescent="0.25">
      <c r="A545" s="161" t="str">
        <f t="shared" si="11"/>
        <v>FIGHTER_EASTEU</v>
      </c>
      <c r="B545" s="9" t="s">
        <v>113</v>
      </c>
      <c r="C545" s="4" t="s">
        <v>698</v>
      </c>
      <c r="E545" s="4" t="s">
        <v>113</v>
      </c>
      <c r="F545" s="4" t="s">
        <v>113</v>
      </c>
      <c r="G545" s="14"/>
      <c r="H545" s="4" t="s">
        <v>612</v>
      </c>
      <c r="I545" s="4" t="s">
        <v>102</v>
      </c>
    </row>
    <row r="546" spans="1:9" x14ac:dyDescent="0.25">
      <c r="A546" s="161" t="str">
        <f t="shared" si="11"/>
        <v>FIGHTER_HUNS</v>
      </c>
      <c r="B546" s="9" t="s">
        <v>113</v>
      </c>
      <c r="C546" s="4" t="s">
        <v>904</v>
      </c>
      <c r="E546" s="4" t="s">
        <v>113</v>
      </c>
      <c r="F546" s="4" t="s">
        <v>113</v>
      </c>
      <c r="H546" s="4" t="s">
        <v>1101</v>
      </c>
      <c r="I546" s="4" t="s">
        <v>102</v>
      </c>
    </row>
    <row r="547" spans="1:9" x14ac:dyDescent="0.25">
      <c r="A547" s="161" t="str">
        <f t="shared" si="11"/>
        <v>FIGHTER_POLAND</v>
      </c>
      <c r="B547" s="9" t="s">
        <v>113</v>
      </c>
      <c r="C547" s="4" t="s">
        <v>732</v>
      </c>
      <c r="E547" s="4" t="s">
        <v>113</v>
      </c>
      <c r="F547" s="4" t="s">
        <v>113</v>
      </c>
      <c r="G547" s="14" t="s">
        <v>132</v>
      </c>
      <c r="H547" s="4" t="s">
        <v>569</v>
      </c>
      <c r="I547" s="4" t="s">
        <v>102</v>
      </c>
    </row>
    <row r="548" spans="1:9" x14ac:dyDescent="0.25">
      <c r="A548" s="161" t="str">
        <f t="shared" si="11"/>
        <v>FIGHTER_RUSSIA</v>
      </c>
      <c r="B548" s="9" t="s">
        <v>113</v>
      </c>
      <c r="C548" s="4" t="s">
        <v>735</v>
      </c>
      <c r="D548" s="4" t="s">
        <v>698</v>
      </c>
      <c r="E548" s="4" t="s">
        <v>113</v>
      </c>
      <c r="F548" s="4" t="s">
        <v>113</v>
      </c>
      <c r="G548" s="14"/>
    </row>
    <row r="549" spans="1:9" x14ac:dyDescent="0.25">
      <c r="A549" s="161" t="str">
        <f t="shared" si="11"/>
        <v>FIGHTER_AMERICA</v>
      </c>
      <c r="B549" s="9" t="s">
        <v>113</v>
      </c>
      <c r="C549" s="4" t="s">
        <v>699</v>
      </c>
      <c r="E549" s="4" t="s">
        <v>113</v>
      </c>
      <c r="F549" s="4" t="s">
        <v>113</v>
      </c>
      <c r="G549" s="14"/>
      <c r="H549" s="4" t="s">
        <v>138</v>
      </c>
      <c r="I549" s="4" t="s">
        <v>130</v>
      </c>
    </row>
    <row r="550" spans="1:9" x14ac:dyDescent="0.25">
      <c r="A550" s="161" t="str">
        <f t="shared" si="11"/>
        <v>FIGHTER_AUSTRALIA</v>
      </c>
      <c r="B550" s="9" t="s">
        <v>113</v>
      </c>
      <c r="C550" s="4" t="s">
        <v>1302</v>
      </c>
      <c r="E550" s="4" t="s">
        <v>113</v>
      </c>
      <c r="F550" s="4" t="s">
        <v>113</v>
      </c>
      <c r="G550" s="14"/>
      <c r="H550" s="4" t="s">
        <v>2238</v>
      </c>
      <c r="I550" s="4" t="s">
        <v>120</v>
      </c>
    </row>
    <row r="551" spans="1:9" x14ac:dyDescent="0.25">
      <c r="A551" s="161" t="str">
        <f t="shared" si="11"/>
        <v>FIGHTER_AUSTRIA</v>
      </c>
      <c r="B551" s="9" t="s">
        <v>113</v>
      </c>
      <c r="C551" s="4" t="s">
        <v>701</v>
      </c>
      <c r="E551" s="4" t="s">
        <v>113</v>
      </c>
      <c r="F551" s="4" t="s">
        <v>113</v>
      </c>
      <c r="G551" s="14"/>
      <c r="H551" s="4" t="s">
        <v>178</v>
      </c>
      <c r="I551" s="4" t="s">
        <v>102</v>
      </c>
    </row>
    <row r="552" spans="1:9" x14ac:dyDescent="0.25">
      <c r="A552" s="161" t="str">
        <f t="shared" si="11"/>
        <v>FIGHTER_CANADA</v>
      </c>
      <c r="B552" s="9" t="s">
        <v>113</v>
      </c>
      <c r="C552" s="4" t="s">
        <v>2207</v>
      </c>
      <c r="D552" s="4" t="s">
        <v>713</v>
      </c>
      <c r="E552" s="4" t="s">
        <v>113</v>
      </c>
      <c r="F552" s="4" t="s">
        <v>113</v>
      </c>
      <c r="G552" s="14"/>
    </row>
    <row r="553" spans="1:9" x14ac:dyDescent="0.25">
      <c r="A553" s="161" t="str">
        <f t="shared" si="11"/>
        <v>FIGHTER_CELTS</v>
      </c>
      <c r="B553" s="9" t="s">
        <v>113</v>
      </c>
      <c r="C553" s="4" t="s">
        <v>709</v>
      </c>
      <c r="D553" s="4" t="s">
        <v>713</v>
      </c>
      <c r="E553" s="4" t="s">
        <v>113</v>
      </c>
      <c r="F553" s="4" t="s">
        <v>113</v>
      </c>
      <c r="G553" s="14"/>
    </row>
    <row r="554" spans="1:9" x14ac:dyDescent="0.25">
      <c r="A554" s="161" t="str">
        <f t="shared" si="11"/>
        <v>FIGHTER_ENGLAND</v>
      </c>
      <c r="B554" s="9" t="s">
        <v>113</v>
      </c>
      <c r="C554" s="4" t="s">
        <v>713</v>
      </c>
      <c r="E554" s="4" t="s">
        <v>113</v>
      </c>
      <c r="F554" s="4" t="s">
        <v>113</v>
      </c>
      <c r="G554" s="14" t="s">
        <v>132</v>
      </c>
      <c r="H554" s="4" t="s">
        <v>297</v>
      </c>
      <c r="I554" s="4" t="s">
        <v>1056</v>
      </c>
    </row>
    <row r="555" spans="1:9" x14ac:dyDescent="0.25">
      <c r="A555" s="161" t="str">
        <f t="shared" si="11"/>
        <v>FIGHTER_FRANCE</v>
      </c>
      <c r="B555" s="9" t="s">
        <v>113</v>
      </c>
      <c r="C555" s="4" t="s">
        <v>715</v>
      </c>
      <c r="E555" s="4" t="s">
        <v>113</v>
      </c>
      <c r="F555" s="4" t="s">
        <v>113</v>
      </c>
      <c r="G555" s="14" t="s">
        <v>132</v>
      </c>
      <c r="H555" s="4" t="s">
        <v>343</v>
      </c>
      <c r="I555" s="4" t="s">
        <v>102</v>
      </c>
    </row>
    <row r="556" spans="1:9" x14ac:dyDescent="0.25">
      <c r="A556" s="161" t="str">
        <f t="shared" si="11"/>
        <v>FIGHTER_GERMANY</v>
      </c>
      <c r="B556" s="9" t="s">
        <v>113</v>
      </c>
      <c r="C556" s="4" t="s">
        <v>717</v>
      </c>
      <c r="E556" s="4" t="s">
        <v>113</v>
      </c>
      <c r="F556" s="4" t="s">
        <v>113</v>
      </c>
      <c r="G556" s="14" t="s">
        <v>132</v>
      </c>
      <c r="H556" s="4" t="s">
        <v>373</v>
      </c>
      <c r="I556" s="4" t="s">
        <v>102</v>
      </c>
    </row>
    <row r="557" spans="1:9" x14ac:dyDescent="0.25">
      <c r="A557" s="161" t="str">
        <f t="shared" si="11"/>
        <v>FIGHTER_NETHERLANDS</v>
      </c>
      <c r="B557" s="9" t="s">
        <v>113</v>
      </c>
      <c r="C557" s="4" t="s">
        <v>730</v>
      </c>
      <c r="E557" s="4" t="s">
        <v>113</v>
      </c>
      <c r="F557" s="4" t="s">
        <v>113</v>
      </c>
      <c r="G557" s="14" t="s">
        <v>132</v>
      </c>
      <c r="H557" s="4" t="s">
        <v>541</v>
      </c>
      <c r="I557" s="4" t="s">
        <v>102</v>
      </c>
    </row>
    <row r="558" spans="1:9" x14ac:dyDescent="0.25">
      <c r="A558" s="161" t="str">
        <f t="shared" si="11"/>
        <v>FIGHTER_BRAZIL</v>
      </c>
      <c r="B558" s="9" t="s">
        <v>113</v>
      </c>
      <c r="C558" s="4" t="s">
        <v>706</v>
      </c>
      <c r="E558" s="4" t="s">
        <v>113</v>
      </c>
      <c r="F558" s="4" t="s">
        <v>113</v>
      </c>
      <c r="G558" s="14" t="s">
        <v>132</v>
      </c>
      <c r="H558" s="4" t="s">
        <v>222</v>
      </c>
      <c r="I558" s="4" t="s">
        <v>120</v>
      </c>
    </row>
    <row r="559" spans="1:9" x14ac:dyDescent="0.25">
      <c r="A559" s="161" t="str">
        <f t="shared" si="11"/>
        <v>FIGHTER_GREECE</v>
      </c>
      <c r="B559" s="9" t="s">
        <v>113</v>
      </c>
      <c r="C559" s="4" t="s">
        <v>718</v>
      </c>
      <c r="E559" s="4" t="s">
        <v>113</v>
      </c>
      <c r="F559" s="4" t="s">
        <v>113</v>
      </c>
      <c r="G559" s="14" t="s">
        <v>132</v>
      </c>
      <c r="H559" s="4" t="s">
        <v>402</v>
      </c>
      <c r="I559" s="4" t="s">
        <v>102</v>
      </c>
    </row>
    <row r="560" spans="1:9" x14ac:dyDescent="0.25">
      <c r="A560" s="161" t="str">
        <f t="shared" si="11"/>
        <v>FIGHTER_ROME</v>
      </c>
      <c r="B560" s="9" t="s">
        <v>113</v>
      </c>
      <c r="C560" s="4" t="s">
        <v>734</v>
      </c>
      <c r="E560" s="4" t="s">
        <v>113</v>
      </c>
      <c r="F560" s="4" t="s">
        <v>113</v>
      </c>
      <c r="G560" s="14" t="s">
        <v>132</v>
      </c>
      <c r="H560" s="4" t="s">
        <v>587</v>
      </c>
      <c r="I560" s="4" t="s">
        <v>1067</v>
      </c>
    </row>
    <row r="561" spans="1:43" x14ac:dyDescent="0.25">
      <c r="A561" s="161" t="str">
        <f t="shared" si="11"/>
        <v>FIGHTER_SPAIN</v>
      </c>
      <c r="B561" s="9" t="s">
        <v>113</v>
      </c>
      <c r="C561" s="4" t="s">
        <v>738</v>
      </c>
      <c r="E561" s="4" t="s">
        <v>113</v>
      </c>
      <c r="F561" s="4" t="s">
        <v>113</v>
      </c>
      <c r="G561" s="14" t="s">
        <v>132</v>
      </c>
      <c r="H561" s="4" t="s">
        <v>651</v>
      </c>
      <c r="I561" s="4" t="s">
        <v>102</v>
      </c>
    </row>
    <row r="562" spans="1:43" x14ac:dyDescent="0.25">
      <c r="A562" s="161" t="str">
        <f t="shared" si="11"/>
        <v>FIGHTER_MIDEAST</v>
      </c>
      <c r="B562" s="9" t="s">
        <v>113</v>
      </c>
      <c r="C562" s="4" t="s">
        <v>690</v>
      </c>
      <c r="E562" s="4" t="s">
        <v>113</v>
      </c>
      <c r="F562" s="4" t="s">
        <v>113</v>
      </c>
      <c r="H562" s="4" t="s">
        <v>160</v>
      </c>
      <c r="I562" s="4" t="s">
        <v>102</v>
      </c>
    </row>
    <row r="563" spans="1:43" x14ac:dyDescent="0.25">
      <c r="A563" s="161" t="str">
        <f t="shared" si="11"/>
        <v>FIGHTER_EGYPT</v>
      </c>
      <c r="B563" s="9" t="s">
        <v>113</v>
      </c>
      <c r="C563" s="4" t="s">
        <v>712</v>
      </c>
      <c r="E563" s="4" t="s">
        <v>113</v>
      </c>
      <c r="F563" s="4" t="s">
        <v>113</v>
      </c>
      <c r="G563" s="14" t="s">
        <v>132</v>
      </c>
      <c r="H563" s="4" t="s">
        <v>278</v>
      </c>
      <c r="I563" s="4" t="s">
        <v>120</v>
      </c>
    </row>
    <row r="564" spans="1:43" x14ac:dyDescent="0.25">
      <c r="A564" s="161" t="str">
        <f t="shared" si="11"/>
        <v>FIGHTER_NORTHAF</v>
      </c>
      <c r="B564" s="9" t="s">
        <v>113</v>
      </c>
      <c r="C564" s="4" t="s">
        <v>2009</v>
      </c>
      <c r="D564" s="4" t="s">
        <v>715</v>
      </c>
      <c r="E564" s="4" t="s">
        <v>113</v>
      </c>
      <c r="F564" s="4" t="s">
        <v>113</v>
      </c>
      <c r="G564" s="14"/>
    </row>
    <row r="565" spans="1:43" x14ac:dyDescent="0.25">
      <c r="A565" s="161" t="str">
        <f t="shared" si="11"/>
        <v>FIGHTER_SWEDEN</v>
      </c>
      <c r="B565" s="9" t="s">
        <v>113</v>
      </c>
      <c r="C565" s="4" t="s">
        <v>739</v>
      </c>
      <c r="E565" s="4" t="s">
        <v>113</v>
      </c>
      <c r="F565" s="4" t="s">
        <v>113</v>
      </c>
      <c r="G565" s="14" t="s">
        <v>132</v>
      </c>
      <c r="H565" s="4" t="s">
        <v>670</v>
      </c>
      <c r="I565" s="4" t="s">
        <v>102</v>
      </c>
    </row>
    <row r="566" spans="1:43" x14ac:dyDescent="0.25">
      <c r="A566" s="161" t="str">
        <f t="shared" si="11"/>
        <v>FIGHTER_OCEAN</v>
      </c>
      <c r="B566" s="9" t="s">
        <v>113</v>
      </c>
      <c r="C566" s="4" t="s">
        <v>994</v>
      </c>
      <c r="D566" s="4" t="s">
        <v>690</v>
      </c>
      <c r="E566" s="4" t="s">
        <v>113</v>
      </c>
      <c r="F566" s="4" t="s">
        <v>113</v>
      </c>
    </row>
    <row r="567" spans="1:43" x14ac:dyDescent="0.25">
      <c r="A567" s="161" t="str">
        <f t="shared" si="11"/>
        <v>FIGHTER_SAHUL</v>
      </c>
      <c r="B567" s="9" t="s">
        <v>113</v>
      </c>
      <c r="C567" s="4" t="s">
        <v>1787</v>
      </c>
      <c r="D567" s="4" t="s">
        <v>1302</v>
      </c>
      <c r="E567" s="4" t="s">
        <v>113</v>
      </c>
      <c r="F567" s="4" t="s">
        <v>113</v>
      </c>
    </row>
    <row r="568" spans="1:43" x14ac:dyDescent="0.25">
      <c r="A568" s="161" t="str">
        <f t="shared" si="11"/>
        <v>FIGHTER_SEASIA</v>
      </c>
      <c r="B568" s="9" t="s">
        <v>113</v>
      </c>
      <c r="C568" s="4" t="s">
        <v>696</v>
      </c>
      <c r="D568" s="4" t="s">
        <v>715</v>
      </c>
      <c r="E568" s="4" t="s">
        <v>113</v>
      </c>
      <c r="F568" s="4" t="s">
        <v>113</v>
      </c>
    </row>
    <row r="569" spans="1:43" x14ac:dyDescent="0.25">
      <c r="A569" s="161" t="str">
        <f t="shared" si="11"/>
        <v>FIGHTER_SOUTHAM</v>
      </c>
      <c r="B569" s="9" t="s">
        <v>113</v>
      </c>
      <c r="C569" s="4" t="s">
        <v>691</v>
      </c>
      <c r="D569" s="4" t="s">
        <v>690</v>
      </c>
      <c r="E569" s="4" t="s">
        <v>113</v>
      </c>
      <c r="F569" s="4" t="s">
        <v>113</v>
      </c>
    </row>
    <row r="570" spans="1:43" x14ac:dyDescent="0.25">
      <c r="A570" s="161" t="str">
        <f t="shared" si="11"/>
        <v>FIGHTER_SOUTHAS</v>
      </c>
      <c r="B570" s="9" t="s">
        <v>113</v>
      </c>
      <c r="C570" s="4" t="s">
        <v>695</v>
      </c>
      <c r="D570" s="4" t="s">
        <v>713</v>
      </c>
      <c r="E570" s="4" t="s">
        <v>113</v>
      </c>
      <c r="F570" s="4" t="s">
        <v>113</v>
      </c>
    </row>
    <row r="571" spans="1:43" x14ac:dyDescent="0.25">
      <c r="A571" s="161" t="str">
        <f t="shared" ref="A571:A637" si="12">CONCATENATE(E571,IF(ISBLANK(C571),"",CONCATENATE("_",C571)))</f>
        <v>FRIGATE</v>
      </c>
      <c r="B571" s="9" t="s">
        <v>753</v>
      </c>
      <c r="C571" s="5"/>
      <c r="D571" s="5"/>
      <c r="E571" s="5" t="s">
        <v>753</v>
      </c>
      <c r="F571" s="5" t="s">
        <v>753</v>
      </c>
      <c r="G571" s="5"/>
      <c r="H571" s="5" t="s">
        <v>31</v>
      </c>
      <c r="I571" s="5" t="s">
        <v>128</v>
      </c>
      <c r="J571" s="6"/>
      <c r="K571" s="7"/>
      <c r="L571" s="13" t="s">
        <v>1711</v>
      </c>
      <c r="M571" s="8"/>
      <c r="N571" s="13" t="s">
        <v>1726</v>
      </c>
      <c r="O571" s="13"/>
      <c r="P571" s="13"/>
      <c r="Q571" s="7">
        <v>1</v>
      </c>
      <c r="R571" s="6" t="s">
        <v>1736</v>
      </c>
      <c r="S571" s="13"/>
      <c r="T571" s="7">
        <v>2</v>
      </c>
      <c r="U571" s="6">
        <v>0.115</v>
      </c>
      <c r="V571" s="5" t="s">
        <v>1699</v>
      </c>
      <c r="W571" s="6"/>
      <c r="X571" s="6"/>
      <c r="Y571" s="5"/>
      <c r="Z571" s="6"/>
      <c r="AA571" s="6"/>
      <c r="AB571" s="5"/>
      <c r="AC571" s="6"/>
      <c r="AD571" s="6"/>
      <c r="AE571" s="5"/>
      <c r="AF571" s="6"/>
      <c r="AG571" s="6"/>
      <c r="AH571" s="5"/>
      <c r="AI571" s="6"/>
      <c r="AJ571" s="6"/>
      <c r="AK571" s="5"/>
      <c r="AL571" s="5"/>
      <c r="AM571" s="5"/>
      <c r="AN571" s="5"/>
      <c r="AO571" s="5"/>
      <c r="AP571" s="5"/>
      <c r="AQ571" s="5"/>
    </row>
    <row r="572" spans="1:43" x14ac:dyDescent="0.25">
      <c r="A572" s="161" t="str">
        <f t="shared" si="12"/>
        <v>GADRAUHTS_SWORDSMAN</v>
      </c>
      <c r="C572" s="5"/>
      <c r="D572" s="5"/>
      <c r="E572" s="5" t="s">
        <v>1340</v>
      </c>
      <c r="F572" s="5" t="s">
        <v>1340</v>
      </c>
      <c r="G572" s="5"/>
      <c r="H572" s="5" t="s">
        <v>1441</v>
      </c>
      <c r="I572" s="5" t="s">
        <v>128</v>
      </c>
      <c r="J572" s="6"/>
      <c r="K572" s="6"/>
      <c r="L572" s="13" t="s">
        <v>1707</v>
      </c>
      <c r="M572" s="8"/>
      <c r="N572" s="5"/>
      <c r="O572" s="5"/>
      <c r="P572" s="5"/>
      <c r="Q572" s="7">
        <v>10</v>
      </c>
      <c r="R572" s="6" t="s">
        <v>1736</v>
      </c>
      <c r="S572" s="13" t="s">
        <v>1619</v>
      </c>
      <c r="T572" s="7" t="s">
        <v>1736</v>
      </c>
      <c r="U572" s="7" t="s">
        <v>1736</v>
      </c>
      <c r="V572" s="5"/>
      <c r="W572" s="6" t="s">
        <v>3</v>
      </c>
      <c r="X572" s="6" t="s">
        <v>3</v>
      </c>
      <c r="Y572" s="5"/>
      <c r="Z572" s="6">
        <v>1</v>
      </c>
      <c r="AA572" s="6"/>
      <c r="AB572" s="5"/>
      <c r="AC572" s="6"/>
      <c r="AD572" s="6" t="s">
        <v>3</v>
      </c>
      <c r="AE572" s="5"/>
      <c r="AF572" s="7" t="s">
        <v>1736</v>
      </c>
      <c r="AG572" s="6"/>
      <c r="AH572" s="5"/>
      <c r="AI572" s="7">
        <v>6</v>
      </c>
      <c r="AJ572" s="6"/>
      <c r="AK572" s="5"/>
      <c r="AL572" s="5"/>
      <c r="AM572" s="5"/>
      <c r="AN572" s="5"/>
      <c r="AO572" s="5"/>
      <c r="AP572" s="5"/>
      <c r="AQ572" s="5"/>
    </row>
    <row r="573" spans="1:43" x14ac:dyDescent="0.25">
      <c r="A573" s="161" t="str">
        <f t="shared" si="12"/>
        <v>GALLEASS</v>
      </c>
      <c r="B573" s="9" t="s">
        <v>754</v>
      </c>
      <c r="C573" s="5"/>
      <c r="D573" s="5"/>
      <c r="E573" s="5" t="s">
        <v>754</v>
      </c>
      <c r="F573" s="5" t="s">
        <v>754</v>
      </c>
      <c r="G573" s="5"/>
      <c r="H573" s="5" t="s">
        <v>1278</v>
      </c>
      <c r="I573" s="5" t="s">
        <v>128</v>
      </c>
      <c r="J573" s="6"/>
      <c r="K573" s="7"/>
      <c r="L573" s="13" t="s">
        <v>1711</v>
      </c>
      <c r="M573" s="8"/>
      <c r="N573" s="13" t="s">
        <v>1726</v>
      </c>
      <c r="O573" s="13"/>
      <c r="P573" s="13"/>
      <c r="Q573" s="7">
        <v>1</v>
      </c>
      <c r="R573" s="6" t="s">
        <v>1736</v>
      </c>
      <c r="S573" s="5"/>
      <c r="T573" s="7">
        <v>3</v>
      </c>
      <c r="U573" s="7" t="s">
        <v>1736</v>
      </c>
      <c r="V573" s="5" t="s">
        <v>1697</v>
      </c>
      <c r="W573" s="6"/>
      <c r="X573" s="6"/>
      <c r="Y573" s="5"/>
      <c r="Z573" s="6"/>
      <c r="AA573" s="6"/>
      <c r="AB573" s="5"/>
      <c r="AC573" s="6"/>
      <c r="AD573" s="6"/>
      <c r="AE573" s="5"/>
      <c r="AF573" s="6"/>
      <c r="AG573" s="6"/>
      <c r="AH573" s="5"/>
      <c r="AI573" s="6"/>
      <c r="AJ573" s="6"/>
      <c r="AK573" s="5"/>
      <c r="AL573" s="5"/>
      <c r="AM573" s="5"/>
      <c r="AN573" s="5"/>
      <c r="AO573" s="5"/>
      <c r="AP573" s="5"/>
      <c r="AQ573" s="5"/>
    </row>
    <row r="574" spans="1:43" x14ac:dyDescent="0.25">
      <c r="A574" s="161" t="str">
        <f t="shared" si="12"/>
        <v>GALLEON</v>
      </c>
      <c r="C574" s="5"/>
      <c r="D574" s="5"/>
      <c r="E574" s="5" t="s">
        <v>844</v>
      </c>
      <c r="F574" s="5" t="s">
        <v>844</v>
      </c>
      <c r="G574" s="5"/>
      <c r="H574" s="5" t="s">
        <v>850</v>
      </c>
      <c r="I574" s="5" t="s">
        <v>964</v>
      </c>
      <c r="J574" s="6"/>
      <c r="K574" s="7"/>
      <c r="L574" s="13" t="s">
        <v>1711</v>
      </c>
      <c r="M574" s="8"/>
      <c r="N574" s="13" t="s">
        <v>1726</v>
      </c>
      <c r="O574" s="13"/>
      <c r="P574" s="13"/>
      <c r="Q574" s="7">
        <v>2</v>
      </c>
      <c r="R574" s="6" t="s">
        <v>1694</v>
      </c>
      <c r="S574" s="13" t="s">
        <v>1612</v>
      </c>
      <c r="T574" s="7">
        <v>3</v>
      </c>
      <c r="U574" s="6">
        <v>0.115</v>
      </c>
      <c r="V574" s="5" t="s">
        <v>1695</v>
      </c>
      <c r="W574" s="6"/>
      <c r="X574" s="6"/>
      <c r="Y574" s="5"/>
      <c r="Z574" s="6">
        <v>1</v>
      </c>
      <c r="AA574" s="6"/>
      <c r="AB574" s="5"/>
      <c r="AC574" s="6"/>
      <c r="AD574" s="6"/>
      <c r="AE574" s="5"/>
      <c r="AF574" s="6"/>
      <c r="AG574" s="6"/>
      <c r="AH574" s="5"/>
      <c r="AI574" s="6"/>
      <c r="AJ574" s="6"/>
      <c r="AK574" s="5"/>
      <c r="AL574" s="5"/>
      <c r="AM574" s="5"/>
      <c r="AN574" s="5"/>
      <c r="AO574" s="5"/>
      <c r="AP574" s="5"/>
      <c r="AQ574" s="5"/>
    </row>
    <row r="575" spans="1:43" x14ac:dyDescent="0.25">
      <c r="A575" s="161" t="str">
        <f t="shared" si="12"/>
        <v>GALLEON_AFRI</v>
      </c>
      <c r="C575" s="4" t="s">
        <v>694</v>
      </c>
      <c r="D575" s="4" t="s">
        <v>692</v>
      </c>
      <c r="E575" s="4" t="s">
        <v>844</v>
      </c>
      <c r="F575" s="4" t="s">
        <v>844</v>
      </c>
    </row>
    <row r="576" spans="1:43" x14ac:dyDescent="0.25">
      <c r="A576" s="161" t="str">
        <f t="shared" si="12"/>
        <v>GALLEON_AMER</v>
      </c>
      <c r="C576" s="4" t="s">
        <v>697</v>
      </c>
      <c r="D576" s="4" t="s">
        <v>689</v>
      </c>
      <c r="E576" s="4" t="s">
        <v>844</v>
      </c>
      <c r="F576" s="4" t="s">
        <v>844</v>
      </c>
    </row>
    <row r="577" spans="1:21" x14ac:dyDescent="0.25">
      <c r="A577" s="161" t="str">
        <f t="shared" si="12"/>
        <v>GALLEON_ASIA</v>
      </c>
      <c r="C577" s="4" t="s">
        <v>693</v>
      </c>
      <c r="E577" s="4" t="s">
        <v>844</v>
      </c>
      <c r="F577" s="4" t="s">
        <v>844</v>
      </c>
      <c r="H577" s="4" t="s">
        <v>852</v>
      </c>
      <c r="I577" s="4" t="s">
        <v>1052</v>
      </c>
      <c r="R577" s="11">
        <v>0.11</v>
      </c>
      <c r="U577" s="11">
        <v>9.5000000000000001E-2</v>
      </c>
    </row>
    <row r="578" spans="1:21" x14ac:dyDescent="0.25">
      <c r="A578" s="161" t="str">
        <f t="shared" si="12"/>
        <v>GALLEON_CENTAS</v>
      </c>
      <c r="C578" s="4" t="s">
        <v>918</v>
      </c>
      <c r="D578" s="4" t="s">
        <v>692</v>
      </c>
      <c r="E578" s="4" t="s">
        <v>844</v>
      </c>
      <c r="F578" s="4" t="s">
        <v>844</v>
      </c>
      <c r="G578" s="14"/>
      <c r="H578" s="14"/>
      <c r="J578" s="167"/>
    </row>
    <row r="579" spans="1:21" x14ac:dyDescent="0.25">
      <c r="A579" s="161" t="str">
        <f t="shared" si="12"/>
        <v>GALLEON_EASTEU</v>
      </c>
      <c r="C579" s="4" t="s">
        <v>698</v>
      </c>
      <c r="D579" s="4" t="s">
        <v>689</v>
      </c>
      <c r="E579" s="4" t="s">
        <v>844</v>
      </c>
      <c r="F579" s="4" t="s">
        <v>844</v>
      </c>
    </row>
    <row r="580" spans="1:21" x14ac:dyDescent="0.25">
      <c r="A580" s="161" t="str">
        <f t="shared" si="12"/>
        <v>GALLEON_RUSSIA</v>
      </c>
      <c r="C580" s="4" t="s">
        <v>735</v>
      </c>
      <c r="E580" s="4" t="s">
        <v>844</v>
      </c>
      <c r="F580" s="4" t="s">
        <v>844</v>
      </c>
      <c r="H580" s="4" t="s">
        <v>983</v>
      </c>
      <c r="I580" s="4" t="s">
        <v>991</v>
      </c>
    </row>
    <row r="581" spans="1:21" x14ac:dyDescent="0.25">
      <c r="A581" s="161" t="str">
        <f t="shared" si="12"/>
        <v>GALLEON_ENGLAND</v>
      </c>
      <c r="C581" s="4" t="s">
        <v>713</v>
      </c>
      <c r="E581" s="4" t="s">
        <v>844</v>
      </c>
      <c r="F581" s="4" t="s">
        <v>844</v>
      </c>
      <c r="H581" s="4" t="s">
        <v>987</v>
      </c>
      <c r="I581" s="4" t="s">
        <v>991</v>
      </c>
    </row>
    <row r="582" spans="1:21" x14ac:dyDescent="0.25">
      <c r="A582" s="161" t="str">
        <f t="shared" si="12"/>
        <v>GALLEON_FRANCE</v>
      </c>
      <c r="C582" s="4" t="s">
        <v>715</v>
      </c>
      <c r="E582" s="4" t="s">
        <v>844</v>
      </c>
      <c r="F582" s="4" t="s">
        <v>844</v>
      </c>
      <c r="H582" s="4" t="s">
        <v>988</v>
      </c>
      <c r="I582" s="4" t="s">
        <v>991</v>
      </c>
    </row>
    <row r="583" spans="1:21" x14ac:dyDescent="0.25">
      <c r="A583" s="161" t="str">
        <f t="shared" si="12"/>
        <v>GALLEON_GERMANY</v>
      </c>
      <c r="C583" s="4" t="s">
        <v>717</v>
      </c>
      <c r="E583" s="4" t="s">
        <v>844</v>
      </c>
      <c r="F583" s="4" t="s">
        <v>844</v>
      </c>
      <c r="H583" s="4" t="s">
        <v>989</v>
      </c>
      <c r="I583" s="4" t="s">
        <v>991</v>
      </c>
    </row>
    <row r="584" spans="1:21" x14ac:dyDescent="0.25">
      <c r="A584" s="161" t="str">
        <f t="shared" si="12"/>
        <v>GALLEON_MED</v>
      </c>
      <c r="C584" s="4" t="s">
        <v>692</v>
      </c>
      <c r="E584" s="4" t="s">
        <v>844</v>
      </c>
      <c r="F584" s="4" t="s">
        <v>844</v>
      </c>
      <c r="H584" s="4" t="s">
        <v>843</v>
      </c>
      <c r="I584" s="4" t="s">
        <v>964</v>
      </c>
    </row>
    <row r="585" spans="1:21" x14ac:dyDescent="0.25">
      <c r="A585" s="161" t="str">
        <f t="shared" si="12"/>
        <v>GALLEON_GREECE</v>
      </c>
      <c r="C585" s="4" t="s">
        <v>718</v>
      </c>
      <c r="E585" s="4" t="s">
        <v>844</v>
      </c>
      <c r="F585" s="4" t="s">
        <v>844</v>
      </c>
      <c r="H585" s="4" t="s">
        <v>990</v>
      </c>
      <c r="I585" s="4" t="s">
        <v>991</v>
      </c>
    </row>
    <row r="586" spans="1:21" x14ac:dyDescent="0.25">
      <c r="A586" s="161" t="str">
        <f t="shared" si="12"/>
        <v>GALLEON_PORTUGAL</v>
      </c>
      <c r="C586" s="4" t="s">
        <v>733</v>
      </c>
      <c r="E586" s="4" t="s">
        <v>844</v>
      </c>
      <c r="F586" s="4" t="s">
        <v>844</v>
      </c>
      <c r="H586" s="4" t="s">
        <v>981</v>
      </c>
      <c r="I586" s="4" t="s">
        <v>991</v>
      </c>
    </row>
    <row r="587" spans="1:21" x14ac:dyDescent="0.25">
      <c r="A587" s="161" t="str">
        <f t="shared" si="12"/>
        <v>GALLEON_ROME</v>
      </c>
      <c r="C587" s="4" t="s">
        <v>734</v>
      </c>
      <c r="E587" s="4" t="s">
        <v>844</v>
      </c>
      <c r="F587" s="4" t="s">
        <v>844</v>
      </c>
      <c r="H587" s="4" t="s">
        <v>982</v>
      </c>
      <c r="I587" s="4" t="s">
        <v>991</v>
      </c>
    </row>
    <row r="588" spans="1:21" x14ac:dyDescent="0.25">
      <c r="A588" s="161" t="str">
        <f t="shared" si="12"/>
        <v>GALLEON_SPAIN</v>
      </c>
      <c r="C588" s="4" t="s">
        <v>738</v>
      </c>
      <c r="E588" s="4" t="s">
        <v>844</v>
      </c>
      <c r="F588" s="4" t="s">
        <v>844</v>
      </c>
      <c r="H588" s="4" t="s">
        <v>984</v>
      </c>
      <c r="I588" s="4" t="s">
        <v>991</v>
      </c>
    </row>
    <row r="589" spans="1:21" x14ac:dyDescent="0.25">
      <c r="A589" s="161" t="str">
        <f t="shared" si="12"/>
        <v>GALLEON_MIDEAST</v>
      </c>
      <c r="C589" s="4" t="s">
        <v>690</v>
      </c>
      <c r="D589" s="4" t="s">
        <v>692</v>
      </c>
      <c r="E589" s="4" t="s">
        <v>844</v>
      </c>
      <c r="F589" s="4" t="s">
        <v>844</v>
      </c>
    </row>
    <row r="590" spans="1:21" x14ac:dyDescent="0.25">
      <c r="A590" s="161" t="str">
        <f t="shared" si="12"/>
        <v>GALLEON_NORTHEU</v>
      </c>
      <c r="C590" s="4" t="s">
        <v>962</v>
      </c>
      <c r="D590" s="4" t="s">
        <v>689</v>
      </c>
      <c r="E590" s="4" t="s">
        <v>844</v>
      </c>
      <c r="F590" s="4" t="s">
        <v>844</v>
      </c>
    </row>
    <row r="591" spans="1:21" x14ac:dyDescent="0.25">
      <c r="A591" s="161" t="str">
        <f t="shared" si="12"/>
        <v>GALLEON_DENMARK</v>
      </c>
      <c r="C591" s="4" t="s">
        <v>711</v>
      </c>
      <c r="E591" s="4" t="s">
        <v>844</v>
      </c>
      <c r="F591" s="4" t="s">
        <v>844</v>
      </c>
      <c r="H591" s="4" t="s">
        <v>986</v>
      </c>
      <c r="I591" s="4" t="s">
        <v>991</v>
      </c>
    </row>
    <row r="592" spans="1:21" x14ac:dyDescent="0.25">
      <c r="A592" s="161" t="str">
        <f t="shared" si="12"/>
        <v>GALLEON_SWEDEN</v>
      </c>
      <c r="C592" s="4" t="s">
        <v>739</v>
      </c>
      <c r="E592" s="4" t="s">
        <v>844</v>
      </c>
      <c r="F592" s="4" t="s">
        <v>844</v>
      </c>
      <c r="H592" s="4" t="s">
        <v>985</v>
      </c>
      <c r="I592" s="4" t="s">
        <v>991</v>
      </c>
    </row>
    <row r="593" spans="1:43" x14ac:dyDescent="0.25">
      <c r="A593" s="161" t="str">
        <f t="shared" si="12"/>
        <v>GALLEON_OCEAN</v>
      </c>
      <c r="C593" s="4" t="s">
        <v>994</v>
      </c>
      <c r="D593" s="4" t="s">
        <v>689</v>
      </c>
      <c r="E593" s="4" t="s">
        <v>844</v>
      </c>
      <c r="F593" s="4" t="s">
        <v>844</v>
      </c>
    </row>
    <row r="594" spans="1:43" x14ac:dyDescent="0.25">
      <c r="A594" s="161" t="str">
        <f t="shared" si="12"/>
        <v>GALLEON_SEASIA</v>
      </c>
      <c r="C594" s="4" t="s">
        <v>696</v>
      </c>
      <c r="D594" s="4" t="s">
        <v>693</v>
      </c>
      <c r="E594" s="4" t="s">
        <v>844</v>
      </c>
      <c r="F594" s="4" t="s">
        <v>844</v>
      </c>
    </row>
    <row r="595" spans="1:43" x14ac:dyDescent="0.25">
      <c r="A595" s="161" t="str">
        <f t="shared" si="12"/>
        <v>GALLEON_SOUTHAM</v>
      </c>
      <c r="C595" s="4" t="s">
        <v>691</v>
      </c>
      <c r="D595" s="4" t="s">
        <v>689</v>
      </c>
      <c r="E595" s="4" t="s">
        <v>844</v>
      </c>
      <c r="F595" s="4" t="s">
        <v>844</v>
      </c>
    </row>
    <row r="596" spans="1:43" x14ac:dyDescent="0.25">
      <c r="A596" s="161" t="str">
        <f t="shared" si="12"/>
        <v>GALLEON_SOUTHAS</v>
      </c>
      <c r="C596" s="4" t="s">
        <v>695</v>
      </c>
      <c r="D596" s="4" t="s">
        <v>692</v>
      </c>
      <c r="E596" s="4" t="s">
        <v>844</v>
      </c>
      <c r="F596" s="4" t="s">
        <v>844</v>
      </c>
    </row>
    <row r="597" spans="1:43" x14ac:dyDescent="0.25">
      <c r="A597" s="161" t="str">
        <f t="shared" si="12"/>
        <v>GALLEY</v>
      </c>
      <c r="C597" s="5"/>
      <c r="D597" s="5"/>
      <c r="E597" s="5" t="s">
        <v>784</v>
      </c>
      <c r="F597" s="5" t="s">
        <v>784</v>
      </c>
      <c r="G597" s="5"/>
      <c r="H597" s="5" t="s">
        <v>1118</v>
      </c>
      <c r="I597" s="5" t="s">
        <v>128</v>
      </c>
      <c r="J597" s="6"/>
      <c r="K597" s="7"/>
      <c r="L597" s="13" t="s">
        <v>1711</v>
      </c>
      <c r="M597" s="8"/>
      <c r="N597" s="13" t="s">
        <v>1726</v>
      </c>
      <c r="O597" s="13"/>
      <c r="P597" s="13"/>
      <c r="Q597" s="7">
        <v>2</v>
      </c>
      <c r="R597" s="6" t="s">
        <v>1736</v>
      </c>
      <c r="S597" s="13" t="s">
        <v>1612</v>
      </c>
      <c r="T597" s="7">
        <v>5</v>
      </c>
      <c r="U597" s="7">
        <v>0.1</v>
      </c>
      <c r="V597" s="5" t="s">
        <v>1695</v>
      </c>
      <c r="W597" s="6"/>
      <c r="X597" s="6"/>
      <c r="Y597" s="5"/>
      <c r="Z597" s="6">
        <v>1</v>
      </c>
      <c r="AA597" s="6"/>
      <c r="AB597" s="5"/>
      <c r="AC597" s="6"/>
      <c r="AD597" s="6"/>
      <c r="AE597" s="5"/>
      <c r="AF597" s="6"/>
      <c r="AG597" s="6"/>
      <c r="AH597" s="5"/>
      <c r="AI597" s="6"/>
      <c r="AJ597" s="6"/>
      <c r="AK597" s="5"/>
      <c r="AL597" s="5"/>
      <c r="AM597" s="5"/>
      <c r="AN597" s="5"/>
      <c r="AO597" s="5"/>
      <c r="AP597" s="5"/>
      <c r="AQ597" s="5"/>
    </row>
    <row r="598" spans="1:43" x14ac:dyDescent="0.25">
      <c r="A598" s="161" t="str">
        <f t="shared" si="12"/>
        <v>GALLEY_AFRI</v>
      </c>
      <c r="C598" s="4" t="s">
        <v>694</v>
      </c>
      <c r="D598" s="4" t="s">
        <v>690</v>
      </c>
      <c r="E598" s="4" t="s">
        <v>784</v>
      </c>
      <c r="F598" s="4" t="s">
        <v>784</v>
      </c>
    </row>
    <row r="599" spans="1:43" x14ac:dyDescent="0.25">
      <c r="A599" s="161" t="str">
        <f t="shared" si="12"/>
        <v>GALLEY_AMER</v>
      </c>
      <c r="C599" s="4" t="s">
        <v>697</v>
      </c>
      <c r="E599" s="4" t="s">
        <v>784</v>
      </c>
      <c r="F599" s="4" t="s">
        <v>784</v>
      </c>
      <c r="H599" s="4" t="s">
        <v>858</v>
      </c>
      <c r="I599" s="4" t="s">
        <v>965</v>
      </c>
      <c r="R599" s="11">
        <v>0.1</v>
      </c>
      <c r="U599" s="11">
        <v>0.1</v>
      </c>
    </row>
    <row r="600" spans="1:43" x14ac:dyDescent="0.25">
      <c r="A600" s="161" t="str">
        <f t="shared" si="12"/>
        <v>GALLEY_CENTAS</v>
      </c>
      <c r="C600" s="4" t="s">
        <v>918</v>
      </c>
      <c r="D600" s="4" t="s">
        <v>690</v>
      </c>
      <c r="E600" s="4" t="s">
        <v>784</v>
      </c>
      <c r="F600" s="4" t="s">
        <v>784</v>
      </c>
    </row>
    <row r="601" spans="1:43" x14ac:dyDescent="0.25">
      <c r="A601" s="161" t="str">
        <f t="shared" si="12"/>
        <v>GALLEY_MIDEAST</v>
      </c>
      <c r="C601" s="4" t="s">
        <v>690</v>
      </c>
      <c r="E601" s="4" t="s">
        <v>784</v>
      </c>
      <c r="F601" s="4" t="s">
        <v>784</v>
      </c>
      <c r="H601" s="4" t="s">
        <v>960</v>
      </c>
      <c r="I601" s="4" t="s">
        <v>966</v>
      </c>
      <c r="R601" s="11">
        <v>0.14499999999999999</v>
      </c>
      <c r="U601" s="11">
        <v>0.1</v>
      </c>
    </row>
    <row r="602" spans="1:43" x14ac:dyDescent="0.25">
      <c r="A602" s="161" t="str">
        <f t="shared" si="12"/>
        <v>GALLEY_NORTHEU</v>
      </c>
      <c r="C602" s="4" t="s">
        <v>962</v>
      </c>
      <c r="E602" s="4" t="s">
        <v>784</v>
      </c>
      <c r="F602" s="4" t="s">
        <v>784</v>
      </c>
      <c r="G602" s="14" t="s">
        <v>132</v>
      </c>
      <c r="H602" s="14" t="s">
        <v>992</v>
      </c>
      <c r="I602" s="4" t="s">
        <v>128</v>
      </c>
      <c r="J602" s="167"/>
      <c r="R602" s="11">
        <v>0.06</v>
      </c>
      <c r="U602" s="11">
        <v>5.5E-2</v>
      </c>
    </row>
    <row r="603" spans="1:43" x14ac:dyDescent="0.25">
      <c r="A603" s="161" t="str">
        <f t="shared" si="12"/>
        <v>GALLEY_OCEAN</v>
      </c>
      <c r="C603" s="4" t="s">
        <v>994</v>
      </c>
      <c r="E603" s="4" t="s">
        <v>784</v>
      </c>
      <c r="F603" s="4" t="s">
        <v>784</v>
      </c>
      <c r="G603" s="14"/>
      <c r="H603" s="14" t="s">
        <v>995</v>
      </c>
      <c r="I603" s="4" t="s">
        <v>128</v>
      </c>
      <c r="J603" s="167"/>
      <c r="R603" s="11">
        <v>0.05</v>
      </c>
      <c r="U603" s="11">
        <v>0.04</v>
      </c>
    </row>
    <row r="604" spans="1:43" x14ac:dyDescent="0.25">
      <c r="A604" s="161" t="str">
        <f t="shared" si="12"/>
        <v>GALLEY_SOUTHAM</v>
      </c>
      <c r="C604" s="4" t="s">
        <v>691</v>
      </c>
      <c r="E604" s="4" t="s">
        <v>784</v>
      </c>
      <c r="F604" s="4" t="s">
        <v>784</v>
      </c>
      <c r="H604" s="4" t="s">
        <v>194</v>
      </c>
      <c r="I604" s="4" t="s">
        <v>1054</v>
      </c>
      <c r="R604" s="11">
        <v>0.14499999999999999</v>
      </c>
      <c r="U604" s="11">
        <v>0.1</v>
      </c>
    </row>
    <row r="605" spans="1:43" x14ac:dyDescent="0.25">
      <c r="A605" s="161" t="str">
        <f t="shared" si="12"/>
        <v>GATLINGGUN</v>
      </c>
      <c r="B605" s="9" t="s">
        <v>755</v>
      </c>
      <c r="C605" s="5"/>
      <c r="D605" s="5"/>
      <c r="E605" s="5" t="s">
        <v>755</v>
      </c>
      <c r="F605" s="5" t="s">
        <v>755</v>
      </c>
      <c r="G605" s="5"/>
      <c r="H605" s="5" t="s">
        <v>1442</v>
      </c>
      <c r="I605" s="5" t="s">
        <v>128</v>
      </c>
      <c r="J605" s="6"/>
      <c r="K605" s="6"/>
      <c r="L605" s="13" t="s">
        <v>1707</v>
      </c>
      <c r="M605" s="8"/>
      <c r="N605" s="5"/>
      <c r="O605" s="5"/>
      <c r="P605" s="5"/>
      <c r="Q605" s="7">
        <v>3</v>
      </c>
      <c r="R605" s="6" t="s">
        <v>1694</v>
      </c>
      <c r="S605" s="13" t="s">
        <v>1610</v>
      </c>
      <c r="T605" s="6"/>
      <c r="U605" s="7" t="s">
        <v>1694</v>
      </c>
      <c r="V605" s="5"/>
      <c r="W605" s="6">
        <v>7</v>
      </c>
      <c r="X605" s="6" t="s">
        <v>3</v>
      </c>
      <c r="Y605" s="5"/>
      <c r="Z605" s="6">
        <v>1</v>
      </c>
      <c r="AA605" s="6"/>
      <c r="AB605" s="5"/>
      <c r="AC605" s="6"/>
      <c r="AD605" s="6" t="s">
        <v>3</v>
      </c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GENERAL</v>
      </c>
      <c r="B606" s="9" t="s">
        <v>2315</v>
      </c>
      <c r="C606" s="5"/>
      <c r="D606" s="5"/>
      <c r="E606" s="5" t="s">
        <v>1341</v>
      </c>
      <c r="F606" s="5" t="s">
        <v>1344</v>
      </c>
      <c r="G606" s="5"/>
      <c r="H606" s="5" t="s">
        <v>1475</v>
      </c>
      <c r="I606" s="5" t="s">
        <v>128</v>
      </c>
      <c r="J606" s="6">
        <v>1</v>
      </c>
      <c r="K606" s="6"/>
      <c r="L606" s="13" t="s">
        <v>1709</v>
      </c>
      <c r="M606" s="8"/>
      <c r="N606" s="5"/>
      <c r="O606" s="5"/>
      <c r="P606" s="5"/>
      <c r="Q606" s="7">
        <v>1</v>
      </c>
      <c r="R606" s="7" t="s">
        <v>1694</v>
      </c>
      <c r="S606" s="5"/>
      <c r="T606" s="6"/>
      <c r="U606" s="7" t="s">
        <v>1736</v>
      </c>
      <c r="V606" s="5"/>
      <c r="W606" s="6"/>
      <c r="X606" s="6" t="s">
        <v>3</v>
      </c>
      <c r="Y606" s="5"/>
      <c r="Z606" s="6"/>
      <c r="AA606" s="6"/>
      <c r="AB606" s="5"/>
      <c r="AC606" s="6"/>
      <c r="AD606" s="6" t="s">
        <v>3</v>
      </c>
      <c r="AE606" s="5"/>
      <c r="AF606" s="6"/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GENERAL_ROME</v>
      </c>
      <c r="B607" s="9" t="s">
        <v>2315</v>
      </c>
      <c r="C607" s="5" t="s">
        <v>734</v>
      </c>
      <c r="D607" s="5"/>
      <c r="E607" s="5" t="s">
        <v>1341</v>
      </c>
      <c r="F607" s="5" t="s">
        <v>1344</v>
      </c>
      <c r="G607" s="5"/>
      <c r="H607" s="5" t="s">
        <v>2014</v>
      </c>
      <c r="I607" s="5" t="s">
        <v>1969</v>
      </c>
      <c r="J607" s="6">
        <v>1</v>
      </c>
      <c r="K607" s="6"/>
      <c r="L607" s="13"/>
      <c r="M607" s="8"/>
      <c r="N607" s="5"/>
      <c r="O607" s="5"/>
      <c r="P607" s="5"/>
      <c r="Q607" s="7"/>
      <c r="R607" s="7"/>
      <c r="S607" s="5"/>
      <c r="T607" s="6"/>
      <c r="U607" s="7"/>
      <c r="V607" s="5"/>
      <c r="W607" s="6"/>
      <c r="X607" s="6"/>
      <c r="Y607" s="5"/>
      <c r="Z607" s="6"/>
      <c r="AA607" s="6"/>
      <c r="AB607" s="5"/>
      <c r="AC607" s="6"/>
      <c r="AD607" s="6"/>
      <c r="AE607" s="5"/>
      <c r="AF607" s="6"/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GENERAL_KHAN</v>
      </c>
      <c r="B608" s="9" t="s">
        <v>2379</v>
      </c>
      <c r="C608" s="5"/>
      <c r="D608" s="5"/>
      <c r="E608" s="5" t="s">
        <v>1342</v>
      </c>
      <c r="F608" s="5" t="s">
        <v>1345</v>
      </c>
      <c r="G608" s="5"/>
      <c r="H608" s="5" t="s">
        <v>1474</v>
      </c>
      <c r="I608" s="5" t="s">
        <v>128</v>
      </c>
      <c r="J608" s="6"/>
      <c r="K608" s="6"/>
      <c r="L608" s="13" t="s">
        <v>1709</v>
      </c>
      <c r="M608" s="8"/>
      <c r="N608" s="5"/>
      <c r="O608" s="5"/>
      <c r="P608" s="5"/>
      <c r="Q608" s="7">
        <v>1</v>
      </c>
      <c r="R608" s="7" t="s">
        <v>1694</v>
      </c>
      <c r="S608" s="5"/>
      <c r="T608" s="6"/>
      <c r="U608" s="7" t="s">
        <v>1694</v>
      </c>
      <c r="V608" s="5"/>
      <c r="W608" s="6"/>
      <c r="X608" s="6" t="s">
        <v>3</v>
      </c>
      <c r="Y608" s="5"/>
      <c r="Z608" s="6"/>
      <c r="AA608" s="6"/>
      <c r="AB608" s="5"/>
      <c r="AC608" s="6"/>
      <c r="AD608" s="6" t="s">
        <v>3</v>
      </c>
      <c r="AE608" s="5"/>
      <c r="AF608" s="6"/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GENERAL_LATE</v>
      </c>
      <c r="B609" s="9" t="s">
        <v>2315</v>
      </c>
      <c r="C609" s="5"/>
      <c r="D609" s="5"/>
      <c r="E609" s="5" t="s">
        <v>1343</v>
      </c>
      <c r="F609" s="5" t="s">
        <v>1346</v>
      </c>
      <c r="G609" s="5"/>
      <c r="H609" s="5" t="s">
        <v>1476</v>
      </c>
      <c r="I609" s="5" t="s">
        <v>128</v>
      </c>
      <c r="J609" s="6"/>
      <c r="K609" s="6"/>
      <c r="L609" s="13" t="s">
        <v>1709</v>
      </c>
      <c r="M609" s="8"/>
      <c r="N609" s="5"/>
      <c r="O609" s="5"/>
      <c r="P609" s="5"/>
      <c r="Q609" s="7">
        <v>1</v>
      </c>
      <c r="R609" s="7" t="s">
        <v>1694</v>
      </c>
      <c r="S609" s="5"/>
      <c r="T609" s="6"/>
      <c r="U609" s="7" t="s">
        <v>1736</v>
      </c>
      <c r="V609" s="5"/>
      <c r="W609" s="6"/>
      <c r="X609" s="6" t="s">
        <v>3</v>
      </c>
      <c r="Y609" s="5"/>
      <c r="Z609" s="6"/>
      <c r="AA609" s="6"/>
      <c r="AB609" s="5"/>
      <c r="AC609" s="6"/>
      <c r="AD609" s="6" t="s">
        <v>3</v>
      </c>
      <c r="AE609" s="5"/>
      <c r="AF609" s="6"/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GREAT_ADMIRAL</v>
      </c>
      <c r="B610" s="9" t="s">
        <v>1347</v>
      </c>
      <c r="C610" s="5"/>
      <c r="D610" s="5"/>
      <c r="E610" s="5" t="s">
        <v>1347</v>
      </c>
      <c r="F610" s="5" t="s">
        <v>1347</v>
      </c>
      <c r="G610" s="5"/>
      <c r="H610" s="5" t="s">
        <v>1443</v>
      </c>
      <c r="I610" s="5" t="s">
        <v>128</v>
      </c>
      <c r="J610" s="6">
        <v>1</v>
      </c>
      <c r="K610" s="7"/>
      <c r="L610" s="13" t="s">
        <v>1711</v>
      </c>
      <c r="M610" s="8"/>
      <c r="N610" s="13" t="s">
        <v>1726</v>
      </c>
      <c r="O610" s="13"/>
      <c r="P610" s="13"/>
      <c r="Q610" s="7">
        <v>1</v>
      </c>
      <c r="R610" s="6">
        <v>0.125</v>
      </c>
      <c r="S610" s="13" t="s">
        <v>1694</v>
      </c>
      <c r="T610" s="6"/>
      <c r="U610" s="6">
        <v>0.1</v>
      </c>
      <c r="V610" s="5"/>
      <c r="W610" s="6"/>
      <c r="X610" s="6"/>
      <c r="Y610" s="5"/>
      <c r="Z610" s="6"/>
      <c r="AA610" s="6"/>
      <c r="AB610" s="5"/>
      <c r="AC610" s="6"/>
      <c r="AD610" s="6"/>
      <c r="AE610" s="5"/>
      <c r="AF610" s="6"/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GREAT_ADMIRAL_LATE</v>
      </c>
      <c r="B611" s="9" t="s">
        <v>1347</v>
      </c>
      <c r="C611" s="5"/>
      <c r="D611" s="5"/>
      <c r="E611" s="5" t="s">
        <v>1348</v>
      </c>
      <c r="F611" s="5" t="s">
        <v>1348</v>
      </c>
      <c r="G611" s="5"/>
      <c r="H611" s="5" t="s">
        <v>1123</v>
      </c>
      <c r="I611" s="5" t="s">
        <v>128</v>
      </c>
      <c r="J611" s="6"/>
      <c r="K611" s="7"/>
      <c r="L611" s="13" t="s">
        <v>1711</v>
      </c>
      <c r="M611" s="8"/>
      <c r="N611" s="13" t="s">
        <v>1726</v>
      </c>
      <c r="O611" s="13"/>
      <c r="P611" s="13"/>
      <c r="Q611" s="7">
        <v>1</v>
      </c>
      <c r="R611" s="6" t="s">
        <v>1694</v>
      </c>
      <c r="S611" s="13" t="s">
        <v>1694</v>
      </c>
      <c r="T611" s="6"/>
      <c r="U611" s="6">
        <v>0.1</v>
      </c>
      <c r="V611" s="5"/>
      <c r="W611" s="6"/>
      <c r="X611" s="6"/>
      <c r="Y611" s="5"/>
      <c r="Z611" s="6"/>
      <c r="AA611" s="6"/>
      <c r="AB611" s="5"/>
      <c r="AC611" s="6"/>
      <c r="AD611" s="6"/>
      <c r="AE611" s="5"/>
      <c r="AF611" s="6"/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GREAT_ARTIST</v>
      </c>
      <c r="B612" s="9" t="s">
        <v>1312</v>
      </c>
      <c r="C612" s="5"/>
      <c r="D612" s="5"/>
      <c r="E612" s="5" t="s">
        <v>1349</v>
      </c>
      <c r="F612" s="5" t="s">
        <v>1349</v>
      </c>
      <c r="G612" s="5"/>
      <c r="H612" s="5" t="s">
        <v>1444</v>
      </c>
      <c r="I612" s="5" t="s">
        <v>128</v>
      </c>
      <c r="J612" s="6">
        <v>1</v>
      </c>
      <c r="K612" s="6"/>
      <c r="L612" s="13" t="s">
        <v>1709</v>
      </c>
      <c r="M612" s="8"/>
      <c r="N612" s="5"/>
      <c r="O612" s="5"/>
      <c r="P612" s="5"/>
      <c r="Q612" s="6">
        <v>1</v>
      </c>
      <c r="R612" s="6" t="s">
        <v>1694</v>
      </c>
      <c r="S612" s="13" t="s">
        <v>1694</v>
      </c>
      <c r="T612" s="6">
        <v>1</v>
      </c>
      <c r="U612" s="7" t="s">
        <v>1736</v>
      </c>
      <c r="V612" s="5"/>
      <c r="W612" s="6"/>
      <c r="X612" s="6" t="s">
        <v>3</v>
      </c>
      <c r="Y612" s="5"/>
      <c r="Z612" s="6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 t="s">
        <v>2038</v>
      </c>
      <c r="H613" s="5" t="s">
        <v>1445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GREAT_ARTIST</v>
      </c>
      <c r="B614" s="9" t="s">
        <v>1312</v>
      </c>
      <c r="C614" s="5"/>
      <c r="D614" s="5"/>
      <c r="E614" s="5" t="s">
        <v>1349</v>
      </c>
      <c r="F614" s="5" t="s">
        <v>1349</v>
      </c>
      <c r="G614" s="5" t="s">
        <v>2039</v>
      </c>
      <c r="H614" s="5" t="s">
        <v>1446</v>
      </c>
      <c r="I614" s="5" t="s">
        <v>128</v>
      </c>
      <c r="J614" s="6">
        <v>1</v>
      </c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6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GREAT_ARTIST_POSTMODERN</v>
      </c>
      <c r="B615" s="9" t="s">
        <v>1312</v>
      </c>
      <c r="C615" s="5"/>
      <c r="D615" s="5"/>
      <c r="E615" s="5" t="s">
        <v>1350</v>
      </c>
      <c r="F615" s="5" t="s">
        <v>1355</v>
      </c>
      <c r="G615" s="5"/>
      <c r="H615" s="5" t="s">
        <v>1449</v>
      </c>
      <c r="I615" s="5" t="s">
        <v>128</v>
      </c>
      <c r="J615" s="6"/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 t="s">
        <v>2038</v>
      </c>
      <c r="H616" s="5" t="s">
        <v>1447</v>
      </c>
      <c r="I616" s="5" t="s">
        <v>128</v>
      </c>
      <c r="J616" s="6"/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GREAT_ARTIST_POSTMODERN</v>
      </c>
      <c r="B617" s="9" t="s">
        <v>1312</v>
      </c>
      <c r="C617" s="5"/>
      <c r="D617" s="5"/>
      <c r="E617" s="5" t="s">
        <v>1350</v>
      </c>
      <c r="F617" s="5" t="s">
        <v>1355</v>
      </c>
      <c r="G617" s="5" t="s">
        <v>2039</v>
      </c>
      <c r="H617" s="5" t="s">
        <v>1448</v>
      </c>
      <c r="I617" s="5" t="s">
        <v>128</v>
      </c>
      <c r="J617" s="6"/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1694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GREAT_MUSICIAN</v>
      </c>
      <c r="B618" s="9" t="s">
        <v>2316</v>
      </c>
      <c r="C618" s="5"/>
      <c r="D618" s="5"/>
      <c r="E618" s="5" t="s">
        <v>1351</v>
      </c>
      <c r="F618" s="5" t="s">
        <v>1351</v>
      </c>
      <c r="G618" s="5"/>
      <c r="H618" s="5" t="s">
        <v>1455</v>
      </c>
      <c r="I618" s="5" t="s">
        <v>128</v>
      </c>
      <c r="J618" s="6">
        <v>1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1613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GREAT_MUSICIAN</v>
      </c>
      <c r="B619" s="9" t="s">
        <v>2316</v>
      </c>
      <c r="C619" s="5"/>
      <c r="D619" s="5"/>
      <c r="E619" s="5" t="s">
        <v>1351</v>
      </c>
      <c r="F619" s="5" t="s">
        <v>1351</v>
      </c>
      <c r="G619" s="5" t="s">
        <v>2038</v>
      </c>
      <c r="H619" s="5" t="s">
        <v>1456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GREAT_MUSICIAN</v>
      </c>
      <c r="B620" s="9" t="s">
        <v>2316</v>
      </c>
      <c r="C620" s="5"/>
      <c r="D620" s="5"/>
      <c r="E620" s="5" t="s">
        <v>1351</v>
      </c>
      <c r="F620" s="5" t="s">
        <v>1351</v>
      </c>
      <c r="G620" s="5" t="s">
        <v>2039</v>
      </c>
      <c r="H620" s="5" t="s">
        <v>1453</v>
      </c>
      <c r="I620" s="5" t="s">
        <v>128</v>
      </c>
      <c r="J620" s="6">
        <v>1</v>
      </c>
      <c r="K620" s="6"/>
      <c r="L620" s="13" t="s">
        <v>1709</v>
      </c>
      <c r="M620" s="8"/>
      <c r="N620" s="5"/>
      <c r="O620" s="5"/>
      <c r="P620" s="5"/>
      <c r="Q620" s="6">
        <v>1</v>
      </c>
      <c r="R620" s="6" t="s">
        <v>1694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 t="shared" si="12"/>
        <v>GREAT_MUSICIAN_POSTMODERN</v>
      </c>
      <c r="B621" s="9" t="s">
        <v>2316</v>
      </c>
      <c r="C621" s="5"/>
      <c r="D621" s="5"/>
      <c r="E621" s="5" t="s">
        <v>1352</v>
      </c>
      <c r="F621" s="5" t="s">
        <v>1356</v>
      </c>
      <c r="G621" s="5"/>
      <c r="H621" s="5" t="s">
        <v>1457</v>
      </c>
      <c r="I621" s="5" t="s">
        <v>128</v>
      </c>
      <c r="J621" s="6"/>
      <c r="K621" s="6"/>
      <c r="L621" s="13" t="s">
        <v>1709</v>
      </c>
      <c r="M621" s="8"/>
      <c r="N621" s="5"/>
      <c r="O621" s="5"/>
      <c r="P621" s="5"/>
      <c r="Q621" s="6">
        <v>1</v>
      </c>
      <c r="R621" s="6">
        <v>0.125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 t="shared" si="12"/>
        <v>GREAT_MUSICIAN_POSTMODERN</v>
      </c>
      <c r="B622" s="9" t="s">
        <v>2316</v>
      </c>
      <c r="C622" s="5"/>
      <c r="D622" s="5"/>
      <c r="E622" s="5" t="s">
        <v>1352</v>
      </c>
      <c r="F622" s="5" t="s">
        <v>1356</v>
      </c>
      <c r="G622" s="5" t="s">
        <v>2038</v>
      </c>
      <c r="H622" s="5" t="s">
        <v>1458</v>
      </c>
      <c r="I622" s="5" t="s">
        <v>128</v>
      </c>
      <c r="J622" s="6"/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2"/>
        <v>GREAT_MUSICIAN_POSTMODERN</v>
      </c>
      <c r="B623" s="9" t="s">
        <v>2316</v>
      </c>
      <c r="C623" s="5"/>
      <c r="D623" s="5"/>
      <c r="E623" s="5" t="s">
        <v>1352</v>
      </c>
      <c r="F623" s="5" t="s">
        <v>1356</v>
      </c>
      <c r="G623" s="5" t="s">
        <v>2039</v>
      </c>
      <c r="H623" s="5" t="s">
        <v>1454</v>
      </c>
      <c r="I623" s="5" t="s">
        <v>128</v>
      </c>
      <c r="J623" s="6"/>
      <c r="K623" s="6"/>
      <c r="L623" s="13" t="s">
        <v>1709</v>
      </c>
      <c r="M623" s="8"/>
      <c r="N623" s="5"/>
      <c r="O623" s="5"/>
      <c r="P623" s="5"/>
      <c r="Q623" s="6">
        <v>1</v>
      </c>
      <c r="R623" s="6">
        <v>0.125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GREAT_PROPHET</v>
      </c>
      <c r="B624" s="9" t="s">
        <v>2317</v>
      </c>
      <c r="C624" s="5"/>
      <c r="D624" s="5"/>
      <c r="E624" s="5" t="s">
        <v>756</v>
      </c>
      <c r="F624" s="5" t="s">
        <v>756</v>
      </c>
      <c r="G624" s="5"/>
      <c r="H624" s="5" t="s">
        <v>1113</v>
      </c>
      <c r="I624" s="5" t="s">
        <v>128</v>
      </c>
      <c r="J624" s="6">
        <v>1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 t="s">
        <v>1694</v>
      </c>
      <c r="S624" s="13" t="s">
        <v>1613</v>
      </c>
      <c r="T624" s="6">
        <v>1</v>
      </c>
      <c r="U624" s="7" t="s">
        <v>1736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GREAT_PROPHET</v>
      </c>
      <c r="B625" s="9" t="s">
        <v>2317</v>
      </c>
      <c r="C625" s="5"/>
      <c r="D625" s="5"/>
      <c r="E625" s="5" t="s">
        <v>756</v>
      </c>
      <c r="F625" s="5" t="s">
        <v>756</v>
      </c>
      <c r="G625" s="5" t="s">
        <v>2054</v>
      </c>
      <c r="H625" s="5" t="s">
        <v>1459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1694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GREAT_PROPHET</v>
      </c>
      <c r="B626" s="9" t="s">
        <v>2317</v>
      </c>
      <c r="C626" s="5"/>
      <c r="D626" s="5"/>
      <c r="E626" s="5" t="s">
        <v>756</v>
      </c>
      <c r="F626" s="5" t="s">
        <v>756</v>
      </c>
      <c r="G626" s="5" t="s">
        <v>2055</v>
      </c>
      <c r="H626" s="5" t="s">
        <v>1460</v>
      </c>
      <c r="I626" s="5" t="s">
        <v>128</v>
      </c>
      <c r="J626" s="6">
        <v>1</v>
      </c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1736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>CONCATENATE(E627,IF(ISBLANK(C627),"",CONCATENATE("_",C627)))</f>
        <v>GREAT_PROPHET_RENAISSANCE</v>
      </c>
      <c r="B627" s="9" t="s">
        <v>2317</v>
      </c>
      <c r="C627" s="5"/>
      <c r="D627" s="5"/>
      <c r="E627" s="5" t="s">
        <v>2125</v>
      </c>
      <c r="F627" s="5" t="s">
        <v>756</v>
      </c>
      <c r="G627" s="5"/>
      <c r="H627" s="5" t="s">
        <v>1113</v>
      </c>
      <c r="I627" s="5" t="s">
        <v>128</v>
      </c>
      <c r="J627" s="6"/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1736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>CONCATENATE(E628,IF(ISBLANK(C628),"",CONCATENATE("_",C628)))</f>
        <v>GREAT_PROPHET_RENAISSANCE</v>
      </c>
      <c r="B628" s="9" t="s">
        <v>2317</v>
      </c>
      <c r="C628" s="5"/>
      <c r="D628" s="5"/>
      <c r="E628" s="5" t="s">
        <v>2125</v>
      </c>
      <c r="F628" s="5" t="s">
        <v>756</v>
      </c>
      <c r="G628" s="5" t="s">
        <v>2054</v>
      </c>
      <c r="H628" s="5" t="s">
        <v>1459</v>
      </c>
      <c r="I628" s="5" t="s">
        <v>128</v>
      </c>
      <c r="J628" s="6"/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1694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>CONCATENATE(E629,IF(ISBLANK(C629),"",CONCATENATE("_",C629)))</f>
        <v>GREAT_PROPHET_RENAISSANCE</v>
      </c>
      <c r="B629" s="9" t="s">
        <v>2317</v>
      </c>
      <c r="C629" s="5"/>
      <c r="D629" s="5"/>
      <c r="E629" s="5" t="s">
        <v>2125</v>
      </c>
      <c r="F629" s="5" t="s">
        <v>756</v>
      </c>
      <c r="G629" s="5" t="s">
        <v>2055</v>
      </c>
      <c r="H629" s="5" t="s">
        <v>1460</v>
      </c>
      <c r="I629" s="5" t="s">
        <v>128</v>
      </c>
      <c r="J629" s="6"/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1613</v>
      </c>
      <c r="T629" s="6">
        <v>1</v>
      </c>
      <c r="U629" s="7" t="s">
        <v>1736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GREAT_WRITER</v>
      </c>
      <c r="B630" s="9" t="s">
        <v>2318</v>
      </c>
      <c r="C630" s="5"/>
      <c r="D630" s="5"/>
      <c r="E630" s="5" t="s">
        <v>1353</v>
      </c>
      <c r="F630" s="5" t="s">
        <v>1353</v>
      </c>
      <c r="G630" s="5"/>
      <c r="H630" s="5" t="s">
        <v>1461</v>
      </c>
      <c r="I630" s="5" t="s">
        <v>128</v>
      </c>
      <c r="J630" s="6">
        <v>1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1694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1</v>
      </c>
      <c r="AA630" s="6"/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GREAT_WRITER</v>
      </c>
      <c r="B631" s="9" t="s">
        <v>2318</v>
      </c>
      <c r="C631" s="5"/>
      <c r="D631" s="5"/>
      <c r="E631" s="5" t="s">
        <v>1353</v>
      </c>
      <c r="F631" s="5" t="s">
        <v>1353</v>
      </c>
      <c r="G631" s="5" t="s">
        <v>2038</v>
      </c>
      <c r="H631" s="5" t="s">
        <v>1462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0</v>
      </c>
      <c r="AA631" s="6"/>
      <c r="AB631" s="5"/>
      <c r="AC631" s="6"/>
      <c r="AD631" s="6" t="s">
        <v>3</v>
      </c>
      <c r="AE631" s="5"/>
      <c r="AF631" s="6">
        <v>1</v>
      </c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si="12"/>
        <v>GREAT_WRITER</v>
      </c>
      <c r="B632" s="9" t="s">
        <v>2318</v>
      </c>
      <c r="C632" s="5"/>
      <c r="D632" s="5"/>
      <c r="E632" s="5" t="s">
        <v>1353</v>
      </c>
      <c r="F632" s="5" t="s">
        <v>1353</v>
      </c>
      <c r="G632" s="5" t="s">
        <v>2039</v>
      </c>
      <c r="H632" s="5" t="s">
        <v>1463</v>
      </c>
      <c r="I632" s="5" t="s">
        <v>128</v>
      </c>
      <c r="J632" s="6">
        <v>1</v>
      </c>
      <c r="K632" s="6"/>
      <c r="L632" s="13" t="s">
        <v>1709</v>
      </c>
      <c r="M632" s="8"/>
      <c r="N632" s="5"/>
      <c r="O632" s="5"/>
      <c r="P632" s="5"/>
      <c r="Q632" s="6">
        <v>1</v>
      </c>
      <c r="R632" s="6" t="s">
        <v>1694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0</v>
      </c>
      <c r="AA632" s="6"/>
      <c r="AB632" s="5"/>
      <c r="AC632" s="6"/>
      <c r="AD632" s="6" t="s">
        <v>3</v>
      </c>
      <c r="AE632" s="5"/>
      <c r="AF632" s="6">
        <v>0</v>
      </c>
      <c r="AG632" s="6"/>
      <c r="AH632" s="5"/>
      <c r="AI632" s="6"/>
      <c r="AJ632" s="6"/>
      <c r="AK632" s="5"/>
      <c r="AL632" s="5"/>
      <c r="AM632" s="5"/>
      <c r="AN632" s="5"/>
      <c r="AO632" s="5"/>
      <c r="AP632" s="5"/>
      <c r="AQ632" s="5"/>
    </row>
    <row r="633" spans="1:43" x14ac:dyDescent="0.25">
      <c r="A633" s="161" t="str">
        <f t="shared" si="12"/>
        <v>GREAT_WRITER_POSTMODERN</v>
      </c>
      <c r="B633" s="9" t="s">
        <v>2318</v>
      </c>
      <c r="C633" s="5"/>
      <c r="D633" s="5"/>
      <c r="E633" s="5" t="s">
        <v>1354</v>
      </c>
      <c r="F633" s="5" t="s">
        <v>1357</v>
      </c>
      <c r="G633" s="5"/>
      <c r="H633" s="5" t="s">
        <v>1465</v>
      </c>
      <c r="I633" s="5" t="s">
        <v>128</v>
      </c>
      <c r="J633" s="6"/>
      <c r="K633" s="6"/>
      <c r="L633" s="13" t="s">
        <v>1709</v>
      </c>
      <c r="M633" s="8"/>
      <c r="N633" s="5"/>
      <c r="O633" s="5"/>
      <c r="P633" s="5"/>
      <c r="Q633" s="6">
        <v>1</v>
      </c>
      <c r="R633" s="6">
        <v>0.125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2"/>
        <v>GREAT_WRITER_POSTMODERN</v>
      </c>
      <c r="B634" s="9" t="s">
        <v>2318</v>
      </c>
      <c r="C634" s="5"/>
      <c r="D634" s="5"/>
      <c r="E634" s="5" t="s">
        <v>1354</v>
      </c>
      <c r="F634" s="5" t="s">
        <v>1357</v>
      </c>
      <c r="G634" s="5" t="s">
        <v>2038</v>
      </c>
      <c r="H634" s="5" t="s">
        <v>1466</v>
      </c>
      <c r="I634" s="5" t="s">
        <v>128</v>
      </c>
      <c r="J634" s="6"/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0</v>
      </c>
      <c r="AA634" s="6"/>
      <c r="AB634" s="5"/>
      <c r="AC634" s="6"/>
      <c r="AD634" s="6" t="s">
        <v>3</v>
      </c>
      <c r="AE634" s="5"/>
      <c r="AF634" s="6">
        <v>1</v>
      </c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2"/>
        <v>GREAT_WRITER_POSTMODERN</v>
      </c>
      <c r="B635" s="9" t="s">
        <v>2318</v>
      </c>
      <c r="C635" s="5"/>
      <c r="D635" s="5"/>
      <c r="E635" s="5" t="s">
        <v>1354</v>
      </c>
      <c r="F635" s="5" t="s">
        <v>1357</v>
      </c>
      <c r="G635" s="5" t="s">
        <v>2039</v>
      </c>
      <c r="H635" s="5" t="s">
        <v>1464</v>
      </c>
      <c r="I635" s="5" t="s">
        <v>128</v>
      </c>
      <c r="J635" s="6"/>
      <c r="K635" s="6"/>
      <c r="L635" s="13" t="s">
        <v>1709</v>
      </c>
      <c r="M635" s="8"/>
      <c r="N635" s="5"/>
      <c r="O635" s="5"/>
      <c r="P635" s="5"/>
      <c r="Q635" s="6">
        <v>1</v>
      </c>
      <c r="R635" s="6">
        <v>0.125</v>
      </c>
      <c r="S635" s="13" t="s">
        <v>1694</v>
      </c>
      <c r="T635" s="6">
        <v>1</v>
      </c>
      <c r="U635" s="7" t="s">
        <v>1736</v>
      </c>
      <c r="V635" s="5"/>
      <c r="W635" s="6"/>
      <c r="X635" s="6" t="s">
        <v>3</v>
      </c>
      <c r="Y635" s="5"/>
      <c r="Z635" s="7">
        <v>0</v>
      </c>
      <c r="AA635" s="6"/>
      <c r="AB635" s="5"/>
      <c r="AC635" s="6"/>
      <c r="AD635" s="6" t="s">
        <v>3</v>
      </c>
      <c r="AE635" s="5"/>
      <c r="AF635" s="6">
        <v>0</v>
      </c>
      <c r="AG635" s="6"/>
      <c r="AH635" s="5"/>
      <c r="AI635" s="6"/>
      <c r="AJ635" s="6"/>
      <c r="AK635" s="5"/>
      <c r="AL635" s="5"/>
      <c r="AM635" s="5"/>
      <c r="AN635" s="5"/>
      <c r="AO635" s="5"/>
      <c r="AP635" s="5"/>
      <c r="AQ635" s="5"/>
    </row>
    <row r="636" spans="1:43" x14ac:dyDescent="0.25">
      <c r="A636" s="161" t="str">
        <f t="shared" si="12"/>
        <v>GUIDED_MISSILE</v>
      </c>
      <c r="B636" s="9" t="s">
        <v>757</v>
      </c>
      <c r="C636" s="5"/>
      <c r="D636" s="5"/>
      <c r="E636" s="5" t="s">
        <v>757</v>
      </c>
      <c r="F636" s="5" t="s">
        <v>792</v>
      </c>
      <c r="G636" s="5"/>
      <c r="H636" s="5" t="s">
        <v>1482</v>
      </c>
      <c r="I636" s="5" t="s">
        <v>128</v>
      </c>
      <c r="J636" s="6"/>
      <c r="K636" s="7"/>
      <c r="L636" s="13" t="s">
        <v>1710</v>
      </c>
      <c r="M636" s="8"/>
      <c r="N636" s="13" t="s">
        <v>1724</v>
      </c>
      <c r="O636" s="13"/>
      <c r="P636" s="13"/>
      <c r="Q636" s="7">
        <v>1</v>
      </c>
      <c r="R636" s="6" t="s">
        <v>1736</v>
      </c>
      <c r="S636" s="5"/>
      <c r="T636" s="6"/>
      <c r="U636" s="6"/>
      <c r="V636" s="5"/>
      <c r="W636" s="6"/>
      <c r="X636" s="6" t="s">
        <v>3</v>
      </c>
      <c r="Y636" s="5"/>
      <c r="Z636" s="6"/>
      <c r="AA636" s="6"/>
      <c r="AB636" s="5"/>
      <c r="AC636" s="6"/>
      <c r="AD636" s="6" t="s">
        <v>3</v>
      </c>
      <c r="AE636" s="5"/>
      <c r="AF636" s="6"/>
      <c r="AG636" s="6"/>
      <c r="AH636" s="5"/>
      <c r="AI636" s="6"/>
      <c r="AJ636" s="6"/>
      <c r="AK636" s="5"/>
      <c r="AL636" s="5"/>
      <c r="AM636" s="5"/>
      <c r="AN636" s="5"/>
      <c r="AO636" s="5"/>
      <c r="AP636" s="5"/>
      <c r="AQ636" s="5"/>
    </row>
    <row r="637" spans="1:43" x14ac:dyDescent="0.25">
      <c r="A637" s="161" t="str">
        <f t="shared" si="12"/>
        <v>GUIDED_MISSILE_AUSTRIA</v>
      </c>
      <c r="B637" s="9" t="s">
        <v>757</v>
      </c>
      <c r="C637" s="5" t="s">
        <v>701</v>
      </c>
      <c r="D637" s="5" t="s">
        <v>717</v>
      </c>
      <c r="E637" s="5" t="s">
        <v>757</v>
      </c>
      <c r="F637" s="5" t="s">
        <v>792</v>
      </c>
      <c r="G637" s="5"/>
      <c r="H637" s="5"/>
      <c r="I637" s="5"/>
      <c r="J637" s="6"/>
      <c r="K637" s="7"/>
      <c r="L637" s="13"/>
      <c r="M637" s="8"/>
      <c r="N637" s="13"/>
      <c r="O637" s="13"/>
      <c r="P637" s="13"/>
      <c r="Q637" s="7"/>
      <c r="R637" s="6"/>
      <c r="S637" s="5"/>
      <c r="T637" s="6"/>
      <c r="U637" s="6"/>
      <c r="V637" s="5"/>
      <c r="W637" s="6"/>
      <c r="X637" s="6"/>
      <c r="Y637" s="5"/>
      <c r="Z637" s="6"/>
      <c r="AA637" s="6"/>
      <c r="AB637" s="5"/>
      <c r="AC637" s="6"/>
      <c r="AD637" s="6"/>
      <c r="AE637" s="5"/>
      <c r="AF637" s="6"/>
      <c r="AG637" s="6"/>
      <c r="AH637" s="5"/>
      <c r="AI637" s="6"/>
      <c r="AJ637" s="6"/>
      <c r="AK637" s="5"/>
      <c r="AL637" s="5"/>
      <c r="AM637" s="5"/>
      <c r="AN637" s="5"/>
      <c r="AO637" s="5"/>
      <c r="AP637" s="5"/>
      <c r="AQ637" s="5"/>
    </row>
    <row r="638" spans="1:43" x14ac:dyDescent="0.25">
      <c r="A638" s="161" t="str">
        <f t="shared" ref="A638:A721" si="13">CONCATENATE(E638,IF(ISBLANK(C638),"",CONCATENATE("_",C638)))</f>
        <v>GUIDED_MISSILE_GERMANY</v>
      </c>
      <c r="B638" s="9" t="s">
        <v>757</v>
      </c>
      <c r="C638" s="4" t="s">
        <v>717</v>
      </c>
      <c r="E638" s="4" t="s">
        <v>757</v>
      </c>
      <c r="F638" s="4" t="s">
        <v>792</v>
      </c>
      <c r="G638" s="14" t="s">
        <v>132</v>
      </c>
      <c r="H638" s="4" t="s">
        <v>374</v>
      </c>
      <c r="I638" s="4" t="s">
        <v>966</v>
      </c>
    </row>
    <row r="639" spans="1:43" x14ac:dyDescent="0.25">
      <c r="A639" s="161" t="str">
        <f t="shared" si="13"/>
        <v>HAND_AXE_BARBARIAN</v>
      </c>
      <c r="B639" s="9" t="s">
        <v>2320</v>
      </c>
      <c r="C639" s="5"/>
      <c r="D639" s="5"/>
      <c r="E639" s="5" t="s">
        <v>1358</v>
      </c>
      <c r="F639" s="5" t="s">
        <v>1358</v>
      </c>
      <c r="G639" s="5"/>
      <c r="H639" s="5" t="s">
        <v>1483</v>
      </c>
      <c r="I639" s="5" t="s">
        <v>128</v>
      </c>
      <c r="J639" s="6"/>
      <c r="K639" s="6"/>
      <c r="L639" s="13" t="s">
        <v>1707</v>
      </c>
      <c r="M639" s="8"/>
      <c r="N639" s="5"/>
      <c r="O639" s="5"/>
      <c r="P639" s="5"/>
      <c r="Q639" s="7">
        <v>10</v>
      </c>
      <c r="R639" s="6" t="s">
        <v>1736</v>
      </c>
      <c r="S639" s="13" t="s">
        <v>44</v>
      </c>
      <c r="T639" s="6"/>
      <c r="U639" s="7" t="s">
        <v>1694</v>
      </c>
      <c r="V639" s="5"/>
      <c r="W639" s="6" t="s">
        <v>3</v>
      </c>
      <c r="X639" s="6" t="s">
        <v>3</v>
      </c>
      <c r="Y639" s="5"/>
      <c r="Z639" s="7">
        <v>1</v>
      </c>
      <c r="AA639" s="6"/>
      <c r="AB639" s="5"/>
      <c r="AC639" s="6"/>
      <c r="AD639" s="6" t="s">
        <v>3</v>
      </c>
      <c r="AE639" s="5"/>
      <c r="AF639" s="7" t="s">
        <v>1736</v>
      </c>
      <c r="AG639" s="6"/>
      <c r="AH639" s="5"/>
      <c r="AI639" s="7">
        <v>6</v>
      </c>
      <c r="AJ639" s="6"/>
      <c r="AK639" s="5"/>
      <c r="AL639" s="5"/>
      <c r="AM639" s="5"/>
      <c r="AN639" s="5"/>
      <c r="AO639" s="5"/>
      <c r="AP639" s="5"/>
      <c r="AQ639" s="5"/>
    </row>
    <row r="640" spans="1:43" x14ac:dyDescent="0.25">
      <c r="A640" s="161" t="str">
        <f t="shared" si="13"/>
        <v>HELICOPTER_GUNSHIP</v>
      </c>
      <c r="B640" s="9" t="s">
        <v>758</v>
      </c>
      <c r="C640" s="5"/>
      <c r="D640" s="5"/>
      <c r="E640" s="5" t="s">
        <v>758</v>
      </c>
      <c r="F640" s="5" t="s">
        <v>793</v>
      </c>
      <c r="G640" s="5"/>
      <c r="H640" s="5" t="s">
        <v>1484</v>
      </c>
      <c r="I640" s="5" t="s">
        <v>128</v>
      </c>
      <c r="J640" s="6"/>
      <c r="K640" s="7"/>
      <c r="L640" s="13" t="s">
        <v>1708</v>
      </c>
      <c r="M640" s="8"/>
      <c r="N640" s="13" t="s">
        <v>1725</v>
      </c>
      <c r="O640" s="13"/>
      <c r="P640" s="13"/>
      <c r="Q640" s="7">
        <v>1</v>
      </c>
      <c r="R640" s="6">
        <v>0.1</v>
      </c>
      <c r="S640" s="5"/>
      <c r="T640" s="6"/>
      <c r="U640" s="6">
        <v>0.1</v>
      </c>
      <c r="V640" s="5"/>
      <c r="W640" s="6" t="s">
        <v>3</v>
      </c>
      <c r="X640" s="6" t="s">
        <v>3</v>
      </c>
      <c r="Y640" s="5" t="s">
        <v>1722</v>
      </c>
      <c r="Z640" s="6"/>
      <c r="AA640" s="6"/>
      <c r="AB640" s="5"/>
      <c r="AC640" s="6"/>
      <c r="AD640" s="6" t="s">
        <v>3</v>
      </c>
      <c r="AE640" s="5"/>
      <c r="AF640" s="6"/>
      <c r="AG640" s="6"/>
      <c r="AH640" s="5"/>
      <c r="AI640" s="6"/>
      <c r="AJ640" s="6"/>
      <c r="AK640" s="5"/>
      <c r="AL640" s="5"/>
      <c r="AM640" s="5"/>
      <c r="AN640" s="5"/>
      <c r="AO640" s="5"/>
      <c r="AP640" s="5"/>
      <c r="AQ640" s="5"/>
    </row>
    <row r="641" spans="1:9" x14ac:dyDescent="0.25">
      <c r="A641" s="161" t="str">
        <f t="shared" si="13"/>
        <v>HELICOPTER_GUNSHIP_AFRI</v>
      </c>
      <c r="B641" s="9" t="s">
        <v>758</v>
      </c>
      <c r="C641" s="4" t="s">
        <v>694</v>
      </c>
      <c r="D641" s="4" t="s">
        <v>690</v>
      </c>
      <c r="E641" s="4" t="s">
        <v>758</v>
      </c>
      <c r="F641" s="4" t="s">
        <v>793</v>
      </c>
    </row>
    <row r="642" spans="1:9" x14ac:dyDescent="0.25">
      <c r="A642" s="161" t="str">
        <f t="shared" si="13"/>
        <v>HELICOPTER_GUNSHIP_ETHIOPIA</v>
      </c>
      <c r="B642" s="9" t="s">
        <v>758</v>
      </c>
      <c r="C642" s="4" t="s">
        <v>714</v>
      </c>
      <c r="E642" s="4" t="s">
        <v>758</v>
      </c>
      <c r="F642" s="4" t="s">
        <v>793</v>
      </c>
      <c r="G642" s="14" t="s">
        <v>132</v>
      </c>
      <c r="H642" s="4" t="s">
        <v>322</v>
      </c>
      <c r="I642" s="4" t="s">
        <v>120</v>
      </c>
    </row>
    <row r="643" spans="1:9" x14ac:dyDescent="0.25">
      <c r="A643" s="161" t="str">
        <f t="shared" si="13"/>
        <v>HELICOPTER_GUNSHIP_ZULU</v>
      </c>
      <c r="B643" s="9" t="s">
        <v>758</v>
      </c>
      <c r="C643" s="4" t="s">
        <v>742</v>
      </c>
      <c r="D643" s="4" t="s">
        <v>713</v>
      </c>
      <c r="E643" s="4" t="s">
        <v>758</v>
      </c>
      <c r="F643" s="4" t="s">
        <v>793</v>
      </c>
      <c r="G643" s="14"/>
    </row>
    <row r="644" spans="1:9" x14ac:dyDescent="0.25">
      <c r="A644" s="161" t="str">
        <f t="shared" si="13"/>
        <v>HELICOPTER_GUNSHIP_AMER</v>
      </c>
      <c r="B644" s="9" t="s">
        <v>758</v>
      </c>
      <c r="C644" s="4" t="s">
        <v>697</v>
      </c>
      <c r="D644" s="4" t="s">
        <v>699</v>
      </c>
      <c r="E644" s="4" t="s">
        <v>758</v>
      </c>
      <c r="F644" s="4" t="s">
        <v>793</v>
      </c>
      <c r="G644" s="14"/>
    </row>
    <row r="645" spans="1:9" x14ac:dyDescent="0.25">
      <c r="A645" s="161" t="str">
        <f t="shared" si="13"/>
        <v>HELICOPTER_GUNSHIP_ASIA</v>
      </c>
      <c r="B645" s="9" t="s">
        <v>758</v>
      </c>
      <c r="C645" s="4" t="s">
        <v>693</v>
      </c>
      <c r="D645" s="4" t="s">
        <v>698</v>
      </c>
      <c r="E645" s="4" t="s">
        <v>758</v>
      </c>
      <c r="F645" s="4" t="s">
        <v>793</v>
      </c>
    </row>
    <row r="646" spans="1:9" x14ac:dyDescent="0.25">
      <c r="A646" s="161" t="str">
        <f t="shared" si="13"/>
        <v>HELICOPTER_GUNSHIP_JAPAN</v>
      </c>
      <c r="B646" s="9" t="s">
        <v>758</v>
      </c>
      <c r="C646" s="4" t="s">
        <v>722</v>
      </c>
      <c r="E646" s="4" t="s">
        <v>758</v>
      </c>
      <c r="F646" s="4" t="s">
        <v>793</v>
      </c>
      <c r="G646" s="14" t="s">
        <v>132</v>
      </c>
      <c r="H646" s="4" t="s">
        <v>479</v>
      </c>
      <c r="I646" s="4" t="s">
        <v>120</v>
      </c>
    </row>
    <row r="647" spans="1:9" x14ac:dyDescent="0.25">
      <c r="A647" s="161" t="str">
        <f t="shared" si="13"/>
        <v>HELICOPTER_GUNSHIP_EASTEU</v>
      </c>
      <c r="B647" s="9" t="s">
        <v>758</v>
      </c>
      <c r="C647" s="4" t="s">
        <v>698</v>
      </c>
      <c r="E647" s="4" t="s">
        <v>758</v>
      </c>
      <c r="F647" s="4" t="s">
        <v>793</v>
      </c>
      <c r="G647" s="14"/>
      <c r="H647" s="4" t="s">
        <v>247</v>
      </c>
      <c r="I647" s="4" t="s">
        <v>120</v>
      </c>
    </row>
    <row r="648" spans="1:9" x14ac:dyDescent="0.25">
      <c r="A648" s="161" t="str">
        <f t="shared" si="13"/>
        <v>HELICOPTER_GUNSHIP_KIEV</v>
      </c>
      <c r="B648" s="9" t="s">
        <v>758</v>
      </c>
      <c r="C648" s="4" t="s">
        <v>1187</v>
      </c>
      <c r="E648" s="4" t="s">
        <v>758</v>
      </c>
      <c r="F648" s="4" t="s">
        <v>793</v>
      </c>
      <c r="G648" s="14"/>
      <c r="H648" s="4" t="s">
        <v>1943</v>
      </c>
      <c r="I648" s="4" t="s">
        <v>120</v>
      </c>
    </row>
    <row r="649" spans="1:9" x14ac:dyDescent="0.25">
      <c r="A649" s="161" t="str">
        <f t="shared" si="13"/>
        <v>HELICOPTER_GUNSHIP_POLAND</v>
      </c>
      <c r="B649" s="9" t="s">
        <v>758</v>
      </c>
      <c r="C649" s="4" t="s">
        <v>732</v>
      </c>
      <c r="E649" s="4" t="s">
        <v>758</v>
      </c>
      <c r="F649" s="4" t="s">
        <v>793</v>
      </c>
      <c r="G649" s="14" t="s">
        <v>132</v>
      </c>
      <c r="H649" s="4" t="s">
        <v>570</v>
      </c>
      <c r="I649" s="4" t="s">
        <v>120</v>
      </c>
    </row>
    <row r="650" spans="1:9" x14ac:dyDescent="0.25">
      <c r="A650" s="161" t="str">
        <f t="shared" si="13"/>
        <v>HELICOPTER_GUNSHIP_RUSSIA</v>
      </c>
      <c r="B650" s="9" t="s">
        <v>758</v>
      </c>
      <c r="C650" s="4" t="s">
        <v>735</v>
      </c>
      <c r="E650" s="4" t="s">
        <v>758</v>
      </c>
      <c r="F650" s="4" t="s">
        <v>793</v>
      </c>
      <c r="G650" s="14"/>
      <c r="H650" s="4" t="s">
        <v>1944</v>
      </c>
      <c r="I650" s="4" t="s">
        <v>120</v>
      </c>
    </row>
    <row r="651" spans="1:9" x14ac:dyDescent="0.25">
      <c r="A651" s="161" t="str">
        <f t="shared" si="13"/>
        <v>HELICOPTER_GUNSHIP_AMERICA</v>
      </c>
      <c r="B651" s="9" t="s">
        <v>758</v>
      </c>
      <c r="C651" s="4" t="s">
        <v>699</v>
      </c>
      <c r="E651" s="4" t="s">
        <v>758</v>
      </c>
      <c r="F651" s="4" t="s">
        <v>793</v>
      </c>
      <c r="G651" s="14"/>
      <c r="H651" s="4" t="s">
        <v>139</v>
      </c>
      <c r="I651" s="4" t="s">
        <v>120</v>
      </c>
    </row>
    <row r="652" spans="1:9" x14ac:dyDescent="0.25">
      <c r="A652" s="161" t="str">
        <f t="shared" si="13"/>
        <v>HELICOPTER_GUNSHIP_AUSTRALIA</v>
      </c>
      <c r="B652" s="9" t="s">
        <v>758</v>
      </c>
      <c r="C652" s="4" t="s">
        <v>1302</v>
      </c>
      <c r="E652" s="4" t="s">
        <v>758</v>
      </c>
      <c r="F652" s="4" t="s">
        <v>793</v>
      </c>
      <c r="G652" s="14"/>
      <c r="H652" s="4" t="s">
        <v>1303</v>
      </c>
      <c r="I652" s="4" t="s">
        <v>1050</v>
      </c>
    </row>
    <row r="653" spans="1:9" x14ac:dyDescent="0.25">
      <c r="A653" s="161" t="str">
        <f t="shared" si="13"/>
        <v>HELICOPTER_GUNSHIP_AUSTRIA</v>
      </c>
      <c r="B653" s="9" t="s">
        <v>758</v>
      </c>
      <c r="C653" s="4" t="s">
        <v>701</v>
      </c>
      <c r="E653" s="4" t="s">
        <v>758</v>
      </c>
      <c r="F653" s="4" t="s">
        <v>793</v>
      </c>
      <c r="G653" s="14"/>
      <c r="H653" s="4" t="s">
        <v>179</v>
      </c>
      <c r="I653" s="4" t="s">
        <v>1050</v>
      </c>
    </row>
    <row r="654" spans="1:9" x14ac:dyDescent="0.25">
      <c r="A654" s="161" t="str">
        <f t="shared" si="13"/>
        <v>HELICOPTER_GUNSHIP_CANADA</v>
      </c>
      <c r="B654" s="9" t="s">
        <v>758</v>
      </c>
      <c r="C654" s="4" t="s">
        <v>2207</v>
      </c>
      <c r="D654" s="4" t="s">
        <v>713</v>
      </c>
      <c r="E654" s="4" t="s">
        <v>758</v>
      </c>
      <c r="F654" s="4" t="s">
        <v>793</v>
      </c>
      <c r="G654" s="14"/>
    </row>
    <row r="655" spans="1:9" x14ac:dyDescent="0.25">
      <c r="A655" s="161" t="str">
        <f t="shared" si="13"/>
        <v>HELICOPTER_GUNSHIP_CELTS</v>
      </c>
      <c r="B655" s="9" t="s">
        <v>758</v>
      </c>
      <c r="C655" s="4" t="s">
        <v>709</v>
      </c>
      <c r="D655" s="4" t="s">
        <v>713</v>
      </c>
      <c r="E655" s="4" t="s">
        <v>758</v>
      </c>
      <c r="F655" s="4" t="s">
        <v>793</v>
      </c>
      <c r="G655" s="14"/>
    </row>
    <row r="656" spans="1:9" x14ac:dyDescent="0.25">
      <c r="A656" s="161" t="str">
        <f t="shared" si="13"/>
        <v>HELICOPTER_GUNSHIP_ENGLAND</v>
      </c>
      <c r="B656" s="9" t="s">
        <v>758</v>
      </c>
      <c r="C656" s="4" t="s">
        <v>713</v>
      </c>
      <c r="E656" s="4" t="s">
        <v>758</v>
      </c>
      <c r="F656" s="4" t="s">
        <v>793</v>
      </c>
      <c r="G656" s="14" t="s">
        <v>132</v>
      </c>
      <c r="H656" s="4" t="s">
        <v>298</v>
      </c>
      <c r="I656" s="4" t="s">
        <v>120</v>
      </c>
    </row>
    <row r="657" spans="1:9" x14ac:dyDescent="0.25">
      <c r="A657" s="161" t="str">
        <f t="shared" si="13"/>
        <v>HELICOPTER_GUNSHIP_FRANCE</v>
      </c>
      <c r="B657" s="9" t="s">
        <v>758</v>
      </c>
      <c r="C657" s="4" t="s">
        <v>715</v>
      </c>
      <c r="E657" s="4" t="s">
        <v>758</v>
      </c>
      <c r="F657" s="4" t="s">
        <v>793</v>
      </c>
      <c r="G657" s="14" t="s">
        <v>132</v>
      </c>
      <c r="H657" s="4" t="s">
        <v>344</v>
      </c>
      <c r="I657" s="4" t="s">
        <v>1050</v>
      </c>
    </row>
    <row r="658" spans="1:9" x14ac:dyDescent="0.25">
      <c r="A658" s="161" t="str">
        <f t="shared" si="13"/>
        <v>HELICOPTER_GUNSHIP_GERMANY</v>
      </c>
      <c r="B658" s="9" t="s">
        <v>758</v>
      </c>
      <c r="C658" s="4" t="s">
        <v>717</v>
      </c>
      <c r="E658" s="4" t="s">
        <v>758</v>
      </c>
      <c r="F658" s="4" t="s">
        <v>793</v>
      </c>
      <c r="G658" s="14" t="s">
        <v>132</v>
      </c>
      <c r="H658" s="4" t="s">
        <v>375</v>
      </c>
      <c r="I658" s="4" t="s">
        <v>1050</v>
      </c>
    </row>
    <row r="659" spans="1:9" x14ac:dyDescent="0.25">
      <c r="A659" s="161" t="str">
        <f t="shared" si="13"/>
        <v>HELICOPTER_GUNSHIP_NETHERLANDS</v>
      </c>
      <c r="B659" s="9" t="s">
        <v>758</v>
      </c>
      <c r="C659" s="4" t="s">
        <v>730</v>
      </c>
      <c r="E659" s="4" t="s">
        <v>758</v>
      </c>
      <c r="F659" s="4" t="s">
        <v>793</v>
      </c>
      <c r="G659" s="14" t="s">
        <v>132</v>
      </c>
      <c r="H659" s="4" t="s">
        <v>542</v>
      </c>
      <c r="I659" s="4" t="s">
        <v>1050</v>
      </c>
    </row>
    <row r="660" spans="1:9" x14ac:dyDescent="0.25">
      <c r="A660" s="161" t="str">
        <f t="shared" si="13"/>
        <v>HELICOPTER_GUNSHIP_GREECE</v>
      </c>
      <c r="B660" s="9" t="s">
        <v>758</v>
      </c>
      <c r="C660" s="4" t="s">
        <v>718</v>
      </c>
      <c r="E660" s="4" t="s">
        <v>758</v>
      </c>
      <c r="F660" s="4" t="s">
        <v>793</v>
      </c>
      <c r="G660" s="14" t="s">
        <v>132</v>
      </c>
      <c r="H660" s="4" t="s">
        <v>403</v>
      </c>
      <c r="I660" s="4" t="s">
        <v>120</v>
      </c>
    </row>
    <row r="661" spans="1:9" x14ac:dyDescent="0.25">
      <c r="A661" s="161" t="str">
        <f t="shared" si="13"/>
        <v>HELICOPTER_GUNSHIP_ROME</v>
      </c>
      <c r="B661" s="9" t="s">
        <v>758</v>
      </c>
      <c r="C661" s="4" t="s">
        <v>734</v>
      </c>
      <c r="E661" s="4" t="s">
        <v>758</v>
      </c>
      <c r="F661" s="4" t="s">
        <v>793</v>
      </c>
      <c r="G661" s="14" t="s">
        <v>132</v>
      </c>
      <c r="H661" s="4" t="s">
        <v>588</v>
      </c>
      <c r="I661" s="4" t="s">
        <v>1068</v>
      </c>
    </row>
    <row r="662" spans="1:9" x14ac:dyDescent="0.25">
      <c r="A662" s="161" t="str">
        <f t="shared" si="13"/>
        <v>HELICOPTER_GUNSHIP_SPAIN</v>
      </c>
      <c r="B662" s="9" t="s">
        <v>758</v>
      </c>
      <c r="C662" s="4" t="s">
        <v>738</v>
      </c>
      <c r="E662" s="4" t="s">
        <v>758</v>
      </c>
      <c r="F662" s="4" t="s">
        <v>793</v>
      </c>
      <c r="G662" s="14" t="s">
        <v>132</v>
      </c>
      <c r="H662" s="4" t="s">
        <v>652</v>
      </c>
      <c r="I662" s="4" t="s">
        <v>1050</v>
      </c>
    </row>
    <row r="663" spans="1:9" x14ac:dyDescent="0.25">
      <c r="A663" s="161" t="str">
        <f t="shared" si="13"/>
        <v>HELICOPTER_GUNSHIP_MIDEAST</v>
      </c>
      <c r="B663" s="9" t="s">
        <v>758</v>
      </c>
      <c r="C663" s="4" t="s">
        <v>690</v>
      </c>
      <c r="E663" s="4" t="s">
        <v>758</v>
      </c>
      <c r="F663" s="4" t="s">
        <v>793</v>
      </c>
      <c r="G663" s="14" t="s">
        <v>132</v>
      </c>
      <c r="H663" s="4" t="s">
        <v>228</v>
      </c>
      <c r="I663" s="4" t="s">
        <v>120</v>
      </c>
    </row>
    <row r="664" spans="1:9" x14ac:dyDescent="0.25">
      <c r="A664" s="161" t="str">
        <f t="shared" si="13"/>
        <v>HELICOPTER_GUNSHIP_ARABIA</v>
      </c>
      <c r="B664" s="9" t="s">
        <v>758</v>
      </c>
      <c r="C664" s="4" t="s">
        <v>700</v>
      </c>
      <c r="D664" s="14"/>
      <c r="E664" s="4" t="s">
        <v>758</v>
      </c>
      <c r="F664" s="4" t="s">
        <v>793</v>
      </c>
      <c r="G664" s="14"/>
      <c r="H664" s="4" t="s">
        <v>161</v>
      </c>
      <c r="I664" s="4" t="s">
        <v>120</v>
      </c>
    </row>
    <row r="665" spans="1:9" x14ac:dyDescent="0.25">
      <c r="A665" s="161" t="str">
        <f t="shared" si="13"/>
        <v>HELICOPTER_GUNSHIP_BABYLON</v>
      </c>
      <c r="B665" s="9" t="s">
        <v>758</v>
      </c>
      <c r="C665" s="4" t="s">
        <v>703</v>
      </c>
      <c r="E665" s="4" t="s">
        <v>758</v>
      </c>
      <c r="F665" s="4" t="s">
        <v>793</v>
      </c>
      <c r="G665" s="14"/>
      <c r="H665" s="4" t="s">
        <v>208</v>
      </c>
      <c r="I665" s="4" t="s">
        <v>120</v>
      </c>
    </row>
    <row r="666" spans="1:9" x14ac:dyDescent="0.25">
      <c r="A666" s="161" t="str">
        <f t="shared" si="13"/>
        <v>HELICOPTER_GUNSHIP_EGYPT</v>
      </c>
      <c r="B666" s="9" t="s">
        <v>758</v>
      </c>
      <c r="C666" s="4" t="s">
        <v>712</v>
      </c>
      <c r="E666" s="4" t="s">
        <v>758</v>
      </c>
      <c r="F666" s="4" t="s">
        <v>793</v>
      </c>
      <c r="G666" s="14" t="s">
        <v>132</v>
      </c>
      <c r="H666" s="4" t="s">
        <v>279</v>
      </c>
      <c r="I666" s="4" t="s">
        <v>120</v>
      </c>
    </row>
    <row r="667" spans="1:9" x14ac:dyDescent="0.25">
      <c r="A667" s="161" t="str">
        <f t="shared" si="13"/>
        <v>HELICOPTER_GUNSHIP_LEVANT</v>
      </c>
      <c r="B667" s="9" t="s">
        <v>758</v>
      </c>
      <c r="C667" s="4" t="s">
        <v>724</v>
      </c>
      <c r="D667" s="4" t="s">
        <v>699</v>
      </c>
      <c r="E667" s="4" t="s">
        <v>758</v>
      </c>
      <c r="F667" s="4" t="s">
        <v>793</v>
      </c>
      <c r="G667" s="14"/>
    </row>
    <row r="668" spans="1:9" x14ac:dyDescent="0.25">
      <c r="A668" s="161" t="str">
        <f>CONCATENATE(E668,IF(ISBLANK(C668),"",CONCATENATE("_",C668)))</f>
        <v>HELICOPTER_GUNSHIP_NORTHAF</v>
      </c>
      <c r="B668" s="9" t="s">
        <v>758</v>
      </c>
      <c r="C668" s="4" t="s">
        <v>2009</v>
      </c>
      <c r="D668" s="4" t="s">
        <v>690</v>
      </c>
      <c r="E668" s="4" t="s">
        <v>758</v>
      </c>
      <c r="F668" s="4" t="s">
        <v>793</v>
      </c>
      <c r="G668" s="14" t="s">
        <v>132</v>
      </c>
    </row>
    <row r="669" spans="1:9" x14ac:dyDescent="0.25">
      <c r="A669" s="161" t="str">
        <f t="shared" si="13"/>
        <v>HELICOPTER_GUNSHIP_SWEDEN</v>
      </c>
      <c r="B669" s="9" t="s">
        <v>758</v>
      </c>
      <c r="C669" s="4" t="s">
        <v>739</v>
      </c>
      <c r="E669" s="4" t="s">
        <v>758</v>
      </c>
      <c r="F669" s="4" t="s">
        <v>793</v>
      </c>
      <c r="G669" s="14" t="s">
        <v>132</v>
      </c>
      <c r="H669" s="4" t="s">
        <v>671</v>
      </c>
      <c r="I669" s="4" t="s">
        <v>1050</v>
      </c>
    </row>
    <row r="670" spans="1:9" x14ac:dyDescent="0.25">
      <c r="A670" s="161" t="str">
        <f t="shared" si="13"/>
        <v>HELICOPTER_GUNSHIP_OCEAN</v>
      </c>
      <c r="B670" s="9" t="s">
        <v>758</v>
      </c>
      <c r="C670" s="4" t="s">
        <v>994</v>
      </c>
      <c r="D670" s="4" t="s">
        <v>699</v>
      </c>
      <c r="E670" s="4" t="s">
        <v>758</v>
      </c>
      <c r="F670" s="4" t="s">
        <v>793</v>
      </c>
      <c r="G670" s="14"/>
    </row>
    <row r="671" spans="1:9" x14ac:dyDescent="0.25">
      <c r="A671" s="161" t="str">
        <f t="shared" si="13"/>
        <v>HELICOPTER_GUNSHIP_SAHUL</v>
      </c>
      <c r="B671" s="9" t="s">
        <v>758</v>
      </c>
      <c r="C671" s="4" t="s">
        <v>1787</v>
      </c>
      <c r="D671" s="4" t="s">
        <v>1302</v>
      </c>
      <c r="E671" s="4" t="s">
        <v>758</v>
      </c>
      <c r="F671" s="4" t="s">
        <v>793</v>
      </c>
      <c r="G671" s="14"/>
    </row>
    <row r="672" spans="1:9" x14ac:dyDescent="0.25">
      <c r="A672" s="161" t="str">
        <f t="shared" si="13"/>
        <v>HELICOPTER_GUNSHIP_SEASIA</v>
      </c>
      <c r="B672" s="9" t="s">
        <v>758</v>
      </c>
      <c r="C672" s="4" t="s">
        <v>696</v>
      </c>
      <c r="D672" s="4" t="s">
        <v>715</v>
      </c>
      <c r="E672" s="4" t="s">
        <v>758</v>
      </c>
      <c r="F672" s="4" t="s">
        <v>793</v>
      </c>
      <c r="G672" s="14"/>
    </row>
    <row r="673" spans="1:43" x14ac:dyDescent="0.25">
      <c r="A673" s="161" t="str">
        <f t="shared" si="13"/>
        <v>HELICOPTER_GUNSHIP_SOUTHAM</v>
      </c>
      <c r="B673" s="9" t="s">
        <v>758</v>
      </c>
      <c r="C673" s="4" t="s">
        <v>691</v>
      </c>
      <c r="D673" s="4" t="s">
        <v>693</v>
      </c>
      <c r="E673" s="4" t="s">
        <v>758</v>
      </c>
      <c r="F673" s="4" t="s">
        <v>793</v>
      </c>
    </row>
    <row r="674" spans="1:43" x14ac:dyDescent="0.25">
      <c r="A674" s="161" t="str">
        <f t="shared" si="13"/>
        <v>HELICOPTER_GUNSHIP_AZTEC</v>
      </c>
      <c r="B674" s="9" t="s">
        <v>758</v>
      </c>
      <c r="C674" s="4" t="s">
        <v>702</v>
      </c>
      <c r="E674" s="4" t="s">
        <v>758</v>
      </c>
      <c r="F674" s="4" t="s">
        <v>793</v>
      </c>
      <c r="G674" s="14"/>
      <c r="H674" s="4" t="s">
        <v>195</v>
      </c>
      <c r="I674" s="4" t="s">
        <v>120</v>
      </c>
    </row>
    <row r="675" spans="1:43" x14ac:dyDescent="0.25">
      <c r="A675" s="161" t="str">
        <f t="shared" si="13"/>
        <v>HELICOPTER_GUNSHIP_SOUTHAS</v>
      </c>
      <c r="B675" s="9" t="s">
        <v>758</v>
      </c>
      <c r="C675" s="4" t="s">
        <v>695</v>
      </c>
      <c r="D675" s="4" t="s">
        <v>698</v>
      </c>
      <c r="E675" s="4" t="s">
        <v>758</v>
      </c>
      <c r="F675" s="4" t="s">
        <v>793</v>
      </c>
    </row>
    <row r="676" spans="1:43" x14ac:dyDescent="0.25">
      <c r="A676" s="161" t="str">
        <f t="shared" si="13"/>
        <v>HELICOPTER_GUNSHIP_INDIA</v>
      </c>
      <c r="B676" s="9" t="s">
        <v>758</v>
      </c>
      <c r="C676" s="4" t="s">
        <v>720</v>
      </c>
      <c r="E676" s="4" t="s">
        <v>758</v>
      </c>
      <c r="F676" s="4" t="s">
        <v>793</v>
      </c>
      <c r="H676" s="4" t="s">
        <v>433</v>
      </c>
      <c r="I676" s="4" t="s">
        <v>120</v>
      </c>
    </row>
    <row r="677" spans="1:43" x14ac:dyDescent="0.25">
      <c r="A677" s="161" t="str">
        <f t="shared" si="13"/>
        <v>HORSEMAN</v>
      </c>
      <c r="B677" s="9" t="s">
        <v>112</v>
      </c>
      <c r="C677" s="5"/>
      <c r="D677" s="5"/>
      <c r="E677" s="5" t="s">
        <v>112</v>
      </c>
      <c r="F677" s="5" t="s">
        <v>112</v>
      </c>
      <c r="G677" s="5"/>
      <c r="H677" s="5" t="s">
        <v>30</v>
      </c>
      <c r="I677" s="5" t="s">
        <v>128</v>
      </c>
      <c r="J677" s="6"/>
      <c r="K677" s="6"/>
      <c r="L677" s="13" t="s">
        <v>1713</v>
      </c>
      <c r="M677" s="8"/>
      <c r="N677" s="5"/>
      <c r="O677" s="5"/>
      <c r="P677" s="5"/>
      <c r="Q677" s="7" t="s">
        <v>1694</v>
      </c>
      <c r="R677" s="6" t="s">
        <v>1694</v>
      </c>
      <c r="S677" s="13" t="s">
        <v>1694</v>
      </c>
      <c r="T677" s="6"/>
      <c r="U677" s="6" t="s">
        <v>1694</v>
      </c>
      <c r="V677" s="5"/>
      <c r="W677" s="6" t="s">
        <v>3</v>
      </c>
      <c r="X677" s="6" t="s">
        <v>3</v>
      </c>
      <c r="Y677" s="5"/>
      <c r="Z677" s="7">
        <v>1</v>
      </c>
      <c r="AA677" s="6"/>
      <c r="AB677" s="5"/>
      <c r="AC677" s="6"/>
      <c r="AD677" s="6" t="s">
        <v>3</v>
      </c>
      <c r="AE677" s="5"/>
      <c r="AF677" s="7" t="s">
        <v>1694</v>
      </c>
      <c r="AG677" s="6"/>
      <c r="AH677" s="5"/>
      <c r="AI677" s="6"/>
      <c r="AJ677" s="6"/>
      <c r="AK677" s="5"/>
      <c r="AL677" s="5"/>
      <c r="AM677" s="5"/>
      <c r="AN677" s="5"/>
      <c r="AO677" s="5"/>
      <c r="AP677" s="5"/>
      <c r="AQ677" s="5"/>
    </row>
    <row r="678" spans="1:43" x14ac:dyDescent="0.25">
      <c r="A678" s="161" t="str">
        <f t="shared" si="13"/>
        <v>HORSEMAN_AFRI</v>
      </c>
      <c r="B678" s="9" t="s">
        <v>112</v>
      </c>
      <c r="C678" s="4" t="s">
        <v>694</v>
      </c>
      <c r="E678" s="4" t="s">
        <v>112</v>
      </c>
      <c r="F678" s="4" t="s">
        <v>112</v>
      </c>
      <c r="H678" s="4" t="s">
        <v>683</v>
      </c>
      <c r="I678" s="4" t="s">
        <v>1795</v>
      </c>
      <c r="Q678" s="11">
        <v>1</v>
      </c>
      <c r="T678" s="11">
        <v>1</v>
      </c>
      <c r="Z678" s="11">
        <v>1</v>
      </c>
      <c r="AF678" s="11">
        <v>1</v>
      </c>
    </row>
    <row r="679" spans="1:43" x14ac:dyDescent="0.25">
      <c r="A679" s="161" t="str">
        <f>CONCATENATE(E679,IF(ISBLANK(C679),"",CONCATENATE("_",C679)))</f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G679" s="4" t="s">
        <v>2045</v>
      </c>
      <c r="H679" s="4" t="s">
        <v>1796</v>
      </c>
      <c r="I679" s="4" t="s">
        <v>1795</v>
      </c>
      <c r="Q679" s="11">
        <v>2</v>
      </c>
      <c r="T679" s="11">
        <v>2</v>
      </c>
      <c r="Z679" s="11">
        <v>0</v>
      </c>
      <c r="AF679" s="11">
        <v>1</v>
      </c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H680" s="4" t="s">
        <v>683</v>
      </c>
      <c r="I680" s="4" t="s">
        <v>1795</v>
      </c>
      <c r="Q680" s="11">
        <v>1</v>
      </c>
      <c r="T680" s="11">
        <v>2</v>
      </c>
      <c r="Z680" s="11">
        <v>0</v>
      </c>
      <c r="AF680" s="11">
        <v>1</v>
      </c>
    </row>
    <row r="681" spans="1:43" x14ac:dyDescent="0.25">
      <c r="A681" s="161" t="str">
        <f>CONCATENATE(E681,IF(ISBLANK(C681),"",CONCATENATE("_",C681)))</f>
        <v>HORSEMAN_AFRI</v>
      </c>
      <c r="B681" s="9" t="s">
        <v>112</v>
      </c>
      <c r="C681" s="4" t="s">
        <v>694</v>
      </c>
      <c r="E681" s="4" t="s">
        <v>112</v>
      </c>
      <c r="F681" s="4" t="s">
        <v>112</v>
      </c>
      <c r="G681" s="4" t="s">
        <v>2045</v>
      </c>
      <c r="H681" s="4" t="s">
        <v>1796</v>
      </c>
      <c r="I681" s="4" t="s">
        <v>1795</v>
      </c>
      <c r="Q681" s="11">
        <v>1</v>
      </c>
      <c r="T681" s="11">
        <v>2</v>
      </c>
      <c r="Z681" s="11">
        <v>0</v>
      </c>
      <c r="AF681" s="11">
        <v>0</v>
      </c>
    </row>
    <row r="682" spans="1:43" x14ac:dyDescent="0.25">
      <c r="A682" s="161" t="str">
        <f t="shared" si="13"/>
        <v>HORSEMAN_ETHIOPIA</v>
      </c>
      <c r="B682" s="9" t="s">
        <v>112</v>
      </c>
      <c r="C682" s="4" t="s">
        <v>714</v>
      </c>
      <c r="E682" s="4" t="s">
        <v>112</v>
      </c>
      <c r="F682" s="4" t="s">
        <v>112</v>
      </c>
      <c r="G682" s="14" t="s">
        <v>132</v>
      </c>
      <c r="H682" s="4" t="s">
        <v>323</v>
      </c>
      <c r="I682" s="4" t="s">
        <v>1025</v>
      </c>
      <c r="Q682" s="11" t="s">
        <v>1694</v>
      </c>
      <c r="T682" s="11" t="s">
        <v>1694</v>
      </c>
      <c r="W682" s="11" t="s">
        <v>3</v>
      </c>
      <c r="Z682" s="11">
        <v>1</v>
      </c>
      <c r="AD682" s="11" t="s">
        <v>3</v>
      </c>
      <c r="AF682" s="11" t="s">
        <v>1694</v>
      </c>
    </row>
    <row r="683" spans="1:43" x14ac:dyDescent="0.25">
      <c r="A683" s="161" t="str">
        <f t="shared" si="13"/>
        <v>HORSEMAN_SONGHAI</v>
      </c>
      <c r="B683" s="9" t="s">
        <v>112</v>
      </c>
      <c r="C683" s="4" t="s">
        <v>737</v>
      </c>
      <c r="E683" s="4" t="s">
        <v>112</v>
      </c>
      <c r="F683" s="4" t="s">
        <v>112</v>
      </c>
      <c r="G683" s="14"/>
      <c r="H683" s="4" t="s">
        <v>1966</v>
      </c>
      <c r="I683" s="4" t="s">
        <v>1025</v>
      </c>
      <c r="Q683" s="11">
        <v>1</v>
      </c>
      <c r="T683" s="11">
        <v>1</v>
      </c>
      <c r="Z683" s="11">
        <v>0</v>
      </c>
      <c r="AF683" s="11">
        <v>1</v>
      </c>
    </row>
    <row r="684" spans="1:43" x14ac:dyDescent="0.25">
      <c r="A684" s="161" t="str">
        <f>CONCATENATE(E684,IF(ISBLANK(C684),"",CONCATENATE("_",C684)))</f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 t="s">
        <v>2045</v>
      </c>
      <c r="H684" s="4" t="s">
        <v>1984</v>
      </c>
      <c r="I684" s="4" t="s">
        <v>1025</v>
      </c>
      <c r="Q684" s="11">
        <v>3</v>
      </c>
      <c r="T684" s="11">
        <v>2</v>
      </c>
      <c r="Z684" s="11">
        <v>1</v>
      </c>
      <c r="AF684" s="11">
        <v>2</v>
      </c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/>
      <c r="H685" s="4" t="s">
        <v>1966</v>
      </c>
      <c r="I685" s="4" t="s">
        <v>1025</v>
      </c>
      <c r="Q685" s="11">
        <v>1</v>
      </c>
      <c r="T685" s="11">
        <v>1</v>
      </c>
      <c r="Z685" s="11">
        <v>0</v>
      </c>
      <c r="AF685" s="11">
        <v>0</v>
      </c>
    </row>
    <row r="686" spans="1:43" x14ac:dyDescent="0.25">
      <c r="A686" s="161" t="str">
        <f>CONCATENATE(E686,IF(ISBLANK(C686),"",CONCATENATE("_",C686)))</f>
        <v>HORSEMAN_SONGHAI</v>
      </c>
      <c r="B686" s="9" t="s">
        <v>112</v>
      </c>
      <c r="C686" s="4" t="s">
        <v>737</v>
      </c>
      <c r="E686" s="4" t="s">
        <v>112</v>
      </c>
      <c r="F686" s="4" t="s">
        <v>112</v>
      </c>
      <c r="G686" s="14" t="s">
        <v>2045</v>
      </c>
      <c r="H686" s="4" t="s">
        <v>1984</v>
      </c>
      <c r="I686" s="4" t="s">
        <v>1025</v>
      </c>
      <c r="Q686" s="11">
        <v>0</v>
      </c>
      <c r="T686" s="11">
        <v>3</v>
      </c>
      <c r="Z686" s="11">
        <v>0</v>
      </c>
      <c r="AF686" s="11">
        <v>0</v>
      </c>
    </row>
    <row r="687" spans="1:43" x14ac:dyDescent="0.25">
      <c r="A687" s="161" t="str">
        <f t="shared" si="13"/>
        <v>HORSEMAN_AMER</v>
      </c>
      <c r="B687" s="9" t="s">
        <v>112</v>
      </c>
      <c r="C687" s="4" t="s">
        <v>697</v>
      </c>
      <c r="E687" s="4" t="s">
        <v>112</v>
      </c>
      <c r="F687" s="4" t="s">
        <v>112</v>
      </c>
      <c r="H687" s="4" t="s">
        <v>462</v>
      </c>
      <c r="I687" s="4" t="s">
        <v>1933</v>
      </c>
    </row>
    <row r="688" spans="1:43" x14ac:dyDescent="0.25">
      <c r="A688" s="161" t="str">
        <f t="shared" si="13"/>
        <v>HORSEMAN_IROQUOIS</v>
      </c>
      <c r="B688" s="9" t="s">
        <v>112</v>
      </c>
      <c r="C688" s="4" t="s">
        <v>721</v>
      </c>
      <c r="E688" s="4" t="s">
        <v>112</v>
      </c>
      <c r="F688" s="4" t="s">
        <v>112</v>
      </c>
      <c r="H688" s="4" t="s">
        <v>934</v>
      </c>
      <c r="I688" s="4" t="s">
        <v>1933</v>
      </c>
      <c r="Q688" s="11">
        <v>1</v>
      </c>
      <c r="T688" s="11">
        <v>1</v>
      </c>
      <c r="Z688" s="11">
        <v>0</v>
      </c>
      <c r="AF688" s="11">
        <v>1</v>
      </c>
    </row>
    <row r="689" spans="1:32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G689" s="4" t="s">
        <v>2045</v>
      </c>
      <c r="H689" s="4" t="s">
        <v>935</v>
      </c>
      <c r="I689" s="4" t="s">
        <v>1933</v>
      </c>
      <c r="Q689" s="11">
        <v>1</v>
      </c>
      <c r="T689" s="11">
        <v>2</v>
      </c>
      <c r="Z689" s="11">
        <v>1</v>
      </c>
      <c r="AF689" s="11">
        <v>1</v>
      </c>
    </row>
    <row r="690" spans="1:32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2047</v>
      </c>
      <c r="H690" s="4" t="s">
        <v>936</v>
      </c>
      <c r="I690" s="4" t="s">
        <v>1933</v>
      </c>
      <c r="Q690" s="11">
        <v>1</v>
      </c>
      <c r="T690" s="11">
        <v>1</v>
      </c>
      <c r="Z690" s="11">
        <v>0</v>
      </c>
      <c r="AF690" s="11">
        <v>1</v>
      </c>
    </row>
    <row r="691" spans="1:32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2046</v>
      </c>
      <c r="H691" s="4" t="s">
        <v>937</v>
      </c>
      <c r="I691" s="4" t="s">
        <v>1933</v>
      </c>
      <c r="Q691" s="9">
        <v>1</v>
      </c>
      <c r="T691" s="11">
        <v>1</v>
      </c>
      <c r="Z691" s="9">
        <v>0</v>
      </c>
      <c r="AF691" s="11">
        <v>0</v>
      </c>
    </row>
    <row r="692" spans="1:32" x14ac:dyDescent="0.25">
      <c r="A692" s="161" t="str">
        <f t="shared" si="13"/>
        <v>HORSEMAN_IROQUOIS</v>
      </c>
      <c r="B692" s="9" t="s">
        <v>112</v>
      </c>
      <c r="C692" s="4" t="s">
        <v>721</v>
      </c>
      <c r="E692" s="4" t="s">
        <v>112</v>
      </c>
      <c r="F692" s="4" t="s">
        <v>112</v>
      </c>
      <c r="G692" s="4" t="s">
        <v>2056</v>
      </c>
      <c r="H692" s="4" t="s">
        <v>462</v>
      </c>
      <c r="I692" s="4" t="s">
        <v>1933</v>
      </c>
      <c r="Q692" s="9">
        <v>1</v>
      </c>
      <c r="T692" s="11">
        <v>2</v>
      </c>
      <c r="Z692" s="9">
        <v>0</v>
      </c>
      <c r="AF692" s="11">
        <v>0</v>
      </c>
    </row>
    <row r="693" spans="1:32" x14ac:dyDescent="0.25">
      <c r="A693" s="161" t="str">
        <f t="shared" si="13"/>
        <v>HORSEMAN_ASIA</v>
      </c>
      <c r="B693" s="9" t="s">
        <v>112</v>
      </c>
      <c r="C693" s="4" t="s">
        <v>693</v>
      </c>
      <c r="E693" s="4" t="s">
        <v>112</v>
      </c>
      <c r="F693" s="4" t="s">
        <v>112</v>
      </c>
      <c r="H693" s="4" t="s">
        <v>448</v>
      </c>
      <c r="I693" s="4" t="s">
        <v>102</v>
      </c>
    </row>
    <row r="694" spans="1:32" x14ac:dyDescent="0.25">
      <c r="A694" s="161" t="str">
        <f t="shared" si="13"/>
        <v>HORSEMAN_CHINA</v>
      </c>
      <c r="B694" s="9" t="s">
        <v>112</v>
      </c>
      <c r="C694" s="4" t="s">
        <v>710</v>
      </c>
      <c r="E694" s="4" t="s">
        <v>112</v>
      </c>
      <c r="F694" s="4" t="s">
        <v>112</v>
      </c>
      <c r="G694" s="14" t="s">
        <v>132</v>
      </c>
      <c r="H694" s="4" t="s">
        <v>248</v>
      </c>
      <c r="I694" s="4" t="s">
        <v>102</v>
      </c>
    </row>
    <row r="695" spans="1:32" x14ac:dyDescent="0.25">
      <c r="A695" s="161" t="str">
        <f t="shared" si="13"/>
        <v>HORSEMAN_JAPAN</v>
      </c>
      <c r="B695" s="9" t="s">
        <v>112</v>
      </c>
      <c r="C695" s="4" t="s">
        <v>722</v>
      </c>
      <c r="E695" s="4" t="s">
        <v>112</v>
      </c>
      <c r="F695" s="4" t="s">
        <v>112</v>
      </c>
      <c r="G695" s="14" t="s">
        <v>132</v>
      </c>
      <c r="H695" s="4" t="s">
        <v>480</v>
      </c>
      <c r="I695" s="4" t="s">
        <v>102</v>
      </c>
    </row>
    <row r="696" spans="1:32" x14ac:dyDescent="0.25">
      <c r="A696" s="161" t="str">
        <f t="shared" si="13"/>
        <v>HORSEMAN_KOREA</v>
      </c>
      <c r="B696" s="9" t="s">
        <v>112</v>
      </c>
      <c r="C696" s="4" t="s">
        <v>723</v>
      </c>
      <c r="E696" s="4" t="s">
        <v>112</v>
      </c>
      <c r="F696" s="4" t="s">
        <v>112</v>
      </c>
      <c r="G696" s="14" t="s">
        <v>132</v>
      </c>
      <c r="H696" s="4" t="s">
        <v>498</v>
      </c>
      <c r="I696" s="4" t="s">
        <v>102</v>
      </c>
    </row>
    <row r="697" spans="1:32" x14ac:dyDescent="0.25">
      <c r="A697" s="161" t="str">
        <f t="shared" si="13"/>
        <v>HORSEMAN_MONGOL</v>
      </c>
      <c r="B697" s="9" t="s">
        <v>112</v>
      </c>
      <c r="C697" s="4" t="s">
        <v>728</v>
      </c>
      <c r="E697" s="4" t="s">
        <v>112</v>
      </c>
      <c r="F697" s="4" t="s">
        <v>112</v>
      </c>
      <c r="G697" s="14" t="s">
        <v>132</v>
      </c>
      <c r="H697" s="4" t="s">
        <v>529</v>
      </c>
      <c r="I697" s="4" t="s">
        <v>2096</v>
      </c>
    </row>
    <row r="698" spans="1:32" x14ac:dyDescent="0.25">
      <c r="A698" s="161" t="str">
        <f t="shared" si="13"/>
        <v>HORSEMAN_CENTAS</v>
      </c>
      <c r="B698" s="9" t="s">
        <v>112</v>
      </c>
      <c r="C698" s="4" t="s">
        <v>918</v>
      </c>
      <c r="E698" s="4" t="s">
        <v>112</v>
      </c>
      <c r="F698" s="4" t="s">
        <v>112</v>
      </c>
      <c r="G698" s="14" t="s">
        <v>132</v>
      </c>
      <c r="H698" s="4" t="s">
        <v>907</v>
      </c>
      <c r="I698" s="4" t="s">
        <v>1063</v>
      </c>
    </row>
    <row r="699" spans="1:32" x14ac:dyDescent="0.25">
      <c r="A699" s="161" t="str">
        <f t="shared" si="13"/>
        <v>HORSEMAN_OTTOMAN</v>
      </c>
      <c r="B699" s="9" t="s">
        <v>112</v>
      </c>
      <c r="C699" s="4" t="s">
        <v>1037</v>
      </c>
      <c r="E699" s="4" t="s">
        <v>112</v>
      </c>
      <c r="F699" s="4" t="s">
        <v>112</v>
      </c>
      <c r="G699" s="14" t="s">
        <v>132</v>
      </c>
      <c r="H699" s="4" t="s">
        <v>1028</v>
      </c>
      <c r="I699" s="4" t="s">
        <v>2096</v>
      </c>
    </row>
    <row r="700" spans="1:32" x14ac:dyDescent="0.25">
      <c r="A700" s="161" t="str">
        <f t="shared" si="13"/>
        <v>HORSEMAN_EASTEU</v>
      </c>
      <c r="B700" s="9" t="s">
        <v>112</v>
      </c>
      <c r="C700" s="4" t="s">
        <v>698</v>
      </c>
      <c r="E700" s="4" t="s">
        <v>112</v>
      </c>
      <c r="F700" s="4" t="s">
        <v>112</v>
      </c>
      <c r="G700" s="14" t="s">
        <v>132</v>
      </c>
      <c r="H700" s="4" t="s">
        <v>1002</v>
      </c>
      <c r="I700" s="4" t="s">
        <v>2096</v>
      </c>
    </row>
    <row r="701" spans="1:32" x14ac:dyDescent="0.25">
      <c r="A701" s="161" t="str">
        <f t="shared" si="13"/>
        <v>HORSEMAN_RUSSIA</v>
      </c>
      <c r="B701" s="9" t="s">
        <v>112</v>
      </c>
      <c r="C701" s="4" t="s">
        <v>735</v>
      </c>
      <c r="E701" s="4" t="s">
        <v>112</v>
      </c>
      <c r="F701" s="4" t="s">
        <v>112</v>
      </c>
      <c r="H701" s="4" t="s">
        <v>1002</v>
      </c>
      <c r="I701" s="4" t="s">
        <v>2096</v>
      </c>
      <c r="Q701" s="11">
        <v>1</v>
      </c>
      <c r="T701" s="11">
        <v>1</v>
      </c>
      <c r="Z701" s="11">
        <v>0</v>
      </c>
      <c r="AF701" s="11">
        <v>0</v>
      </c>
    </row>
    <row r="702" spans="1:32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G702" s="4" t="s">
        <v>2045</v>
      </c>
      <c r="H702" s="4" t="s">
        <v>613</v>
      </c>
      <c r="I702" s="4" t="s">
        <v>2096</v>
      </c>
      <c r="Q702" s="11">
        <v>2</v>
      </c>
      <c r="T702" s="11">
        <v>2</v>
      </c>
      <c r="Z702" s="11">
        <v>1</v>
      </c>
      <c r="AF702" s="11">
        <v>1</v>
      </c>
    </row>
    <row r="703" spans="1:32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H703" s="4" t="s">
        <v>1002</v>
      </c>
      <c r="I703" s="4" t="s">
        <v>2096</v>
      </c>
      <c r="Q703" s="11">
        <v>1</v>
      </c>
      <c r="T703" s="11">
        <v>2</v>
      </c>
      <c r="Z703" s="11">
        <v>0</v>
      </c>
      <c r="AF703" s="11">
        <v>1</v>
      </c>
    </row>
    <row r="704" spans="1:32" x14ac:dyDescent="0.25">
      <c r="A704" s="161" t="str">
        <f t="shared" si="13"/>
        <v>HORSEMAN_RUSSIA</v>
      </c>
      <c r="B704" s="9" t="s">
        <v>112</v>
      </c>
      <c r="C704" s="4" t="s">
        <v>735</v>
      </c>
      <c r="E704" s="4" t="s">
        <v>112</v>
      </c>
      <c r="F704" s="4" t="s">
        <v>112</v>
      </c>
      <c r="G704" s="4" t="s">
        <v>2045</v>
      </c>
      <c r="H704" s="4" t="s">
        <v>613</v>
      </c>
      <c r="I704" s="4" t="s">
        <v>2096</v>
      </c>
      <c r="Q704" s="9">
        <v>1</v>
      </c>
      <c r="T704" s="11">
        <v>2</v>
      </c>
      <c r="Z704" s="9">
        <v>0</v>
      </c>
      <c r="AF704" s="11">
        <v>1</v>
      </c>
    </row>
    <row r="705" spans="1:32" x14ac:dyDescent="0.25">
      <c r="A705" s="161" t="str">
        <f t="shared" si="13"/>
        <v>HORSEMAN_ENGLAND</v>
      </c>
      <c r="B705" s="9" t="s">
        <v>112</v>
      </c>
      <c r="C705" s="4" t="s">
        <v>713</v>
      </c>
      <c r="E705" s="4" t="s">
        <v>112</v>
      </c>
      <c r="F705" s="4" t="s">
        <v>112</v>
      </c>
      <c r="G705" s="14" t="s">
        <v>132</v>
      </c>
      <c r="H705" s="4" t="s">
        <v>299</v>
      </c>
      <c r="I705" s="4" t="s">
        <v>102</v>
      </c>
    </row>
    <row r="706" spans="1:32" x14ac:dyDescent="0.25">
      <c r="A706" s="161" t="str">
        <f t="shared" si="13"/>
        <v>HORSEMAN_FRANCE</v>
      </c>
      <c r="B706" s="9" t="s">
        <v>112</v>
      </c>
      <c r="C706" s="4" t="s">
        <v>715</v>
      </c>
      <c r="E706" s="4" t="s">
        <v>112</v>
      </c>
      <c r="F706" s="4" t="s">
        <v>112</v>
      </c>
      <c r="G706" s="14" t="s">
        <v>132</v>
      </c>
      <c r="H706" s="4" t="s">
        <v>345</v>
      </c>
      <c r="I706" s="4" t="s">
        <v>102</v>
      </c>
    </row>
    <row r="707" spans="1:32" x14ac:dyDescent="0.25">
      <c r="A707" s="161" t="str">
        <f t="shared" si="13"/>
        <v>HORSEMAN_GERMANY</v>
      </c>
      <c r="B707" s="9" t="s">
        <v>112</v>
      </c>
      <c r="C707" s="4" t="s">
        <v>717</v>
      </c>
      <c r="E707" s="4" t="s">
        <v>112</v>
      </c>
      <c r="F707" s="4" t="s">
        <v>112</v>
      </c>
      <c r="G707" s="14" t="s">
        <v>132</v>
      </c>
      <c r="H707" s="4" t="s">
        <v>376</v>
      </c>
      <c r="I707" s="4" t="s">
        <v>102</v>
      </c>
    </row>
    <row r="708" spans="1:32" x14ac:dyDescent="0.25">
      <c r="A708" s="161" t="str">
        <f t="shared" si="13"/>
        <v>HORSEMAN_MED</v>
      </c>
      <c r="B708" s="9" t="s">
        <v>112</v>
      </c>
      <c r="C708" s="4" t="s">
        <v>692</v>
      </c>
      <c r="E708" s="4" t="s">
        <v>112</v>
      </c>
      <c r="F708" s="4" t="s">
        <v>112</v>
      </c>
      <c r="H708" s="4" t="s">
        <v>925</v>
      </c>
      <c r="I708" s="4" t="s">
        <v>128</v>
      </c>
      <c r="U708" s="11" t="s">
        <v>1694</v>
      </c>
    </row>
    <row r="709" spans="1:32" x14ac:dyDescent="0.25">
      <c r="A709" s="161" t="str">
        <f t="shared" si="13"/>
        <v>HORSEMAN_CARTHAGE</v>
      </c>
      <c r="B709" s="9" t="s">
        <v>112</v>
      </c>
      <c r="C709" s="4" t="s">
        <v>708</v>
      </c>
      <c r="E709" s="4" t="s">
        <v>112</v>
      </c>
      <c r="F709" s="4" t="s">
        <v>112</v>
      </c>
      <c r="H709" s="4" t="s">
        <v>2674</v>
      </c>
      <c r="I709" s="4" t="s">
        <v>2673</v>
      </c>
    </row>
    <row r="710" spans="1:32" x14ac:dyDescent="0.25">
      <c r="A710" s="161" t="str">
        <f t="shared" si="13"/>
        <v>HORSEMAN_ROME</v>
      </c>
      <c r="B710" s="9" t="s">
        <v>112</v>
      </c>
      <c r="C710" s="4" t="s">
        <v>734</v>
      </c>
      <c r="E710" s="4" t="s">
        <v>112</v>
      </c>
      <c r="F710" s="4" t="s">
        <v>112</v>
      </c>
      <c r="H710" s="4" t="s">
        <v>1000</v>
      </c>
      <c r="I710" s="4" t="s">
        <v>102</v>
      </c>
      <c r="Q710" s="11">
        <v>1</v>
      </c>
      <c r="T710" s="11">
        <v>1</v>
      </c>
      <c r="Z710" s="11">
        <v>0</v>
      </c>
      <c r="AF710" s="11">
        <v>0</v>
      </c>
    </row>
    <row r="711" spans="1:32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G711" s="4" t="s">
        <v>2045</v>
      </c>
      <c r="H711" s="4" t="s">
        <v>589</v>
      </c>
      <c r="I711" s="4" t="s">
        <v>102</v>
      </c>
      <c r="Q711" s="11">
        <v>2</v>
      </c>
      <c r="T711" s="11">
        <v>2</v>
      </c>
      <c r="Z711" s="11">
        <v>1</v>
      </c>
      <c r="AF711" s="11">
        <v>1</v>
      </c>
    </row>
    <row r="712" spans="1:32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H712" s="4" t="s">
        <v>1000</v>
      </c>
      <c r="I712" s="4" t="s">
        <v>102</v>
      </c>
      <c r="Q712" s="11">
        <v>1</v>
      </c>
      <c r="T712" s="11">
        <v>1</v>
      </c>
      <c r="Z712" s="11">
        <v>0</v>
      </c>
      <c r="AF712" s="11">
        <v>1</v>
      </c>
    </row>
    <row r="713" spans="1:32" x14ac:dyDescent="0.25">
      <c r="A713" s="161" t="str">
        <f t="shared" si="13"/>
        <v>HORSEMAN_ROME</v>
      </c>
      <c r="B713" s="9" t="s">
        <v>112</v>
      </c>
      <c r="C713" s="4" t="s">
        <v>734</v>
      </c>
      <c r="E713" s="4" t="s">
        <v>112</v>
      </c>
      <c r="F713" s="4" t="s">
        <v>112</v>
      </c>
      <c r="G713" s="4" t="s">
        <v>2045</v>
      </c>
      <c r="H713" s="4" t="s">
        <v>589</v>
      </c>
      <c r="I713" s="4" t="s">
        <v>102</v>
      </c>
      <c r="Q713" s="9">
        <v>1</v>
      </c>
      <c r="T713" s="11">
        <v>3</v>
      </c>
      <c r="Z713" s="9">
        <v>0</v>
      </c>
      <c r="AF713" s="11">
        <v>1</v>
      </c>
    </row>
    <row r="714" spans="1:32" x14ac:dyDescent="0.25">
      <c r="A714" s="161" t="str">
        <f t="shared" si="13"/>
        <v>HORSEMAN_SPAIN</v>
      </c>
      <c r="B714" s="9" t="s">
        <v>112</v>
      </c>
      <c r="C714" s="4" t="s">
        <v>738</v>
      </c>
      <c r="E714" s="4" t="s">
        <v>112</v>
      </c>
      <c r="F714" s="4" t="s">
        <v>112</v>
      </c>
      <c r="G714" s="14" t="s">
        <v>132</v>
      </c>
      <c r="H714" s="4" t="s">
        <v>653</v>
      </c>
      <c r="I714" s="4" t="s">
        <v>2096</v>
      </c>
    </row>
    <row r="715" spans="1:32" x14ac:dyDescent="0.25">
      <c r="A715" s="161" t="str">
        <f t="shared" si="13"/>
        <v>HORSEMAN_MIDEAST</v>
      </c>
      <c r="B715" s="9" t="s">
        <v>112</v>
      </c>
      <c r="C715" s="4" t="s">
        <v>690</v>
      </c>
      <c r="E715" s="4" t="s">
        <v>112</v>
      </c>
      <c r="F715" s="4" t="s">
        <v>112</v>
      </c>
      <c r="H715" s="4" t="s">
        <v>162</v>
      </c>
      <c r="I715" s="4" t="s">
        <v>2096</v>
      </c>
    </row>
    <row r="716" spans="1:32" x14ac:dyDescent="0.25">
      <c r="A716" s="161" t="str">
        <f t="shared" si="13"/>
        <v>HORSEMAN_ARABIA</v>
      </c>
      <c r="B716" s="9" t="s">
        <v>112</v>
      </c>
      <c r="C716" s="4" t="s">
        <v>700</v>
      </c>
      <c r="D716" s="14" t="s">
        <v>690</v>
      </c>
      <c r="E716" s="4" t="s">
        <v>112</v>
      </c>
      <c r="F716" s="4" t="s">
        <v>112</v>
      </c>
      <c r="G716" s="14"/>
    </row>
    <row r="717" spans="1:32" x14ac:dyDescent="0.25">
      <c r="A717" s="161" t="str">
        <f t="shared" si="13"/>
        <v>HORSEMAN_BABYLON</v>
      </c>
      <c r="B717" s="9" t="s">
        <v>112</v>
      </c>
      <c r="C717" s="4" t="s">
        <v>703</v>
      </c>
      <c r="E717" s="4" t="s">
        <v>112</v>
      </c>
      <c r="F717" s="4" t="s">
        <v>112</v>
      </c>
      <c r="G717" s="14"/>
      <c r="H717" s="4" t="s">
        <v>209</v>
      </c>
      <c r="I717" s="4" t="s">
        <v>102</v>
      </c>
    </row>
    <row r="718" spans="1:32" x14ac:dyDescent="0.25">
      <c r="A718" s="161" t="str">
        <f t="shared" si="13"/>
        <v>HORSEMAN_EGYPT</v>
      </c>
      <c r="B718" s="9" t="s">
        <v>112</v>
      </c>
      <c r="C718" s="4" t="s">
        <v>712</v>
      </c>
      <c r="E718" s="4" t="s">
        <v>112</v>
      </c>
      <c r="F718" s="4" t="s">
        <v>112</v>
      </c>
      <c r="G718" s="14" t="s">
        <v>132</v>
      </c>
      <c r="H718" s="4" t="s">
        <v>280</v>
      </c>
      <c r="I718" s="4" t="s">
        <v>2096</v>
      </c>
    </row>
    <row r="719" spans="1:32" x14ac:dyDescent="0.25">
      <c r="A719" s="161" t="str">
        <f t="shared" si="13"/>
        <v>HORSEMAN_LEVANT</v>
      </c>
      <c r="B719" s="9" t="s">
        <v>112</v>
      </c>
      <c r="C719" s="4" t="s">
        <v>724</v>
      </c>
      <c r="E719" s="4" t="s">
        <v>112</v>
      </c>
      <c r="F719" s="4" t="s">
        <v>112</v>
      </c>
      <c r="G719" s="14" t="s">
        <v>132</v>
      </c>
      <c r="H719" s="4" t="s">
        <v>509</v>
      </c>
      <c r="I719" s="4" t="s">
        <v>1063</v>
      </c>
    </row>
    <row r="720" spans="1:32" x14ac:dyDescent="0.25">
      <c r="A720" s="161" t="str">
        <f t="shared" si="13"/>
        <v>HORSEMAN_PERSIA</v>
      </c>
      <c r="B720" s="9" t="s">
        <v>112</v>
      </c>
      <c r="C720" s="4" t="s">
        <v>731</v>
      </c>
      <c r="E720" s="4" t="s">
        <v>112</v>
      </c>
      <c r="F720" s="4" t="s">
        <v>112</v>
      </c>
      <c r="G720" s="14" t="s">
        <v>132</v>
      </c>
      <c r="H720" s="4" t="s">
        <v>554</v>
      </c>
      <c r="I720" s="4" t="s">
        <v>102</v>
      </c>
    </row>
    <row r="721" spans="1:43" x14ac:dyDescent="0.25">
      <c r="A721" s="161" t="str">
        <f t="shared" si="13"/>
        <v>HORSEMAN_NORTHEU</v>
      </c>
      <c r="B721" s="9" t="s">
        <v>112</v>
      </c>
      <c r="C721" s="4" t="s">
        <v>962</v>
      </c>
      <c r="E721" s="4" t="s">
        <v>112</v>
      </c>
      <c r="F721" s="4" t="s">
        <v>112</v>
      </c>
      <c r="G721" s="14" t="s">
        <v>132</v>
      </c>
      <c r="H721" s="4" t="s">
        <v>267</v>
      </c>
      <c r="I721" s="4" t="s">
        <v>102</v>
      </c>
    </row>
    <row r="722" spans="1:43" x14ac:dyDescent="0.25">
      <c r="A722" s="161" t="str">
        <f t="shared" ref="A722:A817" si="14">CONCATENATE(E722,IF(ISBLANK(C722),"",CONCATENATE("_",C722)))</f>
        <v>HORSEMAN_OCEAN</v>
      </c>
      <c r="B722" s="9" t="s">
        <v>112</v>
      </c>
      <c r="C722" s="4" t="s">
        <v>994</v>
      </c>
      <c r="D722" s="4" t="s">
        <v>691</v>
      </c>
      <c r="E722" s="4" t="s">
        <v>112</v>
      </c>
      <c r="F722" s="4" t="s">
        <v>112</v>
      </c>
    </row>
    <row r="723" spans="1:43" x14ac:dyDescent="0.25">
      <c r="A723" s="161" t="str">
        <f t="shared" si="14"/>
        <v>HORSEMAN_SEASIA</v>
      </c>
      <c r="B723" s="9" t="s">
        <v>112</v>
      </c>
      <c r="C723" s="4" t="s">
        <v>696</v>
      </c>
      <c r="D723" s="4" t="s">
        <v>693</v>
      </c>
      <c r="E723" s="4" t="s">
        <v>112</v>
      </c>
      <c r="F723" s="4" t="s">
        <v>112</v>
      </c>
    </row>
    <row r="724" spans="1:43" x14ac:dyDescent="0.25">
      <c r="A724" s="161" t="str">
        <f t="shared" si="14"/>
        <v>HORSEMAN_SOUTHAM</v>
      </c>
      <c r="B724" s="9" t="s">
        <v>112</v>
      </c>
      <c r="C724" s="4" t="s">
        <v>691</v>
      </c>
      <c r="E724" s="4" t="s">
        <v>112</v>
      </c>
      <c r="F724" s="4" t="s">
        <v>112</v>
      </c>
      <c r="H724" s="4" t="s">
        <v>517</v>
      </c>
      <c r="I724" s="4" t="s">
        <v>2096</v>
      </c>
    </row>
    <row r="725" spans="1:43" x14ac:dyDescent="0.25">
      <c r="A725" s="161" t="str">
        <f t="shared" si="14"/>
        <v>HORSEMAN_AZTEC</v>
      </c>
      <c r="B725" s="9" t="s">
        <v>112</v>
      </c>
      <c r="C725" s="4" t="s">
        <v>702</v>
      </c>
      <c r="E725" s="4" t="s">
        <v>112</v>
      </c>
      <c r="F725" s="4" t="s">
        <v>112</v>
      </c>
      <c r="G725" s="14"/>
      <c r="H725" s="4" t="s">
        <v>196</v>
      </c>
      <c r="I725" s="4" t="s">
        <v>2096</v>
      </c>
    </row>
    <row r="726" spans="1:43" x14ac:dyDescent="0.25">
      <c r="A726" s="161" t="str">
        <f t="shared" si="14"/>
        <v>HORSEMAN_INCA</v>
      </c>
      <c r="B726" s="9" t="s">
        <v>112</v>
      </c>
      <c r="C726" s="4" t="s">
        <v>719</v>
      </c>
      <c r="E726" s="4" t="s">
        <v>112</v>
      </c>
      <c r="F726" s="4" t="s">
        <v>112</v>
      </c>
      <c r="G726" s="14" t="s">
        <v>132</v>
      </c>
      <c r="H726" s="4" t="s">
        <v>420</v>
      </c>
      <c r="I726" s="4" t="s">
        <v>2096</v>
      </c>
    </row>
    <row r="727" spans="1:43" x14ac:dyDescent="0.25">
      <c r="A727" s="161" t="str">
        <f t="shared" si="14"/>
        <v>HORSEMAN_MAYA</v>
      </c>
      <c r="B727" s="9" t="s">
        <v>112</v>
      </c>
      <c r="C727" s="4" t="s">
        <v>725</v>
      </c>
      <c r="D727" s="4" t="s">
        <v>691</v>
      </c>
      <c r="E727" s="4" t="s">
        <v>112</v>
      </c>
      <c r="F727" s="4" t="s">
        <v>112</v>
      </c>
      <c r="G727" s="14" t="s">
        <v>132</v>
      </c>
    </row>
    <row r="728" spans="1:43" x14ac:dyDescent="0.25">
      <c r="A728" s="161" t="str">
        <f t="shared" si="14"/>
        <v>HORSEMAN_SOUTHAS</v>
      </c>
      <c r="B728" s="9" t="s">
        <v>112</v>
      </c>
      <c r="C728" s="4" t="s">
        <v>695</v>
      </c>
      <c r="E728" s="4" t="s">
        <v>112</v>
      </c>
      <c r="F728" s="4" t="s">
        <v>112</v>
      </c>
      <c r="H728" s="4" t="s">
        <v>434</v>
      </c>
      <c r="I728" s="4" t="s">
        <v>102</v>
      </c>
    </row>
    <row r="729" spans="1:43" x14ac:dyDescent="0.25">
      <c r="A729" s="161" t="str">
        <f t="shared" si="14"/>
        <v>INFANTRY</v>
      </c>
      <c r="C729" s="5"/>
      <c r="D729" s="5"/>
      <c r="E729" s="5" t="s">
        <v>111</v>
      </c>
      <c r="F729" s="5" t="s">
        <v>111</v>
      </c>
      <c r="G729" s="5"/>
      <c r="H729" s="5" t="s">
        <v>1501</v>
      </c>
      <c r="I729" s="5" t="s">
        <v>102</v>
      </c>
      <c r="J729" s="6"/>
      <c r="K729" s="6"/>
      <c r="L729" s="13" t="s">
        <v>1707</v>
      </c>
      <c r="M729" s="8"/>
      <c r="N729" s="5"/>
      <c r="O729" s="5"/>
      <c r="P729" s="5"/>
      <c r="Q729" s="7" t="s">
        <v>1736</v>
      </c>
      <c r="R729" s="6" t="s">
        <v>1736</v>
      </c>
      <c r="S729" s="13" t="s">
        <v>1619</v>
      </c>
      <c r="T729" s="6">
        <v>18</v>
      </c>
      <c r="U729" s="7" t="s">
        <v>1736</v>
      </c>
      <c r="V729" s="5"/>
      <c r="W729" s="6" t="s">
        <v>3</v>
      </c>
      <c r="X729" s="6" t="s">
        <v>3</v>
      </c>
      <c r="Y729" s="5"/>
      <c r="Z729" s="7">
        <v>1</v>
      </c>
      <c r="AA729" s="6"/>
      <c r="AB729" s="5"/>
      <c r="AC729" s="6"/>
      <c r="AD729" s="6" t="s">
        <v>3</v>
      </c>
      <c r="AE729" s="5"/>
      <c r="AF729" s="7" t="s">
        <v>1736</v>
      </c>
      <c r="AG729" s="6"/>
      <c r="AH729" s="5"/>
      <c r="AI729" s="6" t="s">
        <v>1736</v>
      </c>
      <c r="AJ729" s="6"/>
      <c r="AK729" s="5"/>
      <c r="AL729" s="5"/>
      <c r="AM729" s="5"/>
      <c r="AN729" s="5"/>
      <c r="AO729" s="5"/>
      <c r="AP729" s="5"/>
      <c r="AQ729" s="5"/>
    </row>
    <row r="730" spans="1:43" x14ac:dyDescent="0.25">
      <c r="A730" s="161" t="str">
        <f t="shared" si="14"/>
        <v>INQUISITOR</v>
      </c>
      <c r="B730" s="9" t="s">
        <v>759</v>
      </c>
      <c r="C730" s="5"/>
      <c r="D730" s="5"/>
      <c r="E730" s="5" t="s">
        <v>759</v>
      </c>
      <c r="F730" s="5" t="s">
        <v>759</v>
      </c>
      <c r="G730" s="5"/>
      <c r="H730" s="5" t="s">
        <v>7</v>
      </c>
      <c r="I730" s="5" t="s">
        <v>128</v>
      </c>
      <c r="J730" s="11">
        <v>1</v>
      </c>
      <c r="K730" s="6"/>
      <c r="L730" s="13" t="s">
        <v>1707</v>
      </c>
      <c r="M730" s="8"/>
      <c r="N730" s="5"/>
      <c r="O730" s="5"/>
      <c r="P730" s="5"/>
      <c r="Q730" s="6">
        <v>1</v>
      </c>
      <c r="R730" s="6" t="s">
        <v>1736</v>
      </c>
      <c r="S730" s="13" t="s">
        <v>1613</v>
      </c>
      <c r="T730" s="6">
        <v>1</v>
      </c>
      <c r="U730" s="7" t="s">
        <v>1736</v>
      </c>
      <c r="V730" s="5"/>
      <c r="W730" s="6"/>
      <c r="X730" s="6" t="s">
        <v>3</v>
      </c>
      <c r="Y730" s="5"/>
      <c r="Z730" s="7">
        <v>1</v>
      </c>
      <c r="AA730" s="6"/>
      <c r="AB730" s="5"/>
      <c r="AC730" s="6"/>
      <c r="AD730" s="6" t="s">
        <v>3</v>
      </c>
      <c r="AE730" s="5"/>
      <c r="AF730" s="6">
        <v>1</v>
      </c>
      <c r="AG730" s="6"/>
      <c r="AH730" s="5"/>
      <c r="AI730" s="6"/>
      <c r="AJ730" s="6"/>
      <c r="AK730" s="5"/>
      <c r="AL730" s="5"/>
      <c r="AM730" s="5"/>
      <c r="AN730" s="5"/>
      <c r="AO730" s="5"/>
      <c r="AP730" s="5"/>
      <c r="AQ730" s="5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 t="s">
        <v>2077</v>
      </c>
      <c r="H731" s="5" t="s">
        <v>1485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>
        <v>0.125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0</v>
      </c>
      <c r="AA731" s="6"/>
      <c r="AB731" s="5"/>
      <c r="AC731" s="6"/>
      <c r="AD731" s="6" t="s">
        <v>3</v>
      </c>
      <c r="AE731" s="5"/>
      <c r="AF731" s="6">
        <v>1</v>
      </c>
      <c r="AG731" s="6"/>
      <c r="AH731" s="5"/>
      <c r="AI731" s="6"/>
      <c r="AJ731" s="6"/>
      <c r="AK731" s="5"/>
      <c r="AL731" s="5"/>
      <c r="AM731" s="5"/>
      <c r="AN731" s="5"/>
      <c r="AO731" s="5"/>
      <c r="AP731" s="5"/>
      <c r="AQ731" s="5"/>
    </row>
    <row r="732" spans="1:43" x14ac:dyDescent="0.25">
      <c r="A732" s="161" t="str">
        <f t="shared" si="14"/>
        <v>INQUISITOR</v>
      </c>
      <c r="B732" s="9" t="s">
        <v>759</v>
      </c>
      <c r="C732" s="5"/>
      <c r="D732" s="5"/>
      <c r="E732" s="5" t="s">
        <v>759</v>
      </c>
      <c r="F732" s="5" t="s">
        <v>759</v>
      </c>
      <c r="G732" s="5" t="s">
        <v>2078</v>
      </c>
      <c r="H732" s="5" t="s">
        <v>1486</v>
      </c>
      <c r="I732" s="5" t="s">
        <v>128</v>
      </c>
      <c r="J732" s="11">
        <v>1</v>
      </c>
      <c r="K732" s="6"/>
      <c r="L732" s="13" t="s">
        <v>1707</v>
      </c>
      <c r="M732" s="8"/>
      <c r="N732" s="5"/>
      <c r="O732" s="5"/>
      <c r="P732" s="5"/>
      <c r="Q732" s="6">
        <v>1</v>
      </c>
      <c r="R732" s="6">
        <v>0.13</v>
      </c>
      <c r="S732" s="13" t="s">
        <v>1613</v>
      </c>
      <c r="T732" s="6">
        <v>1</v>
      </c>
      <c r="U732" s="7" t="s">
        <v>1736</v>
      </c>
      <c r="V732" s="5"/>
      <c r="W732" s="6"/>
      <c r="X732" s="6" t="s">
        <v>3</v>
      </c>
      <c r="Y732" s="5"/>
      <c r="Z732" s="7">
        <v>0</v>
      </c>
      <c r="AA732" s="6"/>
      <c r="AB732" s="5"/>
      <c r="AC732" s="6"/>
      <c r="AD732" s="6" t="s">
        <v>3</v>
      </c>
      <c r="AE732" s="5"/>
      <c r="AF732" s="6">
        <v>0</v>
      </c>
      <c r="AG732" s="6"/>
      <c r="AH732" s="5"/>
      <c r="AI732" s="6"/>
      <c r="AJ732" s="6"/>
      <c r="AK732" s="5"/>
      <c r="AL732" s="5"/>
      <c r="AM732" s="5"/>
      <c r="AN732" s="5"/>
      <c r="AO732" s="5"/>
      <c r="AP732" s="5"/>
      <c r="AQ732" s="5"/>
    </row>
    <row r="733" spans="1:43" x14ac:dyDescent="0.25">
      <c r="A733" s="161" t="str">
        <f t="shared" si="14"/>
        <v>INQUISITOR_AFRI</v>
      </c>
      <c r="B733" s="9" t="s">
        <v>759</v>
      </c>
      <c r="C733" s="4" t="s">
        <v>694</v>
      </c>
      <c r="D733" s="4" t="s">
        <v>690</v>
      </c>
      <c r="E733" s="4" t="s">
        <v>759</v>
      </c>
      <c r="F733" s="4" t="s">
        <v>759</v>
      </c>
    </row>
    <row r="734" spans="1:43" x14ac:dyDescent="0.25">
      <c r="A734" s="161" t="str">
        <f>CONCATENATE(E734,IF(ISBLANK(C734),"",CONCATENATE("_",C734)))</f>
        <v>INQUISITOR_AMER</v>
      </c>
      <c r="B734" s="9" t="s">
        <v>759</v>
      </c>
      <c r="C734" s="4" t="s">
        <v>697</v>
      </c>
      <c r="E734" s="4" t="s">
        <v>759</v>
      </c>
      <c r="F734" s="4" t="s">
        <v>759</v>
      </c>
      <c r="H734" s="4" t="s">
        <v>1797</v>
      </c>
      <c r="I734" s="4" t="s">
        <v>963</v>
      </c>
      <c r="J734" s="11">
        <v>1</v>
      </c>
      <c r="Q734" s="11">
        <v>1</v>
      </c>
      <c r="R734" s="11" t="s">
        <v>1736</v>
      </c>
      <c r="Z734" s="11">
        <v>1</v>
      </c>
      <c r="AF734" s="11">
        <v>1</v>
      </c>
    </row>
    <row r="735" spans="1:43" x14ac:dyDescent="0.25">
      <c r="A735" s="161" t="str">
        <f>CONCATENATE(E735,IF(ISBLANK(C735),"",CONCATENATE("_",C735)))</f>
        <v>INQUISITOR_AMER</v>
      </c>
      <c r="B735" s="9" t="s">
        <v>759</v>
      </c>
      <c r="C735" s="4" t="s">
        <v>697</v>
      </c>
      <c r="E735" s="4" t="s">
        <v>759</v>
      </c>
      <c r="F735" s="4" t="s">
        <v>759</v>
      </c>
      <c r="G735" s="4" t="s">
        <v>2038</v>
      </c>
      <c r="H735" s="4" t="s">
        <v>1800</v>
      </c>
      <c r="I735" s="4" t="s">
        <v>963</v>
      </c>
      <c r="J735" s="11">
        <v>1</v>
      </c>
      <c r="Q735" s="11">
        <v>2</v>
      </c>
      <c r="R735" s="11" t="s">
        <v>1736</v>
      </c>
      <c r="Z735" s="11">
        <v>0</v>
      </c>
      <c r="AF735" s="11">
        <v>1</v>
      </c>
    </row>
    <row r="736" spans="1:43" x14ac:dyDescent="0.25">
      <c r="A736" s="161" t="str">
        <f t="shared" si="14"/>
        <v>INQUISITOR_ASIA</v>
      </c>
      <c r="B736" s="9" t="s">
        <v>759</v>
      </c>
      <c r="C736" s="4" t="s">
        <v>693</v>
      </c>
      <c r="E736" s="4" t="s">
        <v>759</v>
      </c>
      <c r="F736" s="4" t="s">
        <v>759</v>
      </c>
      <c r="H736" s="4" t="s">
        <v>842</v>
      </c>
      <c r="I736" s="4" t="s">
        <v>102</v>
      </c>
      <c r="J736" s="11">
        <v>1</v>
      </c>
      <c r="Q736" s="11">
        <v>1</v>
      </c>
      <c r="R736" s="11" t="s">
        <v>1736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INQUISITOR_ASIA</v>
      </c>
      <c r="B737" s="9" t="s">
        <v>759</v>
      </c>
      <c r="C737" s="4" t="s">
        <v>693</v>
      </c>
      <c r="E737" s="4" t="s">
        <v>759</v>
      </c>
      <c r="F737" s="4" t="s">
        <v>759</v>
      </c>
      <c r="G737" s="4" t="s">
        <v>2038</v>
      </c>
      <c r="H737" s="4" t="s">
        <v>1792</v>
      </c>
      <c r="I737" s="4" t="s">
        <v>102</v>
      </c>
      <c r="J737" s="11">
        <v>1</v>
      </c>
      <c r="Q737" s="11">
        <v>2</v>
      </c>
      <c r="R737" s="11">
        <v>0.13500000000000001</v>
      </c>
      <c r="Z737" s="11">
        <v>0</v>
      </c>
      <c r="AF737" s="11">
        <v>1</v>
      </c>
    </row>
    <row r="738" spans="1:43" x14ac:dyDescent="0.25">
      <c r="A738" s="161" t="str">
        <f t="shared" si="14"/>
        <v>INQUISITOR_CENTAS</v>
      </c>
      <c r="B738" s="9" t="s">
        <v>759</v>
      </c>
      <c r="C738" s="4" t="s">
        <v>918</v>
      </c>
      <c r="D738" s="4" t="s">
        <v>690</v>
      </c>
      <c r="E738" s="4" t="s">
        <v>759</v>
      </c>
      <c r="F738" s="4" t="s">
        <v>759</v>
      </c>
      <c r="G738" s="14" t="s">
        <v>132</v>
      </c>
      <c r="H738" s="14"/>
    </row>
    <row r="739" spans="1:43" x14ac:dyDescent="0.25">
      <c r="A739" s="161" t="str">
        <f t="shared" si="14"/>
        <v>INQUISITOR_CELTS</v>
      </c>
      <c r="B739" s="9" t="s">
        <v>759</v>
      </c>
      <c r="C739" s="4" t="s">
        <v>709</v>
      </c>
      <c r="E739" s="4" t="s">
        <v>759</v>
      </c>
      <c r="F739" s="4" t="s">
        <v>759</v>
      </c>
      <c r="G739" s="14" t="s">
        <v>132</v>
      </c>
      <c r="H739" s="4" t="s">
        <v>237</v>
      </c>
      <c r="I739" s="4" t="s">
        <v>957</v>
      </c>
      <c r="J739" s="11">
        <v>1</v>
      </c>
      <c r="Q739" s="11">
        <v>3</v>
      </c>
      <c r="R739" s="11">
        <v>0.11</v>
      </c>
      <c r="Z739" s="11">
        <v>1</v>
      </c>
      <c r="AF739" s="11">
        <v>2</v>
      </c>
    </row>
    <row r="740" spans="1:43" x14ac:dyDescent="0.25">
      <c r="A740" s="161" t="str">
        <f t="shared" si="14"/>
        <v>INQUISITOR_MIDEAST</v>
      </c>
      <c r="B740" s="9" t="s">
        <v>759</v>
      </c>
      <c r="C740" s="4" t="s">
        <v>690</v>
      </c>
      <c r="E740" s="4" t="s">
        <v>759</v>
      </c>
      <c r="F740" s="4" t="s">
        <v>759</v>
      </c>
      <c r="H740" s="4" t="s">
        <v>859</v>
      </c>
      <c r="I740" s="4" t="s">
        <v>951</v>
      </c>
      <c r="J740" s="11">
        <v>1</v>
      </c>
      <c r="Q740" s="11">
        <v>3</v>
      </c>
      <c r="R740" s="11">
        <v>1.66</v>
      </c>
      <c r="U740" s="11">
        <v>1.3</v>
      </c>
      <c r="Z740" s="9">
        <v>1</v>
      </c>
      <c r="AF740" s="11">
        <v>2</v>
      </c>
    </row>
    <row r="741" spans="1:43" x14ac:dyDescent="0.25">
      <c r="A741" s="161" t="str">
        <f t="shared" si="14"/>
        <v>INQUISITOR_OCEAN</v>
      </c>
      <c r="B741" s="9" t="s">
        <v>759</v>
      </c>
      <c r="C741" s="4" t="s">
        <v>994</v>
      </c>
      <c r="D741" s="4" t="s">
        <v>691</v>
      </c>
      <c r="E741" s="4" t="s">
        <v>759</v>
      </c>
      <c r="F741" s="4" t="s">
        <v>759</v>
      </c>
    </row>
    <row r="742" spans="1:43" x14ac:dyDescent="0.25">
      <c r="A742" s="161" t="str">
        <f t="shared" si="14"/>
        <v>INQUISITOR_SEASIA</v>
      </c>
      <c r="B742" s="9" t="s">
        <v>759</v>
      </c>
      <c r="C742" s="4" t="s">
        <v>696</v>
      </c>
      <c r="D742" s="4" t="s">
        <v>693</v>
      </c>
      <c r="E742" s="4" t="s">
        <v>759</v>
      </c>
      <c r="F742" s="4" t="s">
        <v>759</v>
      </c>
    </row>
    <row r="743" spans="1:43" x14ac:dyDescent="0.25">
      <c r="A743" s="161" t="str">
        <f>CONCATENATE(E743,IF(ISBLANK(C743),"",CONCATENATE("_",C743)))</f>
        <v>INQUISITOR_SOUTHAM</v>
      </c>
      <c r="B743" s="9" t="s">
        <v>759</v>
      </c>
      <c r="C743" s="4" t="s">
        <v>691</v>
      </c>
      <c r="E743" s="4" t="s">
        <v>759</v>
      </c>
      <c r="F743" s="4" t="s">
        <v>759</v>
      </c>
      <c r="H743" s="4" t="s">
        <v>2176</v>
      </c>
      <c r="I743" s="4" t="s">
        <v>1046</v>
      </c>
      <c r="J743" s="11">
        <v>1</v>
      </c>
      <c r="Q743" s="11">
        <v>1</v>
      </c>
      <c r="R743" s="11" t="s">
        <v>1736</v>
      </c>
      <c r="Z743" s="11">
        <v>1</v>
      </c>
      <c r="AF743" s="11">
        <v>1</v>
      </c>
    </row>
    <row r="744" spans="1:43" x14ac:dyDescent="0.25">
      <c r="A744" s="161" t="str">
        <f>CONCATENATE(E744,IF(ISBLANK(C744),"",CONCATENATE("_",C744)))</f>
        <v>INQUISITOR_SOUTHAM</v>
      </c>
      <c r="B744" s="9" t="s">
        <v>759</v>
      </c>
      <c r="C744" s="4" t="s">
        <v>691</v>
      </c>
      <c r="E744" s="4" t="s">
        <v>759</v>
      </c>
      <c r="F744" s="4" t="s">
        <v>759</v>
      </c>
      <c r="G744" s="4" t="s">
        <v>2038</v>
      </c>
      <c r="H744" s="4" t="s">
        <v>1798</v>
      </c>
      <c r="I744" s="4" t="s">
        <v>963</v>
      </c>
      <c r="J744" s="11">
        <v>1</v>
      </c>
      <c r="Q744" s="11">
        <v>2</v>
      </c>
      <c r="R744" s="11" t="s">
        <v>1736</v>
      </c>
      <c r="Z744" s="11">
        <v>0</v>
      </c>
      <c r="AF744" s="11">
        <v>1</v>
      </c>
    </row>
    <row r="745" spans="1:43" x14ac:dyDescent="0.25">
      <c r="A745" s="161" t="str">
        <f t="shared" si="14"/>
        <v>INQUISITOR_SOUTHAS</v>
      </c>
      <c r="B745" s="9" t="s">
        <v>759</v>
      </c>
      <c r="C745" s="4" t="s">
        <v>695</v>
      </c>
      <c r="D745" s="4" t="s">
        <v>693</v>
      </c>
      <c r="E745" s="4" t="s">
        <v>759</v>
      </c>
      <c r="F745" s="4" t="s">
        <v>759</v>
      </c>
    </row>
    <row r="746" spans="1:43" x14ac:dyDescent="0.25">
      <c r="A746" s="161" t="str">
        <f t="shared" ref="A746:A761" si="15">CONCATENATE(E746,IF(ISBLANK(C746),"",CONCATENATE("_",C746)))</f>
        <v>INQUISITOR_RENAISSANCE</v>
      </c>
      <c r="B746" s="9" t="s">
        <v>759</v>
      </c>
      <c r="C746" s="5"/>
      <c r="D746" s="5"/>
      <c r="E746" s="5" t="s">
        <v>2124</v>
      </c>
      <c r="F746" s="5" t="s">
        <v>759</v>
      </c>
      <c r="G746" s="5"/>
      <c r="H746" s="5" t="s">
        <v>7</v>
      </c>
      <c r="I746" s="5" t="s">
        <v>128</v>
      </c>
      <c r="K746" s="6"/>
      <c r="L746" s="13" t="s">
        <v>1707</v>
      </c>
      <c r="M746" s="8"/>
      <c r="N746" s="5"/>
      <c r="O746" s="5"/>
      <c r="P746" s="5"/>
      <c r="Q746" s="6">
        <v>1</v>
      </c>
      <c r="R746" s="6" t="s">
        <v>1736</v>
      </c>
      <c r="S746" s="13" t="s">
        <v>1613</v>
      </c>
      <c r="T746" s="6">
        <v>1</v>
      </c>
      <c r="U746" s="7" t="s">
        <v>1736</v>
      </c>
      <c r="V746" s="5"/>
      <c r="W746" s="6"/>
      <c r="X746" s="6" t="s">
        <v>3</v>
      </c>
      <c r="Y746" s="5"/>
      <c r="Z746" s="7">
        <v>1</v>
      </c>
      <c r="AA746" s="6"/>
      <c r="AB746" s="5"/>
      <c r="AC746" s="6"/>
      <c r="AD746" s="6" t="s">
        <v>3</v>
      </c>
      <c r="AE746" s="5"/>
      <c r="AF746" s="6">
        <v>1</v>
      </c>
      <c r="AG746" s="6"/>
      <c r="AH746" s="5"/>
      <c r="AI746" s="6"/>
      <c r="AJ746" s="6"/>
      <c r="AK746" s="5"/>
      <c r="AL746" s="5"/>
      <c r="AM746" s="5"/>
      <c r="AN746" s="5"/>
      <c r="AO746" s="5"/>
      <c r="AP746" s="5"/>
      <c r="AQ746" s="5"/>
    </row>
    <row r="747" spans="1:43" x14ac:dyDescent="0.25">
      <c r="A747" s="161" t="str">
        <f t="shared" si="15"/>
        <v>INQUISITOR_RENAISSANCE</v>
      </c>
      <c r="B747" s="9" t="s">
        <v>759</v>
      </c>
      <c r="C747" s="5"/>
      <c r="D747" s="5"/>
      <c r="E747" s="5" t="s">
        <v>2124</v>
      </c>
      <c r="F747" s="5" t="s">
        <v>759</v>
      </c>
      <c r="G747" s="5" t="s">
        <v>2077</v>
      </c>
      <c r="H747" s="5" t="s">
        <v>1485</v>
      </c>
      <c r="I747" s="5" t="s">
        <v>128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>
        <v>0.125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0</v>
      </c>
      <c r="AA747" s="6"/>
      <c r="AB747" s="5"/>
      <c r="AC747" s="6"/>
      <c r="AD747" s="6" t="s">
        <v>3</v>
      </c>
      <c r="AE747" s="5"/>
      <c r="AF747" s="6">
        <v>1</v>
      </c>
      <c r="AG747" s="6"/>
      <c r="AH747" s="5"/>
      <c r="AI747" s="6"/>
      <c r="AJ747" s="6"/>
      <c r="AK747" s="5"/>
      <c r="AL747" s="5"/>
      <c r="AM747" s="5"/>
      <c r="AN747" s="5"/>
      <c r="AO747" s="5"/>
      <c r="AP747" s="5"/>
      <c r="AQ747" s="5"/>
    </row>
    <row r="748" spans="1:43" x14ac:dyDescent="0.25">
      <c r="A748" s="161" t="str">
        <f t="shared" si="15"/>
        <v>INQUISITOR_RENAISSANCE</v>
      </c>
      <c r="B748" s="9" t="s">
        <v>759</v>
      </c>
      <c r="C748" s="5"/>
      <c r="D748" s="5"/>
      <c r="E748" s="5" t="s">
        <v>2124</v>
      </c>
      <c r="F748" s="5" t="s">
        <v>759</v>
      </c>
      <c r="G748" s="5" t="s">
        <v>2078</v>
      </c>
      <c r="H748" s="5" t="s">
        <v>1486</v>
      </c>
      <c r="I748" s="5" t="s">
        <v>128</v>
      </c>
      <c r="K748" s="6"/>
      <c r="L748" s="13" t="s">
        <v>1707</v>
      </c>
      <c r="M748" s="8"/>
      <c r="N748" s="5"/>
      <c r="O748" s="5"/>
      <c r="P748" s="5"/>
      <c r="Q748" s="6">
        <v>1</v>
      </c>
      <c r="R748" s="6">
        <v>0.13</v>
      </c>
      <c r="S748" s="13" t="s">
        <v>1613</v>
      </c>
      <c r="T748" s="6">
        <v>1</v>
      </c>
      <c r="U748" s="7" t="s">
        <v>1736</v>
      </c>
      <c r="V748" s="5"/>
      <c r="W748" s="6"/>
      <c r="X748" s="6" t="s">
        <v>3</v>
      </c>
      <c r="Y748" s="5"/>
      <c r="Z748" s="7">
        <v>0</v>
      </c>
      <c r="AA748" s="6"/>
      <c r="AB748" s="5"/>
      <c r="AC748" s="6"/>
      <c r="AD748" s="6" t="s">
        <v>3</v>
      </c>
      <c r="AE748" s="5"/>
      <c r="AF748" s="6">
        <v>0</v>
      </c>
      <c r="AG748" s="6"/>
      <c r="AH748" s="5"/>
      <c r="AI748" s="6"/>
      <c r="AJ748" s="6"/>
      <c r="AK748" s="5"/>
      <c r="AL748" s="5"/>
      <c r="AM748" s="5"/>
      <c r="AN748" s="5"/>
      <c r="AO748" s="5"/>
      <c r="AP748" s="5"/>
      <c r="AQ748" s="5"/>
    </row>
    <row r="749" spans="1:43" x14ac:dyDescent="0.25">
      <c r="A749" s="161" t="str">
        <f t="shared" si="15"/>
        <v>INQUISITOR_RENAISSANCE_AFRI</v>
      </c>
      <c r="B749" s="9" t="s">
        <v>759</v>
      </c>
      <c r="C749" s="4" t="s">
        <v>694</v>
      </c>
      <c r="D749" s="4" t="s">
        <v>690</v>
      </c>
      <c r="E749" s="4" t="s">
        <v>2124</v>
      </c>
      <c r="F749" s="4" t="s">
        <v>759</v>
      </c>
    </row>
    <row r="750" spans="1:43" x14ac:dyDescent="0.25">
      <c r="A750" s="161" t="str">
        <f t="shared" si="15"/>
        <v>INQUISITOR_RENAISSANCE_AMER</v>
      </c>
      <c r="B750" s="9" t="s">
        <v>759</v>
      </c>
      <c r="C750" s="4" t="s">
        <v>697</v>
      </c>
      <c r="E750" s="4" t="s">
        <v>2124</v>
      </c>
      <c r="F750" s="4" t="s">
        <v>759</v>
      </c>
      <c r="H750" s="4" t="s">
        <v>1797</v>
      </c>
      <c r="I750" s="4" t="s">
        <v>963</v>
      </c>
      <c r="Q750" s="11">
        <v>1</v>
      </c>
      <c r="R750" s="11" t="s">
        <v>1736</v>
      </c>
      <c r="Z750" s="11">
        <v>1</v>
      </c>
      <c r="AF750" s="11">
        <v>1</v>
      </c>
    </row>
    <row r="751" spans="1:43" x14ac:dyDescent="0.25">
      <c r="A751" s="161" t="str">
        <f t="shared" si="15"/>
        <v>INQUISITOR_RENAISSANCE_AMER</v>
      </c>
      <c r="B751" s="9" t="s">
        <v>759</v>
      </c>
      <c r="C751" s="4" t="s">
        <v>697</v>
      </c>
      <c r="E751" s="4" t="s">
        <v>2124</v>
      </c>
      <c r="F751" s="4" t="s">
        <v>759</v>
      </c>
      <c r="G751" s="4" t="s">
        <v>2038</v>
      </c>
      <c r="H751" s="4" t="s">
        <v>1800</v>
      </c>
      <c r="I751" s="4" t="s">
        <v>963</v>
      </c>
      <c r="Q751" s="11">
        <v>2</v>
      </c>
      <c r="R751" s="11" t="s">
        <v>1736</v>
      </c>
      <c r="Z751" s="11">
        <v>0</v>
      </c>
      <c r="AF751" s="11">
        <v>1</v>
      </c>
    </row>
    <row r="752" spans="1:43" x14ac:dyDescent="0.25">
      <c r="A752" s="161" t="str">
        <f t="shared" si="15"/>
        <v>INQUISITOR_RENAISSANCE_ASIA</v>
      </c>
      <c r="B752" s="9" t="s">
        <v>759</v>
      </c>
      <c r="C752" s="4" t="s">
        <v>693</v>
      </c>
      <c r="E752" s="4" t="s">
        <v>2124</v>
      </c>
      <c r="F752" s="4" t="s">
        <v>759</v>
      </c>
      <c r="H752" s="4" t="s">
        <v>842</v>
      </c>
      <c r="I752" s="4" t="s">
        <v>102</v>
      </c>
      <c r="Q752" s="11">
        <v>1</v>
      </c>
      <c r="R752" s="11" t="s">
        <v>1736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INQUISITOR_RENAISSANCE_ASIA</v>
      </c>
      <c r="B753" s="9" t="s">
        <v>759</v>
      </c>
      <c r="C753" s="4" t="s">
        <v>693</v>
      </c>
      <c r="E753" s="4" t="s">
        <v>2124</v>
      </c>
      <c r="F753" s="4" t="s">
        <v>759</v>
      </c>
      <c r="G753" s="4" t="s">
        <v>2038</v>
      </c>
      <c r="H753" s="4" t="s">
        <v>1792</v>
      </c>
      <c r="I753" s="4" t="s">
        <v>102</v>
      </c>
      <c r="Q753" s="11">
        <v>2</v>
      </c>
      <c r="R753" s="11">
        <v>0.13500000000000001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INQUISITOR_RENAISSANCE_CENTAS</v>
      </c>
      <c r="B754" s="9" t="s">
        <v>759</v>
      </c>
      <c r="C754" s="4" t="s">
        <v>918</v>
      </c>
      <c r="D754" s="4" t="s">
        <v>690</v>
      </c>
      <c r="E754" s="4" t="s">
        <v>2124</v>
      </c>
      <c r="F754" s="4" t="s">
        <v>759</v>
      </c>
      <c r="G754" s="14" t="s">
        <v>132</v>
      </c>
      <c r="H754" s="14"/>
    </row>
    <row r="755" spans="1:43" x14ac:dyDescent="0.25">
      <c r="A755" s="161" t="str">
        <f t="shared" si="15"/>
        <v>INQUISITOR_RENAISSANCE_CELTS</v>
      </c>
      <c r="B755" s="9" t="s">
        <v>759</v>
      </c>
      <c r="C755" s="4" t="s">
        <v>709</v>
      </c>
      <c r="E755" s="4" t="s">
        <v>2124</v>
      </c>
      <c r="F755" s="4" t="s">
        <v>759</v>
      </c>
      <c r="G755" s="14" t="s">
        <v>132</v>
      </c>
      <c r="H755" s="4" t="s">
        <v>237</v>
      </c>
      <c r="I755" s="4" t="s">
        <v>957</v>
      </c>
      <c r="Q755" s="11">
        <v>3</v>
      </c>
      <c r="R755" s="11">
        <v>0.11</v>
      </c>
      <c r="Z755" s="11">
        <v>1</v>
      </c>
      <c r="AF755" s="11">
        <v>2</v>
      </c>
    </row>
    <row r="756" spans="1:43" x14ac:dyDescent="0.25">
      <c r="A756" s="161" t="str">
        <f t="shared" si="15"/>
        <v>INQUISITOR_RENAISSANCE_MIDEAST</v>
      </c>
      <c r="B756" s="9" t="s">
        <v>759</v>
      </c>
      <c r="C756" s="4" t="s">
        <v>690</v>
      </c>
      <c r="E756" s="4" t="s">
        <v>2124</v>
      </c>
      <c r="F756" s="4" t="s">
        <v>759</v>
      </c>
      <c r="H756" s="4" t="s">
        <v>859</v>
      </c>
      <c r="I756" s="4" t="s">
        <v>951</v>
      </c>
      <c r="Q756" s="11">
        <v>3</v>
      </c>
      <c r="R756" s="11">
        <v>1.66</v>
      </c>
      <c r="U756" s="11">
        <v>1.1000000000000001</v>
      </c>
      <c r="Z756" s="9">
        <v>1</v>
      </c>
      <c r="AF756" s="11">
        <v>2</v>
      </c>
    </row>
    <row r="757" spans="1:43" x14ac:dyDescent="0.25">
      <c r="A757" s="161" t="str">
        <f t="shared" si="15"/>
        <v>INQUISITOR_RENAISSANCE_OCEAN</v>
      </c>
      <c r="B757" s="9" t="s">
        <v>759</v>
      </c>
      <c r="C757" s="4" t="s">
        <v>994</v>
      </c>
      <c r="D757" s="4" t="s">
        <v>691</v>
      </c>
      <c r="E757" s="4" t="s">
        <v>2124</v>
      </c>
      <c r="F757" s="4" t="s">
        <v>759</v>
      </c>
    </row>
    <row r="758" spans="1:43" x14ac:dyDescent="0.25">
      <c r="A758" s="161" t="str">
        <f t="shared" si="15"/>
        <v>INQUISITOR_RENAISSANCE_SEASIA</v>
      </c>
      <c r="B758" s="9" t="s">
        <v>759</v>
      </c>
      <c r="C758" s="4" t="s">
        <v>696</v>
      </c>
      <c r="D758" s="4" t="s">
        <v>693</v>
      </c>
      <c r="E758" s="4" t="s">
        <v>2124</v>
      </c>
      <c r="F758" s="4" t="s">
        <v>759</v>
      </c>
    </row>
    <row r="759" spans="1:43" x14ac:dyDescent="0.25">
      <c r="A759" s="161" t="str">
        <f t="shared" si="15"/>
        <v>INQUISITOR_RENAISSANCE_SOUTHAM</v>
      </c>
      <c r="B759" s="9" t="s">
        <v>759</v>
      </c>
      <c r="C759" s="4" t="s">
        <v>691</v>
      </c>
      <c r="E759" s="4" t="s">
        <v>2124</v>
      </c>
      <c r="F759" s="4" t="s">
        <v>759</v>
      </c>
      <c r="H759" s="4" t="s">
        <v>2176</v>
      </c>
      <c r="I759" s="4" t="s">
        <v>957</v>
      </c>
      <c r="Q759" s="11">
        <v>1</v>
      </c>
      <c r="R759" s="11" t="s">
        <v>1736</v>
      </c>
      <c r="Z759" s="11">
        <v>1</v>
      </c>
      <c r="AF759" s="11">
        <v>1</v>
      </c>
    </row>
    <row r="760" spans="1:43" x14ac:dyDescent="0.25">
      <c r="A760" s="161" t="str">
        <f t="shared" si="15"/>
        <v>INQUISITOR_RENAISSANCE_SOUTHAM</v>
      </c>
      <c r="B760" s="9" t="s">
        <v>759</v>
      </c>
      <c r="C760" s="4" t="s">
        <v>691</v>
      </c>
      <c r="E760" s="4" t="s">
        <v>2124</v>
      </c>
      <c r="F760" s="4" t="s">
        <v>759</v>
      </c>
      <c r="G760" s="4" t="s">
        <v>2038</v>
      </c>
      <c r="H760" s="4" t="s">
        <v>1798</v>
      </c>
      <c r="I760" s="4" t="s">
        <v>963</v>
      </c>
      <c r="Q760" s="11">
        <v>2</v>
      </c>
      <c r="R760" s="11" t="s">
        <v>1736</v>
      </c>
      <c r="Z760" s="11">
        <v>0</v>
      </c>
      <c r="AF760" s="11">
        <v>1</v>
      </c>
    </row>
    <row r="761" spans="1:43" x14ac:dyDescent="0.25">
      <c r="A761" s="161" t="str">
        <f t="shared" si="15"/>
        <v>INQUISITOR_RENAISSANCE_SOUTHAS</v>
      </c>
      <c r="B761" s="9" t="s">
        <v>759</v>
      </c>
      <c r="C761" s="4" t="s">
        <v>695</v>
      </c>
      <c r="D761" s="4" t="s">
        <v>693</v>
      </c>
      <c r="E761" s="4" t="s">
        <v>2124</v>
      </c>
      <c r="F761" s="4" t="s">
        <v>759</v>
      </c>
    </row>
    <row r="762" spans="1:43" x14ac:dyDescent="0.25">
      <c r="A762" s="161" t="str">
        <f t="shared" si="14"/>
        <v>IRONCLAD</v>
      </c>
      <c r="B762" s="9" t="s">
        <v>760</v>
      </c>
      <c r="C762" s="5"/>
      <c r="D762" s="5"/>
      <c r="E762" s="5" t="s">
        <v>760</v>
      </c>
      <c r="F762" s="5" t="s">
        <v>760</v>
      </c>
      <c r="G762" s="5"/>
      <c r="H762" s="5" t="s">
        <v>29</v>
      </c>
      <c r="I762" s="5" t="s">
        <v>128</v>
      </c>
      <c r="J762" s="6"/>
      <c r="K762" s="7"/>
      <c r="L762" s="13" t="s">
        <v>1712</v>
      </c>
      <c r="M762" s="8"/>
      <c r="N762" s="13" t="s">
        <v>1726</v>
      </c>
      <c r="O762" s="13"/>
      <c r="P762" s="13"/>
      <c r="Q762" s="7">
        <v>1</v>
      </c>
      <c r="R762" s="6" t="s">
        <v>1694</v>
      </c>
      <c r="S762" s="5"/>
      <c r="T762" s="6"/>
      <c r="U762" s="6">
        <v>0.1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</v>
      </c>
      <c r="B763" s="9" t="s">
        <v>760</v>
      </c>
      <c r="C763" s="5" t="s">
        <v>697</v>
      </c>
      <c r="D763" s="5" t="s">
        <v>699</v>
      </c>
      <c r="E763" s="5" t="s">
        <v>760</v>
      </c>
      <c r="F763" s="5" t="s">
        <v>760</v>
      </c>
      <c r="G763" s="5"/>
      <c r="H763" s="5"/>
      <c r="I763" s="5"/>
      <c r="J763" s="6"/>
      <c r="K763" s="7"/>
      <c r="L763" s="13"/>
      <c r="M763" s="8"/>
      <c r="N763" s="13"/>
      <c r="O763" s="13"/>
      <c r="P763" s="13"/>
      <c r="Q763" s="7"/>
      <c r="R763" s="6"/>
      <c r="S763" s="5"/>
      <c r="T763" s="6"/>
      <c r="U763" s="6"/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IRONCLAD_ASIA</v>
      </c>
      <c r="B764" s="9" t="s">
        <v>760</v>
      </c>
      <c r="C764" s="5" t="s">
        <v>693</v>
      </c>
      <c r="D764" s="5"/>
      <c r="E764" s="5" t="s">
        <v>760</v>
      </c>
      <c r="F764" s="5" t="s">
        <v>760</v>
      </c>
      <c r="G764" s="5"/>
      <c r="H764" s="5" t="s">
        <v>1932</v>
      </c>
      <c r="I764" s="5" t="s">
        <v>1941</v>
      </c>
      <c r="J764" s="6"/>
      <c r="K764" s="7"/>
      <c r="L764" s="13"/>
      <c r="M764" s="8"/>
      <c r="N764" s="13"/>
      <c r="O764" s="13"/>
      <c r="P764" s="13"/>
      <c r="Q764" s="7"/>
      <c r="R764" s="6">
        <v>8.5000000000000006E-2</v>
      </c>
      <c r="S764" s="5"/>
      <c r="T764" s="1"/>
      <c r="U764" s="6">
        <v>0.08</v>
      </c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IRONCLAD_JAPAN</v>
      </c>
      <c r="B765" s="9" t="s">
        <v>760</v>
      </c>
      <c r="C765" s="5" t="s">
        <v>722</v>
      </c>
      <c r="D765" s="5" t="s">
        <v>693</v>
      </c>
      <c r="E765" s="5" t="s">
        <v>760</v>
      </c>
      <c r="F765" s="5" t="s">
        <v>760</v>
      </c>
      <c r="G765" s="5"/>
      <c r="H765" s="5"/>
      <c r="I765" s="5"/>
      <c r="J765" s="6"/>
      <c r="K765" s="7"/>
      <c r="L765" s="13"/>
      <c r="M765" s="8"/>
      <c r="N765" s="13"/>
      <c r="O765" s="13"/>
      <c r="P765" s="13"/>
      <c r="Q765" s="7"/>
      <c r="R765" s="6"/>
      <c r="S765" s="5"/>
      <c r="T765" s="1"/>
      <c r="U765" s="6"/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IRONCLAD_CENTAS</v>
      </c>
      <c r="B766" s="9" t="s">
        <v>760</v>
      </c>
      <c r="C766" s="5" t="s">
        <v>918</v>
      </c>
      <c r="D766" s="5" t="s">
        <v>701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IRONCLAD_EASTEU</v>
      </c>
      <c r="B767" s="9" t="s">
        <v>760</v>
      </c>
      <c r="C767" s="5" t="s">
        <v>698</v>
      </c>
      <c r="D767" s="5"/>
      <c r="E767" s="5" t="s">
        <v>760</v>
      </c>
      <c r="F767" s="5" t="s">
        <v>760</v>
      </c>
      <c r="G767" s="5"/>
      <c r="H767" s="5" t="s">
        <v>1925</v>
      </c>
      <c r="I767" s="5" t="s">
        <v>1941</v>
      </c>
      <c r="J767" s="6"/>
      <c r="K767" s="7"/>
      <c r="L767" s="13"/>
      <c r="M767" s="8"/>
      <c r="N767" s="13"/>
      <c r="O767" s="13"/>
      <c r="P767" s="13"/>
      <c r="Q767" s="7"/>
      <c r="R767" s="6">
        <v>8.2000000000000003E-2</v>
      </c>
      <c r="S767" s="5"/>
      <c r="T767" s="1"/>
      <c r="U767" s="6">
        <v>7.4999999999999997E-2</v>
      </c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>CONCATENATE(E768,IF(ISBLANK(C768),"",CONCATENATE("_",C768)))</f>
        <v>IRONCLAD_RUSSIA</v>
      </c>
      <c r="B768" s="9" t="s">
        <v>760</v>
      </c>
      <c r="C768" s="5" t="s">
        <v>735</v>
      </c>
      <c r="D768" s="5" t="s">
        <v>698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>CONCATENATE(E769,IF(ISBLANK(C769),"",CONCATENATE("_",C769)))</f>
        <v>IRONCLAD_EURO</v>
      </c>
      <c r="B769" s="9" t="s">
        <v>760</v>
      </c>
      <c r="C769" s="5" t="s">
        <v>689</v>
      </c>
      <c r="D769" s="5"/>
      <c r="E769" s="5" t="s">
        <v>760</v>
      </c>
      <c r="F769" s="5" t="s">
        <v>760</v>
      </c>
      <c r="G769" s="5"/>
      <c r="H769" s="5" t="s">
        <v>1929</v>
      </c>
      <c r="I769" s="5" t="s">
        <v>1941</v>
      </c>
      <c r="J769" s="6"/>
      <c r="K769" s="7"/>
      <c r="L769" s="13"/>
      <c r="M769" s="8"/>
      <c r="N769" s="13"/>
      <c r="O769" s="13"/>
      <c r="P769" s="13"/>
      <c r="Q769" s="7"/>
      <c r="R769" s="6">
        <v>7.4999999999999997E-2</v>
      </c>
      <c r="S769" s="5"/>
      <c r="T769" s="1"/>
      <c r="U769" s="6">
        <v>7.0000000000000007E-2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IRONCLAD_AMERICA</v>
      </c>
      <c r="B770" s="9" t="s">
        <v>760</v>
      </c>
      <c r="C770" s="5" t="s">
        <v>699</v>
      </c>
      <c r="D770" s="5"/>
      <c r="E770" s="5" t="s">
        <v>760</v>
      </c>
      <c r="F770" s="5" t="s">
        <v>760</v>
      </c>
      <c r="G770" s="5"/>
      <c r="H770" s="5" t="s">
        <v>1931</v>
      </c>
      <c r="I770" s="5" t="s">
        <v>1941</v>
      </c>
      <c r="J770" s="6"/>
      <c r="K770" s="7"/>
      <c r="L770" s="13"/>
      <c r="M770" s="8"/>
      <c r="N770" s="13"/>
      <c r="O770" s="13"/>
      <c r="P770" s="13"/>
      <c r="Q770" s="7"/>
      <c r="R770" s="6">
        <v>7.0000000000000007E-2</v>
      </c>
      <c r="S770" s="5"/>
      <c r="T770" s="1"/>
      <c r="U770" s="6">
        <v>6.5000000000000002E-2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IRONCLAD_AUSTRALIA</v>
      </c>
      <c r="B771" s="9" t="s">
        <v>760</v>
      </c>
      <c r="C771" s="5" t="s">
        <v>1302</v>
      </c>
      <c r="D771" s="5" t="s">
        <v>713</v>
      </c>
      <c r="E771" s="5" t="s">
        <v>760</v>
      </c>
      <c r="F771" s="5" t="s">
        <v>760</v>
      </c>
      <c r="G771" s="5"/>
      <c r="H771" s="5"/>
      <c r="I771" s="5"/>
      <c r="J771" s="6"/>
      <c r="K771" s="7"/>
      <c r="L771" s="13"/>
      <c r="M771" s="8"/>
      <c r="N771" s="13"/>
      <c r="O771" s="13"/>
      <c r="P771" s="13"/>
      <c r="Q771" s="7"/>
      <c r="R771" s="6"/>
      <c r="S771" s="5"/>
      <c r="T771" s="1"/>
      <c r="U771" s="6"/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IRONCLAD_AUSTRIA</v>
      </c>
      <c r="B772" s="9" t="s">
        <v>760</v>
      </c>
      <c r="C772" s="5" t="s">
        <v>701</v>
      </c>
      <c r="D772" s="5"/>
      <c r="E772" s="5" t="s">
        <v>760</v>
      </c>
      <c r="F772" s="5" t="s">
        <v>760</v>
      </c>
      <c r="G772" s="5"/>
      <c r="H772" s="5" t="s">
        <v>1930</v>
      </c>
      <c r="I772" s="5" t="s">
        <v>1941</v>
      </c>
      <c r="J772" s="6"/>
      <c r="K772" s="7"/>
      <c r="L772" s="13"/>
      <c r="M772" s="8"/>
      <c r="N772" s="13"/>
      <c r="O772" s="13"/>
      <c r="P772" s="13"/>
      <c r="Q772" s="7"/>
      <c r="R772" s="6">
        <v>8.6999999999999994E-2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IRONCLAD_CANADA</v>
      </c>
      <c r="B773" s="9" t="s">
        <v>760</v>
      </c>
      <c r="C773" s="5" t="s">
        <v>2207</v>
      </c>
      <c r="D773" s="5" t="s">
        <v>713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IRONCLAD_CELTS</v>
      </c>
      <c r="B774" s="9" t="s">
        <v>760</v>
      </c>
      <c r="C774" s="5" t="s">
        <v>709</v>
      </c>
      <c r="D774" s="5" t="s">
        <v>713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IRONCLAD_ENGLAND</v>
      </c>
      <c r="B775" s="9" t="s">
        <v>760</v>
      </c>
      <c r="C775" s="5" t="s">
        <v>713</v>
      </c>
      <c r="D775" s="5" t="s">
        <v>689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1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IRONCLAD_FRANCE</v>
      </c>
      <c r="B776" s="9" t="s">
        <v>760</v>
      </c>
      <c r="C776" s="5" t="s">
        <v>715</v>
      </c>
      <c r="D776" s="5"/>
      <c r="E776" s="5" t="s">
        <v>760</v>
      </c>
      <c r="F776" s="5" t="s">
        <v>760</v>
      </c>
      <c r="G776" s="5"/>
      <c r="H776" s="5" t="s">
        <v>1928</v>
      </c>
      <c r="I776" s="5" t="s">
        <v>1941</v>
      </c>
      <c r="J776" s="6"/>
      <c r="K776" s="7"/>
      <c r="L776" s="13"/>
      <c r="M776" s="8"/>
      <c r="N776" s="13"/>
      <c r="O776" s="13"/>
      <c r="P776" s="13"/>
      <c r="Q776" s="7"/>
      <c r="R776" s="6">
        <v>0.09</v>
      </c>
      <c r="S776" s="5"/>
      <c r="T776" s="1"/>
      <c r="U776" s="6" t="s">
        <v>1694</v>
      </c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IRONCLAD_GERMANY</v>
      </c>
      <c r="B777" s="9" t="s">
        <v>760</v>
      </c>
      <c r="C777" s="5" t="s">
        <v>717</v>
      </c>
      <c r="D777" s="5"/>
      <c r="E777" s="5" t="s">
        <v>760</v>
      </c>
      <c r="F777" s="5" t="s">
        <v>760</v>
      </c>
      <c r="G777" s="5"/>
      <c r="H777" s="5" t="s">
        <v>1927</v>
      </c>
      <c r="I777" s="5" t="s">
        <v>1941</v>
      </c>
      <c r="J777" s="6"/>
      <c r="K777" s="7"/>
      <c r="L777" s="13"/>
      <c r="M777" s="8"/>
      <c r="N777" s="13"/>
      <c r="O777" s="13"/>
      <c r="P777" s="13"/>
      <c r="Q777" s="7"/>
      <c r="R777" s="6">
        <v>0.08</v>
      </c>
      <c r="S777" s="5"/>
      <c r="T777" s="1"/>
      <c r="U777" s="6">
        <v>7.4999999999999997E-2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IRONCLAD_MED</v>
      </c>
      <c r="B778" s="9" t="s">
        <v>760</v>
      </c>
      <c r="C778" s="5" t="s">
        <v>692</v>
      </c>
      <c r="D778" s="5"/>
      <c r="E778" s="5" t="s">
        <v>760</v>
      </c>
      <c r="F778" s="5" t="s">
        <v>760</v>
      </c>
      <c r="G778" s="5"/>
      <c r="H778" s="5" t="s">
        <v>1924</v>
      </c>
      <c r="I778" s="5" t="s">
        <v>1941</v>
      </c>
      <c r="J778" s="6"/>
      <c r="K778" s="7"/>
      <c r="L778" s="13"/>
      <c r="M778" s="8"/>
      <c r="N778" s="13"/>
      <c r="O778" s="13"/>
      <c r="P778" s="13"/>
      <c r="Q778" s="7"/>
      <c r="R778" s="6">
        <v>9.1999999999999998E-2</v>
      </c>
      <c r="S778" s="5"/>
      <c r="T778" s="1"/>
      <c r="U778" s="6" t="s">
        <v>1694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IRONCLAD_ROME</v>
      </c>
      <c r="B779" s="9" t="s">
        <v>760</v>
      </c>
      <c r="C779" s="5" t="s">
        <v>734</v>
      </c>
      <c r="D779" s="5"/>
      <c r="E779" s="5" t="s">
        <v>760</v>
      </c>
      <c r="F779" s="5" t="s">
        <v>760</v>
      </c>
      <c r="G779" s="5"/>
      <c r="H779" s="5" t="s">
        <v>1926</v>
      </c>
      <c r="I779" s="5" t="s">
        <v>1941</v>
      </c>
      <c r="J779" s="6"/>
      <c r="K779" s="7"/>
      <c r="L779" s="13"/>
      <c r="M779" s="8"/>
      <c r="N779" s="13"/>
      <c r="O779" s="13"/>
      <c r="P779" s="13"/>
      <c r="Q779" s="7"/>
      <c r="R779" s="6">
        <v>8.5000000000000006E-2</v>
      </c>
      <c r="S779" s="5"/>
      <c r="T779" s="1"/>
      <c r="U779" s="6">
        <v>0.08</v>
      </c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IRONCLAD_SPAIN</v>
      </c>
      <c r="B780" s="9" t="s">
        <v>760</v>
      </c>
      <c r="C780" s="5" t="s">
        <v>738</v>
      </c>
      <c r="D780" s="5" t="s">
        <v>692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6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IRONCLAD_NORTHAF</v>
      </c>
      <c r="B781" s="9" t="s">
        <v>760</v>
      </c>
      <c r="C781" s="5" t="s">
        <v>2009</v>
      </c>
      <c r="D781" s="5" t="s">
        <v>715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IRONCLAD_SEASIA</v>
      </c>
      <c r="B782" s="9" t="s">
        <v>760</v>
      </c>
      <c r="C782" s="5" t="s">
        <v>696</v>
      </c>
      <c r="D782" s="5" t="s">
        <v>715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5"/>
      <c r="AM782" s="5"/>
      <c r="AN782" s="5"/>
      <c r="AO782" s="5"/>
      <c r="AP782" s="5"/>
      <c r="AQ782" s="5"/>
    </row>
    <row r="783" spans="1:43" x14ac:dyDescent="0.25">
      <c r="A783" s="161" t="str">
        <f t="shared" si="14"/>
        <v>IRONCLAD_SOUTHAS</v>
      </c>
      <c r="B783" s="9" t="s">
        <v>760</v>
      </c>
      <c r="C783" s="5" t="s">
        <v>695</v>
      </c>
      <c r="D783" s="5" t="s">
        <v>713</v>
      </c>
      <c r="E783" s="5" t="s">
        <v>760</v>
      </c>
      <c r="F783" s="5" t="s">
        <v>760</v>
      </c>
      <c r="G783" s="5"/>
      <c r="H783" s="5"/>
      <c r="I783" s="5"/>
      <c r="J783" s="6"/>
      <c r="K783" s="7"/>
      <c r="L783" s="13"/>
      <c r="M783" s="8"/>
      <c r="N783" s="13"/>
      <c r="O783" s="13"/>
      <c r="P783" s="13"/>
      <c r="Q783" s="7"/>
      <c r="R783" s="6"/>
      <c r="S783" s="5"/>
      <c r="T783" s="6"/>
      <c r="U783" s="6"/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5"/>
      <c r="AM783" s="5"/>
      <c r="AN783" s="5"/>
      <c r="AO783" s="5"/>
      <c r="AP783" s="5"/>
      <c r="AQ783" s="5"/>
    </row>
    <row r="784" spans="1:43" x14ac:dyDescent="0.25">
      <c r="A784" s="161" t="str">
        <f t="shared" si="14"/>
        <v>JET_FIGHTER</v>
      </c>
      <c r="B784" s="9" t="s">
        <v>761</v>
      </c>
      <c r="C784" s="5"/>
      <c r="D784" s="5"/>
      <c r="E784" s="5" t="s">
        <v>761</v>
      </c>
      <c r="F784" s="5" t="s">
        <v>794</v>
      </c>
      <c r="G784" s="5"/>
      <c r="H784" s="5" t="s">
        <v>1502</v>
      </c>
      <c r="I784" s="5" t="s">
        <v>102</v>
      </c>
      <c r="J784" s="6"/>
      <c r="K784" s="7"/>
      <c r="L784" s="13" t="s">
        <v>1710</v>
      </c>
      <c r="M784" s="8">
        <v>2.5</v>
      </c>
      <c r="N784" s="13" t="s">
        <v>1724</v>
      </c>
      <c r="O784" s="13"/>
      <c r="P784" s="13"/>
      <c r="Q784" s="7">
        <v>1</v>
      </c>
      <c r="R784" s="6">
        <v>0.11</v>
      </c>
      <c r="S784" s="13" t="s">
        <v>1620</v>
      </c>
      <c r="T784" s="7">
        <v>2</v>
      </c>
      <c r="U784" s="6">
        <v>0.105</v>
      </c>
      <c r="V784" s="5" t="s">
        <v>1620</v>
      </c>
      <c r="W784" s="6" t="s">
        <v>3</v>
      </c>
      <c r="X784" s="6" t="s">
        <v>3</v>
      </c>
      <c r="Y784" s="5"/>
      <c r="Z784" s="6"/>
      <c r="AA784" s="6"/>
      <c r="AB784" s="5"/>
      <c r="AC784" s="6"/>
      <c r="AD784" s="6" t="s">
        <v>3</v>
      </c>
      <c r="AE784" s="5"/>
      <c r="AF784" s="6"/>
      <c r="AG784" s="6"/>
      <c r="AH784" s="5"/>
      <c r="AI784" s="6"/>
      <c r="AJ784" s="6"/>
      <c r="AK784" s="5"/>
      <c r="AL784" s="5"/>
      <c r="AM784" s="5"/>
      <c r="AN784" s="5"/>
      <c r="AO784" s="5"/>
      <c r="AP784" s="5"/>
      <c r="AQ784" s="5"/>
    </row>
    <row r="785" spans="1:43" x14ac:dyDescent="0.25">
      <c r="A785" s="161" t="str">
        <f t="shared" si="14"/>
        <v>JET_FIGHTER_ZULU</v>
      </c>
      <c r="B785" s="9" t="s">
        <v>761</v>
      </c>
      <c r="C785" s="5" t="s">
        <v>742</v>
      </c>
      <c r="D785" s="5" t="s">
        <v>713</v>
      </c>
      <c r="E785" s="5" t="s">
        <v>761</v>
      </c>
      <c r="F785" s="5" t="s">
        <v>794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13"/>
      <c r="T785" s="7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5"/>
      <c r="AM785" s="5"/>
      <c r="AN785" s="5"/>
      <c r="AO785" s="5"/>
      <c r="AP785" s="5"/>
      <c r="AQ785" s="5"/>
    </row>
    <row r="786" spans="1:43" x14ac:dyDescent="0.25">
      <c r="A786" s="161" t="str">
        <f t="shared" si="14"/>
        <v>JET_FIGHTER_AMER</v>
      </c>
      <c r="B786" s="9" t="s">
        <v>761</v>
      </c>
      <c r="C786" s="5" t="s">
        <v>697</v>
      </c>
      <c r="D786" s="5" t="s">
        <v>699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5"/>
      <c r="AM786" s="5"/>
      <c r="AN786" s="5"/>
      <c r="AO786" s="5"/>
      <c r="AP786" s="5"/>
      <c r="AQ786" s="5"/>
    </row>
    <row r="787" spans="1:43" x14ac:dyDescent="0.25">
      <c r="A787" s="161" t="str">
        <f t="shared" si="14"/>
        <v>JET_FIGHTER_IROQUOIS</v>
      </c>
      <c r="B787" s="9" t="s">
        <v>761</v>
      </c>
      <c r="C787" s="5" t="s">
        <v>721</v>
      </c>
      <c r="D787" s="5" t="s">
        <v>2207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5"/>
      <c r="AM787" s="5"/>
      <c r="AN787" s="5"/>
      <c r="AO787" s="5"/>
      <c r="AP787" s="5"/>
      <c r="AQ787" s="5"/>
    </row>
    <row r="788" spans="1:43" x14ac:dyDescent="0.25">
      <c r="A788" s="161" t="str">
        <f t="shared" si="14"/>
        <v>JET_FIGHTER_ASIA</v>
      </c>
      <c r="B788" s="9" t="s">
        <v>761</v>
      </c>
      <c r="C788" s="5" t="s">
        <v>693</v>
      </c>
      <c r="D788" s="5" t="s">
        <v>698</v>
      </c>
      <c r="E788" s="5" t="s">
        <v>761</v>
      </c>
      <c r="F788" s="5" t="s">
        <v>794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13"/>
      <c r="T788" s="7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5"/>
      <c r="AM788" s="5"/>
      <c r="AN788" s="5"/>
      <c r="AO788" s="5"/>
      <c r="AP788" s="5"/>
      <c r="AQ788" s="5"/>
    </row>
    <row r="789" spans="1:43" x14ac:dyDescent="0.25">
      <c r="A789" s="161" t="str">
        <f t="shared" si="14"/>
        <v>JET_FIGHTER_JAPAN</v>
      </c>
      <c r="B789" s="9" t="s">
        <v>761</v>
      </c>
      <c r="C789" s="4" t="s">
        <v>722</v>
      </c>
      <c r="E789" s="4" t="s">
        <v>761</v>
      </c>
      <c r="F789" s="4" t="s">
        <v>794</v>
      </c>
      <c r="G789" s="14" t="s">
        <v>132</v>
      </c>
      <c r="H789" s="4" t="s">
        <v>482</v>
      </c>
      <c r="I789" s="4" t="s">
        <v>120</v>
      </c>
    </row>
    <row r="790" spans="1:43" x14ac:dyDescent="0.25">
      <c r="A790" s="161" t="str">
        <f t="shared" si="14"/>
        <v>JET_FIGHTER_KOREA</v>
      </c>
      <c r="B790" s="9" t="s">
        <v>761</v>
      </c>
      <c r="C790" s="4" t="s">
        <v>723</v>
      </c>
      <c r="E790" s="4" t="s">
        <v>761</v>
      </c>
      <c r="F790" s="4" t="s">
        <v>794</v>
      </c>
      <c r="G790" s="14" t="s">
        <v>132</v>
      </c>
      <c r="H790" s="4" t="s">
        <v>499</v>
      </c>
      <c r="I790" s="4" t="s">
        <v>120</v>
      </c>
    </row>
    <row r="791" spans="1:43" x14ac:dyDescent="0.25">
      <c r="A791" s="161" t="str">
        <f t="shared" si="14"/>
        <v>JET_FIGHTER_OTTOMAN</v>
      </c>
      <c r="B791" s="9" t="s">
        <v>761</v>
      </c>
      <c r="C791" s="4" t="s">
        <v>1037</v>
      </c>
      <c r="E791" s="4" t="s">
        <v>761</v>
      </c>
      <c r="F791" s="4" t="s">
        <v>794</v>
      </c>
      <c r="G791" s="14" t="s">
        <v>132</v>
      </c>
      <c r="H791" s="4" t="s">
        <v>1039</v>
      </c>
      <c r="I791" s="4" t="s">
        <v>120</v>
      </c>
    </row>
    <row r="792" spans="1:43" x14ac:dyDescent="0.25">
      <c r="A792" s="161" t="str">
        <f t="shared" si="14"/>
        <v>JET_FIGHTER_EASTEU</v>
      </c>
      <c r="B792" s="9" t="s">
        <v>761</v>
      </c>
      <c r="C792" s="4" t="s">
        <v>698</v>
      </c>
      <c r="E792" s="4" t="s">
        <v>761</v>
      </c>
      <c r="F792" s="4" t="s">
        <v>794</v>
      </c>
      <c r="G792" s="14"/>
      <c r="H792" s="5" t="s">
        <v>1937</v>
      </c>
      <c r="I792" s="4" t="s">
        <v>120</v>
      </c>
      <c r="J792" s="6"/>
    </row>
    <row r="793" spans="1:43" x14ac:dyDescent="0.25">
      <c r="A793" s="161" t="str">
        <f t="shared" si="14"/>
        <v>JET_FIGHTER_KIEV</v>
      </c>
      <c r="B793" s="9" t="s">
        <v>761</v>
      </c>
      <c r="C793" s="4" t="s">
        <v>1187</v>
      </c>
      <c r="E793" s="4" t="s">
        <v>761</v>
      </c>
      <c r="F793" s="4" t="s">
        <v>794</v>
      </c>
      <c r="G793" s="14"/>
      <c r="H793" s="5" t="s">
        <v>1938</v>
      </c>
      <c r="I793" s="4" t="s">
        <v>120</v>
      </c>
      <c r="J793" s="6"/>
    </row>
    <row r="794" spans="1:43" x14ac:dyDescent="0.25">
      <c r="A794" s="161" t="str">
        <f t="shared" si="14"/>
        <v>JET_FIGHTER_RUSSIA</v>
      </c>
      <c r="B794" s="9" t="s">
        <v>761</v>
      </c>
      <c r="C794" s="4" t="s">
        <v>735</v>
      </c>
      <c r="E794" s="4" t="s">
        <v>761</v>
      </c>
      <c r="F794" s="4" t="s">
        <v>794</v>
      </c>
      <c r="G794" s="14" t="s">
        <v>132</v>
      </c>
      <c r="H794" s="4" t="s">
        <v>615</v>
      </c>
      <c r="I794" s="4" t="s">
        <v>120</v>
      </c>
    </row>
    <row r="795" spans="1:43" x14ac:dyDescent="0.25">
      <c r="A795" s="161" t="str">
        <f t="shared" si="14"/>
        <v>JET_FIGHTER_AMERICA</v>
      </c>
      <c r="B795" s="9" t="s">
        <v>761</v>
      </c>
      <c r="C795" s="4" t="s">
        <v>699</v>
      </c>
      <c r="E795" s="4" t="s">
        <v>761</v>
      </c>
      <c r="F795" s="4" t="s">
        <v>794</v>
      </c>
      <c r="G795" s="14"/>
      <c r="H795" s="4" t="s">
        <v>141</v>
      </c>
      <c r="I795" s="4" t="s">
        <v>1933</v>
      </c>
      <c r="R795" s="11">
        <v>0.115</v>
      </c>
      <c r="U795" s="11">
        <v>0.11</v>
      </c>
    </row>
    <row r="796" spans="1:43" x14ac:dyDescent="0.25">
      <c r="A796" s="161" t="str">
        <f t="shared" si="14"/>
        <v>JET_FIGHTER_AUSTRALIA</v>
      </c>
      <c r="B796" s="9" t="s">
        <v>761</v>
      </c>
      <c r="C796" s="4" t="s">
        <v>1302</v>
      </c>
      <c r="D796" s="4" t="s">
        <v>713</v>
      </c>
      <c r="E796" s="4" t="s">
        <v>761</v>
      </c>
      <c r="F796" s="4" t="s">
        <v>794</v>
      </c>
      <c r="G796" s="14"/>
    </row>
    <row r="797" spans="1:43" x14ac:dyDescent="0.25">
      <c r="A797" s="161" t="str">
        <f t="shared" si="14"/>
        <v>JET_FIGHTER_AUSTRIA</v>
      </c>
      <c r="B797" s="9" t="s">
        <v>761</v>
      </c>
      <c r="C797" s="4" t="s">
        <v>701</v>
      </c>
      <c r="E797" s="4" t="s">
        <v>761</v>
      </c>
      <c r="F797" s="4" t="s">
        <v>794</v>
      </c>
      <c r="G797" s="14"/>
      <c r="H797" s="4" t="s">
        <v>181</v>
      </c>
      <c r="I797" s="4" t="s">
        <v>120</v>
      </c>
      <c r="R797" s="11">
        <v>0.12</v>
      </c>
    </row>
    <row r="798" spans="1:43" x14ac:dyDescent="0.25">
      <c r="A798" s="161" t="str">
        <f t="shared" si="14"/>
        <v>JET_FIGHTER_CANADA</v>
      </c>
      <c r="B798" s="9" t="s">
        <v>761</v>
      </c>
      <c r="C798" s="4" t="s">
        <v>2207</v>
      </c>
      <c r="E798" s="4" t="s">
        <v>761</v>
      </c>
      <c r="F798" s="4" t="s">
        <v>794</v>
      </c>
      <c r="G798" s="14"/>
      <c r="H798" s="4" t="s">
        <v>2210</v>
      </c>
      <c r="I798" s="4" t="s">
        <v>2211</v>
      </c>
    </row>
    <row r="799" spans="1:43" x14ac:dyDescent="0.25">
      <c r="A799" s="161" t="str">
        <f t="shared" si="14"/>
        <v>JET_FIGHTER_CELTS</v>
      </c>
      <c r="B799" s="9" t="s">
        <v>761</v>
      </c>
      <c r="C799" s="4" t="s">
        <v>709</v>
      </c>
      <c r="D799" s="4" t="s">
        <v>713</v>
      </c>
      <c r="E799" s="4" t="s">
        <v>761</v>
      </c>
      <c r="F799" s="4" t="s">
        <v>794</v>
      </c>
      <c r="G799" s="14"/>
    </row>
    <row r="800" spans="1:43" x14ac:dyDescent="0.25">
      <c r="A800" s="161" t="str">
        <f t="shared" si="14"/>
        <v>JET_FIGHTER_ENGLAND</v>
      </c>
      <c r="B800" s="9" t="s">
        <v>761</v>
      </c>
      <c r="C800" s="4" t="s">
        <v>713</v>
      </c>
      <c r="E800" s="4" t="s">
        <v>761</v>
      </c>
      <c r="F800" s="4" t="s">
        <v>794</v>
      </c>
      <c r="G800" s="14" t="s">
        <v>132</v>
      </c>
      <c r="H800" s="4" t="s">
        <v>301</v>
      </c>
      <c r="I800" s="4" t="s">
        <v>120</v>
      </c>
      <c r="R800" s="11">
        <v>0.12</v>
      </c>
    </row>
    <row r="801" spans="1:21" x14ac:dyDescent="0.25">
      <c r="A801" s="161" t="str">
        <f t="shared" si="14"/>
        <v>JET_FIGHTER_FRANCE</v>
      </c>
      <c r="B801" s="9" t="s">
        <v>761</v>
      </c>
      <c r="C801" s="4" t="s">
        <v>715</v>
      </c>
      <c r="E801" s="4" t="s">
        <v>761</v>
      </c>
      <c r="F801" s="4" t="s">
        <v>794</v>
      </c>
      <c r="G801" s="14" t="s">
        <v>132</v>
      </c>
      <c r="H801" s="4" t="s">
        <v>347</v>
      </c>
      <c r="I801" s="4" t="s">
        <v>966</v>
      </c>
      <c r="R801" s="11">
        <v>0.105</v>
      </c>
      <c r="U801" s="11">
        <v>0.1</v>
      </c>
    </row>
    <row r="802" spans="1:21" x14ac:dyDescent="0.25">
      <c r="A802" s="161" t="str">
        <f t="shared" si="14"/>
        <v>JET_FIGHTER_GERMANY</v>
      </c>
      <c r="B802" s="9" t="s">
        <v>761</v>
      </c>
      <c r="C802" s="4" t="s">
        <v>717</v>
      </c>
      <c r="E802" s="4" t="s">
        <v>761</v>
      </c>
      <c r="F802" s="4" t="s">
        <v>794</v>
      </c>
      <c r="G802" s="14" t="s">
        <v>132</v>
      </c>
      <c r="H802" s="4" t="s">
        <v>378</v>
      </c>
      <c r="I802" s="4" t="s">
        <v>120</v>
      </c>
    </row>
    <row r="803" spans="1:21" x14ac:dyDescent="0.25">
      <c r="A803" s="161" t="str">
        <f t="shared" si="14"/>
        <v>JET_FIGHTER_GREECE</v>
      </c>
      <c r="B803" s="9" t="s">
        <v>761</v>
      </c>
      <c r="C803" s="4" t="s">
        <v>718</v>
      </c>
      <c r="E803" s="4" t="s">
        <v>761</v>
      </c>
      <c r="F803" s="4" t="s">
        <v>794</v>
      </c>
      <c r="G803" s="14" t="s">
        <v>132</v>
      </c>
      <c r="H803" s="4" t="s">
        <v>405</v>
      </c>
      <c r="I803" s="4" t="s">
        <v>120</v>
      </c>
    </row>
    <row r="804" spans="1:21" x14ac:dyDescent="0.25">
      <c r="A804" s="161" t="str">
        <f t="shared" si="14"/>
        <v>JET_FIGHTER_PORTUGAL</v>
      </c>
      <c r="B804" s="9" t="s">
        <v>761</v>
      </c>
      <c r="C804" s="4" t="s">
        <v>733</v>
      </c>
      <c r="E804" s="4" t="s">
        <v>761</v>
      </c>
      <c r="F804" s="4" t="s">
        <v>794</v>
      </c>
      <c r="G804" s="14" t="s">
        <v>132</v>
      </c>
      <c r="H804" s="4" t="s">
        <v>578</v>
      </c>
      <c r="I804" s="4" t="s">
        <v>1062</v>
      </c>
      <c r="R804" s="11">
        <v>0.105</v>
      </c>
      <c r="U804" s="11">
        <v>0.1</v>
      </c>
    </row>
    <row r="805" spans="1:21" x14ac:dyDescent="0.25">
      <c r="A805" s="161" t="str">
        <f t="shared" si="14"/>
        <v>JET_FIGHTER_ROME</v>
      </c>
      <c r="B805" s="9" t="s">
        <v>761</v>
      </c>
      <c r="C805" s="4" t="s">
        <v>734</v>
      </c>
      <c r="E805" s="4" t="s">
        <v>761</v>
      </c>
      <c r="F805" s="4" t="s">
        <v>794</v>
      </c>
      <c r="G805" s="14" t="s">
        <v>132</v>
      </c>
      <c r="H805" s="4" t="s">
        <v>591</v>
      </c>
      <c r="I805" s="4" t="s">
        <v>120</v>
      </c>
      <c r="R805" s="11">
        <v>0.12</v>
      </c>
    </row>
    <row r="806" spans="1:21" x14ac:dyDescent="0.25">
      <c r="A806" s="161" t="str">
        <f t="shared" si="14"/>
        <v>JET_FIGHTER_SPAIN</v>
      </c>
      <c r="B806" s="9" t="s">
        <v>761</v>
      </c>
      <c r="C806" s="4" t="s">
        <v>738</v>
      </c>
      <c r="E806" s="4" t="s">
        <v>761</v>
      </c>
      <c r="F806" s="4" t="s">
        <v>794</v>
      </c>
      <c r="G806" s="14" t="s">
        <v>132</v>
      </c>
      <c r="H806" s="4" t="s">
        <v>655</v>
      </c>
      <c r="I806" s="4" t="s">
        <v>120</v>
      </c>
      <c r="R806" s="11">
        <v>0.12</v>
      </c>
    </row>
    <row r="807" spans="1:21" x14ac:dyDescent="0.25">
      <c r="A807" s="161" t="str">
        <f t="shared" si="14"/>
        <v>JET_FIGHTER_BABYLON</v>
      </c>
      <c r="B807" s="9" t="s">
        <v>761</v>
      </c>
      <c r="C807" s="4" t="s">
        <v>703</v>
      </c>
      <c r="E807" s="4" t="s">
        <v>761</v>
      </c>
      <c r="F807" s="4" t="s">
        <v>794</v>
      </c>
      <c r="G807" s="14"/>
      <c r="H807" s="4" t="s">
        <v>210</v>
      </c>
      <c r="I807" s="4" t="s">
        <v>120</v>
      </c>
    </row>
    <row r="808" spans="1:21" x14ac:dyDescent="0.25">
      <c r="A808" s="161" t="str">
        <f t="shared" si="14"/>
        <v>JET_FIGHTER_EGYPT</v>
      </c>
      <c r="B808" s="9" t="s">
        <v>761</v>
      </c>
      <c r="C808" s="4" t="s">
        <v>712</v>
      </c>
      <c r="E808" s="4" t="s">
        <v>761</v>
      </c>
      <c r="F808" s="4" t="s">
        <v>794</v>
      </c>
      <c r="G808" s="14" t="s">
        <v>132</v>
      </c>
      <c r="H808" s="4" t="s">
        <v>281</v>
      </c>
      <c r="I808" s="4" t="s">
        <v>120</v>
      </c>
    </row>
    <row r="809" spans="1:21" x14ac:dyDescent="0.25">
      <c r="A809" s="161" t="str">
        <f t="shared" si="14"/>
        <v>JET_FIGHTER_LEVANT</v>
      </c>
      <c r="B809" s="9" t="s">
        <v>761</v>
      </c>
      <c r="C809" s="4" t="s">
        <v>724</v>
      </c>
      <c r="E809" s="4" t="s">
        <v>761</v>
      </c>
      <c r="F809" s="4" t="s">
        <v>794</v>
      </c>
      <c r="G809" s="14" t="s">
        <v>132</v>
      </c>
      <c r="H809" s="4" t="s">
        <v>510</v>
      </c>
      <c r="I809" s="4" t="s">
        <v>120</v>
      </c>
    </row>
    <row r="810" spans="1:21" x14ac:dyDescent="0.25">
      <c r="A810" s="161" t="str">
        <f t="shared" si="14"/>
        <v>JET_FIGHTER_PERSIA</v>
      </c>
      <c r="B810" s="9" t="s">
        <v>761</v>
      </c>
      <c r="C810" s="4" t="s">
        <v>731</v>
      </c>
      <c r="E810" s="4" t="s">
        <v>761</v>
      </c>
      <c r="F810" s="4" t="s">
        <v>794</v>
      </c>
      <c r="G810" s="14" t="s">
        <v>132</v>
      </c>
      <c r="H810" s="4" t="s">
        <v>555</v>
      </c>
      <c r="I810" s="4" t="s">
        <v>120</v>
      </c>
    </row>
    <row r="811" spans="1:21" x14ac:dyDescent="0.25">
      <c r="A811" s="161" t="str">
        <f t="shared" si="14"/>
        <v>JET_FIGHTER_NORTHAF</v>
      </c>
      <c r="B811" s="9" t="s">
        <v>761</v>
      </c>
      <c r="C811" s="4" t="s">
        <v>2009</v>
      </c>
      <c r="D811" s="4" t="s">
        <v>715</v>
      </c>
      <c r="E811" s="4" t="s">
        <v>761</v>
      </c>
      <c r="F811" s="4" t="s">
        <v>794</v>
      </c>
      <c r="G811" s="14"/>
    </row>
    <row r="812" spans="1:21" x14ac:dyDescent="0.25">
      <c r="A812" s="161" t="str">
        <f t="shared" si="14"/>
        <v>JET_FIGHTER_NORTHEU</v>
      </c>
      <c r="B812" s="9" t="s">
        <v>761</v>
      </c>
      <c r="C812" s="4" t="s">
        <v>962</v>
      </c>
      <c r="E812" s="4" t="s">
        <v>761</v>
      </c>
      <c r="F812" s="4" t="s">
        <v>794</v>
      </c>
      <c r="G812" s="14"/>
      <c r="H812" s="4" t="s">
        <v>2218</v>
      </c>
      <c r="I812" s="4" t="s">
        <v>1062</v>
      </c>
    </row>
    <row r="813" spans="1:21" x14ac:dyDescent="0.25">
      <c r="A813" s="161" t="str">
        <f t="shared" si="14"/>
        <v>JET_FIGHTER_OCEAN</v>
      </c>
      <c r="B813" s="9" t="s">
        <v>761</v>
      </c>
      <c r="C813" s="4" t="s">
        <v>994</v>
      </c>
      <c r="D813" s="4" t="s">
        <v>699</v>
      </c>
      <c r="E813" s="4" t="s">
        <v>761</v>
      </c>
      <c r="F813" s="4" t="s">
        <v>794</v>
      </c>
      <c r="G813" s="14"/>
    </row>
    <row r="814" spans="1:21" x14ac:dyDescent="0.25">
      <c r="A814" s="161" t="str">
        <f t="shared" si="14"/>
        <v>JET_FIGHTER_SIAM</v>
      </c>
      <c r="B814" s="9" t="s">
        <v>761</v>
      </c>
      <c r="C814" s="4" t="s">
        <v>736</v>
      </c>
      <c r="E814" s="4" t="s">
        <v>761</v>
      </c>
      <c r="F814" s="4" t="s">
        <v>794</v>
      </c>
      <c r="G814" s="14" t="s">
        <v>132</v>
      </c>
      <c r="H814" s="4" t="s">
        <v>637</v>
      </c>
      <c r="I814" s="4" t="s">
        <v>1062</v>
      </c>
      <c r="R814" s="11">
        <v>0.105</v>
      </c>
      <c r="U814" s="11">
        <v>0.1</v>
      </c>
    </row>
    <row r="815" spans="1:21" x14ac:dyDescent="0.25">
      <c r="A815" s="161" t="str">
        <f t="shared" si="14"/>
        <v>JET_FIGHTER_SOUTHAM</v>
      </c>
      <c r="B815" s="9" t="s">
        <v>761</v>
      </c>
      <c r="C815" s="4" t="s">
        <v>691</v>
      </c>
      <c r="E815" s="4" t="s">
        <v>761</v>
      </c>
      <c r="F815" s="4" t="s">
        <v>794</v>
      </c>
      <c r="G815" s="14" t="s">
        <v>132</v>
      </c>
      <c r="H815" s="4" t="s">
        <v>421</v>
      </c>
      <c r="I815" s="4" t="s">
        <v>120</v>
      </c>
    </row>
    <row r="816" spans="1:21" x14ac:dyDescent="0.25">
      <c r="A816" s="161" t="str">
        <f t="shared" si="14"/>
        <v>JET_FIGHTER_SOUTHAS</v>
      </c>
      <c r="B816" s="9" t="s">
        <v>761</v>
      </c>
      <c r="C816" s="4" t="s">
        <v>695</v>
      </c>
      <c r="D816" s="4" t="s">
        <v>698</v>
      </c>
      <c r="E816" s="4" t="s">
        <v>761</v>
      </c>
      <c r="F816" s="4" t="s">
        <v>794</v>
      </c>
    </row>
    <row r="817" spans="1:43" x14ac:dyDescent="0.25">
      <c r="A817" s="161" t="str">
        <f t="shared" si="14"/>
        <v>JET_FIGHTER_INDIA</v>
      </c>
      <c r="B817" s="9" t="s">
        <v>761</v>
      </c>
      <c r="C817" s="4" t="s">
        <v>720</v>
      </c>
      <c r="E817" s="4" t="s">
        <v>761</v>
      </c>
      <c r="F817" s="4" t="s">
        <v>794</v>
      </c>
      <c r="H817" s="4" t="s">
        <v>435</v>
      </c>
      <c r="I817" s="4" t="s">
        <v>120</v>
      </c>
      <c r="R817" s="11">
        <v>0.115</v>
      </c>
    </row>
    <row r="818" spans="1:43" x14ac:dyDescent="0.25">
      <c r="A818" s="161" t="str">
        <f t="shared" ref="A818:A884" si="16">CONCATENATE(E818,IF(ISBLANK(C818),"",CONCATENATE("_",C818)))</f>
        <v>KNIGHT</v>
      </c>
      <c r="B818" s="9" t="s">
        <v>110</v>
      </c>
      <c r="C818" s="5"/>
      <c r="D818" s="5"/>
      <c r="E818" s="5" t="s">
        <v>110</v>
      </c>
      <c r="F818" s="5" t="s">
        <v>110</v>
      </c>
      <c r="G818" s="5"/>
      <c r="H818" s="5" t="s">
        <v>28</v>
      </c>
      <c r="I818" s="5" t="s">
        <v>128</v>
      </c>
      <c r="J818" s="6"/>
      <c r="K818" s="6"/>
      <c r="L818" s="13" t="s">
        <v>1713</v>
      </c>
      <c r="M818" s="8"/>
      <c r="N818" s="5"/>
      <c r="O818" s="5"/>
      <c r="P818" s="5"/>
      <c r="Q818" s="7" t="s">
        <v>1694</v>
      </c>
      <c r="R818" s="6" t="s">
        <v>1694</v>
      </c>
      <c r="S818" s="13" t="s">
        <v>1694</v>
      </c>
      <c r="T818" s="7" t="s">
        <v>1694</v>
      </c>
      <c r="U818" s="7" t="s">
        <v>1694</v>
      </c>
      <c r="V818" s="5"/>
      <c r="W818" s="6" t="s">
        <v>3</v>
      </c>
      <c r="X818" s="6" t="s">
        <v>3</v>
      </c>
      <c r="Y818" s="5"/>
      <c r="Z818" s="7">
        <v>1</v>
      </c>
      <c r="AA818" s="6"/>
      <c r="AB818" s="5"/>
      <c r="AC818" s="6"/>
      <c r="AD818" s="6" t="s">
        <v>3</v>
      </c>
      <c r="AE818" s="5"/>
      <c r="AF818" s="7" t="s">
        <v>1694</v>
      </c>
      <c r="AG818" s="6"/>
      <c r="AH818" s="5"/>
      <c r="AI818" s="6"/>
      <c r="AJ818" s="6"/>
      <c r="AK818" s="5"/>
      <c r="AL818" s="5"/>
      <c r="AM818" s="5"/>
      <c r="AN818" s="5"/>
      <c r="AO818" s="5"/>
      <c r="AP818" s="5"/>
      <c r="AQ818" s="5"/>
    </row>
    <row r="819" spans="1:43" x14ac:dyDescent="0.25">
      <c r="A819" s="161" t="str">
        <f t="shared" si="16"/>
        <v>KNIGHT_AFRI</v>
      </c>
      <c r="B819" s="9" t="s">
        <v>110</v>
      </c>
      <c r="C819" s="4" t="s">
        <v>694</v>
      </c>
      <c r="E819" s="4" t="s">
        <v>110</v>
      </c>
      <c r="F819" s="4" t="s">
        <v>110</v>
      </c>
      <c r="H819" s="4" t="s">
        <v>325</v>
      </c>
      <c r="I819" s="4" t="s">
        <v>1025</v>
      </c>
    </row>
    <row r="820" spans="1:43" x14ac:dyDescent="0.25">
      <c r="A820" s="161" t="str">
        <f t="shared" si="16"/>
        <v>KNIGHT_AMER</v>
      </c>
      <c r="B820" s="9" t="s">
        <v>110</v>
      </c>
      <c r="C820" s="4" t="s">
        <v>697</v>
      </c>
      <c r="E820" s="4" t="s">
        <v>110</v>
      </c>
      <c r="F820" s="4" t="s">
        <v>110</v>
      </c>
      <c r="H820" s="4" t="s">
        <v>633</v>
      </c>
      <c r="I820" s="4" t="s">
        <v>1013</v>
      </c>
    </row>
    <row r="821" spans="1:43" x14ac:dyDescent="0.25">
      <c r="A821" s="161" t="str">
        <f t="shared" si="16"/>
        <v>KNIGHT_IROQUOIS</v>
      </c>
      <c r="B821" s="9" t="s">
        <v>110</v>
      </c>
      <c r="C821" s="4" t="s">
        <v>721</v>
      </c>
      <c r="E821" s="4" t="s">
        <v>110</v>
      </c>
      <c r="F821" s="4" t="s">
        <v>110</v>
      </c>
      <c r="H821" s="4" t="s">
        <v>938</v>
      </c>
      <c r="I821" s="4" t="s">
        <v>1933</v>
      </c>
      <c r="Q821" s="11">
        <v>1</v>
      </c>
      <c r="T821" s="11">
        <v>1</v>
      </c>
      <c r="Z821" s="11">
        <v>0</v>
      </c>
      <c r="AF821" s="11">
        <v>1</v>
      </c>
      <c r="AI821" s="11">
        <v>0</v>
      </c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G822" s="4" t="s">
        <v>2045</v>
      </c>
      <c r="H822" s="4" t="s">
        <v>939</v>
      </c>
      <c r="I822" s="4" t="s">
        <v>1933</v>
      </c>
      <c r="Q822" s="11">
        <v>1</v>
      </c>
      <c r="T822" s="11">
        <v>2</v>
      </c>
      <c r="Z822" s="11">
        <v>1</v>
      </c>
      <c r="AF822" s="11">
        <v>1</v>
      </c>
      <c r="AI822" s="11">
        <v>1</v>
      </c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2047</v>
      </c>
      <c r="H823" s="4" t="s">
        <v>940</v>
      </c>
      <c r="I823" s="4" t="s">
        <v>1933</v>
      </c>
      <c r="Q823" s="11">
        <v>1</v>
      </c>
      <c r="T823" s="11">
        <v>1</v>
      </c>
      <c r="Z823" s="11">
        <v>0</v>
      </c>
      <c r="AF823" s="11">
        <v>0</v>
      </c>
      <c r="AI823" s="11">
        <v>0</v>
      </c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2046</v>
      </c>
      <c r="H824" s="4" t="s">
        <v>941</v>
      </c>
      <c r="I824" s="4" t="s">
        <v>1933</v>
      </c>
      <c r="Q824" s="9">
        <v>1</v>
      </c>
      <c r="T824" s="11">
        <v>1</v>
      </c>
      <c r="Z824" s="9">
        <v>0</v>
      </c>
      <c r="AF824" s="11">
        <v>0</v>
      </c>
      <c r="AI824" s="11">
        <v>0</v>
      </c>
    </row>
    <row r="825" spans="1:43" x14ac:dyDescent="0.25">
      <c r="A825" s="161" t="str">
        <f t="shared" si="16"/>
        <v>KNIGHT_IROQUOIS</v>
      </c>
      <c r="B825" s="9" t="s">
        <v>110</v>
      </c>
      <c r="C825" s="4" t="s">
        <v>721</v>
      </c>
      <c r="E825" s="4" t="s">
        <v>110</v>
      </c>
      <c r="F825" s="4" t="s">
        <v>110</v>
      </c>
      <c r="G825" s="4" t="s">
        <v>2056</v>
      </c>
      <c r="H825" s="4" t="s">
        <v>464</v>
      </c>
      <c r="I825" s="4" t="s">
        <v>1933</v>
      </c>
      <c r="Q825" s="9">
        <v>1</v>
      </c>
      <c r="T825" s="11">
        <v>2</v>
      </c>
      <c r="Z825" s="9">
        <v>0</v>
      </c>
      <c r="AF825" s="11">
        <v>1</v>
      </c>
      <c r="AI825" s="11">
        <v>1</v>
      </c>
    </row>
    <row r="826" spans="1:43" x14ac:dyDescent="0.25">
      <c r="A826" s="161" t="str">
        <f t="shared" si="16"/>
        <v>KNIGHT_ASIA</v>
      </c>
      <c r="B826" s="9" t="s">
        <v>110</v>
      </c>
      <c r="C826" s="4" t="s">
        <v>693</v>
      </c>
      <c r="E826" s="4" t="s">
        <v>110</v>
      </c>
      <c r="F826" s="4" t="s">
        <v>110</v>
      </c>
      <c r="H826" s="4" t="s">
        <v>530</v>
      </c>
      <c r="I826" s="4" t="s">
        <v>2096</v>
      </c>
    </row>
    <row r="827" spans="1:43" x14ac:dyDescent="0.25">
      <c r="A827" s="161" t="str">
        <f t="shared" si="16"/>
        <v>KNIGHT_CHINA</v>
      </c>
      <c r="B827" s="9" t="s">
        <v>110</v>
      </c>
      <c r="C827" s="4" t="s">
        <v>710</v>
      </c>
      <c r="E827" s="4" t="s">
        <v>110</v>
      </c>
      <c r="F827" s="4" t="s">
        <v>110</v>
      </c>
      <c r="G827" s="14" t="s">
        <v>132</v>
      </c>
      <c r="H827" s="4" t="s">
        <v>250</v>
      </c>
      <c r="I827" s="4" t="s">
        <v>102</v>
      </c>
    </row>
    <row r="828" spans="1:43" x14ac:dyDescent="0.25">
      <c r="A828" s="161" t="str">
        <f t="shared" si="16"/>
        <v>KNIGHT_JAPAN</v>
      </c>
      <c r="B828" s="9" t="s">
        <v>110</v>
      </c>
      <c r="C828" s="4" t="s">
        <v>722</v>
      </c>
      <c r="E828" s="4" t="s">
        <v>110</v>
      </c>
      <c r="F828" s="4" t="s">
        <v>110</v>
      </c>
      <c r="G828" s="14" t="s">
        <v>132</v>
      </c>
      <c r="H828" s="4" t="s">
        <v>483</v>
      </c>
      <c r="I828" s="10" t="s">
        <v>102</v>
      </c>
    </row>
    <row r="829" spans="1:43" x14ac:dyDescent="0.25">
      <c r="A829" s="161" t="str">
        <f t="shared" si="16"/>
        <v>KNIGHT_KOREA</v>
      </c>
      <c r="B829" s="9" t="s">
        <v>110</v>
      </c>
      <c r="C829" s="4" t="s">
        <v>723</v>
      </c>
      <c r="E829" s="4" t="s">
        <v>110</v>
      </c>
      <c r="F829" s="4" t="s">
        <v>110</v>
      </c>
      <c r="G829" s="14" t="s">
        <v>132</v>
      </c>
      <c r="H829" s="4" t="s">
        <v>500</v>
      </c>
      <c r="I829" s="4" t="s">
        <v>102</v>
      </c>
    </row>
    <row r="830" spans="1:43" x14ac:dyDescent="0.25">
      <c r="A830" s="161" t="str">
        <f t="shared" si="16"/>
        <v>KNIGHT_CENTAS</v>
      </c>
      <c r="B830" s="9" t="s">
        <v>110</v>
      </c>
      <c r="C830" s="4" t="s">
        <v>918</v>
      </c>
      <c r="E830" s="4" t="s">
        <v>110</v>
      </c>
      <c r="F830" s="4" t="s">
        <v>110</v>
      </c>
      <c r="H830" s="4" t="s">
        <v>909</v>
      </c>
      <c r="I830" s="4" t="s">
        <v>1063</v>
      </c>
    </row>
    <row r="831" spans="1:43" x14ac:dyDescent="0.25">
      <c r="A831" s="161" t="str">
        <f t="shared" si="16"/>
        <v>KNIGHT_OTTOMAN</v>
      </c>
      <c r="B831" s="9" t="s">
        <v>110</v>
      </c>
      <c r="C831" s="4" t="s">
        <v>1037</v>
      </c>
      <c r="E831" s="4" t="s">
        <v>110</v>
      </c>
      <c r="F831" s="4" t="s">
        <v>110</v>
      </c>
      <c r="H831" s="4" t="s">
        <v>1033</v>
      </c>
      <c r="I831" s="4" t="s">
        <v>2096</v>
      </c>
    </row>
    <row r="832" spans="1:43" x14ac:dyDescent="0.25">
      <c r="A832" s="161" t="str">
        <f t="shared" si="16"/>
        <v>KNIGHT_EASTEU</v>
      </c>
      <c r="B832" s="9" t="s">
        <v>110</v>
      </c>
      <c r="C832" s="4" t="s">
        <v>698</v>
      </c>
      <c r="E832" s="4" t="s">
        <v>110</v>
      </c>
      <c r="F832" s="4" t="s">
        <v>110</v>
      </c>
      <c r="H832" s="4" t="s">
        <v>2097</v>
      </c>
      <c r="I832" s="4" t="s">
        <v>1024</v>
      </c>
    </row>
    <row r="833" spans="1:32" x14ac:dyDescent="0.25">
      <c r="A833" s="161" t="str">
        <f t="shared" si="16"/>
        <v>KNIGHT_POLAN D</v>
      </c>
      <c r="B833" s="9" t="s">
        <v>110</v>
      </c>
      <c r="C833" s="4" t="s">
        <v>2180</v>
      </c>
      <c r="E833" s="4" t="s">
        <v>110</v>
      </c>
      <c r="F833" s="4" t="s">
        <v>110</v>
      </c>
      <c r="H833" s="4" t="s">
        <v>2179</v>
      </c>
      <c r="I833" s="4" t="s">
        <v>1024</v>
      </c>
    </row>
    <row r="834" spans="1:32" x14ac:dyDescent="0.25">
      <c r="A834" s="161" t="str">
        <f t="shared" si="16"/>
        <v>KNIGHT_RUSSIA</v>
      </c>
      <c r="B834" s="9" t="s">
        <v>110</v>
      </c>
      <c r="C834" s="4" t="s">
        <v>735</v>
      </c>
      <c r="E834" s="4" t="s">
        <v>110</v>
      </c>
      <c r="F834" s="4" t="s">
        <v>110</v>
      </c>
      <c r="H834" s="4" t="s">
        <v>616</v>
      </c>
      <c r="I834" s="4" t="s">
        <v>2096</v>
      </c>
      <c r="Q834" s="11">
        <v>1</v>
      </c>
      <c r="T834" s="11">
        <v>1</v>
      </c>
      <c r="Z834" s="11">
        <v>0</v>
      </c>
      <c r="AF834" s="11">
        <v>1</v>
      </c>
    </row>
    <row r="835" spans="1:32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G835" s="4" t="s">
        <v>2045</v>
      </c>
      <c r="H835" s="4" t="s">
        <v>1003</v>
      </c>
      <c r="I835" s="4" t="s">
        <v>2096</v>
      </c>
      <c r="Q835" s="11">
        <v>2</v>
      </c>
      <c r="T835" s="11">
        <v>2</v>
      </c>
      <c r="Z835" s="11">
        <v>1</v>
      </c>
      <c r="AF835" s="11">
        <v>1</v>
      </c>
    </row>
    <row r="836" spans="1:32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4" t="s">
        <v>2047</v>
      </c>
      <c r="H836" s="4" t="s">
        <v>1004</v>
      </c>
      <c r="I836" s="4" t="s">
        <v>2096</v>
      </c>
      <c r="Q836" s="11">
        <v>1</v>
      </c>
      <c r="T836" s="11">
        <v>2</v>
      </c>
      <c r="Z836" s="11">
        <v>0</v>
      </c>
      <c r="AF836" s="11">
        <v>1</v>
      </c>
    </row>
    <row r="837" spans="1:32" x14ac:dyDescent="0.25">
      <c r="A837" s="161" t="str">
        <f t="shared" si="16"/>
        <v>KNIGHT_RUSSIA</v>
      </c>
      <c r="B837" s="9" t="s">
        <v>110</v>
      </c>
      <c r="C837" s="4" t="s">
        <v>735</v>
      </c>
      <c r="E837" s="4" t="s">
        <v>110</v>
      </c>
      <c r="F837" s="4" t="s">
        <v>110</v>
      </c>
      <c r="G837" s="14" t="s">
        <v>132</v>
      </c>
      <c r="H837" s="4" t="s">
        <v>616</v>
      </c>
      <c r="I837" s="4" t="s">
        <v>2096</v>
      </c>
      <c r="Q837" s="9">
        <v>1</v>
      </c>
      <c r="T837" s="11">
        <v>2</v>
      </c>
      <c r="Z837" s="11">
        <v>0</v>
      </c>
      <c r="AF837" s="11">
        <v>0</v>
      </c>
    </row>
    <row r="838" spans="1:32" x14ac:dyDescent="0.25">
      <c r="A838" s="161" t="str">
        <f t="shared" si="16"/>
        <v>KNIGHT_ENGLAND</v>
      </c>
      <c r="B838" s="9" t="s">
        <v>110</v>
      </c>
      <c r="C838" s="4" t="s">
        <v>713</v>
      </c>
      <c r="E838" s="4" t="s">
        <v>110</v>
      </c>
      <c r="F838" s="4" t="s">
        <v>110</v>
      </c>
      <c r="H838" s="4" t="s">
        <v>863</v>
      </c>
      <c r="I838" s="4" t="s">
        <v>102</v>
      </c>
      <c r="Q838" s="9">
        <v>5</v>
      </c>
      <c r="T838" s="11">
        <v>1</v>
      </c>
      <c r="Z838" s="9">
        <v>0</v>
      </c>
      <c r="AF838" s="11">
        <v>0</v>
      </c>
    </row>
    <row r="839" spans="1:32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G839" s="4" t="s">
        <v>2045</v>
      </c>
      <c r="H839" s="4" t="s">
        <v>302</v>
      </c>
      <c r="I839" s="4" t="s">
        <v>125</v>
      </c>
      <c r="Q839" s="9">
        <v>0</v>
      </c>
      <c r="T839" s="11">
        <v>1</v>
      </c>
      <c r="Z839" s="9">
        <v>1</v>
      </c>
      <c r="AF839" s="11">
        <v>1</v>
      </c>
    </row>
    <row r="840" spans="1:32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H840" s="4" t="s">
        <v>863</v>
      </c>
      <c r="I840" s="4" t="s">
        <v>102</v>
      </c>
      <c r="Q840" s="9">
        <v>0</v>
      </c>
      <c r="T840" s="11">
        <v>2</v>
      </c>
      <c r="Z840" s="9">
        <v>0</v>
      </c>
      <c r="AF840" s="11">
        <v>1</v>
      </c>
    </row>
    <row r="841" spans="1:32" x14ac:dyDescent="0.25">
      <c r="A841" s="161" t="str">
        <f t="shared" si="16"/>
        <v>KNIGHT_ENGLAND</v>
      </c>
      <c r="B841" s="9" t="s">
        <v>110</v>
      </c>
      <c r="C841" s="4" t="s">
        <v>713</v>
      </c>
      <c r="E841" s="4" t="s">
        <v>110</v>
      </c>
      <c r="F841" s="4" t="s">
        <v>110</v>
      </c>
      <c r="G841" s="4" t="s">
        <v>2045</v>
      </c>
      <c r="H841" s="4" t="s">
        <v>302</v>
      </c>
      <c r="I841" s="4" t="s">
        <v>125</v>
      </c>
      <c r="Q841" s="9">
        <v>0</v>
      </c>
      <c r="T841" s="11">
        <v>3</v>
      </c>
      <c r="Z841" s="9">
        <v>0</v>
      </c>
      <c r="AF841" s="11">
        <v>1</v>
      </c>
    </row>
    <row r="842" spans="1:32" x14ac:dyDescent="0.25">
      <c r="A842" s="161" t="str">
        <f t="shared" si="16"/>
        <v>KNIGHT_FRANCE</v>
      </c>
      <c r="B842" s="9" t="s">
        <v>110</v>
      </c>
      <c r="C842" s="4" t="s">
        <v>715</v>
      </c>
      <c r="E842" s="4" t="s">
        <v>110</v>
      </c>
      <c r="F842" s="4" t="s">
        <v>110</v>
      </c>
      <c r="H842" s="4" t="s">
        <v>874</v>
      </c>
      <c r="I842" s="4" t="s">
        <v>125</v>
      </c>
      <c r="Q842" s="9">
        <v>0</v>
      </c>
      <c r="T842" s="11">
        <v>1</v>
      </c>
      <c r="Z842" s="9">
        <v>0</v>
      </c>
      <c r="AF842" s="11">
        <v>1</v>
      </c>
    </row>
    <row r="843" spans="1:32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G843" s="4" t="s">
        <v>2045</v>
      </c>
      <c r="H843" s="4" t="s">
        <v>875</v>
      </c>
      <c r="I843" s="4" t="s">
        <v>102</v>
      </c>
      <c r="Q843" s="9">
        <v>1</v>
      </c>
      <c r="T843" s="11">
        <v>1</v>
      </c>
      <c r="Z843" s="9">
        <v>1</v>
      </c>
      <c r="AF843" s="11">
        <v>1</v>
      </c>
    </row>
    <row r="844" spans="1:32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G844" s="4" t="s">
        <v>2047</v>
      </c>
      <c r="H844" s="4" t="s">
        <v>348</v>
      </c>
      <c r="I844" s="4" t="s">
        <v>102</v>
      </c>
      <c r="Q844" s="9">
        <v>2</v>
      </c>
      <c r="T844" s="11">
        <v>1</v>
      </c>
      <c r="Z844" s="9">
        <v>0</v>
      </c>
      <c r="AF844" s="11">
        <v>1</v>
      </c>
    </row>
    <row r="845" spans="1:32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H845" s="4" t="s">
        <v>874</v>
      </c>
      <c r="I845" s="4" t="s">
        <v>125</v>
      </c>
      <c r="Q845" s="9">
        <v>0</v>
      </c>
      <c r="T845" s="11">
        <v>1</v>
      </c>
      <c r="Z845" s="9">
        <v>0</v>
      </c>
      <c r="AF845" s="11">
        <v>0</v>
      </c>
    </row>
    <row r="846" spans="1:32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G846" s="4" t="s">
        <v>2045</v>
      </c>
      <c r="H846" s="4" t="s">
        <v>875</v>
      </c>
      <c r="I846" s="4" t="s">
        <v>102</v>
      </c>
      <c r="Q846" s="9">
        <v>1</v>
      </c>
      <c r="T846" s="11">
        <v>1</v>
      </c>
      <c r="Z846" s="9">
        <v>0</v>
      </c>
      <c r="AF846" s="11">
        <v>0</v>
      </c>
    </row>
    <row r="847" spans="1:32" x14ac:dyDescent="0.25">
      <c r="A847" s="161" t="str">
        <f t="shared" si="16"/>
        <v>KNIGHT_FRANCE</v>
      </c>
      <c r="B847" s="9" t="s">
        <v>110</v>
      </c>
      <c r="C847" s="4" t="s">
        <v>715</v>
      </c>
      <c r="E847" s="4" t="s">
        <v>110</v>
      </c>
      <c r="F847" s="4" t="s">
        <v>110</v>
      </c>
      <c r="G847" s="4" t="s">
        <v>2047</v>
      </c>
      <c r="H847" s="4" t="s">
        <v>348</v>
      </c>
      <c r="I847" s="4" t="s">
        <v>102</v>
      </c>
      <c r="Q847" s="9">
        <v>1</v>
      </c>
      <c r="T847" s="11">
        <v>2</v>
      </c>
      <c r="Z847" s="9">
        <v>0</v>
      </c>
      <c r="AF847" s="11">
        <v>0</v>
      </c>
    </row>
    <row r="848" spans="1:32" x14ac:dyDescent="0.25">
      <c r="A848" s="161" t="str">
        <f t="shared" si="16"/>
        <v>KNIGHT_GERMANY</v>
      </c>
      <c r="B848" s="9" t="s">
        <v>110</v>
      </c>
      <c r="C848" s="4" t="s">
        <v>717</v>
      </c>
      <c r="E848" s="4" t="s">
        <v>110</v>
      </c>
      <c r="F848" s="4" t="s">
        <v>110</v>
      </c>
      <c r="H848" s="4" t="s">
        <v>888</v>
      </c>
      <c r="I848" s="4" t="s">
        <v>102</v>
      </c>
      <c r="Q848" s="9">
        <v>1</v>
      </c>
      <c r="T848" s="11">
        <v>1</v>
      </c>
      <c r="Z848" s="9">
        <v>1</v>
      </c>
      <c r="AF848" s="11">
        <v>1</v>
      </c>
    </row>
    <row r="849" spans="1:35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G849" s="4" t="s">
        <v>2045</v>
      </c>
      <c r="H849" s="4" t="s">
        <v>889</v>
      </c>
      <c r="I849" s="4" t="s">
        <v>122</v>
      </c>
      <c r="Q849" s="9">
        <v>1</v>
      </c>
      <c r="T849" s="11">
        <v>1</v>
      </c>
      <c r="Z849" s="9">
        <v>0</v>
      </c>
      <c r="AF849" s="11">
        <v>1</v>
      </c>
    </row>
    <row r="850" spans="1:35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2047</v>
      </c>
      <c r="H850" s="4" t="s">
        <v>890</v>
      </c>
      <c r="I850" s="4" t="s">
        <v>122</v>
      </c>
      <c r="Q850" s="9">
        <v>1</v>
      </c>
      <c r="T850" s="11">
        <v>1</v>
      </c>
      <c r="Z850" s="9">
        <v>0</v>
      </c>
      <c r="AF850" s="11">
        <v>1</v>
      </c>
    </row>
    <row r="851" spans="1:35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2046</v>
      </c>
      <c r="H851" s="4" t="s">
        <v>891</v>
      </c>
      <c r="I851" s="4" t="s">
        <v>122</v>
      </c>
      <c r="Q851" s="9">
        <v>1</v>
      </c>
      <c r="T851" s="11">
        <v>1</v>
      </c>
      <c r="Z851" s="9">
        <v>0</v>
      </c>
      <c r="AF851" s="11">
        <v>0</v>
      </c>
    </row>
    <row r="852" spans="1:35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2056</v>
      </c>
      <c r="H852" s="4" t="s">
        <v>892</v>
      </c>
      <c r="I852" s="4" t="s">
        <v>122</v>
      </c>
      <c r="Q852" s="9">
        <v>0</v>
      </c>
      <c r="T852" s="11">
        <v>1</v>
      </c>
      <c r="Z852" s="9">
        <v>0</v>
      </c>
      <c r="AF852" s="11">
        <v>0</v>
      </c>
    </row>
    <row r="853" spans="1:35" x14ac:dyDescent="0.25">
      <c r="A853" s="161" t="str">
        <f t="shared" si="16"/>
        <v>KNIGHT_GERMANY</v>
      </c>
      <c r="B853" s="9" t="s">
        <v>110</v>
      </c>
      <c r="C853" s="4" t="s">
        <v>717</v>
      </c>
      <c r="E853" s="4" t="s">
        <v>110</v>
      </c>
      <c r="F853" s="4" t="s">
        <v>110</v>
      </c>
      <c r="G853" s="4" t="s">
        <v>2057</v>
      </c>
      <c r="H853" s="4" t="s">
        <v>379</v>
      </c>
      <c r="I853" s="4" t="s">
        <v>122</v>
      </c>
      <c r="Q853" s="9">
        <v>1</v>
      </c>
      <c r="T853" s="11">
        <v>2</v>
      </c>
      <c r="Z853" s="9">
        <v>0</v>
      </c>
      <c r="AF853" s="11">
        <v>0</v>
      </c>
    </row>
    <row r="854" spans="1:35" x14ac:dyDescent="0.25">
      <c r="A854" s="161" t="str">
        <f t="shared" si="16"/>
        <v>KNIGHT_WITTENBERG</v>
      </c>
      <c r="B854" s="9" t="s">
        <v>110</v>
      </c>
      <c r="C854" s="4" t="s">
        <v>1215</v>
      </c>
      <c r="E854" s="4" t="s">
        <v>110</v>
      </c>
      <c r="F854" s="4" t="s">
        <v>110</v>
      </c>
      <c r="H854" s="4" t="s">
        <v>1956</v>
      </c>
      <c r="I854" s="4" t="s">
        <v>1957</v>
      </c>
      <c r="Q854" s="9"/>
      <c r="Z854" s="9"/>
    </row>
    <row r="855" spans="1:35" x14ac:dyDescent="0.25">
      <c r="A855" s="161" t="str">
        <f t="shared" si="16"/>
        <v>KNIGHT_CARTHAGE</v>
      </c>
      <c r="B855" s="9" t="s">
        <v>110</v>
      </c>
      <c r="C855" s="4" t="s">
        <v>708</v>
      </c>
      <c r="E855" s="4" t="s">
        <v>110</v>
      </c>
      <c r="F855" s="4" t="s">
        <v>110</v>
      </c>
      <c r="H855" s="4" t="s">
        <v>2705</v>
      </c>
      <c r="I855" s="4" t="s">
        <v>1025</v>
      </c>
      <c r="Q855" s="9"/>
      <c r="Z855" s="9"/>
    </row>
    <row r="856" spans="1:35" x14ac:dyDescent="0.25">
      <c r="A856" s="161" t="str">
        <f t="shared" si="16"/>
        <v>KNIGHT_GREECE</v>
      </c>
      <c r="B856" s="9" t="s">
        <v>110</v>
      </c>
      <c r="C856" s="4" t="s">
        <v>718</v>
      </c>
      <c r="E856" s="4" t="s">
        <v>110</v>
      </c>
      <c r="F856" s="4" t="s">
        <v>110</v>
      </c>
      <c r="G856" s="14" t="s">
        <v>132</v>
      </c>
      <c r="H856" s="4" t="s">
        <v>406</v>
      </c>
      <c r="I856" s="4" t="s">
        <v>102</v>
      </c>
      <c r="Q856" s="9">
        <v>1</v>
      </c>
      <c r="T856" s="9">
        <v>2</v>
      </c>
      <c r="W856" s="9"/>
      <c r="Z856" s="9">
        <v>1</v>
      </c>
      <c r="AF856" s="9">
        <v>1</v>
      </c>
      <c r="AI856" s="9"/>
    </row>
    <row r="857" spans="1:35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1072</v>
      </c>
      <c r="I857" s="4" t="s">
        <v>102</v>
      </c>
      <c r="Q857" s="9">
        <v>1</v>
      </c>
      <c r="T857" s="9">
        <v>1</v>
      </c>
      <c r="W857" s="9"/>
      <c r="Z857" s="9">
        <v>0</v>
      </c>
      <c r="AF857" s="9">
        <v>1</v>
      </c>
      <c r="AI857" s="9"/>
    </row>
    <row r="858" spans="1:35" x14ac:dyDescent="0.25">
      <c r="A858" s="161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406</v>
      </c>
      <c r="I858" s="4" t="s">
        <v>102</v>
      </c>
      <c r="Q858" s="9">
        <v>2</v>
      </c>
      <c r="T858" s="9">
        <v>3</v>
      </c>
      <c r="W858" s="9"/>
      <c r="Z858" s="9">
        <v>0</v>
      </c>
      <c r="AF858" s="9">
        <v>1</v>
      </c>
      <c r="AI858" s="9"/>
    </row>
    <row r="859" spans="1:35" x14ac:dyDescent="0.25">
      <c r="A859" s="161" t="str">
        <f t="shared" si="16"/>
        <v>KNIGHT_GREECE</v>
      </c>
      <c r="B859" s="9" t="s">
        <v>110</v>
      </c>
      <c r="C859" s="4" t="s">
        <v>718</v>
      </c>
      <c r="E859" s="4" t="s">
        <v>110</v>
      </c>
      <c r="F859" s="4" t="s">
        <v>110</v>
      </c>
      <c r="G859" s="14" t="s">
        <v>132</v>
      </c>
      <c r="H859" s="4" t="s">
        <v>1072</v>
      </c>
      <c r="I859" s="4" t="s">
        <v>102</v>
      </c>
      <c r="Q859" s="9">
        <v>1</v>
      </c>
      <c r="T859" s="9">
        <v>1</v>
      </c>
      <c r="W859" s="9"/>
      <c r="Z859" s="9">
        <v>0</v>
      </c>
      <c r="AF859" s="9">
        <v>0</v>
      </c>
      <c r="AI859" s="9"/>
    </row>
    <row r="860" spans="1:35" x14ac:dyDescent="0.25">
      <c r="A860" s="161" t="str">
        <f t="shared" si="16"/>
        <v>KNIGHT_ROME</v>
      </c>
      <c r="B860" s="9" t="s">
        <v>110</v>
      </c>
      <c r="C860" s="4" t="s">
        <v>734</v>
      </c>
      <c r="E860" s="4" t="s">
        <v>110</v>
      </c>
      <c r="F860" s="4" t="s">
        <v>110</v>
      </c>
      <c r="H860" s="4" t="s">
        <v>1001</v>
      </c>
      <c r="I860" s="4" t="s">
        <v>1024</v>
      </c>
      <c r="Q860" s="9">
        <v>1</v>
      </c>
      <c r="T860" s="11">
        <v>1</v>
      </c>
      <c r="Z860" s="9">
        <v>1</v>
      </c>
      <c r="AF860" s="11">
        <v>1</v>
      </c>
    </row>
    <row r="861" spans="1:35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G861" s="4" t="s">
        <v>2045</v>
      </c>
      <c r="H861" s="4" t="s">
        <v>592</v>
      </c>
      <c r="I861" s="4" t="s">
        <v>1024</v>
      </c>
      <c r="Q861" s="9">
        <v>2</v>
      </c>
      <c r="T861" s="11">
        <v>2</v>
      </c>
      <c r="Z861" s="9">
        <v>0</v>
      </c>
      <c r="AF861" s="11">
        <v>1</v>
      </c>
    </row>
    <row r="862" spans="1:35" x14ac:dyDescent="0.25">
      <c r="A862" s="161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H862" s="4" t="s">
        <v>1001</v>
      </c>
      <c r="I862" s="4" t="s">
        <v>1024</v>
      </c>
      <c r="Q862" s="9">
        <v>1</v>
      </c>
      <c r="T862" s="11">
        <v>2</v>
      </c>
      <c r="Z862" s="9">
        <v>0</v>
      </c>
      <c r="AF862" s="11">
        <v>1</v>
      </c>
    </row>
    <row r="863" spans="1:35" x14ac:dyDescent="0.25">
      <c r="A863" s="161" t="str">
        <f t="shared" si="16"/>
        <v>KNIGHT_ROME</v>
      </c>
      <c r="B863" s="9" t="s">
        <v>110</v>
      </c>
      <c r="C863" s="4" t="s">
        <v>734</v>
      </c>
      <c r="E863" s="4" t="s">
        <v>110</v>
      </c>
      <c r="F863" s="4" t="s">
        <v>110</v>
      </c>
      <c r="G863" s="4" t="s">
        <v>2045</v>
      </c>
      <c r="H863" s="4" t="s">
        <v>592</v>
      </c>
      <c r="I863" s="4" t="s">
        <v>1024</v>
      </c>
      <c r="Q863" s="9">
        <v>1</v>
      </c>
      <c r="T863" s="11">
        <v>2</v>
      </c>
      <c r="Z863" s="9">
        <v>0</v>
      </c>
      <c r="AF863" s="11">
        <v>0</v>
      </c>
    </row>
    <row r="864" spans="1:35" x14ac:dyDescent="0.25">
      <c r="A864" s="161" t="str">
        <f t="shared" si="16"/>
        <v>KNIGHT_SPAIN</v>
      </c>
      <c r="B864" s="9" t="s">
        <v>110</v>
      </c>
      <c r="C864" s="4" t="s">
        <v>738</v>
      </c>
      <c r="E864" s="4" t="s">
        <v>110</v>
      </c>
      <c r="F864" s="4" t="s">
        <v>110</v>
      </c>
      <c r="G864" s="14" t="s">
        <v>132</v>
      </c>
      <c r="H864" s="4" t="s">
        <v>656</v>
      </c>
      <c r="I864" s="4" t="s">
        <v>2096</v>
      </c>
    </row>
    <row r="865" spans="1:35" x14ac:dyDescent="0.25">
      <c r="A865" s="161" t="str">
        <f t="shared" si="16"/>
        <v>KNIGHT_MIDEAST</v>
      </c>
      <c r="B865" s="9" t="s">
        <v>110</v>
      </c>
      <c r="C865" s="4" t="s">
        <v>690</v>
      </c>
      <c r="E865" s="4" t="s">
        <v>110</v>
      </c>
      <c r="F865" s="4" t="s">
        <v>110</v>
      </c>
      <c r="H865" s="4" t="s">
        <v>163</v>
      </c>
      <c r="I865" s="4" t="s">
        <v>2096</v>
      </c>
    </row>
    <row r="866" spans="1:35" x14ac:dyDescent="0.25">
      <c r="A866" s="161" t="str">
        <f t="shared" si="16"/>
        <v>KNIGHT_BABYLON</v>
      </c>
      <c r="B866" s="9" t="s">
        <v>110</v>
      </c>
      <c r="C866" s="4" t="s">
        <v>703</v>
      </c>
      <c r="E866" s="4" t="s">
        <v>110</v>
      </c>
      <c r="F866" s="4" t="s">
        <v>110</v>
      </c>
      <c r="G866" s="14"/>
      <c r="H866" s="4" t="s">
        <v>211</v>
      </c>
      <c r="I866" s="4" t="s">
        <v>102</v>
      </c>
    </row>
    <row r="867" spans="1:35" x14ac:dyDescent="0.25">
      <c r="A867" s="161" t="str">
        <f t="shared" si="16"/>
        <v>KNIGHT_EGYPT</v>
      </c>
      <c r="B867" s="9" t="s">
        <v>110</v>
      </c>
      <c r="C867" s="4" t="s">
        <v>712</v>
      </c>
      <c r="E867" s="4" t="s">
        <v>110</v>
      </c>
      <c r="F867" s="4" t="s">
        <v>110</v>
      </c>
      <c r="G867" s="14" t="s">
        <v>132</v>
      </c>
      <c r="H867" s="4" t="s">
        <v>282</v>
      </c>
      <c r="I867" s="4" t="s">
        <v>2096</v>
      </c>
    </row>
    <row r="868" spans="1:35" x14ac:dyDescent="0.25">
      <c r="A868" s="161" t="str">
        <f t="shared" si="16"/>
        <v>KNIGHT_LEVANT</v>
      </c>
      <c r="B868" s="9" t="s">
        <v>110</v>
      </c>
      <c r="C868" s="4" t="s">
        <v>724</v>
      </c>
      <c r="E868" s="4" t="s">
        <v>110</v>
      </c>
      <c r="F868" s="4" t="s">
        <v>110</v>
      </c>
      <c r="G868" s="14" t="s">
        <v>132</v>
      </c>
      <c r="H868" s="4" t="s">
        <v>511</v>
      </c>
      <c r="I868" s="4" t="s">
        <v>102</v>
      </c>
    </row>
    <row r="869" spans="1:35" x14ac:dyDescent="0.25">
      <c r="A869" s="161" t="str">
        <f t="shared" si="16"/>
        <v>KNIGHT_PERSIA</v>
      </c>
      <c r="B869" s="9" t="s">
        <v>110</v>
      </c>
      <c r="C869" s="4" t="s">
        <v>731</v>
      </c>
      <c r="E869" s="4" t="s">
        <v>110</v>
      </c>
      <c r="F869" s="4" t="s">
        <v>110</v>
      </c>
      <c r="H869" s="4" t="s">
        <v>978</v>
      </c>
      <c r="I869" s="4" t="s">
        <v>102</v>
      </c>
      <c r="Q869" s="11">
        <v>1</v>
      </c>
      <c r="T869" s="11">
        <v>1</v>
      </c>
      <c r="Z869" s="11">
        <v>0</v>
      </c>
      <c r="AF869" s="11">
        <v>1</v>
      </c>
      <c r="AI869" s="11">
        <v>1</v>
      </c>
    </row>
    <row r="870" spans="1:35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G870" s="4" t="s">
        <v>2045</v>
      </c>
      <c r="H870" s="4" t="s">
        <v>556</v>
      </c>
      <c r="I870" s="4" t="s">
        <v>102</v>
      </c>
      <c r="Q870" s="11">
        <v>2</v>
      </c>
      <c r="T870" s="11">
        <v>2</v>
      </c>
      <c r="Z870" s="11">
        <v>1</v>
      </c>
      <c r="AF870" s="11">
        <v>1</v>
      </c>
      <c r="AI870" s="11">
        <v>2</v>
      </c>
    </row>
    <row r="871" spans="1:35" x14ac:dyDescent="0.25">
      <c r="A871" s="161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H871" s="4" t="s">
        <v>978</v>
      </c>
      <c r="I871" s="4" t="s">
        <v>102</v>
      </c>
      <c r="Q871" s="11">
        <v>1</v>
      </c>
      <c r="T871" s="11">
        <v>2</v>
      </c>
      <c r="Z871" s="11">
        <v>0</v>
      </c>
      <c r="AF871" s="11">
        <v>1</v>
      </c>
      <c r="AI871" s="11">
        <v>1</v>
      </c>
    </row>
    <row r="872" spans="1:35" x14ac:dyDescent="0.25">
      <c r="A872" s="161" t="str">
        <f t="shared" si="16"/>
        <v>KNIGHT_PERSIA</v>
      </c>
      <c r="B872" s="9" t="s">
        <v>110</v>
      </c>
      <c r="C872" s="4" t="s">
        <v>731</v>
      </c>
      <c r="E872" s="4" t="s">
        <v>110</v>
      </c>
      <c r="F872" s="4" t="s">
        <v>110</v>
      </c>
      <c r="G872" s="4" t="s">
        <v>2045</v>
      </c>
      <c r="H872" s="4" t="s">
        <v>556</v>
      </c>
      <c r="I872" s="4" t="s">
        <v>102</v>
      </c>
      <c r="Q872" s="9">
        <v>1</v>
      </c>
      <c r="T872" s="11">
        <v>2</v>
      </c>
      <c r="Z872" s="9">
        <v>0</v>
      </c>
      <c r="AF872" s="11">
        <v>0</v>
      </c>
      <c r="AI872" s="11">
        <v>1</v>
      </c>
    </row>
    <row r="873" spans="1:35" x14ac:dyDescent="0.25">
      <c r="A873" s="161" t="str">
        <f t="shared" si="16"/>
        <v>KNIGHT_NORTHEU</v>
      </c>
      <c r="B873" s="9" t="s">
        <v>110</v>
      </c>
      <c r="C873" s="4" t="s">
        <v>962</v>
      </c>
      <c r="E873" s="4" t="s">
        <v>110</v>
      </c>
      <c r="F873" s="4" t="s">
        <v>110</v>
      </c>
      <c r="G873" s="14" t="s">
        <v>132</v>
      </c>
      <c r="H873" s="4" t="s">
        <v>268</v>
      </c>
      <c r="I873" s="4" t="s">
        <v>102</v>
      </c>
    </row>
    <row r="874" spans="1:35" x14ac:dyDescent="0.25">
      <c r="A874" s="161" t="str">
        <f t="shared" si="16"/>
        <v>KNIGHT_OCEAN</v>
      </c>
      <c r="B874" s="9" t="s">
        <v>110</v>
      </c>
      <c r="C874" s="4" t="s">
        <v>994</v>
      </c>
      <c r="D874" s="4" t="s">
        <v>691</v>
      </c>
      <c r="E874" s="4" t="s">
        <v>110</v>
      </c>
      <c r="F874" s="4" t="s">
        <v>110</v>
      </c>
    </row>
    <row r="875" spans="1:35" x14ac:dyDescent="0.25">
      <c r="A875" s="161" t="str">
        <f t="shared" si="16"/>
        <v>KNIGHT_SEASIA</v>
      </c>
      <c r="B875" s="9" t="s">
        <v>110</v>
      </c>
      <c r="C875" s="4" t="s">
        <v>696</v>
      </c>
      <c r="E875" s="4" t="s">
        <v>110</v>
      </c>
      <c r="F875" s="4" t="s">
        <v>110</v>
      </c>
      <c r="H875" s="4" t="s">
        <v>1782</v>
      </c>
      <c r="I875" s="4" t="s">
        <v>1812</v>
      </c>
    </row>
    <row r="876" spans="1:35" x14ac:dyDescent="0.25">
      <c r="A876" s="161" t="str">
        <f t="shared" si="16"/>
        <v>KNIGHT_SOUTHAM</v>
      </c>
      <c r="B876" s="9" t="s">
        <v>110</v>
      </c>
      <c r="C876" s="4" t="s">
        <v>691</v>
      </c>
      <c r="E876" s="4" t="s">
        <v>110</v>
      </c>
      <c r="F876" s="4" t="s">
        <v>110</v>
      </c>
      <c r="H876" s="4" t="s">
        <v>518</v>
      </c>
      <c r="I876" s="4" t="s">
        <v>2096</v>
      </c>
    </row>
    <row r="877" spans="1:35" x14ac:dyDescent="0.25">
      <c r="A877" s="161" t="str">
        <f t="shared" si="16"/>
        <v>KNIGHT_AZTEC</v>
      </c>
      <c r="B877" s="9" t="s">
        <v>110</v>
      </c>
      <c r="C877" s="4" t="s">
        <v>702</v>
      </c>
      <c r="E877" s="4" t="s">
        <v>110</v>
      </c>
      <c r="F877" s="4" t="s">
        <v>110</v>
      </c>
      <c r="G877" s="14"/>
      <c r="H877" s="4" t="s">
        <v>197</v>
      </c>
      <c r="I877" s="4" t="s">
        <v>2096</v>
      </c>
    </row>
    <row r="878" spans="1:35" x14ac:dyDescent="0.25">
      <c r="A878" s="161" t="str">
        <f t="shared" si="16"/>
        <v>KNIGHT_INCA</v>
      </c>
      <c r="B878" s="9" t="s">
        <v>110</v>
      </c>
      <c r="C878" s="4" t="s">
        <v>719</v>
      </c>
      <c r="E878" s="4" t="s">
        <v>110</v>
      </c>
      <c r="F878" s="4" t="s">
        <v>110</v>
      </c>
      <c r="G878" s="14" t="s">
        <v>132</v>
      </c>
      <c r="H878" s="4" t="s">
        <v>422</v>
      </c>
      <c r="I878" s="4" t="s">
        <v>2096</v>
      </c>
    </row>
    <row r="879" spans="1:35" x14ac:dyDescent="0.25">
      <c r="A879" s="161" t="str">
        <f t="shared" si="16"/>
        <v>KNIGHT_MAYA</v>
      </c>
      <c r="B879" s="9" t="s">
        <v>110</v>
      </c>
      <c r="C879" s="4" t="s">
        <v>725</v>
      </c>
      <c r="D879" s="4" t="s">
        <v>691</v>
      </c>
      <c r="E879" s="4" t="s">
        <v>110</v>
      </c>
      <c r="F879" s="4" t="s">
        <v>110</v>
      </c>
      <c r="G879" s="14" t="s">
        <v>132</v>
      </c>
    </row>
    <row r="880" spans="1:35" x14ac:dyDescent="0.25">
      <c r="A880" s="161" t="str">
        <f t="shared" si="16"/>
        <v>KNIGHT_SEASIA</v>
      </c>
      <c r="B880" s="9" t="s">
        <v>110</v>
      </c>
      <c r="C880" s="4" t="s">
        <v>696</v>
      </c>
      <c r="D880" s="4" t="s">
        <v>693</v>
      </c>
      <c r="E880" s="4" t="s">
        <v>110</v>
      </c>
      <c r="F880" s="4" t="s">
        <v>110</v>
      </c>
      <c r="G880" s="14"/>
    </row>
    <row r="881" spans="1:43" x14ac:dyDescent="0.25">
      <c r="A881" s="161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H881" s="4" t="s">
        <v>849</v>
      </c>
      <c r="I881" s="4" t="s">
        <v>102</v>
      </c>
      <c r="Q881" s="11">
        <v>1</v>
      </c>
      <c r="T881" s="11">
        <v>1</v>
      </c>
      <c r="Z881" s="11">
        <v>0</v>
      </c>
      <c r="AF881" s="11">
        <v>1</v>
      </c>
      <c r="AI881" s="11">
        <v>1</v>
      </c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2045</v>
      </c>
      <c r="H882" s="4" t="s">
        <v>848</v>
      </c>
      <c r="I882" s="4" t="s">
        <v>102</v>
      </c>
      <c r="Q882" s="11">
        <v>1</v>
      </c>
      <c r="T882" s="11">
        <v>1</v>
      </c>
      <c r="Z882" s="11">
        <v>0</v>
      </c>
      <c r="AF882" s="11">
        <v>0</v>
      </c>
      <c r="AI882" s="11">
        <v>1</v>
      </c>
    </row>
    <row r="883" spans="1:43" x14ac:dyDescent="0.25">
      <c r="A883" s="161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2047</v>
      </c>
      <c r="H883" s="4" t="s">
        <v>847</v>
      </c>
      <c r="I883" s="4" t="s">
        <v>102</v>
      </c>
      <c r="Q883" s="11">
        <v>1</v>
      </c>
      <c r="T883" s="11">
        <v>2</v>
      </c>
      <c r="Z883" s="11">
        <v>1</v>
      </c>
      <c r="AF883" s="11">
        <v>1</v>
      </c>
      <c r="AI883" s="11">
        <v>1</v>
      </c>
    </row>
    <row r="884" spans="1:43" x14ac:dyDescent="0.25">
      <c r="A884" s="161" t="str">
        <f t="shared" si="16"/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2046</v>
      </c>
      <c r="H884" s="4" t="s">
        <v>846</v>
      </c>
      <c r="I884" s="4" t="s">
        <v>102</v>
      </c>
      <c r="Q884" s="9">
        <v>1</v>
      </c>
      <c r="T884" s="11">
        <v>1</v>
      </c>
      <c r="Z884" s="9">
        <v>0</v>
      </c>
      <c r="AF884" s="11">
        <v>0</v>
      </c>
      <c r="AI884" s="11">
        <v>1</v>
      </c>
    </row>
    <row r="885" spans="1:43" x14ac:dyDescent="0.25">
      <c r="A885" s="161" t="str">
        <f t="shared" ref="A885:A955" si="17">CONCATENATE(E885,IF(ISBLANK(C885),"",CONCATENATE("_",C885)))</f>
        <v>KNIGHT_SOUTHAS</v>
      </c>
      <c r="B885" s="9" t="s">
        <v>110</v>
      </c>
      <c r="C885" s="4" t="s">
        <v>695</v>
      </c>
      <c r="E885" s="4" t="s">
        <v>110</v>
      </c>
      <c r="F885" s="4" t="s">
        <v>110</v>
      </c>
      <c r="G885" s="4" t="s">
        <v>2056</v>
      </c>
      <c r="H885" s="4" t="s">
        <v>436</v>
      </c>
      <c r="I885" s="4" t="s">
        <v>102</v>
      </c>
      <c r="Q885" s="9">
        <v>1</v>
      </c>
      <c r="T885" s="11">
        <v>2</v>
      </c>
      <c r="Z885" s="9">
        <v>0</v>
      </c>
      <c r="AF885" s="11">
        <v>1</v>
      </c>
      <c r="AI885" s="11">
        <v>1</v>
      </c>
    </row>
    <row r="886" spans="1:43" x14ac:dyDescent="0.25">
      <c r="A886" s="161" t="str">
        <f t="shared" si="17"/>
        <v>LANCER</v>
      </c>
      <c r="B886" s="9" t="s">
        <v>762</v>
      </c>
      <c r="C886" s="5"/>
      <c r="D886" s="5"/>
      <c r="E886" s="5" t="s">
        <v>762</v>
      </c>
      <c r="F886" s="5" t="s">
        <v>762</v>
      </c>
      <c r="G886" s="5"/>
      <c r="H886" s="5" t="s">
        <v>27</v>
      </c>
      <c r="I886" s="5" t="s">
        <v>128</v>
      </c>
      <c r="J886" s="6"/>
      <c r="K886" s="6"/>
      <c r="L886" s="13" t="s">
        <v>1713</v>
      </c>
      <c r="M886" s="8"/>
      <c r="N886" s="5"/>
      <c r="O886" s="5"/>
      <c r="P886" s="5"/>
      <c r="Q886" s="7" t="s">
        <v>1694</v>
      </c>
      <c r="R886" s="6" t="s">
        <v>1694</v>
      </c>
      <c r="S886" s="13" t="s">
        <v>1694</v>
      </c>
      <c r="T886" s="6" t="s">
        <v>1694</v>
      </c>
      <c r="U886" s="7" t="s">
        <v>1694</v>
      </c>
      <c r="V886" s="5" t="s">
        <v>1700</v>
      </c>
      <c r="W886" s="6" t="s">
        <v>3</v>
      </c>
      <c r="X886" s="6" t="s">
        <v>3</v>
      </c>
      <c r="Y886" s="5"/>
      <c r="Z886" s="7">
        <v>1</v>
      </c>
      <c r="AA886" s="6"/>
      <c r="AB886" s="5"/>
      <c r="AC886" s="6"/>
      <c r="AD886" s="6" t="s">
        <v>3</v>
      </c>
      <c r="AE886" s="5"/>
      <c r="AF886" s="7" t="s">
        <v>1694</v>
      </c>
      <c r="AG886" s="6"/>
      <c r="AH886" s="5"/>
      <c r="AI886" s="6"/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LANCER_JAPAN</v>
      </c>
      <c r="B887" s="9" t="s">
        <v>762</v>
      </c>
      <c r="C887" s="4" t="s">
        <v>722</v>
      </c>
      <c r="E887" s="4" t="s">
        <v>762</v>
      </c>
      <c r="F887" s="4" t="s">
        <v>762</v>
      </c>
      <c r="G887" s="14" t="s">
        <v>132</v>
      </c>
      <c r="H887" s="4" t="s">
        <v>484</v>
      </c>
      <c r="I887" s="4" t="s">
        <v>102</v>
      </c>
    </row>
    <row r="888" spans="1:43" x14ac:dyDescent="0.25">
      <c r="A888" s="161" t="str">
        <f t="shared" si="17"/>
        <v>LANCER_CENTAS</v>
      </c>
      <c r="B888" s="9" t="s">
        <v>762</v>
      </c>
      <c r="C888" s="4" t="s">
        <v>918</v>
      </c>
      <c r="D888" s="4" t="s">
        <v>690</v>
      </c>
      <c r="E888" s="4" t="s">
        <v>762</v>
      </c>
      <c r="F888" s="4" t="s">
        <v>762</v>
      </c>
      <c r="G888" s="14" t="s">
        <v>132</v>
      </c>
    </row>
    <row r="889" spans="1:43" x14ac:dyDescent="0.25">
      <c r="A889" s="161" t="str">
        <f t="shared" si="17"/>
        <v>LANCER_FRANCE</v>
      </c>
      <c r="B889" s="9" t="s">
        <v>762</v>
      </c>
      <c r="C889" s="4" t="s">
        <v>715</v>
      </c>
      <c r="E889" s="4" t="s">
        <v>762</v>
      </c>
      <c r="F889" s="4" t="s">
        <v>762</v>
      </c>
      <c r="G889" s="14" t="s">
        <v>132</v>
      </c>
      <c r="H889" s="4" t="s">
        <v>349</v>
      </c>
      <c r="I889" s="4" t="s">
        <v>122</v>
      </c>
    </row>
    <row r="890" spans="1:43" x14ac:dyDescent="0.25">
      <c r="A890" s="161" t="str">
        <f t="shared" si="17"/>
        <v>LANCER_GERMANY</v>
      </c>
      <c r="B890" s="9" t="s">
        <v>762</v>
      </c>
      <c r="C890" s="4" t="s">
        <v>717</v>
      </c>
      <c r="E890" s="4" t="s">
        <v>762</v>
      </c>
      <c r="F890" s="4" t="s">
        <v>762</v>
      </c>
      <c r="G890" s="14" t="s">
        <v>132</v>
      </c>
      <c r="H890" s="4" t="s">
        <v>380</v>
      </c>
      <c r="I890" s="4" t="s">
        <v>122</v>
      </c>
    </row>
    <row r="891" spans="1:43" x14ac:dyDescent="0.25">
      <c r="A891" s="161" t="str">
        <f t="shared" si="17"/>
        <v>LANCER_NETHERLANDS</v>
      </c>
      <c r="B891" s="9" t="s">
        <v>762</v>
      </c>
      <c r="C891" s="4" t="s">
        <v>730</v>
      </c>
      <c r="E891" s="4" t="s">
        <v>762</v>
      </c>
      <c r="F891" s="4" t="s">
        <v>762</v>
      </c>
      <c r="G891" s="14" t="s">
        <v>132</v>
      </c>
      <c r="H891" s="4" t="s">
        <v>544</v>
      </c>
      <c r="I891" s="4" t="s">
        <v>122</v>
      </c>
    </row>
    <row r="892" spans="1:43" x14ac:dyDescent="0.25">
      <c r="A892" s="161" t="str">
        <f t="shared" si="17"/>
        <v>LANCER_MIDEAST</v>
      </c>
      <c r="B892" s="9" t="s">
        <v>762</v>
      </c>
      <c r="C892" s="4" t="s">
        <v>690</v>
      </c>
      <c r="E892" s="4" t="s">
        <v>762</v>
      </c>
      <c r="F892" s="4" t="s">
        <v>762</v>
      </c>
      <c r="H892" s="4" t="s">
        <v>557</v>
      </c>
      <c r="I892" s="4" t="s">
        <v>966</v>
      </c>
    </row>
    <row r="893" spans="1:43" x14ac:dyDescent="0.25">
      <c r="A893" s="161" t="str">
        <f t="shared" si="17"/>
        <v>LONGSWORDSMAN</v>
      </c>
      <c r="B893" s="9" t="s">
        <v>109</v>
      </c>
      <c r="C893" s="5"/>
      <c r="D893" s="5"/>
      <c r="E893" s="5" t="s">
        <v>109</v>
      </c>
      <c r="F893" s="5" t="s">
        <v>109</v>
      </c>
      <c r="G893" s="5"/>
      <c r="H893" s="5" t="s">
        <v>26</v>
      </c>
      <c r="I893" s="5" t="s">
        <v>128</v>
      </c>
      <c r="J893" s="6"/>
      <c r="K893" s="6"/>
      <c r="L893" s="13" t="s">
        <v>1707</v>
      </c>
      <c r="M893" s="8"/>
      <c r="N893" s="5"/>
      <c r="O893" s="5"/>
      <c r="P893" s="5"/>
      <c r="Q893" s="7" t="s">
        <v>1736</v>
      </c>
      <c r="R893" s="6" t="s">
        <v>1736</v>
      </c>
      <c r="S893" s="13" t="s">
        <v>1736</v>
      </c>
      <c r="T893" s="6" t="s">
        <v>1736</v>
      </c>
      <c r="U893" s="7" t="s">
        <v>1736</v>
      </c>
      <c r="V893" s="5"/>
      <c r="W893" s="7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1736</v>
      </c>
      <c r="AG893" s="6"/>
      <c r="AH893" s="5"/>
      <c r="AI893" s="6" t="s">
        <v>1736</v>
      </c>
      <c r="AJ893" s="6"/>
      <c r="AK893" s="5"/>
      <c r="AL893" s="5"/>
      <c r="AM893" s="5"/>
      <c r="AN893" s="5"/>
      <c r="AO893" s="5"/>
      <c r="AP893" s="5"/>
      <c r="AQ893" s="5"/>
    </row>
    <row r="894" spans="1:43" x14ac:dyDescent="0.25">
      <c r="A894" s="161" t="str">
        <f t="shared" si="17"/>
        <v>LONGSWORDSMAN_AFRI</v>
      </c>
      <c r="B894" s="9" t="s">
        <v>109</v>
      </c>
      <c r="C894" s="5" t="s">
        <v>694</v>
      </c>
      <c r="D894" s="5"/>
      <c r="E894" s="5" t="s">
        <v>109</v>
      </c>
      <c r="F894" s="5" t="s">
        <v>109</v>
      </c>
      <c r="G894" s="5"/>
      <c r="H894" s="5" t="s">
        <v>2114</v>
      </c>
      <c r="I894" s="5" t="s">
        <v>1025</v>
      </c>
      <c r="J894" s="6"/>
      <c r="K894" s="6"/>
      <c r="L894" s="13"/>
      <c r="M894" s="8"/>
      <c r="N894" s="5"/>
      <c r="O894" s="5"/>
      <c r="P894" s="5"/>
      <c r="Q894" s="7">
        <v>1</v>
      </c>
      <c r="R894" s="6"/>
      <c r="S894" s="13"/>
      <c r="T894" s="6">
        <v>2</v>
      </c>
      <c r="U894" s="7"/>
      <c r="V894" s="5"/>
      <c r="W894" s="7"/>
      <c r="X894" s="6"/>
      <c r="Y894" s="5"/>
      <c r="Z894" s="7">
        <v>1</v>
      </c>
      <c r="AA894" s="6"/>
      <c r="AB894" s="5"/>
      <c r="AC894" s="6"/>
      <c r="AD894" s="6"/>
      <c r="AE894" s="5"/>
      <c r="AF894" s="7">
        <v>1</v>
      </c>
      <c r="AG894" s="6"/>
      <c r="AH894" s="5"/>
      <c r="AI894" s="6">
        <v>1</v>
      </c>
      <c r="AJ894" s="6"/>
      <c r="AK894" s="5"/>
      <c r="AL894" s="5"/>
      <c r="AM894" s="5"/>
      <c r="AN894" s="5"/>
      <c r="AO894" s="5"/>
      <c r="AP894" s="5"/>
      <c r="AQ894" s="5"/>
    </row>
    <row r="895" spans="1:43" x14ac:dyDescent="0.25">
      <c r="A895" s="161" t="str">
        <f t="shared" si="17"/>
        <v>LONGSWORDSMAN_AFRI</v>
      </c>
      <c r="B895" s="9" t="s">
        <v>109</v>
      </c>
      <c r="C895" s="5" t="s">
        <v>694</v>
      </c>
      <c r="D895" s="5"/>
      <c r="E895" s="5" t="s">
        <v>109</v>
      </c>
      <c r="F895" s="5" t="s">
        <v>109</v>
      </c>
      <c r="G895" s="5" t="s">
        <v>2045</v>
      </c>
      <c r="H895" s="5" t="s">
        <v>2115</v>
      </c>
      <c r="I895" s="5" t="s">
        <v>1025</v>
      </c>
      <c r="J895" s="6"/>
      <c r="K895" s="6"/>
      <c r="L895" s="13"/>
      <c r="M895" s="8"/>
      <c r="N895" s="5"/>
      <c r="O895" s="5"/>
      <c r="P895" s="5"/>
      <c r="Q895" s="7">
        <v>2</v>
      </c>
      <c r="R895" s="6"/>
      <c r="S895" s="13"/>
      <c r="T895" s="6">
        <v>2</v>
      </c>
      <c r="U895" s="7"/>
      <c r="V895" s="5"/>
      <c r="W895" s="7"/>
      <c r="X895" s="6"/>
      <c r="Y895" s="5"/>
      <c r="Z895" s="7">
        <v>0</v>
      </c>
      <c r="AA895" s="6"/>
      <c r="AB895" s="5"/>
      <c r="AC895" s="6"/>
      <c r="AD895" s="6"/>
      <c r="AE895" s="5"/>
      <c r="AF895" s="7">
        <v>1</v>
      </c>
      <c r="AG895" s="6"/>
      <c r="AH895" s="5"/>
      <c r="AI895" s="6">
        <v>1</v>
      </c>
      <c r="AJ895" s="6"/>
      <c r="AK895" s="5"/>
      <c r="AL895" s="5"/>
      <c r="AM895" s="5"/>
      <c r="AN895" s="5"/>
      <c r="AO895" s="5"/>
      <c r="AP895" s="5"/>
      <c r="AQ895" s="5"/>
    </row>
    <row r="896" spans="1:43" x14ac:dyDescent="0.25">
      <c r="A896" s="161" t="s">
        <v>2116</v>
      </c>
      <c r="B896" s="9" t="s">
        <v>109</v>
      </c>
      <c r="C896" s="4" t="s">
        <v>694</v>
      </c>
      <c r="E896" s="4" t="s">
        <v>109</v>
      </c>
      <c r="F896" s="4" t="s">
        <v>109</v>
      </c>
      <c r="H896" s="4" t="s">
        <v>2114</v>
      </c>
      <c r="I896" s="4" t="s">
        <v>1025</v>
      </c>
      <c r="Q896" s="11">
        <v>3</v>
      </c>
      <c r="T896" s="11">
        <v>4</v>
      </c>
      <c r="Z896" s="11">
        <v>0</v>
      </c>
      <c r="AF896" s="11">
        <v>1</v>
      </c>
      <c r="AI896" s="11">
        <v>2</v>
      </c>
    </row>
    <row r="897" spans="1:35" x14ac:dyDescent="0.25">
      <c r="A897" s="161" t="s">
        <v>2116</v>
      </c>
      <c r="B897" s="9" t="s">
        <v>109</v>
      </c>
      <c r="C897" s="4" t="s">
        <v>694</v>
      </c>
      <c r="E897" s="4" t="s">
        <v>109</v>
      </c>
      <c r="F897" s="4" t="s">
        <v>109</v>
      </c>
      <c r="G897" s="4" t="s">
        <v>2045</v>
      </c>
      <c r="H897" s="4" t="s">
        <v>2115</v>
      </c>
      <c r="I897" s="4" t="s">
        <v>1025</v>
      </c>
      <c r="Q897" s="11">
        <v>3</v>
      </c>
      <c r="T897" s="11">
        <v>4</v>
      </c>
      <c r="Z897" s="11">
        <v>0</v>
      </c>
      <c r="AF897" s="11">
        <v>0</v>
      </c>
      <c r="AI897" s="11">
        <v>1</v>
      </c>
    </row>
    <row r="898" spans="1:35" x14ac:dyDescent="0.25">
      <c r="A898" s="161" t="s">
        <v>2116</v>
      </c>
      <c r="B898" s="9" t="s">
        <v>109</v>
      </c>
      <c r="C898" s="4" t="s">
        <v>694</v>
      </c>
      <c r="E898" s="4" t="s">
        <v>109</v>
      </c>
      <c r="F898" s="4" t="s">
        <v>109</v>
      </c>
      <c r="H898" s="4" t="s">
        <v>2114</v>
      </c>
      <c r="I898" s="4" t="s">
        <v>1025</v>
      </c>
      <c r="Q898" s="11">
        <v>2</v>
      </c>
      <c r="T898" s="11">
        <v>2</v>
      </c>
      <c r="Z898" s="11">
        <v>0</v>
      </c>
      <c r="AF898" s="11">
        <v>0</v>
      </c>
      <c r="AI898" s="11">
        <v>1</v>
      </c>
    </row>
    <row r="899" spans="1:35" x14ac:dyDescent="0.25">
      <c r="A899" s="161" t="s">
        <v>2116</v>
      </c>
      <c r="B899" s="9" t="s">
        <v>109</v>
      </c>
      <c r="C899" s="4" t="s">
        <v>694</v>
      </c>
      <c r="E899" s="4" t="s">
        <v>109</v>
      </c>
      <c r="F899" s="4" t="s">
        <v>109</v>
      </c>
      <c r="G899" s="4" t="s">
        <v>2045</v>
      </c>
      <c r="H899" s="4" t="s">
        <v>2115</v>
      </c>
      <c r="I899" s="4" t="s">
        <v>1025</v>
      </c>
      <c r="Q899" s="9">
        <v>1</v>
      </c>
      <c r="T899" s="11">
        <v>2</v>
      </c>
      <c r="Z899" s="9">
        <v>0</v>
      </c>
      <c r="AF899" s="11">
        <v>0</v>
      </c>
      <c r="AI899" s="11">
        <v>1</v>
      </c>
    </row>
    <row r="900" spans="1:35" x14ac:dyDescent="0.25">
      <c r="A900" s="161" t="str">
        <f t="shared" si="17"/>
        <v>LONGSWORDSMAN_ETHIOPIA</v>
      </c>
      <c r="B900" s="9" t="s">
        <v>109</v>
      </c>
      <c r="C900" s="4" t="s">
        <v>714</v>
      </c>
      <c r="E900" s="4" t="s">
        <v>109</v>
      </c>
      <c r="F900" s="4" t="s">
        <v>109</v>
      </c>
      <c r="G900" s="14" t="s">
        <v>132</v>
      </c>
      <c r="H900" s="4" t="s">
        <v>332</v>
      </c>
      <c r="I900" s="4" t="s">
        <v>1025</v>
      </c>
      <c r="Q900" s="9" t="s">
        <v>1736</v>
      </c>
      <c r="Z900" s="9"/>
    </row>
    <row r="901" spans="1:35" x14ac:dyDescent="0.25">
      <c r="A901" s="161" t="str">
        <f t="shared" si="17"/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/>
      <c r="H901" s="4" t="s">
        <v>1962</v>
      </c>
      <c r="I901" s="4" t="s">
        <v>1025</v>
      </c>
      <c r="Q901" s="9">
        <v>1</v>
      </c>
      <c r="R901" s="11">
        <v>0.13500000000000001</v>
      </c>
      <c r="T901" s="11">
        <v>2</v>
      </c>
      <c r="Z901" s="9">
        <v>1</v>
      </c>
      <c r="AF901" s="11">
        <v>1</v>
      </c>
      <c r="AI901" s="11">
        <v>1</v>
      </c>
    </row>
    <row r="902" spans="1:35" x14ac:dyDescent="0.25">
      <c r="A902" s="161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 t="s">
        <v>2045</v>
      </c>
      <c r="H902" s="4" t="s">
        <v>1963</v>
      </c>
      <c r="I902" s="4" t="s">
        <v>1025</v>
      </c>
      <c r="Q902" s="9">
        <v>2</v>
      </c>
      <c r="R902" s="11">
        <v>0.13500000000000001</v>
      </c>
      <c r="T902" s="11">
        <v>2</v>
      </c>
      <c r="Z902" s="9">
        <v>0</v>
      </c>
      <c r="AF902" s="11">
        <v>1</v>
      </c>
      <c r="AI902" s="11">
        <v>1</v>
      </c>
    </row>
    <row r="903" spans="1:35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/>
      <c r="H903" s="4" t="s">
        <v>1962</v>
      </c>
      <c r="I903" s="4" t="s">
        <v>1025</v>
      </c>
      <c r="Q903" s="9">
        <v>3</v>
      </c>
      <c r="R903" s="11">
        <v>0.13500000000000001</v>
      </c>
      <c r="T903" s="11">
        <v>4</v>
      </c>
      <c r="Z903" s="9">
        <v>0</v>
      </c>
      <c r="AF903" s="11">
        <v>1</v>
      </c>
      <c r="AI903" s="11">
        <v>2</v>
      </c>
    </row>
    <row r="904" spans="1:35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 t="s">
        <v>2045</v>
      </c>
      <c r="H904" s="4" t="s">
        <v>1963</v>
      </c>
      <c r="I904" s="4" t="s">
        <v>1025</v>
      </c>
      <c r="Q904" s="9">
        <v>3</v>
      </c>
      <c r="R904" s="11">
        <v>0.13500000000000001</v>
      </c>
      <c r="T904" s="11">
        <v>4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/>
      <c r="H905" s="4" t="s">
        <v>1962</v>
      </c>
      <c r="I905" s="4" t="s">
        <v>1025</v>
      </c>
      <c r="Q905" s="9">
        <v>2</v>
      </c>
      <c r="R905" s="11">
        <v>0.13500000000000001</v>
      </c>
      <c r="T905" s="11">
        <v>2</v>
      </c>
      <c r="Z905" s="9">
        <v>0</v>
      </c>
      <c r="AF905" s="11">
        <v>0</v>
      </c>
      <c r="AI905" s="11">
        <v>1</v>
      </c>
    </row>
    <row r="906" spans="1:35" x14ac:dyDescent="0.25">
      <c r="A906" s="161" t="str">
        <f>CONCATENATE(E906,IF(ISBLANK(C906),"",CONCATENATE("_",C906)))</f>
        <v>LONGSWORDSMAN_SONGHAI</v>
      </c>
      <c r="B906" s="9" t="s">
        <v>109</v>
      </c>
      <c r="C906" s="4" t="s">
        <v>737</v>
      </c>
      <c r="E906" s="4" t="s">
        <v>109</v>
      </c>
      <c r="F906" s="4" t="s">
        <v>109</v>
      </c>
      <c r="G906" s="14" t="s">
        <v>2045</v>
      </c>
      <c r="H906" s="4" t="s">
        <v>1963</v>
      </c>
      <c r="I906" s="4" t="s">
        <v>1025</v>
      </c>
      <c r="Q906" s="9">
        <v>1</v>
      </c>
      <c r="R906" s="11">
        <v>0.13500000000000001</v>
      </c>
      <c r="T906" s="11">
        <v>2</v>
      </c>
      <c r="Z906" s="9">
        <v>0</v>
      </c>
      <c r="AF906" s="11">
        <v>0</v>
      </c>
      <c r="AI906" s="11">
        <v>1</v>
      </c>
    </row>
    <row r="907" spans="1:35" x14ac:dyDescent="0.25">
      <c r="A907" s="161" t="str">
        <f t="shared" si="17"/>
        <v>LONGSWORDSMAN_AMER</v>
      </c>
      <c r="B907" s="9" t="s">
        <v>109</v>
      </c>
      <c r="C907" s="4" t="s">
        <v>697</v>
      </c>
      <c r="E907" s="4" t="s">
        <v>109</v>
      </c>
      <c r="F907" s="4" t="s">
        <v>109</v>
      </c>
      <c r="H907" s="4" t="s">
        <v>634</v>
      </c>
      <c r="I907" s="4" t="s">
        <v>1933</v>
      </c>
    </row>
    <row r="908" spans="1:35" x14ac:dyDescent="0.25">
      <c r="A908" s="161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H908" s="4" t="s">
        <v>465</v>
      </c>
      <c r="I908" s="4" t="s">
        <v>1933</v>
      </c>
      <c r="Q908" s="11">
        <v>2</v>
      </c>
      <c r="T908" s="11">
        <v>2</v>
      </c>
      <c r="Z908" s="9">
        <v>1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2045</v>
      </c>
      <c r="H909" s="4" t="s">
        <v>942</v>
      </c>
      <c r="I909" s="4" t="s">
        <v>1933</v>
      </c>
      <c r="Q909" s="11">
        <v>3</v>
      </c>
      <c r="T909" s="11">
        <v>4</v>
      </c>
      <c r="Z909" s="9">
        <v>0</v>
      </c>
      <c r="AF909" s="11">
        <v>1</v>
      </c>
      <c r="AI909" s="11">
        <v>2</v>
      </c>
    </row>
    <row r="910" spans="1:35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2047</v>
      </c>
      <c r="H910" s="4" t="s">
        <v>943</v>
      </c>
      <c r="I910" s="4" t="s">
        <v>1933</v>
      </c>
      <c r="Q910" s="11">
        <v>2</v>
      </c>
      <c r="T910" s="11">
        <v>4</v>
      </c>
      <c r="Z910" s="9">
        <v>0</v>
      </c>
      <c r="AF910" s="11">
        <v>1</v>
      </c>
      <c r="AI910" s="11">
        <v>2</v>
      </c>
    </row>
    <row r="911" spans="1:35" x14ac:dyDescent="0.25">
      <c r="A911" s="161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4" t="s">
        <v>2046</v>
      </c>
      <c r="H911" s="4" t="s">
        <v>634</v>
      </c>
      <c r="I911" s="4" t="s">
        <v>1933</v>
      </c>
      <c r="Q911" s="9">
        <v>3</v>
      </c>
      <c r="T911" s="11">
        <v>4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LONGSWORDSMAN_IROQUOIS</v>
      </c>
      <c r="B912" s="9" t="s">
        <v>109</v>
      </c>
      <c r="C912" s="4" t="s">
        <v>721</v>
      </c>
      <c r="E912" s="4" t="s">
        <v>109</v>
      </c>
      <c r="F912" s="4" t="s">
        <v>109</v>
      </c>
      <c r="G912" s="14" t="s">
        <v>132</v>
      </c>
      <c r="H912" s="4" t="s">
        <v>465</v>
      </c>
      <c r="I912" s="4" t="s">
        <v>1933</v>
      </c>
      <c r="Q912" s="9">
        <v>2</v>
      </c>
      <c r="T912" s="11">
        <v>2</v>
      </c>
      <c r="Z912" s="9">
        <v>0</v>
      </c>
      <c r="AF912" s="11">
        <v>0</v>
      </c>
      <c r="AI912" s="11">
        <v>1</v>
      </c>
    </row>
    <row r="913" spans="1:35" x14ac:dyDescent="0.25">
      <c r="A913" s="161" t="str">
        <f t="shared" si="17"/>
        <v>LONGSWORDSMAN_ASIA</v>
      </c>
      <c r="B913" s="9" t="s">
        <v>109</v>
      </c>
      <c r="C913" s="4" t="s">
        <v>693</v>
      </c>
      <c r="E913" s="4" t="s">
        <v>109</v>
      </c>
      <c r="F913" s="4" t="s">
        <v>109</v>
      </c>
      <c r="H913" s="4" t="s">
        <v>450</v>
      </c>
      <c r="I913" s="4" t="s">
        <v>102</v>
      </c>
    </row>
    <row r="914" spans="1:35" x14ac:dyDescent="0.25">
      <c r="A914" s="161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H914" s="4" t="s">
        <v>450</v>
      </c>
      <c r="I914" s="4" t="s">
        <v>102</v>
      </c>
      <c r="Q914" s="9">
        <v>2</v>
      </c>
      <c r="T914" s="11">
        <v>3</v>
      </c>
      <c r="Z914" s="9">
        <v>0</v>
      </c>
      <c r="AF914" s="11">
        <v>1</v>
      </c>
      <c r="AI914" s="11">
        <v>1</v>
      </c>
    </row>
    <row r="915" spans="1:35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G915" s="4" t="s">
        <v>2045</v>
      </c>
      <c r="H915" s="4" t="s">
        <v>834</v>
      </c>
      <c r="I915" s="4" t="s">
        <v>102</v>
      </c>
      <c r="Q915" s="9">
        <v>2</v>
      </c>
      <c r="T915" s="11">
        <v>2</v>
      </c>
      <c r="Z915" s="9">
        <v>1</v>
      </c>
      <c r="AF915" s="11">
        <v>1</v>
      </c>
      <c r="AI915" s="11">
        <v>1</v>
      </c>
    </row>
    <row r="916" spans="1:35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G916" s="4" t="s">
        <v>2047</v>
      </c>
      <c r="H916" s="4" t="s">
        <v>251</v>
      </c>
      <c r="I916" s="4" t="s">
        <v>102</v>
      </c>
      <c r="Q916" s="9">
        <v>2</v>
      </c>
      <c r="T916" s="11">
        <v>3</v>
      </c>
      <c r="Z916" s="9">
        <v>0</v>
      </c>
      <c r="AF916" s="11">
        <v>1</v>
      </c>
      <c r="AI916" s="11">
        <v>1</v>
      </c>
    </row>
    <row r="917" spans="1:35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H917" s="4" t="s">
        <v>450</v>
      </c>
      <c r="I917" s="4" t="s">
        <v>102</v>
      </c>
      <c r="Q917" s="9">
        <v>2</v>
      </c>
      <c r="T917" s="11">
        <v>2</v>
      </c>
      <c r="Z917" s="9">
        <v>0</v>
      </c>
      <c r="AF917" s="11">
        <v>0</v>
      </c>
      <c r="AI917" s="11">
        <v>2</v>
      </c>
    </row>
    <row r="918" spans="1:35" x14ac:dyDescent="0.25">
      <c r="A918" s="161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G918" s="4" t="s">
        <v>2045</v>
      </c>
      <c r="H918" s="4" t="s">
        <v>834</v>
      </c>
      <c r="I918" s="4" t="s">
        <v>102</v>
      </c>
      <c r="Q918" s="9">
        <v>2</v>
      </c>
      <c r="T918" s="11">
        <v>3</v>
      </c>
      <c r="Z918" s="9">
        <v>0</v>
      </c>
      <c r="AF918" s="11">
        <v>0</v>
      </c>
      <c r="AI918" s="11">
        <v>1</v>
      </c>
    </row>
    <row r="919" spans="1:35" x14ac:dyDescent="0.25">
      <c r="A919" s="161" t="str">
        <f t="shared" si="17"/>
        <v>LONGSWORDSMAN_CHINA</v>
      </c>
      <c r="B919" s="9" t="s">
        <v>109</v>
      </c>
      <c r="C919" s="4" t="s">
        <v>710</v>
      </c>
      <c r="E919" s="4" t="s">
        <v>109</v>
      </c>
      <c r="F919" s="4" t="s">
        <v>109</v>
      </c>
      <c r="G919" s="4" t="s">
        <v>2047</v>
      </c>
      <c r="H919" s="4" t="s">
        <v>251</v>
      </c>
      <c r="I919" s="4" t="s">
        <v>102</v>
      </c>
      <c r="Q919" s="9">
        <v>2</v>
      </c>
      <c r="T919" s="11">
        <v>3</v>
      </c>
      <c r="Z919" s="9">
        <v>0</v>
      </c>
      <c r="AF919" s="11">
        <v>0</v>
      </c>
      <c r="AI919" s="11">
        <v>1</v>
      </c>
    </row>
    <row r="920" spans="1:35" x14ac:dyDescent="0.25">
      <c r="A920" s="161" t="str">
        <f t="shared" si="17"/>
        <v>LONGSWORDSMAN_JAPAN</v>
      </c>
      <c r="B920" s="9" t="s">
        <v>109</v>
      </c>
      <c r="C920" s="4" t="s">
        <v>722</v>
      </c>
      <c r="E920" s="4" t="s">
        <v>109</v>
      </c>
      <c r="F920" s="4" t="s">
        <v>109</v>
      </c>
      <c r="G920" s="14" t="s">
        <v>132</v>
      </c>
      <c r="H920" s="4" t="s">
        <v>485</v>
      </c>
      <c r="I920" s="4" t="s">
        <v>102</v>
      </c>
    </row>
    <row r="921" spans="1:35" x14ac:dyDescent="0.25">
      <c r="A921" s="161" t="str">
        <f t="shared" si="17"/>
        <v>LONGSWORDSMAN_KOREA</v>
      </c>
      <c r="B921" s="9" t="s">
        <v>109</v>
      </c>
      <c r="C921" s="4" t="s">
        <v>723</v>
      </c>
      <c r="E921" s="4" t="s">
        <v>109</v>
      </c>
      <c r="F921" s="4" t="s">
        <v>109</v>
      </c>
      <c r="G921" s="14" t="s">
        <v>132</v>
      </c>
      <c r="H921" s="4" t="s">
        <v>501</v>
      </c>
      <c r="I921" s="4" t="s">
        <v>102</v>
      </c>
    </row>
    <row r="922" spans="1:35" x14ac:dyDescent="0.25">
      <c r="A922" s="161" t="str">
        <f t="shared" si="17"/>
        <v>LONGSWORDSMAN_MONGOL</v>
      </c>
      <c r="B922" s="9" t="s">
        <v>109</v>
      </c>
      <c r="C922" s="4" t="s">
        <v>728</v>
      </c>
      <c r="E922" s="4" t="s">
        <v>109</v>
      </c>
      <c r="F922" s="4" t="s">
        <v>109</v>
      </c>
      <c r="G922" s="14" t="s">
        <v>132</v>
      </c>
      <c r="H922" s="4" t="s">
        <v>531</v>
      </c>
      <c r="I922" s="4" t="s">
        <v>2096</v>
      </c>
    </row>
    <row r="923" spans="1:35" x14ac:dyDescent="0.25">
      <c r="A923" s="161" t="str">
        <f t="shared" si="17"/>
        <v>LONGSWORDSMAN_CENTAS</v>
      </c>
      <c r="B923" s="9" t="s">
        <v>109</v>
      </c>
      <c r="C923" s="4" t="s">
        <v>918</v>
      </c>
      <c r="E923" s="4" t="s">
        <v>109</v>
      </c>
      <c r="F923" s="4" t="s">
        <v>109</v>
      </c>
      <c r="G923" s="14"/>
      <c r="H923" s="4" t="s">
        <v>1030</v>
      </c>
      <c r="I923" s="4" t="s">
        <v>2096</v>
      </c>
    </row>
    <row r="924" spans="1:35" x14ac:dyDescent="0.25">
      <c r="A924" s="161" t="str">
        <f t="shared" si="17"/>
        <v>LONGSWORDSMAN_HUNS</v>
      </c>
      <c r="B924" s="9" t="s">
        <v>109</v>
      </c>
      <c r="C924" s="4" t="s">
        <v>904</v>
      </c>
      <c r="E924" s="4" t="s">
        <v>109</v>
      </c>
      <c r="F924" s="4" t="s">
        <v>109</v>
      </c>
      <c r="H924" s="4" t="s">
        <v>910</v>
      </c>
      <c r="I924" s="4" t="s">
        <v>122</v>
      </c>
    </row>
    <row r="925" spans="1:35" x14ac:dyDescent="0.25">
      <c r="A925" s="161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132</v>
      </c>
      <c r="H925" s="4" t="s">
        <v>1030</v>
      </c>
      <c r="I925" s="4" t="s">
        <v>2096</v>
      </c>
      <c r="Q925" s="11">
        <v>3</v>
      </c>
      <c r="T925" s="11">
        <v>4</v>
      </c>
      <c r="Z925" s="11">
        <v>1</v>
      </c>
      <c r="AF925" s="11">
        <v>1</v>
      </c>
      <c r="AI925" s="11">
        <v>2</v>
      </c>
    </row>
    <row r="926" spans="1:35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2045</v>
      </c>
      <c r="H926" s="4" t="s">
        <v>1031</v>
      </c>
      <c r="I926" s="4" t="s">
        <v>2096</v>
      </c>
      <c r="Q926" s="11">
        <v>2</v>
      </c>
      <c r="T926" s="11">
        <v>3</v>
      </c>
      <c r="Z926" s="11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2047</v>
      </c>
      <c r="H927" s="4" t="s">
        <v>1032</v>
      </c>
      <c r="I927" s="4" t="s">
        <v>2096</v>
      </c>
      <c r="Q927" s="11">
        <v>1</v>
      </c>
      <c r="T927" s="11">
        <v>1</v>
      </c>
      <c r="Z927" s="11">
        <v>0</v>
      </c>
      <c r="AF927" s="11">
        <v>1</v>
      </c>
      <c r="AI927" s="11">
        <v>1</v>
      </c>
    </row>
    <row r="928" spans="1:35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132</v>
      </c>
      <c r="H928" s="4" t="s">
        <v>1030</v>
      </c>
      <c r="I928" s="4" t="s">
        <v>2096</v>
      </c>
      <c r="Q928" s="9">
        <v>3</v>
      </c>
      <c r="T928" s="11">
        <v>4</v>
      </c>
      <c r="Z928" s="9">
        <v>0</v>
      </c>
      <c r="AF928" s="11">
        <v>0</v>
      </c>
      <c r="AI928" s="11">
        <v>2</v>
      </c>
    </row>
    <row r="929" spans="1:35" x14ac:dyDescent="0.25">
      <c r="A929" s="161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2045</v>
      </c>
      <c r="H929" s="4" t="s">
        <v>1031</v>
      </c>
      <c r="I929" s="4" t="s">
        <v>2096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LONGSWORDSMAN_OTTOMAN</v>
      </c>
      <c r="B930" s="9" t="s">
        <v>109</v>
      </c>
      <c r="C930" s="4" t="s">
        <v>1037</v>
      </c>
      <c r="E930" s="4" t="s">
        <v>109</v>
      </c>
      <c r="F930" s="4" t="s">
        <v>109</v>
      </c>
      <c r="G930" s="14" t="s">
        <v>2047</v>
      </c>
      <c r="H930" s="4" t="s">
        <v>1032</v>
      </c>
      <c r="I930" s="4" t="s">
        <v>2096</v>
      </c>
      <c r="Q930" s="9">
        <v>1</v>
      </c>
      <c r="T930" s="11">
        <v>1</v>
      </c>
      <c r="Z930" s="9">
        <v>0</v>
      </c>
      <c r="AF930" s="11">
        <v>0</v>
      </c>
      <c r="AI930" s="11">
        <v>0</v>
      </c>
    </row>
    <row r="931" spans="1:35" x14ac:dyDescent="0.25">
      <c r="A931" s="161" t="str">
        <f t="shared" si="17"/>
        <v>LONGSWORDSMAN_POLAND</v>
      </c>
      <c r="B931" s="9" t="s">
        <v>109</v>
      </c>
      <c r="C931" s="4" t="s">
        <v>732</v>
      </c>
      <c r="E931" s="4" t="s">
        <v>109</v>
      </c>
      <c r="F931" s="4" t="s">
        <v>109</v>
      </c>
      <c r="G931" s="14" t="s">
        <v>132</v>
      </c>
      <c r="H931" s="4" t="s">
        <v>572</v>
      </c>
      <c r="I931" s="4" t="s">
        <v>122</v>
      </c>
      <c r="AF931" s="9"/>
    </row>
    <row r="932" spans="1:35" x14ac:dyDescent="0.25">
      <c r="A932" s="161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H932" s="4" t="s">
        <v>1005</v>
      </c>
      <c r="I932" s="4" t="s">
        <v>2096</v>
      </c>
      <c r="Q932" s="9">
        <v>2</v>
      </c>
      <c r="T932" s="11">
        <v>3</v>
      </c>
      <c r="Z932" s="9">
        <v>1</v>
      </c>
      <c r="AF932" s="11">
        <v>1</v>
      </c>
      <c r="AI932" s="11">
        <v>1</v>
      </c>
    </row>
    <row r="933" spans="1:35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G933" s="4" t="s">
        <v>2045</v>
      </c>
      <c r="H933" s="4" t="s">
        <v>1006</v>
      </c>
      <c r="I933" s="4" t="s">
        <v>2096</v>
      </c>
      <c r="Q933" s="9">
        <v>2</v>
      </c>
      <c r="T933" s="11">
        <v>2</v>
      </c>
      <c r="Z933" s="9">
        <v>0</v>
      </c>
      <c r="AF933" s="11">
        <v>1</v>
      </c>
      <c r="AI933" s="11">
        <v>1</v>
      </c>
    </row>
    <row r="934" spans="1:35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G934" s="4" t="s">
        <v>2047</v>
      </c>
      <c r="H934" s="4" t="s">
        <v>617</v>
      </c>
      <c r="I934" s="4" t="s">
        <v>2096</v>
      </c>
      <c r="Q934" s="9">
        <v>2</v>
      </c>
      <c r="T934" s="11">
        <v>3</v>
      </c>
      <c r="Z934" s="9">
        <v>0</v>
      </c>
      <c r="AF934" s="11">
        <v>1</v>
      </c>
      <c r="AI934" s="11">
        <v>1</v>
      </c>
    </row>
    <row r="935" spans="1:35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H935" s="4" t="s">
        <v>1005</v>
      </c>
      <c r="I935" s="4" t="s">
        <v>2096</v>
      </c>
      <c r="Q935" s="9">
        <v>2</v>
      </c>
      <c r="T935" s="11">
        <v>2</v>
      </c>
      <c r="Z935" s="9">
        <v>0</v>
      </c>
      <c r="AF935" s="11">
        <v>0</v>
      </c>
      <c r="AI935" s="11">
        <v>2</v>
      </c>
    </row>
    <row r="936" spans="1:35" x14ac:dyDescent="0.25">
      <c r="A936" s="161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G936" s="4" t="s">
        <v>2045</v>
      </c>
      <c r="H936" s="4" t="s">
        <v>1006</v>
      </c>
      <c r="I936" s="4" t="s">
        <v>2096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</row>
    <row r="937" spans="1:35" x14ac:dyDescent="0.25">
      <c r="A937" s="161" t="str">
        <f t="shared" si="17"/>
        <v>LONGSWORDSMAN_RUSSIA</v>
      </c>
      <c r="B937" s="9" t="s">
        <v>109</v>
      </c>
      <c r="C937" s="4" t="s">
        <v>735</v>
      </c>
      <c r="E937" s="4" t="s">
        <v>109</v>
      </c>
      <c r="F937" s="4" t="s">
        <v>109</v>
      </c>
      <c r="G937" s="4" t="s">
        <v>2047</v>
      </c>
      <c r="H937" s="4" t="s">
        <v>617</v>
      </c>
      <c r="I937" s="4" t="s">
        <v>2096</v>
      </c>
      <c r="Q937" s="9">
        <v>2</v>
      </c>
      <c r="T937" s="11">
        <v>3</v>
      </c>
      <c r="Z937" s="9">
        <v>0</v>
      </c>
      <c r="AF937" s="11">
        <v>0</v>
      </c>
      <c r="AI937" s="11">
        <v>1</v>
      </c>
    </row>
    <row r="938" spans="1:35" x14ac:dyDescent="0.25">
      <c r="A938" s="161" t="str">
        <f t="shared" si="17"/>
        <v>LONGSWORDSMAN_AMERICA</v>
      </c>
      <c r="B938" s="9" t="s">
        <v>109</v>
      </c>
      <c r="C938" s="4" t="s">
        <v>699</v>
      </c>
      <c r="E938" s="4" t="s">
        <v>109</v>
      </c>
      <c r="F938" s="4" t="s">
        <v>109</v>
      </c>
      <c r="G938" s="14"/>
      <c r="H938" s="4" t="s">
        <v>142</v>
      </c>
      <c r="I938" s="4" t="s">
        <v>122</v>
      </c>
    </row>
    <row r="939" spans="1:35" x14ac:dyDescent="0.25">
      <c r="A939" s="161" t="str">
        <f t="shared" si="17"/>
        <v>LONGSWORDSMAN_AUSTRIA</v>
      </c>
      <c r="B939" s="9" t="s">
        <v>109</v>
      </c>
      <c r="C939" s="4" t="s">
        <v>701</v>
      </c>
      <c r="E939" s="4" t="s">
        <v>109</v>
      </c>
      <c r="F939" s="4" t="s">
        <v>109</v>
      </c>
      <c r="G939" s="14"/>
      <c r="H939" s="4" t="s">
        <v>182</v>
      </c>
      <c r="I939" s="4" t="s">
        <v>122</v>
      </c>
    </row>
    <row r="940" spans="1:35" x14ac:dyDescent="0.25">
      <c r="A940" s="161" t="str">
        <f t="shared" si="17"/>
        <v>LONGSWORDSMAN_BOHEMIA</v>
      </c>
      <c r="B940" s="9" t="s">
        <v>109</v>
      </c>
      <c r="C940" s="4" t="s">
        <v>705</v>
      </c>
      <c r="E940" s="4" t="s">
        <v>109</v>
      </c>
      <c r="F940" s="4" t="s">
        <v>109</v>
      </c>
      <c r="G940" s="14"/>
      <c r="H940" s="4" t="s">
        <v>221</v>
      </c>
      <c r="I940" s="4" t="s">
        <v>967</v>
      </c>
    </row>
    <row r="941" spans="1:35" x14ac:dyDescent="0.25">
      <c r="A941" s="161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H941" s="4" t="s">
        <v>824</v>
      </c>
      <c r="I941" s="4" t="s">
        <v>122</v>
      </c>
      <c r="Q941" s="11">
        <v>2</v>
      </c>
      <c r="T941" s="11">
        <v>3</v>
      </c>
      <c r="Z941" s="11">
        <v>0</v>
      </c>
      <c r="AF941" s="11">
        <v>1</v>
      </c>
      <c r="AI941" s="11">
        <v>3</v>
      </c>
    </row>
    <row r="942" spans="1:35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G942" s="4" t="s">
        <v>2045</v>
      </c>
      <c r="H942" s="4" t="s">
        <v>238</v>
      </c>
      <c r="I942" s="4" t="s">
        <v>122</v>
      </c>
      <c r="Q942" s="11">
        <v>3</v>
      </c>
      <c r="T942" s="11">
        <v>5</v>
      </c>
      <c r="Z942" s="11">
        <v>1</v>
      </c>
      <c r="AF942" s="11">
        <v>1</v>
      </c>
      <c r="AI942" s="11">
        <v>5</v>
      </c>
    </row>
    <row r="943" spans="1:35" x14ac:dyDescent="0.25">
      <c r="A943" s="161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H943" s="4" t="s">
        <v>824</v>
      </c>
      <c r="I943" s="4" t="s">
        <v>122</v>
      </c>
      <c r="Q943" s="11">
        <v>4</v>
      </c>
      <c r="T943" s="11">
        <v>5</v>
      </c>
      <c r="Z943" s="11">
        <v>0</v>
      </c>
      <c r="AF943" s="11">
        <v>1</v>
      </c>
      <c r="AI943" s="11">
        <v>5</v>
      </c>
    </row>
    <row r="944" spans="1:35" x14ac:dyDescent="0.25">
      <c r="A944" s="161" t="str">
        <f t="shared" si="17"/>
        <v>LONGSWORDSMAN_CELTS</v>
      </c>
      <c r="B944" s="9" t="s">
        <v>109</v>
      </c>
      <c r="C944" s="4" t="s">
        <v>709</v>
      </c>
      <c r="E944" s="4" t="s">
        <v>109</v>
      </c>
      <c r="F944" s="4" t="s">
        <v>109</v>
      </c>
      <c r="G944" s="4" t="s">
        <v>2045</v>
      </c>
      <c r="H944" s="4" t="s">
        <v>238</v>
      </c>
      <c r="I944" s="4" t="s">
        <v>122</v>
      </c>
      <c r="Q944" s="9">
        <v>3</v>
      </c>
      <c r="T944" s="11">
        <v>3</v>
      </c>
      <c r="Z944" s="9">
        <v>0</v>
      </c>
      <c r="AF944" s="11">
        <v>0</v>
      </c>
      <c r="AI944" s="11">
        <v>3</v>
      </c>
    </row>
    <row r="945" spans="1:35" x14ac:dyDescent="0.25">
      <c r="A945" s="161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H945" s="4" t="s">
        <v>864</v>
      </c>
      <c r="I945" s="4" t="s">
        <v>102</v>
      </c>
      <c r="Q945" s="9">
        <v>2</v>
      </c>
      <c r="T945" s="11">
        <v>3</v>
      </c>
      <c r="Z945" s="9">
        <v>1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G946" s="4" t="s">
        <v>2045</v>
      </c>
      <c r="H946" s="4" t="s">
        <v>865</v>
      </c>
      <c r="I946" s="4" t="s">
        <v>122</v>
      </c>
      <c r="Q946" s="9">
        <v>2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G947" s="4" t="s">
        <v>2047</v>
      </c>
      <c r="H947" s="4" t="s">
        <v>303</v>
      </c>
      <c r="I947" s="4" t="s">
        <v>122</v>
      </c>
      <c r="Q947" s="9">
        <v>2</v>
      </c>
      <c r="T947" s="11">
        <v>3</v>
      </c>
      <c r="Z947" s="9">
        <v>0</v>
      </c>
      <c r="AF947" s="11">
        <v>1</v>
      </c>
      <c r="AI947" s="11">
        <v>3</v>
      </c>
    </row>
    <row r="948" spans="1:35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H948" s="4" t="s">
        <v>864</v>
      </c>
      <c r="I948" s="4" t="s">
        <v>102</v>
      </c>
      <c r="Q948" s="9">
        <v>2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G949" s="4" t="s">
        <v>2045</v>
      </c>
      <c r="H949" s="4" t="s">
        <v>865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</row>
    <row r="950" spans="1:35" x14ac:dyDescent="0.25">
      <c r="A950" s="161" t="str">
        <f t="shared" si="17"/>
        <v>LONGSWORDSMAN_ENGLAND</v>
      </c>
      <c r="B950" s="9" t="s">
        <v>109</v>
      </c>
      <c r="C950" s="4" t="s">
        <v>713</v>
      </c>
      <c r="E950" s="4" t="s">
        <v>109</v>
      </c>
      <c r="F950" s="4" t="s">
        <v>109</v>
      </c>
      <c r="G950" s="4" t="s">
        <v>2047</v>
      </c>
      <c r="H950" s="4" t="s">
        <v>303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H951" s="4" t="s">
        <v>876</v>
      </c>
      <c r="I951" s="4" t="s">
        <v>125</v>
      </c>
      <c r="Q951" s="9">
        <v>0</v>
      </c>
      <c r="T951" s="11">
        <v>1</v>
      </c>
      <c r="Z951" s="9">
        <v>0</v>
      </c>
      <c r="AF951" s="11">
        <v>0</v>
      </c>
      <c r="AI951" s="11">
        <v>1</v>
      </c>
    </row>
    <row r="952" spans="1:35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2045</v>
      </c>
      <c r="H952" s="4" t="s">
        <v>877</v>
      </c>
      <c r="I952" s="4" t="s">
        <v>102</v>
      </c>
      <c r="Q952" s="9">
        <v>3</v>
      </c>
      <c r="T952" s="11">
        <v>2</v>
      </c>
      <c r="Z952" s="9">
        <v>1</v>
      </c>
      <c r="AF952" s="11">
        <v>1</v>
      </c>
      <c r="AI952" s="11">
        <v>2</v>
      </c>
    </row>
    <row r="953" spans="1:35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2047</v>
      </c>
      <c r="H953" s="4" t="s">
        <v>878</v>
      </c>
      <c r="I953" s="4" t="s">
        <v>122</v>
      </c>
      <c r="Q953" s="9">
        <v>2</v>
      </c>
      <c r="T953" s="11">
        <v>3</v>
      </c>
      <c r="Z953" s="9">
        <v>0</v>
      </c>
      <c r="AF953" s="11">
        <v>1</v>
      </c>
      <c r="AI953" s="11">
        <v>3</v>
      </c>
    </row>
    <row r="954" spans="1:35" x14ac:dyDescent="0.25">
      <c r="A954" s="161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G954" s="4" t="s">
        <v>2046</v>
      </c>
      <c r="H954" s="4" t="s">
        <v>350</v>
      </c>
      <c r="I954" s="4" t="s">
        <v>122</v>
      </c>
      <c r="Q954" s="9">
        <v>1</v>
      </c>
      <c r="T954" s="11">
        <v>2</v>
      </c>
      <c r="Z954" s="9">
        <v>0</v>
      </c>
      <c r="AF954" s="11">
        <v>1</v>
      </c>
      <c r="AI954" s="11">
        <v>2</v>
      </c>
    </row>
    <row r="955" spans="1:35" x14ac:dyDescent="0.25">
      <c r="A955" s="161" t="str">
        <f t="shared" si="17"/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H955" s="4" t="s">
        <v>876</v>
      </c>
      <c r="I955" s="4" t="s">
        <v>125</v>
      </c>
      <c r="Q955" s="9">
        <v>0</v>
      </c>
      <c r="T955" s="11">
        <v>1</v>
      </c>
      <c r="Z955" s="9">
        <v>0</v>
      </c>
      <c r="AF955" s="11">
        <v>0</v>
      </c>
      <c r="AI955" s="11">
        <v>1</v>
      </c>
    </row>
    <row r="956" spans="1:35" x14ac:dyDescent="0.25">
      <c r="A956" s="161" t="str">
        <f t="shared" ref="A956:A1016" si="18">CONCATENATE(E956,IF(ISBLANK(C956),"",CONCATENATE("_",C956)))</f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2045</v>
      </c>
      <c r="H956" s="4" t="s">
        <v>877</v>
      </c>
      <c r="I956" s="4" t="s">
        <v>102</v>
      </c>
      <c r="Q956" s="9">
        <v>3</v>
      </c>
      <c r="T956" s="11">
        <v>2</v>
      </c>
      <c r="Z956" s="9">
        <v>0</v>
      </c>
      <c r="AF956" s="11">
        <v>0</v>
      </c>
      <c r="AI956" s="11">
        <v>2</v>
      </c>
    </row>
    <row r="957" spans="1:35" x14ac:dyDescent="0.25">
      <c r="A957" s="161" t="str">
        <f t="shared" si="18"/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2047</v>
      </c>
      <c r="H957" s="4" t="s">
        <v>878</v>
      </c>
      <c r="I957" s="4" t="s">
        <v>122</v>
      </c>
      <c r="Q957" s="9">
        <v>1</v>
      </c>
      <c r="T957" s="11">
        <v>2</v>
      </c>
      <c r="Z957" s="9">
        <v>0</v>
      </c>
      <c r="AF957" s="11">
        <v>0</v>
      </c>
      <c r="AI957" s="11">
        <v>2</v>
      </c>
    </row>
    <row r="958" spans="1:35" x14ac:dyDescent="0.25">
      <c r="A958" s="161" t="str">
        <f t="shared" si="18"/>
        <v>LONGSWORDSMAN_FRANCE</v>
      </c>
      <c r="B958" s="9" t="s">
        <v>109</v>
      </c>
      <c r="C958" s="4" t="s">
        <v>715</v>
      </c>
      <c r="E958" s="4" t="s">
        <v>109</v>
      </c>
      <c r="F958" s="4" t="s">
        <v>109</v>
      </c>
      <c r="G958" s="4" t="s">
        <v>2046</v>
      </c>
      <c r="H958" s="4" t="s">
        <v>350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H959" s="4" t="s">
        <v>893</v>
      </c>
      <c r="I959" s="4" t="s">
        <v>102</v>
      </c>
      <c r="Q959" s="9">
        <v>1</v>
      </c>
      <c r="T959" s="11">
        <v>1</v>
      </c>
      <c r="Z959" s="9">
        <v>1</v>
      </c>
      <c r="AF959" s="11">
        <v>1</v>
      </c>
      <c r="AI959" s="11">
        <v>1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2045</v>
      </c>
      <c r="H960" s="4" t="s">
        <v>894</v>
      </c>
      <c r="I960" s="4" t="s">
        <v>122</v>
      </c>
      <c r="Q960" s="9">
        <v>1</v>
      </c>
      <c r="T960" s="11">
        <v>1</v>
      </c>
      <c r="Z960" s="9">
        <v>0</v>
      </c>
      <c r="AF960" s="11">
        <v>1</v>
      </c>
      <c r="AI960" s="11">
        <v>1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2047</v>
      </c>
      <c r="H961" s="4" t="s">
        <v>895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1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2046</v>
      </c>
      <c r="H962" s="4" t="s">
        <v>896</v>
      </c>
      <c r="I962" s="4" t="s">
        <v>122</v>
      </c>
      <c r="Q962" s="9">
        <v>1</v>
      </c>
      <c r="T962" s="11">
        <v>1</v>
      </c>
      <c r="Z962" s="9">
        <v>0</v>
      </c>
      <c r="AF962" s="11">
        <v>0</v>
      </c>
      <c r="AI962" s="11">
        <v>1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2056</v>
      </c>
      <c r="H963" s="4" t="s">
        <v>897</v>
      </c>
      <c r="I963" s="4" t="s">
        <v>122</v>
      </c>
      <c r="Q963" s="9">
        <v>2</v>
      </c>
      <c r="T963" s="11">
        <v>2</v>
      </c>
      <c r="Z963" s="9">
        <v>0</v>
      </c>
      <c r="AF963" s="11">
        <v>1</v>
      </c>
      <c r="AI963" s="11">
        <v>1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2057</v>
      </c>
      <c r="H964" s="4" t="s">
        <v>898</v>
      </c>
      <c r="I964" s="4" t="s">
        <v>122</v>
      </c>
      <c r="Q964" s="9">
        <v>1</v>
      </c>
      <c r="T964" s="11">
        <v>1</v>
      </c>
      <c r="Z964" s="9">
        <v>0</v>
      </c>
      <c r="AF964" s="11">
        <v>0</v>
      </c>
      <c r="AI964" s="11">
        <v>1</v>
      </c>
    </row>
    <row r="965" spans="1:35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G965" s="4" t="s">
        <v>2058</v>
      </c>
      <c r="H965" s="4" t="s">
        <v>381</v>
      </c>
      <c r="I965" s="4" t="s">
        <v>967</v>
      </c>
      <c r="Q965" s="9">
        <v>1</v>
      </c>
      <c r="T965" s="11">
        <v>1</v>
      </c>
      <c r="Z965" s="9">
        <v>0</v>
      </c>
      <c r="AF965" s="11">
        <v>0</v>
      </c>
      <c r="AI965" s="11">
        <v>1</v>
      </c>
    </row>
    <row r="966" spans="1:35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H966" s="4" t="s">
        <v>893</v>
      </c>
      <c r="I966" s="4" t="s">
        <v>102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</row>
    <row r="967" spans="1:35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2045</v>
      </c>
      <c r="H967" s="4" t="s">
        <v>894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</row>
    <row r="968" spans="1:35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2047</v>
      </c>
      <c r="H968" s="4" t="s">
        <v>895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</row>
    <row r="969" spans="1:35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2046</v>
      </c>
      <c r="H969" s="4" t="s">
        <v>896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0</v>
      </c>
    </row>
    <row r="970" spans="1:35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2056</v>
      </c>
      <c r="H970" s="4" t="s">
        <v>897</v>
      </c>
      <c r="I970" s="4" t="s">
        <v>122</v>
      </c>
      <c r="Q970" s="9">
        <v>1</v>
      </c>
      <c r="T970" s="11">
        <v>2</v>
      </c>
      <c r="Z970" s="9">
        <v>0</v>
      </c>
      <c r="AF970" s="11">
        <v>0</v>
      </c>
      <c r="AI970" s="11">
        <v>0</v>
      </c>
    </row>
    <row r="971" spans="1:35" x14ac:dyDescent="0.25">
      <c r="A971" s="161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2057</v>
      </c>
      <c r="H971" s="4" t="s">
        <v>898</v>
      </c>
      <c r="I971" s="4" t="s">
        <v>122</v>
      </c>
      <c r="Q971" s="9">
        <v>0</v>
      </c>
      <c r="T971" s="11">
        <v>1</v>
      </c>
      <c r="Z971" s="9">
        <v>0</v>
      </c>
      <c r="AF971" s="11">
        <v>0</v>
      </c>
      <c r="AI971" s="11">
        <v>0</v>
      </c>
    </row>
    <row r="972" spans="1:35" x14ac:dyDescent="0.25">
      <c r="A972" s="161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2058</v>
      </c>
      <c r="H972" s="4" t="s">
        <v>381</v>
      </c>
      <c r="I972" s="4" t="s">
        <v>967</v>
      </c>
      <c r="Q972" s="9">
        <v>0</v>
      </c>
      <c r="T972" s="11">
        <v>1</v>
      </c>
      <c r="Z972" s="9">
        <v>0</v>
      </c>
      <c r="AF972" s="11">
        <v>0</v>
      </c>
      <c r="AI972" s="11">
        <v>0</v>
      </c>
    </row>
    <row r="973" spans="1:35" x14ac:dyDescent="0.25">
      <c r="A973" s="161" t="str">
        <f t="shared" si="18"/>
        <v>LONGSWORDSMAN_SWISS</v>
      </c>
      <c r="B973" s="9" t="s">
        <v>109</v>
      </c>
      <c r="C973" s="4" t="s">
        <v>740</v>
      </c>
      <c r="E973" s="4" t="s">
        <v>109</v>
      </c>
      <c r="F973" s="4" t="s">
        <v>109</v>
      </c>
      <c r="H973" s="4" t="s">
        <v>1243</v>
      </c>
      <c r="I973" s="4" t="s">
        <v>1244</v>
      </c>
    </row>
    <row r="974" spans="1:35" x14ac:dyDescent="0.25">
      <c r="A974" s="161" t="str">
        <f t="shared" si="18"/>
        <v>LONGSWORDSMAN_MED</v>
      </c>
      <c r="B974" s="9" t="s">
        <v>109</v>
      </c>
      <c r="C974" s="4" t="s">
        <v>692</v>
      </c>
      <c r="E974" s="4" t="s">
        <v>109</v>
      </c>
      <c r="F974" s="4" t="s">
        <v>109</v>
      </c>
      <c r="H974" s="4" t="s">
        <v>657</v>
      </c>
      <c r="I974" s="4" t="s">
        <v>122</v>
      </c>
    </row>
    <row r="975" spans="1:35" x14ac:dyDescent="0.25">
      <c r="A975" s="161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H975" s="4" t="s">
        <v>819</v>
      </c>
      <c r="I975" s="4" t="s">
        <v>122</v>
      </c>
      <c r="Q975" s="9">
        <v>3</v>
      </c>
      <c r="T975" s="11">
        <v>3</v>
      </c>
      <c r="Z975" s="9">
        <v>1</v>
      </c>
      <c r="AF975" s="11">
        <v>1</v>
      </c>
      <c r="AI975" s="11">
        <v>2</v>
      </c>
    </row>
    <row r="976" spans="1:35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G976" s="4" t="s">
        <v>2045</v>
      </c>
      <c r="H976" s="4" t="s">
        <v>226</v>
      </c>
      <c r="I976" s="4" t="s">
        <v>122</v>
      </c>
      <c r="Q976" s="9">
        <v>3</v>
      </c>
      <c r="T976" s="11">
        <v>5</v>
      </c>
      <c r="Z976" s="9">
        <v>0</v>
      </c>
      <c r="AF976" s="11">
        <v>1</v>
      </c>
      <c r="AI976" s="11">
        <v>1</v>
      </c>
    </row>
    <row r="977" spans="1:35" x14ac:dyDescent="0.25">
      <c r="A977" s="161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H977" s="4" t="s">
        <v>819</v>
      </c>
      <c r="I977" s="4" t="s">
        <v>122</v>
      </c>
      <c r="Q977" s="9">
        <v>3</v>
      </c>
      <c r="T977" s="11">
        <v>5</v>
      </c>
      <c r="Z977" s="9">
        <v>0</v>
      </c>
      <c r="AF977" s="11">
        <v>1</v>
      </c>
      <c r="AI977" s="11">
        <v>2</v>
      </c>
    </row>
    <row r="978" spans="1:35" x14ac:dyDescent="0.25">
      <c r="A978" s="161" t="str">
        <f t="shared" si="18"/>
        <v>LONGSWORDSMAN_BYZANTIUM</v>
      </c>
      <c r="B978" s="9" t="s">
        <v>109</v>
      </c>
      <c r="C978" s="4" t="s">
        <v>707</v>
      </c>
      <c r="E978" s="4" t="s">
        <v>109</v>
      </c>
      <c r="F978" s="4" t="s">
        <v>109</v>
      </c>
      <c r="G978" s="4" t="s">
        <v>2045</v>
      </c>
      <c r="H978" s="4" t="s">
        <v>226</v>
      </c>
      <c r="I978" s="4" t="s">
        <v>122</v>
      </c>
      <c r="Q978" s="9">
        <v>3</v>
      </c>
      <c r="T978" s="11">
        <v>3</v>
      </c>
      <c r="Z978" s="9">
        <v>0</v>
      </c>
      <c r="AF978" s="11">
        <v>0</v>
      </c>
      <c r="AI978" s="11">
        <v>2</v>
      </c>
    </row>
    <row r="979" spans="1:35" x14ac:dyDescent="0.25">
      <c r="A979" s="161" t="str">
        <f t="shared" si="18"/>
        <v>LONGSWORDSMAN_CARTHAGE</v>
      </c>
      <c r="B979" s="9" t="s">
        <v>109</v>
      </c>
      <c r="C979" s="4" t="s">
        <v>708</v>
      </c>
      <c r="E979" s="4" t="s">
        <v>109</v>
      </c>
      <c r="F979" s="4" t="s">
        <v>109</v>
      </c>
      <c r="H979" s="4" t="s">
        <v>2703</v>
      </c>
      <c r="I979" s="4" t="s">
        <v>1025</v>
      </c>
      <c r="Q979" s="9"/>
      <c r="Z979" s="9"/>
    </row>
    <row r="980" spans="1:35" x14ac:dyDescent="0.25">
      <c r="A980" s="161" t="str">
        <f t="shared" si="18"/>
        <v>LONGSWORDSMAN_GREECE</v>
      </c>
      <c r="B980" s="9" t="s">
        <v>109</v>
      </c>
      <c r="C980" s="4" t="s">
        <v>718</v>
      </c>
      <c r="E980" s="4" t="s">
        <v>109</v>
      </c>
      <c r="F980" s="4" t="s">
        <v>109</v>
      </c>
      <c r="G980" s="14" t="s">
        <v>132</v>
      </c>
      <c r="H980" s="4" t="s">
        <v>407</v>
      </c>
      <c r="I980" s="4" t="s">
        <v>102</v>
      </c>
      <c r="Q980" s="9"/>
    </row>
    <row r="981" spans="1:35" x14ac:dyDescent="0.25">
      <c r="A981" s="161" t="str">
        <f t="shared" si="18"/>
        <v>LONGSWORDSMAN_PORTUGAL</v>
      </c>
      <c r="B981" s="9" t="s">
        <v>109</v>
      </c>
      <c r="C981" s="4" t="s">
        <v>733</v>
      </c>
      <c r="E981" s="4" t="s">
        <v>109</v>
      </c>
      <c r="F981" s="4" t="s">
        <v>109</v>
      </c>
      <c r="G981" s="14" t="s">
        <v>132</v>
      </c>
      <c r="H981" s="4" t="s">
        <v>579</v>
      </c>
      <c r="I981" s="4" t="s">
        <v>122</v>
      </c>
    </row>
    <row r="982" spans="1:35" x14ac:dyDescent="0.25">
      <c r="A982" s="161" t="str">
        <f t="shared" si="18"/>
        <v>LONGSWORDSMAN_ROME</v>
      </c>
      <c r="B982" s="9" t="s">
        <v>109</v>
      </c>
      <c r="C982" s="4" t="s">
        <v>734</v>
      </c>
      <c r="E982" s="4" t="s">
        <v>109</v>
      </c>
      <c r="F982" s="4" t="s">
        <v>109</v>
      </c>
      <c r="G982" s="14" t="s">
        <v>132</v>
      </c>
      <c r="H982" s="4" t="s">
        <v>593</v>
      </c>
      <c r="I982" s="4" t="s">
        <v>102</v>
      </c>
    </row>
    <row r="983" spans="1:35" x14ac:dyDescent="0.25">
      <c r="A983" s="161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H983" s="4" t="s">
        <v>1016</v>
      </c>
      <c r="I983" s="4" t="s">
        <v>122</v>
      </c>
      <c r="Q983" s="11">
        <v>3</v>
      </c>
      <c r="T983" s="11">
        <v>3</v>
      </c>
      <c r="Z983" s="11">
        <v>1</v>
      </c>
      <c r="AF983" s="11">
        <v>1</v>
      </c>
      <c r="AI983" s="11">
        <v>2</v>
      </c>
    </row>
    <row r="984" spans="1:35" x14ac:dyDescent="0.25">
      <c r="A984" s="161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G984" s="4" t="s">
        <v>2045</v>
      </c>
      <c r="H984" s="4" t="s">
        <v>657</v>
      </c>
      <c r="I984" s="4" t="s">
        <v>122</v>
      </c>
      <c r="Q984" s="11">
        <v>3</v>
      </c>
      <c r="T984" s="11">
        <v>5</v>
      </c>
      <c r="Z984" s="11">
        <v>0</v>
      </c>
      <c r="AF984" s="11">
        <v>1</v>
      </c>
      <c r="AI984" s="11">
        <v>1</v>
      </c>
    </row>
    <row r="985" spans="1:35" x14ac:dyDescent="0.25">
      <c r="A985" s="161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H985" s="4" t="s">
        <v>1016</v>
      </c>
      <c r="I985" s="4" t="s">
        <v>122</v>
      </c>
      <c r="Q985" s="11">
        <v>3</v>
      </c>
      <c r="T985" s="11">
        <v>5</v>
      </c>
      <c r="Z985" s="11">
        <v>0</v>
      </c>
      <c r="AF985" s="11">
        <v>1</v>
      </c>
      <c r="AI985" s="11">
        <v>2</v>
      </c>
    </row>
    <row r="986" spans="1:35" x14ac:dyDescent="0.25">
      <c r="A986" s="161" t="str">
        <f t="shared" si="18"/>
        <v>LONGSWORDSMAN_SPAIN</v>
      </c>
      <c r="B986" s="9" t="s">
        <v>109</v>
      </c>
      <c r="C986" s="4" t="s">
        <v>738</v>
      </c>
      <c r="E986" s="4" t="s">
        <v>109</v>
      </c>
      <c r="F986" s="4" t="s">
        <v>109</v>
      </c>
      <c r="G986" s="4" t="s">
        <v>2045</v>
      </c>
      <c r="H986" s="4" t="s">
        <v>657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</row>
    <row r="987" spans="1:35" x14ac:dyDescent="0.25">
      <c r="A987" s="161" t="str">
        <f t="shared" si="18"/>
        <v>LONGSWORDSMAN_VATICAN_CITY</v>
      </c>
      <c r="B987" s="9" t="s">
        <v>109</v>
      </c>
      <c r="C987" s="4" t="s">
        <v>741</v>
      </c>
      <c r="E987" s="4" t="s">
        <v>109</v>
      </c>
      <c r="F987" s="4" t="s">
        <v>109</v>
      </c>
      <c r="G987" s="14" t="s">
        <v>132</v>
      </c>
      <c r="H987" s="4" t="s">
        <v>681</v>
      </c>
      <c r="I987" s="4" t="s">
        <v>122</v>
      </c>
    </row>
    <row r="988" spans="1:35" x14ac:dyDescent="0.25">
      <c r="A988" s="161" t="str">
        <f t="shared" si="18"/>
        <v>LONGSWORDSMAN_MIDEAST</v>
      </c>
      <c r="B988" s="9" t="s">
        <v>109</v>
      </c>
      <c r="C988" s="4" t="s">
        <v>690</v>
      </c>
      <c r="E988" s="4" t="s">
        <v>109</v>
      </c>
      <c r="F988" s="4" t="s">
        <v>109</v>
      </c>
      <c r="H988" s="4" t="s">
        <v>164</v>
      </c>
      <c r="I988" s="4" t="s">
        <v>2096</v>
      </c>
    </row>
    <row r="989" spans="1:35" x14ac:dyDescent="0.25">
      <c r="A989" s="161" t="str">
        <f t="shared" si="18"/>
        <v>LONGSWORDSMAN_ARABIA</v>
      </c>
      <c r="B989" s="9" t="s">
        <v>109</v>
      </c>
      <c r="C989" s="4" t="s">
        <v>700</v>
      </c>
      <c r="D989" s="14" t="s">
        <v>690</v>
      </c>
      <c r="E989" s="4" t="s">
        <v>109</v>
      </c>
      <c r="F989" s="4" t="s">
        <v>109</v>
      </c>
      <c r="G989" s="14"/>
    </row>
    <row r="990" spans="1:35" x14ac:dyDescent="0.25">
      <c r="A990" s="161" t="str">
        <f t="shared" si="18"/>
        <v>LONGSWORDSMAN_BABYLON</v>
      </c>
      <c r="B990" s="9" t="s">
        <v>109</v>
      </c>
      <c r="C990" s="4" t="s">
        <v>703</v>
      </c>
      <c r="E990" s="4" t="s">
        <v>109</v>
      </c>
      <c r="F990" s="4" t="s">
        <v>109</v>
      </c>
      <c r="G990" s="14"/>
      <c r="H990" s="4" t="s">
        <v>212</v>
      </c>
      <c r="I990" s="4" t="s">
        <v>102</v>
      </c>
    </row>
    <row r="991" spans="1:35" x14ac:dyDescent="0.25">
      <c r="A991" s="161" t="str">
        <f t="shared" si="18"/>
        <v>LONGSWORDSMAN_EGYPT</v>
      </c>
      <c r="B991" s="9" t="s">
        <v>109</v>
      </c>
      <c r="C991" s="4" t="s">
        <v>712</v>
      </c>
      <c r="E991" s="4" t="s">
        <v>109</v>
      </c>
      <c r="F991" s="4" t="s">
        <v>109</v>
      </c>
      <c r="G991" s="14" t="s">
        <v>132</v>
      </c>
      <c r="H991" s="4" t="s">
        <v>283</v>
      </c>
      <c r="I991" s="4" t="s">
        <v>2096</v>
      </c>
    </row>
    <row r="992" spans="1:35" x14ac:dyDescent="0.25">
      <c r="A992" s="161" t="str">
        <f t="shared" si="18"/>
        <v>LONGSWORDSMAN_LEVANT</v>
      </c>
      <c r="B992" s="9" t="s">
        <v>109</v>
      </c>
      <c r="C992" s="4" t="s">
        <v>724</v>
      </c>
      <c r="E992" s="4" t="s">
        <v>109</v>
      </c>
      <c r="F992" s="4" t="s">
        <v>109</v>
      </c>
      <c r="G992" s="14" t="s">
        <v>132</v>
      </c>
      <c r="H992" s="4" t="s">
        <v>512</v>
      </c>
      <c r="I992" s="4" t="s">
        <v>102</v>
      </c>
    </row>
    <row r="993" spans="1:35" x14ac:dyDescent="0.25">
      <c r="A993" s="161" t="str">
        <f t="shared" si="18"/>
        <v>LONGSWORDSMAN_PERSIA</v>
      </c>
      <c r="B993" s="9" t="s">
        <v>109</v>
      </c>
      <c r="C993" s="4" t="s">
        <v>731</v>
      </c>
      <c r="E993" s="4" t="s">
        <v>109</v>
      </c>
      <c r="F993" s="4" t="s">
        <v>109</v>
      </c>
      <c r="G993" s="14" t="s">
        <v>132</v>
      </c>
      <c r="H993" s="4" t="s">
        <v>558</v>
      </c>
      <c r="I993" s="4" t="s">
        <v>102</v>
      </c>
    </row>
    <row r="994" spans="1:35" x14ac:dyDescent="0.25">
      <c r="A994" s="161" t="str">
        <f>CONCATENATE(E994,IF(ISBLANK(C994),"",CONCATENATE("_",C994)))</f>
        <v>LONGSWORDSMAN_NORTHAF</v>
      </c>
      <c r="B994" s="9" t="s">
        <v>109</v>
      </c>
      <c r="C994" s="4" t="s">
        <v>2009</v>
      </c>
      <c r="E994" s="4" t="s">
        <v>109</v>
      </c>
      <c r="F994" s="4" t="s">
        <v>109</v>
      </c>
      <c r="G994" s="14" t="s">
        <v>132</v>
      </c>
      <c r="H994" s="10" t="s">
        <v>641</v>
      </c>
      <c r="I994" s="10" t="s">
        <v>1817</v>
      </c>
    </row>
    <row r="995" spans="1:35" x14ac:dyDescent="0.25">
      <c r="A995" s="161" t="str">
        <f>CONCATENATE(E995,IF(ISBLANK(C995),"",CONCATENATE("_",C995)))</f>
        <v>LONGSWORDSMAN_MOROCCO</v>
      </c>
      <c r="B995" s="9" t="s">
        <v>109</v>
      </c>
      <c r="C995" s="4" t="s">
        <v>729</v>
      </c>
      <c r="E995" s="4" t="s">
        <v>109</v>
      </c>
      <c r="F995" s="4" t="s">
        <v>109</v>
      </c>
      <c r="G995" s="14" t="s">
        <v>132</v>
      </c>
      <c r="H995" s="4" t="s">
        <v>537</v>
      </c>
      <c r="I995" s="4" t="s">
        <v>1066</v>
      </c>
    </row>
    <row r="996" spans="1:35" x14ac:dyDescent="0.25">
      <c r="A996" s="161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H996" s="4" t="s">
        <v>837</v>
      </c>
      <c r="I996" s="4" t="s">
        <v>102</v>
      </c>
      <c r="Q996" s="11">
        <v>2</v>
      </c>
      <c r="T996" s="11">
        <v>3</v>
      </c>
      <c r="Z996" s="11">
        <v>1</v>
      </c>
      <c r="AF996" s="11">
        <v>1</v>
      </c>
      <c r="AI996" s="11">
        <v>1</v>
      </c>
    </row>
    <row r="997" spans="1:35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2045</v>
      </c>
      <c r="H997" s="4" t="s">
        <v>838</v>
      </c>
      <c r="I997" s="4" t="s">
        <v>102</v>
      </c>
      <c r="Q997" s="11">
        <v>2</v>
      </c>
      <c r="T997" s="11">
        <v>2</v>
      </c>
      <c r="Z997" s="11">
        <v>0</v>
      </c>
      <c r="AF997" s="11">
        <v>1</v>
      </c>
      <c r="AI997" s="11">
        <v>1</v>
      </c>
    </row>
    <row r="998" spans="1:35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G998" s="4" t="s">
        <v>2047</v>
      </c>
      <c r="H998" s="4" t="s">
        <v>269</v>
      </c>
      <c r="I998" s="4" t="s">
        <v>102</v>
      </c>
      <c r="Q998" s="11">
        <v>2</v>
      </c>
      <c r="T998" s="11">
        <v>3</v>
      </c>
      <c r="Z998" s="11">
        <v>0</v>
      </c>
      <c r="AF998" s="11">
        <v>1</v>
      </c>
      <c r="AI998" s="11">
        <v>1</v>
      </c>
    </row>
    <row r="999" spans="1:35" x14ac:dyDescent="0.25">
      <c r="A999" s="161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H999" s="4" t="s">
        <v>837</v>
      </c>
      <c r="I999" s="4" t="s">
        <v>102</v>
      </c>
      <c r="Q999" s="9">
        <v>2</v>
      </c>
      <c r="T999" s="11">
        <v>2</v>
      </c>
      <c r="Z999" s="9">
        <v>0</v>
      </c>
      <c r="AF999" s="11">
        <v>0</v>
      </c>
      <c r="AI999" s="11">
        <v>2</v>
      </c>
    </row>
    <row r="1000" spans="1:35" x14ac:dyDescent="0.25">
      <c r="A1000" s="161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G1000" s="4" t="s">
        <v>2045</v>
      </c>
      <c r="H1000" s="4" t="s">
        <v>838</v>
      </c>
      <c r="I1000" s="4" t="s">
        <v>102</v>
      </c>
      <c r="Q1000" s="9">
        <v>2</v>
      </c>
      <c r="T1000" s="11">
        <v>3</v>
      </c>
      <c r="Z1000" s="9">
        <v>0</v>
      </c>
      <c r="AF1000" s="11">
        <v>0</v>
      </c>
      <c r="AI1000" s="11">
        <v>1</v>
      </c>
    </row>
    <row r="1001" spans="1:35" x14ac:dyDescent="0.25">
      <c r="A1001" s="161" t="str">
        <f t="shared" si="18"/>
        <v>LONGSWORDSMAN_NORTHEU</v>
      </c>
      <c r="B1001" s="9" t="s">
        <v>109</v>
      </c>
      <c r="C1001" s="4" t="s">
        <v>962</v>
      </c>
      <c r="E1001" s="4" t="s">
        <v>109</v>
      </c>
      <c r="F1001" s="4" t="s">
        <v>109</v>
      </c>
      <c r="G1001" s="4" t="s">
        <v>2047</v>
      </c>
      <c r="H1001" s="4" t="s">
        <v>269</v>
      </c>
      <c r="I1001" s="4" t="s">
        <v>102</v>
      </c>
      <c r="Q1001" s="9">
        <v>2</v>
      </c>
      <c r="T1001" s="11">
        <v>3</v>
      </c>
      <c r="Z1001" s="9">
        <v>0</v>
      </c>
      <c r="AF1001" s="11">
        <v>0</v>
      </c>
      <c r="AI1001" s="11">
        <v>1</v>
      </c>
    </row>
    <row r="1002" spans="1:35" x14ac:dyDescent="0.25">
      <c r="A1002" s="161" t="str">
        <f t="shared" si="18"/>
        <v>LONGSWORDSMAN_OCEAN</v>
      </c>
      <c r="B1002" s="9" t="s">
        <v>109</v>
      </c>
      <c r="C1002" s="4" t="s">
        <v>994</v>
      </c>
      <c r="D1002" s="4" t="s">
        <v>691</v>
      </c>
      <c r="E1002" s="4" t="s">
        <v>109</v>
      </c>
      <c r="F1002" s="4" t="s">
        <v>109</v>
      </c>
    </row>
    <row r="1003" spans="1:35" x14ac:dyDescent="0.25">
      <c r="A1003" s="161" t="str">
        <f t="shared" si="18"/>
        <v>LONGSWORDSMAN_SEASIA</v>
      </c>
      <c r="B1003" s="9" t="s">
        <v>109</v>
      </c>
      <c r="C1003" s="4" t="s">
        <v>696</v>
      </c>
      <c r="D1003" s="4" t="s">
        <v>693</v>
      </c>
      <c r="E1003" s="4" t="s">
        <v>109</v>
      </c>
      <c r="F1003" s="4" t="s">
        <v>109</v>
      </c>
    </row>
    <row r="1004" spans="1:35" x14ac:dyDescent="0.25">
      <c r="A1004" s="161" t="str">
        <f t="shared" si="18"/>
        <v>LONGSWORDSMAN_SOUTHAM</v>
      </c>
      <c r="B1004" s="9" t="s">
        <v>109</v>
      </c>
      <c r="C1004" s="4" t="s">
        <v>691</v>
      </c>
      <c r="E1004" s="4" t="s">
        <v>109</v>
      </c>
      <c r="F1004" s="4" t="s">
        <v>109</v>
      </c>
      <c r="H1004" s="4" t="s">
        <v>519</v>
      </c>
      <c r="I1004" s="4" t="s">
        <v>102</v>
      </c>
    </row>
    <row r="1005" spans="1:35" x14ac:dyDescent="0.25">
      <c r="A1005" s="161" t="str">
        <f t="shared" si="18"/>
        <v>LONGSWORDSMAN_AZTEC</v>
      </c>
      <c r="B1005" s="9" t="s">
        <v>109</v>
      </c>
      <c r="C1005" s="4" t="s">
        <v>702</v>
      </c>
      <c r="E1005" s="4" t="s">
        <v>109</v>
      </c>
      <c r="F1005" s="4" t="s">
        <v>109</v>
      </c>
      <c r="G1005" s="14"/>
      <c r="H1005" s="4" t="s">
        <v>198</v>
      </c>
      <c r="I1005" s="4" t="s">
        <v>102</v>
      </c>
    </row>
    <row r="1006" spans="1:35" x14ac:dyDescent="0.25">
      <c r="A1006" s="161" t="str">
        <f t="shared" si="18"/>
        <v>LONGSWORDSMAN_INCA</v>
      </c>
      <c r="B1006" s="9" t="s">
        <v>109</v>
      </c>
      <c r="C1006" s="4" t="s">
        <v>719</v>
      </c>
      <c r="E1006" s="4" t="s">
        <v>109</v>
      </c>
      <c r="F1006" s="4" t="s">
        <v>109</v>
      </c>
      <c r="H1006" s="4" t="s">
        <v>929</v>
      </c>
      <c r="I1006" s="4" t="s">
        <v>2096</v>
      </c>
    </row>
    <row r="1007" spans="1:35" x14ac:dyDescent="0.25">
      <c r="A1007" s="161" t="str">
        <f t="shared" si="18"/>
        <v>LONGSWORDSMAN_MAYA</v>
      </c>
      <c r="B1007" s="9" t="s">
        <v>109</v>
      </c>
      <c r="C1007" s="4" t="s">
        <v>725</v>
      </c>
      <c r="D1007" s="4" t="s">
        <v>691</v>
      </c>
      <c r="E1007" s="4" t="s">
        <v>109</v>
      </c>
      <c r="F1007" s="4" t="s">
        <v>109</v>
      </c>
      <c r="G1007" s="14" t="s">
        <v>132</v>
      </c>
    </row>
    <row r="1008" spans="1:35" x14ac:dyDescent="0.25">
      <c r="A1008" s="161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H1008" s="4" t="s">
        <v>845</v>
      </c>
      <c r="I1008" s="4" t="s">
        <v>102</v>
      </c>
      <c r="Q1008" s="9">
        <v>2</v>
      </c>
      <c r="T1008" s="11">
        <v>3</v>
      </c>
      <c r="Z1008" s="9">
        <v>1</v>
      </c>
      <c r="AF1008" s="11">
        <v>1</v>
      </c>
      <c r="AI1008" s="11">
        <v>1</v>
      </c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G1009" s="4" t="s">
        <v>2045</v>
      </c>
      <c r="H1009" s="4" t="s">
        <v>437</v>
      </c>
      <c r="I1009" s="4" t="s">
        <v>102</v>
      </c>
      <c r="Q1009" s="9">
        <v>2</v>
      </c>
      <c r="T1009" s="11">
        <v>2</v>
      </c>
      <c r="Z1009" s="9">
        <v>0</v>
      </c>
      <c r="AF1009" s="11">
        <v>1</v>
      </c>
      <c r="AI1009" s="11">
        <v>1</v>
      </c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H1010" s="4" t="s">
        <v>845</v>
      </c>
      <c r="I1010" s="4" t="s">
        <v>102</v>
      </c>
      <c r="Q1010" s="9">
        <v>3</v>
      </c>
      <c r="T1010" s="11">
        <v>3</v>
      </c>
      <c r="Z1010" s="9">
        <v>0</v>
      </c>
      <c r="AF1010" s="11">
        <v>1</v>
      </c>
      <c r="AI1010" s="11">
        <v>2</v>
      </c>
    </row>
    <row r="1011" spans="1:43" x14ac:dyDescent="0.25">
      <c r="A1011" s="161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G1011" s="4" t="s">
        <v>2045</v>
      </c>
      <c r="H1011" s="4" t="s">
        <v>437</v>
      </c>
      <c r="I1011" s="4" t="s">
        <v>102</v>
      </c>
      <c r="Q1011" s="9">
        <v>2</v>
      </c>
      <c r="T1011" s="11">
        <v>2</v>
      </c>
      <c r="Z1011" s="9">
        <v>0</v>
      </c>
      <c r="AF1011" s="11">
        <v>0</v>
      </c>
      <c r="AI1011" s="11">
        <v>1</v>
      </c>
    </row>
    <row r="1012" spans="1:43" x14ac:dyDescent="0.25">
      <c r="A1012" s="161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H1012" s="4" t="s">
        <v>845</v>
      </c>
      <c r="I1012" s="4" t="s">
        <v>102</v>
      </c>
      <c r="Q1012" s="9">
        <v>2</v>
      </c>
      <c r="T1012" s="11">
        <v>3</v>
      </c>
      <c r="Z1012" s="9">
        <v>0</v>
      </c>
      <c r="AF1012" s="11">
        <v>0</v>
      </c>
      <c r="AI1012" s="11">
        <v>1</v>
      </c>
    </row>
    <row r="1013" spans="1:43" x14ac:dyDescent="0.25">
      <c r="A1013" s="161" t="str">
        <f t="shared" si="18"/>
        <v>LONGSWORDSMAN_SOUTHAS</v>
      </c>
      <c r="B1013" s="9" t="s">
        <v>109</v>
      </c>
      <c r="C1013" s="4" t="s">
        <v>695</v>
      </c>
      <c r="E1013" s="4" t="s">
        <v>109</v>
      </c>
      <c r="F1013" s="4" t="s">
        <v>109</v>
      </c>
      <c r="G1013" s="4" t="s">
        <v>2045</v>
      </c>
      <c r="H1013" s="4" t="s">
        <v>437</v>
      </c>
      <c r="I1013" s="4" t="s">
        <v>102</v>
      </c>
      <c r="Q1013" s="9">
        <v>1</v>
      </c>
      <c r="T1013" s="11">
        <v>3</v>
      </c>
      <c r="Z1013" s="9">
        <v>0</v>
      </c>
      <c r="AF1013" s="11">
        <v>0</v>
      </c>
      <c r="AI1013" s="11">
        <v>1</v>
      </c>
    </row>
    <row r="1014" spans="1:43" x14ac:dyDescent="0.25">
      <c r="A1014" s="161" t="str">
        <f t="shared" si="18"/>
        <v>MACHINEGUN</v>
      </c>
      <c r="B1014" s="9" t="s">
        <v>2321</v>
      </c>
      <c r="C1014" s="5"/>
      <c r="D1014" s="5"/>
      <c r="E1014" s="5" t="s">
        <v>763</v>
      </c>
      <c r="F1014" s="5" t="s">
        <v>763</v>
      </c>
      <c r="G1014" s="5"/>
      <c r="H1014" s="5" t="s">
        <v>1487</v>
      </c>
      <c r="I1014" s="5" t="s">
        <v>128</v>
      </c>
      <c r="J1014" s="6"/>
      <c r="K1014" s="6"/>
      <c r="L1014" s="13" t="s">
        <v>1707</v>
      </c>
      <c r="M1014" s="8"/>
      <c r="N1014" s="5"/>
      <c r="O1014" s="5"/>
      <c r="P1014" s="5"/>
      <c r="Q1014" s="7">
        <v>3</v>
      </c>
      <c r="R1014" s="6" t="s">
        <v>1694</v>
      </c>
      <c r="S1014" s="13" t="s">
        <v>1610</v>
      </c>
      <c r="T1014" s="6"/>
      <c r="U1014" s="7" t="s">
        <v>1736</v>
      </c>
      <c r="V1014" s="5"/>
      <c r="W1014" s="6">
        <v>7</v>
      </c>
      <c r="X1014" s="6" t="s">
        <v>3</v>
      </c>
      <c r="Y1014" s="5"/>
      <c r="Z1014" s="7">
        <v>1</v>
      </c>
      <c r="AA1014" s="6"/>
      <c r="AB1014" s="5"/>
      <c r="AC1014" s="6"/>
      <c r="AD1014" s="6" t="s">
        <v>3</v>
      </c>
      <c r="AE1014" s="5"/>
      <c r="AF1014" s="6"/>
      <c r="AG1014" s="6"/>
      <c r="AH1014" s="5"/>
      <c r="AI1014" s="6"/>
      <c r="AJ1014" s="6"/>
      <c r="AK1014" s="5"/>
      <c r="AL1014" s="5"/>
      <c r="AM1014" s="5"/>
      <c r="AN1014" s="5"/>
      <c r="AO1014" s="5"/>
      <c r="AP1014" s="5"/>
      <c r="AQ1014" s="5"/>
    </row>
    <row r="1015" spans="1:43" x14ac:dyDescent="0.25">
      <c r="A1015" s="161" t="str">
        <f t="shared" si="18"/>
        <v>MARINE</v>
      </c>
      <c r="B1015" s="9" t="s">
        <v>764</v>
      </c>
      <c r="C1015" s="5"/>
      <c r="D1015" s="5"/>
      <c r="E1015" s="5" t="s">
        <v>764</v>
      </c>
      <c r="F1015" s="5" t="s">
        <v>764</v>
      </c>
      <c r="G1015" s="5"/>
      <c r="H1015" s="5" t="s">
        <v>11</v>
      </c>
      <c r="I1015" s="5" t="s">
        <v>128</v>
      </c>
      <c r="J1015" s="6"/>
      <c r="K1015" s="6"/>
      <c r="L1015" s="13" t="s">
        <v>1707</v>
      </c>
      <c r="M1015" s="8"/>
      <c r="N1015" s="5"/>
      <c r="O1015" s="5"/>
      <c r="P1015" s="5"/>
      <c r="Q1015" s="7">
        <v>14</v>
      </c>
      <c r="R1015" s="6" t="s">
        <v>1736</v>
      </c>
      <c r="S1015" s="13" t="s">
        <v>1619</v>
      </c>
      <c r="T1015" s="6">
        <v>18</v>
      </c>
      <c r="U1015" s="7" t="s">
        <v>1736</v>
      </c>
      <c r="V1015" s="5"/>
      <c r="W1015" s="7" t="s">
        <v>3</v>
      </c>
      <c r="X1015" s="6" t="s">
        <v>3</v>
      </c>
      <c r="Y1015" s="5"/>
      <c r="Z1015" s="7">
        <v>1</v>
      </c>
      <c r="AA1015" s="6"/>
      <c r="AB1015" s="5"/>
      <c r="AC1015" s="6"/>
      <c r="AD1015" s="6" t="s">
        <v>3</v>
      </c>
      <c r="AE1015" s="5"/>
      <c r="AF1015" s="7" t="s">
        <v>1736</v>
      </c>
      <c r="AG1015" s="6"/>
      <c r="AH1015" s="5"/>
      <c r="AI1015" s="6" t="s">
        <v>1736</v>
      </c>
      <c r="AJ1015" s="6"/>
      <c r="AK1015" s="5"/>
      <c r="AL1015" s="5"/>
      <c r="AM1015" s="5"/>
      <c r="AN1015" s="5"/>
      <c r="AO1015" s="5"/>
      <c r="AP1015" s="5"/>
      <c r="AQ1015" s="5"/>
    </row>
    <row r="1016" spans="1:43" x14ac:dyDescent="0.25">
      <c r="A1016" s="161" t="str">
        <f t="shared" si="18"/>
        <v>MARINE_AFRI</v>
      </c>
      <c r="B1016" s="9" t="s">
        <v>764</v>
      </c>
      <c r="C1016" s="13" t="s">
        <v>694</v>
      </c>
      <c r="E1016" s="4" t="s">
        <v>764</v>
      </c>
      <c r="F1016" s="4" t="s">
        <v>764</v>
      </c>
      <c r="H1016" s="4" t="s">
        <v>1245</v>
      </c>
      <c r="I1016" s="4" t="s">
        <v>1249</v>
      </c>
      <c r="Z1016" s="9"/>
    </row>
    <row r="1017" spans="1:43" x14ac:dyDescent="0.25">
      <c r="A1017" s="161" t="str">
        <f t="shared" ref="A1017:A1121" si="19">CONCATENATE(E1017,IF(ISBLANK(C1017),"",CONCATENATE("_",C1017)))</f>
        <v>MARINE_AMER</v>
      </c>
      <c r="B1017" s="9" t="s">
        <v>764</v>
      </c>
      <c r="C1017" s="13" t="s">
        <v>697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MARINE_ASIA</v>
      </c>
      <c r="B1018" s="9" t="s">
        <v>764</v>
      </c>
      <c r="C1018" s="13" t="s">
        <v>693</v>
      </c>
      <c r="E1018" s="4" t="s">
        <v>764</v>
      </c>
      <c r="F1018" s="4" t="s">
        <v>764</v>
      </c>
      <c r="H1018" s="4" t="s">
        <v>1247</v>
      </c>
      <c r="I1018" s="4" t="s">
        <v>1249</v>
      </c>
      <c r="R1018" s="11">
        <v>0.15</v>
      </c>
      <c r="U1018" s="11">
        <v>9.5000000000000001E-2</v>
      </c>
      <c r="X1018" s="11" t="s">
        <v>3</v>
      </c>
      <c r="AA1018" s="11">
        <v>0.23499999999999999</v>
      </c>
      <c r="AD1018" s="11" t="s">
        <v>3</v>
      </c>
    </row>
    <row r="1019" spans="1:43" x14ac:dyDescent="0.25">
      <c r="A1019" s="161" t="str">
        <f t="shared" si="19"/>
        <v>MARINE_CENTAS</v>
      </c>
      <c r="B1019" s="9" t="s">
        <v>764</v>
      </c>
      <c r="C1019" s="13" t="s">
        <v>918</v>
      </c>
      <c r="D1019" s="4" t="s">
        <v>690</v>
      </c>
      <c r="E1019" s="4" t="s">
        <v>764</v>
      </c>
      <c r="F1019" s="4" t="s">
        <v>764</v>
      </c>
    </row>
    <row r="1020" spans="1:43" x14ac:dyDescent="0.25">
      <c r="A1020" s="161" t="str">
        <f t="shared" si="19"/>
        <v>MARINE_EASTEU</v>
      </c>
      <c r="B1020" s="9" t="s">
        <v>764</v>
      </c>
      <c r="C1020" s="13" t="s">
        <v>698</v>
      </c>
      <c r="E1020" s="4" t="s">
        <v>764</v>
      </c>
      <c r="F1020" s="4" t="s">
        <v>764</v>
      </c>
      <c r="H1020" s="4" t="s">
        <v>1945</v>
      </c>
      <c r="I1020" s="4" t="s">
        <v>1249</v>
      </c>
    </row>
    <row r="1021" spans="1:43" x14ac:dyDescent="0.25">
      <c r="A1021" s="161" t="str">
        <f t="shared" si="19"/>
        <v>MARINE_RUSSIA</v>
      </c>
      <c r="B1021" s="9" t="s">
        <v>764</v>
      </c>
      <c r="C1021" s="13" t="s">
        <v>735</v>
      </c>
      <c r="D1021" s="4" t="s">
        <v>698</v>
      </c>
      <c r="E1021" s="4" t="s">
        <v>764</v>
      </c>
      <c r="F1021" s="4" t="s">
        <v>764</v>
      </c>
    </row>
    <row r="1022" spans="1:43" x14ac:dyDescent="0.25">
      <c r="A1022" s="161" t="str">
        <f t="shared" si="19"/>
        <v>MARINE_CELTS</v>
      </c>
      <c r="B1022" s="9" t="s">
        <v>764</v>
      </c>
      <c r="C1022" s="13" t="s">
        <v>709</v>
      </c>
      <c r="D1022" s="4" t="s">
        <v>713</v>
      </c>
      <c r="E1022" s="4" t="s">
        <v>764</v>
      </c>
      <c r="F1022" s="4" t="s">
        <v>764</v>
      </c>
    </row>
    <row r="1023" spans="1:43" x14ac:dyDescent="0.25">
      <c r="A1023" s="161" t="str">
        <f t="shared" si="19"/>
        <v>MARINE_ENGLAND</v>
      </c>
      <c r="B1023" s="9" t="s">
        <v>764</v>
      </c>
      <c r="C1023" s="4" t="s">
        <v>713</v>
      </c>
      <c r="E1023" s="4" t="s">
        <v>764</v>
      </c>
      <c r="F1023" s="4" t="s">
        <v>764</v>
      </c>
      <c r="G1023" s="14" t="s">
        <v>132</v>
      </c>
      <c r="H1023" s="4" t="s">
        <v>304</v>
      </c>
      <c r="I1023" s="4" t="s">
        <v>1057</v>
      </c>
      <c r="R1023" s="11">
        <v>0.16</v>
      </c>
      <c r="U1023" s="11">
        <v>0.1</v>
      </c>
      <c r="X1023" s="11" t="s">
        <v>3</v>
      </c>
      <c r="AA1023" s="11">
        <v>0.25</v>
      </c>
      <c r="AD1023" s="11" t="s">
        <v>3</v>
      </c>
    </row>
    <row r="1024" spans="1:43" x14ac:dyDescent="0.25">
      <c r="A1024" s="161" t="str">
        <f t="shared" si="19"/>
        <v>MARINE_MIDEAST</v>
      </c>
      <c r="B1024" s="9" t="s">
        <v>764</v>
      </c>
      <c r="C1024" s="13" t="s">
        <v>690</v>
      </c>
      <c r="E1024" s="4" t="s">
        <v>764</v>
      </c>
      <c r="F1024" s="4" t="s">
        <v>764</v>
      </c>
      <c r="H1024" s="4" t="s">
        <v>1246</v>
      </c>
      <c r="I1024" s="4" t="s">
        <v>1249</v>
      </c>
    </row>
    <row r="1025" spans="1:43" x14ac:dyDescent="0.25">
      <c r="A1025" s="161" t="str">
        <f t="shared" si="19"/>
        <v>MARINE_NORTHEU</v>
      </c>
      <c r="B1025" s="9" t="s">
        <v>764</v>
      </c>
      <c r="C1025" s="13" t="s">
        <v>962</v>
      </c>
      <c r="E1025" s="4" t="s">
        <v>764</v>
      </c>
      <c r="F1025" s="4" t="s">
        <v>764</v>
      </c>
      <c r="H1025" s="4" t="s">
        <v>1946</v>
      </c>
      <c r="I1025" s="4" t="s">
        <v>1249</v>
      </c>
      <c r="R1025" s="11">
        <v>0.15</v>
      </c>
      <c r="U1025" s="11">
        <v>9.5000000000000001E-2</v>
      </c>
      <c r="X1025" s="11" t="s">
        <v>3</v>
      </c>
      <c r="AA1025" s="11">
        <v>0.23499999999999999</v>
      </c>
      <c r="AD1025" s="11" t="s">
        <v>3</v>
      </c>
    </row>
    <row r="1026" spans="1:43" x14ac:dyDescent="0.25">
      <c r="A1026" s="161" t="str">
        <f t="shared" si="19"/>
        <v>MARINE_OCEAN</v>
      </c>
      <c r="B1026" s="9" t="s">
        <v>764</v>
      </c>
      <c r="C1026" s="13" t="s">
        <v>994</v>
      </c>
      <c r="D1026" s="4" t="s">
        <v>691</v>
      </c>
      <c r="E1026" s="4" t="s">
        <v>764</v>
      </c>
      <c r="F1026" s="4" t="s">
        <v>764</v>
      </c>
    </row>
    <row r="1027" spans="1:43" x14ac:dyDescent="0.25">
      <c r="A1027" s="161" t="str">
        <f t="shared" si="19"/>
        <v>MARINE_SEASIA</v>
      </c>
      <c r="B1027" s="9" t="s">
        <v>764</v>
      </c>
      <c r="C1027" s="4" t="s">
        <v>696</v>
      </c>
      <c r="E1027" s="4" t="s">
        <v>764</v>
      </c>
      <c r="F1027" s="4" t="s">
        <v>764</v>
      </c>
      <c r="H1027" s="4" t="s">
        <v>1047</v>
      </c>
      <c r="I1027" s="4" t="s">
        <v>1064</v>
      </c>
      <c r="R1027" s="11">
        <v>1.5</v>
      </c>
      <c r="U1027" s="11">
        <v>0.96499999999999997</v>
      </c>
      <c r="X1027" s="11" t="s">
        <v>3</v>
      </c>
      <c r="AA1027" s="11">
        <v>2.355</v>
      </c>
      <c r="AD1027" s="11" t="s">
        <v>3</v>
      </c>
      <c r="AG1027" s="11">
        <v>1.93</v>
      </c>
      <c r="AJ1027" s="11">
        <v>1.7150000000000001</v>
      </c>
    </row>
    <row r="1028" spans="1:43" x14ac:dyDescent="0.25">
      <c r="A1028" s="161" t="str">
        <f t="shared" si="19"/>
        <v>MARINE_SOUTHAM</v>
      </c>
      <c r="B1028" s="9" t="s">
        <v>764</v>
      </c>
      <c r="C1028" s="13" t="s">
        <v>691</v>
      </c>
      <c r="E1028" s="4" t="s">
        <v>764</v>
      </c>
      <c r="F1028" s="4" t="s">
        <v>764</v>
      </c>
      <c r="H1028" s="4" t="s">
        <v>1248</v>
      </c>
      <c r="I1028" s="4" t="s">
        <v>1249</v>
      </c>
      <c r="R1028" s="11">
        <v>0.15</v>
      </c>
      <c r="U1028" s="11">
        <v>9.5000000000000001E-2</v>
      </c>
      <c r="X1028" s="11" t="s">
        <v>3</v>
      </c>
      <c r="AA1028" s="11">
        <v>0.23499999999999999</v>
      </c>
      <c r="AD1028" s="11" t="s">
        <v>3</v>
      </c>
    </row>
    <row r="1029" spans="1:43" x14ac:dyDescent="0.25">
      <c r="A1029" s="161" t="str">
        <f t="shared" si="19"/>
        <v>MECH</v>
      </c>
      <c r="B1029" s="9" t="s">
        <v>765</v>
      </c>
      <c r="C1029" s="5"/>
      <c r="D1029" s="5"/>
      <c r="E1029" s="5" t="s">
        <v>765</v>
      </c>
      <c r="F1029" s="5" t="s">
        <v>765</v>
      </c>
      <c r="G1029" s="5"/>
      <c r="H1029" s="5" t="s">
        <v>1144</v>
      </c>
      <c r="I1029" s="5" t="s">
        <v>128</v>
      </c>
      <c r="J1029" s="6"/>
      <c r="K1029" s="6"/>
      <c r="L1029" s="13" t="s">
        <v>1714</v>
      </c>
      <c r="M1029" s="8"/>
      <c r="N1029" s="5"/>
      <c r="O1029" s="5"/>
      <c r="P1029" s="5"/>
      <c r="Q1029" s="7">
        <v>1</v>
      </c>
      <c r="R1029" s="6" t="s">
        <v>1694</v>
      </c>
      <c r="S1029" s="13" t="s">
        <v>1622</v>
      </c>
      <c r="T1029" s="6">
        <v>3</v>
      </c>
      <c r="U1029" s="6">
        <v>6.5000000000000002E-2</v>
      </c>
      <c r="V1029" s="5" t="s">
        <v>1701</v>
      </c>
      <c r="W1029" s="7" t="s">
        <v>3</v>
      </c>
      <c r="X1029" s="6" t="s">
        <v>3</v>
      </c>
      <c r="Y1029" s="5"/>
      <c r="Z1029" s="6"/>
      <c r="AA1029" s="6"/>
      <c r="AB1029" s="5"/>
      <c r="AC1029" s="6"/>
      <c r="AD1029" s="6" t="s">
        <v>3</v>
      </c>
      <c r="AE1029" s="5"/>
      <c r="AF1029" s="6"/>
      <c r="AG1029" s="6"/>
      <c r="AH1029" s="5"/>
      <c r="AI1029" s="6"/>
      <c r="AJ1029" s="6"/>
      <c r="AK1029" s="5"/>
      <c r="AL1029" s="5"/>
      <c r="AM1029" s="5"/>
      <c r="AN1029" s="5"/>
      <c r="AO1029" s="5"/>
      <c r="AP1029" s="5"/>
      <c r="AQ1029" s="5"/>
    </row>
    <row r="1030" spans="1:43" x14ac:dyDescent="0.25">
      <c r="A1030" s="161" t="str">
        <f t="shared" si="19"/>
        <v>MECHANIZED_INFANTRY</v>
      </c>
      <c r="B1030" s="9" t="s">
        <v>766</v>
      </c>
      <c r="C1030" s="5"/>
      <c r="D1030" s="5"/>
      <c r="E1030" s="5" t="s">
        <v>766</v>
      </c>
      <c r="F1030" s="5" t="s">
        <v>795</v>
      </c>
      <c r="G1030" s="5"/>
      <c r="H1030" s="5" t="s">
        <v>1488</v>
      </c>
      <c r="I1030" s="5" t="s">
        <v>128</v>
      </c>
      <c r="J1030" s="6"/>
      <c r="K1030" s="6"/>
      <c r="L1030" s="13" t="s">
        <v>1708</v>
      </c>
      <c r="M1030" s="8"/>
      <c r="N1030" s="5"/>
      <c r="O1030" s="5"/>
      <c r="P1030" s="5"/>
      <c r="Q1030" s="7">
        <v>3</v>
      </c>
      <c r="R1030" s="6">
        <v>0.1</v>
      </c>
      <c r="S1030" s="13" t="s">
        <v>1622</v>
      </c>
      <c r="T1030" s="6"/>
      <c r="U1030" s="6"/>
      <c r="V1030" s="5"/>
      <c r="W1030" s="6">
        <v>7</v>
      </c>
      <c r="X1030" s="6" t="s">
        <v>3</v>
      </c>
      <c r="Y1030" s="5"/>
      <c r="Z1030" s="7">
        <v>1</v>
      </c>
      <c r="AA1030" s="6"/>
      <c r="AB1030" s="5"/>
      <c r="AC1030" s="6"/>
      <c r="AD1030" s="6" t="s">
        <v>3</v>
      </c>
      <c r="AE1030" s="5"/>
      <c r="AF1030" s="6"/>
      <c r="AG1030" s="6"/>
      <c r="AH1030" s="5"/>
      <c r="AI1030" s="6"/>
      <c r="AJ1030" s="6"/>
      <c r="AK1030" s="5"/>
      <c r="AL1030" s="5"/>
      <c r="AM1030" s="5"/>
      <c r="AN1030" s="5"/>
      <c r="AO1030" s="5"/>
      <c r="AP1030" s="5"/>
      <c r="AQ1030" s="5"/>
    </row>
    <row r="1031" spans="1:43" x14ac:dyDescent="0.25">
      <c r="A1031" s="161" t="str">
        <f t="shared" si="19"/>
        <v>MECHANIZED_INFANTRY_AFRI</v>
      </c>
      <c r="B1031" s="9" t="s">
        <v>766</v>
      </c>
      <c r="C1031" s="4" t="s">
        <v>694</v>
      </c>
      <c r="D1031" s="4" t="s">
        <v>690</v>
      </c>
      <c r="E1031" s="4" t="s">
        <v>766</v>
      </c>
      <c r="F1031" s="4" t="s">
        <v>795</v>
      </c>
    </row>
    <row r="1032" spans="1:43" x14ac:dyDescent="0.25">
      <c r="A1032" s="161" t="str">
        <f t="shared" si="19"/>
        <v>MECHANIZED_INFANTRY_ZULU</v>
      </c>
      <c r="B1032" s="9" t="s">
        <v>766</v>
      </c>
      <c r="C1032" s="4" t="s">
        <v>742</v>
      </c>
      <c r="D1032" s="4" t="s">
        <v>713</v>
      </c>
      <c r="E1032" s="4" t="s">
        <v>766</v>
      </c>
      <c r="F1032" s="4" t="s">
        <v>795</v>
      </c>
    </row>
    <row r="1033" spans="1:43" x14ac:dyDescent="0.25">
      <c r="A1033" s="161" t="str">
        <f t="shared" si="19"/>
        <v>MECHANIZED_INFANTRY_AMER</v>
      </c>
      <c r="B1033" s="9" t="s">
        <v>766</v>
      </c>
      <c r="C1033" s="4" t="s">
        <v>697</v>
      </c>
      <c r="D1033" s="4" t="s">
        <v>699</v>
      </c>
      <c r="E1033" s="4" t="s">
        <v>766</v>
      </c>
      <c r="F1033" s="4" t="s">
        <v>795</v>
      </c>
    </row>
    <row r="1034" spans="1:43" x14ac:dyDescent="0.25">
      <c r="A1034" s="161" t="str">
        <f t="shared" si="19"/>
        <v>MECHANIZED_INFANTRY_ASIA</v>
      </c>
      <c r="B1034" s="9" t="s">
        <v>766</v>
      </c>
      <c r="C1034" s="4" t="s">
        <v>693</v>
      </c>
      <c r="D1034" s="4" t="s">
        <v>698</v>
      </c>
      <c r="E1034" s="4" t="s">
        <v>766</v>
      </c>
      <c r="F1034" s="4" t="s">
        <v>795</v>
      </c>
    </row>
    <row r="1035" spans="1:43" x14ac:dyDescent="0.25">
      <c r="A1035" s="161" t="str">
        <f t="shared" si="19"/>
        <v>MECHANIZED_INFANTRY_EASTEU</v>
      </c>
      <c r="B1035" s="9" t="s">
        <v>766</v>
      </c>
      <c r="C1035" s="4" t="s">
        <v>698</v>
      </c>
      <c r="E1035" s="4" t="s">
        <v>766</v>
      </c>
      <c r="F1035" s="4" t="s">
        <v>795</v>
      </c>
      <c r="H1035" s="4" t="s">
        <v>252</v>
      </c>
      <c r="I1035" s="4" t="s">
        <v>120</v>
      </c>
      <c r="R1035" s="11">
        <v>0.105</v>
      </c>
    </row>
    <row r="1036" spans="1:43" x14ac:dyDescent="0.25">
      <c r="A1036" s="161" t="str">
        <f t="shared" si="19"/>
        <v>MECHANIZED_INFANTRY_RUSSIA</v>
      </c>
      <c r="B1036" s="9" t="s">
        <v>766</v>
      </c>
      <c r="C1036" s="4" t="s">
        <v>735</v>
      </c>
      <c r="E1036" s="4" t="s">
        <v>766</v>
      </c>
      <c r="F1036" s="4" t="s">
        <v>795</v>
      </c>
      <c r="G1036" s="14" t="s">
        <v>132</v>
      </c>
      <c r="H1036" s="4" t="s">
        <v>618</v>
      </c>
      <c r="I1036" s="4" t="s">
        <v>120</v>
      </c>
      <c r="R1036" s="11">
        <v>0.105</v>
      </c>
    </row>
    <row r="1037" spans="1:43" x14ac:dyDescent="0.25">
      <c r="A1037" s="161" t="str">
        <f t="shared" si="19"/>
        <v>MECHANIZED_INFANTRY_EURO</v>
      </c>
      <c r="B1037" s="9" t="s">
        <v>766</v>
      </c>
      <c r="C1037" s="4" t="s">
        <v>689</v>
      </c>
      <c r="E1037" s="4" t="s">
        <v>766</v>
      </c>
      <c r="F1037" s="4" t="s">
        <v>795</v>
      </c>
      <c r="H1037" s="4" t="s">
        <v>855</v>
      </c>
      <c r="I1037" s="4" t="s">
        <v>1933</v>
      </c>
      <c r="R1037" s="11">
        <v>0.1</v>
      </c>
    </row>
    <row r="1038" spans="1:43" x14ac:dyDescent="0.25">
      <c r="A1038" s="161" t="str">
        <f t="shared" si="19"/>
        <v>MECHANIZED_INFANTRY_AMERICA</v>
      </c>
      <c r="B1038" s="9" t="s">
        <v>766</v>
      </c>
      <c r="C1038" s="4" t="s">
        <v>699</v>
      </c>
      <c r="E1038" s="4" t="s">
        <v>766</v>
      </c>
      <c r="F1038" s="4" t="s">
        <v>795</v>
      </c>
      <c r="G1038" s="14"/>
      <c r="H1038" s="4" t="s">
        <v>143</v>
      </c>
      <c r="I1038" s="4" t="s">
        <v>1933</v>
      </c>
    </row>
    <row r="1039" spans="1:43" x14ac:dyDescent="0.25">
      <c r="A1039" s="161" t="str">
        <f t="shared" si="19"/>
        <v>MECHANIZED_INFANTRY_AUSTRALIA</v>
      </c>
      <c r="B1039" s="9" t="s">
        <v>766</v>
      </c>
      <c r="C1039" s="4" t="s">
        <v>1302</v>
      </c>
      <c r="D1039" s="4" t="s">
        <v>713</v>
      </c>
      <c r="E1039" s="4" t="s">
        <v>766</v>
      </c>
      <c r="F1039" s="4" t="s">
        <v>795</v>
      </c>
      <c r="G1039" s="14"/>
    </row>
    <row r="1040" spans="1:43" x14ac:dyDescent="0.25">
      <c r="A1040" s="161" t="str">
        <f t="shared" si="19"/>
        <v>MECHANIZED_INFANTRY_AUSTRIA</v>
      </c>
      <c r="B1040" s="9" t="s">
        <v>766</v>
      </c>
      <c r="C1040" s="4" t="s">
        <v>701</v>
      </c>
      <c r="D1040" s="4" t="s">
        <v>717</v>
      </c>
      <c r="E1040" s="4" t="s">
        <v>766</v>
      </c>
      <c r="F1040" s="4" t="s">
        <v>795</v>
      </c>
      <c r="G1040" s="14"/>
    </row>
    <row r="1041" spans="1:43" x14ac:dyDescent="0.25">
      <c r="A1041" s="161" t="str">
        <f t="shared" si="19"/>
        <v>MECHANIZED_INFANTRY_CANADA</v>
      </c>
      <c r="B1041" s="9" t="s">
        <v>766</v>
      </c>
      <c r="C1041" s="4" t="s">
        <v>2207</v>
      </c>
      <c r="D1041" s="4" t="s">
        <v>713</v>
      </c>
      <c r="E1041" s="4" t="s">
        <v>766</v>
      </c>
      <c r="F1041" s="4" t="s">
        <v>795</v>
      </c>
      <c r="G1041" s="14"/>
    </row>
    <row r="1042" spans="1:43" x14ac:dyDescent="0.25">
      <c r="A1042" s="161" t="str">
        <f t="shared" si="19"/>
        <v>MECHANIZED_INFANTRY_CELTS</v>
      </c>
      <c r="B1042" s="9" t="s">
        <v>766</v>
      </c>
      <c r="C1042" s="4" t="s">
        <v>709</v>
      </c>
      <c r="D1042" s="4" t="s">
        <v>713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MECHANIZED_INFANTRY_ENGLAND</v>
      </c>
      <c r="B1043" s="9" t="s">
        <v>766</v>
      </c>
      <c r="C1043" s="4" t="s">
        <v>713</v>
      </c>
      <c r="E1043" s="4" t="s">
        <v>766</v>
      </c>
      <c r="F1043" s="4" t="s">
        <v>795</v>
      </c>
      <c r="G1043" s="14"/>
      <c r="H1043" s="4" t="s">
        <v>2217</v>
      </c>
      <c r="I1043" s="4" t="s">
        <v>1068</v>
      </c>
    </row>
    <row r="1044" spans="1:43" x14ac:dyDescent="0.25">
      <c r="A1044" s="161" t="str">
        <f t="shared" si="19"/>
        <v>MECHANIZED_INFANTRY_GERMANY</v>
      </c>
      <c r="B1044" s="9" t="s">
        <v>766</v>
      </c>
      <c r="C1044" s="4" t="s">
        <v>717</v>
      </c>
      <c r="E1044" s="4" t="s">
        <v>766</v>
      </c>
      <c r="F1044" s="4" t="s">
        <v>795</v>
      </c>
      <c r="G1044" s="14" t="s">
        <v>132</v>
      </c>
      <c r="H1044" s="4" t="s">
        <v>382</v>
      </c>
      <c r="I1044" s="4" t="s">
        <v>1051</v>
      </c>
      <c r="R1044" s="11">
        <v>0.105</v>
      </c>
    </row>
    <row r="1045" spans="1:43" x14ac:dyDescent="0.25">
      <c r="A1045" s="161" t="str">
        <f t="shared" si="19"/>
        <v>MECHANIZED_INFANTRY_ROME</v>
      </c>
      <c r="B1045" s="9" t="s">
        <v>766</v>
      </c>
      <c r="C1045" s="4" t="s">
        <v>734</v>
      </c>
      <c r="E1045" s="4" t="s">
        <v>766</v>
      </c>
      <c r="F1045" s="4" t="s">
        <v>795</v>
      </c>
      <c r="G1045" s="14" t="s">
        <v>132</v>
      </c>
      <c r="H1045" s="4" t="s">
        <v>594</v>
      </c>
      <c r="I1045" s="4" t="s">
        <v>1069</v>
      </c>
    </row>
    <row r="1046" spans="1:43" x14ac:dyDescent="0.25">
      <c r="A1046" s="161" t="str">
        <f t="shared" si="19"/>
        <v>MECHANIZED_INFANTRY_MIDEAST</v>
      </c>
      <c r="B1046" s="9" t="s">
        <v>766</v>
      </c>
      <c r="C1046" s="4" t="s">
        <v>690</v>
      </c>
      <c r="E1046" s="4" t="s">
        <v>766</v>
      </c>
      <c r="F1046" s="4" t="s">
        <v>795</v>
      </c>
      <c r="H1046" s="4" t="s">
        <v>173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MECHANIZED_INFANTRY_ARABIA</v>
      </c>
      <c r="B1047" s="9" t="s">
        <v>766</v>
      </c>
      <c r="C1047" s="4" t="s">
        <v>700</v>
      </c>
      <c r="D1047" s="14"/>
      <c r="E1047" s="4" t="s">
        <v>766</v>
      </c>
      <c r="F1047" s="4" t="s">
        <v>795</v>
      </c>
      <c r="G1047" s="14"/>
      <c r="H1047" s="4" t="s">
        <v>165</v>
      </c>
      <c r="I1047" s="4" t="s">
        <v>1933</v>
      </c>
    </row>
    <row r="1048" spans="1:43" x14ac:dyDescent="0.25">
      <c r="A1048" s="161" t="str">
        <f t="shared" si="19"/>
        <v>MECHANIZED_INFANTRY_BABYLON</v>
      </c>
      <c r="B1048" s="9" t="s">
        <v>766</v>
      </c>
      <c r="C1048" s="4" t="s">
        <v>703</v>
      </c>
      <c r="E1048" s="4" t="s">
        <v>766</v>
      </c>
      <c r="F1048" s="4" t="s">
        <v>795</v>
      </c>
      <c r="G1048" s="14"/>
      <c r="H1048" s="4" t="s">
        <v>213</v>
      </c>
      <c r="I1048" s="4" t="s">
        <v>120</v>
      </c>
      <c r="R1048" s="11">
        <v>0.10199999999999999</v>
      </c>
    </row>
    <row r="1049" spans="1:43" x14ac:dyDescent="0.25">
      <c r="A1049" s="161" t="str">
        <f t="shared" si="19"/>
        <v>MECHANIZED_INFANTRY_PERSIA</v>
      </c>
      <c r="B1049" s="9" t="s">
        <v>766</v>
      </c>
      <c r="C1049" s="4" t="s">
        <v>731</v>
      </c>
      <c r="E1049" s="4" t="s">
        <v>766</v>
      </c>
      <c r="F1049" s="4" t="s">
        <v>795</v>
      </c>
      <c r="G1049" s="14" t="s">
        <v>132</v>
      </c>
      <c r="H1049" s="4" t="s">
        <v>559</v>
      </c>
      <c r="I1049" s="4" t="s">
        <v>120</v>
      </c>
      <c r="R1049" s="11">
        <v>0.10199999999999999</v>
      </c>
    </row>
    <row r="1050" spans="1:43" x14ac:dyDescent="0.25">
      <c r="A1050" s="161" t="str">
        <f>CONCATENATE(E1050,IF(ISBLANK(C1050),"",CONCATENATE("_",C1050)))</f>
        <v>MECHANIZED_INFANTRY_NORTHAF</v>
      </c>
      <c r="B1050" s="9" t="s">
        <v>766</v>
      </c>
      <c r="C1050" s="4" t="s">
        <v>2009</v>
      </c>
      <c r="E1050" s="4" t="s">
        <v>766</v>
      </c>
      <c r="F1050" s="4" t="s">
        <v>795</v>
      </c>
      <c r="G1050" s="14" t="s">
        <v>132</v>
      </c>
      <c r="H1050" s="4" t="s">
        <v>229</v>
      </c>
      <c r="I1050" s="4" t="s">
        <v>120</v>
      </c>
      <c r="R1050" s="11">
        <v>0.10199999999999999</v>
      </c>
    </row>
    <row r="1051" spans="1:43" x14ac:dyDescent="0.25">
      <c r="A1051" s="161" t="str">
        <f t="shared" si="19"/>
        <v>MECHANIZED_INFANTRY_OCEAN</v>
      </c>
      <c r="B1051" s="9" t="s">
        <v>766</v>
      </c>
      <c r="C1051" s="4" t="s">
        <v>994</v>
      </c>
      <c r="D1051" s="4" t="s">
        <v>699</v>
      </c>
      <c r="E1051" s="4" t="s">
        <v>766</v>
      </c>
      <c r="F1051" s="4" t="s">
        <v>795</v>
      </c>
      <c r="G1051" s="14"/>
    </row>
    <row r="1052" spans="1:43" x14ac:dyDescent="0.25">
      <c r="A1052" s="161" t="str">
        <f t="shared" si="19"/>
        <v>MECHANIZED_INFANTRY_SAHUL</v>
      </c>
      <c r="B1052" s="9" t="s">
        <v>766</v>
      </c>
      <c r="C1052" s="4" t="s">
        <v>1787</v>
      </c>
      <c r="D1052" s="4" t="s">
        <v>700</v>
      </c>
      <c r="E1052" s="4" t="s">
        <v>766</v>
      </c>
      <c r="F1052" s="4" t="s">
        <v>795</v>
      </c>
      <c r="G1052" s="14"/>
    </row>
    <row r="1053" spans="1:43" x14ac:dyDescent="0.25">
      <c r="A1053" s="161" t="str">
        <f t="shared" si="19"/>
        <v>MECHANIZED_INFANTRY_SEASIA</v>
      </c>
      <c r="B1053" s="9" t="s">
        <v>766</v>
      </c>
      <c r="C1053" s="4" t="s">
        <v>696</v>
      </c>
      <c r="D1053" s="4" t="s">
        <v>698</v>
      </c>
      <c r="E1053" s="4" t="s">
        <v>766</v>
      </c>
      <c r="F1053" s="4" t="s">
        <v>795</v>
      </c>
    </row>
    <row r="1054" spans="1:43" x14ac:dyDescent="0.25">
      <c r="A1054" s="161" t="str">
        <f t="shared" si="19"/>
        <v>MECHANIZED_INFANTRY_SOUTHAS</v>
      </c>
      <c r="B1054" s="9" t="s">
        <v>766</v>
      </c>
      <c r="C1054" s="4" t="s">
        <v>695</v>
      </c>
      <c r="D1054" s="4" t="s">
        <v>690</v>
      </c>
      <c r="E1054" s="4" t="s">
        <v>766</v>
      </c>
      <c r="F1054" s="4" t="s">
        <v>795</v>
      </c>
    </row>
    <row r="1055" spans="1:43" x14ac:dyDescent="0.25">
      <c r="A1055" s="161" t="str">
        <f t="shared" si="19"/>
        <v>MECHANIZED_INFANTRY_INDIA</v>
      </c>
      <c r="B1055" s="9" t="s">
        <v>766</v>
      </c>
      <c r="C1055" s="4" t="s">
        <v>720</v>
      </c>
      <c r="E1055" s="4" t="s">
        <v>766</v>
      </c>
      <c r="F1055" s="4" t="s">
        <v>795</v>
      </c>
      <c r="H1055" s="4" t="s">
        <v>438</v>
      </c>
      <c r="I1055" s="4" t="s">
        <v>120</v>
      </c>
      <c r="R1055" s="11">
        <v>0.10199999999999999</v>
      </c>
    </row>
    <row r="1056" spans="1:43" x14ac:dyDescent="0.25">
      <c r="A1056" s="161" t="str">
        <f t="shared" si="19"/>
        <v>MERCHANT</v>
      </c>
      <c r="B1056" s="9" t="s">
        <v>1359</v>
      </c>
      <c r="C1056" s="5"/>
      <c r="D1056" s="5"/>
      <c r="E1056" s="5" t="s">
        <v>1359</v>
      </c>
      <c r="F1056" s="5" t="s">
        <v>1361</v>
      </c>
      <c r="G1056" s="5"/>
      <c r="H1056" s="5" t="s">
        <v>1479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1</v>
      </c>
      <c r="R1056" s="7" t="s">
        <v>1694</v>
      </c>
      <c r="S1056" s="13" t="s">
        <v>1623</v>
      </c>
      <c r="T1056" s="6">
        <v>1</v>
      </c>
      <c r="U1056" s="7" t="s">
        <v>1736</v>
      </c>
      <c r="V1056" s="5"/>
      <c r="W1056" s="6"/>
      <c r="X1056" s="6" t="s">
        <v>3</v>
      </c>
      <c r="Y1056" s="5"/>
      <c r="Z1056" s="7">
        <v>1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 t="s">
        <v>2060</v>
      </c>
      <c r="H1057" s="5" t="s">
        <v>1477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MERCHANT</v>
      </c>
      <c r="B1058" s="9" t="s">
        <v>1359</v>
      </c>
      <c r="C1058" s="5"/>
      <c r="D1058" s="5"/>
      <c r="E1058" s="5" t="s">
        <v>1359</v>
      </c>
      <c r="F1058" s="5" t="s">
        <v>1361</v>
      </c>
      <c r="G1058" s="5" t="s">
        <v>2061</v>
      </c>
      <c r="H1058" s="5" t="s">
        <v>1478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1</v>
      </c>
      <c r="R1058" s="7" t="s">
        <v>1694</v>
      </c>
      <c r="S1058" s="13" t="s">
        <v>1623</v>
      </c>
      <c r="T1058" s="6">
        <v>1</v>
      </c>
      <c r="U1058" s="7" t="s">
        <v>1736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0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>CONCATENATE(E1059,IF(ISBLANK(C1059),"",CONCATENATE("_",C1059)))</f>
        <v>MERCHANT</v>
      </c>
      <c r="C1059" s="5"/>
      <c r="D1059" s="5"/>
      <c r="E1059" s="5" t="s">
        <v>1359</v>
      </c>
      <c r="F1059" s="5" t="s">
        <v>1361</v>
      </c>
      <c r="G1059" s="5" t="s">
        <v>2574</v>
      </c>
      <c r="H1059" s="5" t="s">
        <v>1479</v>
      </c>
      <c r="I1059" s="5" t="s">
        <v>128</v>
      </c>
      <c r="J1059" s="6">
        <v>1</v>
      </c>
      <c r="K1059" s="6"/>
      <c r="L1059" s="13" t="s">
        <v>1709</v>
      </c>
      <c r="M1059" s="8"/>
      <c r="N1059" s="5"/>
      <c r="O1059" s="5"/>
      <c r="P1059" s="5"/>
      <c r="Q1059" s="6">
        <v>0</v>
      </c>
      <c r="R1059" s="7" t="s">
        <v>1694</v>
      </c>
      <c r="S1059" s="13" t="s">
        <v>1623</v>
      </c>
      <c r="T1059" s="6">
        <v>0</v>
      </c>
      <c r="U1059" s="7" t="s">
        <v>1736</v>
      </c>
      <c r="V1059" s="5"/>
      <c r="W1059" s="6">
        <v>0</v>
      </c>
      <c r="X1059" s="6" t="s">
        <v>3</v>
      </c>
      <c r="Y1059" s="5"/>
      <c r="Z1059" s="7">
        <v>0</v>
      </c>
      <c r="AA1059" s="6"/>
      <c r="AB1059" s="5"/>
      <c r="AC1059" s="6">
        <v>0</v>
      </c>
      <c r="AD1059" s="6" t="s">
        <v>3</v>
      </c>
      <c r="AE1059" s="5"/>
      <c r="AF1059" s="6">
        <v>0</v>
      </c>
      <c r="AG1059" s="6"/>
      <c r="AH1059" s="5"/>
      <c r="AI1059" s="6">
        <v>0</v>
      </c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 t="shared" si="19"/>
        <v>MERCHANT_LATE</v>
      </c>
      <c r="B1060" s="9" t="s">
        <v>1359</v>
      </c>
      <c r="C1060" s="5"/>
      <c r="D1060" s="5"/>
      <c r="E1060" s="5" t="s">
        <v>1360</v>
      </c>
      <c r="F1060" s="5" t="s">
        <v>1362</v>
      </c>
      <c r="G1060" s="5"/>
      <c r="H1060" s="5" t="s">
        <v>1490</v>
      </c>
      <c r="I1060" s="5" t="s">
        <v>128</v>
      </c>
      <c r="J1060" s="6"/>
      <c r="K1060" s="6"/>
      <c r="L1060" s="13" t="s">
        <v>1709</v>
      </c>
      <c r="M1060" s="8"/>
      <c r="N1060" s="5"/>
      <c r="O1060" s="5"/>
      <c r="P1060" s="5"/>
      <c r="Q1060" s="7">
        <v>1</v>
      </c>
      <c r="R1060" s="7">
        <v>0.11</v>
      </c>
      <c r="S1060" s="5"/>
      <c r="T1060" s="6"/>
      <c r="U1060" s="7" t="s">
        <v>1694</v>
      </c>
      <c r="V1060" s="5"/>
      <c r="W1060" s="6"/>
      <c r="X1060" s="6" t="s">
        <v>3</v>
      </c>
      <c r="Y1060" s="5"/>
      <c r="Z1060" s="6"/>
      <c r="AA1060" s="6"/>
      <c r="AB1060" s="5"/>
      <c r="AC1060" s="6"/>
      <c r="AD1060" s="6" t="s">
        <v>3</v>
      </c>
      <c r="AE1060" s="5"/>
      <c r="AF1060" s="6"/>
      <c r="AG1060" s="6"/>
      <c r="AH1060" s="5"/>
      <c r="AI1060" s="6"/>
      <c r="AJ1060" s="6"/>
      <c r="AK1060" s="5"/>
      <c r="AL1060" s="5"/>
      <c r="AM1060" s="5"/>
      <c r="AN1060" s="5"/>
      <c r="AO1060" s="5"/>
      <c r="AP1060" s="5"/>
      <c r="AQ1060" s="5"/>
    </row>
    <row r="1061" spans="1:43" x14ac:dyDescent="0.25">
      <c r="A1061" s="161" t="str">
        <f t="shared" si="19"/>
        <v>MILITARY_ENGINEER</v>
      </c>
      <c r="C1061" s="5"/>
      <c r="D1061" s="5"/>
      <c r="E1061" s="5" t="s">
        <v>1363</v>
      </c>
      <c r="F1061" s="5" t="s">
        <v>1363</v>
      </c>
      <c r="G1061" s="5"/>
      <c r="H1061" s="5" t="s">
        <v>1489</v>
      </c>
      <c r="I1061" s="5" t="s">
        <v>128</v>
      </c>
      <c r="J1061" s="6"/>
      <c r="K1061" s="6"/>
      <c r="L1061" s="13" t="s">
        <v>1707</v>
      </c>
      <c r="M1061" s="8"/>
      <c r="N1061" s="5"/>
      <c r="O1061" s="5"/>
      <c r="P1061" s="5"/>
      <c r="Q1061" s="7">
        <v>8</v>
      </c>
      <c r="R1061" s="6" t="s">
        <v>1694</v>
      </c>
      <c r="S1061" s="13" t="s">
        <v>1619</v>
      </c>
      <c r="T1061" s="6"/>
      <c r="U1061" s="6"/>
      <c r="V1061" s="5"/>
      <c r="W1061" s="6"/>
      <c r="X1061" s="6" t="s">
        <v>3</v>
      </c>
      <c r="Y1061" s="5"/>
      <c r="Z1061" s="7">
        <v>1</v>
      </c>
      <c r="AA1061" s="6"/>
      <c r="AB1061" s="5"/>
      <c r="AC1061" s="6"/>
      <c r="AD1061" s="6" t="s">
        <v>3</v>
      </c>
      <c r="AE1061" s="5"/>
      <c r="AF1061" s="7" t="s">
        <v>1736</v>
      </c>
      <c r="AG1061" s="6"/>
      <c r="AH1061" s="5"/>
      <c r="AI1061" s="7">
        <v>6</v>
      </c>
      <c r="AJ1061" s="6"/>
      <c r="AK1061" s="5"/>
      <c r="AL1061" s="5"/>
      <c r="AM1061" s="5"/>
      <c r="AN1061" s="5"/>
      <c r="AO1061" s="5"/>
      <c r="AP1061" s="5"/>
      <c r="AQ1061" s="5"/>
    </row>
    <row r="1062" spans="1:43" x14ac:dyDescent="0.25">
      <c r="A1062" s="161" t="str">
        <f t="shared" si="19"/>
        <v>MISSILE_CRUISER</v>
      </c>
      <c r="B1062" s="9" t="s">
        <v>767</v>
      </c>
      <c r="C1062" s="5"/>
      <c r="D1062" s="5"/>
      <c r="E1062" s="5" t="s">
        <v>767</v>
      </c>
      <c r="F1062" s="5" t="s">
        <v>796</v>
      </c>
      <c r="G1062" s="5"/>
      <c r="H1062" s="5" t="s">
        <v>1491</v>
      </c>
      <c r="I1062" s="5" t="s">
        <v>128</v>
      </c>
      <c r="J1062" s="6"/>
      <c r="K1062" s="7"/>
      <c r="L1062" s="13" t="s">
        <v>1712</v>
      </c>
      <c r="M1062" s="8"/>
      <c r="N1062" s="13" t="s">
        <v>1726</v>
      </c>
      <c r="O1062" s="13"/>
      <c r="P1062" s="13"/>
      <c r="Q1062" s="7">
        <v>1</v>
      </c>
      <c r="R1062" s="6">
        <v>0.11</v>
      </c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5"/>
      <c r="AM1062" s="5"/>
      <c r="AN1062" s="5"/>
      <c r="AO1062" s="5"/>
      <c r="AP1062" s="5"/>
      <c r="AQ1062" s="5"/>
    </row>
    <row r="1063" spans="1:43" x14ac:dyDescent="0.25">
      <c r="A1063" s="161" t="str">
        <f t="shared" si="19"/>
        <v>MISSILE_CRUISER_ASIA</v>
      </c>
      <c r="B1063" s="9" t="s">
        <v>767</v>
      </c>
      <c r="C1063" s="5" t="s">
        <v>693</v>
      </c>
      <c r="D1063" s="5" t="s">
        <v>698</v>
      </c>
      <c r="E1063" s="5" t="s">
        <v>767</v>
      </c>
      <c r="F1063" s="5" t="s">
        <v>796</v>
      </c>
      <c r="G1063" s="5"/>
      <c r="H1063" s="5"/>
      <c r="I1063" s="5"/>
      <c r="J1063" s="6"/>
      <c r="K1063" s="7"/>
      <c r="L1063" s="13"/>
      <c r="M1063" s="8"/>
      <c r="N1063" s="13"/>
      <c r="O1063" s="13"/>
      <c r="P1063" s="13"/>
      <c r="Q1063" s="7"/>
      <c r="R1063" s="6"/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5"/>
      <c r="AM1063" s="5"/>
      <c r="AN1063" s="5"/>
      <c r="AO1063" s="5"/>
      <c r="AP1063" s="5"/>
      <c r="AQ1063" s="5"/>
    </row>
    <row r="1064" spans="1:43" x14ac:dyDescent="0.25">
      <c r="A1064" s="161" t="str">
        <f t="shared" si="19"/>
        <v>MISSILE_CRUISER_CENTAS</v>
      </c>
      <c r="B1064" s="9" t="s">
        <v>767</v>
      </c>
      <c r="C1064" s="5" t="s">
        <v>918</v>
      </c>
      <c r="D1064" s="5" t="s">
        <v>698</v>
      </c>
      <c r="E1064" s="5" t="s">
        <v>767</v>
      </c>
      <c r="F1064" s="5" t="s">
        <v>796</v>
      </c>
      <c r="G1064" s="5"/>
      <c r="H1064" s="5"/>
      <c r="I1064" s="5"/>
      <c r="J1064" s="6"/>
      <c r="K1064" s="7"/>
      <c r="L1064" s="13"/>
      <c r="M1064" s="8"/>
      <c r="N1064" s="13"/>
      <c r="O1064" s="13"/>
      <c r="P1064" s="13"/>
      <c r="Q1064" s="7"/>
      <c r="R1064" s="6"/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5"/>
      <c r="AM1064" s="5"/>
      <c r="AN1064" s="5"/>
      <c r="AO1064" s="5"/>
      <c r="AP1064" s="5"/>
      <c r="AQ1064" s="5"/>
    </row>
    <row r="1065" spans="1:43" x14ac:dyDescent="0.25">
      <c r="A1065" s="161" t="str">
        <f t="shared" si="19"/>
        <v>MISSILE_CRUISER_EASTEU</v>
      </c>
      <c r="B1065" s="9" t="s">
        <v>767</v>
      </c>
      <c r="C1065" s="5" t="s">
        <v>698</v>
      </c>
      <c r="D1065" s="5"/>
      <c r="E1065" s="5" t="s">
        <v>767</v>
      </c>
      <c r="F1065" s="5" t="s">
        <v>796</v>
      </c>
      <c r="G1065" s="5"/>
      <c r="H1065" s="5" t="s">
        <v>1935</v>
      </c>
      <c r="I1065" s="5" t="s">
        <v>1936</v>
      </c>
      <c r="J1065" s="6"/>
      <c r="K1065" s="7"/>
      <c r="L1065" s="13"/>
      <c r="M1065" s="8"/>
      <c r="N1065" s="13"/>
      <c r="O1065" s="13"/>
      <c r="P1065" s="13"/>
      <c r="Q1065" s="7"/>
      <c r="R1065" s="6">
        <v>0.1</v>
      </c>
      <c r="S1065" s="5"/>
      <c r="T1065" s="6"/>
      <c r="U1065" s="6"/>
      <c r="V1065" s="5"/>
      <c r="W1065" s="6"/>
      <c r="X1065" s="6"/>
      <c r="Y1065" s="5"/>
      <c r="Z1065" s="6"/>
      <c r="AA1065" s="6"/>
      <c r="AB1065" s="5"/>
      <c r="AC1065" s="6"/>
      <c r="AD1065" s="6"/>
      <c r="AE1065" s="5"/>
      <c r="AF1065" s="6"/>
      <c r="AG1065" s="6"/>
      <c r="AH1065" s="5"/>
      <c r="AI1065" s="6"/>
      <c r="AJ1065" s="6"/>
      <c r="AK1065" s="5"/>
      <c r="AL1065" s="5"/>
      <c r="AM1065" s="5"/>
      <c r="AN1065" s="5"/>
      <c r="AO1065" s="5"/>
      <c r="AP1065" s="5"/>
      <c r="AQ1065" s="5"/>
    </row>
    <row r="1066" spans="1:43" x14ac:dyDescent="0.25">
      <c r="A1066" s="161" t="str">
        <f t="shared" si="19"/>
        <v>MISSIONARY</v>
      </c>
      <c r="B1066" s="9" t="s">
        <v>768</v>
      </c>
      <c r="C1066" s="5"/>
      <c r="D1066" s="5"/>
      <c r="E1066" s="5" t="s">
        <v>768</v>
      </c>
      <c r="F1066" s="5" t="s">
        <v>768</v>
      </c>
      <c r="G1066" s="5"/>
      <c r="H1066" s="5" t="s">
        <v>8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6" t="s">
        <v>1736</v>
      </c>
      <c r="S1066" s="13" t="s">
        <v>1613</v>
      </c>
      <c r="T1066" s="6">
        <v>1</v>
      </c>
      <c r="U1066" s="7" t="s">
        <v>1736</v>
      </c>
      <c r="V1066" s="5"/>
      <c r="W1066" s="6"/>
      <c r="X1066" s="6" t="s">
        <v>3</v>
      </c>
      <c r="Y1066" s="5"/>
      <c r="Z1066" s="7">
        <v>1</v>
      </c>
      <c r="AA1066" s="6"/>
      <c r="AB1066" s="5"/>
      <c r="AC1066" s="6"/>
      <c r="AD1066" s="6" t="s">
        <v>3</v>
      </c>
      <c r="AE1066" s="5"/>
      <c r="AF1066" s="6">
        <v>1</v>
      </c>
      <c r="AG1066" s="6"/>
      <c r="AH1066" s="5"/>
      <c r="AI1066" s="6"/>
      <c r="AJ1066" s="6"/>
      <c r="AK1066" s="5"/>
      <c r="AL1066" s="5"/>
      <c r="AM1066" s="5"/>
      <c r="AN1066" s="5"/>
      <c r="AO1066" s="5"/>
      <c r="AP1066" s="5"/>
      <c r="AQ1066" s="5"/>
    </row>
    <row r="1067" spans="1:43" x14ac:dyDescent="0.25">
      <c r="A1067" s="161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 t="s">
        <v>2077</v>
      </c>
      <c r="H1067" s="5" t="s">
        <v>1492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0</v>
      </c>
      <c r="AA1067" s="6"/>
      <c r="AB1067" s="5"/>
      <c r="AC1067" s="6"/>
      <c r="AD1067" s="6" t="s">
        <v>3</v>
      </c>
      <c r="AE1067" s="5"/>
      <c r="AF1067" s="6">
        <v>1</v>
      </c>
      <c r="AG1067" s="6"/>
      <c r="AH1067" s="5"/>
      <c r="AI1067" s="6"/>
      <c r="AJ1067" s="6"/>
      <c r="AK1067" s="5"/>
      <c r="AL1067" s="5"/>
      <c r="AM1067" s="5"/>
      <c r="AN1067" s="5"/>
      <c r="AO1067" s="5"/>
      <c r="AP1067" s="5"/>
      <c r="AQ1067" s="5"/>
    </row>
    <row r="1068" spans="1:43" x14ac:dyDescent="0.25">
      <c r="A1068" s="161" t="str">
        <f t="shared" si="19"/>
        <v>MISSIONARY</v>
      </c>
      <c r="B1068" s="9" t="s">
        <v>768</v>
      </c>
      <c r="C1068" s="5"/>
      <c r="D1068" s="5"/>
      <c r="E1068" s="5" t="s">
        <v>768</v>
      </c>
      <c r="F1068" s="5" t="s">
        <v>768</v>
      </c>
      <c r="G1068" s="5" t="s">
        <v>2078</v>
      </c>
      <c r="H1068" s="5" t="s">
        <v>1493</v>
      </c>
      <c r="I1068" s="5" t="s">
        <v>128</v>
      </c>
      <c r="J1068" s="6">
        <v>1</v>
      </c>
      <c r="K1068" s="6"/>
      <c r="L1068" s="13" t="s">
        <v>1707</v>
      </c>
      <c r="M1068" s="8"/>
      <c r="N1068" s="5"/>
      <c r="O1068" s="5"/>
      <c r="P1068" s="5"/>
      <c r="Q1068" s="6">
        <v>1</v>
      </c>
      <c r="R1068" s="6" t="s">
        <v>1736</v>
      </c>
      <c r="S1068" s="13" t="s">
        <v>1613</v>
      </c>
      <c r="T1068" s="6">
        <v>1</v>
      </c>
      <c r="U1068" s="7" t="s">
        <v>1736</v>
      </c>
      <c r="V1068" s="5"/>
      <c r="W1068" s="6"/>
      <c r="X1068" s="6" t="s">
        <v>3</v>
      </c>
      <c r="Y1068" s="5"/>
      <c r="Z1068" s="7">
        <v>0</v>
      </c>
      <c r="AA1068" s="6"/>
      <c r="AB1068" s="5"/>
      <c r="AC1068" s="6"/>
      <c r="AD1068" s="6" t="s">
        <v>3</v>
      </c>
      <c r="AE1068" s="5"/>
      <c r="AF1068" s="6">
        <v>0</v>
      </c>
      <c r="AG1068" s="6"/>
      <c r="AH1068" s="5"/>
      <c r="AI1068" s="6"/>
      <c r="AJ1068" s="6"/>
      <c r="AK1068" s="5"/>
      <c r="AL1068" s="5"/>
      <c r="AM1068" s="5"/>
      <c r="AN1068" s="5"/>
      <c r="AO1068" s="5"/>
      <c r="AP1068" s="5"/>
      <c r="AQ1068" s="5"/>
    </row>
    <row r="1069" spans="1:43" x14ac:dyDescent="0.25">
      <c r="A1069" s="161" t="str">
        <f>CONCATENATE(E1069,IF(ISBLANK(C1069),"",CONCATENATE("_",C1069)))</f>
        <v>MISSIONARY_AFRI</v>
      </c>
      <c r="B1069" s="9" t="s">
        <v>768</v>
      </c>
      <c r="C1069" s="4" t="s">
        <v>694</v>
      </c>
      <c r="E1069" s="5" t="s">
        <v>768</v>
      </c>
      <c r="F1069" s="5" t="s">
        <v>768</v>
      </c>
      <c r="G1069" s="14" t="s">
        <v>132</v>
      </c>
      <c r="H1069" s="4" t="s">
        <v>330</v>
      </c>
      <c r="I1069" s="4" t="s">
        <v>1795</v>
      </c>
      <c r="J1069" s="11">
        <v>1</v>
      </c>
      <c r="Q1069" s="11">
        <v>3</v>
      </c>
    </row>
    <row r="1070" spans="1:43" x14ac:dyDescent="0.25">
      <c r="A1070" s="161" t="str">
        <f t="shared" si="19"/>
        <v>MISSIONARY_AMER</v>
      </c>
      <c r="B1070" s="9" t="s">
        <v>768</v>
      </c>
      <c r="C1070" s="4" t="s">
        <v>697</v>
      </c>
      <c r="E1070" s="4" t="s">
        <v>768</v>
      </c>
      <c r="F1070" s="4" t="s">
        <v>768</v>
      </c>
      <c r="H1070" s="4" t="s">
        <v>466</v>
      </c>
      <c r="I1070" s="4" t="s">
        <v>957</v>
      </c>
      <c r="J1070" s="11">
        <v>1</v>
      </c>
      <c r="Q1070" s="11">
        <v>3</v>
      </c>
      <c r="AF1070" s="11">
        <v>2</v>
      </c>
    </row>
    <row r="1071" spans="1:43" x14ac:dyDescent="0.25">
      <c r="A1071" s="161" t="str">
        <f t="shared" si="19"/>
        <v>MISSIONARY_ASIA</v>
      </c>
      <c r="B1071" s="9" t="s">
        <v>768</v>
      </c>
      <c r="C1071" s="4" t="s">
        <v>693</v>
      </c>
      <c r="E1071" s="4" t="s">
        <v>768</v>
      </c>
      <c r="F1071" s="4" t="s">
        <v>768</v>
      </c>
      <c r="H1071" s="4" t="s">
        <v>832</v>
      </c>
      <c r="I1071" s="4" t="s">
        <v>963</v>
      </c>
      <c r="J1071" s="11">
        <v>1</v>
      </c>
      <c r="Q1071" s="11">
        <v>1</v>
      </c>
      <c r="Z1071" s="11">
        <v>1</v>
      </c>
      <c r="AF1071" s="11">
        <v>1</v>
      </c>
    </row>
    <row r="1072" spans="1:43" x14ac:dyDescent="0.25">
      <c r="A1072" s="161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G1072" s="4" t="s">
        <v>2038</v>
      </c>
      <c r="H1072" s="4" t="s">
        <v>833</v>
      </c>
      <c r="I1072" s="4" t="s">
        <v>963</v>
      </c>
      <c r="J1072" s="11">
        <v>1</v>
      </c>
      <c r="Q1072" s="11">
        <v>1</v>
      </c>
      <c r="Z1072" s="11">
        <v>0</v>
      </c>
      <c r="AF1072" s="11">
        <v>1</v>
      </c>
    </row>
    <row r="1073" spans="1:43" x14ac:dyDescent="0.25">
      <c r="A1073" s="161" t="str">
        <f t="shared" si="19"/>
        <v>MISSIONARY_ASIA</v>
      </c>
      <c r="B1073" s="9" t="s">
        <v>768</v>
      </c>
      <c r="C1073" s="4" t="s">
        <v>693</v>
      </c>
      <c r="E1073" s="4" t="s">
        <v>768</v>
      </c>
      <c r="F1073" s="4" t="s">
        <v>768</v>
      </c>
      <c r="G1073" s="4" t="s">
        <v>2039</v>
      </c>
      <c r="H1073" s="4" t="s">
        <v>253</v>
      </c>
      <c r="I1073" s="4" t="s">
        <v>963</v>
      </c>
      <c r="J1073" s="11">
        <v>1</v>
      </c>
      <c r="Q1073" s="9">
        <v>1</v>
      </c>
      <c r="Z1073" s="11">
        <v>0</v>
      </c>
      <c r="AF1073" s="9">
        <v>0</v>
      </c>
    </row>
    <row r="1074" spans="1:43" x14ac:dyDescent="0.25">
      <c r="A1074" s="161" t="str">
        <f t="shared" si="19"/>
        <v>MISSIONARY_CELTS</v>
      </c>
      <c r="B1074" s="9" t="s">
        <v>768</v>
      </c>
      <c r="C1074" s="4" t="s">
        <v>709</v>
      </c>
      <c r="E1074" s="4" t="s">
        <v>768</v>
      </c>
      <c r="F1074" s="4" t="s">
        <v>768</v>
      </c>
      <c r="G1074" s="14" t="s">
        <v>132</v>
      </c>
      <c r="H1074" s="4" t="s">
        <v>239</v>
      </c>
      <c r="I1074" s="4" t="s">
        <v>957</v>
      </c>
      <c r="J1074" s="11">
        <v>1</v>
      </c>
      <c r="Q1074" s="11">
        <v>3</v>
      </c>
      <c r="AF1074" s="11">
        <v>2</v>
      </c>
    </row>
    <row r="1075" spans="1:43" x14ac:dyDescent="0.25">
      <c r="A1075" s="161" t="str">
        <f t="shared" si="19"/>
        <v>MISSIONARY_OCEAN</v>
      </c>
      <c r="B1075" s="9" t="s">
        <v>768</v>
      </c>
      <c r="C1075" s="4" t="s">
        <v>994</v>
      </c>
      <c r="D1075" s="4" t="s">
        <v>691</v>
      </c>
      <c r="E1075" s="4" t="s">
        <v>768</v>
      </c>
      <c r="F1075" s="4" t="s">
        <v>768</v>
      </c>
    </row>
    <row r="1076" spans="1:43" x14ac:dyDescent="0.25">
      <c r="A1076" s="161" t="str">
        <f t="shared" si="19"/>
        <v>MISSIONARY_SEASIA</v>
      </c>
      <c r="B1076" s="9" t="s">
        <v>768</v>
      </c>
      <c r="C1076" s="4" t="s">
        <v>696</v>
      </c>
      <c r="D1076" s="4" t="s">
        <v>693</v>
      </c>
      <c r="E1076" s="4" t="s">
        <v>768</v>
      </c>
      <c r="F1076" s="4" t="s">
        <v>768</v>
      </c>
    </row>
    <row r="1077" spans="1:43" x14ac:dyDescent="0.25">
      <c r="A1077" s="161" t="str">
        <f t="shared" si="19"/>
        <v>MISSIONARY_SOUTHAM</v>
      </c>
      <c r="B1077" s="9" t="s">
        <v>768</v>
      </c>
      <c r="C1077" s="4" t="s">
        <v>691</v>
      </c>
      <c r="E1077" s="4" t="s">
        <v>768</v>
      </c>
      <c r="F1077" s="4" t="s">
        <v>768</v>
      </c>
      <c r="H1077" s="4" t="s">
        <v>1801</v>
      </c>
      <c r="I1077" s="4" t="s">
        <v>963</v>
      </c>
      <c r="J1077" s="11">
        <v>1</v>
      </c>
      <c r="Q1077" s="11">
        <v>3</v>
      </c>
    </row>
    <row r="1078" spans="1:43" x14ac:dyDescent="0.25">
      <c r="A1078" s="161" t="str">
        <f t="shared" si="19"/>
        <v>MISSIONARY_SOUTHAS</v>
      </c>
      <c r="B1078" s="9" t="s">
        <v>768</v>
      </c>
      <c r="C1078" s="4" t="s">
        <v>695</v>
      </c>
      <c r="D1078" s="4" t="s">
        <v>693</v>
      </c>
      <c r="E1078" s="4" t="s">
        <v>768</v>
      </c>
      <c r="F1078" s="4" t="s">
        <v>768</v>
      </c>
    </row>
    <row r="1079" spans="1:43" x14ac:dyDescent="0.25">
      <c r="A1079" s="161" t="str">
        <f t="shared" si="19"/>
        <v>MISSIONARY_RENAISSANCE</v>
      </c>
      <c r="B1079" s="9" t="s">
        <v>768</v>
      </c>
      <c r="E1079" s="4" t="s">
        <v>1970</v>
      </c>
      <c r="F1079" s="4" t="s">
        <v>1970</v>
      </c>
      <c r="H1079" s="4" t="s">
        <v>1972</v>
      </c>
      <c r="I1079" s="4" t="s">
        <v>1971</v>
      </c>
      <c r="Q1079" s="6">
        <v>1</v>
      </c>
      <c r="R1079" s="6" t="s">
        <v>1736</v>
      </c>
      <c r="S1079" s="13" t="s">
        <v>1613</v>
      </c>
      <c r="T1079" s="6">
        <v>1</v>
      </c>
      <c r="U1079" s="7" t="s">
        <v>1736</v>
      </c>
      <c r="V1079" s="5"/>
      <c r="W1079" s="6"/>
      <c r="X1079" s="6" t="s">
        <v>3</v>
      </c>
      <c r="Y1079" s="5"/>
      <c r="Z1079" s="7">
        <v>1</v>
      </c>
      <c r="AA1079" s="6"/>
      <c r="AB1079" s="5"/>
      <c r="AC1079" s="6"/>
      <c r="AD1079" s="6" t="s">
        <v>3</v>
      </c>
      <c r="AE1079" s="5"/>
      <c r="AF1079" s="6">
        <v>1</v>
      </c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si="19"/>
        <v>MISSIONARY_RENAISSANCE</v>
      </c>
      <c r="B1080" s="9" t="s">
        <v>768</v>
      </c>
      <c r="E1080" s="4" t="s">
        <v>1970</v>
      </c>
      <c r="F1080" s="4" t="s">
        <v>1970</v>
      </c>
      <c r="G1080" s="4" t="s">
        <v>2038</v>
      </c>
      <c r="H1080" s="4" t="s">
        <v>1973</v>
      </c>
      <c r="I1080" s="4" t="s">
        <v>1971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0</v>
      </c>
      <c r="AA1080" s="6"/>
      <c r="AB1080" s="5"/>
      <c r="AC1080" s="6"/>
      <c r="AD1080" s="6" t="s">
        <v>3</v>
      </c>
      <c r="AE1080" s="5"/>
      <c r="AF1080" s="6">
        <v>1</v>
      </c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ref="A1081:A1090" si="20">CONCATENATE(E1081,IF(ISBLANK(C1081),"",CONCATENATE("_",C1081)))</f>
        <v>MISSIONARY_RENAISSANCE</v>
      </c>
      <c r="B1081" s="9" t="s">
        <v>768</v>
      </c>
      <c r="E1081" s="4" t="s">
        <v>1970</v>
      </c>
      <c r="F1081" s="4" t="s">
        <v>1970</v>
      </c>
      <c r="G1081" s="4" t="s">
        <v>2039</v>
      </c>
      <c r="H1081" s="4" t="s">
        <v>1974</v>
      </c>
      <c r="I1081" s="4" t="s">
        <v>1971</v>
      </c>
      <c r="Q1081" s="6">
        <v>1</v>
      </c>
      <c r="R1081" s="6" t="s">
        <v>1736</v>
      </c>
      <c r="S1081" s="13" t="s">
        <v>1613</v>
      </c>
      <c r="T1081" s="6">
        <v>1</v>
      </c>
      <c r="U1081" s="7" t="s">
        <v>1736</v>
      </c>
      <c r="V1081" s="5"/>
      <c r="W1081" s="6"/>
      <c r="X1081" s="6" t="s">
        <v>3</v>
      </c>
      <c r="Y1081" s="5"/>
      <c r="Z1081" s="7">
        <v>0</v>
      </c>
      <c r="AA1081" s="6"/>
      <c r="AB1081" s="5"/>
      <c r="AC1081" s="6"/>
      <c r="AD1081" s="6" t="s">
        <v>3</v>
      </c>
      <c r="AE1081" s="5"/>
      <c r="AF1081" s="6">
        <v>0</v>
      </c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>CONCATENATE(E1082,IF(ISBLANK(C1082),"",CONCATENATE("_",C1082)))</f>
        <v>MISSIONARY_RENAISSANCE_AFRI</v>
      </c>
      <c r="B1082" s="9" t="s">
        <v>768</v>
      </c>
      <c r="C1082" s="4" t="s">
        <v>694</v>
      </c>
      <c r="E1082" s="4" t="s">
        <v>1970</v>
      </c>
      <c r="F1082" s="4" t="s">
        <v>768</v>
      </c>
      <c r="H1082" s="4" t="s">
        <v>330</v>
      </c>
      <c r="I1082" s="4" t="s">
        <v>1795</v>
      </c>
      <c r="Q1082" s="11">
        <v>3</v>
      </c>
    </row>
    <row r="1083" spans="1:43" x14ac:dyDescent="0.25">
      <c r="A1083" s="161" t="str">
        <f t="shared" si="20"/>
        <v>MISSIONARY_RENAISSANCE_AMER</v>
      </c>
      <c r="B1083" s="9" t="s">
        <v>768</v>
      </c>
      <c r="C1083" s="4" t="s">
        <v>697</v>
      </c>
      <c r="E1083" s="4" t="s">
        <v>1970</v>
      </c>
      <c r="F1083" s="4" t="s">
        <v>768</v>
      </c>
      <c r="H1083" s="4" t="s">
        <v>466</v>
      </c>
      <c r="I1083" s="4" t="s">
        <v>957</v>
      </c>
      <c r="Q1083" s="11">
        <v>3</v>
      </c>
      <c r="AF1083" s="11">
        <v>2</v>
      </c>
    </row>
    <row r="1084" spans="1:43" x14ac:dyDescent="0.25">
      <c r="A1084" s="161" t="str">
        <f t="shared" si="20"/>
        <v>MISSIONARY_RENAISSANCE_ASIA</v>
      </c>
      <c r="B1084" s="9" t="s">
        <v>768</v>
      </c>
      <c r="C1084" s="4" t="s">
        <v>693</v>
      </c>
      <c r="E1084" s="4" t="s">
        <v>1970</v>
      </c>
      <c r="F1084" s="4" t="s">
        <v>768</v>
      </c>
      <c r="H1084" s="4" t="s">
        <v>832</v>
      </c>
      <c r="I1084" s="4" t="s">
        <v>963</v>
      </c>
      <c r="Q1084" s="11">
        <v>1</v>
      </c>
      <c r="Z1084" s="11">
        <v>1</v>
      </c>
      <c r="AF1084" s="11">
        <v>1</v>
      </c>
    </row>
    <row r="1085" spans="1:43" x14ac:dyDescent="0.25">
      <c r="A1085" s="161" t="str">
        <f t="shared" si="20"/>
        <v>MISSIONARY_RENAISSANCE_ASIA</v>
      </c>
      <c r="B1085" s="9" t="s">
        <v>768</v>
      </c>
      <c r="C1085" s="4" t="s">
        <v>693</v>
      </c>
      <c r="E1085" s="4" t="s">
        <v>1970</v>
      </c>
      <c r="F1085" s="4" t="s">
        <v>768</v>
      </c>
      <c r="G1085" s="4" t="s">
        <v>2038</v>
      </c>
      <c r="H1085" s="4" t="s">
        <v>833</v>
      </c>
      <c r="I1085" s="4" t="s">
        <v>963</v>
      </c>
      <c r="Q1085" s="11">
        <v>1</v>
      </c>
      <c r="Z1085" s="11">
        <v>0</v>
      </c>
      <c r="AF1085" s="11">
        <v>1</v>
      </c>
    </row>
    <row r="1086" spans="1:43" x14ac:dyDescent="0.25">
      <c r="A1086" s="161" t="str">
        <f t="shared" si="20"/>
        <v>MISSIONARY_RENAISSANCE_ASIA</v>
      </c>
      <c r="B1086" s="9" t="s">
        <v>768</v>
      </c>
      <c r="C1086" s="4" t="s">
        <v>693</v>
      </c>
      <c r="E1086" s="4" t="s">
        <v>1970</v>
      </c>
      <c r="F1086" s="4" t="s">
        <v>768</v>
      </c>
      <c r="G1086" s="4" t="s">
        <v>2039</v>
      </c>
      <c r="H1086" s="4" t="s">
        <v>253</v>
      </c>
      <c r="I1086" s="4" t="s">
        <v>963</v>
      </c>
      <c r="Q1086" s="9">
        <v>1</v>
      </c>
      <c r="Z1086" s="11">
        <v>0</v>
      </c>
      <c r="AF1086" s="9">
        <v>0</v>
      </c>
    </row>
    <row r="1087" spans="1:43" x14ac:dyDescent="0.25">
      <c r="A1087" s="161" t="str">
        <f t="shared" si="20"/>
        <v>MISSIONARY_RENAISSANCE_OCEAN</v>
      </c>
      <c r="B1087" s="9" t="s">
        <v>768</v>
      </c>
      <c r="C1087" s="4" t="s">
        <v>994</v>
      </c>
      <c r="D1087" s="4" t="s">
        <v>691</v>
      </c>
      <c r="E1087" s="4" t="s">
        <v>1970</v>
      </c>
      <c r="F1087" s="4" t="s">
        <v>768</v>
      </c>
    </row>
    <row r="1088" spans="1:43" x14ac:dyDescent="0.25">
      <c r="A1088" s="161" t="str">
        <f t="shared" si="20"/>
        <v>MISSIONARY_RENAISSANCE_SEASIA</v>
      </c>
      <c r="B1088" s="9" t="s">
        <v>768</v>
      </c>
      <c r="C1088" s="4" t="s">
        <v>696</v>
      </c>
      <c r="D1088" s="4" t="s">
        <v>693</v>
      </c>
      <c r="E1088" s="4" t="s">
        <v>1970</v>
      </c>
      <c r="F1088" s="4" t="s">
        <v>768</v>
      </c>
    </row>
    <row r="1089" spans="1:43" x14ac:dyDescent="0.25">
      <c r="A1089" s="161" t="str">
        <f t="shared" si="20"/>
        <v>MISSIONARY_RENAISSANCE_SOUTHAM</v>
      </c>
      <c r="B1089" s="9" t="s">
        <v>768</v>
      </c>
      <c r="C1089" s="4" t="s">
        <v>691</v>
      </c>
      <c r="E1089" s="4" t="s">
        <v>1970</v>
      </c>
      <c r="F1089" s="4" t="s">
        <v>768</v>
      </c>
      <c r="H1089" s="4" t="s">
        <v>1801</v>
      </c>
      <c r="I1089" s="4" t="s">
        <v>963</v>
      </c>
      <c r="Q1089" s="11">
        <v>3</v>
      </c>
    </row>
    <row r="1090" spans="1:43" x14ac:dyDescent="0.25">
      <c r="A1090" s="161" t="str">
        <f t="shared" si="20"/>
        <v>MISSIONARY_RENAISSANCE_SOUTHAS</v>
      </c>
      <c r="B1090" s="9" t="s">
        <v>768</v>
      </c>
      <c r="C1090" s="4" t="s">
        <v>695</v>
      </c>
      <c r="D1090" s="4" t="s">
        <v>693</v>
      </c>
      <c r="E1090" s="4" t="s">
        <v>1970</v>
      </c>
      <c r="F1090" s="4" t="s">
        <v>768</v>
      </c>
    </row>
    <row r="1091" spans="1:43" x14ac:dyDescent="0.25">
      <c r="A1091" s="161" t="str">
        <f t="shared" si="19"/>
        <v>MOBILE_SAM</v>
      </c>
      <c r="B1091" s="9" t="s">
        <v>769</v>
      </c>
      <c r="C1091" s="5"/>
      <c r="D1091" s="5"/>
      <c r="E1091" s="5" t="s">
        <v>769</v>
      </c>
      <c r="F1091" s="5" t="s">
        <v>797</v>
      </c>
      <c r="G1091" s="5"/>
      <c r="H1091" s="5" t="s">
        <v>1494</v>
      </c>
      <c r="I1091" s="5" t="s">
        <v>128</v>
      </c>
      <c r="J1091" s="6"/>
      <c r="K1091" s="6"/>
      <c r="L1091" s="13" t="s">
        <v>1708</v>
      </c>
      <c r="M1091" s="8"/>
      <c r="N1091" s="5"/>
      <c r="O1091" s="5"/>
      <c r="P1091" s="5"/>
      <c r="Q1091" s="7">
        <v>3</v>
      </c>
      <c r="R1091" s="6">
        <v>0.11</v>
      </c>
      <c r="S1091" s="13" t="s">
        <v>1622</v>
      </c>
      <c r="T1091" s="6"/>
      <c r="U1091" s="6"/>
      <c r="V1091" s="5"/>
      <c r="W1091" s="6" t="s">
        <v>3</v>
      </c>
      <c r="X1091" s="6" t="s">
        <v>3</v>
      </c>
      <c r="Y1091" s="5"/>
      <c r="Z1091" s="6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MOBILE_SAM_FRANCE</v>
      </c>
      <c r="B1092" s="9" t="s">
        <v>769</v>
      </c>
      <c r="C1092" s="4" t="s">
        <v>715</v>
      </c>
      <c r="E1092" s="4" t="s">
        <v>769</v>
      </c>
      <c r="F1092" s="4" t="s">
        <v>797</v>
      </c>
      <c r="G1092" s="14" t="s">
        <v>132</v>
      </c>
      <c r="H1092" s="4" t="s">
        <v>351</v>
      </c>
      <c r="I1092" s="4" t="s">
        <v>120</v>
      </c>
      <c r="R1092" s="11">
        <v>0.12</v>
      </c>
    </row>
    <row r="1093" spans="1:43" x14ac:dyDescent="0.25">
      <c r="A1093" s="161" t="str">
        <f t="shared" si="19"/>
        <v>MOBILE_SAM_GERMANY</v>
      </c>
      <c r="B1093" s="9" t="s">
        <v>769</v>
      </c>
      <c r="C1093" s="4" t="s">
        <v>717</v>
      </c>
      <c r="D1093" s="4" t="s">
        <v>715</v>
      </c>
      <c r="E1093" s="4" t="s">
        <v>769</v>
      </c>
      <c r="F1093" s="4" t="s">
        <v>797</v>
      </c>
      <c r="G1093" s="14"/>
    </row>
    <row r="1094" spans="1:43" x14ac:dyDescent="0.25">
      <c r="A1094" s="161" t="str">
        <f t="shared" si="19"/>
        <v>MOBILE_SAM_SPAIN</v>
      </c>
      <c r="B1094" s="9" t="s">
        <v>769</v>
      </c>
      <c r="C1094" s="4" t="s">
        <v>738</v>
      </c>
      <c r="E1094" s="4" t="s">
        <v>769</v>
      </c>
      <c r="F1094" s="4" t="s">
        <v>797</v>
      </c>
      <c r="G1094" s="14" t="s">
        <v>132</v>
      </c>
      <c r="H1094" s="4" t="s">
        <v>658</v>
      </c>
      <c r="I1094" s="4" t="s">
        <v>120</v>
      </c>
      <c r="R1094" s="11">
        <v>0.12</v>
      </c>
    </row>
    <row r="1095" spans="1:43" x14ac:dyDescent="0.25">
      <c r="A1095" s="161" t="str">
        <f t="shared" si="19"/>
        <v>MOBILE_SAM_MIDEAST</v>
      </c>
      <c r="B1095" s="9" t="s">
        <v>769</v>
      </c>
      <c r="C1095" s="4" t="s">
        <v>690</v>
      </c>
      <c r="E1095" s="4" t="s">
        <v>769</v>
      </c>
      <c r="F1095" s="4" t="s">
        <v>797</v>
      </c>
      <c r="H1095" s="4" t="s">
        <v>166</v>
      </c>
      <c r="I1095" s="4" t="s">
        <v>120</v>
      </c>
      <c r="R1095" s="11">
        <v>0.12</v>
      </c>
    </row>
    <row r="1096" spans="1:43" x14ac:dyDescent="0.25">
      <c r="A1096" s="161" t="str">
        <f t="shared" si="19"/>
        <v>MOBILE_SAM_NORTHAF</v>
      </c>
      <c r="B1096" s="9" t="s">
        <v>769</v>
      </c>
      <c r="C1096" s="4" t="s">
        <v>2009</v>
      </c>
      <c r="D1096" s="4" t="s">
        <v>715</v>
      </c>
      <c r="E1096" s="4" t="s">
        <v>769</v>
      </c>
      <c r="F1096" s="4" t="s">
        <v>797</v>
      </c>
    </row>
    <row r="1097" spans="1:43" x14ac:dyDescent="0.25">
      <c r="A1097" s="161" t="str">
        <f t="shared" si="19"/>
        <v>MOBILE_SAM_SEASIA</v>
      </c>
      <c r="B1097" s="9" t="s">
        <v>769</v>
      </c>
      <c r="C1097" s="4" t="s">
        <v>696</v>
      </c>
      <c r="D1097" s="4" t="s">
        <v>715</v>
      </c>
      <c r="E1097" s="4" t="s">
        <v>769</v>
      </c>
      <c r="F1097" s="4" t="s">
        <v>797</v>
      </c>
    </row>
    <row r="1098" spans="1:43" x14ac:dyDescent="0.25">
      <c r="A1098" s="161" t="str">
        <f t="shared" si="19"/>
        <v>MOBILE_SAM_SOUTHAM</v>
      </c>
      <c r="B1098" s="9" t="s">
        <v>769</v>
      </c>
      <c r="C1098" s="4" t="s">
        <v>691</v>
      </c>
      <c r="D1098" s="4" t="s">
        <v>738</v>
      </c>
      <c r="E1098" s="4" t="s">
        <v>769</v>
      </c>
      <c r="F1098" s="4" t="s">
        <v>797</v>
      </c>
    </row>
    <row r="1099" spans="1:43" x14ac:dyDescent="0.25">
      <c r="A1099" s="161" t="str">
        <f t="shared" si="19"/>
        <v>MOBILE_SAM_SOUTHAS</v>
      </c>
      <c r="B1099" s="9" t="s">
        <v>769</v>
      </c>
      <c r="C1099" s="4" t="s">
        <v>695</v>
      </c>
      <c r="D1099" s="4" t="s">
        <v>690</v>
      </c>
      <c r="E1099" s="4" t="s">
        <v>769</v>
      </c>
      <c r="F1099" s="4" t="s">
        <v>797</v>
      </c>
    </row>
    <row r="1100" spans="1:43" x14ac:dyDescent="0.25">
      <c r="A1100" s="161" t="str">
        <f t="shared" si="19"/>
        <v>MODERN_ARMOR</v>
      </c>
      <c r="B1100" s="9" t="s">
        <v>121</v>
      </c>
      <c r="C1100" s="5"/>
      <c r="D1100" s="5"/>
      <c r="E1100" s="5" t="s">
        <v>121</v>
      </c>
      <c r="F1100" s="5" t="s">
        <v>798</v>
      </c>
      <c r="G1100" s="5"/>
      <c r="H1100" s="5" t="s">
        <v>1495</v>
      </c>
      <c r="I1100" s="5" t="s">
        <v>128</v>
      </c>
      <c r="J1100" s="6"/>
      <c r="K1100" s="6"/>
      <c r="L1100" s="13" t="s">
        <v>1708</v>
      </c>
      <c r="M1100" s="8"/>
      <c r="N1100" s="5"/>
      <c r="O1100" s="5"/>
      <c r="P1100" s="5"/>
      <c r="Q1100" s="7">
        <v>3</v>
      </c>
      <c r="R1100" s="6">
        <v>0.1</v>
      </c>
      <c r="S1100" s="13" t="s">
        <v>1622</v>
      </c>
      <c r="T1100" s="6"/>
      <c r="U1100" s="6"/>
      <c r="V1100" s="5"/>
      <c r="W1100" s="6" t="s">
        <v>3</v>
      </c>
      <c r="X1100" s="6" t="s">
        <v>3</v>
      </c>
      <c r="Y1100" s="5"/>
      <c r="Z1100" s="7">
        <v>1</v>
      </c>
      <c r="AA1100" s="6"/>
      <c r="AB1100" s="5"/>
      <c r="AC1100" s="6"/>
      <c r="AD1100" s="6" t="s">
        <v>3</v>
      </c>
      <c r="AE1100" s="5"/>
      <c r="AF1100" s="6"/>
      <c r="AG1100" s="6"/>
      <c r="AH1100" s="5"/>
      <c r="AI1100" s="6"/>
      <c r="AJ1100" s="6"/>
      <c r="AK1100" s="5"/>
      <c r="AL1100" s="5"/>
      <c r="AM1100" s="5"/>
      <c r="AN1100" s="5"/>
      <c r="AO1100" s="5"/>
      <c r="AP1100" s="5"/>
      <c r="AQ1100" s="5"/>
    </row>
    <row r="1101" spans="1:43" x14ac:dyDescent="0.25">
      <c r="A1101" s="161" t="str">
        <f t="shared" si="19"/>
        <v>MODERN_ARMOR_AFRI</v>
      </c>
      <c r="B1101" s="9" t="s">
        <v>121</v>
      </c>
      <c r="C1101" s="4" t="s">
        <v>694</v>
      </c>
      <c r="E1101" s="4" t="s">
        <v>121</v>
      </c>
      <c r="F1101" s="4" t="s">
        <v>798</v>
      </c>
      <c r="H1101" s="4" t="s">
        <v>684</v>
      </c>
      <c r="I1101" s="4" t="s">
        <v>131</v>
      </c>
    </row>
    <row r="1102" spans="1:43" x14ac:dyDescent="0.25">
      <c r="A1102" s="161" t="str">
        <f t="shared" si="19"/>
        <v>MODERN_ARMOR_ETHIOPIA</v>
      </c>
      <c r="B1102" s="9" t="s">
        <v>121</v>
      </c>
      <c r="C1102" s="4" t="s">
        <v>714</v>
      </c>
      <c r="E1102" s="4" t="s">
        <v>121</v>
      </c>
      <c r="F1102" s="4" t="s">
        <v>798</v>
      </c>
      <c r="G1102" s="14" t="s">
        <v>132</v>
      </c>
      <c r="H1102" s="4" t="s">
        <v>327</v>
      </c>
      <c r="I1102" s="4" t="s">
        <v>131</v>
      </c>
    </row>
    <row r="1103" spans="1:43" x14ac:dyDescent="0.25">
      <c r="A1103" s="161" t="str">
        <f t="shared" si="19"/>
        <v>MODERN_ARMOR_SONGHAI</v>
      </c>
      <c r="B1103" s="9" t="s">
        <v>121</v>
      </c>
      <c r="C1103" s="4" t="s">
        <v>737</v>
      </c>
      <c r="E1103" s="4" t="s">
        <v>121</v>
      </c>
      <c r="F1103" s="4" t="s">
        <v>798</v>
      </c>
      <c r="G1103" s="14" t="s">
        <v>132</v>
      </c>
      <c r="H1103" s="4" t="s">
        <v>642</v>
      </c>
      <c r="I1103" s="4" t="s">
        <v>131</v>
      </c>
    </row>
    <row r="1104" spans="1:43" x14ac:dyDescent="0.25">
      <c r="A1104" s="161" t="str">
        <f t="shared" si="19"/>
        <v>MODERN_ARMOR_ZULU</v>
      </c>
      <c r="B1104" s="9" t="s">
        <v>121</v>
      </c>
      <c r="C1104" s="4" t="s">
        <v>742</v>
      </c>
      <c r="D1104" s="4" t="s">
        <v>713</v>
      </c>
      <c r="E1104" s="4" t="s">
        <v>121</v>
      </c>
      <c r="F1104" s="4" t="s">
        <v>798</v>
      </c>
      <c r="G1104" s="14"/>
    </row>
    <row r="1105" spans="1:18" x14ac:dyDescent="0.25">
      <c r="A1105" s="161" t="str">
        <f t="shared" si="19"/>
        <v>MODERN_ARMOR_AMER</v>
      </c>
      <c r="B1105" s="9" t="s">
        <v>121</v>
      </c>
      <c r="C1105" s="4" t="s">
        <v>697</v>
      </c>
      <c r="D1105" s="4" t="s">
        <v>699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MODERN_ARMOR_ASIA</v>
      </c>
      <c r="B1106" s="9" t="s">
        <v>121</v>
      </c>
      <c r="C1106" s="4" t="s">
        <v>693</v>
      </c>
      <c r="D1106" s="4" t="s">
        <v>698</v>
      </c>
      <c r="E1106" s="4" t="s">
        <v>121</v>
      </c>
      <c r="F1106" s="4" t="s">
        <v>798</v>
      </c>
    </row>
    <row r="1107" spans="1:18" x14ac:dyDescent="0.25">
      <c r="A1107" s="161" t="str">
        <f t="shared" si="19"/>
        <v>MODERN_ARMOR_CHINA</v>
      </c>
      <c r="B1107" s="9" t="s">
        <v>121</v>
      </c>
      <c r="C1107" s="4" t="s">
        <v>710</v>
      </c>
      <c r="E1107" s="4" t="s">
        <v>121</v>
      </c>
      <c r="F1107" s="4" t="s">
        <v>798</v>
      </c>
      <c r="G1107" s="14" t="s">
        <v>132</v>
      </c>
      <c r="H1107" s="4" t="s">
        <v>254</v>
      </c>
      <c r="I1107" s="4" t="s">
        <v>131</v>
      </c>
    </row>
    <row r="1108" spans="1:18" x14ac:dyDescent="0.25">
      <c r="A1108" s="161" t="str">
        <f t="shared" si="19"/>
        <v>MODERN_ARMOR_MONGOL</v>
      </c>
      <c r="B1108" s="9" t="s">
        <v>121</v>
      </c>
      <c r="C1108" s="4" t="s">
        <v>728</v>
      </c>
      <c r="E1108" s="4" t="s">
        <v>121</v>
      </c>
      <c r="F1108" s="4" t="s">
        <v>798</v>
      </c>
      <c r="G1108" s="14" t="s">
        <v>132</v>
      </c>
      <c r="H1108" s="4" t="s">
        <v>532</v>
      </c>
      <c r="I1108" s="4" t="s">
        <v>131</v>
      </c>
    </row>
    <row r="1109" spans="1:18" x14ac:dyDescent="0.25">
      <c r="A1109" s="161" t="str">
        <f t="shared" si="19"/>
        <v>MODERN_ARMOR_CENTAS</v>
      </c>
      <c r="B1109" s="9" t="s">
        <v>121</v>
      </c>
      <c r="C1109" s="4" t="s">
        <v>918</v>
      </c>
      <c r="D1109" s="4" t="s">
        <v>698</v>
      </c>
      <c r="E1109" s="4" t="s">
        <v>121</v>
      </c>
      <c r="F1109" s="4" t="s">
        <v>798</v>
      </c>
      <c r="G1109" s="14" t="s">
        <v>132</v>
      </c>
    </row>
    <row r="1110" spans="1:18" x14ac:dyDescent="0.25">
      <c r="A1110" s="161" t="str">
        <f t="shared" si="19"/>
        <v>MODERN_ARMOR_OTTOMAN</v>
      </c>
      <c r="B1110" s="9" t="s">
        <v>121</v>
      </c>
      <c r="C1110" s="4" t="s">
        <v>1037</v>
      </c>
      <c r="E1110" s="4" t="s">
        <v>121</v>
      </c>
      <c r="F1110" s="4" t="s">
        <v>798</v>
      </c>
      <c r="G1110" s="14" t="s">
        <v>132</v>
      </c>
      <c r="H1110" s="4" t="s">
        <v>1040</v>
      </c>
      <c r="I1110" s="4" t="s">
        <v>120</v>
      </c>
    </row>
    <row r="1111" spans="1:18" x14ac:dyDescent="0.25">
      <c r="A1111" s="161" t="str">
        <f t="shared" si="19"/>
        <v>MODERN_ARMOR_EASTEU</v>
      </c>
      <c r="B1111" s="9" t="s">
        <v>121</v>
      </c>
      <c r="C1111" s="4" t="s">
        <v>698</v>
      </c>
      <c r="E1111" s="4" t="s">
        <v>121</v>
      </c>
      <c r="F1111" s="4" t="s">
        <v>798</v>
      </c>
      <c r="H1111" s="4" t="s">
        <v>451</v>
      </c>
      <c r="I1111" s="4" t="s">
        <v>1933</v>
      </c>
      <c r="R1111" s="11">
        <v>9.5000000000000001E-2</v>
      </c>
    </row>
    <row r="1112" spans="1:18" x14ac:dyDescent="0.25">
      <c r="A1112" s="161" t="str">
        <f t="shared" si="19"/>
        <v>MODERN_ARMOR_RUSSIA</v>
      </c>
      <c r="B1112" s="9" t="s">
        <v>121</v>
      </c>
      <c r="C1112" s="4" t="s">
        <v>735</v>
      </c>
      <c r="E1112" s="4" t="s">
        <v>121</v>
      </c>
      <c r="F1112" s="4" t="s">
        <v>798</v>
      </c>
      <c r="G1112" s="14" t="s">
        <v>132</v>
      </c>
      <c r="H1112" s="4" t="s">
        <v>619</v>
      </c>
      <c r="I1112" s="4" t="s">
        <v>1061</v>
      </c>
    </row>
    <row r="1113" spans="1:18" x14ac:dyDescent="0.25">
      <c r="A1113" s="161" t="str">
        <f t="shared" si="19"/>
        <v>MODERN_ARMOR_AMERICA</v>
      </c>
      <c r="B1113" s="9" t="s">
        <v>121</v>
      </c>
      <c r="C1113" s="4" t="s">
        <v>699</v>
      </c>
      <c r="E1113" s="4" t="s">
        <v>121</v>
      </c>
      <c r="F1113" s="4" t="s">
        <v>798</v>
      </c>
      <c r="G1113" s="14"/>
      <c r="H1113" s="4" t="s">
        <v>144</v>
      </c>
      <c r="I1113" s="4" t="s">
        <v>124</v>
      </c>
      <c r="R1113" s="11">
        <v>9.5000000000000001E-2</v>
      </c>
    </row>
    <row r="1114" spans="1:18" x14ac:dyDescent="0.25">
      <c r="A1114" s="161" t="str">
        <f t="shared" si="19"/>
        <v>MODERN_ARMOR_AUSTRALIA</v>
      </c>
      <c r="B1114" s="9" t="s">
        <v>121</v>
      </c>
      <c r="C1114" s="4" t="s">
        <v>1302</v>
      </c>
      <c r="D1114" s="4" t="s">
        <v>713</v>
      </c>
      <c r="E1114" s="4" t="s">
        <v>121</v>
      </c>
      <c r="F1114" s="4" t="s">
        <v>798</v>
      </c>
      <c r="G1114" s="14"/>
    </row>
    <row r="1115" spans="1:18" x14ac:dyDescent="0.25">
      <c r="A1115" s="161" t="str">
        <f t="shared" si="19"/>
        <v>MODERN_ARMOR_AUSTRIA</v>
      </c>
      <c r="B1115" s="9" t="s">
        <v>121</v>
      </c>
      <c r="C1115" s="4" t="s">
        <v>701</v>
      </c>
      <c r="D1115" s="4" t="s">
        <v>717</v>
      </c>
      <c r="E1115" s="4" t="s">
        <v>121</v>
      </c>
      <c r="F1115" s="4" t="s">
        <v>798</v>
      </c>
      <c r="G1115" s="14"/>
    </row>
    <row r="1116" spans="1:18" x14ac:dyDescent="0.25">
      <c r="A1116" s="161" t="str">
        <f t="shared" si="19"/>
        <v>MODERN_ARMOR_CANADA</v>
      </c>
      <c r="B1116" s="9" t="s">
        <v>121</v>
      </c>
      <c r="C1116" s="4" t="s">
        <v>2207</v>
      </c>
      <c r="D1116" s="4" t="s">
        <v>713</v>
      </c>
      <c r="E1116" s="4" t="s">
        <v>121</v>
      </c>
      <c r="F1116" s="4" t="s">
        <v>798</v>
      </c>
      <c r="G1116" s="14"/>
    </row>
    <row r="1117" spans="1:18" x14ac:dyDescent="0.25">
      <c r="A1117" s="161" t="str">
        <f t="shared" si="19"/>
        <v>MODERN_ARMOR_CELTS</v>
      </c>
      <c r="B1117" s="9" t="s">
        <v>121</v>
      </c>
      <c r="C1117" s="4" t="s">
        <v>709</v>
      </c>
      <c r="D1117" s="4" t="s">
        <v>713</v>
      </c>
      <c r="E1117" s="4" t="s">
        <v>121</v>
      </c>
      <c r="F1117" s="4" t="s">
        <v>798</v>
      </c>
      <c r="G1117" s="14"/>
    </row>
    <row r="1118" spans="1:18" x14ac:dyDescent="0.25">
      <c r="A1118" s="161" t="str">
        <f t="shared" si="19"/>
        <v>MODERN_ARMOR_ENGLAND</v>
      </c>
      <c r="B1118" s="9" t="s">
        <v>121</v>
      </c>
      <c r="C1118" s="4" t="s">
        <v>713</v>
      </c>
      <c r="E1118" s="4" t="s">
        <v>121</v>
      </c>
      <c r="F1118" s="4" t="s">
        <v>798</v>
      </c>
      <c r="G1118" s="14" t="s">
        <v>132</v>
      </c>
      <c r="H1118" s="4" t="s">
        <v>305</v>
      </c>
      <c r="I1118" s="4" t="s">
        <v>120</v>
      </c>
    </row>
    <row r="1119" spans="1:18" x14ac:dyDescent="0.25">
      <c r="A1119" s="161" t="str">
        <f t="shared" si="19"/>
        <v>MODERN_ARMOR_FRANCE</v>
      </c>
      <c r="B1119" s="9" t="s">
        <v>121</v>
      </c>
      <c r="C1119" s="4" t="s">
        <v>715</v>
      </c>
      <c r="E1119" s="4" t="s">
        <v>121</v>
      </c>
      <c r="F1119" s="4" t="s">
        <v>798</v>
      </c>
      <c r="G1119" s="14" t="s">
        <v>132</v>
      </c>
      <c r="H1119" s="4" t="s">
        <v>352</v>
      </c>
      <c r="I1119" s="4" t="s">
        <v>1051</v>
      </c>
      <c r="R1119" s="11">
        <v>0.10299999999999999</v>
      </c>
    </row>
    <row r="1120" spans="1:18" x14ac:dyDescent="0.25">
      <c r="A1120" s="161" t="str">
        <f t="shared" si="19"/>
        <v>MODERN_ARMOR_GERMANY</v>
      </c>
      <c r="B1120" s="9" t="s">
        <v>121</v>
      </c>
      <c r="C1120" s="4" t="s">
        <v>717</v>
      </c>
      <c r="E1120" s="4" t="s">
        <v>121</v>
      </c>
      <c r="F1120" s="4" t="s">
        <v>798</v>
      </c>
      <c r="G1120" s="14" t="s">
        <v>132</v>
      </c>
      <c r="H1120" s="4" t="s">
        <v>383</v>
      </c>
      <c r="I1120" s="4" t="s">
        <v>1061</v>
      </c>
    </row>
    <row r="1121" spans="1:18" x14ac:dyDescent="0.25">
      <c r="A1121" s="161" t="str">
        <f t="shared" si="19"/>
        <v>MODERN_ARMOR_NETHERLANDS</v>
      </c>
      <c r="B1121" s="9" t="s">
        <v>121</v>
      </c>
      <c r="C1121" s="4" t="s">
        <v>730</v>
      </c>
      <c r="E1121" s="4" t="s">
        <v>121</v>
      </c>
      <c r="F1121" s="4" t="s">
        <v>798</v>
      </c>
      <c r="G1121" s="14" t="s">
        <v>132</v>
      </c>
      <c r="H1121" s="4" t="s">
        <v>545</v>
      </c>
      <c r="I1121" s="4" t="s">
        <v>120</v>
      </c>
    </row>
    <row r="1122" spans="1:18" x14ac:dyDescent="0.25">
      <c r="A1122" s="161" t="str">
        <f t="shared" ref="A1122:A1201" si="21">CONCATENATE(E1122,IF(ISBLANK(C1122),"",CONCATENATE("_",C1122)))</f>
        <v>MODERN_ARMOR_GREECE</v>
      </c>
      <c r="B1122" s="9" t="s">
        <v>121</v>
      </c>
      <c r="C1122" s="4" t="s">
        <v>718</v>
      </c>
      <c r="E1122" s="4" t="s">
        <v>121</v>
      </c>
      <c r="F1122" s="4" t="s">
        <v>798</v>
      </c>
      <c r="G1122" s="14" t="s">
        <v>132</v>
      </c>
      <c r="H1122" s="4" t="s">
        <v>408</v>
      </c>
      <c r="I1122" s="4" t="s">
        <v>120</v>
      </c>
      <c r="R1122" s="11">
        <v>0.10299999999999999</v>
      </c>
    </row>
    <row r="1123" spans="1:18" x14ac:dyDescent="0.25">
      <c r="A1123" s="161" t="str">
        <f t="shared" si="21"/>
        <v>MODERN_ARMOR_ROME</v>
      </c>
      <c r="B1123" s="9" t="s">
        <v>121</v>
      </c>
      <c r="C1123" s="4" t="s">
        <v>734</v>
      </c>
      <c r="E1123" s="4" t="s">
        <v>121</v>
      </c>
      <c r="F1123" s="4" t="s">
        <v>798</v>
      </c>
      <c r="G1123" s="14" t="s">
        <v>132</v>
      </c>
      <c r="H1123" s="4" t="s">
        <v>595</v>
      </c>
      <c r="I1123" s="4" t="s">
        <v>1069</v>
      </c>
    </row>
    <row r="1124" spans="1:18" x14ac:dyDescent="0.25">
      <c r="A1124" s="161" t="str">
        <f t="shared" si="21"/>
        <v>MODERN_ARMOR_MIDEAST</v>
      </c>
      <c r="B1124" s="9" t="s">
        <v>121</v>
      </c>
      <c r="C1124" s="4" t="s">
        <v>690</v>
      </c>
      <c r="E1124" s="4" t="s">
        <v>121</v>
      </c>
      <c r="F1124" s="4" t="s">
        <v>798</v>
      </c>
      <c r="H1124" s="4" t="s">
        <v>174</v>
      </c>
      <c r="I1124" s="4" t="s">
        <v>1933</v>
      </c>
      <c r="R1124" s="11">
        <v>9.5000000000000001E-2</v>
      </c>
    </row>
    <row r="1125" spans="1:18" x14ac:dyDescent="0.25">
      <c r="A1125" s="161" t="str">
        <f t="shared" si="21"/>
        <v>MODERN_ARMOR_LEVANT</v>
      </c>
      <c r="B1125" s="9" t="s">
        <v>121</v>
      </c>
      <c r="C1125" s="4" t="s">
        <v>724</v>
      </c>
      <c r="D1125" s="4" t="s">
        <v>699</v>
      </c>
      <c r="E1125" s="4" t="s">
        <v>121</v>
      </c>
      <c r="F1125" s="4" t="s">
        <v>798</v>
      </c>
    </row>
    <row r="1126" spans="1:18" x14ac:dyDescent="0.25">
      <c r="A1126" s="161" t="str">
        <f t="shared" si="21"/>
        <v>MODERN_ARMOR_ARABIA</v>
      </c>
      <c r="B1126" s="9" t="s">
        <v>121</v>
      </c>
      <c r="C1126" s="4" t="s">
        <v>700</v>
      </c>
      <c r="D1126" s="14"/>
      <c r="E1126" s="4" t="s">
        <v>121</v>
      </c>
      <c r="F1126" s="4" t="s">
        <v>798</v>
      </c>
      <c r="G1126" s="14"/>
      <c r="H1126" s="4" t="s">
        <v>167</v>
      </c>
      <c r="I1126" s="4" t="s">
        <v>120</v>
      </c>
    </row>
    <row r="1127" spans="1:18" x14ac:dyDescent="0.25">
      <c r="A1127" s="161" t="str">
        <f t="shared" si="21"/>
        <v>MODERN_ARMOR_BABYLON</v>
      </c>
      <c r="B1127" s="9" t="s">
        <v>121</v>
      </c>
      <c r="C1127" s="4" t="s">
        <v>703</v>
      </c>
      <c r="E1127" s="4" t="s">
        <v>121</v>
      </c>
      <c r="F1127" s="4" t="s">
        <v>798</v>
      </c>
      <c r="G1127" s="14"/>
      <c r="H1127" s="4" t="s">
        <v>214</v>
      </c>
      <c r="I1127" s="4" t="s">
        <v>1933</v>
      </c>
      <c r="R1127" s="11">
        <v>9.5000000000000001E-2</v>
      </c>
    </row>
    <row r="1128" spans="1:18" x14ac:dyDescent="0.25">
      <c r="A1128" s="161" t="str">
        <f t="shared" si="21"/>
        <v>MODERN_ARMOR_EGYPT</v>
      </c>
      <c r="B1128" s="9" t="s">
        <v>121</v>
      </c>
      <c r="C1128" s="4" t="s">
        <v>712</v>
      </c>
      <c r="E1128" s="4" t="s">
        <v>121</v>
      </c>
      <c r="F1128" s="4" t="s">
        <v>798</v>
      </c>
      <c r="G1128" s="14" t="s">
        <v>132</v>
      </c>
      <c r="H1128" s="4" t="s">
        <v>284</v>
      </c>
      <c r="I1128" s="4" t="s">
        <v>131</v>
      </c>
    </row>
    <row r="1129" spans="1:18" x14ac:dyDescent="0.25">
      <c r="A1129" s="161" t="str">
        <f t="shared" si="21"/>
        <v>MODERN_ARMOR_PERSIA</v>
      </c>
      <c r="B1129" s="9" t="s">
        <v>121</v>
      </c>
      <c r="C1129" s="4" t="s">
        <v>731</v>
      </c>
      <c r="E1129" s="4" t="s">
        <v>121</v>
      </c>
      <c r="F1129" s="4" t="s">
        <v>798</v>
      </c>
      <c r="G1129" s="14" t="s">
        <v>132</v>
      </c>
      <c r="H1129" s="4" t="s">
        <v>560</v>
      </c>
      <c r="I1129" s="4" t="s">
        <v>1933</v>
      </c>
      <c r="R1129" s="11">
        <v>9.5000000000000001E-2</v>
      </c>
    </row>
    <row r="1130" spans="1:18" x14ac:dyDescent="0.25">
      <c r="A1130" s="161" t="str">
        <f>CONCATENATE(E1130,IF(ISBLANK(C1130),"",CONCATENATE("_",C1130)))</f>
        <v>MODERN_ARMOR_NORTHAF</v>
      </c>
      <c r="B1130" s="9" t="s">
        <v>121</v>
      </c>
      <c r="C1130" s="4" t="s">
        <v>2009</v>
      </c>
      <c r="E1130" s="4" t="s">
        <v>121</v>
      </c>
      <c r="F1130" s="4" t="s">
        <v>798</v>
      </c>
      <c r="G1130" s="14" t="s">
        <v>132</v>
      </c>
      <c r="H1130" s="4" t="s">
        <v>230</v>
      </c>
      <c r="I1130" s="4" t="s">
        <v>1933</v>
      </c>
      <c r="R1130" s="11">
        <v>9.5000000000000001E-2</v>
      </c>
    </row>
    <row r="1131" spans="1:18" x14ac:dyDescent="0.25">
      <c r="A1131" s="161" t="str">
        <f t="shared" si="21"/>
        <v>MODERN_ARMOR_OCEAN</v>
      </c>
      <c r="B1131" s="9" t="s">
        <v>121</v>
      </c>
      <c r="C1131" s="4" t="s">
        <v>994</v>
      </c>
      <c r="D1131" s="4" t="s">
        <v>699</v>
      </c>
      <c r="E1131" s="4" t="s">
        <v>121</v>
      </c>
      <c r="F1131" s="4" t="s">
        <v>798</v>
      </c>
      <c r="G1131" s="14"/>
    </row>
    <row r="1132" spans="1:18" x14ac:dyDescent="0.25">
      <c r="A1132" s="161" t="str">
        <f>CONCATENATE(E1132,IF(ISBLANK(C1132),"",CONCATENATE("_",C1132)))</f>
        <v>MODERN_ARMOR_SAHUL</v>
      </c>
      <c r="B1132" s="9" t="s">
        <v>121</v>
      </c>
      <c r="C1132" s="4" t="s">
        <v>1787</v>
      </c>
      <c r="D1132" s="4" t="s">
        <v>730</v>
      </c>
      <c r="E1132" s="4" t="s">
        <v>121</v>
      </c>
      <c r="F1132" s="4" t="s">
        <v>798</v>
      </c>
      <c r="G1132" s="14"/>
    </row>
    <row r="1133" spans="1:18" x14ac:dyDescent="0.25">
      <c r="A1133" s="161" t="str">
        <f t="shared" si="21"/>
        <v>MODERN_ARMOR_SEASIA</v>
      </c>
      <c r="B1133" s="9" t="s">
        <v>121</v>
      </c>
      <c r="C1133" s="4" t="s">
        <v>696</v>
      </c>
      <c r="D1133" s="4" t="s">
        <v>698</v>
      </c>
      <c r="E1133" s="4" t="s">
        <v>121</v>
      </c>
      <c r="F1133" s="4" t="s">
        <v>798</v>
      </c>
    </row>
    <row r="1134" spans="1:18" x14ac:dyDescent="0.25">
      <c r="A1134" s="161" t="str">
        <f t="shared" si="21"/>
        <v>MODERN_ARMOR_SIAM</v>
      </c>
      <c r="B1134" s="9" t="s">
        <v>121</v>
      </c>
      <c r="C1134" s="4" t="s">
        <v>736</v>
      </c>
      <c r="E1134" s="4" t="s">
        <v>121</v>
      </c>
      <c r="F1134" s="4" t="s">
        <v>798</v>
      </c>
      <c r="G1134" s="14" t="s">
        <v>132</v>
      </c>
      <c r="H1134" s="4" t="s">
        <v>638</v>
      </c>
      <c r="I1134" s="4" t="s">
        <v>124</v>
      </c>
    </row>
    <row r="1135" spans="1:18" x14ac:dyDescent="0.25">
      <c r="A1135" s="161" t="str">
        <f t="shared" si="21"/>
        <v>MODERN_ARMOR_INCA</v>
      </c>
      <c r="B1135" s="9" t="s">
        <v>121</v>
      </c>
      <c r="C1135" s="4" t="s">
        <v>719</v>
      </c>
      <c r="E1135" s="4" t="s">
        <v>121</v>
      </c>
      <c r="F1135" s="4" t="s">
        <v>798</v>
      </c>
      <c r="G1135" s="14" t="s">
        <v>132</v>
      </c>
      <c r="H1135" s="4" t="s">
        <v>424</v>
      </c>
      <c r="I1135" s="4" t="s">
        <v>131</v>
      </c>
    </row>
    <row r="1136" spans="1:18" x14ac:dyDescent="0.25">
      <c r="A1136" s="161" t="str">
        <f t="shared" si="21"/>
        <v>MODERN_ARMOR_SOUTHAS</v>
      </c>
      <c r="B1136" s="9" t="s">
        <v>121</v>
      </c>
      <c r="C1136" s="4" t="s">
        <v>695</v>
      </c>
      <c r="D1136" s="4" t="s">
        <v>698</v>
      </c>
      <c r="E1136" s="4" t="s">
        <v>121</v>
      </c>
      <c r="F1136" s="4" t="s">
        <v>798</v>
      </c>
    </row>
    <row r="1137" spans="1:43" x14ac:dyDescent="0.25">
      <c r="A1137" s="161" t="str">
        <f t="shared" si="21"/>
        <v>MODERN_ARMOR_INDIA</v>
      </c>
      <c r="B1137" s="9" t="s">
        <v>121</v>
      </c>
      <c r="C1137" s="4" t="s">
        <v>720</v>
      </c>
      <c r="E1137" s="4" t="s">
        <v>121</v>
      </c>
      <c r="F1137" s="4" t="s">
        <v>798</v>
      </c>
      <c r="G1137" s="14" t="s">
        <v>132</v>
      </c>
      <c r="H1137" s="4" t="s">
        <v>439</v>
      </c>
      <c r="I1137" s="4" t="s">
        <v>1933</v>
      </c>
      <c r="R1137" s="11">
        <v>9.5000000000000001E-2</v>
      </c>
    </row>
    <row r="1138" spans="1:43" x14ac:dyDescent="0.25">
      <c r="A1138" s="161" t="str">
        <f t="shared" si="21"/>
        <v>MUSKETMAN</v>
      </c>
      <c r="B1138" s="9" t="s">
        <v>129</v>
      </c>
      <c r="C1138" s="5"/>
      <c r="D1138" s="5"/>
      <c r="E1138" s="5" t="s">
        <v>129</v>
      </c>
      <c r="F1138" s="5" t="s">
        <v>129</v>
      </c>
      <c r="G1138" s="5"/>
      <c r="H1138" s="5" t="s">
        <v>25</v>
      </c>
      <c r="I1138" s="5" t="s">
        <v>128</v>
      </c>
      <c r="J1138" s="6"/>
      <c r="K1138" s="6"/>
      <c r="L1138" s="13" t="s">
        <v>1707</v>
      </c>
      <c r="M1138" s="8"/>
      <c r="N1138" s="5"/>
      <c r="O1138" s="5"/>
      <c r="P1138" s="5"/>
      <c r="Q1138" s="7">
        <v>14</v>
      </c>
      <c r="R1138" s="6" t="s">
        <v>1736</v>
      </c>
      <c r="S1138" s="13" t="s">
        <v>1618</v>
      </c>
      <c r="T1138" s="7">
        <v>19</v>
      </c>
      <c r="U1138" s="7" t="s">
        <v>1736</v>
      </c>
      <c r="V1138" s="5"/>
      <c r="W1138" s="6" t="s">
        <v>3</v>
      </c>
      <c r="X1138" s="6" t="s">
        <v>3</v>
      </c>
      <c r="Y1138" s="5"/>
      <c r="Z1138" s="7">
        <v>1</v>
      </c>
      <c r="AA1138" s="6"/>
      <c r="AB1138" s="5"/>
      <c r="AC1138" s="6"/>
      <c r="AD1138" s="6" t="s">
        <v>3</v>
      </c>
      <c r="AE1138" s="5"/>
      <c r="AF1138" s="7" t="s">
        <v>1736</v>
      </c>
      <c r="AG1138" s="6"/>
      <c r="AH1138" s="5"/>
      <c r="AI1138" s="7" t="s">
        <v>1736</v>
      </c>
      <c r="AJ1138" s="6"/>
      <c r="AK1138" s="5"/>
      <c r="AL1138" s="5"/>
      <c r="AM1138" s="5"/>
      <c r="AN1138" s="5"/>
      <c r="AO1138" s="5"/>
      <c r="AP1138" s="5"/>
      <c r="AQ1138" s="5"/>
    </row>
    <row r="1139" spans="1:43" x14ac:dyDescent="0.25">
      <c r="A1139" s="161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H1139" s="4" t="s">
        <v>871</v>
      </c>
      <c r="I1139" s="4" t="s">
        <v>1942</v>
      </c>
      <c r="Q1139" s="11">
        <v>4</v>
      </c>
      <c r="T1139" s="11">
        <v>3</v>
      </c>
      <c r="Z1139" s="11">
        <v>1</v>
      </c>
      <c r="AF1139" s="11">
        <v>1</v>
      </c>
      <c r="AI1139" s="11">
        <v>3</v>
      </c>
    </row>
    <row r="1140" spans="1:43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2045</v>
      </c>
      <c r="H1140" s="4" t="s">
        <v>872</v>
      </c>
      <c r="I1140" s="4" t="s">
        <v>1942</v>
      </c>
      <c r="Q1140" s="11">
        <v>3</v>
      </c>
      <c r="T1140" s="11">
        <v>4</v>
      </c>
      <c r="Z1140" s="11">
        <v>0</v>
      </c>
      <c r="AF1140" s="11">
        <v>1</v>
      </c>
      <c r="AI1140" s="11">
        <v>4</v>
      </c>
    </row>
    <row r="1141" spans="1:43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G1141" s="4" t="s">
        <v>2047</v>
      </c>
      <c r="H1141" s="4" t="s">
        <v>328</v>
      </c>
      <c r="I1141" s="4" t="s">
        <v>1942</v>
      </c>
      <c r="Q1141" s="11">
        <v>4</v>
      </c>
      <c r="T1141" s="11">
        <v>3</v>
      </c>
      <c r="Z1141" s="11">
        <v>0</v>
      </c>
      <c r="AF1141" s="11">
        <v>1</v>
      </c>
      <c r="AI1141" s="11">
        <v>3</v>
      </c>
    </row>
    <row r="1142" spans="1:43" x14ac:dyDescent="0.25">
      <c r="A1142" s="161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H1142" s="4" t="s">
        <v>871</v>
      </c>
      <c r="I1142" s="4" t="s">
        <v>1942</v>
      </c>
      <c r="Q1142" s="9">
        <v>1</v>
      </c>
      <c r="T1142" s="11">
        <v>3</v>
      </c>
      <c r="Z1142" s="9">
        <v>0</v>
      </c>
      <c r="AF1142" s="11">
        <v>0</v>
      </c>
      <c r="AI1142" s="11">
        <v>3</v>
      </c>
    </row>
    <row r="1143" spans="1:43" x14ac:dyDescent="0.25">
      <c r="A1143" s="161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G1143" s="4" t="s">
        <v>2045</v>
      </c>
      <c r="H1143" s="4" t="s">
        <v>872</v>
      </c>
      <c r="I1143" s="4" t="s">
        <v>1942</v>
      </c>
      <c r="Q1143" s="9">
        <v>2</v>
      </c>
      <c r="T1143" s="11">
        <v>3</v>
      </c>
      <c r="Z1143" s="9">
        <v>0</v>
      </c>
      <c r="AF1143" s="11">
        <v>0</v>
      </c>
      <c r="AI1143" s="11">
        <v>3</v>
      </c>
    </row>
    <row r="1144" spans="1:43" x14ac:dyDescent="0.25">
      <c r="A1144" s="161" t="str">
        <f t="shared" si="21"/>
        <v>MUSKETMAN_AFRI</v>
      </c>
      <c r="B1144" s="9" t="s">
        <v>129</v>
      </c>
      <c r="C1144" s="4" t="s">
        <v>694</v>
      </c>
      <c r="E1144" s="4" t="s">
        <v>129</v>
      </c>
      <c r="F1144" s="4" t="s">
        <v>129</v>
      </c>
      <c r="G1144" s="4" t="s">
        <v>2047</v>
      </c>
      <c r="H1144" s="4" t="s">
        <v>328</v>
      </c>
      <c r="I1144" s="4" t="s">
        <v>1942</v>
      </c>
      <c r="Q1144" s="9">
        <v>0</v>
      </c>
      <c r="T1144" s="11">
        <v>3</v>
      </c>
      <c r="Z1144" s="9">
        <v>0</v>
      </c>
      <c r="AF1144" s="11">
        <v>0</v>
      </c>
      <c r="AI1144" s="11">
        <v>3</v>
      </c>
    </row>
    <row r="1145" spans="1:43" x14ac:dyDescent="0.25">
      <c r="A1145" s="161" t="str">
        <f t="shared" si="21"/>
        <v>MUSKETMAN_AMER</v>
      </c>
      <c r="B1145" s="9" t="s">
        <v>129</v>
      </c>
      <c r="C1145" s="4" t="s">
        <v>697</v>
      </c>
      <c r="E1145" s="4" t="s">
        <v>129</v>
      </c>
      <c r="F1145" s="4" t="s">
        <v>129</v>
      </c>
      <c r="H1145" s="4" t="s">
        <v>635</v>
      </c>
      <c r="I1145" s="4" t="s">
        <v>965</v>
      </c>
      <c r="Q1145" s="12"/>
      <c r="R1145" s="12"/>
      <c r="Z1145" s="9"/>
    </row>
    <row r="1146" spans="1:43" x14ac:dyDescent="0.25">
      <c r="A1146" s="161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H1146" s="4" t="s">
        <v>944</v>
      </c>
      <c r="I1146" s="4" t="s">
        <v>1933</v>
      </c>
      <c r="Q1146" s="9">
        <v>3</v>
      </c>
      <c r="T1146" s="11">
        <v>3</v>
      </c>
      <c r="Z1146" s="9">
        <v>1</v>
      </c>
      <c r="AF1146" s="11">
        <v>1</v>
      </c>
      <c r="AI1146" s="11">
        <v>3</v>
      </c>
    </row>
    <row r="1147" spans="1:43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G1147" s="4" t="s">
        <v>2045</v>
      </c>
      <c r="H1147" s="4" t="s">
        <v>467</v>
      </c>
      <c r="I1147" s="4" t="s">
        <v>1933</v>
      </c>
      <c r="Q1147" s="9">
        <v>4</v>
      </c>
      <c r="T1147" s="11">
        <v>4</v>
      </c>
      <c r="Z1147" s="9">
        <v>0</v>
      </c>
      <c r="AF1147" s="11">
        <v>1</v>
      </c>
      <c r="AI1147" s="11">
        <v>4</v>
      </c>
    </row>
    <row r="1148" spans="1:43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H1148" s="4" t="s">
        <v>944</v>
      </c>
      <c r="I1148" s="4" t="s">
        <v>1933</v>
      </c>
      <c r="Q1148" s="9">
        <v>3</v>
      </c>
      <c r="T1148" s="11">
        <v>3</v>
      </c>
      <c r="Z1148" s="9">
        <v>0</v>
      </c>
      <c r="AF1148" s="11">
        <v>1</v>
      </c>
      <c r="AI1148" s="11">
        <v>3</v>
      </c>
    </row>
    <row r="1149" spans="1:43" x14ac:dyDescent="0.25">
      <c r="A1149" s="161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G1149" s="4" t="s">
        <v>2045</v>
      </c>
      <c r="H1149" s="4" t="s">
        <v>467</v>
      </c>
      <c r="I1149" s="4" t="s">
        <v>1933</v>
      </c>
      <c r="Q1149" s="9">
        <v>4</v>
      </c>
      <c r="T1149" s="11">
        <v>3</v>
      </c>
      <c r="Z1149" s="9">
        <v>0</v>
      </c>
      <c r="AF1149" s="11">
        <v>0</v>
      </c>
      <c r="AI1149" s="11">
        <v>3</v>
      </c>
    </row>
    <row r="1150" spans="1:43" x14ac:dyDescent="0.25">
      <c r="A1150" s="161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H1150" s="4" t="s">
        <v>944</v>
      </c>
      <c r="I1150" s="4" t="s">
        <v>1933</v>
      </c>
      <c r="Q1150" s="9">
        <v>0</v>
      </c>
      <c r="T1150" s="11">
        <v>3</v>
      </c>
      <c r="Z1150" s="9">
        <v>0</v>
      </c>
      <c r="AF1150" s="11">
        <v>0</v>
      </c>
      <c r="AI1150" s="11">
        <v>3</v>
      </c>
    </row>
    <row r="1151" spans="1:43" x14ac:dyDescent="0.25">
      <c r="A1151" s="161" t="str">
        <f t="shared" si="21"/>
        <v>MUSKETMAN_IROQUOIS</v>
      </c>
      <c r="B1151" s="9" t="s">
        <v>129</v>
      </c>
      <c r="C1151" s="4" t="s">
        <v>721</v>
      </c>
      <c r="E1151" s="4" t="s">
        <v>129</v>
      </c>
      <c r="F1151" s="4" t="s">
        <v>129</v>
      </c>
      <c r="G1151" s="4" t="s">
        <v>2045</v>
      </c>
      <c r="H1151" s="4" t="s">
        <v>467</v>
      </c>
      <c r="I1151" s="4" t="s">
        <v>1933</v>
      </c>
      <c r="Q1151" s="9">
        <v>0</v>
      </c>
      <c r="T1151" s="11">
        <v>3</v>
      </c>
      <c r="Z1151" s="9">
        <v>0</v>
      </c>
      <c r="AF1151" s="11">
        <v>0</v>
      </c>
      <c r="AI1151" s="11">
        <v>3</v>
      </c>
    </row>
    <row r="1152" spans="1:43" x14ac:dyDescent="0.25">
      <c r="A1152" s="161" t="str">
        <f t="shared" si="21"/>
        <v>MUSKETMAN_SHOSHONE</v>
      </c>
      <c r="B1152" s="9" t="s">
        <v>129</v>
      </c>
      <c r="C1152" s="4" t="s">
        <v>1082</v>
      </c>
      <c r="E1152" s="4" t="s">
        <v>129</v>
      </c>
      <c r="F1152" s="4" t="s">
        <v>129</v>
      </c>
      <c r="H1152" s="4" t="s">
        <v>1735</v>
      </c>
      <c r="I1152" s="4" t="s">
        <v>1734</v>
      </c>
    </row>
    <row r="1153" spans="1:35" x14ac:dyDescent="0.25">
      <c r="A1153" s="161" t="str">
        <f t="shared" si="21"/>
        <v>MUSKETMAN_EASTEU</v>
      </c>
      <c r="B1153" s="9" t="s">
        <v>129</v>
      </c>
      <c r="C1153" s="4" t="s">
        <v>698</v>
      </c>
      <c r="D1153" s="4" t="s">
        <v>730</v>
      </c>
      <c r="E1153" s="4" t="s">
        <v>129</v>
      </c>
      <c r="F1153" s="4" t="s">
        <v>129</v>
      </c>
    </row>
    <row r="1154" spans="1:35" x14ac:dyDescent="0.25">
      <c r="A1154" s="161" t="str">
        <f t="shared" si="21"/>
        <v>MUSKETMAN_KIEV</v>
      </c>
      <c r="B1154" s="9" t="s">
        <v>129</v>
      </c>
      <c r="C1154" s="4" t="s">
        <v>1187</v>
      </c>
      <c r="D1154" s="4" t="s">
        <v>735</v>
      </c>
      <c r="E1154" s="4" t="s">
        <v>129</v>
      </c>
      <c r="F1154" s="4" t="s">
        <v>129</v>
      </c>
    </row>
    <row r="1155" spans="1:35" x14ac:dyDescent="0.25">
      <c r="A1155" s="161" t="str">
        <f t="shared" si="21"/>
        <v>MUSKETMAN_POLAND</v>
      </c>
      <c r="B1155" s="9" t="s">
        <v>129</v>
      </c>
      <c r="C1155" s="4" t="s">
        <v>732</v>
      </c>
      <c r="E1155" s="4" t="s">
        <v>129</v>
      </c>
      <c r="F1155" s="4" t="s">
        <v>129</v>
      </c>
      <c r="H1155" s="4" t="s">
        <v>2012</v>
      </c>
      <c r="I1155" s="4" t="s">
        <v>2013</v>
      </c>
    </row>
    <row r="1156" spans="1:35" x14ac:dyDescent="0.25">
      <c r="A1156" s="161" t="str">
        <f>CONCATENATE(E1156,IF(ISBLANK(C1156),"",CONCATENATE("_",C1156)))</f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H1156" s="4" t="s">
        <v>1007</v>
      </c>
      <c r="I1156" s="4" t="s">
        <v>1071</v>
      </c>
      <c r="Q1156" s="9">
        <v>1</v>
      </c>
      <c r="T1156" s="11">
        <v>1</v>
      </c>
      <c r="Z1156" s="9">
        <v>0</v>
      </c>
      <c r="AF1156" s="11">
        <v>0</v>
      </c>
      <c r="AI1156" s="11">
        <v>1</v>
      </c>
    </row>
    <row r="1157" spans="1:35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2046</v>
      </c>
      <c r="H1157" s="4" t="s">
        <v>1949</v>
      </c>
      <c r="I1157" s="4" t="s">
        <v>1950</v>
      </c>
      <c r="Q1157" s="9">
        <v>2</v>
      </c>
      <c r="T1157" s="11">
        <v>3</v>
      </c>
      <c r="Z1157" s="9">
        <v>0</v>
      </c>
      <c r="AF1157" s="11">
        <v>0</v>
      </c>
      <c r="AI1157" s="11">
        <v>0</v>
      </c>
    </row>
    <row r="1158" spans="1:35" x14ac:dyDescent="0.25">
      <c r="A1158" s="161" t="str">
        <f>CONCATENATE(E1158,IF(ISBLANK(C1158),"",CONCATENATE("_",C1158)))</f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2045</v>
      </c>
      <c r="H1158" s="4" t="s">
        <v>1952</v>
      </c>
      <c r="I1158" s="4" t="s">
        <v>1071</v>
      </c>
      <c r="Q1158" s="9">
        <v>2</v>
      </c>
      <c r="T1158" s="11">
        <v>3</v>
      </c>
      <c r="Z1158" s="9">
        <v>0</v>
      </c>
      <c r="AF1158" s="11">
        <v>0</v>
      </c>
      <c r="AI1158" s="11">
        <v>1</v>
      </c>
    </row>
    <row r="1159" spans="1:35" x14ac:dyDescent="0.25">
      <c r="A1159" s="161" t="str">
        <f t="shared" si="21"/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2047</v>
      </c>
      <c r="H1159" s="4" t="s">
        <v>620</v>
      </c>
      <c r="I1159" s="4" t="s">
        <v>1071</v>
      </c>
      <c r="Q1159" s="9">
        <v>4</v>
      </c>
      <c r="T1159" s="11">
        <v>7</v>
      </c>
      <c r="Z1159" s="9">
        <v>1</v>
      </c>
      <c r="AF1159" s="11">
        <v>1</v>
      </c>
      <c r="AI1159" s="11">
        <v>2</v>
      </c>
    </row>
    <row r="1160" spans="1:35" x14ac:dyDescent="0.25">
      <c r="A1160" s="161" t="str">
        <f>CONCATENATE(E1160,IF(ISBLANK(C1160),"",CONCATENATE("_",C1160)))</f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2046</v>
      </c>
      <c r="H1160" s="4" t="s">
        <v>1949</v>
      </c>
      <c r="I1160" s="4" t="s">
        <v>1950</v>
      </c>
      <c r="Q1160" s="9">
        <v>2</v>
      </c>
      <c r="T1160" s="11">
        <v>2</v>
      </c>
      <c r="Z1160" s="9">
        <v>0</v>
      </c>
      <c r="AF1160" s="11">
        <v>1</v>
      </c>
      <c r="AI1160" s="11">
        <v>1</v>
      </c>
    </row>
    <row r="1161" spans="1:35" x14ac:dyDescent="0.25">
      <c r="A1161" s="161" t="str">
        <f>CONCATENATE(E1161,IF(ISBLANK(C1161),"",CONCATENATE("_",C1161)))</f>
        <v>MUSKETMAN_RUSSIA</v>
      </c>
      <c r="B1161" s="9" t="s">
        <v>129</v>
      </c>
      <c r="C1161" s="4" t="s">
        <v>735</v>
      </c>
      <c r="E1161" s="4" t="s">
        <v>129</v>
      </c>
      <c r="F1161" s="4" t="s">
        <v>129</v>
      </c>
      <c r="G1161" s="4" t="s">
        <v>2056</v>
      </c>
      <c r="H1161" s="4" t="s">
        <v>1951</v>
      </c>
      <c r="I1161" s="4" t="s">
        <v>1950</v>
      </c>
      <c r="Q1161" s="9">
        <v>3</v>
      </c>
      <c r="T1161" s="11">
        <v>3</v>
      </c>
      <c r="Z1161" s="9">
        <v>0</v>
      </c>
      <c r="AF1161" s="11">
        <v>1</v>
      </c>
      <c r="AI1161" s="11">
        <v>2</v>
      </c>
    </row>
    <row r="1162" spans="1:35" x14ac:dyDescent="0.25">
      <c r="A1162" s="161" t="str">
        <f t="shared" si="21"/>
        <v>MUSKETMAN_AMERICA</v>
      </c>
      <c r="B1162" s="9" t="s">
        <v>129</v>
      </c>
      <c r="C1162" s="4" t="s">
        <v>699</v>
      </c>
      <c r="E1162" s="4" t="s">
        <v>129</v>
      </c>
      <c r="F1162" s="4" t="s">
        <v>129</v>
      </c>
      <c r="G1162" s="14"/>
      <c r="H1162" s="4" t="s">
        <v>145</v>
      </c>
      <c r="I1162" s="4" t="s">
        <v>1270</v>
      </c>
      <c r="R1162" s="11">
        <v>0.15</v>
      </c>
      <c r="U1162" s="11">
        <v>9.5000000000000001E-2</v>
      </c>
    </row>
    <row r="1163" spans="1:35" x14ac:dyDescent="0.25">
      <c r="A1163" s="161" t="str">
        <f t="shared" si="21"/>
        <v>MUSKETMAN_AUSTRIA</v>
      </c>
      <c r="B1163" s="9" t="s">
        <v>129</v>
      </c>
      <c r="C1163" s="4" t="s">
        <v>701</v>
      </c>
      <c r="D1163" s="4" t="s">
        <v>730</v>
      </c>
      <c r="E1163" s="4" t="s">
        <v>129</v>
      </c>
      <c r="F1163" s="4" t="s">
        <v>129</v>
      </c>
      <c r="G1163" s="14"/>
    </row>
    <row r="1164" spans="1:35" x14ac:dyDescent="0.25">
      <c r="A1164" s="161" t="str">
        <f t="shared" si="21"/>
        <v>MUSKETMAN_BELGIUM</v>
      </c>
      <c r="B1164" s="9" t="s">
        <v>129</v>
      </c>
      <c r="C1164" s="4" t="s">
        <v>704</v>
      </c>
      <c r="D1164" s="4" t="s">
        <v>730</v>
      </c>
      <c r="E1164" s="4" t="s">
        <v>129</v>
      </c>
      <c r="F1164" s="4" t="s">
        <v>129</v>
      </c>
      <c r="G1164" s="14"/>
    </row>
    <row r="1165" spans="1:35" x14ac:dyDescent="0.25">
      <c r="A1165" s="161" t="str">
        <f t="shared" si="21"/>
        <v>MUSKETMAN_ENGLAND</v>
      </c>
      <c r="B1165" s="9" t="s">
        <v>129</v>
      </c>
      <c r="C1165" s="4" t="s">
        <v>713</v>
      </c>
      <c r="E1165" s="4" t="s">
        <v>129</v>
      </c>
      <c r="F1165" s="4" t="s">
        <v>129</v>
      </c>
      <c r="G1165" s="14" t="s">
        <v>132</v>
      </c>
      <c r="H1165" s="4" t="s">
        <v>306</v>
      </c>
      <c r="I1165" s="4" t="s">
        <v>1271</v>
      </c>
    </row>
    <row r="1166" spans="1:35" x14ac:dyDescent="0.25">
      <c r="A1166" s="161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H1166" s="4" t="s">
        <v>899</v>
      </c>
      <c r="I1166" s="4" t="s">
        <v>1060</v>
      </c>
      <c r="Q1166" s="11">
        <v>3</v>
      </c>
      <c r="T1166" s="11">
        <v>4</v>
      </c>
      <c r="Z1166" s="11">
        <v>1</v>
      </c>
      <c r="AF1166" s="11">
        <v>1</v>
      </c>
      <c r="AI1166" s="11">
        <v>1</v>
      </c>
    </row>
    <row r="1167" spans="1:35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2045</v>
      </c>
      <c r="H1167" s="4" t="s">
        <v>900</v>
      </c>
      <c r="I1167" s="4" t="s">
        <v>1060</v>
      </c>
      <c r="Q1167" s="11">
        <v>2</v>
      </c>
      <c r="T1167" s="11">
        <v>3</v>
      </c>
      <c r="Z1167" s="11">
        <v>0</v>
      </c>
      <c r="AF1167" s="11">
        <v>1</v>
      </c>
      <c r="AI1167" s="11">
        <v>1</v>
      </c>
    </row>
    <row r="1168" spans="1:35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G1168" s="4" t="s">
        <v>2047</v>
      </c>
      <c r="H1168" s="4" t="s">
        <v>384</v>
      </c>
      <c r="I1168" s="4" t="s">
        <v>1060</v>
      </c>
      <c r="Q1168" s="11">
        <v>3</v>
      </c>
      <c r="T1168" s="11">
        <v>3</v>
      </c>
      <c r="Z1168" s="11">
        <v>0</v>
      </c>
      <c r="AF1168" s="11">
        <v>1</v>
      </c>
      <c r="AI1168" s="11">
        <v>1</v>
      </c>
    </row>
    <row r="1169" spans="1:43" x14ac:dyDescent="0.25">
      <c r="A1169" s="161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H1169" s="4" t="s">
        <v>899</v>
      </c>
      <c r="I1169" s="4" t="s">
        <v>1060</v>
      </c>
      <c r="Q1169" s="9">
        <v>2</v>
      </c>
      <c r="T1169" s="11">
        <v>3</v>
      </c>
      <c r="Z1169" s="9">
        <v>0</v>
      </c>
      <c r="AF1169" s="11">
        <v>0</v>
      </c>
      <c r="AI1169" s="11">
        <v>1</v>
      </c>
    </row>
    <row r="1170" spans="1:43" x14ac:dyDescent="0.25">
      <c r="A1170" s="161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G1170" s="4" t="s">
        <v>2045</v>
      </c>
      <c r="H1170" s="4" t="s">
        <v>900</v>
      </c>
      <c r="I1170" s="4" t="s">
        <v>1060</v>
      </c>
      <c r="Q1170" s="9">
        <v>3</v>
      </c>
      <c r="T1170" s="11">
        <v>3</v>
      </c>
      <c r="Z1170" s="9">
        <v>0</v>
      </c>
      <c r="AF1170" s="11">
        <v>0</v>
      </c>
      <c r="AI1170" s="11">
        <v>2</v>
      </c>
    </row>
    <row r="1171" spans="1:43" x14ac:dyDescent="0.25">
      <c r="A1171" s="161" t="str">
        <f t="shared" si="21"/>
        <v>MUSKETMAN_GERMANY</v>
      </c>
      <c r="B1171" s="9" t="s">
        <v>129</v>
      </c>
      <c r="C1171" s="4" t="s">
        <v>717</v>
      </c>
      <c r="E1171" s="4" t="s">
        <v>129</v>
      </c>
      <c r="F1171" s="4" t="s">
        <v>129</v>
      </c>
      <c r="G1171" s="4" t="s">
        <v>2047</v>
      </c>
      <c r="H1171" s="4" t="s">
        <v>384</v>
      </c>
      <c r="I1171" s="4" t="s">
        <v>1060</v>
      </c>
      <c r="Q1171" s="9">
        <v>1</v>
      </c>
      <c r="T1171" s="11">
        <v>3</v>
      </c>
      <c r="Z1171" s="9">
        <v>0</v>
      </c>
      <c r="AF1171" s="11">
        <v>0</v>
      </c>
      <c r="AI1171" s="11">
        <v>1</v>
      </c>
    </row>
    <row r="1172" spans="1:43" x14ac:dyDescent="0.25">
      <c r="A1172" s="161" t="str">
        <f t="shared" si="21"/>
        <v>MUSKETMAN_NETHERLANDS</v>
      </c>
      <c r="B1172" s="9" t="s">
        <v>129</v>
      </c>
      <c r="C1172" s="4" t="s">
        <v>730</v>
      </c>
      <c r="E1172" s="4" t="s">
        <v>129</v>
      </c>
      <c r="F1172" s="4" t="s">
        <v>129</v>
      </c>
      <c r="G1172" s="14" t="s">
        <v>132</v>
      </c>
      <c r="H1172" s="4" t="s">
        <v>183</v>
      </c>
      <c r="I1172" s="4" t="s">
        <v>1053</v>
      </c>
    </row>
    <row r="1173" spans="1:43" x14ac:dyDescent="0.25">
      <c r="A1173" s="161" t="str">
        <f t="shared" si="21"/>
        <v>MUSKETMAN_SWISS</v>
      </c>
      <c r="B1173" s="9" t="s">
        <v>129</v>
      </c>
      <c r="C1173" s="4" t="s">
        <v>740</v>
      </c>
      <c r="D1173" s="4" t="s">
        <v>730</v>
      </c>
      <c r="E1173" s="4" t="s">
        <v>129</v>
      </c>
      <c r="F1173" s="4" t="s">
        <v>129</v>
      </c>
      <c r="G1173" s="14" t="s">
        <v>132</v>
      </c>
    </row>
    <row r="1174" spans="1:43" x14ac:dyDescent="0.25">
      <c r="A1174" s="161" t="str">
        <f t="shared" si="21"/>
        <v>MUSKETMAN_BRAZIL</v>
      </c>
      <c r="B1174" s="9" t="s">
        <v>129</v>
      </c>
      <c r="C1174" s="4" t="s">
        <v>706</v>
      </c>
      <c r="E1174" s="4" t="s">
        <v>129</v>
      </c>
      <c r="F1174" s="4" t="s">
        <v>129</v>
      </c>
      <c r="G1174" s="14" t="s">
        <v>132</v>
      </c>
      <c r="H1174" s="4" t="s">
        <v>223</v>
      </c>
      <c r="I1174" s="4" t="s">
        <v>1025</v>
      </c>
    </row>
    <row r="1175" spans="1:43" x14ac:dyDescent="0.25">
      <c r="A1175" s="161" t="str">
        <f t="shared" si="21"/>
        <v>NUCLEAR_MISSILE</v>
      </c>
      <c r="B1175" s="9" t="s">
        <v>770</v>
      </c>
      <c r="C1175" s="5"/>
      <c r="D1175" s="5"/>
      <c r="E1175" s="5" t="s">
        <v>770</v>
      </c>
      <c r="F1175" s="5" t="s">
        <v>799</v>
      </c>
      <c r="G1175" s="5"/>
      <c r="H1175" s="5" t="s">
        <v>1496</v>
      </c>
      <c r="I1175" s="5" t="s">
        <v>128</v>
      </c>
      <c r="J1175" s="6"/>
      <c r="K1175" s="7"/>
      <c r="L1175" s="13" t="s">
        <v>1710</v>
      </c>
      <c r="M1175" s="8"/>
      <c r="N1175" s="13" t="s">
        <v>1724</v>
      </c>
      <c r="O1175" s="13"/>
      <c r="P1175" s="13"/>
      <c r="Q1175" s="7">
        <v>1</v>
      </c>
      <c r="R1175" s="6" t="s">
        <v>1736</v>
      </c>
      <c r="S1175" s="5"/>
      <c r="T1175" s="6"/>
      <c r="U1175" s="6"/>
      <c r="V1175" s="5"/>
      <c r="W1175" s="6"/>
      <c r="X1175" s="6" t="s">
        <v>3</v>
      </c>
      <c r="Y1175" s="5"/>
      <c r="Z1175" s="6"/>
      <c r="AA1175" s="6"/>
      <c r="AB1175" s="5"/>
      <c r="AC1175" s="6"/>
      <c r="AD1175" s="6" t="s">
        <v>3</v>
      </c>
      <c r="AE1175" s="5"/>
      <c r="AF1175" s="6"/>
      <c r="AG1175" s="6"/>
      <c r="AH1175" s="5"/>
      <c r="AI1175" s="6"/>
      <c r="AJ1175" s="6"/>
      <c r="AK1175" s="5"/>
      <c r="AL1175" s="5"/>
      <c r="AM1175" s="5"/>
      <c r="AN1175" s="5"/>
      <c r="AO1175" s="5"/>
      <c r="AP1175" s="5"/>
      <c r="AQ1175" s="5"/>
    </row>
    <row r="1176" spans="1:43" x14ac:dyDescent="0.25">
      <c r="A1176" s="161" t="str">
        <f t="shared" si="21"/>
        <v>NUCLEAR_SUBMARINE</v>
      </c>
      <c r="B1176" s="9" t="s">
        <v>771</v>
      </c>
      <c r="C1176" s="5"/>
      <c r="D1176" s="5"/>
      <c r="E1176" s="5" t="s">
        <v>771</v>
      </c>
      <c r="F1176" s="5" t="s">
        <v>800</v>
      </c>
      <c r="G1176" s="5"/>
      <c r="H1176" s="5" t="s">
        <v>1497</v>
      </c>
      <c r="I1176" s="5" t="s">
        <v>128</v>
      </c>
      <c r="J1176" s="6"/>
      <c r="K1176" s="7"/>
      <c r="L1176" s="13" t="s">
        <v>1715</v>
      </c>
      <c r="M1176" s="8"/>
      <c r="N1176" s="13" t="s">
        <v>1726</v>
      </c>
      <c r="O1176" s="13"/>
      <c r="P1176" s="13"/>
      <c r="Q1176" s="7">
        <v>1</v>
      </c>
      <c r="R1176" s="6">
        <v>0.1</v>
      </c>
      <c r="S1176" s="5"/>
      <c r="T1176" s="6"/>
      <c r="U1176" s="6">
        <v>0.12</v>
      </c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1"/>
        <v>NUCLEAR_SUBMARINE_AMER</v>
      </c>
      <c r="B1177" s="9" t="s">
        <v>771</v>
      </c>
      <c r="C1177" s="5" t="s">
        <v>697</v>
      </c>
      <c r="D1177" s="5" t="s">
        <v>699</v>
      </c>
      <c r="E1177" s="5" t="s">
        <v>771</v>
      </c>
      <c r="F1177" s="5" t="s">
        <v>800</v>
      </c>
      <c r="G1177" s="5"/>
      <c r="H1177" s="5"/>
      <c r="I1177" s="5"/>
      <c r="J1177" s="6"/>
      <c r="K1177" s="7"/>
      <c r="L1177" s="13"/>
      <c r="M1177" s="8"/>
      <c r="N1177" s="13"/>
      <c r="O1177" s="13"/>
      <c r="P1177" s="13"/>
      <c r="Q1177" s="7"/>
      <c r="R1177" s="6"/>
      <c r="S1177" s="5"/>
      <c r="T1177" s="6"/>
      <c r="U1177" s="6"/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 t="shared" si="21"/>
        <v>NUCLEAR_SUBMARINE_ASIA</v>
      </c>
      <c r="B1178" s="9" t="s">
        <v>771</v>
      </c>
      <c r="C1178" s="5" t="s">
        <v>693</v>
      </c>
      <c r="D1178" s="5" t="s">
        <v>698</v>
      </c>
      <c r="E1178" s="5" t="s">
        <v>771</v>
      </c>
      <c r="F1178" s="5" t="s">
        <v>800</v>
      </c>
      <c r="G1178" s="5"/>
      <c r="H1178" s="5"/>
      <c r="I1178" s="5"/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NUCLEAR_SUBMARINE_EASTEU</v>
      </c>
      <c r="B1179" s="9" t="s">
        <v>771</v>
      </c>
      <c r="C1179" s="5" t="s">
        <v>698</v>
      </c>
      <c r="D1179" s="5"/>
      <c r="E1179" s="5" t="s">
        <v>771</v>
      </c>
      <c r="F1179" s="5" t="s">
        <v>800</v>
      </c>
      <c r="G1179" s="5"/>
      <c r="H1179" s="5" t="s">
        <v>621</v>
      </c>
      <c r="I1179" s="5" t="s">
        <v>1062</v>
      </c>
      <c r="J1179" s="6"/>
      <c r="K1179" s="7"/>
      <c r="L1179" s="13"/>
      <c r="M1179" s="8"/>
      <c r="N1179" s="13"/>
      <c r="O1179" s="13"/>
      <c r="P1179" s="13"/>
      <c r="Q1179" s="7"/>
      <c r="R1179" s="6"/>
      <c r="S1179" s="5"/>
      <c r="T1179" s="6"/>
      <c r="U1179" s="6"/>
      <c r="V1179" s="5"/>
      <c r="W1179" s="6"/>
      <c r="X1179" s="6"/>
      <c r="Y1179" s="5"/>
      <c r="Z1179" s="6"/>
      <c r="AA1179" s="6"/>
      <c r="AB1179" s="5"/>
      <c r="AC1179" s="6"/>
      <c r="AD1179" s="6"/>
      <c r="AE1179" s="5"/>
      <c r="AF1179" s="6"/>
      <c r="AG1179" s="6"/>
      <c r="AH1179" s="5"/>
      <c r="AI1179" s="6"/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 t="shared" si="21"/>
        <v>NUCLEAR_SUBMARINE_RUSSIA</v>
      </c>
      <c r="B1180" s="9" t="s">
        <v>771</v>
      </c>
      <c r="C1180" s="4" t="s">
        <v>735</v>
      </c>
      <c r="D1180" s="4" t="s">
        <v>698</v>
      </c>
      <c r="E1180" s="4" t="s">
        <v>771</v>
      </c>
      <c r="F1180" s="4" t="s">
        <v>800</v>
      </c>
      <c r="G1180" s="14" t="s">
        <v>132</v>
      </c>
    </row>
    <row r="1181" spans="1:43" x14ac:dyDescent="0.25">
      <c r="A1181" s="161" t="str">
        <f t="shared" si="21"/>
        <v>NUCLEAR_SUBMARINE_AMERICA</v>
      </c>
      <c r="B1181" s="9" t="s">
        <v>771</v>
      </c>
      <c r="C1181" s="4" t="s">
        <v>699</v>
      </c>
      <c r="E1181" s="4" t="s">
        <v>771</v>
      </c>
      <c r="F1181" s="4" t="s">
        <v>800</v>
      </c>
      <c r="G1181" s="14"/>
      <c r="H1181" s="4" t="s">
        <v>146</v>
      </c>
      <c r="I1181" s="4" t="s">
        <v>1051</v>
      </c>
    </row>
    <row r="1182" spans="1:43" x14ac:dyDescent="0.25">
      <c r="A1182" s="161" t="str">
        <f t="shared" si="21"/>
        <v>NUCLEAR_SUBMARINE_AUSTRALIA</v>
      </c>
      <c r="B1182" s="9" t="s">
        <v>771</v>
      </c>
      <c r="C1182" s="4" t="s">
        <v>1302</v>
      </c>
      <c r="D1182" s="4" t="s">
        <v>713</v>
      </c>
      <c r="E1182" s="4" t="s">
        <v>771</v>
      </c>
      <c r="F1182" s="4" t="s">
        <v>800</v>
      </c>
      <c r="G1182" s="14"/>
    </row>
    <row r="1183" spans="1:43" x14ac:dyDescent="0.25">
      <c r="A1183" s="161" t="str">
        <f t="shared" si="21"/>
        <v>NUCLEAR_SUBMARINE_CANADA</v>
      </c>
      <c r="B1183" s="9" t="s">
        <v>771</v>
      </c>
      <c r="C1183" s="4" t="s">
        <v>2207</v>
      </c>
      <c r="D1183" s="4" t="s">
        <v>713</v>
      </c>
      <c r="E1183" s="4" t="s">
        <v>771</v>
      </c>
      <c r="F1183" s="4" t="s">
        <v>800</v>
      </c>
      <c r="G1183" s="14"/>
    </row>
    <row r="1184" spans="1:43" x14ac:dyDescent="0.25">
      <c r="A1184" s="161" t="str">
        <f t="shared" si="21"/>
        <v>NUCLEAR_SUBMARINE_CELTS</v>
      </c>
      <c r="B1184" s="9" t="s">
        <v>771</v>
      </c>
      <c r="C1184" s="4" t="s">
        <v>709</v>
      </c>
      <c r="D1184" s="4" t="s">
        <v>713</v>
      </c>
      <c r="E1184" s="4" t="s">
        <v>771</v>
      </c>
      <c r="F1184" s="4" t="s">
        <v>800</v>
      </c>
      <c r="G1184" s="14"/>
    </row>
    <row r="1185" spans="1:43" x14ac:dyDescent="0.25">
      <c r="A1185" s="161" t="str">
        <f t="shared" si="21"/>
        <v>NUCLEAR_SUBMARINE_ENGLAND</v>
      </c>
      <c r="B1185" s="9" t="s">
        <v>771</v>
      </c>
      <c r="C1185" s="4" t="s">
        <v>713</v>
      </c>
      <c r="E1185" s="4" t="s">
        <v>771</v>
      </c>
      <c r="F1185" s="4" t="s">
        <v>800</v>
      </c>
      <c r="G1185" s="14" t="s">
        <v>132</v>
      </c>
      <c r="H1185" s="4" t="s">
        <v>307</v>
      </c>
      <c r="I1185" s="4" t="s">
        <v>1058</v>
      </c>
    </row>
    <row r="1186" spans="1:43" x14ac:dyDescent="0.25">
      <c r="A1186" s="161" t="str">
        <f t="shared" si="21"/>
        <v>NUCLEAR_SUBMARINE_OCEAN</v>
      </c>
      <c r="B1186" s="9" t="s">
        <v>771</v>
      </c>
      <c r="C1186" s="4" t="s">
        <v>994</v>
      </c>
      <c r="D1186" s="4" t="s">
        <v>699</v>
      </c>
      <c r="E1186" s="4" t="s">
        <v>771</v>
      </c>
      <c r="F1186" s="4" t="s">
        <v>800</v>
      </c>
      <c r="G1186" s="14"/>
    </row>
    <row r="1187" spans="1:43" x14ac:dyDescent="0.25">
      <c r="A1187" s="161" t="str">
        <f t="shared" si="21"/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/>
      <c r="H1187" s="5" t="s">
        <v>2119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6">
        <v>3</v>
      </c>
      <c r="R1187" s="6" t="s">
        <v>1736</v>
      </c>
      <c r="S1187" s="13" t="s">
        <v>1619</v>
      </c>
      <c r="T1187" s="6">
        <v>3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1</v>
      </c>
      <c r="AA1187" s="6"/>
      <c r="AB1187" s="5"/>
      <c r="AC1187" s="6"/>
      <c r="AD1187" s="6" t="s">
        <v>3</v>
      </c>
      <c r="AE1187" s="5"/>
      <c r="AF1187" s="6">
        <v>2</v>
      </c>
      <c r="AG1187" s="6"/>
      <c r="AH1187" s="5"/>
      <c r="AI1187" s="6">
        <v>2</v>
      </c>
      <c r="AJ1187" s="6"/>
      <c r="AK1187" s="5"/>
      <c r="AL1187" s="5"/>
      <c r="AM1187" s="5"/>
      <c r="AN1187" s="5"/>
      <c r="AO1187" s="5"/>
      <c r="AP1187" s="5"/>
      <c r="AQ1187" s="5"/>
    </row>
    <row r="1188" spans="1:43" x14ac:dyDescent="0.25">
      <c r="A1188" s="161" t="str">
        <f t="shared" si="21"/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 t="s">
        <v>2045</v>
      </c>
      <c r="H1188" s="5" t="s">
        <v>2121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1</v>
      </c>
      <c r="R1188" s="6" t="s">
        <v>1736</v>
      </c>
      <c r="S1188" s="13" t="s">
        <v>1619</v>
      </c>
      <c r="T1188" s="6">
        <v>1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1</v>
      </c>
      <c r="AG1188" s="6"/>
      <c r="AH1188" s="5"/>
      <c r="AI1188" s="6">
        <v>1</v>
      </c>
      <c r="AJ1188" s="6"/>
      <c r="AK1188" s="5"/>
      <c r="AL1188" s="5"/>
      <c r="AM1188" s="5"/>
      <c r="AN1188" s="5"/>
      <c r="AO1188" s="5"/>
      <c r="AP1188" s="5"/>
      <c r="AQ1188" s="5"/>
    </row>
    <row r="1189" spans="1:43" x14ac:dyDescent="0.25">
      <c r="A1189" s="161" t="str">
        <f>CONCATENATE(E1189,IF(ISBLANK(C1189),"",CONCATENATE("_",C1189)))</f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2047</v>
      </c>
      <c r="H1189" s="5" t="s">
        <v>2118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6">
        <v>0</v>
      </c>
      <c r="R1189" s="6" t="s">
        <v>1736</v>
      </c>
      <c r="S1189" s="13" t="s">
        <v>1619</v>
      </c>
      <c r="T1189" s="6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6">
        <v>0</v>
      </c>
      <c r="AG1189" s="6"/>
      <c r="AH1189" s="5"/>
      <c r="AI1189" s="6">
        <v>0</v>
      </c>
      <c r="AJ1189" s="6"/>
      <c r="AK1189" s="5"/>
      <c r="AL1189" s="5"/>
      <c r="AM1189" s="5"/>
      <c r="AN1189" s="5"/>
      <c r="AO1189" s="5"/>
      <c r="AP1189" s="5"/>
      <c r="AQ1189" s="5"/>
    </row>
    <row r="1190" spans="1:43" x14ac:dyDescent="0.25">
      <c r="A1190" s="161" t="str">
        <f>CONCATENATE(E1190,IF(ISBLANK(C1190),"",CONCATENATE("_",C1190)))</f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 t="s">
        <v>2045</v>
      </c>
      <c r="H1190" s="5" t="s">
        <v>2121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7">
        <v>1</v>
      </c>
      <c r="R1190" s="6" t="s">
        <v>1736</v>
      </c>
      <c r="S1190" s="13" t="s">
        <v>1619</v>
      </c>
      <c r="T1190" s="7">
        <v>1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7">
        <v>0</v>
      </c>
      <c r="AG1190" s="6"/>
      <c r="AH1190" s="5"/>
      <c r="AI1190" s="7">
        <v>0</v>
      </c>
      <c r="AJ1190" s="6"/>
      <c r="AK1190" s="5"/>
      <c r="AL1190" s="5"/>
      <c r="AM1190" s="5"/>
      <c r="AN1190" s="5"/>
      <c r="AO1190" s="5"/>
      <c r="AP1190" s="5"/>
      <c r="AQ1190" s="5"/>
    </row>
    <row r="1191" spans="1:43" x14ac:dyDescent="0.25">
      <c r="A1191" s="161" t="str">
        <f t="shared" si="21"/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/>
      <c r="H1191" s="5" t="s">
        <v>2119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6">
        <v>4</v>
      </c>
      <c r="R1191" s="6" t="s">
        <v>1736</v>
      </c>
      <c r="S1191" s="13" t="s">
        <v>1619</v>
      </c>
      <c r="T1191" s="6">
        <v>5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6">
        <v>0</v>
      </c>
      <c r="AG1191" s="6"/>
      <c r="AH1191" s="5"/>
      <c r="AI1191" s="6">
        <v>2</v>
      </c>
      <c r="AJ1191" s="6"/>
      <c r="AK1191" s="5"/>
      <c r="AL1191" s="5"/>
      <c r="AM1191" s="5"/>
      <c r="AN1191" s="5"/>
      <c r="AO1191" s="5"/>
      <c r="AP1191" s="5"/>
      <c r="AQ1191" s="5"/>
    </row>
    <row r="1192" spans="1:43" x14ac:dyDescent="0.25">
      <c r="A1192" s="161" t="str">
        <f t="shared" si="21"/>
        <v>PARATROOPER</v>
      </c>
      <c r="B1192" s="9" t="s">
        <v>108</v>
      </c>
      <c r="C1192" s="5"/>
      <c r="D1192" s="5"/>
      <c r="E1192" s="5" t="s">
        <v>108</v>
      </c>
      <c r="F1192" s="5" t="s">
        <v>108</v>
      </c>
      <c r="G1192" s="5" t="s">
        <v>2046</v>
      </c>
      <c r="H1192" s="5" t="s">
        <v>2120</v>
      </c>
      <c r="I1192" s="5" t="s">
        <v>102</v>
      </c>
      <c r="J1192" s="6"/>
      <c r="K1192" s="6"/>
      <c r="L1192" s="13" t="s">
        <v>1707</v>
      </c>
      <c r="M1192" s="8"/>
      <c r="N1192" s="5"/>
      <c r="O1192" s="5"/>
      <c r="P1192" s="5"/>
      <c r="Q1192" s="7">
        <v>1</v>
      </c>
      <c r="R1192" s="6" t="s">
        <v>1736</v>
      </c>
      <c r="S1192" s="13" t="s">
        <v>1619</v>
      </c>
      <c r="T1192" s="7">
        <v>1</v>
      </c>
      <c r="U1192" s="7" t="s">
        <v>1736</v>
      </c>
      <c r="V1192" s="5"/>
      <c r="W1192" s="7" t="s">
        <v>3</v>
      </c>
      <c r="X1192" s="6" t="s">
        <v>3</v>
      </c>
      <c r="Y1192" s="5"/>
      <c r="Z1192" s="7">
        <v>0</v>
      </c>
      <c r="AA1192" s="6"/>
      <c r="AB1192" s="5"/>
      <c r="AC1192" s="6"/>
      <c r="AD1192" s="6" t="s">
        <v>3</v>
      </c>
      <c r="AE1192" s="5"/>
      <c r="AF1192" s="7">
        <v>0</v>
      </c>
      <c r="AG1192" s="6"/>
      <c r="AH1192" s="5"/>
      <c r="AI1192" s="7">
        <v>0</v>
      </c>
      <c r="AJ1192" s="6"/>
      <c r="AK1192" s="5"/>
      <c r="AL1192" s="5"/>
      <c r="AM1192" s="5"/>
      <c r="AN1192" s="5"/>
      <c r="AO1192" s="5"/>
      <c r="AP1192" s="5"/>
      <c r="AQ1192" s="5"/>
    </row>
    <row r="1193" spans="1:43" x14ac:dyDescent="0.25">
      <c r="A1193" s="161" t="str">
        <f t="shared" si="21"/>
        <v>PARATROOPER_AMER</v>
      </c>
      <c r="B1193" s="9" t="s">
        <v>108</v>
      </c>
      <c r="C1193" s="4" t="s">
        <v>697</v>
      </c>
      <c r="D1193" s="4" t="s">
        <v>994</v>
      </c>
      <c r="E1193" s="4" t="s">
        <v>108</v>
      </c>
      <c r="F1193" s="4" t="s">
        <v>108</v>
      </c>
      <c r="G1193" s="14"/>
    </row>
    <row r="1194" spans="1:43" x14ac:dyDescent="0.25">
      <c r="A1194" s="161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H1194" s="4" t="s">
        <v>954</v>
      </c>
      <c r="I1194" s="4" t="s">
        <v>102</v>
      </c>
      <c r="Q1194" s="11">
        <v>4</v>
      </c>
      <c r="T1194" s="11">
        <v>4</v>
      </c>
      <c r="Z1194" s="11">
        <v>1</v>
      </c>
      <c r="AF1194" s="11">
        <v>1</v>
      </c>
      <c r="AI1194" s="11">
        <v>2</v>
      </c>
    </row>
    <row r="1195" spans="1:43" x14ac:dyDescent="0.25">
      <c r="A1195" s="161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G1195" s="4" t="s">
        <v>2045</v>
      </c>
      <c r="H1195" s="4" t="s">
        <v>486</v>
      </c>
      <c r="I1195" s="4" t="s">
        <v>102</v>
      </c>
      <c r="Q1195" s="11">
        <v>1</v>
      </c>
      <c r="T1195" s="11">
        <v>2</v>
      </c>
      <c r="Z1195" s="11">
        <v>0</v>
      </c>
      <c r="AF1195" s="11">
        <v>1</v>
      </c>
      <c r="AI1195" s="11">
        <v>1</v>
      </c>
    </row>
    <row r="1196" spans="1:43" x14ac:dyDescent="0.25">
      <c r="A1196" s="161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H1196" s="4" t="s">
        <v>954</v>
      </c>
      <c r="I1196" s="4" t="s">
        <v>102</v>
      </c>
      <c r="Q1196" s="11">
        <v>4</v>
      </c>
      <c r="T1196" s="11">
        <v>4</v>
      </c>
      <c r="Z1196" s="11">
        <v>0</v>
      </c>
      <c r="AF1196" s="11">
        <v>1</v>
      </c>
      <c r="AI1196" s="11">
        <v>2</v>
      </c>
    </row>
    <row r="1197" spans="1:43" x14ac:dyDescent="0.25">
      <c r="A1197" s="161" t="str">
        <f t="shared" si="21"/>
        <v>PARATROOPER_ASIA</v>
      </c>
      <c r="B1197" s="9" t="s">
        <v>108</v>
      </c>
      <c r="C1197" s="4" t="s">
        <v>693</v>
      </c>
      <c r="E1197" s="4" t="s">
        <v>108</v>
      </c>
      <c r="F1197" s="4" t="s">
        <v>108</v>
      </c>
      <c r="G1197" s="4" t="s">
        <v>2045</v>
      </c>
      <c r="H1197" s="4" t="s">
        <v>486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43" x14ac:dyDescent="0.25">
      <c r="A1198" s="161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H1198" s="4" t="s">
        <v>829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43" x14ac:dyDescent="0.25">
      <c r="A1199" s="161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G1199" s="4" t="s">
        <v>2045</v>
      </c>
      <c r="H1199" s="4" t="s">
        <v>255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43" x14ac:dyDescent="0.25">
      <c r="A1200" s="161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H1200" s="4" t="s">
        <v>829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1"/>
        <v>PARATROOPER_CHINA</v>
      </c>
      <c r="B1201" s="9" t="s">
        <v>108</v>
      </c>
      <c r="C1201" s="4" t="s">
        <v>710</v>
      </c>
      <c r="E1201" s="4" t="s">
        <v>108</v>
      </c>
      <c r="F1201" s="4" t="s">
        <v>108</v>
      </c>
      <c r="G1201" s="4" t="s">
        <v>2045</v>
      </c>
      <c r="H1201" s="4" t="s">
        <v>255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ref="A1202:A1268" si="22">CONCATENATE(E1202,IF(ISBLANK(C1202),"",CONCATENATE("_",C1202)))</f>
        <v>PARATROOPER_JAPAN</v>
      </c>
      <c r="B1202" s="9" t="s">
        <v>108</v>
      </c>
      <c r="C1202" s="4" t="s">
        <v>722</v>
      </c>
      <c r="D1202" s="4" t="s">
        <v>693</v>
      </c>
      <c r="E1202" s="4" t="s">
        <v>108</v>
      </c>
      <c r="F1202" s="4" t="s">
        <v>108</v>
      </c>
      <c r="I1202" s="4" t="s">
        <v>102</v>
      </c>
      <c r="Q1202" s="9"/>
    </row>
    <row r="1203" spans="1:35" x14ac:dyDescent="0.25">
      <c r="A1203" s="161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H1203" s="4" t="s">
        <v>911</v>
      </c>
      <c r="I1203" s="4" t="s">
        <v>102</v>
      </c>
      <c r="Q1203" s="9">
        <v>4</v>
      </c>
      <c r="T1203" s="11">
        <v>4</v>
      </c>
      <c r="Z1203" s="9">
        <v>1</v>
      </c>
      <c r="AF1203" s="11">
        <v>1</v>
      </c>
      <c r="AI1203" s="11">
        <v>2</v>
      </c>
    </row>
    <row r="1204" spans="1:35" x14ac:dyDescent="0.25">
      <c r="A1204" s="161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G1204" s="4" t="s">
        <v>2045</v>
      </c>
      <c r="H1204" s="4" t="s">
        <v>912</v>
      </c>
      <c r="I1204" s="4" t="s">
        <v>102</v>
      </c>
      <c r="Q1204" s="9">
        <v>1</v>
      </c>
      <c r="T1204" s="11">
        <v>2</v>
      </c>
      <c r="Z1204" s="9">
        <v>0</v>
      </c>
      <c r="AF1204" s="11">
        <v>1</v>
      </c>
      <c r="AI1204" s="11">
        <v>1</v>
      </c>
    </row>
    <row r="1205" spans="1:35" x14ac:dyDescent="0.25">
      <c r="A1205" s="161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H1205" s="4" t="s">
        <v>911</v>
      </c>
      <c r="I1205" s="4" t="s">
        <v>102</v>
      </c>
      <c r="Q1205" s="9">
        <v>4</v>
      </c>
      <c r="T1205" s="11">
        <v>4</v>
      </c>
      <c r="Z1205" s="9">
        <v>0</v>
      </c>
      <c r="AF1205" s="11">
        <v>1</v>
      </c>
      <c r="AI1205" s="11">
        <v>2</v>
      </c>
    </row>
    <row r="1206" spans="1:35" x14ac:dyDescent="0.25">
      <c r="A1206" s="161" t="str">
        <f t="shared" si="22"/>
        <v>PARATROOPER_HUNS</v>
      </c>
      <c r="B1206" s="9" t="s">
        <v>108</v>
      </c>
      <c r="C1206" s="4" t="s">
        <v>904</v>
      </c>
      <c r="E1206" s="4" t="s">
        <v>108</v>
      </c>
      <c r="F1206" s="4" t="s">
        <v>108</v>
      </c>
      <c r="G1206" s="4" t="s">
        <v>2045</v>
      </c>
      <c r="H1206" s="4" t="s">
        <v>912</v>
      </c>
      <c r="I1206" s="4" t="s">
        <v>102</v>
      </c>
      <c r="Q1206" s="9">
        <v>1</v>
      </c>
      <c r="T1206" s="11">
        <v>2</v>
      </c>
      <c r="Z1206" s="9">
        <v>0</v>
      </c>
      <c r="AF1206" s="11">
        <v>0</v>
      </c>
      <c r="AI1206" s="11">
        <v>1</v>
      </c>
    </row>
    <row r="1207" spans="1:35" x14ac:dyDescent="0.25">
      <c r="A1207" s="161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H1207" s="4" t="s">
        <v>969</v>
      </c>
      <c r="I1207" s="4" t="s">
        <v>102</v>
      </c>
      <c r="Q1207" s="9">
        <v>4</v>
      </c>
      <c r="T1207" s="11">
        <v>4</v>
      </c>
      <c r="Z1207" s="9">
        <v>1</v>
      </c>
      <c r="AF1207" s="11">
        <v>1</v>
      </c>
      <c r="AI1207" s="11">
        <v>2</v>
      </c>
    </row>
    <row r="1208" spans="1:35" x14ac:dyDescent="0.25">
      <c r="A1208" s="161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G1208" s="4" t="s">
        <v>2045</v>
      </c>
      <c r="H1208" s="4" t="s">
        <v>573</v>
      </c>
      <c r="I1208" s="4" t="s">
        <v>102</v>
      </c>
      <c r="Q1208" s="9">
        <v>1</v>
      </c>
      <c r="T1208" s="11">
        <v>2</v>
      </c>
      <c r="Z1208" s="9">
        <v>0</v>
      </c>
      <c r="AF1208" s="11">
        <v>1</v>
      </c>
      <c r="AI1208" s="11">
        <v>1</v>
      </c>
    </row>
    <row r="1209" spans="1:35" x14ac:dyDescent="0.25">
      <c r="A1209" s="161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H1209" s="4" t="s">
        <v>969</v>
      </c>
      <c r="I1209" s="4" t="s">
        <v>102</v>
      </c>
      <c r="Q1209" s="9">
        <v>4</v>
      </c>
      <c r="T1209" s="11">
        <v>4</v>
      </c>
      <c r="Z1209" s="9">
        <v>0</v>
      </c>
      <c r="AF1209" s="11">
        <v>1</v>
      </c>
      <c r="AI1209" s="11">
        <v>2</v>
      </c>
    </row>
    <row r="1210" spans="1:35" x14ac:dyDescent="0.25">
      <c r="A1210" s="161" t="str">
        <f t="shared" si="22"/>
        <v>PARATROOPER_EASTEU</v>
      </c>
      <c r="B1210" s="9" t="s">
        <v>108</v>
      </c>
      <c r="C1210" s="4" t="s">
        <v>698</v>
      </c>
      <c r="E1210" s="4" t="s">
        <v>108</v>
      </c>
      <c r="F1210" s="4" t="s">
        <v>108</v>
      </c>
      <c r="G1210" s="4" t="s">
        <v>2045</v>
      </c>
      <c r="H1210" s="4" t="s">
        <v>573</v>
      </c>
      <c r="I1210" s="4" t="s">
        <v>102</v>
      </c>
      <c r="Q1210" s="9">
        <v>1</v>
      </c>
      <c r="T1210" s="11">
        <v>2</v>
      </c>
      <c r="Z1210" s="9">
        <v>0</v>
      </c>
      <c r="AF1210" s="11">
        <v>0</v>
      </c>
      <c r="AI1210" s="11">
        <v>1</v>
      </c>
    </row>
    <row r="1211" spans="1:35" x14ac:dyDescent="0.25">
      <c r="A1211" s="161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H1211" s="4" t="s">
        <v>971</v>
      </c>
      <c r="I1211" s="4" t="s">
        <v>102</v>
      </c>
      <c r="Q1211" s="9">
        <v>4</v>
      </c>
      <c r="R1211" s="11">
        <v>0.14299999999999999</v>
      </c>
      <c r="T1211" s="11">
        <v>4</v>
      </c>
      <c r="U1211" s="11">
        <v>9.0999999999999998E-2</v>
      </c>
      <c r="Z1211" s="9">
        <v>1</v>
      </c>
      <c r="AF1211" s="11">
        <v>1</v>
      </c>
      <c r="AI1211" s="11">
        <v>2</v>
      </c>
    </row>
    <row r="1212" spans="1:35" x14ac:dyDescent="0.25">
      <c r="A1212" s="161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G1212" s="4" t="s">
        <v>2045</v>
      </c>
      <c r="H1212" s="4" t="s">
        <v>622</v>
      </c>
      <c r="I1212" s="4" t="s">
        <v>102</v>
      </c>
      <c r="Q1212" s="9">
        <v>1</v>
      </c>
      <c r="R1212" s="11">
        <v>0.14299999999999999</v>
      </c>
      <c r="T1212" s="11">
        <v>2</v>
      </c>
      <c r="U1212" s="11">
        <v>9.0999999999999998E-2</v>
      </c>
      <c r="Z1212" s="9">
        <v>0</v>
      </c>
      <c r="AF1212" s="11">
        <v>1</v>
      </c>
      <c r="AI1212" s="11">
        <v>1</v>
      </c>
    </row>
    <row r="1213" spans="1:35" x14ac:dyDescent="0.25">
      <c r="A1213" s="161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H1213" s="4" t="s">
        <v>971</v>
      </c>
      <c r="I1213" s="4" t="s">
        <v>102</v>
      </c>
      <c r="Q1213" s="9">
        <v>4</v>
      </c>
      <c r="R1213" s="11">
        <v>0.14299999999999999</v>
      </c>
      <c r="T1213" s="11">
        <v>4</v>
      </c>
      <c r="U1213" s="11">
        <v>9.0999999999999998E-2</v>
      </c>
      <c r="Z1213" s="9">
        <v>0</v>
      </c>
      <c r="AF1213" s="11">
        <v>1</v>
      </c>
      <c r="AI1213" s="11">
        <v>2</v>
      </c>
    </row>
    <row r="1214" spans="1:35" x14ac:dyDescent="0.25">
      <c r="A1214" s="161" t="str">
        <f t="shared" si="22"/>
        <v>PARATROOPER_RUSSIA</v>
      </c>
      <c r="B1214" s="9" t="s">
        <v>108</v>
      </c>
      <c r="C1214" s="4" t="s">
        <v>735</v>
      </c>
      <c r="E1214" s="4" t="s">
        <v>108</v>
      </c>
      <c r="F1214" s="4" t="s">
        <v>108</v>
      </c>
      <c r="G1214" s="4" t="s">
        <v>2045</v>
      </c>
      <c r="H1214" s="4" t="s">
        <v>622</v>
      </c>
      <c r="I1214" s="4" t="s">
        <v>102</v>
      </c>
      <c r="Q1214" s="9">
        <v>1</v>
      </c>
      <c r="R1214" s="11">
        <v>0.14299999999999999</v>
      </c>
      <c r="T1214" s="11">
        <v>2</v>
      </c>
      <c r="U1214" s="11">
        <v>9.0999999999999998E-2</v>
      </c>
      <c r="Z1214" s="9">
        <v>0</v>
      </c>
      <c r="AF1214" s="11">
        <v>0</v>
      </c>
      <c r="AI1214" s="11">
        <v>1</v>
      </c>
    </row>
    <row r="1215" spans="1:35" x14ac:dyDescent="0.25">
      <c r="A1215" s="161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H1215" s="4" t="s">
        <v>803</v>
      </c>
      <c r="I1215" s="4" t="s">
        <v>102</v>
      </c>
      <c r="Q1215" s="9">
        <v>4</v>
      </c>
      <c r="T1215" s="11">
        <v>4</v>
      </c>
      <c r="Z1215" s="9">
        <v>1</v>
      </c>
      <c r="AF1215" s="11">
        <v>1</v>
      </c>
      <c r="AI1215" s="11">
        <v>2</v>
      </c>
    </row>
    <row r="1216" spans="1:35" x14ac:dyDescent="0.25">
      <c r="A1216" s="161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G1216" s="4" t="s">
        <v>2045</v>
      </c>
      <c r="H1216" s="4" t="s">
        <v>147</v>
      </c>
      <c r="I1216" s="4" t="s">
        <v>102</v>
      </c>
      <c r="Q1216" s="9">
        <v>1</v>
      </c>
      <c r="T1216" s="11">
        <v>2</v>
      </c>
      <c r="Z1216" s="9">
        <v>0</v>
      </c>
      <c r="AF1216" s="11">
        <v>1</v>
      </c>
      <c r="AI1216" s="11">
        <v>1</v>
      </c>
    </row>
    <row r="1217" spans="1:35" x14ac:dyDescent="0.25">
      <c r="A1217" s="161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H1217" s="4" t="s">
        <v>803</v>
      </c>
      <c r="I1217" s="4" t="s">
        <v>102</v>
      </c>
      <c r="Q1217" s="9">
        <v>4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161" t="str">
        <f t="shared" si="22"/>
        <v>PARATROOPER_AMERICA</v>
      </c>
      <c r="B1218" s="9" t="s">
        <v>108</v>
      </c>
      <c r="C1218" s="4" t="s">
        <v>699</v>
      </c>
      <c r="E1218" s="4" t="s">
        <v>108</v>
      </c>
      <c r="F1218" s="4" t="s">
        <v>108</v>
      </c>
      <c r="G1218" s="4" t="s">
        <v>2045</v>
      </c>
      <c r="H1218" s="4" t="s">
        <v>147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0</v>
      </c>
      <c r="AI1218" s="11">
        <v>1</v>
      </c>
    </row>
    <row r="1219" spans="1:35" x14ac:dyDescent="0.25">
      <c r="A1219" s="161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H1219" s="4" t="s">
        <v>811</v>
      </c>
      <c r="I1219" s="4" t="s">
        <v>102</v>
      </c>
      <c r="Q1219" s="9">
        <v>4</v>
      </c>
      <c r="T1219" s="11">
        <v>4</v>
      </c>
      <c r="Z1219" s="9">
        <v>1</v>
      </c>
      <c r="AF1219" s="11">
        <v>1</v>
      </c>
      <c r="AI1219" s="11">
        <v>2</v>
      </c>
    </row>
    <row r="1220" spans="1:35" x14ac:dyDescent="0.25">
      <c r="A1220" s="161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G1220" s="4" t="s">
        <v>2045</v>
      </c>
      <c r="H1220" s="4" t="s">
        <v>184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1</v>
      </c>
      <c r="AI1220" s="11">
        <v>1</v>
      </c>
    </row>
    <row r="1221" spans="1:35" x14ac:dyDescent="0.25">
      <c r="A1221" s="161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H1221" s="4" t="s">
        <v>811</v>
      </c>
      <c r="I1221" s="4" t="s">
        <v>102</v>
      </c>
      <c r="Q1221" s="9">
        <v>4</v>
      </c>
      <c r="T1221" s="11">
        <v>4</v>
      </c>
      <c r="Z1221" s="9">
        <v>0</v>
      </c>
      <c r="AF1221" s="11">
        <v>1</v>
      </c>
      <c r="AI1221" s="11">
        <v>2</v>
      </c>
    </row>
    <row r="1222" spans="1:35" x14ac:dyDescent="0.25">
      <c r="A1222" s="161" t="str">
        <f t="shared" si="22"/>
        <v>PARATROOPER_AUSTRIA</v>
      </c>
      <c r="B1222" s="9" t="s">
        <v>108</v>
      </c>
      <c r="C1222" s="4" t="s">
        <v>701</v>
      </c>
      <c r="E1222" s="4" t="s">
        <v>108</v>
      </c>
      <c r="F1222" s="4" t="s">
        <v>108</v>
      </c>
      <c r="G1222" s="4" t="s">
        <v>2045</v>
      </c>
      <c r="H1222" s="4" t="s">
        <v>184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0</v>
      </c>
      <c r="AI1222" s="11">
        <v>1</v>
      </c>
    </row>
    <row r="1223" spans="1:35" x14ac:dyDescent="0.25">
      <c r="A1223" s="161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H1223" s="4" t="s">
        <v>866</v>
      </c>
      <c r="I1223" s="4" t="s">
        <v>102</v>
      </c>
      <c r="Q1223" s="9">
        <v>4</v>
      </c>
      <c r="R1223" s="11">
        <v>0.14299999999999999</v>
      </c>
      <c r="T1223" s="11">
        <v>4</v>
      </c>
      <c r="U1223" s="11">
        <v>9.0999999999999998E-2</v>
      </c>
      <c r="Z1223" s="9">
        <v>1</v>
      </c>
      <c r="AF1223" s="11">
        <v>1</v>
      </c>
      <c r="AI1223" s="11">
        <v>2</v>
      </c>
    </row>
    <row r="1224" spans="1:35" x14ac:dyDescent="0.25">
      <c r="A1224" s="161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G1224" s="4" t="s">
        <v>2045</v>
      </c>
      <c r="H1224" s="4" t="s">
        <v>308</v>
      </c>
      <c r="I1224" s="4" t="s">
        <v>102</v>
      </c>
      <c r="Q1224" s="9">
        <v>1</v>
      </c>
      <c r="R1224" s="11">
        <v>0.14299999999999999</v>
      </c>
      <c r="T1224" s="11">
        <v>2</v>
      </c>
      <c r="U1224" s="11">
        <v>9.0999999999999998E-2</v>
      </c>
      <c r="Z1224" s="9">
        <v>0</v>
      </c>
      <c r="AF1224" s="11">
        <v>1</v>
      </c>
      <c r="AI1224" s="11">
        <v>1</v>
      </c>
    </row>
    <row r="1225" spans="1:35" x14ac:dyDescent="0.25">
      <c r="A1225" s="161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H1225" s="4" t="s">
        <v>866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0</v>
      </c>
      <c r="AF1225" s="11">
        <v>1</v>
      </c>
      <c r="AI1225" s="11">
        <v>2</v>
      </c>
    </row>
    <row r="1226" spans="1:35" x14ac:dyDescent="0.25">
      <c r="A1226" s="161" t="str">
        <f t="shared" si="22"/>
        <v>PARATROOPER_ENGLAND</v>
      </c>
      <c r="B1226" s="9" t="s">
        <v>108</v>
      </c>
      <c r="C1226" s="4" t="s">
        <v>713</v>
      </c>
      <c r="E1226" s="4" t="s">
        <v>108</v>
      </c>
      <c r="F1226" s="4" t="s">
        <v>108</v>
      </c>
      <c r="G1226" s="4" t="s">
        <v>2045</v>
      </c>
      <c r="H1226" s="4" t="s">
        <v>308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F1226" s="11">
        <v>0</v>
      </c>
      <c r="AI1226" s="11">
        <v>1</v>
      </c>
    </row>
    <row r="1227" spans="1:35" x14ac:dyDescent="0.25">
      <c r="A1227" s="161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H1227" s="4" t="s">
        <v>879</v>
      </c>
      <c r="I1227" s="4" t="s">
        <v>102</v>
      </c>
      <c r="Q1227" s="9">
        <v>4</v>
      </c>
      <c r="T1227" s="11">
        <v>4</v>
      </c>
      <c r="Z1227" s="9">
        <v>1</v>
      </c>
      <c r="AF1227" s="11">
        <v>1</v>
      </c>
      <c r="AI1227" s="11">
        <v>2</v>
      </c>
    </row>
    <row r="1228" spans="1:35" x14ac:dyDescent="0.25">
      <c r="A1228" s="161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G1228" s="4" t="s">
        <v>2045</v>
      </c>
      <c r="H1228" s="4" t="s">
        <v>353</v>
      </c>
      <c r="I1228" s="4" t="s">
        <v>102</v>
      </c>
      <c r="Q1228" s="9">
        <v>1</v>
      </c>
      <c r="T1228" s="11">
        <v>2</v>
      </c>
      <c r="Z1228" s="9">
        <v>0</v>
      </c>
      <c r="AF1228" s="11">
        <v>1</v>
      </c>
      <c r="AI1228" s="11">
        <v>1</v>
      </c>
    </row>
    <row r="1229" spans="1:35" x14ac:dyDescent="0.25">
      <c r="A1229" s="161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H1229" s="4" t="s">
        <v>879</v>
      </c>
      <c r="I1229" s="4" t="s">
        <v>102</v>
      </c>
      <c r="Q1229" s="9">
        <v>4</v>
      </c>
      <c r="T1229" s="11">
        <v>4</v>
      </c>
      <c r="Z1229" s="9">
        <v>0</v>
      </c>
      <c r="AF1229" s="11">
        <v>1</v>
      </c>
      <c r="AI1229" s="11">
        <v>2</v>
      </c>
    </row>
    <row r="1230" spans="1:35" x14ac:dyDescent="0.25">
      <c r="A1230" s="161" t="str">
        <f t="shared" si="22"/>
        <v>PARATROOPER_FRANCE</v>
      </c>
      <c r="B1230" s="9" t="s">
        <v>108</v>
      </c>
      <c r="C1230" s="4" t="s">
        <v>715</v>
      </c>
      <c r="E1230" s="4" t="s">
        <v>108</v>
      </c>
      <c r="F1230" s="4" t="s">
        <v>108</v>
      </c>
      <c r="G1230" s="4" t="s">
        <v>2045</v>
      </c>
      <c r="H1230" s="4" t="s">
        <v>353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0</v>
      </c>
      <c r="AI1230" s="11">
        <v>1</v>
      </c>
    </row>
    <row r="1231" spans="1:35" x14ac:dyDescent="0.25">
      <c r="A1231" s="161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H1231" s="4" t="s">
        <v>901</v>
      </c>
      <c r="I1231" s="4" t="s">
        <v>102</v>
      </c>
      <c r="Q1231" s="9">
        <v>4</v>
      </c>
      <c r="T1231" s="11">
        <v>4</v>
      </c>
      <c r="Z1231" s="9">
        <v>1</v>
      </c>
      <c r="AF1231" s="11">
        <v>1</v>
      </c>
      <c r="AI1231" s="11">
        <v>2</v>
      </c>
    </row>
    <row r="1232" spans="1:35" x14ac:dyDescent="0.25">
      <c r="A1232" s="161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G1232" s="4" t="s">
        <v>2045</v>
      </c>
      <c r="H1232" s="4" t="s">
        <v>385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1</v>
      </c>
      <c r="AI1232" s="11">
        <v>1</v>
      </c>
    </row>
    <row r="1233" spans="1:35" x14ac:dyDescent="0.25">
      <c r="A1233" s="161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H1233" s="4" t="s">
        <v>901</v>
      </c>
      <c r="I1233" s="4" t="s">
        <v>102</v>
      </c>
      <c r="Q1233" s="9">
        <v>4</v>
      </c>
      <c r="T1233" s="11">
        <v>4</v>
      </c>
      <c r="Z1233" s="9">
        <v>0</v>
      </c>
      <c r="AF1233" s="11">
        <v>1</v>
      </c>
      <c r="AI1233" s="11">
        <v>2</v>
      </c>
    </row>
    <row r="1234" spans="1:35" x14ac:dyDescent="0.25">
      <c r="A1234" s="161" t="str">
        <f t="shared" si="22"/>
        <v>PARATROOPER_GERMANY</v>
      </c>
      <c r="B1234" s="9" t="s">
        <v>108</v>
      </c>
      <c r="C1234" s="4" t="s">
        <v>717</v>
      </c>
      <c r="E1234" s="4" t="s">
        <v>108</v>
      </c>
      <c r="F1234" s="4" t="s">
        <v>108</v>
      </c>
      <c r="G1234" s="4" t="s">
        <v>2045</v>
      </c>
      <c r="H1234" s="4" t="s">
        <v>385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0</v>
      </c>
      <c r="AI1234" s="11">
        <v>1</v>
      </c>
    </row>
    <row r="1235" spans="1:35" x14ac:dyDescent="0.25">
      <c r="A1235" s="161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H1235" s="4" t="s">
        <v>968</v>
      </c>
      <c r="I1235" s="4" t="s">
        <v>102</v>
      </c>
      <c r="Q1235" s="9">
        <v>4</v>
      </c>
      <c r="T1235" s="11">
        <v>4</v>
      </c>
      <c r="Z1235" s="9">
        <v>1</v>
      </c>
      <c r="AF1235" s="11">
        <v>1</v>
      </c>
      <c r="AI1235" s="11">
        <v>2</v>
      </c>
    </row>
    <row r="1236" spans="1:35" x14ac:dyDescent="0.25">
      <c r="A1236" s="161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G1236" s="4" t="s">
        <v>2045</v>
      </c>
      <c r="H1236" s="4" t="s">
        <v>546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1</v>
      </c>
      <c r="AI1236" s="11">
        <v>1</v>
      </c>
    </row>
    <row r="1237" spans="1:35" x14ac:dyDescent="0.25">
      <c r="A1237" s="161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H1237" s="4" t="s">
        <v>968</v>
      </c>
      <c r="I1237" s="4" t="s">
        <v>102</v>
      </c>
      <c r="Q1237" s="9">
        <v>4</v>
      </c>
      <c r="T1237" s="11">
        <v>4</v>
      </c>
      <c r="Z1237" s="9">
        <v>0</v>
      </c>
      <c r="AF1237" s="11">
        <v>1</v>
      </c>
      <c r="AI1237" s="11">
        <v>2</v>
      </c>
    </row>
    <row r="1238" spans="1:35" x14ac:dyDescent="0.25">
      <c r="A1238" s="161" t="str">
        <f t="shared" si="22"/>
        <v>PARATROOPER_NETHERLANDS</v>
      </c>
      <c r="B1238" s="9" t="s">
        <v>108</v>
      </c>
      <c r="C1238" s="4" t="s">
        <v>730</v>
      </c>
      <c r="E1238" s="4" t="s">
        <v>108</v>
      </c>
      <c r="F1238" s="4" t="s">
        <v>108</v>
      </c>
      <c r="G1238" s="4" t="s">
        <v>2045</v>
      </c>
      <c r="H1238" s="4" t="s">
        <v>546</v>
      </c>
      <c r="I1238" s="4" t="s">
        <v>102</v>
      </c>
      <c r="Q1238" s="9">
        <v>1</v>
      </c>
      <c r="T1238" s="11">
        <v>2</v>
      </c>
      <c r="Z1238" s="9">
        <v>0</v>
      </c>
      <c r="AF1238" s="11">
        <v>0</v>
      </c>
      <c r="AI1238" s="11">
        <v>1</v>
      </c>
    </row>
    <row r="1239" spans="1:35" x14ac:dyDescent="0.25">
      <c r="A1239" s="161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H1239" s="4" t="s">
        <v>919</v>
      </c>
      <c r="I1239" s="4" t="s">
        <v>102</v>
      </c>
      <c r="Q1239" s="9">
        <v>4</v>
      </c>
      <c r="T1239" s="11">
        <v>4</v>
      </c>
      <c r="Z1239" s="9">
        <v>1</v>
      </c>
      <c r="AF1239" s="11">
        <v>1</v>
      </c>
      <c r="AI1239" s="11">
        <v>2</v>
      </c>
    </row>
    <row r="1240" spans="1:35" x14ac:dyDescent="0.25">
      <c r="A1240" s="161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G1240" s="4" t="s">
        <v>2045</v>
      </c>
      <c r="H1240" s="4" t="s">
        <v>409</v>
      </c>
      <c r="I1240" s="4" t="s">
        <v>102</v>
      </c>
      <c r="Q1240" s="9">
        <v>1</v>
      </c>
      <c r="T1240" s="11">
        <v>2</v>
      </c>
      <c r="Z1240" s="9">
        <v>0</v>
      </c>
      <c r="AF1240" s="11">
        <v>1</v>
      </c>
      <c r="AI1240" s="11">
        <v>1</v>
      </c>
    </row>
    <row r="1241" spans="1:35" x14ac:dyDescent="0.25">
      <c r="A1241" s="161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H1241" s="4" t="s">
        <v>919</v>
      </c>
      <c r="I1241" s="4" t="s">
        <v>102</v>
      </c>
      <c r="Q1241" s="9">
        <v>4</v>
      </c>
      <c r="T1241" s="11">
        <v>4</v>
      </c>
      <c r="Z1241" s="9">
        <v>0</v>
      </c>
      <c r="AF1241" s="11">
        <v>1</v>
      </c>
      <c r="AI1241" s="11">
        <v>2</v>
      </c>
    </row>
    <row r="1242" spans="1:35" x14ac:dyDescent="0.25">
      <c r="A1242" s="161" t="str">
        <f t="shared" si="22"/>
        <v>PARATROOPER_GREECE</v>
      </c>
      <c r="B1242" s="9" t="s">
        <v>108</v>
      </c>
      <c r="C1242" s="4" t="s">
        <v>718</v>
      </c>
      <c r="E1242" s="4" t="s">
        <v>108</v>
      </c>
      <c r="F1242" s="4" t="s">
        <v>108</v>
      </c>
      <c r="G1242" s="4" t="s">
        <v>2045</v>
      </c>
      <c r="H1242" s="4" t="s">
        <v>409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0</v>
      </c>
      <c r="AI1242" s="11">
        <v>1</v>
      </c>
    </row>
    <row r="1243" spans="1:35" x14ac:dyDescent="0.25">
      <c r="A1243" s="161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H1243" s="4" t="s">
        <v>970</v>
      </c>
      <c r="I1243" s="4" t="s">
        <v>102</v>
      </c>
      <c r="Q1243" s="9">
        <v>4</v>
      </c>
      <c r="R1243" s="11">
        <v>0.14299999999999999</v>
      </c>
      <c r="T1243" s="11">
        <v>4</v>
      </c>
      <c r="U1243" s="11">
        <v>9.0999999999999998E-2</v>
      </c>
      <c r="Z1243" s="9">
        <v>1</v>
      </c>
      <c r="AF1243" s="11">
        <v>1</v>
      </c>
      <c r="AI1243" s="11">
        <v>2</v>
      </c>
    </row>
    <row r="1244" spans="1:35" x14ac:dyDescent="0.25">
      <c r="A1244" s="161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G1244" s="4" t="s">
        <v>2045</v>
      </c>
      <c r="H1244" s="4" t="s">
        <v>596</v>
      </c>
      <c r="I1244" s="4" t="s">
        <v>102</v>
      </c>
      <c r="Q1244" s="9">
        <v>1</v>
      </c>
      <c r="R1244" s="11">
        <v>0.14299999999999999</v>
      </c>
      <c r="T1244" s="11">
        <v>2</v>
      </c>
      <c r="U1244" s="11">
        <v>9.0999999999999998E-2</v>
      </c>
      <c r="Z1244" s="9">
        <v>0</v>
      </c>
      <c r="AF1244" s="11">
        <v>1</v>
      </c>
      <c r="AI1244" s="11">
        <v>1</v>
      </c>
    </row>
    <row r="1245" spans="1:35" x14ac:dyDescent="0.25">
      <c r="A1245" s="161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H1245" s="4" t="s">
        <v>970</v>
      </c>
      <c r="I1245" s="4" t="s">
        <v>102</v>
      </c>
      <c r="Q1245" s="9">
        <v>4</v>
      </c>
      <c r="R1245" s="11">
        <v>0.14299999999999999</v>
      </c>
      <c r="T1245" s="11">
        <v>4</v>
      </c>
      <c r="U1245" s="11">
        <v>9.0999999999999998E-2</v>
      </c>
      <c r="Z1245" s="9">
        <v>0</v>
      </c>
      <c r="AF1245" s="11">
        <v>1</v>
      </c>
      <c r="AI1245" s="11">
        <v>2</v>
      </c>
    </row>
    <row r="1246" spans="1:35" x14ac:dyDescent="0.25">
      <c r="A1246" s="161" t="str">
        <f t="shared" si="22"/>
        <v>PARATROOPER_ROME</v>
      </c>
      <c r="B1246" s="9" t="s">
        <v>108</v>
      </c>
      <c r="C1246" s="4" t="s">
        <v>734</v>
      </c>
      <c r="E1246" s="4" t="s">
        <v>108</v>
      </c>
      <c r="F1246" s="4" t="s">
        <v>108</v>
      </c>
      <c r="G1246" s="4" t="s">
        <v>2045</v>
      </c>
      <c r="H1246" s="4" t="s">
        <v>596</v>
      </c>
      <c r="I1246" s="4" t="s">
        <v>102</v>
      </c>
      <c r="Q1246" s="9">
        <v>1</v>
      </c>
      <c r="R1246" s="11">
        <v>0.14299999999999999</v>
      </c>
      <c r="T1246" s="11">
        <v>2</v>
      </c>
      <c r="U1246" s="11">
        <v>9.0999999999999998E-2</v>
      </c>
      <c r="Z1246" s="9">
        <v>0</v>
      </c>
      <c r="AF1246" s="11">
        <v>0</v>
      </c>
      <c r="AI1246" s="11">
        <v>1</v>
      </c>
    </row>
    <row r="1247" spans="1:35" x14ac:dyDescent="0.25">
      <c r="A1247" s="161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H1247" s="4" t="s">
        <v>972</v>
      </c>
      <c r="I1247" s="4" t="s">
        <v>102</v>
      </c>
      <c r="Q1247" s="9">
        <v>4</v>
      </c>
      <c r="T1247" s="11">
        <v>4</v>
      </c>
      <c r="Z1247" s="9">
        <v>1</v>
      </c>
      <c r="AF1247" s="11">
        <v>1</v>
      </c>
      <c r="AI1247" s="11">
        <v>2</v>
      </c>
    </row>
    <row r="1248" spans="1:35" x14ac:dyDescent="0.25">
      <c r="A1248" s="161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G1248" s="4" t="s">
        <v>2045</v>
      </c>
      <c r="H1248" s="4" t="s">
        <v>659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1</v>
      </c>
      <c r="AI1248" s="11">
        <v>1</v>
      </c>
    </row>
    <row r="1249" spans="1:43" x14ac:dyDescent="0.25">
      <c r="A1249" s="161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H1249" s="4" t="s">
        <v>972</v>
      </c>
      <c r="I1249" s="4" t="s">
        <v>102</v>
      </c>
      <c r="Q1249" s="9">
        <v>4</v>
      </c>
      <c r="T1249" s="11">
        <v>4</v>
      </c>
      <c r="Z1249" s="9">
        <v>0</v>
      </c>
      <c r="AF1249" s="11">
        <v>1</v>
      </c>
      <c r="AI1249" s="11">
        <v>2</v>
      </c>
    </row>
    <row r="1250" spans="1:43" x14ac:dyDescent="0.25">
      <c r="A1250" s="161" t="str">
        <f t="shared" si="22"/>
        <v>PARATROOPER_SPAIN</v>
      </c>
      <c r="B1250" s="9" t="s">
        <v>108</v>
      </c>
      <c r="C1250" s="4" t="s">
        <v>738</v>
      </c>
      <c r="E1250" s="4" t="s">
        <v>108</v>
      </c>
      <c r="F1250" s="4" t="s">
        <v>108</v>
      </c>
      <c r="G1250" s="4" t="s">
        <v>2045</v>
      </c>
      <c r="H1250" s="4" t="s">
        <v>659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0</v>
      </c>
      <c r="AI1250" s="11">
        <v>1</v>
      </c>
    </row>
    <row r="1251" spans="1:43" x14ac:dyDescent="0.25">
      <c r="A1251" s="161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H1251" s="4" t="s">
        <v>973</v>
      </c>
      <c r="I1251" s="4" t="s">
        <v>102</v>
      </c>
      <c r="Q1251" s="9">
        <v>4</v>
      </c>
      <c r="T1251" s="11">
        <v>4</v>
      </c>
      <c r="Z1251" s="9">
        <v>1</v>
      </c>
      <c r="AF1251" s="11">
        <v>1</v>
      </c>
      <c r="AI1251" s="11">
        <v>2</v>
      </c>
    </row>
    <row r="1252" spans="1:43" x14ac:dyDescent="0.25">
      <c r="A1252" s="161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G1252" s="4" t="s">
        <v>2045</v>
      </c>
      <c r="H1252" s="4" t="s">
        <v>673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1</v>
      </c>
      <c r="AI1252" s="11">
        <v>1</v>
      </c>
    </row>
    <row r="1253" spans="1:43" x14ac:dyDescent="0.25">
      <c r="A1253" s="161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H1253" s="4" t="s">
        <v>973</v>
      </c>
      <c r="I1253" s="4" t="s">
        <v>102</v>
      </c>
      <c r="Q1253" s="9">
        <v>4</v>
      </c>
      <c r="T1253" s="11">
        <v>4</v>
      </c>
      <c r="Z1253" s="9">
        <v>0</v>
      </c>
      <c r="AF1253" s="11">
        <v>1</v>
      </c>
      <c r="AI1253" s="11">
        <v>2</v>
      </c>
    </row>
    <row r="1254" spans="1:43" x14ac:dyDescent="0.25">
      <c r="A1254" s="161" t="str">
        <f t="shared" si="22"/>
        <v>PARATROOPER_NORTHEU</v>
      </c>
      <c r="B1254" s="9" t="s">
        <v>108</v>
      </c>
      <c r="C1254" s="4" t="s">
        <v>962</v>
      </c>
      <c r="E1254" s="4" t="s">
        <v>108</v>
      </c>
      <c r="F1254" s="4" t="s">
        <v>108</v>
      </c>
      <c r="G1254" s="4" t="s">
        <v>2045</v>
      </c>
      <c r="H1254" s="4" t="s">
        <v>673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0</v>
      </c>
      <c r="AI1254" s="11">
        <v>1</v>
      </c>
    </row>
    <row r="1255" spans="1:43" x14ac:dyDescent="0.25">
      <c r="A1255" s="161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/>
      <c r="H1255" s="5" t="s">
        <v>1503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6">
        <v>3</v>
      </c>
      <c r="R1255" s="6" t="s">
        <v>1736</v>
      </c>
      <c r="S1255" s="13" t="s">
        <v>1619</v>
      </c>
      <c r="T1255" s="6">
        <v>4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1</v>
      </c>
      <c r="AA1255" s="6"/>
      <c r="AB1255" s="5"/>
      <c r="AC1255" s="6"/>
      <c r="AD1255" s="6" t="s">
        <v>3</v>
      </c>
      <c r="AE1255" s="5"/>
      <c r="AF1255" s="6">
        <v>1</v>
      </c>
      <c r="AG1255" s="6"/>
      <c r="AH1255" s="5"/>
      <c r="AI1255" s="6">
        <v>2</v>
      </c>
      <c r="AJ1255" s="6"/>
      <c r="AK1255" s="5"/>
      <c r="AL1255" s="5"/>
      <c r="AM1255" s="5"/>
      <c r="AN1255" s="5"/>
      <c r="AO1255" s="5"/>
      <c r="AP1255" s="5"/>
      <c r="AQ1255" s="5"/>
    </row>
    <row r="1256" spans="1:43" x14ac:dyDescent="0.25">
      <c r="A1256" s="161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 t="s">
        <v>2045</v>
      </c>
      <c r="H1256" s="5" t="s">
        <v>1504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1</v>
      </c>
      <c r="R1256" s="6" t="s">
        <v>1736</v>
      </c>
      <c r="S1256" s="13" t="s">
        <v>1619</v>
      </c>
      <c r="T1256" s="6">
        <v>2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0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1</v>
      </c>
      <c r="AJ1256" s="6"/>
      <c r="AK1256" s="5"/>
      <c r="AL1256" s="5"/>
      <c r="AM1256" s="5"/>
      <c r="AN1256" s="5"/>
      <c r="AO1256" s="5"/>
      <c r="AP1256" s="5"/>
      <c r="AQ1256" s="5"/>
    </row>
    <row r="1257" spans="1:43" x14ac:dyDescent="0.25">
      <c r="A1257" s="161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/>
      <c r="H1257" s="5" t="s">
        <v>1503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6">
        <v>4</v>
      </c>
      <c r="R1257" s="6" t="s">
        <v>1736</v>
      </c>
      <c r="S1257" s="13" t="s">
        <v>1619</v>
      </c>
      <c r="T1257" s="6">
        <v>4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6">
        <v>1</v>
      </c>
      <c r="AG1257" s="6"/>
      <c r="AH1257" s="5"/>
      <c r="AI1257" s="6">
        <v>2</v>
      </c>
      <c r="AJ1257" s="6"/>
      <c r="AK1257" s="5"/>
      <c r="AL1257" s="5"/>
      <c r="AM1257" s="5"/>
      <c r="AN1257" s="5"/>
      <c r="AO1257" s="5"/>
      <c r="AP1257" s="5"/>
      <c r="AQ1257" s="5"/>
    </row>
    <row r="1258" spans="1:43" x14ac:dyDescent="0.25">
      <c r="A1258" s="161" t="str">
        <f t="shared" si="22"/>
        <v>PARATROOPER_OCEAN</v>
      </c>
      <c r="B1258" s="9" t="s">
        <v>108</v>
      </c>
      <c r="C1258" s="5" t="s">
        <v>994</v>
      </c>
      <c r="D1258" s="5"/>
      <c r="E1258" s="5" t="s">
        <v>108</v>
      </c>
      <c r="F1258" s="5" t="s">
        <v>108</v>
      </c>
      <c r="G1258" s="5" t="s">
        <v>2045</v>
      </c>
      <c r="H1258" s="5" t="s">
        <v>1504</v>
      </c>
      <c r="I1258" s="5" t="s">
        <v>102</v>
      </c>
      <c r="J1258" s="6"/>
      <c r="K1258" s="6"/>
      <c r="L1258" s="13" t="s">
        <v>1707</v>
      </c>
      <c r="M1258" s="8"/>
      <c r="N1258" s="5"/>
      <c r="O1258" s="5"/>
      <c r="P1258" s="5"/>
      <c r="Q1258" s="7">
        <v>2</v>
      </c>
      <c r="R1258" s="6" t="s">
        <v>1736</v>
      </c>
      <c r="S1258" s="13" t="s">
        <v>1619</v>
      </c>
      <c r="T1258" s="7">
        <v>2</v>
      </c>
      <c r="U1258" s="7" t="s">
        <v>1736</v>
      </c>
      <c r="V1258" s="5"/>
      <c r="W1258" s="7" t="s">
        <v>3</v>
      </c>
      <c r="X1258" s="6" t="s">
        <v>3</v>
      </c>
      <c r="Y1258" s="5"/>
      <c r="Z1258" s="7">
        <v>0</v>
      </c>
      <c r="AA1258" s="6"/>
      <c r="AB1258" s="5"/>
      <c r="AC1258" s="6"/>
      <c r="AD1258" s="6" t="s">
        <v>3</v>
      </c>
      <c r="AE1258" s="5"/>
      <c r="AF1258" s="7">
        <v>0</v>
      </c>
      <c r="AG1258" s="6"/>
      <c r="AH1258" s="5"/>
      <c r="AI1258" s="7">
        <v>1</v>
      </c>
      <c r="AJ1258" s="6"/>
      <c r="AK1258" s="5"/>
      <c r="AL1258" s="5"/>
      <c r="AM1258" s="5"/>
      <c r="AN1258" s="5"/>
      <c r="AO1258" s="5"/>
      <c r="AP1258" s="5"/>
      <c r="AQ1258" s="5"/>
    </row>
    <row r="1259" spans="1:43" x14ac:dyDescent="0.25">
      <c r="A1259" s="161" t="str">
        <f t="shared" si="22"/>
        <v>PARATROOPER_SEASIA</v>
      </c>
      <c r="B1259" s="9" t="s">
        <v>108</v>
      </c>
      <c r="C1259" s="4" t="s">
        <v>696</v>
      </c>
      <c r="D1259" s="4" t="s">
        <v>994</v>
      </c>
      <c r="E1259" s="4" t="s">
        <v>108</v>
      </c>
      <c r="F1259" s="4" t="s">
        <v>108</v>
      </c>
    </row>
    <row r="1260" spans="1:43" x14ac:dyDescent="0.25">
      <c r="A1260" s="161" t="str">
        <f t="shared" si="22"/>
        <v>PARATROOPER_SOUTHAM</v>
      </c>
      <c r="B1260" s="9" t="s">
        <v>108</v>
      </c>
      <c r="C1260" s="4" t="s">
        <v>691</v>
      </c>
      <c r="D1260" s="4" t="s">
        <v>994</v>
      </c>
      <c r="E1260" s="4" t="s">
        <v>108</v>
      </c>
      <c r="F1260" s="4" t="s">
        <v>108</v>
      </c>
    </row>
    <row r="1261" spans="1:43" x14ac:dyDescent="0.25">
      <c r="A1261" s="161" t="str">
        <f t="shared" si="22"/>
        <v>PARATROOPER_SOUTHAS</v>
      </c>
      <c r="B1261" s="9" t="s">
        <v>108</v>
      </c>
      <c r="C1261" s="4" t="s">
        <v>695</v>
      </c>
      <c r="D1261" s="4" t="s">
        <v>693</v>
      </c>
      <c r="E1261" s="4" t="s">
        <v>108</v>
      </c>
      <c r="F1261" s="4" t="s">
        <v>108</v>
      </c>
    </row>
    <row r="1262" spans="1:43" x14ac:dyDescent="0.25">
      <c r="A1262" s="161" t="str">
        <f t="shared" si="22"/>
        <v>PIKEMAN</v>
      </c>
      <c r="B1262" s="9" t="s">
        <v>107</v>
      </c>
      <c r="C1262" s="5"/>
      <c r="D1262" s="5"/>
      <c r="E1262" s="5" t="s">
        <v>107</v>
      </c>
      <c r="F1262" s="5" t="s">
        <v>107</v>
      </c>
      <c r="G1262" s="5"/>
      <c r="H1262" s="5" t="s">
        <v>22</v>
      </c>
      <c r="I1262" s="5" t="s">
        <v>128</v>
      </c>
      <c r="J1262" s="6"/>
      <c r="K1262" s="6"/>
      <c r="L1262" s="13" t="s">
        <v>1707</v>
      </c>
      <c r="M1262" s="8"/>
      <c r="N1262" s="5"/>
      <c r="O1262" s="5"/>
      <c r="P1262" s="5"/>
      <c r="Q1262" s="7" t="s">
        <v>1736</v>
      </c>
      <c r="R1262" s="6">
        <v>0.13</v>
      </c>
      <c r="S1262" s="13" t="s">
        <v>22</v>
      </c>
      <c r="T1262" s="7" t="s">
        <v>1736</v>
      </c>
      <c r="U1262" s="7" t="s">
        <v>1694</v>
      </c>
      <c r="V1262" s="5"/>
      <c r="W1262" s="6" t="s">
        <v>3</v>
      </c>
      <c r="X1262" s="6" t="s">
        <v>3</v>
      </c>
      <c r="Y1262" s="5"/>
      <c r="Z1262" s="7">
        <v>1</v>
      </c>
      <c r="AA1262" s="6"/>
      <c r="AB1262" s="5"/>
      <c r="AC1262" s="6"/>
      <c r="AD1262" s="6" t="s">
        <v>3</v>
      </c>
      <c r="AE1262" s="5"/>
      <c r="AF1262" s="7" t="s">
        <v>1736</v>
      </c>
      <c r="AG1262" s="6"/>
      <c r="AH1262" s="5"/>
      <c r="AI1262" s="7" t="s">
        <v>1736</v>
      </c>
      <c r="AJ1262" s="6"/>
      <c r="AK1262" s="5"/>
      <c r="AL1262" s="5"/>
      <c r="AM1262" s="5"/>
      <c r="AN1262" s="5"/>
      <c r="AO1262" s="5"/>
      <c r="AP1262" s="5"/>
      <c r="AQ1262" s="5"/>
    </row>
    <row r="1263" spans="1:43" x14ac:dyDescent="0.25">
      <c r="A1263" s="161" t="str">
        <f t="shared" si="22"/>
        <v>PIKEMAN_AFRI</v>
      </c>
      <c r="B1263" s="9" t="s">
        <v>107</v>
      </c>
      <c r="C1263" s="4" t="s">
        <v>694</v>
      </c>
      <c r="E1263" s="4" t="s">
        <v>107</v>
      </c>
      <c r="F1263" s="4" t="s">
        <v>107</v>
      </c>
      <c r="H1263" s="4" t="s">
        <v>329</v>
      </c>
      <c r="I1263" s="4" t="s">
        <v>1025</v>
      </c>
      <c r="R1263" s="11" t="s">
        <v>1736</v>
      </c>
    </row>
    <row r="1264" spans="1:43" x14ac:dyDescent="0.25">
      <c r="A1264" s="161" t="str">
        <f t="shared" si="22"/>
        <v>PIKEMAN_SONGHAI</v>
      </c>
      <c r="B1264" s="9" t="s">
        <v>107</v>
      </c>
      <c r="C1264" s="4" t="s">
        <v>737</v>
      </c>
      <c r="E1264" s="4" t="s">
        <v>107</v>
      </c>
      <c r="F1264" s="4" t="s">
        <v>107</v>
      </c>
      <c r="G1264" s="14"/>
      <c r="H1264" s="4" t="s">
        <v>1959</v>
      </c>
      <c r="I1264" s="4" t="s">
        <v>1025</v>
      </c>
      <c r="R1264" s="11" t="s">
        <v>1736</v>
      </c>
    </row>
    <row r="1265" spans="1:35" x14ac:dyDescent="0.25">
      <c r="A1265" s="161" t="str">
        <f t="shared" si="22"/>
        <v>PIKEMAN_AMER</v>
      </c>
      <c r="B1265" s="9" t="s">
        <v>107</v>
      </c>
      <c r="C1265" s="4" t="s">
        <v>697</v>
      </c>
      <c r="E1265" s="4" t="s">
        <v>107</v>
      </c>
      <c r="F1265" s="4" t="s">
        <v>107</v>
      </c>
      <c r="H1265" s="4" t="s">
        <v>468</v>
      </c>
      <c r="I1265" s="4" t="s">
        <v>1933</v>
      </c>
      <c r="R1265" s="11" t="s">
        <v>1736</v>
      </c>
    </row>
    <row r="1266" spans="1:35" x14ac:dyDescent="0.25">
      <c r="A1266" s="161" t="str">
        <f t="shared" si="22"/>
        <v>PIKEMAN_ASIA</v>
      </c>
      <c r="B1266" s="9" t="s">
        <v>107</v>
      </c>
      <c r="C1266" s="4" t="s">
        <v>693</v>
      </c>
      <c r="E1266" s="4" t="s">
        <v>107</v>
      </c>
      <c r="F1266" s="4" t="s">
        <v>107</v>
      </c>
      <c r="H1266" s="4" t="s">
        <v>857</v>
      </c>
      <c r="I1266" s="4" t="s">
        <v>102</v>
      </c>
      <c r="R1266" s="11" t="s">
        <v>1736</v>
      </c>
    </row>
    <row r="1267" spans="1:35" x14ac:dyDescent="0.25">
      <c r="A1267" s="161" t="str">
        <f t="shared" si="22"/>
        <v>PIKEMAN_CHINA</v>
      </c>
      <c r="B1267" s="9" t="s">
        <v>107</v>
      </c>
      <c r="C1267" s="4" t="s">
        <v>710</v>
      </c>
      <c r="E1267" s="4" t="s">
        <v>107</v>
      </c>
      <c r="F1267" s="4" t="s">
        <v>107</v>
      </c>
      <c r="G1267" s="14" t="s">
        <v>132</v>
      </c>
      <c r="H1267" s="4" t="s">
        <v>256</v>
      </c>
      <c r="I1267" s="4" t="s">
        <v>102</v>
      </c>
      <c r="R1267" s="11" t="s">
        <v>1736</v>
      </c>
    </row>
    <row r="1268" spans="1:35" x14ac:dyDescent="0.25">
      <c r="A1268" s="161" t="str">
        <f t="shared" si="22"/>
        <v>PIKEMAN_JAPAN</v>
      </c>
      <c r="B1268" s="9" t="s">
        <v>107</v>
      </c>
      <c r="C1268" s="4" t="s">
        <v>722</v>
      </c>
      <c r="E1268" s="4" t="s">
        <v>107</v>
      </c>
      <c r="F1268" s="4" t="s">
        <v>107</v>
      </c>
      <c r="G1268" s="14" t="s">
        <v>132</v>
      </c>
      <c r="H1268" s="4" t="s">
        <v>487</v>
      </c>
      <c r="I1268" s="4" t="s">
        <v>102</v>
      </c>
      <c r="R1268" s="11" t="s">
        <v>1736</v>
      </c>
    </row>
    <row r="1269" spans="1:35" x14ac:dyDescent="0.25">
      <c r="A1269" s="161" t="str">
        <f t="shared" ref="A1269:A1345" si="23">CONCATENATE(E1269,IF(ISBLANK(C1269),"",CONCATENATE("_",C1269)))</f>
        <v>PIKEMAN_KOREA</v>
      </c>
      <c r="B1269" s="9" t="s">
        <v>107</v>
      </c>
      <c r="C1269" s="4" t="s">
        <v>723</v>
      </c>
      <c r="E1269" s="4" t="s">
        <v>107</v>
      </c>
      <c r="F1269" s="4" t="s">
        <v>107</v>
      </c>
      <c r="G1269" s="14" t="s">
        <v>132</v>
      </c>
      <c r="H1269" s="4" t="s">
        <v>502</v>
      </c>
      <c r="I1269" s="4" t="s">
        <v>102</v>
      </c>
      <c r="R1269" s="11" t="s">
        <v>1736</v>
      </c>
    </row>
    <row r="1270" spans="1:35" x14ac:dyDescent="0.25">
      <c r="A1270" s="161" t="str">
        <f t="shared" si="23"/>
        <v>PIKEMAN_MONGOL</v>
      </c>
      <c r="B1270" s="9" t="s">
        <v>107</v>
      </c>
      <c r="C1270" s="4" t="s">
        <v>728</v>
      </c>
      <c r="E1270" s="4" t="s">
        <v>107</v>
      </c>
      <c r="F1270" s="4" t="s">
        <v>107</v>
      </c>
      <c r="G1270" s="14" t="s">
        <v>132</v>
      </c>
      <c r="H1270" s="4" t="s">
        <v>533</v>
      </c>
      <c r="I1270" s="4" t="s">
        <v>2096</v>
      </c>
      <c r="R1270" s="11" t="s">
        <v>1736</v>
      </c>
    </row>
    <row r="1271" spans="1:35" x14ac:dyDescent="0.25">
      <c r="A1271" s="161" t="str">
        <f t="shared" si="23"/>
        <v>PIKEMAN_CENTAS</v>
      </c>
      <c r="B1271" s="9" t="s">
        <v>107</v>
      </c>
      <c r="C1271" s="4" t="s">
        <v>918</v>
      </c>
      <c r="E1271" s="4" t="s">
        <v>107</v>
      </c>
      <c r="F1271" s="4" t="s">
        <v>107</v>
      </c>
      <c r="G1271" s="14" t="s">
        <v>132</v>
      </c>
      <c r="H1271" s="4" t="s">
        <v>1034</v>
      </c>
      <c r="I1271" s="4" t="s">
        <v>2096</v>
      </c>
      <c r="R1271" s="11" t="s">
        <v>1736</v>
      </c>
    </row>
    <row r="1272" spans="1:35" x14ac:dyDescent="0.25">
      <c r="A1272" s="161" t="str">
        <f t="shared" si="23"/>
        <v>PIKEMAN_EASTEU</v>
      </c>
      <c r="B1272" s="9" t="s">
        <v>107</v>
      </c>
      <c r="C1272" s="4" t="s">
        <v>698</v>
      </c>
      <c r="E1272" s="4" t="s">
        <v>107</v>
      </c>
      <c r="F1272" s="4" t="s">
        <v>107</v>
      </c>
      <c r="H1272" s="4" t="s">
        <v>623</v>
      </c>
      <c r="I1272" s="4" t="s">
        <v>2096</v>
      </c>
      <c r="R1272" s="11" t="s">
        <v>1736</v>
      </c>
    </row>
    <row r="1273" spans="1:35" x14ac:dyDescent="0.25">
      <c r="A1273" s="161" t="str">
        <f t="shared" si="23"/>
        <v>PIKEMAN_AMERICA</v>
      </c>
      <c r="B1273" s="9" t="s">
        <v>107</v>
      </c>
      <c r="C1273" s="4" t="s">
        <v>699</v>
      </c>
      <c r="E1273" s="4" t="s">
        <v>107</v>
      </c>
      <c r="F1273" s="4" t="s">
        <v>107</v>
      </c>
      <c r="G1273" s="14"/>
      <c r="H1273" s="4" t="s">
        <v>148</v>
      </c>
      <c r="I1273" s="4" t="s">
        <v>1939</v>
      </c>
      <c r="R1273" s="11" t="s">
        <v>1736</v>
      </c>
    </row>
    <row r="1274" spans="1:35" x14ac:dyDescent="0.25">
      <c r="A1274" s="161" t="str">
        <f t="shared" si="23"/>
        <v>PIKEMAN_ENGLAND</v>
      </c>
      <c r="B1274" s="9" t="s">
        <v>107</v>
      </c>
      <c r="C1274" s="4" t="s">
        <v>713</v>
      </c>
      <c r="E1274" s="4" t="s">
        <v>107</v>
      </c>
      <c r="F1274" s="4" t="s">
        <v>107</v>
      </c>
      <c r="G1274" s="14" t="s">
        <v>132</v>
      </c>
      <c r="H1274" s="4" t="s">
        <v>309</v>
      </c>
      <c r="I1274" s="4" t="s">
        <v>102</v>
      </c>
      <c r="R1274" s="11" t="s">
        <v>1736</v>
      </c>
    </row>
    <row r="1275" spans="1:35" x14ac:dyDescent="0.25">
      <c r="A1275" s="161" t="str">
        <f t="shared" si="23"/>
        <v>PIKEMAN_FRANCE</v>
      </c>
      <c r="B1275" s="9" t="s">
        <v>107</v>
      </c>
      <c r="C1275" s="4" t="s">
        <v>715</v>
      </c>
      <c r="E1275" s="4" t="s">
        <v>107</v>
      </c>
      <c r="F1275" s="4" t="s">
        <v>107</v>
      </c>
      <c r="G1275" s="14" t="s">
        <v>132</v>
      </c>
      <c r="H1275" s="4" t="s">
        <v>354</v>
      </c>
      <c r="I1275" s="4" t="s">
        <v>102</v>
      </c>
      <c r="R1275" s="11" t="s">
        <v>1736</v>
      </c>
    </row>
    <row r="1276" spans="1:35" x14ac:dyDescent="0.25">
      <c r="A1276" s="161" t="str">
        <f t="shared" si="23"/>
        <v>PIKEMAN_GERMANY</v>
      </c>
      <c r="B1276" s="9" t="s">
        <v>107</v>
      </c>
      <c r="C1276" s="4" t="s">
        <v>717</v>
      </c>
      <c r="E1276" s="4" t="s">
        <v>107</v>
      </c>
      <c r="F1276" s="4" t="s">
        <v>107</v>
      </c>
      <c r="G1276" s="14" t="s">
        <v>132</v>
      </c>
      <c r="H1276" s="4" t="s">
        <v>386</v>
      </c>
      <c r="I1276" s="4" t="s">
        <v>102</v>
      </c>
      <c r="R1276" s="11" t="s">
        <v>1736</v>
      </c>
    </row>
    <row r="1277" spans="1:35" x14ac:dyDescent="0.25">
      <c r="A1277" s="161" t="str">
        <f t="shared" si="23"/>
        <v>PIKEMAN_SWISS</v>
      </c>
      <c r="B1277" s="9" t="s">
        <v>107</v>
      </c>
      <c r="C1277" s="4" t="s">
        <v>740</v>
      </c>
      <c r="E1277" s="4" t="s">
        <v>107</v>
      </c>
      <c r="F1277" s="4" t="s">
        <v>107</v>
      </c>
      <c r="G1277" s="14" t="s">
        <v>132</v>
      </c>
      <c r="H1277" s="4" t="s">
        <v>678</v>
      </c>
      <c r="I1277" s="4" t="s">
        <v>1046</v>
      </c>
      <c r="R1277" s="11" t="s">
        <v>1736</v>
      </c>
    </row>
    <row r="1278" spans="1:35" x14ac:dyDescent="0.25">
      <c r="A1278" s="161" t="str">
        <f t="shared" si="23"/>
        <v>PIKEMAN_MED</v>
      </c>
      <c r="B1278" s="9" t="s">
        <v>107</v>
      </c>
      <c r="C1278" s="4" t="s">
        <v>692</v>
      </c>
      <c r="E1278" s="4" t="s">
        <v>107</v>
      </c>
      <c r="F1278" s="4" t="s">
        <v>107</v>
      </c>
      <c r="H1278" s="4" t="s">
        <v>660</v>
      </c>
      <c r="I1278" s="4" t="s">
        <v>2096</v>
      </c>
      <c r="R1278" s="11" t="s">
        <v>1736</v>
      </c>
    </row>
    <row r="1279" spans="1:35" x14ac:dyDescent="0.25">
      <c r="A1279" s="161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132</v>
      </c>
      <c r="H1279" s="4" t="s">
        <v>231</v>
      </c>
      <c r="I1279" s="4" t="s">
        <v>1025</v>
      </c>
      <c r="Q1279" s="11">
        <v>2</v>
      </c>
      <c r="R1279" s="11" t="s">
        <v>1736</v>
      </c>
      <c r="T1279" s="11">
        <v>2</v>
      </c>
      <c r="Z1279" s="11">
        <v>1</v>
      </c>
      <c r="AF1279" s="11">
        <v>1</v>
      </c>
      <c r="AI1279" s="11">
        <v>1</v>
      </c>
    </row>
    <row r="1280" spans="1:35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2045</v>
      </c>
      <c r="H1280" s="4" t="s">
        <v>2678</v>
      </c>
      <c r="I1280" s="4" t="s">
        <v>1025</v>
      </c>
      <c r="Q1280" s="11">
        <v>2</v>
      </c>
      <c r="R1280" s="11" t="s">
        <v>1736</v>
      </c>
      <c r="T1280" s="11">
        <v>2</v>
      </c>
      <c r="Z1280" s="11">
        <v>0</v>
      </c>
      <c r="AF1280" s="11">
        <v>1</v>
      </c>
      <c r="AI1280" s="11">
        <v>1</v>
      </c>
    </row>
    <row r="1281" spans="1:35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2047</v>
      </c>
      <c r="H1281" s="4" t="s">
        <v>2679</v>
      </c>
      <c r="I1281" s="4" t="s">
        <v>1025</v>
      </c>
      <c r="Q1281" s="11">
        <v>1</v>
      </c>
      <c r="R1281" s="11" t="s">
        <v>1736</v>
      </c>
      <c r="T1281" s="11">
        <v>1</v>
      </c>
      <c r="Z1281" s="11">
        <v>0</v>
      </c>
      <c r="AF1281" s="11">
        <v>1</v>
      </c>
      <c r="AI1281" s="11">
        <v>1</v>
      </c>
    </row>
    <row r="1282" spans="1:35" x14ac:dyDescent="0.25">
      <c r="A1282" s="161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2046</v>
      </c>
      <c r="H1282" s="4" t="s">
        <v>2702</v>
      </c>
      <c r="I1282" s="4" t="s">
        <v>1025</v>
      </c>
      <c r="Q1282" s="11">
        <v>1</v>
      </c>
      <c r="R1282" s="11" t="s">
        <v>1736</v>
      </c>
      <c r="T1282" s="11">
        <v>3</v>
      </c>
      <c r="Z1282" s="11">
        <v>0</v>
      </c>
      <c r="AF1282" s="11">
        <v>0</v>
      </c>
      <c r="AI1282" s="11">
        <v>1</v>
      </c>
    </row>
    <row r="1283" spans="1:35" x14ac:dyDescent="0.25">
      <c r="A1283" s="161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132</v>
      </c>
      <c r="H1283" s="4" t="s">
        <v>231</v>
      </c>
      <c r="I1283" s="4" t="s">
        <v>1025</v>
      </c>
      <c r="Q1283" s="11">
        <v>2</v>
      </c>
      <c r="R1283" s="11" t="s">
        <v>1736</v>
      </c>
      <c r="T1283" s="11">
        <v>2</v>
      </c>
      <c r="Z1283" s="11">
        <v>0</v>
      </c>
      <c r="AF1283" s="11">
        <v>0</v>
      </c>
      <c r="AI1283" s="11">
        <v>1</v>
      </c>
    </row>
    <row r="1284" spans="1:35" x14ac:dyDescent="0.25">
      <c r="A1284" s="161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2045</v>
      </c>
      <c r="H1284" s="4" t="s">
        <v>2678</v>
      </c>
      <c r="I1284" s="4" t="s">
        <v>1025</v>
      </c>
      <c r="Q1284" s="11">
        <v>1</v>
      </c>
      <c r="R1284" s="11" t="s">
        <v>1736</v>
      </c>
      <c r="T1284" s="11">
        <v>1</v>
      </c>
      <c r="Z1284" s="11">
        <v>0</v>
      </c>
      <c r="AF1284" s="11">
        <v>0</v>
      </c>
      <c r="AI1284" s="11">
        <v>1</v>
      </c>
    </row>
    <row r="1285" spans="1:35" x14ac:dyDescent="0.25">
      <c r="A1285" s="161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2047</v>
      </c>
      <c r="H1285" s="4" t="s">
        <v>2679</v>
      </c>
      <c r="I1285" s="4" t="s">
        <v>1025</v>
      </c>
      <c r="Q1285" s="11">
        <v>2</v>
      </c>
      <c r="R1285" s="11" t="s">
        <v>1736</v>
      </c>
      <c r="T1285" s="11">
        <v>2</v>
      </c>
      <c r="Z1285" s="11">
        <v>0</v>
      </c>
      <c r="AF1285" s="11">
        <v>0</v>
      </c>
      <c r="AI1285" s="11">
        <v>1</v>
      </c>
    </row>
    <row r="1286" spans="1:35" x14ac:dyDescent="0.25">
      <c r="A1286" s="161" t="str">
        <f t="shared" si="23"/>
        <v>PIKEMAN_CARTHAGE</v>
      </c>
      <c r="B1286" s="9" t="s">
        <v>107</v>
      </c>
      <c r="C1286" s="4" t="s">
        <v>708</v>
      </c>
      <c r="E1286" s="4" t="s">
        <v>107</v>
      </c>
      <c r="F1286" s="4" t="s">
        <v>107</v>
      </c>
      <c r="G1286" s="14" t="s">
        <v>2046</v>
      </c>
      <c r="H1286" s="4" t="s">
        <v>2702</v>
      </c>
      <c r="I1286" s="4" t="s">
        <v>1025</v>
      </c>
      <c r="Q1286" s="11">
        <v>1</v>
      </c>
      <c r="R1286" s="11" t="s">
        <v>1736</v>
      </c>
      <c r="T1286" s="11">
        <v>3</v>
      </c>
      <c r="Z1286" s="11">
        <v>0</v>
      </c>
      <c r="AF1286" s="11">
        <v>0</v>
      </c>
      <c r="AI1286" s="11">
        <v>0</v>
      </c>
    </row>
    <row r="1287" spans="1:35" x14ac:dyDescent="0.25">
      <c r="A1287" s="161" t="str">
        <f t="shared" si="23"/>
        <v>PIKEMAN_GREECE</v>
      </c>
      <c r="B1287" s="9" t="s">
        <v>107</v>
      </c>
      <c r="C1287" s="4" t="s">
        <v>718</v>
      </c>
      <c r="E1287" s="4" t="s">
        <v>107</v>
      </c>
      <c r="F1287" s="4" t="s">
        <v>107</v>
      </c>
      <c r="G1287" s="14" t="s">
        <v>132</v>
      </c>
      <c r="H1287" s="4" t="s">
        <v>410</v>
      </c>
      <c r="I1287" s="4" t="s">
        <v>102</v>
      </c>
      <c r="R1287" s="11" t="s">
        <v>1736</v>
      </c>
    </row>
    <row r="1288" spans="1:35" x14ac:dyDescent="0.25">
      <c r="A1288" s="161" t="str">
        <f t="shared" si="23"/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132</v>
      </c>
      <c r="H1288" s="4" t="s">
        <v>597</v>
      </c>
      <c r="I1288" s="4" t="s">
        <v>102</v>
      </c>
      <c r="Q1288" s="11">
        <v>2</v>
      </c>
      <c r="R1288" s="11" t="s">
        <v>1736</v>
      </c>
      <c r="T1288" s="11">
        <v>3</v>
      </c>
      <c r="Z1288" s="11">
        <v>1</v>
      </c>
      <c r="AF1288" s="11">
        <v>1</v>
      </c>
      <c r="AI1288" s="11">
        <v>1</v>
      </c>
    </row>
    <row r="1289" spans="1:35" x14ac:dyDescent="0.25">
      <c r="A1289" s="161" t="str">
        <f>CONCATENATE(E1289,IF(ISBLANK(C1289),"",CONCATENATE("_",C1289)))</f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2045</v>
      </c>
      <c r="H1289" s="4" t="s">
        <v>598</v>
      </c>
      <c r="I1289" s="4" t="s">
        <v>102</v>
      </c>
      <c r="Q1289" s="11">
        <v>2</v>
      </c>
      <c r="R1289" s="11" t="s">
        <v>1736</v>
      </c>
      <c r="T1289" s="11">
        <v>2</v>
      </c>
      <c r="Z1289" s="11">
        <v>0</v>
      </c>
      <c r="AF1289" s="11">
        <v>1</v>
      </c>
      <c r="AI1289" s="11">
        <v>1</v>
      </c>
    </row>
    <row r="1290" spans="1:35" x14ac:dyDescent="0.25">
      <c r="A1290" s="161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132</v>
      </c>
      <c r="H1290" s="4" t="s">
        <v>597</v>
      </c>
      <c r="I1290" s="4" t="s">
        <v>102</v>
      </c>
      <c r="Q1290" s="11">
        <v>2</v>
      </c>
      <c r="R1290" s="11" t="s">
        <v>1736</v>
      </c>
      <c r="T1290" s="11">
        <v>3</v>
      </c>
      <c r="Z1290" s="11">
        <v>0</v>
      </c>
      <c r="AF1290" s="11">
        <v>1</v>
      </c>
      <c r="AI1290" s="11">
        <v>2</v>
      </c>
    </row>
    <row r="1291" spans="1:35" x14ac:dyDescent="0.25">
      <c r="A1291" s="161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2045</v>
      </c>
      <c r="H1291" s="4" t="s">
        <v>598</v>
      </c>
      <c r="I1291" s="4" t="s">
        <v>102</v>
      </c>
      <c r="Q1291" s="11">
        <v>2</v>
      </c>
      <c r="R1291" s="11" t="s">
        <v>1736</v>
      </c>
      <c r="T1291" s="11">
        <v>2</v>
      </c>
      <c r="Z1291" s="11">
        <v>0</v>
      </c>
      <c r="AF1291" s="11">
        <v>0</v>
      </c>
      <c r="AI1291" s="11">
        <v>1</v>
      </c>
    </row>
    <row r="1292" spans="1:35" x14ac:dyDescent="0.25">
      <c r="A1292" s="161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132</v>
      </c>
      <c r="H1292" s="4" t="s">
        <v>597</v>
      </c>
      <c r="I1292" s="4" t="s">
        <v>102</v>
      </c>
      <c r="Q1292" s="11">
        <v>2</v>
      </c>
      <c r="R1292" s="11" t="s">
        <v>1736</v>
      </c>
      <c r="T1292" s="11">
        <v>3</v>
      </c>
      <c r="Z1292" s="11">
        <v>0</v>
      </c>
      <c r="AF1292" s="11">
        <v>0</v>
      </c>
      <c r="AI1292" s="11">
        <v>1</v>
      </c>
    </row>
    <row r="1293" spans="1:35" x14ac:dyDescent="0.25">
      <c r="A1293" s="161" t="str">
        <f>CONCATENATE(E1293,IF(ISBLANK(C1293),"",CONCATENATE("_",C1293)))</f>
        <v>PIKEMAN_ROME</v>
      </c>
      <c r="B1293" s="9" t="s">
        <v>107</v>
      </c>
      <c r="C1293" s="4" t="s">
        <v>734</v>
      </c>
      <c r="E1293" s="4" t="s">
        <v>107</v>
      </c>
      <c r="F1293" s="4" t="s">
        <v>107</v>
      </c>
      <c r="G1293" s="14" t="s">
        <v>2045</v>
      </c>
      <c r="H1293" s="4" t="s">
        <v>598</v>
      </c>
      <c r="I1293" s="4" t="s">
        <v>102</v>
      </c>
      <c r="Q1293" s="11">
        <v>2</v>
      </c>
      <c r="R1293" s="11" t="s">
        <v>1736</v>
      </c>
      <c r="T1293" s="11">
        <v>3</v>
      </c>
      <c r="Z1293" s="11">
        <v>0</v>
      </c>
      <c r="AF1293" s="11">
        <v>0</v>
      </c>
      <c r="AI1293" s="11">
        <v>1</v>
      </c>
    </row>
    <row r="1294" spans="1:35" x14ac:dyDescent="0.25">
      <c r="A1294" s="161" t="str">
        <f t="shared" si="23"/>
        <v>PIKEMAN_SPAIN</v>
      </c>
      <c r="B1294" s="9" t="s">
        <v>107</v>
      </c>
      <c r="C1294" s="4" t="s">
        <v>738</v>
      </c>
      <c r="D1294" s="4" t="s">
        <v>692</v>
      </c>
      <c r="E1294" s="4" t="s">
        <v>107</v>
      </c>
      <c r="F1294" s="4" t="s">
        <v>107</v>
      </c>
      <c r="G1294" s="14" t="s">
        <v>132</v>
      </c>
    </row>
    <row r="1295" spans="1:35" x14ac:dyDescent="0.25">
      <c r="A1295" s="161" t="str">
        <f t="shared" si="23"/>
        <v>PIKEMAN_VATICAN_CITY</v>
      </c>
      <c r="B1295" s="9" t="s">
        <v>107</v>
      </c>
      <c r="C1295" s="4" t="s">
        <v>741</v>
      </c>
      <c r="D1295" s="4" t="s">
        <v>740</v>
      </c>
      <c r="E1295" s="4" t="s">
        <v>107</v>
      </c>
      <c r="F1295" s="4" t="s">
        <v>107</v>
      </c>
      <c r="G1295" s="14" t="s">
        <v>132</v>
      </c>
    </row>
    <row r="1296" spans="1:35" x14ac:dyDescent="0.25">
      <c r="A1296" s="161" t="str">
        <f t="shared" si="23"/>
        <v>PIKEMAN_MIDEAST</v>
      </c>
      <c r="B1296" s="9" t="s">
        <v>107</v>
      </c>
      <c r="C1296" s="4" t="s">
        <v>690</v>
      </c>
      <c r="E1296" s="4" t="s">
        <v>107</v>
      </c>
      <c r="F1296" s="4" t="s">
        <v>107</v>
      </c>
      <c r="H1296" s="4" t="s">
        <v>168</v>
      </c>
      <c r="I1296" s="4" t="s">
        <v>2096</v>
      </c>
      <c r="R1296" s="11" t="s">
        <v>1736</v>
      </c>
    </row>
    <row r="1297" spans="1:43" x14ac:dyDescent="0.25">
      <c r="A1297" s="161" t="str">
        <f t="shared" si="23"/>
        <v>PIKEMAN_ARABIA</v>
      </c>
      <c r="B1297" s="9" t="s">
        <v>107</v>
      </c>
      <c r="C1297" s="4" t="s">
        <v>700</v>
      </c>
      <c r="D1297" s="14" t="s">
        <v>690</v>
      </c>
      <c r="E1297" s="4" t="s">
        <v>107</v>
      </c>
      <c r="F1297" s="4" t="s">
        <v>107</v>
      </c>
      <c r="G1297" s="14"/>
    </row>
    <row r="1298" spans="1:43" x14ac:dyDescent="0.25">
      <c r="A1298" s="161" t="str">
        <f t="shared" si="23"/>
        <v>PIKEMAN_BABYLON</v>
      </c>
      <c r="B1298" s="9" t="s">
        <v>107</v>
      </c>
      <c r="C1298" s="4" t="s">
        <v>703</v>
      </c>
      <c r="E1298" s="4" t="s">
        <v>107</v>
      </c>
      <c r="F1298" s="4" t="s">
        <v>107</v>
      </c>
      <c r="G1298" s="14"/>
      <c r="H1298" s="4" t="s">
        <v>215</v>
      </c>
      <c r="I1298" s="4" t="s">
        <v>102</v>
      </c>
      <c r="R1298" s="11" t="s">
        <v>1736</v>
      </c>
    </row>
    <row r="1299" spans="1:43" x14ac:dyDescent="0.25">
      <c r="A1299" s="161" t="str">
        <f t="shared" si="23"/>
        <v>PIKEMAN_EGYPT</v>
      </c>
      <c r="B1299" s="9" t="s">
        <v>107</v>
      </c>
      <c r="C1299" s="4" t="s">
        <v>712</v>
      </c>
      <c r="E1299" s="4" t="s">
        <v>107</v>
      </c>
      <c r="F1299" s="4" t="s">
        <v>107</v>
      </c>
      <c r="G1299" s="14" t="s">
        <v>132</v>
      </c>
      <c r="H1299" s="4" t="s">
        <v>285</v>
      </c>
      <c r="I1299" s="4" t="s">
        <v>2096</v>
      </c>
      <c r="R1299" s="11" t="s">
        <v>1736</v>
      </c>
    </row>
    <row r="1300" spans="1:43" x14ac:dyDescent="0.25">
      <c r="A1300" s="161" t="str">
        <f t="shared" si="23"/>
        <v>PIKEMAN_LEVANT</v>
      </c>
      <c r="B1300" s="9" t="s">
        <v>107</v>
      </c>
      <c r="C1300" s="4" t="s">
        <v>724</v>
      </c>
      <c r="E1300" s="4" t="s">
        <v>107</v>
      </c>
      <c r="F1300" s="4" t="s">
        <v>107</v>
      </c>
      <c r="G1300" s="14" t="s">
        <v>132</v>
      </c>
      <c r="H1300" s="4" t="s">
        <v>513</v>
      </c>
      <c r="I1300" s="4" t="s">
        <v>102</v>
      </c>
      <c r="R1300" s="11" t="s">
        <v>1736</v>
      </c>
    </row>
    <row r="1301" spans="1:43" x14ac:dyDescent="0.25">
      <c r="A1301" s="161" t="str">
        <f t="shared" si="23"/>
        <v>PIKEMAN_PERSIA</v>
      </c>
      <c r="B1301" s="9" t="s">
        <v>107</v>
      </c>
      <c r="C1301" s="4" t="s">
        <v>731</v>
      </c>
      <c r="E1301" s="4" t="s">
        <v>107</v>
      </c>
      <c r="F1301" s="4" t="s">
        <v>107</v>
      </c>
      <c r="G1301" s="14" t="s">
        <v>132</v>
      </c>
      <c r="H1301" s="4" t="s">
        <v>561</v>
      </c>
      <c r="I1301" s="4" t="s">
        <v>102</v>
      </c>
      <c r="R1301" s="11" t="s">
        <v>1736</v>
      </c>
    </row>
    <row r="1302" spans="1:43" x14ac:dyDescent="0.25">
      <c r="A1302" s="161" t="str">
        <f>CONCATENATE(E1302,IF(ISBLANK(C1302),"",CONCATENATE("_",C1302)))</f>
        <v>PIKEMAN_NORTHAF</v>
      </c>
      <c r="B1302" s="9" t="s">
        <v>107</v>
      </c>
      <c r="C1302" s="4" t="s">
        <v>2009</v>
      </c>
      <c r="E1302" s="4" t="s">
        <v>107</v>
      </c>
      <c r="F1302" s="4" t="s">
        <v>107</v>
      </c>
      <c r="G1302" s="14"/>
      <c r="H1302" s="4" t="s">
        <v>643</v>
      </c>
      <c r="I1302" s="4" t="s">
        <v>1933</v>
      </c>
      <c r="R1302" s="11" t="s">
        <v>1736</v>
      </c>
    </row>
    <row r="1303" spans="1:43" x14ac:dyDescent="0.25">
      <c r="A1303" s="161" t="str">
        <f t="shared" si="23"/>
        <v>PIKEMAN_NORTHEU</v>
      </c>
      <c r="B1303" s="9" t="s">
        <v>107</v>
      </c>
      <c r="C1303" s="4" t="s">
        <v>962</v>
      </c>
      <c r="E1303" s="4" t="s">
        <v>107</v>
      </c>
      <c r="F1303" s="4" t="s">
        <v>107</v>
      </c>
      <c r="G1303" s="14" t="s">
        <v>132</v>
      </c>
      <c r="H1303" s="4" t="s">
        <v>270</v>
      </c>
      <c r="I1303" s="4" t="s">
        <v>102</v>
      </c>
      <c r="R1303" s="11" t="s">
        <v>1736</v>
      </c>
    </row>
    <row r="1304" spans="1:43" x14ac:dyDescent="0.25">
      <c r="A1304" s="161" t="str">
        <f t="shared" si="23"/>
        <v>PIKEMAN_OCEAN</v>
      </c>
      <c r="B1304" s="9" t="s">
        <v>107</v>
      </c>
      <c r="C1304" s="4" t="s">
        <v>994</v>
      </c>
      <c r="D1304" s="4" t="s">
        <v>691</v>
      </c>
      <c r="E1304" s="4" t="s">
        <v>107</v>
      </c>
      <c r="F1304" s="4" t="s">
        <v>107</v>
      </c>
    </row>
    <row r="1305" spans="1:43" x14ac:dyDescent="0.25">
      <c r="A1305" s="161" t="str">
        <f t="shared" si="23"/>
        <v>PIKEMAN_SEASIA</v>
      </c>
      <c r="B1305" s="9" t="s">
        <v>107</v>
      </c>
      <c r="C1305" s="4" t="s">
        <v>696</v>
      </c>
      <c r="E1305" s="4" t="s">
        <v>107</v>
      </c>
      <c r="F1305" s="4" t="s">
        <v>107</v>
      </c>
      <c r="H1305" s="4" t="s">
        <v>452</v>
      </c>
      <c r="I1305" s="4" t="s">
        <v>1063</v>
      </c>
      <c r="R1305" s="11" t="s">
        <v>1736</v>
      </c>
    </row>
    <row r="1306" spans="1:43" x14ac:dyDescent="0.25">
      <c r="A1306" s="161" t="str">
        <f t="shared" si="23"/>
        <v>PIKEMAN_SOUTHAM</v>
      </c>
      <c r="B1306" s="9" t="s">
        <v>107</v>
      </c>
      <c r="C1306" s="4" t="s">
        <v>691</v>
      </c>
      <c r="E1306" s="4" t="s">
        <v>107</v>
      </c>
      <c r="F1306" s="4" t="s">
        <v>107</v>
      </c>
      <c r="H1306" s="4" t="s">
        <v>1813</v>
      </c>
      <c r="I1306" s="4" t="s">
        <v>963</v>
      </c>
      <c r="R1306" s="11" t="s">
        <v>1736</v>
      </c>
    </row>
    <row r="1307" spans="1:43" x14ac:dyDescent="0.25">
      <c r="A1307" s="161" t="str">
        <f t="shared" si="23"/>
        <v>PIKEMAN_AZTEC</v>
      </c>
      <c r="B1307" s="9" t="s">
        <v>107</v>
      </c>
      <c r="C1307" s="4" t="s">
        <v>702</v>
      </c>
      <c r="E1307" s="4" t="s">
        <v>107</v>
      </c>
      <c r="F1307" s="4" t="s">
        <v>107</v>
      </c>
      <c r="G1307" s="14"/>
      <c r="H1307" s="4" t="s">
        <v>199</v>
      </c>
      <c r="I1307" s="4" t="s">
        <v>102</v>
      </c>
      <c r="R1307" s="11" t="s">
        <v>1736</v>
      </c>
    </row>
    <row r="1308" spans="1:43" x14ac:dyDescent="0.25">
      <c r="A1308" s="161" t="str">
        <f t="shared" si="23"/>
        <v>PIKEMAN_INCA</v>
      </c>
      <c r="B1308" s="9" t="s">
        <v>107</v>
      </c>
      <c r="C1308" s="4" t="s">
        <v>719</v>
      </c>
      <c r="E1308" s="4" t="s">
        <v>107</v>
      </c>
      <c r="F1308" s="4" t="s">
        <v>107</v>
      </c>
      <c r="G1308" s="14" t="s">
        <v>132</v>
      </c>
      <c r="H1308" s="4" t="s">
        <v>425</v>
      </c>
      <c r="I1308" s="4" t="s">
        <v>102</v>
      </c>
      <c r="R1308" s="11" t="s">
        <v>1736</v>
      </c>
    </row>
    <row r="1309" spans="1:43" x14ac:dyDescent="0.25">
      <c r="A1309" s="161" t="str">
        <f t="shared" si="23"/>
        <v>PIKEMAN_MAYA</v>
      </c>
      <c r="B1309" s="9" t="s">
        <v>107</v>
      </c>
      <c r="C1309" s="4" t="s">
        <v>725</v>
      </c>
      <c r="E1309" s="4" t="s">
        <v>107</v>
      </c>
      <c r="F1309" s="4" t="s">
        <v>107</v>
      </c>
      <c r="G1309" s="14" t="s">
        <v>132</v>
      </c>
      <c r="H1309" s="4" t="s">
        <v>520</v>
      </c>
      <c r="I1309" s="4" t="s">
        <v>102</v>
      </c>
      <c r="R1309" s="11" t="s">
        <v>1736</v>
      </c>
    </row>
    <row r="1310" spans="1:43" x14ac:dyDescent="0.25">
      <c r="A1310" s="161" t="str">
        <f t="shared" si="23"/>
        <v>PIKEMAN_SOUTHAS</v>
      </c>
      <c r="B1310" s="9" t="s">
        <v>107</v>
      </c>
      <c r="C1310" s="4" t="s">
        <v>695</v>
      </c>
      <c r="E1310" s="4" t="s">
        <v>107</v>
      </c>
      <c r="F1310" s="4" t="s">
        <v>107</v>
      </c>
      <c r="H1310" s="4" t="s">
        <v>440</v>
      </c>
      <c r="I1310" s="4" t="s">
        <v>102</v>
      </c>
      <c r="R1310" s="11" t="s">
        <v>1736</v>
      </c>
    </row>
    <row r="1311" spans="1:43" x14ac:dyDescent="0.25">
      <c r="A1311" s="161" t="str">
        <f t="shared" si="23"/>
        <v>PRIVATEER</v>
      </c>
      <c r="C1311" s="5"/>
      <c r="D1311" s="5"/>
      <c r="E1311" s="5" t="s">
        <v>1364</v>
      </c>
      <c r="F1311" s="5" t="s">
        <v>1364</v>
      </c>
      <c r="G1311" s="5"/>
      <c r="H1311" s="5" t="s">
        <v>1505</v>
      </c>
      <c r="I1311" s="5" t="s">
        <v>128</v>
      </c>
      <c r="J1311" s="6"/>
      <c r="K1311" s="7"/>
      <c r="L1311" s="13" t="s">
        <v>1711</v>
      </c>
      <c r="M1311" s="8"/>
      <c r="N1311" s="13" t="s">
        <v>1726</v>
      </c>
      <c r="O1311" s="13"/>
      <c r="P1311" s="13"/>
      <c r="Q1311" s="7">
        <v>1</v>
      </c>
      <c r="R1311" s="6" t="s">
        <v>1736</v>
      </c>
      <c r="S1311" s="5"/>
      <c r="T1311" s="8"/>
      <c r="U1311" s="7" t="s">
        <v>1736</v>
      </c>
      <c r="V1311" s="5"/>
      <c r="W1311" s="6"/>
      <c r="X1311" s="6"/>
      <c r="Y1311" s="5"/>
      <c r="Z1311" s="6"/>
      <c r="AA1311" s="6"/>
      <c r="AB1311" s="5"/>
      <c r="AC1311" s="6"/>
      <c r="AD1311" s="6"/>
      <c r="AE1311" s="5"/>
      <c r="AF1311" s="6"/>
      <c r="AG1311" s="6"/>
      <c r="AH1311" s="5"/>
      <c r="AI1311" s="6"/>
      <c r="AJ1311" s="6"/>
      <c r="AK1311" s="5"/>
      <c r="AL1311" s="5"/>
      <c r="AM1311" s="5"/>
      <c r="AN1311" s="5"/>
      <c r="AO1311" s="5"/>
      <c r="AP1311" s="5"/>
      <c r="AQ1311" s="5"/>
    </row>
    <row r="1312" spans="1:43" x14ac:dyDescent="0.25">
      <c r="A1312" s="161" t="str">
        <f t="shared" si="23"/>
        <v>RIFLEMAN</v>
      </c>
      <c r="B1312" s="9" t="s">
        <v>123</v>
      </c>
      <c r="C1312" s="5"/>
      <c r="D1312" s="5"/>
      <c r="E1312" s="5" t="s">
        <v>123</v>
      </c>
      <c r="F1312" s="5" t="s">
        <v>123</v>
      </c>
      <c r="G1312" s="5"/>
      <c r="H1312" s="5" t="s">
        <v>21</v>
      </c>
      <c r="I1312" s="5" t="s">
        <v>128</v>
      </c>
      <c r="J1312" s="6"/>
      <c r="K1312" s="6"/>
      <c r="L1312" s="13" t="s">
        <v>1707</v>
      </c>
      <c r="M1312" s="8"/>
      <c r="N1312" s="5"/>
      <c r="O1312" s="5"/>
      <c r="P1312" s="5"/>
      <c r="Q1312" s="7">
        <v>14</v>
      </c>
      <c r="R1312" s="6" t="s">
        <v>1736</v>
      </c>
      <c r="S1312" s="13" t="s">
        <v>1618</v>
      </c>
      <c r="T1312" s="7">
        <v>19</v>
      </c>
      <c r="U1312" s="7" t="s">
        <v>1736</v>
      </c>
      <c r="V1312" s="5"/>
      <c r="W1312" s="6" t="s">
        <v>3</v>
      </c>
      <c r="X1312" s="6" t="s">
        <v>3</v>
      </c>
      <c r="Y1312" s="5"/>
      <c r="Z1312" s="7">
        <v>1</v>
      </c>
      <c r="AA1312" s="6"/>
      <c r="AB1312" s="5"/>
      <c r="AC1312" s="6"/>
      <c r="AD1312" s="6" t="s">
        <v>3</v>
      </c>
      <c r="AE1312" s="5"/>
      <c r="AF1312" s="7" t="s">
        <v>1736</v>
      </c>
      <c r="AG1312" s="6"/>
      <c r="AH1312" s="5"/>
      <c r="AI1312" s="7" t="s">
        <v>1736</v>
      </c>
      <c r="AJ1312" s="6"/>
      <c r="AK1312" s="5"/>
      <c r="AL1312" s="5"/>
      <c r="AM1312" s="5"/>
      <c r="AN1312" s="5"/>
      <c r="AO1312" s="5"/>
      <c r="AP1312" s="5"/>
      <c r="AQ1312" s="5"/>
    </row>
    <row r="1313" spans="1:35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H1313" s="4" t="s">
        <v>820</v>
      </c>
      <c r="I1313" s="4" t="s">
        <v>993</v>
      </c>
      <c r="Q1313" s="9">
        <v>1</v>
      </c>
      <c r="R1313" s="11">
        <v>0.122</v>
      </c>
      <c r="T1313" s="11">
        <v>2</v>
      </c>
      <c r="Z1313" s="9">
        <v>1</v>
      </c>
      <c r="AF1313" s="11">
        <v>1</v>
      </c>
      <c r="AI1313" s="11">
        <v>1</v>
      </c>
    </row>
    <row r="1314" spans="1:35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G1314" s="4" t="s">
        <v>1163</v>
      </c>
      <c r="H1314" s="4" t="s">
        <v>821</v>
      </c>
      <c r="I1314" s="4" t="s">
        <v>993</v>
      </c>
      <c r="Q1314" s="9">
        <v>3</v>
      </c>
      <c r="R1314" s="11">
        <v>0.122</v>
      </c>
      <c r="T1314" s="11">
        <v>4</v>
      </c>
      <c r="Z1314" s="9">
        <v>0</v>
      </c>
      <c r="AF1314" s="11">
        <v>1</v>
      </c>
      <c r="AI1314" s="11">
        <v>2</v>
      </c>
    </row>
    <row r="1315" spans="1:35" x14ac:dyDescent="0.25">
      <c r="A1315" s="17" t="str">
        <f t="shared" si="23"/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1164</v>
      </c>
      <c r="H1315" s="4" t="s">
        <v>232</v>
      </c>
      <c r="I1315" s="4" t="s">
        <v>993</v>
      </c>
      <c r="Q1315" s="9">
        <v>1</v>
      </c>
      <c r="R1315" s="11">
        <v>0.122</v>
      </c>
      <c r="T1315" s="11">
        <v>4</v>
      </c>
      <c r="Z1315" s="9">
        <v>0</v>
      </c>
      <c r="AF1315" s="11">
        <v>1</v>
      </c>
      <c r="AI1315" s="11">
        <v>1</v>
      </c>
    </row>
    <row r="1316" spans="1:35" x14ac:dyDescent="0.25">
      <c r="A1316" s="17" t="str">
        <f>CONCATENATE(E1316,IF(ISBLANK(C1316),"",CONCATENATE("_",C1316)))</f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1164</v>
      </c>
      <c r="H1316" s="4" t="s">
        <v>232</v>
      </c>
      <c r="I1316" s="4" t="s">
        <v>993</v>
      </c>
      <c r="Q1316" s="9">
        <v>3</v>
      </c>
      <c r="R1316" s="11">
        <v>0.122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7" t="str">
        <f>CONCATENATE(E1317,IF(ISBLANK(C1317),"",CONCATENATE("_",C1317)))</f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G1317" s="4" t="s">
        <v>1163</v>
      </c>
      <c r="H1317" s="4" t="s">
        <v>821</v>
      </c>
      <c r="I1317" s="4" t="s">
        <v>993</v>
      </c>
      <c r="Q1317" s="9">
        <v>2</v>
      </c>
      <c r="R1317" s="11">
        <v>0.122</v>
      </c>
      <c r="T1317" s="11">
        <v>3</v>
      </c>
      <c r="Z1317" s="9">
        <v>0</v>
      </c>
      <c r="AF1317" s="11">
        <v>0</v>
      </c>
      <c r="AI1317" s="11">
        <v>1</v>
      </c>
    </row>
    <row r="1318" spans="1:35" x14ac:dyDescent="0.25">
      <c r="A1318" s="17" t="str">
        <f t="shared" si="23"/>
        <v>RIFLEMAN_AFRI</v>
      </c>
      <c r="B1318" s="9" t="s">
        <v>123</v>
      </c>
      <c r="C1318" s="4" t="s">
        <v>694</v>
      </c>
      <c r="E1318" s="4" t="s">
        <v>123</v>
      </c>
      <c r="F1318" s="4" t="s">
        <v>123</v>
      </c>
      <c r="H1318" s="4" t="s">
        <v>820</v>
      </c>
      <c r="I1318" s="4" t="s">
        <v>993</v>
      </c>
      <c r="Q1318" s="9">
        <v>4</v>
      </c>
      <c r="R1318" s="11">
        <v>0.122</v>
      </c>
      <c r="T1318" s="11">
        <v>4</v>
      </c>
      <c r="Z1318" s="9">
        <v>0</v>
      </c>
      <c r="AF1318" s="11">
        <v>0</v>
      </c>
      <c r="AI1318" s="11">
        <v>1</v>
      </c>
    </row>
    <row r="1319" spans="1:35" x14ac:dyDescent="0.25">
      <c r="A1319" s="161" t="str">
        <f t="shared" si="23"/>
        <v>RIFLEMAN_AMER</v>
      </c>
      <c r="B1319" s="9" t="s">
        <v>123</v>
      </c>
      <c r="C1319" s="4" t="s">
        <v>697</v>
      </c>
      <c r="E1319" s="4" t="s">
        <v>123</v>
      </c>
      <c r="F1319" s="4" t="s">
        <v>123</v>
      </c>
      <c r="H1319" s="4" t="s">
        <v>469</v>
      </c>
      <c r="I1319" s="4" t="s">
        <v>122</v>
      </c>
      <c r="R1319" s="11">
        <v>0.13</v>
      </c>
    </row>
    <row r="1320" spans="1:35" x14ac:dyDescent="0.25">
      <c r="A1320" s="161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H1320" s="4" t="s">
        <v>945</v>
      </c>
      <c r="I1320" s="4" t="s">
        <v>122</v>
      </c>
      <c r="Q1320" s="9">
        <v>1</v>
      </c>
      <c r="R1320" s="11">
        <v>0.13</v>
      </c>
      <c r="T1320" s="11">
        <v>3</v>
      </c>
      <c r="Z1320" s="9">
        <v>1</v>
      </c>
      <c r="AF1320" s="11">
        <v>1</v>
      </c>
      <c r="AI1320" s="11">
        <v>1</v>
      </c>
    </row>
    <row r="1321" spans="1:35" x14ac:dyDescent="0.25">
      <c r="A1321" s="161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G1321" s="4" t="s">
        <v>2045</v>
      </c>
      <c r="H1321" s="4" t="s">
        <v>946</v>
      </c>
      <c r="I1321" s="4" t="s">
        <v>122</v>
      </c>
      <c r="Q1321" s="9">
        <v>3</v>
      </c>
      <c r="R1321" s="11">
        <v>0.13</v>
      </c>
      <c r="T1321" s="11">
        <v>4</v>
      </c>
      <c r="Z1321" s="9">
        <v>0</v>
      </c>
      <c r="AF1321" s="11">
        <v>1</v>
      </c>
      <c r="AI1321" s="11">
        <v>2</v>
      </c>
    </row>
    <row r="1322" spans="1:35" x14ac:dyDescent="0.25">
      <c r="A1322" s="161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G1322" s="4" t="s">
        <v>2047</v>
      </c>
      <c r="H1322" s="4" t="s">
        <v>469</v>
      </c>
      <c r="I1322" s="4" t="s">
        <v>122</v>
      </c>
      <c r="Q1322" s="9">
        <v>1</v>
      </c>
      <c r="R1322" s="11">
        <v>0.13</v>
      </c>
      <c r="T1322" s="11">
        <v>3</v>
      </c>
      <c r="Z1322" s="9">
        <v>0</v>
      </c>
      <c r="AF1322" s="11">
        <v>1</v>
      </c>
      <c r="AI1322" s="11">
        <v>1</v>
      </c>
    </row>
    <row r="1323" spans="1:35" x14ac:dyDescent="0.25">
      <c r="A1323" s="161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H1323" s="4" t="s">
        <v>945</v>
      </c>
      <c r="I1323" s="4" t="s">
        <v>122</v>
      </c>
      <c r="Q1323" s="9">
        <v>3</v>
      </c>
      <c r="R1323" s="11">
        <v>0.13</v>
      </c>
      <c r="T1323" s="11">
        <v>3</v>
      </c>
      <c r="Z1323" s="9">
        <v>0</v>
      </c>
      <c r="AF1323" s="11">
        <v>0</v>
      </c>
      <c r="AI1323" s="11">
        <v>1</v>
      </c>
    </row>
    <row r="1324" spans="1:35" x14ac:dyDescent="0.25">
      <c r="A1324" s="161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G1324" s="4" t="s">
        <v>2045</v>
      </c>
      <c r="H1324" s="4" t="s">
        <v>946</v>
      </c>
      <c r="I1324" s="4" t="s">
        <v>122</v>
      </c>
      <c r="Q1324" s="9">
        <v>2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</row>
    <row r="1325" spans="1:35" x14ac:dyDescent="0.25">
      <c r="A1325" s="161" t="str">
        <f t="shared" si="23"/>
        <v>RIFLEMAN_IROQUOIS</v>
      </c>
      <c r="B1325" s="9" t="s">
        <v>123</v>
      </c>
      <c r="C1325" s="4" t="s">
        <v>721</v>
      </c>
      <c r="E1325" s="4" t="s">
        <v>123</v>
      </c>
      <c r="F1325" s="4" t="s">
        <v>123</v>
      </c>
      <c r="G1325" s="4" t="s">
        <v>2047</v>
      </c>
      <c r="H1325" s="4" t="s">
        <v>469</v>
      </c>
      <c r="I1325" s="4" t="s">
        <v>122</v>
      </c>
      <c r="Q1325" s="9">
        <v>4</v>
      </c>
      <c r="R1325" s="11">
        <v>0.13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3"/>
        <v>RIFLEMAN_ASIA</v>
      </c>
      <c r="B1326" s="9" t="s">
        <v>123</v>
      </c>
      <c r="C1326" s="4" t="s">
        <v>693</v>
      </c>
      <c r="E1326" s="4" t="s">
        <v>123</v>
      </c>
      <c r="F1326" s="4" t="s">
        <v>123</v>
      </c>
      <c r="H1326" s="4" t="s">
        <v>453</v>
      </c>
      <c r="I1326" s="4" t="s">
        <v>122</v>
      </c>
      <c r="R1326" s="11">
        <v>0.125</v>
      </c>
    </row>
    <row r="1327" spans="1:35" x14ac:dyDescent="0.25">
      <c r="A1327" s="161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H1327" s="4" t="s">
        <v>830</v>
      </c>
      <c r="I1327" s="4" t="s">
        <v>122</v>
      </c>
      <c r="Q1327" s="9">
        <v>1</v>
      </c>
      <c r="R1327" s="11">
        <v>0.125</v>
      </c>
      <c r="T1327" s="11">
        <v>2</v>
      </c>
      <c r="Z1327" s="9">
        <v>1</v>
      </c>
      <c r="AF1327" s="11">
        <v>1</v>
      </c>
      <c r="AI1327" s="11">
        <v>1</v>
      </c>
    </row>
    <row r="1328" spans="1:35" x14ac:dyDescent="0.25">
      <c r="A1328" s="161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G1328" s="4" t="s">
        <v>2045</v>
      </c>
      <c r="H1328" s="4" t="s">
        <v>831</v>
      </c>
      <c r="I1328" s="4" t="s">
        <v>122</v>
      </c>
      <c r="Q1328" s="9">
        <v>4</v>
      </c>
      <c r="R1328" s="11">
        <v>0.125</v>
      </c>
      <c r="T1328" s="11">
        <v>4</v>
      </c>
      <c r="Z1328" s="9">
        <v>0</v>
      </c>
      <c r="AF1328" s="11">
        <v>1</v>
      </c>
      <c r="AI1328" s="11">
        <v>2</v>
      </c>
    </row>
    <row r="1329" spans="1:35" x14ac:dyDescent="0.25">
      <c r="A1329" s="161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G1329" s="4" t="s">
        <v>2047</v>
      </c>
      <c r="H1329" s="4" t="s">
        <v>257</v>
      </c>
      <c r="I1329" s="4" t="s">
        <v>122</v>
      </c>
      <c r="Q1329" s="9">
        <v>3</v>
      </c>
      <c r="R1329" s="11">
        <v>0.125</v>
      </c>
      <c r="T1329" s="11">
        <v>4</v>
      </c>
      <c r="Z1329" s="9">
        <v>0</v>
      </c>
      <c r="AF1329" s="11">
        <v>1</v>
      </c>
      <c r="AI1329" s="11">
        <v>1</v>
      </c>
    </row>
    <row r="1330" spans="1:35" x14ac:dyDescent="0.25">
      <c r="A1330" s="161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H1330" s="4" t="s">
        <v>830</v>
      </c>
      <c r="I1330" s="4" t="s">
        <v>122</v>
      </c>
      <c r="Q1330" s="9">
        <v>3</v>
      </c>
      <c r="R1330" s="11">
        <v>0.125</v>
      </c>
      <c r="T1330" s="11">
        <v>4</v>
      </c>
      <c r="Z1330" s="9">
        <v>0</v>
      </c>
      <c r="AF1330" s="11">
        <v>0</v>
      </c>
      <c r="AI1330" s="11">
        <v>1</v>
      </c>
    </row>
    <row r="1331" spans="1:35" x14ac:dyDescent="0.25">
      <c r="A1331" s="161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G1331" s="4" t="s">
        <v>2045</v>
      </c>
      <c r="H1331" s="4" t="s">
        <v>831</v>
      </c>
      <c r="I1331" s="4" t="s">
        <v>122</v>
      </c>
      <c r="Q1331" s="9">
        <v>1</v>
      </c>
      <c r="R1331" s="11">
        <v>0.125</v>
      </c>
      <c r="T1331" s="11">
        <v>3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23"/>
        <v>RIFLEMAN_CHINA</v>
      </c>
      <c r="B1332" s="9" t="s">
        <v>123</v>
      </c>
      <c r="C1332" s="4" t="s">
        <v>710</v>
      </c>
      <c r="E1332" s="4" t="s">
        <v>123</v>
      </c>
      <c r="F1332" s="4" t="s">
        <v>123</v>
      </c>
      <c r="G1332" s="4" t="s">
        <v>2047</v>
      </c>
      <c r="H1332" s="4" t="s">
        <v>257</v>
      </c>
      <c r="I1332" s="4" t="s">
        <v>122</v>
      </c>
      <c r="Q1332" s="9">
        <v>2</v>
      </c>
      <c r="R1332" s="11">
        <v>0.125</v>
      </c>
      <c r="T1332" s="11">
        <v>2</v>
      </c>
      <c r="Z1332" s="9">
        <v>0</v>
      </c>
      <c r="AF1332" s="11">
        <v>0</v>
      </c>
      <c r="AI1332" s="11">
        <v>1</v>
      </c>
    </row>
    <row r="1333" spans="1:35" x14ac:dyDescent="0.25">
      <c r="A1333" s="161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H1333" s="4" t="s">
        <v>955</v>
      </c>
      <c r="I1333" s="4" t="s">
        <v>122</v>
      </c>
      <c r="Q1333" s="9">
        <v>1</v>
      </c>
      <c r="R1333" s="11">
        <v>0.13</v>
      </c>
      <c r="T1333" s="11">
        <v>3</v>
      </c>
      <c r="Z1333" s="9">
        <v>1</v>
      </c>
      <c r="AF1333" s="11">
        <v>1</v>
      </c>
      <c r="AI1333" s="11">
        <v>1</v>
      </c>
    </row>
    <row r="1334" spans="1:35" x14ac:dyDescent="0.25">
      <c r="A1334" s="161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G1334" s="4" t="s">
        <v>2045</v>
      </c>
      <c r="H1334" s="4" t="s">
        <v>956</v>
      </c>
      <c r="I1334" s="4" t="s">
        <v>122</v>
      </c>
      <c r="Q1334" s="9">
        <v>4</v>
      </c>
      <c r="R1334" s="11">
        <v>0.13</v>
      </c>
      <c r="T1334" s="11">
        <v>4</v>
      </c>
      <c r="Z1334" s="9">
        <v>0</v>
      </c>
      <c r="AF1334" s="11">
        <v>1</v>
      </c>
      <c r="AI1334" s="11">
        <v>2</v>
      </c>
    </row>
    <row r="1335" spans="1:35" x14ac:dyDescent="0.25">
      <c r="A1335" s="161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G1335" s="4" t="s">
        <v>2047</v>
      </c>
      <c r="H1335" s="4" t="s">
        <v>488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1</v>
      </c>
      <c r="AI1335" s="11">
        <v>1</v>
      </c>
    </row>
    <row r="1336" spans="1:35" x14ac:dyDescent="0.25">
      <c r="A1336" s="161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H1336" s="4" t="s">
        <v>955</v>
      </c>
      <c r="I1336" s="4" t="s">
        <v>122</v>
      </c>
      <c r="Q1336" s="9">
        <v>3</v>
      </c>
      <c r="R1336" s="11">
        <v>0.13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G1337" s="4" t="s">
        <v>2045</v>
      </c>
      <c r="H1337" s="4" t="s">
        <v>956</v>
      </c>
      <c r="I1337" s="4" t="s">
        <v>122</v>
      </c>
      <c r="Q1337" s="9">
        <v>1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3"/>
        <v>RIFLEMAN_JAPAN</v>
      </c>
      <c r="B1338" s="9" t="s">
        <v>123</v>
      </c>
      <c r="C1338" s="4" t="s">
        <v>722</v>
      </c>
      <c r="E1338" s="4" t="s">
        <v>123</v>
      </c>
      <c r="F1338" s="4" t="s">
        <v>123</v>
      </c>
      <c r="G1338" s="4" t="s">
        <v>2047</v>
      </c>
      <c r="H1338" s="4" t="s">
        <v>488</v>
      </c>
      <c r="I1338" s="4" t="s">
        <v>122</v>
      </c>
      <c r="Q1338" s="9">
        <v>2</v>
      </c>
      <c r="R1338" s="11">
        <v>0.13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H1339" s="4" t="s">
        <v>1044</v>
      </c>
      <c r="I1339" s="4" t="s">
        <v>122</v>
      </c>
      <c r="Q1339" s="9">
        <v>1</v>
      </c>
      <c r="R1339" s="11">
        <v>0.13</v>
      </c>
      <c r="T1339" s="9">
        <v>3</v>
      </c>
      <c r="Z1339" s="9">
        <v>1</v>
      </c>
      <c r="AF1339" s="11">
        <v>1</v>
      </c>
      <c r="AI1339" s="11">
        <v>1</v>
      </c>
    </row>
    <row r="1340" spans="1:35" x14ac:dyDescent="0.25">
      <c r="A1340" s="161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G1340" s="4" t="s">
        <v>2045</v>
      </c>
      <c r="H1340" s="4" t="s">
        <v>1043</v>
      </c>
      <c r="I1340" s="4" t="s">
        <v>122</v>
      </c>
      <c r="Q1340" s="9">
        <v>3</v>
      </c>
      <c r="R1340" s="11">
        <v>0.13</v>
      </c>
      <c r="T1340" s="9">
        <v>4</v>
      </c>
      <c r="Z1340" s="9">
        <v>0</v>
      </c>
      <c r="AF1340" s="11">
        <v>1</v>
      </c>
      <c r="AI1340" s="11">
        <v>2</v>
      </c>
    </row>
    <row r="1341" spans="1:35" x14ac:dyDescent="0.25">
      <c r="A1341" s="161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G1341" s="4" t="s">
        <v>2047</v>
      </c>
      <c r="H1341" s="4" t="s">
        <v>1042</v>
      </c>
      <c r="I1341" s="4" t="s">
        <v>122</v>
      </c>
      <c r="Q1341" s="9">
        <v>1</v>
      </c>
      <c r="R1341" s="11">
        <v>0.13</v>
      </c>
      <c r="T1341" s="9">
        <v>3</v>
      </c>
      <c r="Z1341" s="9">
        <v>0</v>
      </c>
      <c r="AF1341" s="11">
        <v>1</v>
      </c>
      <c r="AI1341" s="11">
        <v>1</v>
      </c>
    </row>
    <row r="1342" spans="1:35" x14ac:dyDescent="0.25">
      <c r="A1342" s="161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H1342" s="4" t="s">
        <v>1044</v>
      </c>
      <c r="I1342" s="4" t="s">
        <v>122</v>
      </c>
      <c r="Q1342" s="9">
        <v>3</v>
      </c>
      <c r="R1342" s="11">
        <v>0.13</v>
      </c>
      <c r="T1342" s="9">
        <v>3</v>
      </c>
      <c r="Z1342" s="9">
        <v>0</v>
      </c>
      <c r="AF1342" s="11">
        <v>0</v>
      </c>
      <c r="AI1342" s="11">
        <v>1</v>
      </c>
    </row>
    <row r="1343" spans="1:35" x14ac:dyDescent="0.25">
      <c r="A1343" s="161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G1343" s="4" t="s">
        <v>2045</v>
      </c>
      <c r="H1343" s="4" t="s">
        <v>1043</v>
      </c>
      <c r="I1343" s="4" t="s">
        <v>122</v>
      </c>
      <c r="Q1343" s="9">
        <v>2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23"/>
        <v>RIFLEMAN_CENTAS</v>
      </c>
      <c r="B1344" s="9" t="s">
        <v>123</v>
      </c>
      <c r="C1344" s="4" t="s">
        <v>918</v>
      </c>
      <c r="E1344" s="4" t="s">
        <v>123</v>
      </c>
      <c r="F1344" s="4" t="s">
        <v>123</v>
      </c>
      <c r="G1344" s="4" t="s">
        <v>2047</v>
      </c>
      <c r="H1344" s="4" t="s">
        <v>1042</v>
      </c>
      <c r="I1344" s="4" t="s">
        <v>122</v>
      </c>
      <c r="Q1344" s="9">
        <v>4</v>
      </c>
      <c r="R1344" s="11">
        <v>0.13</v>
      </c>
      <c r="T1344" s="9">
        <v>3</v>
      </c>
      <c r="Z1344" s="9">
        <v>0</v>
      </c>
      <c r="AF1344" s="11">
        <v>0</v>
      </c>
      <c r="AI1344" s="11">
        <v>1</v>
      </c>
    </row>
    <row r="1345" spans="1:35" x14ac:dyDescent="0.25">
      <c r="A1345" s="161" t="str">
        <f t="shared" si="23"/>
        <v>RIFLEMAN_HUNS</v>
      </c>
      <c r="B1345" s="9" t="s">
        <v>123</v>
      </c>
      <c r="C1345" s="4" t="s">
        <v>904</v>
      </c>
      <c r="E1345" s="4" t="s">
        <v>123</v>
      </c>
      <c r="F1345" s="4" t="s">
        <v>123</v>
      </c>
      <c r="H1345" s="4" t="s">
        <v>913</v>
      </c>
      <c r="I1345" s="4" t="s">
        <v>122</v>
      </c>
      <c r="Q1345" s="11">
        <v>14</v>
      </c>
      <c r="R1345" s="11">
        <v>0.125</v>
      </c>
      <c r="T1345" s="11">
        <v>19</v>
      </c>
      <c r="W1345" s="11" t="s">
        <v>3</v>
      </c>
      <c r="Z1345" s="11">
        <v>1</v>
      </c>
      <c r="AD1345" s="11" t="s">
        <v>3</v>
      </c>
      <c r="AF1345" s="11" t="s">
        <v>1736</v>
      </c>
      <c r="AI1345" s="11" t="s">
        <v>1736</v>
      </c>
    </row>
    <row r="1346" spans="1:35" x14ac:dyDescent="0.25">
      <c r="A1346" s="161" t="str">
        <f t="shared" ref="A1346:A1403" si="24">CONCATENATE(E1346,IF(ISBLANK(C1346),"",CONCATENATE("_",C1346)))</f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H1346" s="4" t="s">
        <v>1011</v>
      </c>
      <c r="I1346" s="4" t="s">
        <v>122</v>
      </c>
      <c r="Q1346" s="9">
        <v>1</v>
      </c>
      <c r="R1346" s="11">
        <v>0.13</v>
      </c>
      <c r="T1346" s="11">
        <v>3</v>
      </c>
      <c r="Z1346" s="9">
        <v>1</v>
      </c>
      <c r="AF1346" s="11">
        <v>1</v>
      </c>
      <c r="AI1346" s="11">
        <v>1</v>
      </c>
    </row>
    <row r="1347" spans="1:35" x14ac:dyDescent="0.25">
      <c r="A1347" s="161" t="str">
        <f t="shared" si="24"/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G1347" s="4" t="s">
        <v>2045</v>
      </c>
      <c r="H1347" s="4" t="s">
        <v>1012</v>
      </c>
      <c r="I1347" s="4" t="s">
        <v>122</v>
      </c>
      <c r="Q1347" s="9">
        <v>4</v>
      </c>
      <c r="R1347" s="11">
        <v>0.13</v>
      </c>
      <c r="T1347" s="11">
        <v>4</v>
      </c>
      <c r="Z1347" s="9">
        <v>0</v>
      </c>
      <c r="AF1347" s="11">
        <v>1</v>
      </c>
      <c r="AI1347" s="11">
        <v>2</v>
      </c>
    </row>
    <row r="1348" spans="1:35" x14ac:dyDescent="0.25">
      <c r="A1348" s="161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G1348" s="4" t="s">
        <v>2047</v>
      </c>
      <c r="H1348" s="4" t="s">
        <v>624</v>
      </c>
      <c r="I1348" s="4" t="s">
        <v>122</v>
      </c>
      <c r="Q1348" s="9">
        <v>2</v>
      </c>
      <c r="R1348" s="11">
        <v>0.13</v>
      </c>
      <c r="T1348" s="11">
        <v>3</v>
      </c>
      <c r="Z1348" s="9">
        <v>0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H1349" s="4" t="s">
        <v>1011</v>
      </c>
      <c r="I1349" s="4" t="s">
        <v>122</v>
      </c>
      <c r="Q1349" s="9">
        <v>3</v>
      </c>
      <c r="R1349" s="11">
        <v>0.13</v>
      </c>
      <c r="T1349" s="11">
        <v>3</v>
      </c>
      <c r="Z1349" s="9">
        <v>0</v>
      </c>
      <c r="AF1349" s="11">
        <v>0</v>
      </c>
      <c r="AI1349" s="11">
        <v>1</v>
      </c>
    </row>
    <row r="1350" spans="1:35" x14ac:dyDescent="0.25">
      <c r="A1350" s="161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G1350" s="4" t="s">
        <v>2045</v>
      </c>
      <c r="H1350" s="4" t="s">
        <v>1012</v>
      </c>
      <c r="I1350" s="4" t="s">
        <v>122</v>
      </c>
      <c r="Q1350" s="9">
        <v>1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24"/>
        <v>RIFLEMAN_RUSSIA</v>
      </c>
      <c r="B1351" s="9" t="s">
        <v>123</v>
      </c>
      <c r="C1351" s="4" t="s">
        <v>735</v>
      </c>
      <c r="E1351" s="4" t="s">
        <v>123</v>
      </c>
      <c r="F1351" s="4" t="s">
        <v>123</v>
      </c>
      <c r="G1351" s="4" t="s">
        <v>2047</v>
      </c>
      <c r="H1351" s="4" t="s">
        <v>624</v>
      </c>
      <c r="I1351" s="4" t="s">
        <v>122</v>
      </c>
      <c r="Q1351" s="9">
        <v>3</v>
      </c>
      <c r="R1351" s="11">
        <v>0.13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H1352" s="4" t="s">
        <v>804</v>
      </c>
      <c r="I1352" s="4" t="s">
        <v>122</v>
      </c>
      <c r="Q1352" s="9">
        <v>1</v>
      </c>
      <c r="R1352" s="11">
        <v>0.13</v>
      </c>
      <c r="T1352" s="11">
        <v>3</v>
      </c>
      <c r="U1352" s="11">
        <v>9.5000000000000001E-2</v>
      </c>
      <c r="Z1352" s="9">
        <v>1</v>
      </c>
      <c r="AF1352" s="11">
        <v>1</v>
      </c>
      <c r="AI1352" s="11">
        <v>1</v>
      </c>
    </row>
    <row r="1353" spans="1:35" x14ac:dyDescent="0.25">
      <c r="A1353" s="161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G1353" s="4" t="s">
        <v>2045</v>
      </c>
      <c r="H1353" s="4" t="s">
        <v>805</v>
      </c>
      <c r="I1353" s="4" t="s">
        <v>122</v>
      </c>
      <c r="Q1353" s="9">
        <v>4</v>
      </c>
      <c r="R1353" s="11">
        <v>0.13</v>
      </c>
      <c r="T1353" s="11">
        <v>4</v>
      </c>
      <c r="U1353" s="11">
        <v>9.5000000000000001E-2</v>
      </c>
      <c r="Z1353" s="9">
        <v>0</v>
      </c>
      <c r="AF1353" s="11">
        <v>1</v>
      </c>
      <c r="AI1353" s="11">
        <v>2</v>
      </c>
    </row>
    <row r="1354" spans="1:35" x14ac:dyDescent="0.25">
      <c r="A1354" s="161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G1354" s="4" t="s">
        <v>2047</v>
      </c>
      <c r="H1354" s="4" t="s">
        <v>149</v>
      </c>
      <c r="I1354" s="4" t="s">
        <v>122</v>
      </c>
      <c r="Q1354" s="9">
        <v>2</v>
      </c>
      <c r="R1354" s="11">
        <v>0.13</v>
      </c>
      <c r="T1354" s="11">
        <v>3</v>
      </c>
      <c r="U1354" s="11">
        <v>9.5000000000000001E-2</v>
      </c>
      <c r="Z1354" s="9">
        <v>0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H1355" s="4" t="s">
        <v>804</v>
      </c>
      <c r="I1355" s="4" t="s">
        <v>122</v>
      </c>
      <c r="Q1355" s="9">
        <v>3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0</v>
      </c>
      <c r="AI1355" s="11">
        <v>1</v>
      </c>
    </row>
    <row r="1356" spans="1:35" x14ac:dyDescent="0.25">
      <c r="A1356" s="161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G1356" s="4" t="s">
        <v>2045</v>
      </c>
      <c r="H1356" s="4" t="s">
        <v>805</v>
      </c>
      <c r="I1356" s="4" t="s">
        <v>122</v>
      </c>
      <c r="Q1356" s="9">
        <v>1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24"/>
        <v>RIFLEMAN_AMERICA</v>
      </c>
      <c r="B1357" s="9" t="s">
        <v>123</v>
      </c>
      <c r="C1357" s="4" t="s">
        <v>699</v>
      </c>
      <c r="E1357" s="4" t="s">
        <v>123</v>
      </c>
      <c r="F1357" s="4" t="s">
        <v>123</v>
      </c>
      <c r="G1357" s="4" t="s">
        <v>2047</v>
      </c>
      <c r="H1357" s="4" t="s">
        <v>149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9.5000000000000001E-2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H1358" s="4" t="s">
        <v>812</v>
      </c>
      <c r="I1358" s="4" t="s">
        <v>122</v>
      </c>
      <c r="Q1358" s="9">
        <v>1</v>
      </c>
      <c r="R1358" s="11">
        <v>0.125</v>
      </c>
      <c r="T1358" s="11">
        <v>3</v>
      </c>
      <c r="Z1358" s="9">
        <v>1</v>
      </c>
      <c r="AF1358" s="11">
        <v>1</v>
      </c>
      <c r="AI1358" s="11">
        <v>1</v>
      </c>
    </row>
    <row r="1359" spans="1:35" x14ac:dyDescent="0.25">
      <c r="A1359" s="161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G1359" s="4" t="s">
        <v>2045</v>
      </c>
      <c r="H1359" s="4" t="s">
        <v>813</v>
      </c>
      <c r="I1359" s="4" t="s">
        <v>122</v>
      </c>
      <c r="Q1359" s="9">
        <v>4</v>
      </c>
      <c r="R1359" s="11">
        <v>0.125</v>
      </c>
      <c r="T1359" s="11">
        <v>4</v>
      </c>
      <c r="Z1359" s="9">
        <v>0</v>
      </c>
      <c r="AF1359" s="11">
        <v>1</v>
      </c>
      <c r="AI1359" s="11">
        <v>2</v>
      </c>
    </row>
    <row r="1360" spans="1:35" x14ac:dyDescent="0.25">
      <c r="A1360" s="161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G1360" s="4" t="s">
        <v>2047</v>
      </c>
      <c r="H1360" s="4" t="s">
        <v>185</v>
      </c>
      <c r="I1360" s="4" t="s">
        <v>122</v>
      </c>
      <c r="Q1360" s="9">
        <v>2</v>
      </c>
      <c r="R1360" s="11">
        <v>0.125</v>
      </c>
      <c r="T1360" s="11">
        <v>3</v>
      </c>
      <c r="Z1360" s="9">
        <v>0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H1361" s="4" t="s">
        <v>812</v>
      </c>
      <c r="I1361" s="4" t="s">
        <v>122</v>
      </c>
      <c r="Q1361" s="9">
        <v>3</v>
      </c>
      <c r="R1361" s="11">
        <v>0.125</v>
      </c>
      <c r="T1361" s="11">
        <v>3</v>
      </c>
      <c r="Z1361" s="9">
        <v>0</v>
      </c>
      <c r="AF1361" s="11">
        <v>0</v>
      </c>
      <c r="AI1361" s="11">
        <v>1</v>
      </c>
    </row>
    <row r="1362" spans="1:35" x14ac:dyDescent="0.25">
      <c r="A1362" s="161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G1362" s="4" t="s">
        <v>2045</v>
      </c>
      <c r="H1362" s="4" t="s">
        <v>813</v>
      </c>
      <c r="I1362" s="4" t="s">
        <v>122</v>
      </c>
      <c r="Q1362" s="9">
        <v>1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24"/>
        <v>RIFLEMAN_AUSTRIA</v>
      </c>
      <c r="B1363" s="9" t="s">
        <v>123</v>
      </c>
      <c r="C1363" s="4" t="s">
        <v>701</v>
      </c>
      <c r="E1363" s="4" t="s">
        <v>123</v>
      </c>
      <c r="F1363" s="4" t="s">
        <v>123</v>
      </c>
      <c r="G1363" s="4" t="s">
        <v>2047</v>
      </c>
      <c r="H1363" s="4" t="s">
        <v>185</v>
      </c>
      <c r="I1363" s="4" t="s">
        <v>122</v>
      </c>
      <c r="Q1363" s="9">
        <v>3</v>
      </c>
      <c r="R1363" s="11">
        <v>0.125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H1364" s="4" t="s">
        <v>825</v>
      </c>
      <c r="I1364" s="4" t="s">
        <v>122</v>
      </c>
      <c r="Q1364" s="9">
        <v>1</v>
      </c>
      <c r="R1364" s="11">
        <v>0.125</v>
      </c>
      <c r="T1364" s="11">
        <v>3</v>
      </c>
      <c r="Z1364" s="9">
        <v>1</v>
      </c>
      <c r="AF1364" s="11">
        <v>1</v>
      </c>
      <c r="AI1364" s="11">
        <v>1</v>
      </c>
    </row>
    <row r="1365" spans="1:35" x14ac:dyDescent="0.25">
      <c r="A1365" s="161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G1365" s="4" t="s">
        <v>2045</v>
      </c>
      <c r="H1365" s="4" t="s">
        <v>826</v>
      </c>
      <c r="I1365" s="4" t="s">
        <v>122</v>
      </c>
      <c r="Q1365" s="9">
        <v>4</v>
      </c>
      <c r="R1365" s="11">
        <v>0.125</v>
      </c>
      <c r="T1365" s="11">
        <v>4</v>
      </c>
      <c r="Z1365" s="9">
        <v>0</v>
      </c>
      <c r="AF1365" s="11">
        <v>1</v>
      </c>
      <c r="AI1365" s="11">
        <v>2</v>
      </c>
    </row>
    <row r="1366" spans="1:35" x14ac:dyDescent="0.25">
      <c r="A1366" s="161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G1366" s="4" t="s">
        <v>2047</v>
      </c>
      <c r="H1366" s="4" t="s">
        <v>240</v>
      </c>
      <c r="I1366" s="4" t="s">
        <v>122</v>
      </c>
      <c r="Q1366" s="9">
        <v>2</v>
      </c>
      <c r="R1366" s="11">
        <v>0.125</v>
      </c>
      <c r="T1366" s="11">
        <v>3</v>
      </c>
      <c r="Z1366" s="9">
        <v>0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H1367" s="4" t="s">
        <v>825</v>
      </c>
      <c r="I1367" s="4" t="s">
        <v>122</v>
      </c>
      <c r="Q1367" s="9">
        <v>3</v>
      </c>
      <c r="R1367" s="11">
        <v>0.125</v>
      </c>
      <c r="T1367" s="11">
        <v>3</v>
      </c>
      <c r="Z1367" s="9">
        <v>0</v>
      </c>
      <c r="AF1367" s="11">
        <v>0</v>
      </c>
      <c r="AI1367" s="11">
        <v>1</v>
      </c>
    </row>
    <row r="1368" spans="1:35" x14ac:dyDescent="0.25">
      <c r="A1368" s="161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G1368" s="4" t="s">
        <v>2045</v>
      </c>
      <c r="H1368" s="4" t="s">
        <v>826</v>
      </c>
      <c r="I1368" s="4" t="s">
        <v>122</v>
      </c>
      <c r="Q1368" s="9">
        <v>1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24"/>
        <v>RIFLEMAN_CELTS</v>
      </c>
      <c r="B1369" s="9" t="s">
        <v>123</v>
      </c>
      <c r="C1369" s="4" t="s">
        <v>709</v>
      </c>
      <c r="E1369" s="4" t="s">
        <v>123</v>
      </c>
      <c r="F1369" s="4" t="s">
        <v>123</v>
      </c>
      <c r="G1369" s="4" t="s">
        <v>2047</v>
      </c>
      <c r="H1369" s="4" t="s">
        <v>240</v>
      </c>
      <c r="I1369" s="4" t="s">
        <v>122</v>
      </c>
      <c r="Q1369" s="9">
        <v>3</v>
      </c>
      <c r="R1369" s="11">
        <v>0.125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H1370" s="4" t="s">
        <v>867</v>
      </c>
      <c r="I1370" s="4" t="s">
        <v>122</v>
      </c>
      <c r="Q1370" s="9">
        <v>1</v>
      </c>
      <c r="R1370" s="11">
        <v>0.13</v>
      </c>
      <c r="T1370" s="11">
        <v>3</v>
      </c>
      <c r="U1370" s="11">
        <v>0.08</v>
      </c>
      <c r="Z1370" s="9">
        <v>1</v>
      </c>
      <c r="AF1370" s="11">
        <v>1</v>
      </c>
      <c r="AI1370" s="11">
        <v>1</v>
      </c>
    </row>
    <row r="1371" spans="1:35" x14ac:dyDescent="0.25">
      <c r="A1371" s="161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G1371" s="4" t="s">
        <v>2045</v>
      </c>
      <c r="H1371" s="4" t="s">
        <v>868</v>
      </c>
      <c r="I1371" s="4" t="s">
        <v>122</v>
      </c>
      <c r="Q1371" s="9">
        <v>4</v>
      </c>
      <c r="R1371" s="11">
        <v>0.13</v>
      </c>
      <c r="T1371" s="11">
        <v>4</v>
      </c>
      <c r="U1371" s="11">
        <v>0.08</v>
      </c>
      <c r="Z1371" s="9">
        <v>0</v>
      </c>
      <c r="AF1371" s="11">
        <v>1</v>
      </c>
      <c r="AI1371" s="11">
        <v>2</v>
      </c>
    </row>
    <row r="1372" spans="1:35" x14ac:dyDescent="0.25">
      <c r="A1372" s="161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G1372" s="4" t="s">
        <v>2047</v>
      </c>
      <c r="H1372" s="4" t="s">
        <v>310</v>
      </c>
      <c r="I1372" s="4" t="s">
        <v>122</v>
      </c>
      <c r="Q1372" s="9">
        <v>2</v>
      </c>
      <c r="R1372" s="11">
        <v>0.13</v>
      </c>
      <c r="T1372" s="11">
        <v>3</v>
      </c>
      <c r="U1372" s="11">
        <v>0.08</v>
      </c>
      <c r="Z1372" s="9">
        <v>0</v>
      </c>
      <c r="AF1372" s="11">
        <v>1</v>
      </c>
      <c r="AI1372" s="11">
        <v>1</v>
      </c>
    </row>
    <row r="1373" spans="1:35" x14ac:dyDescent="0.25">
      <c r="A1373" s="161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H1373" s="4" t="s">
        <v>867</v>
      </c>
      <c r="I1373" s="4" t="s">
        <v>122</v>
      </c>
      <c r="Q1373" s="9">
        <v>3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0</v>
      </c>
      <c r="AI1373" s="11">
        <v>1</v>
      </c>
    </row>
    <row r="1374" spans="1:35" x14ac:dyDescent="0.25">
      <c r="A1374" s="161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G1374" s="4" t="s">
        <v>2045</v>
      </c>
      <c r="H1374" s="4" t="s">
        <v>868</v>
      </c>
      <c r="I1374" s="4" t="s">
        <v>122</v>
      </c>
      <c r="Q1374" s="9">
        <v>1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24"/>
        <v>RIFLEMAN_ENGLAND</v>
      </c>
      <c r="B1375" s="9" t="s">
        <v>123</v>
      </c>
      <c r="C1375" s="4" t="s">
        <v>713</v>
      </c>
      <c r="E1375" s="4" t="s">
        <v>123</v>
      </c>
      <c r="F1375" s="4" t="s">
        <v>123</v>
      </c>
      <c r="G1375" s="4" t="s">
        <v>2047</v>
      </c>
      <c r="H1375" s="4" t="s">
        <v>310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0.08</v>
      </c>
      <c r="Z1375" s="9">
        <v>0</v>
      </c>
      <c r="AF1375" s="11">
        <v>0</v>
      </c>
      <c r="AI1375" s="11">
        <v>1</v>
      </c>
    </row>
    <row r="1376" spans="1:35" x14ac:dyDescent="0.25">
      <c r="A1376" s="161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H1376" s="4" t="s">
        <v>880</v>
      </c>
      <c r="I1376" s="4" t="s">
        <v>122</v>
      </c>
      <c r="Q1376" s="9">
        <v>1</v>
      </c>
      <c r="R1376" s="11">
        <v>0.13</v>
      </c>
      <c r="T1376" s="11">
        <v>3</v>
      </c>
      <c r="Z1376" s="9">
        <v>1</v>
      </c>
      <c r="AF1376" s="11">
        <v>1</v>
      </c>
      <c r="AI1376" s="11">
        <v>1</v>
      </c>
    </row>
    <row r="1377" spans="1:35" x14ac:dyDescent="0.25">
      <c r="A1377" s="161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G1377" s="4" t="s">
        <v>2045</v>
      </c>
      <c r="H1377" s="4" t="s">
        <v>881</v>
      </c>
      <c r="I1377" s="4" t="s">
        <v>122</v>
      </c>
      <c r="Q1377" s="9">
        <v>4</v>
      </c>
      <c r="R1377" s="11">
        <v>0.13</v>
      </c>
      <c r="T1377" s="11">
        <v>4</v>
      </c>
      <c r="Z1377" s="9">
        <v>0</v>
      </c>
      <c r="AF1377" s="11">
        <v>1</v>
      </c>
      <c r="AI1377" s="11">
        <v>2</v>
      </c>
    </row>
    <row r="1378" spans="1:35" x14ac:dyDescent="0.25">
      <c r="A1378" s="161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G1378" s="4" t="s">
        <v>2047</v>
      </c>
      <c r="H1378" s="4" t="s">
        <v>355</v>
      </c>
      <c r="I1378" s="4" t="s">
        <v>122</v>
      </c>
      <c r="Q1378" s="9">
        <v>2</v>
      </c>
      <c r="R1378" s="11">
        <v>0.13</v>
      </c>
      <c r="T1378" s="11">
        <v>3</v>
      </c>
      <c r="Z1378" s="9">
        <v>0</v>
      </c>
      <c r="AF1378" s="11">
        <v>1</v>
      </c>
      <c r="AI1378" s="11">
        <v>1</v>
      </c>
    </row>
    <row r="1379" spans="1:35" x14ac:dyDescent="0.25">
      <c r="A1379" s="161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H1379" s="4" t="s">
        <v>880</v>
      </c>
      <c r="I1379" s="4" t="s">
        <v>122</v>
      </c>
      <c r="Q1379" s="9">
        <v>3</v>
      </c>
      <c r="R1379" s="11">
        <v>0.13</v>
      </c>
      <c r="T1379" s="11">
        <v>3</v>
      </c>
      <c r="Z1379" s="9">
        <v>0</v>
      </c>
      <c r="AF1379" s="11">
        <v>0</v>
      </c>
      <c r="AI1379" s="11">
        <v>1</v>
      </c>
    </row>
    <row r="1380" spans="1:35" x14ac:dyDescent="0.25">
      <c r="A1380" s="161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G1380" s="4" t="s">
        <v>2045</v>
      </c>
      <c r="H1380" s="4" t="s">
        <v>881</v>
      </c>
      <c r="I1380" s="4" t="s">
        <v>122</v>
      </c>
      <c r="Q1380" s="9">
        <v>2</v>
      </c>
      <c r="R1380" s="11">
        <v>0.13</v>
      </c>
      <c r="T1380" s="11">
        <v>4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24"/>
        <v>RIFLEMAN_FRANCE</v>
      </c>
      <c r="B1381" s="9" t="s">
        <v>123</v>
      </c>
      <c r="C1381" s="4" t="s">
        <v>715</v>
      </c>
      <c r="E1381" s="4" t="s">
        <v>123</v>
      </c>
      <c r="F1381" s="4" t="s">
        <v>123</v>
      </c>
      <c r="G1381" s="4" t="s">
        <v>2047</v>
      </c>
      <c r="H1381" s="4" t="s">
        <v>355</v>
      </c>
      <c r="I1381" s="4" t="s">
        <v>122</v>
      </c>
      <c r="Q1381" s="9">
        <v>2</v>
      </c>
      <c r="R1381" s="11">
        <v>0.13</v>
      </c>
      <c r="T1381" s="11">
        <v>2</v>
      </c>
      <c r="Z1381" s="9">
        <v>0</v>
      </c>
      <c r="AF1381" s="11">
        <v>0</v>
      </c>
      <c r="AI1381" s="11">
        <v>1</v>
      </c>
    </row>
    <row r="1382" spans="1:35" x14ac:dyDescent="0.25">
      <c r="A1382" s="161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H1382" s="4" t="s">
        <v>902</v>
      </c>
      <c r="I1382" s="4" t="s">
        <v>122</v>
      </c>
      <c r="Q1382" s="9">
        <v>1</v>
      </c>
      <c r="R1382" s="11">
        <v>0.13</v>
      </c>
      <c r="T1382" s="11">
        <v>3</v>
      </c>
      <c r="Z1382" s="9">
        <v>1</v>
      </c>
      <c r="AF1382" s="11">
        <v>1</v>
      </c>
      <c r="AI1382" s="11">
        <v>1</v>
      </c>
    </row>
    <row r="1383" spans="1:35" x14ac:dyDescent="0.25">
      <c r="A1383" s="161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G1383" s="4" t="s">
        <v>2045</v>
      </c>
      <c r="H1383" s="4" t="s">
        <v>903</v>
      </c>
      <c r="I1383" s="4" t="s">
        <v>122</v>
      </c>
      <c r="Q1383" s="9">
        <v>4</v>
      </c>
      <c r="R1383" s="11">
        <v>0.13</v>
      </c>
      <c r="T1383" s="11">
        <v>4</v>
      </c>
      <c r="Z1383" s="9">
        <v>0</v>
      </c>
      <c r="AF1383" s="11">
        <v>1</v>
      </c>
      <c r="AI1383" s="11">
        <v>2</v>
      </c>
    </row>
    <row r="1384" spans="1:35" x14ac:dyDescent="0.25">
      <c r="A1384" s="161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G1384" s="4" t="s">
        <v>2047</v>
      </c>
      <c r="H1384" s="4" t="s">
        <v>387</v>
      </c>
      <c r="I1384" s="4" t="s">
        <v>122</v>
      </c>
      <c r="Q1384" s="9">
        <v>2</v>
      </c>
      <c r="R1384" s="11">
        <v>0.13</v>
      </c>
      <c r="T1384" s="11">
        <v>3</v>
      </c>
      <c r="Z1384" s="9">
        <v>0</v>
      </c>
      <c r="AF1384" s="11">
        <v>1</v>
      </c>
      <c r="AI1384" s="11">
        <v>1</v>
      </c>
    </row>
    <row r="1385" spans="1:35" x14ac:dyDescent="0.25">
      <c r="A1385" s="161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H1385" s="4" t="s">
        <v>902</v>
      </c>
      <c r="I1385" s="4" t="s">
        <v>122</v>
      </c>
      <c r="Q1385" s="9">
        <v>3</v>
      </c>
      <c r="R1385" s="11">
        <v>0.13</v>
      </c>
      <c r="T1385" s="11">
        <v>3</v>
      </c>
      <c r="Z1385" s="9">
        <v>0</v>
      </c>
      <c r="AF1385" s="11">
        <v>0</v>
      </c>
      <c r="AI1385" s="11">
        <v>1</v>
      </c>
    </row>
    <row r="1386" spans="1:35" x14ac:dyDescent="0.25">
      <c r="A1386" s="161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G1386" s="4" t="s">
        <v>2045</v>
      </c>
      <c r="H1386" s="4" t="s">
        <v>903</v>
      </c>
      <c r="I1386" s="4" t="s">
        <v>122</v>
      </c>
      <c r="Q1386" s="9">
        <v>1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</row>
    <row r="1387" spans="1:35" x14ac:dyDescent="0.25">
      <c r="A1387" s="161" t="str">
        <f t="shared" si="24"/>
        <v>RIFLEMAN_GERMANY</v>
      </c>
      <c r="B1387" s="9" t="s">
        <v>123</v>
      </c>
      <c r="C1387" s="4" t="s">
        <v>717</v>
      </c>
      <c r="E1387" s="4" t="s">
        <v>123</v>
      </c>
      <c r="F1387" s="4" t="s">
        <v>123</v>
      </c>
      <c r="G1387" s="4" t="s">
        <v>2047</v>
      </c>
      <c r="H1387" s="4" t="s">
        <v>387</v>
      </c>
      <c r="I1387" s="4" t="s">
        <v>122</v>
      </c>
      <c r="Q1387" s="9">
        <v>3</v>
      </c>
      <c r="R1387" s="11">
        <v>0.13</v>
      </c>
      <c r="T1387" s="11">
        <v>3</v>
      </c>
      <c r="Z1387" s="9">
        <v>0</v>
      </c>
      <c r="AF1387" s="11">
        <v>0</v>
      </c>
      <c r="AI1387" s="11">
        <v>1</v>
      </c>
    </row>
    <row r="1388" spans="1:35" x14ac:dyDescent="0.25">
      <c r="A1388" s="161" t="str">
        <f t="shared" si="24"/>
        <v>RIFLEMAN_NETHERLANDS</v>
      </c>
      <c r="B1388" s="9" t="s">
        <v>123</v>
      </c>
      <c r="C1388" s="4" t="s">
        <v>730</v>
      </c>
      <c r="E1388" s="4" t="s">
        <v>123</v>
      </c>
      <c r="F1388" s="4" t="s">
        <v>123</v>
      </c>
      <c r="G1388" s="14" t="s">
        <v>132</v>
      </c>
      <c r="H1388" s="4" t="s">
        <v>547</v>
      </c>
      <c r="I1388" s="4" t="s">
        <v>122</v>
      </c>
      <c r="R1388" s="11" t="s">
        <v>1694</v>
      </c>
    </row>
    <row r="1389" spans="1:35" x14ac:dyDescent="0.25">
      <c r="A1389" s="161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H1389" s="4" t="s">
        <v>921</v>
      </c>
      <c r="I1389" s="4" t="s">
        <v>122</v>
      </c>
      <c r="Q1389" s="9">
        <v>1</v>
      </c>
      <c r="R1389" s="11">
        <v>0.13</v>
      </c>
      <c r="T1389" s="11">
        <v>3</v>
      </c>
      <c r="Z1389" s="9">
        <v>1</v>
      </c>
      <c r="AF1389" s="11">
        <v>1</v>
      </c>
      <c r="AI1389" s="11">
        <v>1</v>
      </c>
    </row>
    <row r="1390" spans="1:35" x14ac:dyDescent="0.25">
      <c r="A1390" s="161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G1390" s="4" t="s">
        <v>2045</v>
      </c>
      <c r="H1390" s="4" t="s">
        <v>920</v>
      </c>
      <c r="I1390" s="4" t="s">
        <v>122</v>
      </c>
      <c r="Q1390" s="9">
        <v>4</v>
      </c>
      <c r="R1390" s="11">
        <v>0.13</v>
      </c>
      <c r="T1390" s="11">
        <v>4</v>
      </c>
      <c r="Z1390" s="9">
        <v>0</v>
      </c>
      <c r="AF1390" s="11">
        <v>1</v>
      </c>
      <c r="AI1390" s="11">
        <v>2</v>
      </c>
    </row>
    <row r="1391" spans="1:35" x14ac:dyDescent="0.25">
      <c r="A1391" s="161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G1391" s="4" t="s">
        <v>2047</v>
      </c>
      <c r="H1391" s="4" t="s">
        <v>411</v>
      </c>
      <c r="I1391" s="4" t="s">
        <v>122</v>
      </c>
      <c r="Q1391" s="9">
        <v>2</v>
      </c>
      <c r="R1391" s="11">
        <v>0.13</v>
      </c>
      <c r="T1391" s="11">
        <v>3</v>
      </c>
      <c r="Z1391" s="9">
        <v>0</v>
      </c>
      <c r="AF1391" s="11">
        <v>1</v>
      </c>
      <c r="AI1391" s="11">
        <v>1</v>
      </c>
    </row>
    <row r="1392" spans="1:35" x14ac:dyDescent="0.25">
      <c r="A1392" s="161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H1392" s="4" t="s">
        <v>921</v>
      </c>
      <c r="I1392" s="4" t="s">
        <v>122</v>
      </c>
      <c r="Q1392" s="9">
        <v>3</v>
      </c>
      <c r="R1392" s="11">
        <v>0.13</v>
      </c>
      <c r="T1392" s="11">
        <v>3</v>
      </c>
      <c r="Z1392" s="9">
        <v>0</v>
      </c>
      <c r="AF1392" s="11">
        <v>0</v>
      </c>
      <c r="AI1392" s="11">
        <v>1</v>
      </c>
    </row>
    <row r="1393" spans="1:35" x14ac:dyDescent="0.25">
      <c r="A1393" s="161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G1393" s="4" t="s">
        <v>2045</v>
      </c>
      <c r="H1393" s="4" t="s">
        <v>920</v>
      </c>
      <c r="I1393" s="4" t="s">
        <v>122</v>
      </c>
      <c r="Q1393" s="9">
        <v>1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24"/>
        <v>RIFLEMAN_GREECE</v>
      </c>
      <c r="B1394" s="9" t="s">
        <v>123</v>
      </c>
      <c r="C1394" s="4" t="s">
        <v>718</v>
      </c>
      <c r="E1394" s="4" t="s">
        <v>123</v>
      </c>
      <c r="F1394" s="4" t="s">
        <v>123</v>
      </c>
      <c r="G1394" s="4" t="s">
        <v>2047</v>
      </c>
      <c r="H1394" s="4" t="s">
        <v>411</v>
      </c>
      <c r="I1394" s="4" t="s">
        <v>122</v>
      </c>
      <c r="Q1394" s="9">
        <v>3</v>
      </c>
      <c r="R1394" s="11">
        <v>0.13</v>
      </c>
      <c r="T1394" s="11">
        <v>3</v>
      </c>
      <c r="Z1394" s="9">
        <v>0</v>
      </c>
      <c r="AF1394" s="11">
        <v>0</v>
      </c>
      <c r="AI1394" s="11">
        <v>1</v>
      </c>
    </row>
    <row r="1395" spans="1:35" x14ac:dyDescent="0.25">
      <c r="A1395" s="161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H1395" s="4" t="s">
        <v>1017</v>
      </c>
      <c r="I1395" s="4" t="s">
        <v>122</v>
      </c>
      <c r="Q1395" s="9">
        <v>1</v>
      </c>
      <c r="R1395" s="11">
        <v>0.13</v>
      </c>
      <c r="T1395" s="11">
        <v>2</v>
      </c>
      <c r="Z1395" s="9">
        <v>0</v>
      </c>
      <c r="AF1395" s="11">
        <v>1</v>
      </c>
      <c r="AI1395" s="11">
        <v>1</v>
      </c>
    </row>
    <row r="1396" spans="1:35" x14ac:dyDescent="0.25">
      <c r="A1396" s="161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G1396" s="4" t="s">
        <v>2045</v>
      </c>
      <c r="H1396" s="4" t="s">
        <v>1018</v>
      </c>
      <c r="I1396" s="4" t="s">
        <v>122</v>
      </c>
      <c r="Q1396" s="9">
        <v>4</v>
      </c>
      <c r="R1396" s="11">
        <v>0.13</v>
      </c>
      <c r="T1396" s="11">
        <v>5</v>
      </c>
      <c r="Z1396" s="9">
        <v>0</v>
      </c>
      <c r="AF1396" s="11">
        <v>1</v>
      </c>
      <c r="AI1396" s="11">
        <v>2</v>
      </c>
    </row>
    <row r="1397" spans="1:35" x14ac:dyDescent="0.25">
      <c r="A1397" s="161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G1397" s="4" t="s">
        <v>2047</v>
      </c>
      <c r="H1397" s="4" t="s">
        <v>661</v>
      </c>
      <c r="I1397" s="4" t="s">
        <v>122</v>
      </c>
      <c r="Q1397" s="9">
        <v>2</v>
      </c>
      <c r="R1397" s="11">
        <v>0.13</v>
      </c>
      <c r="T1397" s="11">
        <v>3</v>
      </c>
      <c r="Z1397" s="9">
        <v>1</v>
      </c>
      <c r="AF1397" s="11">
        <v>1</v>
      </c>
      <c r="AI1397" s="11">
        <v>1</v>
      </c>
    </row>
    <row r="1398" spans="1:35" x14ac:dyDescent="0.25">
      <c r="A1398" s="161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H1398" s="4" t="s">
        <v>1017</v>
      </c>
      <c r="I1398" s="4" t="s">
        <v>122</v>
      </c>
      <c r="Q1398" s="9">
        <v>3</v>
      </c>
      <c r="R1398" s="11">
        <v>0.13</v>
      </c>
      <c r="T1398" s="11">
        <v>3</v>
      </c>
      <c r="Z1398" s="9">
        <v>0</v>
      </c>
      <c r="AF1398" s="11">
        <v>0</v>
      </c>
      <c r="AI1398" s="11">
        <v>1</v>
      </c>
    </row>
    <row r="1399" spans="1:35" x14ac:dyDescent="0.25">
      <c r="A1399" s="161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G1399" s="4" t="s">
        <v>2045</v>
      </c>
      <c r="H1399" s="4" t="s">
        <v>1018</v>
      </c>
      <c r="I1399" s="4" t="s">
        <v>122</v>
      </c>
      <c r="Q1399" s="9">
        <v>2</v>
      </c>
      <c r="R1399" s="11">
        <v>0.13</v>
      </c>
      <c r="T1399" s="11">
        <v>4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24"/>
        <v>RIFLEMAN_SPAIN</v>
      </c>
      <c r="B1400" s="9" t="s">
        <v>123</v>
      </c>
      <c r="C1400" s="4" t="s">
        <v>738</v>
      </c>
      <c r="E1400" s="4" t="s">
        <v>123</v>
      </c>
      <c r="F1400" s="4" t="s">
        <v>123</v>
      </c>
      <c r="G1400" s="4" t="s">
        <v>2047</v>
      </c>
      <c r="H1400" s="4" t="s">
        <v>661</v>
      </c>
      <c r="I1400" s="4" t="s">
        <v>122</v>
      </c>
      <c r="Q1400" s="9">
        <v>2</v>
      </c>
      <c r="R1400" s="11">
        <v>0.13</v>
      </c>
      <c r="T1400" s="11">
        <v>2</v>
      </c>
      <c r="Z1400" s="9">
        <v>0</v>
      </c>
      <c r="AF1400" s="11">
        <v>0</v>
      </c>
      <c r="AI1400" s="11">
        <v>1</v>
      </c>
    </row>
    <row r="1401" spans="1:35" x14ac:dyDescent="0.25">
      <c r="A1401" s="161" t="str">
        <f t="shared" si="24"/>
        <v>RIFLEMAN_MIDEAST</v>
      </c>
      <c r="B1401" s="9" t="s">
        <v>123</v>
      </c>
      <c r="C1401" s="4" t="s">
        <v>690</v>
      </c>
      <c r="E1401" s="4" t="s">
        <v>123</v>
      </c>
      <c r="F1401" s="4" t="s">
        <v>123</v>
      </c>
      <c r="H1401" s="4" t="s">
        <v>836</v>
      </c>
      <c r="I1401" s="4" t="s">
        <v>1272</v>
      </c>
      <c r="R1401" s="11">
        <v>0.125</v>
      </c>
    </row>
    <row r="1402" spans="1:35" x14ac:dyDescent="0.25">
      <c r="A1402" s="161" t="str">
        <f t="shared" si="24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H1402" s="4" t="s">
        <v>808</v>
      </c>
      <c r="I1402" s="4" t="s">
        <v>122</v>
      </c>
      <c r="Q1402" s="9">
        <v>1</v>
      </c>
      <c r="R1402" s="11" t="s">
        <v>1694</v>
      </c>
      <c r="T1402" s="11">
        <v>3</v>
      </c>
      <c r="Z1402" s="9">
        <v>1</v>
      </c>
      <c r="AF1402" s="11">
        <v>1</v>
      </c>
      <c r="AI1402" s="11">
        <v>1</v>
      </c>
    </row>
    <row r="1403" spans="1:35" x14ac:dyDescent="0.25">
      <c r="A1403" s="161" t="str">
        <f t="shared" si="24"/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G1403" s="4" t="s">
        <v>2045</v>
      </c>
      <c r="H1403" s="4" t="s">
        <v>809</v>
      </c>
      <c r="I1403" s="4" t="s">
        <v>122</v>
      </c>
      <c r="Q1403" s="9">
        <v>3</v>
      </c>
      <c r="R1403" s="11" t="s">
        <v>1694</v>
      </c>
      <c r="T1403" s="11">
        <v>4</v>
      </c>
      <c r="Z1403" s="9">
        <v>0</v>
      </c>
      <c r="AF1403" s="11">
        <v>1</v>
      </c>
      <c r="AI1403" s="11">
        <v>2</v>
      </c>
    </row>
    <row r="1404" spans="1:35" x14ac:dyDescent="0.25">
      <c r="A1404" s="161" t="str">
        <f t="shared" ref="A1404:A1482" si="25">CONCATENATE(E1404,IF(ISBLANK(C1404),"",CONCATENATE("_",C1404)))</f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G1404" s="4" t="s">
        <v>2047</v>
      </c>
      <c r="H1404" s="4" t="s">
        <v>169</v>
      </c>
      <c r="I1404" s="4" t="s">
        <v>122</v>
      </c>
      <c r="Q1404" s="9">
        <v>1</v>
      </c>
      <c r="R1404" s="11" t="s">
        <v>1694</v>
      </c>
      <c r="T1404" s="11">
        <v>3</v>
      </c>
      <c r="Z1404" s="9">
        <v>0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H1405" s="4" t="s">
        <v>808</v>
      </c>
      <c r="I1405" s="4" t="s">
        <v>122</v>
      </c>
      <c r="Q1405" s="9">
        <v>3</v>
      </c>
      <c r="R1405" s="11" t="s">
        <v>1694</v>
      </c>
      <c r="T1405" s="11">
        <v>3</v>
      </c>
      <c r="Z1405" s="9">
        <v>0</v>
      </c>
      <c r="AF1405" s="11">
        <v>0</v>
      </c>
      <c r="AI1405" s="11">
        <v>1</v>
      </c>
    </row>
    <row r="1406" spans="1:35" x14ac:dyDescent="0.25">
      <c r="A1406" s="161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G1406" s="4" t="s">
        <v>2045</v>
      </c>
      <c r="H1406" s="4" t="s">
        <v>809</v>
      </c>
      <c r="I1406" s="4" t="s">
        <v>122</v>
      </c>
      <c r="Q1406" s="9">
        <v>2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25"/>
        <v>RIFLEMAN_ARABIA</v>
      </c>
      <c r="B1407" s="9" t="s">
        <v>123</v>
      </c>
      <c r="C1407" s="4" t="s">
        <v>700</v>
      </c>
      <c r="D1407" s="14"/>
      <c r="E1407" s="4" t="s">
        <v>123</v>
      </c>
      <c r="F1407" s="4" t="s">
        <v>123</v>
      </c>
      <c r="G1407" s="4" t="s">
        <v>2047</v>
      </c>
      <c r="H1407" s="4" t="s">
        <v>169</v>
      </c>
      <c r="I1407" s="4" t="s">
        <v>122</v>
      </c>
      <c r="Q1407" s="9">
        <v>4</v>
      </c>
      <c r="R1407" s="11" t="s">
        <v>1694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H1408" s="4" t="s">
        <v>816</v>
      </c>
      <c r="I1408" s="4" t="s">
        <v>993</v>
      </c>
      <c r="Q1408" s="9">
        <v>1</v>
      </c>
      <c r="R1408" s="11">
        <v>0.122</v>
      </c>
      <c r="T1408" s="11">
        <v>2</v>
      </c>
      <c r="Z1408" s="9">
        <v>1</v>
      </c>
      <c r="AF1408" s="11">
        <v>1</v>
      </c>
      <c r="AI1408" s="11">
        <v>1</v>
      </c>
    </row>
    <row r="1409" spans="1:35" x14ac:dyDescent="0.25">
      <c r="A1409" s="161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G1409" s="4" t="s">
        <v>2045</v>
      </c>
      <c r="H1409" s="4" t="s">
        <v>644</v>
      </c>
      <c r="I1409" s="4" t="s">
        <v>993</v>
      </c>
      <c r="Q1409" s="9">
        <v>3</v>
      </c>
      <c r="R1409" s="11">
        <v>0.122</v>
      </c>
      <c r="T1409" s="11">
        <v>4</v>
      </c>
      <c r="Z1409" s="9">
        <v>0</v>
      </c>
      <c r="AF1409" s="11">
        <v>1</v>
      </c>
      <c r="AI1409" s="11">
        <v>2</v>
      </c>
    </row>
    <row r="1410" spans="1:35" x14ac:dyDescent="0.25">
      <c r="A1410" s="161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G1410" s="4" t="s">
        <v>2047</v>
      </c>
      <c r="H1410" s="4" t="s">
        <v>216</v>
      </c>
      <c r="I1410" s="4" t="s">
        <v>993</v>
      </c>
      <c r="Q1410" s="9">
        <v>1</v>
      </c>
      <c r="R1410" s="11">
        <v>0.122</v>
      </c>
      <c r="T1410" s="11">
        <v>4</v>
      </c>
      <c r="Z1410" s="9">
        <v>0</v>
      </c>
      <c r="AF1410" s="11">
        <v>1</v>
      </c>
      <c r="AI1410" s="11">
        <v>1</v>
      </c>
    </row>
    <row r="1411" spans="1:35" x14ac:dyDescent="0.25">
      <c r="A1411" s="161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H1411" s="4" t="s">
        <v>816</v>
      </c>
      <c r="I1411" s="4" t="s">
        <v>993</v>
      </c>
      <c r="Q1411" s="9">
        <v>3</v>
      </c>
      <c r="R1411" s="11">
        <v>0.122</v>
      </c>
      <c r="T1411" s="11">
        <v>4</v>
      </c>
      <c r="Z1411" s="9">
        <v>0</v>
      </c>
      <c r="AF1411" s="11">
        <v>0</v>
      </c>
      <c r="AI1411" s="11">
        <v>1</v>
      </c>
    </row>
    <row r="1412" spans="1:35" x14ac:dyDescent="0.25">
      <c r="A1412" s="161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G1412" s="4" t="s">
        <v>2045</v>
      </c>
      <c r="H1412" s="4" t="s">
        <v>644</v>
      </c>
      <c r="I1412" s="4" t="s">
        <v>993</v>
      </c>
      <c r="Q1412" s="9">
        <v>2</v>
      </c>
      <c r="R1412" s="11">
        <v>0.122</v>
      </c>
      <c r="T1412" s="11">
        <v>3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25"/>
        <v>RIFLEMAN_BABYLON</v>
      </c>
      <c r="B1413" s="9" t="s">
        <v>123</v>
      </c>
      <c r="C1413" s="4" t="s">
        <v>703</v>
      </c>
      <c r="E1413" s="4" t="s">
        <v>123</v>
      </c>
      <c r="F1413" s="4" t="s">
        <v>123</v>
      </c>
      <c r="G1413" s="4" t="s">
        <v>2047</v>
      </c>
      <c r="H1413" s="4" t="s">
        <v>216</v>
      </c>
      <c r="I1413" s="4" t="s">
        <v>993</v>
      </c>
      <c r="Q1413" s="9">
        <v>4</v>
      </c>
      <c r="R1413" s="11">
        <v>0.122</v>
      </c>
      <c r="T1413" s="11">
        <v>2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H1414" s="4" t="s">
        <v>840</v>
      </c>
      <c r="I1414" s="4" t="s">
        <v>122</v>
      </c>
      <c r="Q1414" s="9">
        <v>1</v>
      </c>
      <c r="R1414" s="11">
        <v>0.13</v>
      </c>
      <c r="T1414" s="11">
        <v>3</v>
      </c>
      <c r="Z1414" s="9">
        <v>1</v>
      </c>
      <c r="AF1414" s="11">
        <v>1</v>
      </c>
      <c r="AI1414" s="11">
        <v>1</v>
      </c>
    </row>
    <row r="1415" spans="1:35" x14ac:dyDescent="0.25">
      <c r="A1415" s="161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G1415" s="4" t="s">
        <v>2045</v>
      </c>
      <c r="H1415" s="4" t="s">
        <v>841</v>
      </c>
      <c r="I1415" s="4" t="s">
        <v>122</v>
      </c>
      <c r="Q1415" s="9">
        <v>3</v>
      </c>
      <c r="R1415" s="11">
        <v>0.13</v>
      </c>
      <c r="T1415" s="11">
        <v>4</v>
      </c>
      <c r="Z1415" s="9">
        <v>0</v>
      </c>
      <c r="AF1415" s="11">
        <v>1</v>
      </c>
      <c r="AI1415" s="11">
        <v>2</v>
      </c>
    </row>
    <row r="1416" spans="1:35" x14ac:dyDescent="0.25">
      <c r="A1416" s="161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G1416" s="4" t="s">
        <v>2047</v>
      </c>
      <c r="H1416" s="4" t="s">
        <v>286</v>
      </c>
      <c r="I1416" s="4" t="s">
        <v>122</v>
      </c>
      <c r="Q1416" s="9">
        <v>1</v>
      </c>
      <c r="R1416" s="11">
        <v>0.13</v>
      </c>
      <c r="T1416" s="11">
        <v>3</v>
      </c>
      <c r="Z1416" s="9">
        <v>0</v>
      </c>
      <c r="AF1416" s="11">
        <v>1</v>
      </c>
      <c r="AI1416" s="11">
        <v>1</v>
      </c>
    </row>
    <row r="1417" spans="1:35" x14ac:dyDescent="0.25">
      <c r="A1417" s="161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H1417" s="4" t="s">
        <v>840</v>
      </c>
      <c r="I1417" s="4" t="s">
        <v>122</v>
      </c>
      <c r="Q1417" s="9">
        <v>3</v>
      </c>
      <c r="R1417" s="11">
        <v>0.13</v>
      </c>
      <c r="T1417" s="11">
        <v>3</v>
      </c>
      <c r="Z1417" s="9">
        <v>0</v>
      </c>
      <c r="AF1417" s="11">
        <v>0</v>
      </c>
      <c r="AI1417" s="11">
        <v>1</v>
      </c>
    </row>
    <row r="1418" spans="1:35" x14ac:dyDescent="0.25">
      <c r="A1418" s="161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G1418" s="4" t="s">
        <v>2045</v>
      </c>
      <c r="H1418" s="4" t="s">
        <v>841</v>
      </c>
      <c r="I1418" s="4" t="s">
        <v>122</v>
      </c>
      <c r="Q1418" s="9">
        <v>2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</row>
    <row r="1419" spans="1:35" x14ac:dyDescent="0.25">
      <c r="A1419" s="161" t="str">
        <f t="shared" si="25"/>
        <v>RIFLEMAN_EGYPT</v>
      </c>
      <c r="B1419" s="9" t="s">
        <v>123</v>
      </c>
      <c r="C1419" s="4" t="s">
        <v>712</v>
      </c>
      <c r="E1419" s="4" t="s">
        <v>123</v>
      </c>
      <c r="F1419" s="4" t="s">
        <v>123</v>
      </c>
      <c r="G1419" s="4" t="s">
        <v>2047</v>
      </c>
      <c r="H1419" s="4" t="s">
        <v>286</v>
      </c>
      <c r="I1419" s="4" t="s">
        <v>122</v>
      </c>
      <c r="Q1419" s="9">
        <v>4</v>
      </c>
      <c r="R1419" s="11">
        <v>0.13</v>
      </c>
      <c r="T1419" s="11">
        <v>3</v>
      </c>
      <c r="Z1419" s="9">
        <v>0</v>
      </c>
      <c r="AF1419" s="11">
        <v>0</v>
      </c>
      <c r="AI1419" s="11">
        <v>1</v>
      </c>
    </row>
    <row r="1420" spans="1:35" x14ac:dyDescent="0.25">
      <c r="A1420" s="161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H1420" s="4" t="s">
        <v>979</v>
      </c>
      <c r="I1420" s="4" t="s">
        <v>122</v>
      </c>
      <c r="Q1420" s="9">
        <v>1</v>
      </c>
      <c r="R1420" s="11">
        <v>0.13</v>
      </c>
      <c r="T1420" s="11">
        <v>3</v>
      </c>
      <c r="Z1420" s="9">
        <v>1</v>
      </c>
      <c r="AF1420" s="11">
        <v>1</v>
      </c>
      <c r="AI1420" s="11">
        <v>1</v>
      </c>
    </row>
    <row r="1421" spans="1:35" x14ac:dyDescent="0.25">
      <c r="A1421" s="161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G1421" s="4" t="s">
        <v>2045</v>
      </c>
      <c r="H1421" s="4" t="s">
        <v>980</v>
      </c>
      <c r="I1421" s="4" t="s">
        <v>122</v>
      </c>
      <c r="Q1421" s="9">
        <v>3</v>
      </c>
      <c r="R1421" s="11">
        <v>0.13</v>
      </c>
      <c r="T1421" s="11">
        <v>4</v>
      </c>
      <c r="Z1421" s="9">
        <v>0</v>
      </c>
      <c r="AF1421" s="11">
        <v>1</v>
      </c>
      <c r="AI1421" s="11">
        <v>2</v>
      </c>
    </row>
    <row r="1422" spans="1:35" x14ac:dyDescent="0.25">
      <c r="A1422" s="161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G1422" s="4" t="s">
        <v>2047</v>
      </c>
      <c r="H1422" s="4" t="s">
        <v>562</v>
      </c>
      <c r="I1422" s="4" t="s">
        <v>122</v>
      </c>
      <c r="Q1422" s="9">
        <v>1</v>
      </c>
      <c r="R1422" s="11">
        <v>0.13</v>
      </c>
      <c r="T1422" s="11">
        <v>3</v>
      </c>
      <c r="Z1422" s="9">
        <v>0</v>
      </c>
      <c r="AF1422" s="11">
        <v>1</v>
      </c>
      <c r="AI1422" s="11">
        <v>1</v>
      </c>
    </row>
    <row r="1423" spans="1:35" x14ac:dyDescent="0.25">
      <c r="A1423" s="161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H1423" s="4" t="s">
        <v>979</v>
      </c>
      <c r="I1423" s="4" t="s">
        <v>122</v>
      </c>
      <c r="Q1423" s="9">
        <v>3</v>
      </c>
      <c r="R1423" s="11">
        <v>0.13</v>
      </c>
      <c r="T1423" s="11">
        <v>3</v>
      </c>
      <c r="Z1423" s="9">
        <v>0</v>
      </c>
      <c r="AF1423" s="11">
        <v>0</v>
      </c>
      <c r="AI1423" s="11">
        <v>1</v>
      </c>
    </row>
    <row r="1424" spans="1:35" x14ac:dyDescent="0.25">
      <c r="A1424" s="161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G1424" s="4" t="s">
        <v>2045</v>
      </c>
      <c r="H1424" s="4" t="s">
        <v>980</v>
      </c>
      <c r="I1424" s="4" t="s">
        <v>122</v>
      </c>
      <c r="Q1424" s="9">
        <v>2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</row>
    <row r="1425" spans="1:35" x14ac:dyDescent="0.25">
      <c r="A1425" s="161" t="str">
        <f t="shared" si="25"/>
        <v>RIFLEMAN_PERSIA</v>
      </c>
      <c r="B1425" s="9" t="s">
        <v>123</v>
      </c>
      <c r="C1425" s="4" t="s">
        <v>731</v>
      </c>
      <c r="E1425" s="4" t="s">
        <v>123</v>
      </c>
      <c r="F1425" s="4" t="s">
        <v>123</v>
      </c>
      <c r="G1425" s="4" t="s">
        <v>2047</v>
      </c>
      <c r="H1425" s="4" t="s">
        <v>562</v>
      </c>
      <c r="I1425" s="4" t="s">
        <v>122</v>
      </c>
      <c r="Q1425" s="9">
        <v>4</v>
      </c>
      <c r="R1425" s="11">
        <v>0.13</v>
      </c>
      <c r="T1425" s="11">
        <v>3</v>
      </c>
      <c r="Z1425" s="9">
        <v>0</v>
      </c>
      <c r="AF1425" s="11">
        <v>0</v>
      </c>
      <c r="AI1425" s="11">
        <v>1</v>
      </c>
    </row>
    <row r="1426" spans="1:35" x14ac:dyDescent="0.25">
      <c r="A1426" s="161" t="str">
        <f t="shared" ref="A1426:A1431" si="26">CONCATENATE(E1426,IF(ISBLANK(C1426),"",CONCATENATE("_",C1426)))</f>
        <v>RIFLEMAN_NORTHAF</v>
      </c>
      <c r="B1426" s="9" t="s">
        <v>123</v>
      </c>
      <c r="C1426" s="4" t="s">
        <v>2009</v>
      </c>
      <c r="E1426" s="4" t="s">
        <v>123</v>
      </c>
      <c r="F1426" s="4" t="s">
        <v>123</v>
      </c>
      <c r="H1426" s="4" t="s">
        <v>1014</v>
      </c>
      <c r="I1426" s="4" t="s">
        <v>993</v>
      </c>
      <c r="Q1426" s="11">
        <v>1</v>
      </c>
      <c r="R1426" s="11">
        <v>0.122</v>
      </c>
      <c r="T1426" s="11">
        <v>3</v>
      </c>
      <c r="Z1426" s="11">
        <v>1</v>
      </c>
      <c r="AF1426" s="11">
        <v>1</v>
      </c>
      <c r="AI1426" s="11">
        <v>1</v>
      </c>
    </row>
    <row r="1427" spans="1:35" x14ac:dyDescent="0.25">
      <c r="A1427" s="161" t="str">
        <f t="shared" si="26"/>
        <v>RIFLEMAN_NORTHAF</v>
      </c>
      <c r="B1427" s="9" t="s">
        <v>123</v>
      </c>
      <c r="C1427" s="4" t="s">
        <v>2009</v>
      </c>
      <c r="E1427" s="4" t="s">
        <v>123</v>
      </c>
      <c r="F1427" s="4" t="s">
        <v>123</v>
      </c>
      <c r="G1427" s="4" t="s">
        <v>2045</v>
      </c>
      <c r="H1427" s="4" t="s">
        <v>1015</v>
      </c>
      <c r="I1427" s="4" t="s">
        <v>993</v>
      </c>
      <c r="Q1427" s="11">
        <v>3</v>
      </c>
      <c r="R1427" s="11">
        <v>0.122</v>
      </c>
      <c r="T1427" s="11">
        <v>4</v>
      </c>
      <c r="Z1427" s="11">
        <v>0</v>
      </c>
      <c r="AF1427" s="11">
        <v>1</v>
      </c>
      <c r="AI1427" s="11">
        <v>2</v>
      </c>
    </row>
    <row r="1428" spans="1:35" x14ac:dyDescent="0.25">
      <c r="A1428" s="161" t="str">
        <f t="shared" si="26"/>
        <v>RIFLEMAN_NORTHAF</v>
      </c>
      <c r="B1428" s="9" t="s">
        <v>123</v>
      </c>
      <c r="C1428" s="4" t="s">
        <v>2009</v>
      </c>
      <c r="E1428" s="4" t="s">
        <v>123</v>
      </c>
      <c r="F1428" s="4" t="s">
        <v>123</v>
      </c>
      <c r="G1428" s="4" t="s">
        <v>2047</v>
      </c>
      <c r="H1428" s="4" t="s">
        <v>644</v>
      </c>
      <c r="I1428" s="4" t="s">
        <v>993</v>
      </c>
      <c r="Q1428" s="11">
        <v>1</v>
      </c>
      <c r="R1428" s="11">
        <v>0.122</v>
      </c>
      <c r="T1428" s="11">
        <v>3</v>
      </c>
      <c r="Z1428" s="11">
        <v>0</v>
      </c>
      <c r="AF1428" s="11">
        <v>1</v>
      </c>
      <c r="AI1428" s="11">
        <v>1</v>
      </c>
    </row>
    <row r="1429" spans="1:35" x14ac:dyDescent="0.25">
      <c r="A1429" s="161" t="str">
        <f t="shared" si="26"/>
        <v>RIFLEMAN_NORTHAF</v>
      </c>
      <c r="B1429" s="9" t="s">
        <v>123</v>
      </c>
      <c r="C1429" s="4" t="s">
        <v>2009</v>
      </c>
      <c r="E1429" s="4" t="s">
        <v>123</v>
      </c>
      <c r="F1429" s="4" t="s">
        <v>123</v>
      </c>
      <c r="H1429" s="4" t="s">
        <v>1014</v>
      </c>
      <c r="I1429" s="4" t="s">
        <v>993</v>
      </c>
      <c r="Q1429" s="9">
        <v>3</v>
      </c>
      <c r="R1429" s="11">
        <v>0.122</v>
      </c>
      <c r="T1429" s="11">
        <v>3</v>
      </c>
      <c r="Z1429" s="9">
        <v>0</v>
      </c>
      <c r="AF1429" s="11">
        <v>0</v>
      </c>
      <c r="AI1429" s="11">
        <v>1</v>
      </c>
    </row>
    <row r="1430" spans="1:35" x14ac:dyDescent="0.25">
      <c r="A1430" s="161" t="str">
        <f t="shared" si="26"/>
        <v>RIFLEMAN_NORTHAF</v>
      </c>
      <c r="B1430" s="9" t="s">
        <v>123</v>
      </c>
      <c r="C1430" s="4" t="s">
        <v>2009</v>
      </c>
      <c r="E1430" s="4" t="s">
        <v>123</v>
      </c>
      <c r="F1430" s="4" t="s">
        <v>123</v>
      </c>
      <c r="G1430" s="4" t="s">
        <v>2045</v>
      </c>
      <c r="H1430" s="4" t="s">
        <v>1015</v>
      </c>
      <c r="I1430" s="4" t="s">
        <v>993</v>
      </c>
      <c r="Q1430" s="9">
        <v>2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</row>
    <row r="1431" spans="1:35" x14ac:dyDescent="0.25">
      <c r="A1431" s="161" t="str">
        <f t="shared" si="26"/>
        <v>RIFLEMAN_NORTHAF</v>
      </c>
      <c r="B1431" s="9" t="s">
        <v>123</v>
      </c>
      <c r="C1431" s="4" t="s">
        <v>2009</v>
      </c>
      <c r="E1431" s="4" t="s">
        <v>123</v>
      </c>
      <c r="F1431" s="4" t="s">
        <v>123</v>
      </c>
      <c r="G1431" s="4" t="s">
        <v>2047</v>
      </c>
      <c r="H1431" s="4" t="s">
        <v>644</v>
      </c>
      <c r="I1431" s="4" t="s">
        <v>993</v>
      </c>
      <c r="Q1431" s="9">
        <v>4</v>
      </c>
      <c r="R1431" s="11">
        <v>0.122</v>
      </c>
      <c r="T1431" s="11">
        <v>3</v>
      </c>
      <c r="Z1431" s="9">
        <v>0</v>
      </c>
      <c r="AF1431" s="11">
        <v>0</v>
      </c>
      <c r="AI1431" s="11">
        <v>1</v>
      </c>
    </row>
    <row r="1432" spans="1:35" x14ac:dyDescent="0.25">
      <c r="A1432" s="161" t="str">
        <f t="shared" si="25"/>
        <v>RIFLEMAN_NORTHEU</v>
      </c>
      <c r="B1432" s="9" t="s">
        <v>123</v>
      </c>
      <c r="C1432" s="4" t="s">
        <v>962</v>
      </c>
      <c r="E1432" s="4" t="s">
        <v>123</v>
      </c>
      <c r="F1432" s="4" t="s">
        <v>123</v>
      </c>
      <c r="G1432" s="14"/>
      <c r="H1432" s="4" t="s">
        <v>271</v>
      </c>
      <c r="I1432" s="4" t="s">
        <v>122</v>
      </c>
      <c r="R1432" s="11">
        <v>0.13</v>
      </c>
    </row>
    <row r="1433" spans="1:35" x14ac:dyDescent="0.25">
      <c r="A1433" s="161" t="str">
        <f t="shared" si="25"/>
        <v>RIFLEMAN_SWEDEN</v>
      </c>
      <c r="B1433" s="9" t="s">
        <v>123</v>
      </c>
      <c r="C1433" s="4" t="s">
        <v>739</v>
      </c>
      <c r="E1433" s="4" t="s">
        <v>123</v>
      </c>
      <c r="F1433" s="4" t="s">
        <v>123</v>
      </c>
      <c r="G1433" s="14" t="s">
        <v>132</v>
      </c>
      <c r="H1433" s="4" t="s">
        <v>674</v>
      </c>
      <c r="I1433" s="4" t="s">
        <v>122</v>
      </c>
      <c r="R1433" s="11">
        <v>0.13</v>
      </c>
    </row>
    <row r="1434" spans="1:35" x14ac:dyDescent="0.25">
      <c r="A1434" s="161" t="str">
        <f t="shared" si="25"/>
        <v>RIFLEMAN_OCEAN</v>
      </c>
      <c r="B1434" s="9" t="s">
        <v>123</v>
      </c>
      <c r="C1434" s="4" t="s">
        <v>994</v>
      </c>
      <c r="D1434" s="4" t="s">
        <v>691</v>
      </c>
      <c r="E1434" s="4" t="s">
        <v>123</v>
      </c>
      <c r="F1434" s="4" t="s">
        <v>123</v>
      </c>
    </row>
    <row r="1435" spans="1:35" x14ac:dyDescent="0.25">
      <c r="A1435" s="161" t="str">
        <f t="shared" si="25"/>
        <v>RIFLEMAN_SEASIA</v>
      </c>
      <c r="B1435" s="9" t="s">
        <v>123</v>
      </c>
      <c r="C1435" s="4" t="s">
        <v>696</v>
      </c>
      <c r="E1435" s="4" t="s">
        <v>123</v>
      </c>
      <c r="F1435" s="4" t="s">
        <v>123</v>
      </c>
      <c r="H1435" s="4" t="s">
        <v>639</v>
      </c>
      <c r="I1435" s="4" t="s">
        <v>122</v>
      </c>
      <c r="R1435" s="11">
        <v>0.13</v>
      </c>
    </row>
    <row r="1436" spans="1:35" x14ac:dyDescent="0.25">
      <c r="A1436" s="161" t="str">
        <f t="shared" si="25"/>
        <v>RIFLEMAN_SOUTHAM</v>
      </c>
      <c r="B1436" s="9" t="s">
        <v>123</v>
      </c>
      <c r="C1436" s="4" t="s">
        <v>691</v>
      </c>
      <c r="E1436" s="4" t="s">
        <v>123</v>
      </c>
      <c r="F1436" s="4" t="s">
        <v>123</v>
      </c>
      <c r="H1436" s="4" t="s">
        <v>200</v>
      </c>
      <c r="I1436" s="4" t="s">
        <v>122</v>
      </c>
      <c r="R1436" s="11" t="s">
        <v>1694</v>
      </c>
    </row>
    <row r="1437" spans="1:35" x14ac:dyDescent="0.25">
      <c r="A1437" s="161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H1437" s="4" t="s">
        <v>426</v>
      </c>
      <c r="I1437" s="4" t="s">
        <v>122</v>
      </c>
      <c r="Q1437" s="11">
        <v>1</v>
      </c>
      <c r="R1437" s="11" t="s">
        <v>1694</v>
      </c>
      <c r="T1437" s="11">
        <v>3</v>
      </c>
      <c r="Z1437" s="11">
        <v>1</v>
      </c>
      <c r="AF1437" s="11">
        <v>1</v>
      </c>
      <c r="AI1437" s="11">
        <v>1</v>
      </c>
    </row>
    <row r="1438" spans="1:35" x14ac:dyDescent="0.25">
      <c r="A1438" s="161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G1438" s="4" t="s">
        <v>2045</v>
      </c>
      <c r="H1438" s="4" t="s">
        <v>521</v>
      </c>
      <c r="I1438" s="4" t="s">
        <v>122</v>
      </c>
      <c r="Q1438" s="11">
        <v>3</v>
      </c>
      <c r="R1438" s="11" t="s">
        <v>1694</v>
      </c>
      <c r="T1438" s="11">
        <v>4</v>
      </c>
      <c r="Z1438" s="11">
        <v>0</v>
      </c>
      <c r="AF1438" s="11">
        <v>1</v>
      </c>
      <c r="AI1438" s="11">
        <v>2</v>
      </c>
    </row>
    <row r="1439" spans="1:35" x14ac:dyDescent="0.25">
      <c r="A1439" s="161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G1439" s="4" t="s">
        <v>2047</v>
      </c>
      <c r="H1439" s="4" t="s">
        <v>200</v>
      </c>
      <c r="I1439" s="4" t="s">
        <v>122</v>
      </c>
      <c r="Q1439" s="11">
        <v>1</v>
      </c>
      <c r="R1439" s="11" t="s">
        <v>1694</v>
      </c>
      <c r="T1439" s="11">
        <v>3</v>
      </c>
      <c r="Z1439" s="11">
        <v>0</v>
      </c>
      <c r="AF1439" s="11">
        <v>1</v>
      </c>
      <c r="AI1439" s="11">
        <v>1</v>
      </c>
    </row>
    <row r="1440" spans="1:35" x14ac:dyDescent="0.25">
      <c r="A1440" s="161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H1440" s="4" t="s">
        <v>426</v>
      </c>
      <c r="I1440" s="4" t="s">
        <v>122</v>
      </c>
      <c r="Q1440" s="9">
        <v>3</v>
      </c>
      <c r="R1440" s="11" t="s">
        <v>1694</v>
      </c>
      <c r="T1440" s="11">
        <v>3</v>
      </c>
      <c r="Z1440" s="9">
        <v>0</v>
      </c>
      <c r="AF1440" s="11">
        <v>0</v>
      </c>
      <c r="AI1440" s="11">
        <v>1</v>
      </c>
    </row>
    <row r="1441" spans="1:43" x14ac:dyDescent="0.25">
      <c r="A1441" s="161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G1441" s="4" t="s">
        <v>2045</v>
      </c>
      <c r="H1441" s="4" t="s">
        <v>521</v>
      </c>
      <c r="I1441" s="4" t="s">
        <v>122</v>
      </c>
      <c r="Q1441" s="9">
        <v>2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</row>
    <row r="1442" spans="1:43" x14ac:dyDescent="0.25">
      <c r="A1442" s="161" t="str">
        <f t="shared" si="25"/>
        <v>RIFLEMAN_AZTEC</v>
      </c>
      <c r="B1442" s="9" t="s">
        <v>123</v>
      </c>
      <c r="C1442" s="4" t="s">
        <v>702</v>
      </c>
      <c r="E1442" s="4" t="s">
        <v>123</v>
      </c>
      <c r="F1442" s="4" t="s">
        <v>123</v>
      </c>
      <c r="G1442" s="4" t="s">
        <v>2047</v>
      </c>
      <c r="H1442" s="4" t="s">
        <v>200</v>
      </c>
      <c r="I1442" s="4" t="s">
        <v>122</v>
      </c>
      <c r="Q1442" s="9">
        <v>4</v>
      </c>
      <c r="R1442" s="11" t="s">
        <v>1694</v>
      </c>
      <c r="T1442" s="11">
        <v>3</v>
      </c>
      <c r="Z1442" s="9">
        <v>0</v>
      </c>
      <c r="AF1442" s="11">
        <v>0</v>
      </c>
      <c r="AI1442" s="11">
        <v>1</v>
      </c>
    </row>
    <row r="1443" spans="1:43" x14ac:dyDescent="0.25">
      <c r="A1443" s="161" t="str">
        <f t="shared" si="25"/>
        <v>RIFLEMAN_INCA</v>
      </c>
      <c r="B1443" s="9" t="s">
        <v>123</v>
      </c>
      <c r="C1443" s="4" t="s">
        <v>719</v>
      </c>
      <c r="E1443" s="4" t="s">
        <v>123</v>
      </c>
      <c r="F1443" s="4" t="s">
        <v>123</v>
      </c>
      <c r="G1443" s="14" t="s">
        <v>132</v>
      </c>
      <c r="H1443" s="4" t="s">
        <v>426</v>
      </c>
      <c r="I1443" s="4" t="s">
        <v>122</v>
      </c>
      <c r="R1443" s="11" t="s">
        <v>1694</v>
      </c>
      <c r="Z1443" s="9"/>
    </row>
    <row r="1444" spans="1:43" x14ac:dyDescent="0.25">
      <c r="A1444" s="161" t="str">
        <f t="shared" si="25"/>
        <v>RIFLEMAN_MAYA</v>
      </c>
      <c r="B1444" s="9" t="s">
        <v>123</v>
      </c>
      <c r="C1444" s="4" t="s">
        <v>725</v>
      </c>
      <c r="E1444" s="4" t="s">
        <v>123</v>
      </c>
      <c r="F1444" s="4" t="s">
        <v>123</v>
      </c>
      <c r="G1444" s="14" t="s">
        <v>132</v>
      </c>
      <c r="H1444" s="4" t="s">
        <v>521</v>
      </c>
      <c r="I1444" s="4" t="s">
        <v>122</v>
      </c>
      <c r="R1444" s="11" t="s">
        <v>1694</v>
      </c>
    </row>
    <row r="1445" spans="1:43" x14ac:dyDescent="0.25">
      <c r="A1445" s="161" t="str">
        <f t="shared" si="25"/>
        <v>RIFLEMAN_SOUTHAS</v>
      </c>
      <c r="B1445" s="9" t="s">
        <v>123</v>
      </c>
      <c r="C1445" s="4" t="s">
        <v>695</v>
      </c>
      <c r="D1445" s="4" t="s">
        <v>693</v>
      </c>
      <c r="E1445" s="4" t="s">
        <v>123</v>
      </c>
      <c r="F1445" s="4" t="s">
        <v>123</v>
      </c>
    </row>
    <row r="1446" spans="1:43" x14ac:dyDescent="0.25">
      <c r="A1446" s="161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H1446" s="4" t="s">
        <v>926</v>
      </c>
      <c r="I1446" s="4" t="s">
        <v>122</v>
      </c>
      <c r="Q1446" s="11">
        <v>1</v>
      </c>
      <c r="R1446" s="11">
        <v>0.13</v>
      </c>
      <c r="T1446" s="11">
        <v>3</v>
      </c>
      <c r="Z1446" s="11">
        <v>1</v>
      </c>
      <c r="AF1446" s="11">
        <v>1</v>
      </c>
      <c r="AI1446" s="11">
        <v>1</v>
      </c>
    </row>
    <row r="1447" spans="1:43" x14ac:dyDescent="0.25">
      <c r="A1447" s="161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G1447" s="4" t="s">
        <v>2045</v>
      </c>
      <c r="H1447" s="4" t="s">
        <v>927</v>
      </c>
      <c r="I1447" s="4" t="s">
        <v>122</v>
      </c>
      <c r="Q1447" s="11">
        <v>3</v>
      </c>
      <c r="R1447" s="11">
        <v>0.13</v>
      </c>
      <c r="T1447" s="11">
        <v>4</v>
      </c>
      <c r="Z1447" s="11">
        <v>0</v>
      </c>
      <c r="AF1447" s="11">
        <v>1</v>
      </c>
      <c r="AI1447" s="11">
        <v>2</v>
      </c>
    </row>
    <row r="1448" spans="1:43" x14ac:dyDescent="0.25">
      <c r="A1448" s="161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G1448" s="4" t="s">
        <v>2047</v>
      </c>
      <c r="H1448" s="4" t="s">
        <v>441</v>
      </c>
      <c r="I1448" s="4" t="s">
        <v>122</v>
      </c>
      <c r="Q1448" s="11">
        <v>1</v>
      </c>
      <c r="R1448" s="11">
        <v>0.13</v>
      </c>
      <c r="T1448" s="11">
        <v>3</v>
      </c>
      <c r="Z1448" s="11">
        <v>0</v>
      </c>
      <c r="AF1448" s="11">
        <v>1</v>
      </c>
      <c r="AI1448" s="11">
        <v>1</v>
      </c>
    </row>
    <row r="1449" spans="1:43" x14ac:dyDescent="0.25">
      <c r="A1449" s="161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H1449" s="4" t="s">
        <v>926</v>
      </c>
      <c r="I1449" s="4" t="s">
        <v>122</v>
      </c>
      <c r="Q1449" s="9">
        <v>3</v>
      </c>
      <c r="R1449" s="11">
        <v>0.13</v>
      </c>
      <c r="T1449" s="11">
        <v>3</v>
      </c>
      <c r="Z1449" s="9">
        <v>0</v>
      </c>
      <c r="AF1449" s="11">
        <v>0</v>
      </c>
      <c r="AI1449" s="11">
        <v>1</v>
      </c>
    </row>
    <row r="1450" spans="1:43" x14ac:dyDescent="0.25">
      <c r="A1450" s="161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G1450" s="4" t="s">
        <v>2045</v>
      </c>
      <c r="H1450" s="4" t="s">
        <v>927</v>
      </c>
      <c r="I1450" s="4" t="s">
        <v>122</v>
      </c>
      <c r="Q1450" s="9">
        <v>2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</row>
    <row r="1451" spans="1:43" x14ac:dyDescent="0.25">
      <c r="A1451" s="161" t="str">
        <f t="shared" si="25"/>
        <v>RIFLEMAN_INDIA</v>
      </c>
      <c r="B1451" s="9" t="s">
        <v>123</v>
      </c>
      <c r="C1451" s="4" t="s">
        <v>720</v>
      </c>
      <c r="E1451" s="4" t="s">
        <v>123</v>
      </c>
      <c r="F1451" s="4" t="s">
        <v>123</v>
      </c>
      <c r="G1451" s="4" t="s">
        <v>2047</v>
      </c>
      <c r="H1451" s="4" t="s">
        <v>441</v>
      </c>
      <c r="I1451" s="4" t="s">
        <v>122</v>
      </c>
      <c r="Q1451" s="9">
        <v>4</v>
      </c>
      <c r="R1451" s="11">
        <v>0.13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5"/>
        <v>ROCKET_ARTILLERY</v>
      </c>
      <c r="B1452" s="9" t="s">
        <v>772</v>
      </c>
      <c r="C1452" s="5"/>
      <c r="D1452" s="5"/>
      <c r="E1452" s="5" t="s">
        <v>772</v>
      </c>
      <c r="F1452" s="5" t="s">
        <v>801</v>
      </c>
      <c r="G1452" s="5"/>
      <c r="H1452" s="5" t="s">
        <v>1506</v>
      </c>
      <c r="I1452" s="5" t="s">
        <v>128</v>
      </c>
      <c r="J1452" s="6"/>
      <c r="K1452" s="6"/>
      <c r="L1452" s="13" t="s">
        <v>1708</v>
      </c>
      <c r="M1452" s="8"/>
      <c r="N1452" s="5"/>
      <c r="O1452" s="5"/>
      <c r="P1452" s="5"/>
      <c r="Q1452" s="7">
        <v>2</v>
      </c>
      <c r="R1452" s="6">
        <v>0.09</v>
      </c>
      <c r="S1452" s="13" t="s">
        <v>1612</v>
      </c>
      <c r="T1452" s="6"/>
      <c r="U1452" s="6"/>
      <c r="V1452" s="5"/>
      <c r="W1452" s="6" t="s">
        <v>3</v>
      </c>
      <c r="X1452" s="6" t="s">
        <v>3</v>
      </c>
      <c r="Y1452" s="5"/>
      <c r="Z1452" s="7">
        <v>1</v>
      </c>
      <c r="AA1452" s="6"/>
      <c r="AB1452" s="5"/>
      <c r="AC1452" s="6"/>
      <c r="AD1452" s="6" t="s">
        <v>3</v>
      </c>
      <c r="AE1452" s="5"/>
      <c r="AF1452" s="6"/>
      <c r="AG1452" s="6"/>
      <c r="AH1452" s="5"/>
      <c r="AI1452" s="6"/>
      <c r="AJ1452" s="6"/>
      <c r="AK1452" s="5"/>
      <c r="AL1452" s="5"/>
      <c r="AM1452" s="5"/>
      <c r="AN1452" s="5"/>
      <c r="AO1452" s="5"/>
      <c r="AP1452" s="5"/>
      <c r="AQ1452" s="5"/>
    </row>
    <row r="1453" spans="1:43" x14ac:dyDescent="0.25">
      <c r="A1453" s="161" t="str">
        <f t="shared" si="25"/>
        <v>SCIENTIST</v>
      </c>
      <c r="B1453" s="9" t="s">
        <v>1365</v>
      </c>
      <c r="C1453" s="5"/>
      <c r="D1453" s="5"/>
      <c r="E1453" s="5" t="s">
        <v>1365</v>
      </c>
      <c r="F1453" s="5" t="s">
        <v>1367</v>
      </c>
      <c r="G1453" s="5"/>
      <c r="H1453" s="5" t="s">
        <v>1480</v>
      </c>
      <c r="I1453" s="5" t="s">
        <v>128</v>
      </c>
      <c r="J1453" s="6">
        <v>1</v>
      </c>
      <c r="K1453" s="6"/>
      <c r="L1453" s="13" t="s">
        <v>1709</v>
      </c>
      <c r="M1453" s="8"/>
      <c r="N1453" s="5"/>
      <c r="O1453" s="5"/>
      <c r="P1453" s="5"/>
      <c r="Q1453" s="7">
        <v>1</v>
      </c>
      <c r="R1453" s="7" t="s">
        <v>1694</v>
      </c>
      <c r="S1453" s="5"/>
      <c r="T1453" s="6"/>
      <c r="U1453" s="7" t="s">
        <v>1736</v>
      </c>
      <c r="V1453" s="5"/>
      <c r="W1453" s="6"/>
      <c r="X1453" s="6" t="s">
        <v>3</v>
      </c>
      <c r="Y1453" s="5"/>
      <c r="Z1453" s="6"/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5"/>
      <c r="AM1453" s="5"/>
      <c r="AN1453" s="5"/>
      <c r="AO1453" s="5"/>
      <c r="AP1453" s="5"/>
      <c r="AQ1453" s="5"/>
    </row>
    <row r="1454" spans="1:43" x14ac:dyDescent="0.25">
      <c r="A1454" s="161" t="str">
        <f t="shared" si="25"/>
        <v>SCIENTIST_LATE</v>
      </c>
      <c r="B1454" s="9" t="s">
        <v>1365</v>
      </c>
      <c r="C1454" s="5"/>
      <c r="D1454" s="5"/>
      <c r="E1454" s="5" t="s">
        <v>1366</v>
      </c>
      <c r="F1454" s="5" t="s">
        <v>1368</v>
      </c>
      <c r="G1454" s="5"/>
      <c r="H1454" s="5" t="s">
        <v>1481</v>
      </c>
      <c r="I1454" s="5" t="s">
        <v>128</v>
      </c>
      <c r="J1454" s="6"/>
      <c r="K1454" s="6"/>
      <c r="L1454" s="13" t="s">
        <v>1709</v>
      </c>
      <c r="M1454" s="8"/>
      <c r="N1454" s="5"/>
      <c r="O1454" s="5"/>
      <c r="P1454" s="5"/>
      <c r="Q1454" s="7">
        <v>1</v>
      </c>
      <c r="R1454" s="7" t="s">
        <v>1694</v>
      </c>
      <c r="S1454" s="5"/>
      <c r="T1454" s="6"/>
      <c r="U1454" s="7" t="s">
        <v>1736</v>
      </c>
      <c r="V1454" s="5"/>
      <c r="W1454" s="6"/>
      <c r="X1454" s="6" t="s">
        <v>3</v>
      </c>
      <c r="Y1454" s="5"/>
      <c r="Z1454" s="6"/>
      <c r="AA1454" s="6"/>
      <c r="AB1454" s="5"/>
      <c r="AC1454" s="6"/>
      <c r="AD1454" s="6" t="s">
        <v>3</v>
      </c>
      <c r="AE1454" s="5"/>
      <c r="AF1454" s="6"/>
      <c r="AG1454" s="6"/>
      <c r="AH1454" s="5"/>
      <c r="AI1454" s="6"/>
      <c r="AJ1454" s="6"/>
      <c r="AK1454" s="5"/>
      <c r="AL1454" s="5"/>
      <c r="AM1454" s="5"/>
      <c r="AN1454" s="5"/>
      <c r="AO1454" s="5"/>
      <c r="AP1454" s="5"/>
      <c r="AQ1454" s="5"/>
    </row>
    <row r="1455" spans="1:43" x14ac:dyDescent="0.25">
      <c r="A1455" s="161" t="str">
        <f t="shared" si="25"/>
        <v>SCOUT</v>
      </c>
      <c r="B1455" s="9" t="s">
        <v>773</v>
      </c>
      <c r="C1455" s="5"/>
      <c r="D1455" s="5"/>
      <c r="E1455" s="5" t="s">
        <v>773</v>
      </c>
      <c r="F1455" s="5" t="s">
        <v>773</v>
      </c>
      <c r="G1455" s="5"/>
      <c r="H1455" s="5" t="s">
        <v>20</v>
      </c>
      <c r="I1455" s="5" t="s">
        <v>128</v>
      </c>
      <c r="J1455" s="6"/>
      <c r="K1455" s="6"/>
      <c r="L1455" s="13" t="s">
        <v>1707</v>
      </c>
      <c r="M1455" s="8"/>
      <c r="N1455" s="5"/>
      <c r="O1455" s="5"/>
      <c r="P1455" s="5"/>
      <c r="Q1455" s="7">
        <v>6</v>
      </c>
      <c r="R1455" s="6" t="s">
        <v>1736</v>
      </c>
      <c r="S1455" s="13" t="s">
        <v>20</v>
      </c>
      <c r="T1455" s="6"/>
      <c r="U1455" s="6">
        <v>0.08</v>
      </c>
      <c r="V1455" s="5"/>
      <c r="W1455" s="6" t="s">
        <v>3</v>
      </c>
      <c r="X1455" s="6" t="s">
        <v>3</v>
      </c>
      <c r="Y1455" s="5"/>
      <c r="Z1455" s="6">
        <v>1</v>
      </c>
      <c r="AA1455" s="6"/>
      <c r="AB1455" s="5"/>
      <c r="AC1455" s="6"/>
      <c r="AD1455" s="6" t="s">
        <v>3</v>
      </c>
      <c r="AE1455" s="5"/>
      <c r="AF1455" s="6">
        <v>2</v>
      </c>
      <c r="AG1455" s="6"/>
      <c r="AH1455" s="5"/>
      <c r="AI1455" s="6">
        <v>5</v>
      </c>
      <c r="AJ1455" s="6"/>
      <c r="AK1455" s="5"/>
      <c r="AL1455" s="5"/>
      <c r="AM1455" s="5"/>
      <c r="AN1455" s="5"/>
      <c r="AO1455" s="5"/>
      <c r="AP1455" s="5"/>
      <c r="AQ1455" s="5"/>
    </row>
    <row r="1456" spans="1:43" x14ac:dyDescent="0.25">
      <c r="A1456" s="161" t="str">
        <f t="shared" si="25"/>
        <v>SCOUT_AFRI</v>
      </c>
      <c r="B1456" s="9" t="s">
        <v>773</v>
      </c>
      <c r="C1456" s="4" t="s">
        <v>694</v>
      </c>
      <c r="E1456" s="4" t="s">
        <v>773</v>
      </c>
      <c r="F1456" s="4" t="s">
        <v>773</v>
      </c>
      <c r="H1456" s="4" t="s">
        <v>685</v>
      </c>
      <c r="I1456" s="4" t="s">
        <v>1795</v>
      </c>
      <c r="R1456" s="11">
        <v>0.14399999999999999</v>
      </c>
    </row>
    <row r="1457" spans="1:35" x14ac:dyDescent="0.25">
      <c r="A1457" s="161" t="str">
        <f t="shared" si="25"/>
        <v>SCOUT_AMER</v>
      </c>
      <c r="B1457" s="9" t="s">
        <v>773</v>
      </c>
      <c r="C1457" s="4" t="s">
        <v>697</v>
      </c>
      <c r="E1457" s="4" t="s">
        <v>773</v>
      </c>
      <c r="F1457" s="4" t="s">
        <v>773</v>
      </c>
      <c r="H1457" s="4" t="s">
        <v>470</v>
      </c>
      <c r="I1457" s="4" t="s">
        <v>1933</v>
      </c>
    </row>
    <row r="1458" spans="1:35" x14ac:dyDescent="0.25">
      <c r="A1458" s="161" t="str">
        <f t="shared" si="25"/>
        <v>SCOUT_IROQUOIS</v>
      </c>
      <c r="B1458" s="9" t="s">
        <v>773</v>
      </c>
      <c r="C1458" s="4" t="s">
        <v>721</v>
      </c>
      <c r="E1458" s="4" t="s">
        <v>773</v>
      </c>
      <c r="F1458" s="4" t="s">
        <v>773</v>
      </c>
      <c r="H1458" s="4" t="s">
        <v>947</v>
      </c>
      <c r="I1458" s="4" t="s">
        <v>1933</v>
      </c>
      <c r="Q1458" s="11">
        <v>1</v>
      </c>
      <c r="T1458" s="11">
        <v>1</v>
      </c>
      <c r="Z1458" s="11">
        <v>1</v>
      </c>
      <c r="AF1458" s="11">
        <v>1</v>
      </c>
      <c r="AI1458" s="11">
        <v>1</v>
      </c>
    </row>
    <row r="1459" spans="1:35" x14ac:dyDescent="0.25">
      <c r="A1459" s="161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G1459" s="4" t="s">
        <v>2045</v>
      </c>
      <c r="H1459" s="4" t="s">
        <v>470</v>
      </c>
      <c r="I1459" s="4" t="s">
        <v>1933</v>
      </c>
      <c r="Q1459" s="11">
        <v>1</v>
      </c>
      <c r="T1459" s="11">
        <v>1</v>
      </c>
      <c r="Z1459" s="11">
        <v>0</v>
      </c>
      <c r="AF1459" s="11">
        <v>1</v>
      </c>
      <c r="AI1459" s="11">
        <v>1</v>
      </c>
    </row>
    <row r="1460" spans="1:35" x14ac:dyDescent="0.25">
      <c r="A1460" s="161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H1460" s="4" t="s">
        <v>947</v>
      </c>
      <c r="I1460" s="4" t="s">
        <v>1933</v>
      </c>
      <c r="Q1460" s="11">
        <v>2</v>
      </c>
      <c r="T1460" s="11">
        <v>2</v>
      </c>
      <c r="Z1460" s="11">
        <v>0</v>
      </c>
      <c r="AF1460" s="11">
        <v>0</v>
      </c>
      <c r="AI1460" s="11">
        <v>2</v>
      </c>
    </row>
    <row r="1461" spans="1:35" x14ac:dyDescent="0.25">
      <c r="A1461" s="161" t="str">
        <f t="shared" si="25"/>
        <v>SCOUT_IROQUOIS</v>
      </c>
      <c r="B1461" s="9" t="s">
        <v>773</v>
      </c>
      <c r="C1461" s="4" t="s">
        <v>721</v>
      </c>
      <c r="E1461" s="4" t="s">
        <v>773</v>
      </c>
      <c r="F1461" s="4" t="s">
        <v>773</v>
      </c>
      <c r="G1461" s="4" t="s">
        <v>2045</v>
      </c>
      <c r="H1461" s="4" t="s">
        <v>470</v>
      </c>
      <c r="I1461" s="4" t="s">
        <v>1933</v>
      </c>
      <c r="Q1461" s="9">
        <v>2</v>
      </c>
      <c r="T1461" s="11">
        <v>2</v>
      </c>
      <c r="Z1461" s="9">
        <v>0</v>
      </c>
      <c r="AF1461" s="11">
        <v>0</v>
      </c>
      <c r="AI1461" s="11">
        <v>1</v>
      </c>
    </row>
    <row r="1462" spans="1:35" x14ac:dyDescent="0.25">
      <c r="A1462" s="161" t="str">
        <f t="shared" si="25"/>
        <v>SCOUT_ASIA</v>
      </c>
      <c r="B1462" s="9" t="s">
        <v>773</v>
      </c>
      <c r="C1462" s="4" t="s">
        <v>693</v>
      </c>
      <c r="E1462" s="4" t="s">
        <v>773</v>
      </c>
      <c r="F1462" s="4" t="s">
        <v>773</v>
      </c>
      <c r="H1462" s="4" t="s">
        <v>454</v>
      </c>
      <c r="I1462" s="4" t="s">
        <v>2096</v>
      </c>
    </row>
    <row r="1463" spans="1:35" x14ac:dyDescent="0.25">
      <c r="A1463" s="161" t="str">
        <f t="shared" si="25"/>
        <v>SCOUT_BELGIUM</v>
      </c>
      <c r="B1463" s="9" t="s">
        <v>773</v>
      </c>
      <c r="C1463" s="4" t="s">
        <v>704</v>
      </c>
      <c r="D1463" s="4" t="s">
        <v>709</v>
      </c>
      <c r="E1463" s="4" t="s">
        <v>773</v>
      </c>
      <c r="F1463" s="4" t="s">
        <v>773</v>
      </c>
    </row>
    <row r="1464" spans="1:35" x14ac:dyDescent="0.25">
      <c r="A1464" s="161" t="str">
        <f t="shared" si="25"/>
        <v>SCOUT_CELTS</v>
      </c>
      <c r="B1464" s="9" t="s">
        <v>773</v>
      </c>
      <c r="C1464" s="4" t="s">
        <v>709</v>
      </c>
      <c r="E1464" s="4" t="s">
        <v>773</v>
      </c>
      <c r="F1464" s="4" t="s">
        <v>773</v>
      </c>
      <c r="G1464" s="14" t="s">
        <v>132</v>
      </c>
      <c r="H1464" s="4" t="s">
        <v>241</v>
      </c>
      <c r="I1464" s="4" t="s">
        <v>1055</v>
      </c>
    </row>
    <row r="1465" spans="1:35" x14ac:dyDescent="0.25">
      <c r="A1465" s="161" t="str">
        <f t="shared" si="25"/>
        <v>SCOUT_ENGLAND</v>
      </c>
      <c r="B1465" s="9" t="s">
        <v>773</v>
      </c>
      <c r="C1465" s="4" t="s">
        <v>713</v>
      </c>
      <c r="D1465" s="4" t="s">
        <v>709</v>
      </c>
      <c r="E1465" s="4" t="s">
        <v>773</v>
      </c>
      <c r="F1465" s="4" t="s">
        <v>773</v>
      </c>
      <c r="G1465" s="14" t="s">
        <v>132</v>
      </c>
      <c r="H1465" s="1"/>
      <c r="I1465" s="1"/>
    </row>
    <row r="1466" spans="1:35" x14ac:dyDescent="0.25">
      <c r="A1466" s="161" t="str">
        <f t="shared" si="25"/>
        <v>SCOUT_FRANCE</v>
      </c>
      <c r="B1466" s="9" t="s">
        <v>773</v>
      </c>
      <c r="C1466" s="4" t="s">
        <v>715</v>
      </c>
      <c r="D1466" s="4" t="s">
        <v>709</v>
      </c>
      <c r="E1466" s="4" t="s">
        <v>773</v>
      </c>
      <c r="F1466" s="4" t="s">
        <v>773</v>
      </c>
      <c r="G1466" s="14"/>
    </row>
    <row r="1467" spans="1:35" x14ac:dyDescent="0.25">
      <c r="A1467" s="161" t="str">
        <f>CONCATENATE(E1467,IF(ISBLANK(C1467),"",CONCATENATE("_",C1467)))</f>
        <v>SCOUT_NETHERLANDS</v>
      </c>
      <c r="B1467" s="9" t="s">
        <v>773</v>
      </c>
      <c r="C1467" s="4" t="s">
        <v>730</v>
      </c>
      <c r="D1467" s="4" t="s">
        <v>962</v>
      </c>
      <c r="E1467" s="4" t="s">
        <v>773</v>
      </c>
      <c r="F1467" s="4" t="s">
        <v>773</v>
      </c>
    </row>
    <row r="1468" spans="1:35" x14ac:dyDescent="0.25">
      <c r="A1468" s="161" t="str">
        <f t="shared" si="25"/>
        <v>SCOUT_SWISS</v>
      </c>
      <c r="B1468" s="9" t="s">
        <v>773</v>
      </c>
      <c r="C1468" s="4" t="s">
        <v>740</v>
      </c>
      <c r="D1468" s="4" t="s">
        <v>709</v>
      </c>
      <c r="E1468" s="4" t="s">
        <v>773</v>
      </c>
      <c r="F1468" s="4" t="s">
        <v>773</v>
      </c>
      <c r="G1468" s="14"/>
    </row>
    <row r="1469" spans="1:35" x14ac:dyDescent="0.25">
      <c r="A1469" s="161" t="str">
        <f t="shared" si="25"/>
        <v>SCOUT_MED</v>
      </c>
      <c r="B1469" s="9" t="s">
        <v>773</v>
      </c>
      <c r="C1469" s="4" t="s">
        <v>692</v>
      </c>
      <c r="E1469" s="4" t="s">
        <v>773</v>
      </c>
      <c r="F1469" s="4" t="s">
        <v>773</v>
      </c>
      <c r="H1469" s="4" t="s">
        <v>233</v>
      </c>
      <c r="I1469" s="4" t="s">
        <v>1055</v>
      </c>
    </row>
    <row r="1470" spans="1:35" x14ac:dyDescent="0.25">
      <c r="A1470" s="161" t="str">
        <f t="shared" si="25"/>
        <v>SCOUT_CARTHAGE</v>
      </c>
      <c r="B1470" s="9" t="s">
        <v>773</v>
      </c>
      <c r="C1470" s="4" t="s">
        <v>708</v>
      </c>
      <c r="E1470" s="4" t="s">
        <v>773</v>
      </c>
      <c r="F1470" s="4" t="s">
        <v>773</v>
      </c>
      <c r="H1470" s="4" t="s">
        <v>2681</v>
      </c>
      <c r="I1470" s="4" t="s">
        <v>1025</v>
      </c>
    </row>
    <row r="1471" spans="1:35" x14ac:dyDescent="0.25">
      <c r="A1471" s="161" t="str">
        <f t="shared" si="25"/>
        <v>SCOUT_MIDEAST</v>
      </c>
      <c r="B1471" s="9" t="s">
        <v>773</v>
      </c>
      <c r="C1471" s="4" t="s">
        <v>690</v>
      </c>
      <c r="E1471" s="4" t="s">
        <v>773</v>
      </c>
      <c r="F1471" s="4" t="s">
        <v>773</v>
      </c>
      <c r="H1471" s="4" t="s">
        <v>961</v>
      </c>
      <c r="I1471" s="4" t="s">
        <v>1055</v>
      </c>
    </row>
    <row r="1472" spans="1:35" x14ac:dyDescent="0.25">
      <c r="A1472" s="161" t="str">
        <f t="shared" si="25"/>
        <v>SCOUT_EGYPT</v>
      </c>
      <c r="B1472" s="9" t="s">
        <v>773</v>
      </c>
      <c r="C1472" s="4" t="s">
        <v>712</v>
      </c>
      <c r="E1472" s="4" t="s">
        <v>773</v>
      </c>
      <c r="F1472" s="4" t="s">
        <v>773</v>
      </c>
      <c r="H1472" s="4" t="s">
        <v>1809</v>
      </c>
      <c r="I1472" s="4" t="s">
        <v>1811</v>
      </c>
    </row>
    <row r="1473" spans="1:43" x14ac:dyDescent="0.25">
      <c r="A1473" s="161" t="str">
        <f t="shared" si="25"/>
        <v>SCOUT_LEVANT</v>
      </c>
      <c r="B1473" s="9" t="s">
        <v>773</v>
      </c>
      <c r="C1473" s="4" t="s">
        <v>724</v>
      </c>
      <c r="D1473" s="4" t="s">
        <v>731</v>
      </c>
      <c r="E1473" s="4" t="s">
        <v>773</v>
      </c>
      <c r="F1473" s="4" t="s">
        <v>773</v>
      </c>
    </row>
    <row r="1474" spans="1:43" x14ac:dyDescent="0.25">
      <c r="A1474" s="161" t="str">
        <f>CONCATENATE(E1474,IF(ISBLANK(C1474),"",CONCATENATE("_",C1474)))</f>
        <v>SCOUT_PERSIA</v>
      </c>
      <c r="B1474" s="9" t="s">
        <v>773</v>
      </c>
      <c r="C1474" s="4" t="s">
        <v>731</v>
      </c>
      <c r="E1474" s="4" t="s">
        <v>773</v>
      </c>
      <c r="F1474" s="4" t="s">
        <v>773</v>
      </c>
      <c r="H1474" s="4" t="s">
        <v>1786</v>
      </c>
      <c r="I1474" s="4" t="s">
        <v>1793</v>
      </c>
    </row>
    <row r="1475" spans="1:43" x14ac:dyDescent="0.25">
      <c r="A1475" s="161" t="str">
        <f>CONCATENATE(E1475,IF(ISBLANK(C1475),"",CONCATENATE("_",C1475)))</f>
        <v>SCOUT_NORTHAF</v>
      </c>
      <c r="B1475" s="9" t="s">
        <v>773</v>
      </c>
      <c r="C1475" s="4" t="s">
        <v>2009</v>
      </c>
      <c r="E1475" s="4" t="s">
        <v>773</v>
      </c>
      <c r="F1475" s="4" t="s">
        <v>773</v>
      </c>
      <c r="H1475" s="4" t="s">
        <v>645</v>
      </c>
      <c r="I1475" s="4" t="s">
        <v>1055</v>
      </c>
    </row>
    <row r="1476" spans="1:43" x14ac:dyDescent="0.25">
      <c r="A1476" s="161" t="str">
        <f t="shared" si="25"/>
        <v>SCOUT_NORTHEU</v>
      </c>
      <c r="B1476" s="9" t="s">
        <v>773</v>
      </c>
      <c r="C1476" s="4" t="s">
        <v>962</v>
      </c>
      <c r="E1476" s="4" t="s">
        <v>773</v>
      </c>
      <c r="F1476" s="4" t="s">
        <v>773</v>
      </c>
      <c r="H1476" s="4" t="s">
        <v>1983</v>
      </c>
      <c r="I1476" s="4" t="s">
        <v>835</v>
      </c>
    </row>
    <row r="1477" spans="1:43" x14ac:dyDescent="0.25">
      <c r="A1477" s="161" t="str">
        <f t="shared" si="25"/>
        <v>SCOUT_OCEAN</v>
      </c>
      <c r="B1477" s="9" t="s">
        <v>773</v>
      </c>
      <c r="C1477" s="4" t="s">
        <v>994</v>
      </c>
      <c r="D1477" s="4" t="s">
        <v>702</v>
      </c>
      <c r="E1477" s="4" t="s">
        <v>773</v>
      </c>
      <c r="F1477" s="4" t="s">
        <v>773</v>
      </c>
    </row>
    <row r="1478" spans="1:43" x14ac:dyDescent="0.25">
      <c r="A1478" s="161" t="str">
        <f t="shared" si="25"/>
        <v>SCOUT_SAHUL</v>
      </c>
      <c r="B1478" s="9" t="s">
        <v>773</v>
      </c>
      <c r="C1478" s="4" t="s">
        <v>1787</v>
      </c>
      <c r="E1478" s="4" t="s">
        <v>773</v>
      </c>
      <c r="F1478" s="4" t="s">
        <v>773</v>
      </c>
      <c r="H1478" s="4" t="s">
        <v>1788</v>
      </c>
      <c r="I1478" s="4" t="s">
        <v>1793</v>
      </c>
    </row>
    <row r="1479" spans="1:43" x14ac:dyDescent="0.25">
      <c r="A1479" s="161" t="str">
        <f t="shared" si="25"/>
        <v>SCOUT_SEASIA</v>
      </c>
      <c r="B1479" s="9" t="s">
        <v>773</v>
      </c>
      <c r="C1479" s="4" t="s">
        <v>696</v>
      </c>
      <c r="D1479" s="4" t="s">
        <v>693</v>
      </c>
      <c r="E1479" s="4" t="s">
        <v>773</v>
      </c>
      <c r="F1479" s="4" t="s">
        <v>773</v>
      </c>
    </row>
    <row r="1480" spans="1:43" x14ac:dyDescent="0.25">
      <c r="A1480" s="161" t="str">
        <f t="shared" si="25"/>
        <v>SCOUT_SOUTHAM</v>
      </c>
      <c r="B1480" s="9" t="s">
        <v>773</v>
      </c>
      <c r="C1480" s="4" t="s">
        <v>691</v>
      </c>
      <c r="E1480" s="4" t="s">
        <v>773</v>
      </c>
      <c r="F1480" s="4" t="s">
        <v>773</v>
      </c>
      <c r="H1480" s="4" t="s">
        <v>1815</v>
      </c>
      <c r="I1480" s="4" t="s">
        <v>963</v>
      </c>
    </row>
    <row r="1481" spans="1:43" x14ac:dyDescent="0.25">
      <c r="A1481" s="161" t="str">
        <f t="shared" si="25"/>
        <v>SCOUT_AZTEC</v>
      </c>
      <c r="B1481" s="9" t="s">
        <v>773</v>
      </c>
      <c r="C1481" s="4" t="s">
        <v>702</v>
      </c>
      <c r="E1481" s="4" t="s">
        <v>773</v>
      </c>
      <c r="F1481" s="4" t="s">
        <v>773</v>
      </c>
      <c r="G1481" s="14"/>
      <c r="H1481" s="4" t="s">
        <v>201</v>
      </c>
      <c r="I1481" s="4" t="s">
        <v>102</v>
      </c>
    </row>
    <row r="1482" spans="1:43" x14ac:dyDescent="0.25">
      <c r="A1482" s="161" t="str">
        <f t="shared" si="25"/>
        <v>SCOUT_INCA</v>
      </c>
      <c r="B1482" s="9" t="s">
        <v>773</v>
      </c>
      <c r="C1482" s="4" t="s">
        <v>719</v>
      </c>
      <c r="E1482" s="4" t="s">
        <v>773</v>
      </c>
      <c r="F1482" s="4" t="s">
        <v>773</v>
      </c>
      <c r="G1482" s="14" t="s">
        <v>132</v>
      </c>
      <c r="H1482" s="4" t="s">
        <v>427</v>
      </c>
      <c r="I1482" s="4" t="s">
        <v>1025</v>
      </c>
    </row>
    <row r="1483" spans="1:43" x14ac:dyDescent="0.25">
      <c r="A1483" s="161" t="str">
        <f t="shared" ref="A1483:A1557" si="27">CONCATENATE(E1483,IF(ISBLANK(C1483),"",CONCATENATE("_",C1483)))</f>
        <v>SCOUT_SOUTHAS</v>
      </c>
      <c r="B1483" s="9" t="s">
        <v>773</v>
      </c>
      <c r="C1483" s="4" t="s">
        <v>695</v>
      </c>
      <c r="E1483" s="4" t="s">
        <v>773</v>
      </c>
      <c r="F1483" s="4" t="s">
        <v>773</v>
      </c>
      <c r="H1483" s="4" t="s">
        <v>1810</v>
      </c>
      <c r="I1483" s="4" t="s">
        <v>1793</v>
      </c>
    </row>
    <row r="1484" spans="1:43" x14ac:dyDescent="0.25">
      <c r="A1484" s="161" t="str">
        <f t="shared" si="27"/>
        <v>SCOUT_INDIA</v>
      </c>
      <c r="B1484" s="9" t="s">
        <v>773</v>
      </c>
      <c r="C1484" s="4" t="s">
        <v>720</v>
      </c>
      <c r="E1484" s="4" t="s">
        <v>773</v>
      </c>
      <c r="F1484" s="4" t="s">
        <v>773</v>
      </c>
      <c r="G1484" s="14" t="s">
        <v>132</v>
      </c>
      <c r="H1484" s="4" t="s">
        <v>442</v>
      </c>
      <c r="I1484" s="4" t="s">
        <v>102</v>
      </c>
    </row>
    <row r="1485" spans="1:43" x14ac:dyDescent="0.25">
      <c r="A1485" s="161" t="str">
        <f t="shared" si="27"/>
        <v>SCRAMBLE_FORCE_PUBLIQUE</v>
      </c>
      <c r="C1485" s="5"/>
      <c r="D1485" s="5"/>
      <c r="E1485" s="5" t="s">
        <v>1369</v>
      </c>
      <c r="F1485" s="5" t="s">
        <v>1369</v>
      </c>
      <c r="G1485" s="5"/>
      <c r="H1485" s="5" t="s">
        <v>1507</v>
      </c>
      <c r="I1485" s="5" t="s">
        <v>128</v>
      </c>
      <c r="J1485" s="6"/>
      <c r="K1485" s="6"/>
      <c r="L1485" s="13" t="s">
        <v>1707</v>
      </c>
      <c r="M1485" s="8"/>
      <c r="N1485" s="5"/>
      <c r="O1485" s="5"/>
      <c r="P1485" s="5"/>
      <c r="Q1485" s="7" t="s">
        <v>1736</v>
      </c>
      <c r="R1485" s="6" t="s">
        <v>1736</v>
      </c>
      <c r="S1485" s="13" t="s">
        <v>1619</v>
      </c>
      <c r="T1485" s="6"/>
      <c r="U1485" s="6"/>
      <c r="V1485" s="5"/>
      <c r="W1485" s="7" t="s">
        <v>3</v>
      </c>
      <c r="X1485" s="6" t="s">
        <v>3</v>
      </c>
      <c r="Y1485" s="5"/>
      <c r="Z1485" s="7">
        <v>1</v>
      </c>
      <c r="AA1485" s="6"/>
      <c r="AB1485" s="5"/>
      <c r="AC1485" s="6"/>
      <c r="AD1485" s="6" t="s">
        <v>3</v>
      </c>
      <c r="AE1485" s="5"/>
      <c r="AF1485" s="6" t="s">
        <v>1736</v>
      </c>
      <c r="AG1485" s="6"/>
      <c r="AH1485" s="5"/>
      <c r="AI1485" s="6" t="s">
        <v>1736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7"/>
        <v>SCRAMBLE_FOREIGN_VOLUNTEERS</v>
      </c>
      <c r="C1486" s="5"/>
      <c r="D1486" s="5"/>
      <c r="E1486" s="5" t="s">
        <v>1370</v>
      </c>
      <c r="F1486" s="5" t="s">
        <v>1370</v>
      </c>
      <c r="G1486" s="5"/>
      <c r="H1486" s="5" t="s">
        <v>21</v>
      </c>
      <c r="I1486" s="5" t="s">
        <v>128</v>
      </c>
      <c r="J1486" s="6"/>
      <c r="K1486" s="6"/>
      <c r="L1486" s="13" t="s">
        <v>1707</v>
      </c>
      <c r="M1486" s="8"/>
      <c r="N1486" s="5"/>
      <c r="O1486" s="5"/>
      <c r="P1486" s="5"/>
      <c r="Q1486" s="7">
        <v>14</v>
      </c>
      <c r="R1486" s="6" t="s">
        <v>1736</v>
      </c>
      <c r="S1486" s="13" t="s">
        <v>1618</v>
      </c>
      <c r="T1486" s="6"/>
      <c r="U1486" s="6"/>
      <c r="V1486" s="5"/>
      <c r="W1486" s="7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 t="s">
        <v>1736</v>
      </c>
      <c r="AG1486" s="6"/>
      <c r="AH1486" s="5"/>
      <c r="AI1486" s="6" t="s">
        <v>1736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7"/>
        <v>SMOKEY_LANDSHIP_LEVEL_1</v>
      </c>
      <c r="C1487" s="5"/>
      <c r="D1487" s="5"/>
      <c r="E1487" s="5" t="s">
        <v>1371</v>
      </c>
      <c r="F1487" s="5" t="s">
        <v>1371</v>
      </c>
      <c r="G1487" s="5"/>
      <c r="H1487" s="5" t="s">
        <v>1522</v>
      </c>
      <c r="I1487" s="5" t="s">
        <v>128</v>
      </c>
      <c r="J1487" s="6"/>
      <c r="K1487" s="6"/>
      <c r="L1487" s="13" t="s">
        <v>1708</v>
      </c>
      <c r="M1487" s="8"/>
      <c r="N1487" s="5"/>
      <c r="O1487" s="5"/>
      <c r="P1487" s="5"/>
      <c r="Q1487" s="7">
        <v>2</v>
      </c>
      <c r="R1487" s="6">
        <v>0.16</v>
      </c>
      <c r="S1487" s="13" t="s">
        <v>1612</v>
      </c>
      <c r="T1487" s="6"/>
      <c r="U1487" s="6"/>
      <c r="V1487" s="5"/>
      <c r="W1487" s="6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7"/>
        <v>SMOKEY_LANDSHIP_LEVEL_2</v>
      </c>
      <c r="C1488" s="5"/>
      <c r="D1488" s="5"/>
      <c r="E1488" s="5" t="s">
        <v>1372</v>
      </c>
      <c r="F1488" s="5" t="s">
        <v>1372</v>
      </c>
      <c r="G1488" s="5"/>
      <c r="H1488" s="5" t="s">
        <v>1523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2</v>
      </c>
      <c r="R1488" s="6">
        <v>0.15</v>
      </c>
      <c r="S1488" s="13" t="s">
        <v>1612</v>
      </c>
      <c r="T1488" s="6"/>
      <c r="U1488" s="6"/>
      <c r="V1488" s="5"/>
      <c r="W1488" s="6" t="s">
        <v>3</v>
      </c>
      <c r="X1488" s="6" t="s">
        <v>3</v>
      </c>
      <c r="Y1488" s="5"/>
      <c r="Z1488" s="7">
        <v>1</v>
      </c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7"/>
        <v>SMOKEY_LANDSHIP_LEVEL_3</v>
      </c>
      <c r="C1489" s="5"/>
      <c r="D1489" s="5"/>
      <c r="E1489" s="5" t="s">
        <v>1373</v>
      </c>
      <c r="F1489" s="5" t="s">
        <v>1373</v>
      </c>
      <c r="G1489" s="5"/>
      <c r="H1489" s="5" t="s">
        <v>1524</v>
      </c>
      <c r="I1489" s="5" t="s">
        <v>128</v>
      </c>
      <c r="J1489" s="6"/>
      <c r="K1489" s="6"/>
      <c r="L1489" s="13" t="s">
        <v>1708</v>
      </c>
      <c r="M1489" s="8"/>
      <c r="N1489" s="5"/>
      <c r="O1489" s="5"/>
      <c r="P1489" s="5"/>
      <c r="Q1489" s="7">
        <v>1</v>
      </c>
      <c r="R1489" s="6">
        <v>0.2</v>
      </c>
      <c r="S1489" s="13" t="s">
        <v>1612</v>
      </c>
      <c r="T1489" s="6"/>
      <c r="U1489" s="6"/>
      <c r="V1489" s="5"/>
      <c r="W1489" s="7" t="s">
        <v>3</v>
      </c>
      <c r="X1489" s="6" t="s">
        <v>3</v>
      </c>
      <c r="Y1489" s="5"/>
      <c r="Z1489" s="6"/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7"/>
        <v>SMOKEY_STEAM_AIRSHIP</v>
      </c>
      <c r="C1490" s="5"/>
      <c r="D1490" s="5"/>
      <c r="E1490" s="5" t="s">
        <v>1374</v>
      </c>
      <c r="F1490" s="5" t="s">
        <v>1377</v>
      </c>
      <c r="G1490" s="5"/>
      <c r="H1490" s="5" t="s">
        <v>1521</v>
      </c>
      <c r="I1490" s="5" t="s">
        <v>128</v>
      </c>
      <c r="J1490" s="6"/>
      <c r="K1490" s="7"/>
      <c r="L1490" s="13" t="s">
        <v>1708</v>
      </c>
      <c r="M1490" s="8"/>
      <c r="N1490" s="13" t="s">
        <v>1725</v>
      </c>
      <c r="O1490" s="13"/>
      <c r="P1490" s="13"/>
      <c r="Q1490" s="7">
        <v>1</v>
      </c>
      <c r="R1490" s="7">
        <v>0.21</v>
      </c>
      <c r="S1490" s="13" t="s">
        <v>1620</v>
      </c>
      <c r="T1490" s="6"/>
      <c r="U1490" s="6"/>
      <c r="V1490" s="5"/>
      <c r="W1490" s="7" t="s">
        <v>3</v>
      </c>
      <c r="X1490" s="6" t="s">
        <v>3</v>
      </c>
      <c r="Y1490" s="5"/>
      <c r="Z1490" s="6"/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5"/>
      <c r="AM1490" s="5"/>
      <c r="AN1490" s="5"/>
      <c r="AO1490" s="5"/>
      <c r="AP1490" s="5"/>
      <c r="AQ1490" s="5"/>
    </row>
    <row r="1491" spans="1:43" x14ac:dyDescent="0.25">
      <c r="A1491" s="161" t="str">
        <f t="shared" si="27"/>
        <v>SMOKEY_STEAM_AIRSHIP_LEVEL_1</v>
      </c>
      <c r="C1491" s="5"/>
      <c r="D1491" s="5"/>
      <c r="E1491" s="5" t="s">
        <v>1375</v>
      </c>
      <c r="F1491" s="5" t="s">
        <v>1378</v>
      </c>
      <c r="G1491" s="5"/>
      <c r="H1491" s="5" t="s">
        <v>1520</v>
      </c>
      <c r="I1491" s="5" t="s">
        <v>128</v>
      </c>
      <c r="J1491" s="6"/>
      <c r="K1491" s="7"/>
      <c r="L1491" s="13" t="s">
        <v>1708</v>
      </c>
      <c r="M1491" s="8"/>
      <c r="N1491" s="13" t="s">
        <v>1725</v>
      </c>
      <c r="O1491" s="13"/>
      <c r="P1491" s="13"/>
      <c r="Q1491" s="7">
        <v>2</v>
      </c>
      <c r="R1491" s="7">
        <v>0.21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7">
        <v>1</v>
      </c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5"/>
      <c r="AM1491" s="5"/>
      <c r="AN1491" s="5"/>
      <c r="AO1491" s="5"/>
      <c r="AP1491" s="5"/>
      <c r="AQ1491" s="5"/>
    </row>
    <row r="1492" spans="1:43" x14ac:dyDescent="0.25">
      <c r="A1492" s="161" t="str">
        <f t="shared" si="27"/>
        <v>SMOKEY_STEAM_FIGHTER</v>
      </c>
      <c r="C1492" s="5"/>
      <c r="D1492" s="5"/>
      <c r="E1492" s="5" t="s">
        <v>1376</v>
      </c>
      <c r="F1492" s="5" t="s">
        <v>1376</v>
      </c>
      <c r="G1492" s="5"/>
      <c r="H1492" s="5" t="s">
        <v>1525</v>
      </c>
      <c r="I1492" s="5" t="s">
        <v>128</v>
      </c>
      <c r="J1492" s="6"/>
      <c r="K1492" s="7"/>
      <c r="L1492" s="13" t="s">
        <v>1710</v>
      </c>
      <c r="M1492" s="8"/>
      <c r="N1492" s="13" t="s">
        <v>1724</v>
      </c>
      <c r="O1492" s="13"/>
      <c r="P1492" s="13"/>
      <c r="Q1492" s="7">
        <v>3</v>
      </c>
      <c r="R1492" s="6">
        <v>0.09</v>
      </c>
      <c r="S1492" s="13" t="s">
        <v>1620</v>
      </c>
      <c r="T1492" s="6"/>
      <c r="U1492" s="6"/>
      <c r="V1492" s="5"/>
      <c r="W1492" s="7" t="s">
        <v>3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/>
      <c r="AG1492" s="6"/>
      <c r="AH1492" s="5"/>
      <c r="AI1492" s="6"/>
      <c r="AJ1492" s="6"/>
      <c r="AK1492" s="5"/>
      <c r="AL1492" s="5"/>
      <c r="AM1492" s="5"/>
      <c r="AN1492" s="5"/>
      <c r="AO1492" s="5"/>
      <c r="AP1492" s="5"/>
      <c r="AQ1492" s="5"/>
    </row>
    <row r="1493" spans="1:43" x14ac:dyDescent="0.25">
      <c r="A1493" s="161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 t="s">
        <v>2045</v>
      </c>
      <c r="H1493" s="5" t="s">
        <v>1526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4</v>
      </c>
      <c r="R1493" s="6" t="s">
        <v>1736</v>
      </c>
      <c r="S1493" s="13" t="s">
        <v>1624</v>
      </c>
      <c r="T1493" s="6">
        <v>4</v>
      </c>
      <c r="U1493" s="7" t="s">
        <v>1736</v>
      </c>
      <c r="V1493" s="5"/>
      <c r="W1493" s="6">
        <v>6</v>
      </c>
      <c r="X1493" s="6" t="s">
        <v>3</v>
      </c>
      <c r="Y1493" s="5"/>
      <c r="Z1493" s="7">
        <v>1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2</v>
      </c>
      <c r="AJ1493" s="6"/>
      <c r="AK1493" s="5"/>
      <c r="AL1493" s="5"/>
      <c r="AM1493" s="5"/>
      <c r="AN1493" s="5"/>
      <c r="AO1493" s="5"/>
      <c r="AP1493" s="5"/>
      <c r="AQ1493" s="5"/>
    </row>
    <row r="1494" spans="1:43" x14ac:dyDescent="0.25">
      <c r="A1494" s="161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/>
      <c r="H1494" s="5" t="s">
        <v>19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5</v>
      </c>
      <c r="R1494" s="6" t="s">
        <v>1736</v>
      </c>
      <c r="S1494" s="13" t="s">
        <v>1624</v>
      </c>
      <c r="T1494" s="6">
        <v>3</v>
      </c>
      <c r="U1494" s="7" t="s">
        <v>1736</v>
      </c>
      <c r="V1494" s="5"/>
      <c r="W1494" s="6">
        <v>5</v>
      </c>
      <c r="X1494" s="6" t="s">
        <v>3</v>
      </c>
      <c r="Y1494" s="5"/>
      <c r="Z1494" s="7">
        <v>0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3</v>
      </c>
      <c r="AJ1494" s="6"/>
      <c r="AK1494" s="5"/>
      <c r="AL1494" s="5"/>
      <c r="AM1494" s="5"/>
      <c r="AN1494" s="5"/>
      <c r="AO1494" s="5"/>
      <c r="AP1494" s="5"/>
      <c r="AQ1494" s="5"/>
    </row>
    <row r="1495" spans="1:43" x14ac:dyDescent="0.25">
      <c r="A1495" s="161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 t="s">
        <v>2047</v>
      </c>
      <c r="H1495" s="5" t="s">
        <v>1527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3</v>
      </c>
      <c r="R1495" s="6" t="s">
        <v>1736</v>
      </c>
      <c r="S1495" s="13" t="s">
        <v>1624</v>
      </c>
      <c r="T1495" s="6">
        <v>2</v>
      </c>
      <c r="U1495" s="7" t="s">
        <v>1736</v>
      </c>
      <c r="V1495" s="5"/>
      <c r="W1495" s="6">
        <v>3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2</v>
      </c>
      <c r="AJ1495" s="6"/>
      <c r="AK1495" s="5"/>
      <c r="AL1495" s="5"/>
      <c r="AM1495" s="5"/>
      <c r="AN1495" s="5"/>
      <c r="AO1495" s="5"/>
      <c r="AP1495" s="5"/>
      <c r="AQ1495" s="5"/>
    </row>
    <row r="1496" spans="1:43" x14ac:dyDescent="0.25">
      <c r="A1496" s="161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 t="s">
        <v>2045</v>
      </c>
      <c r="H1496" s="5" t="s">
        <v>1526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0</v>
      </c>
      <c r="R1496" s="6" t="s">
        <v>1736</v>
      </c>
      <c r="S1496" s="13" t="s">
        <v>1624</v>
      </c>
      <c r="T1496" s="6">
        <v>5</v>
      </c>
      <c r="U1496" s="7" t="s">
        <v>1736</v>
      </c>
      <c r="V1496" s="5"/>
      <c r="W1496" s="7">
        <v>7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0</v>
      </c>
      <c r="AJ1496" s="6"/>
      <c r="AK1496" s="5"/>
      <c r="AL1496" s="5"/>
      <c r="AM1496" s="5"/>
      <c r="AN1496" s="5"/>
      <c r="AO1496" s="5"/>
      <c r="AP1496" s="5"/>
      <c r="AQ1496" s="5"/>
    </row>
    <row r="1497" spans="1:43" x14ac:dyDescent="0.25">
      <c r="A1497" s="161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/>
      <c r="H1497" s="5" t="s">
        <v>19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2</v>
      </c>
      <c r="U1497" s="7" t="s">
        <v>1736</v>
      </c>
      <c r="V1497" s="5"/>
      <c r="W1497" s="7">
        <v>3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5"/>
      <c r="AM1497" s="5"/>
      <c r="AN1497" s="5"/>
      <c r="AO1497" s="5"/>
      <c r="AP1497" s="5"/>
      <c r="AQ1497" s="5"/>
    </row>
    <row r="1498" spans="1:43" x14ac:dyDescent="0.25">
      <c r="A1498" s="161" t="str">
        <f t="shared" si="27"/>
        <v>SPEARMAN</v>
      </c>
      <c r="B1498" s="9" t="s">
        <v>106</v>
      </c>
      <c r="C1498" s="5"/>
      <c r="D1498" s="5"/>
      <c r="E1498" s="5" t="s">
        <v>106</v>
      </c>
      <c r="F1498" s="5" t="s">
        <v>106</v>
      </c>
      <c r="G1498" s="5" t="s">
        <v>2047</v>
      </c>
      <c r="H1498" s="5" t="s">
        <v>1527</v>
      </c>
      <c r="I1498" s="5" t="s">
        <v>128</v>
      </c>
      <c r="J1498" s="6"/>
      <c r="K1498" s="6"/>
      <c r="L1498" s="13" t="s">
        <v>1707</v>
      </c>
      <c r="M1498" s="8"/>
      <c r="N1498" s="5"/>
      <c r="O1498" s="5"/>
      <c r="P1498" s="5"/>
      <c r="Q1498" s="6">
        <v>0</v>
      </c>
      <c r="R1498" s="6" t="s">
        <v>1736</v>
      </c>
      <c r="S1498" s="13" t="s">
        <v>1624</v>
      </c>
      <c r="T1498" s="6">
        <v>4</v>
      </c>
      <c r="U1498" s="7" t="s">
        <v>1736</v>
      </c>
      <c r="V1498" s="5"/>
      <c r="W1498" s="7">
        <v>6</v>
      </c>
      <c r="X1498" s="6" t="s">
        <v>3</v>
      </c>
      <c r="Y1498" s="5"/>
      <c r="Z1498" s="7">
        <v>0</v>
      </c>
      <c r="AA1498" s="6"/>
      <c r="AB1498" s="5"/>
      <c r="AC1498" s="6"/>
      <c r="AD1498" s="6" t="s">
        <v>3</v>
      </c>
      <c r="AE1498" s="5"/>
      <c r="AF1498" s="6">
        <v>1</v>
      </c>
      <c r="AG1498" s="6"/>
      <c r="AH1498" s="5"/>
      <c r="AI1498" s="6">
        <v>0</v>
      </c>
      <c r="AJ1498" s="6"/>
      <c r="AK1498" s="5"/>
      <c r="AL1498" s="5"/>
      <c r="AM1498" s="5"/>
      <c r="AN1498" s="5"/>
      <c r="AO1498" s="5"/>
      <c r="AP1498" s="5"/>
      <c r="AQ1498" s="5"/>
    </row>
    <row r="1499" spans="1:43" x14ac:dyDescent="0.25">
      <c r="A1499" s="161" t="str">
        <f t="shared" si="27"/>
        <v>SPEARMAN_AFRI</v>
      </c>
      <c r="B1499" s="9" t="s">
        <v>106</v>
      </c>
      <c r="C1499" s="4" t="s">
        <v>694</v>
      </c>
      <c r="E1499" s="4" t="s">
        <v>106</v>
      </c>
      <c r="F1499" s="4" t="s">
        <v>106</v>
      </c>
      <c r="H1499" s="4" t="s">
        <v>686</v>
      </c>
      <c r="I1499" s="4" t="s">
        <v>1933</v>
      </c>
      <c r="Q1499" s="11" t="s">
        <v>1736</v>
      </c>
    </row>
    <row r="1500" spans="1:43" x14ac:dyDescent="0.25">
      <c r="A1500" s="161" t="str">
        <f t="shared" si="27"/>
        <v>SPEARMAN_ETHIOPIA</v>
      </c>
      <c r="B1500" s="9" t="s">
        <v>106</v>
      </c>
      <c r="C1500" s="4" t="s">
        <v>714</v>
      </c>
      <c r="E1500" s="4" t="s">
        <v>106</v>
      </c>
      <c r="F1500" s="4" t="s">
        <v>106</v>
      </c>
      <c r="G1500" s="14" t="s">
        <v>132</v>
      </c>
      <c r="H1500" s="4" t="s">
        <v>331</v>
      </c>
      <c r="I1500" s="4" t="s">
        <v>1025</v>
      </c>
      <c r="Q1500" s="11" t="s">
        <v>1736</v>
      </c>
    </row>
    <row r="1501" spans="1:43" x14ac:dyDescent="0.25">
      <c r="A1501" s="161" t="str">
        <f t="shared" si="27"/>
        <v>SPEARMAN_MOMBASA</v>
      </c>
      <c r="B1501" s="9" t="s">
        <v>106</v>
      </c>
      <c r="C1501" s="4" t="s">
        <v>727</v>
      </c>
      <c r="D1501" s="4" t="s">
        <v>733</v>
      </c>
      <c r="E1501" s="4" t="s">
        <v>106</v>
      </c>
      <c r="F1501" s="4" t="s">
        <v>106</v>
      </c>
      <c r="G1501" s="14" t="s">
        <v>132</v>
      </c>
    </row>
    <row r="1502" spans="1:43" x14ac:dyDescent="0.25">
      <c r="A1502" s="161" t="str">
        <f t="shared" si="27"/>
        <v>SPEARMAN_SONGHAI</v>
      </c>
      <c r="B1502" s="9" t="s">
        <v>106</v>
      </c>
      <c r="C1502" s="4" t="s">
        <v>737</v>
      </c>
      <c r="E1502" s="4" t="s">
        <v>106</v>
      </c>
      <c r="F1502" s="4" t="s">
        <v>106</v>
      </c>
      <c r="G1502" s="14" t="s">
        <v>132</v>
      </c>
      <c r="H1502" s="4" t="s">
        <v>1958</v>
      </c>
      <c r="I1502" s="4" t="s">
        <v>1025</v>
      </c>
      <c r="Q1502" s="9" t="s">
        <v>1736</v>
      </c>
      <c r="T1502" s="9"/>
      <c r="W1502" s="9"/>
      <c r="AF1502" s="9"/>
      <c r="AI1502" s="9"/>
    </row>
    <row r="1503" spans="1:43" x14ac:dyDescent="0.25">
      <c r="A1503" s="161" t="str">
        <f t="shared" si="27"/>
        <v>SPEARMAN_AMER</v>
      </c>
      <c r="B1503" s="9" t="s">
        <v>106</v>
      </c>
      <c r="C1503" s="4" t="s">
        <v>697</v>
      </c>
      <c r="E1503" s="4" t="s">
        <v>106</v>
      </c>
      <c r="F1503" s="4" t="s">
        <v>106</v>
      </c>
      <c r="H1503" s="4" t="s">
        <v>471</v>
      </c>
      <c r="I1503" s="4" t="s">
        <v>1933</v>
      </c>
      <c r="Q1503" s="9" t="s">
        <v>1736</v>
      </c>
      <c r="T1503" s="9"/>
      <c r="W1503" s="9"/>
      <c r="Z1503" s="9"/>
      <c r="AF1503" s="9"/>
      <c r="AI1503" s="9"/>
    </row>
    <row r="1504" spans="1:43" x14ac:dyDescent="0.25">
      <c r="A1504" s="161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H1504" s="4" t="s">
        <v>948</v>
      </c>
      <c r="I1504" s="4" t="s">
        <v>1933</v>
      </c>
      <c r="Q1504" s="11">
        <v>1</v>
      </c>
      <c r="T1504" s="11">
        <v>2</v>
      </c>
      <c r="Z1504" s="9">
        <v>1</v>
      </c>
      <c r="AF1504" s="11">
        <v>1</v>
      </c>
      <c r="AI1504" s="11">
        <v>1</v>
      </c>
    </row>
    <row r="1505" spans="1:35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2045</v>
      </c>
      <c r="H1505" s="4" t="s">
        <v>949</v>
      </c>
      <c r="I1505" s="4" t="s">
        <v>1933</v>
      </c>
      <c r="Q1505" s="11">
        <v>2</v>
      </c>
      <c r="T1505" s="11">
        <v>3</v>
      </c>
      <c r="Z1505" s="9">
        <v>0</v>
      </c>
      <c r="AF1505" s="11">
        <v>1</v>
      </c>
      <c r="AI1505" s="11">
        <v>1</v>
      </c>
    </row>
    <row r="1506" spans="1:35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2047</v>
      </c>
      <c r="H1506" s="4" t="s">
        <v>950</v>
      </c>
      <c r="I1506" s="4" t="s">
        <v>1933</v>
      </c>
      <c r="Q1506" s="11">
        <v>1</v>
      </c>
      <c r="T1506" s="11">
        <v>2</v>
      </c>
      <c r="Z1506" s="9">
        <v>0</v>
      </c>
      <c r="AF1506" s="11">
        <v>1</v>
      </c>
      <c r="AI1506" s="11">
        <v>1</v>
      </c>
    </row>
    <row r="1507" spans="1:35" x14ac:dyDescent="0.25">
      <c r="A1507" s="161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G1507" s="4" t="s">
        <v>2046</v>
      </c>
      <c r="H1507" s="4" t="s">
        <v>471</v>
      </c>
      <c r="I1507" s="4" t="s">
        <v>1933</v>
      </c>
      <c r="Q1507" s="9">
        <v>2</v>
      </c>
      <c r="T1507" s="11">
        <v>3</v>
      </c>
      <c r="Z1507" s="9">
        <v>0</v>
      </c>
      <c r="AF1507" s="11">
        <v>0</v>
      </c>
      <c r="AI1507" s="11">
        <v>1</v>
      </c>
    </row>
    <row r="1508" spans="1:35" x14ac:dyDescent="0.25">
      <c r="A1508" s="161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H1508" s="4" t="s">
        <v>948</v>
      </c>
      <c r="I1508" s="4" t="s">
        <v>1933</v>
      </c>
      <c r="Q1508" s="9">
        <v>2</v>
      </c>
      <c r="T1508" s="11">
        <v>3</v>
      </c>
      <c r="Z1508" s="9">
        <v>0</v>
      </c>
      <c r="AF1508" s="11">
        <v>0</v>
      </c>
      <c r="AI1508" s="11">
        <v>1</v>
      </c>
    </row>
    <row r="1509" spans="1:35" x14ac:dyDescent="0.25">
      <c r="A1509" s="161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G1509" s="4" t="s">
        <v>2045</v>
      </c>
      <c r="H1509" s="4" t="s">
        <v>949</v>
      </c>
      <c r="I1509" s="4" t="s">
        <v>1933</v>
      </c>
      <c r="Q1509" s="9">
        <v>1</v>
      </c>
      <c r="T1509" s="11">
        <v>2</v>
      </c>
      <c r="Z1509" s="9">
        <v>0</v>
      </c>
      <c r="AF1509" s="11">
        <v>0</v>
      </c>
      <c r="AI1509" s="11">
        <v>1</v>
      </c>
    </row>
    <row r="1510" spans="1:35" x14ac:dyDescent="0.25">
      <c r="A1510" s="161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2047</v>
      </c>
      <c r="H1510" s="4" t="s">
        <v>950</v>
      </c>
      <c r="I1510" s="4" t="s">
        <v>1933</v>
      </c>
      <c r="Q1510" s="9">
        <v>2</v>
      </c>
      <c r="T1510" s="11">
        <v>3</v>
      </c>
      <c r="Z1510" s="9">
        <v>0</v>
      </c>
      <c r="AF1510" s="11">
        <v>0</v>
      </c>
      <c r="AI1510" s="11">
        <v>1</v>
      </c>
    </row>
    <row r="1511" spans="1:35" x14ac:dyDescent="0.25">
      <c r="A1511" s="161" t="str">
        <f t="shared" si="27"/>
        <v>SPEARMAN_IROQUOIS</v>
      </c>
      <c r="B1511" s="9" t="s">
        <v>106</v>
      </c>
      <c r="C1511" s="4" t="s">
        <v>721</v>
      </c>
      <c r="E1511" s="4" t="s">
        <v>106</v>
      </c>
      <c r="F1511" s="4" t="s">
        <v>106</v>
      </c>
      <c r="G1511" s="4" t="s">
        <v>2046</v>
      </c>
      <c r="H1511" s="4" t="s">
        <v>471</v>
      </c>
      <c r="I1511" s="4" t="s">
        <v>1933</v>
      </c>
      <c r="Q1511" s="9">
        <v>1</v>
      </c>
      <c r="T1511" s="11">
        <v>2</v>
      </c>
      <c r="Z1511" s="9">
        <v>0</v>
      </c>
      <c r="AF1511" s="11">
        <v>0</v>
      </c>
      <c r="AI1511" s="11">
        <v>0</v>
      </c>
    </row>
    <row r="1512" spans="1:35" x14ac:dyDescent="0.25">
      <c r="A1512" s="161" t="str">
        <f t="shared" si="27"/>
        <v>SPEARMAN_ASIA</v>
      </c>
      <c r="B1512" s="9" t="s">
        <v>106</v>
      </c>
      <c r="C1512" s="4" t="s">
        <v>693</v>
      </c>
      <c r="E1512" s="4" t="s">
        <v>106</v>
      </c>
      <c r="F1512" s="4" t="s">
        <v>106</v>
      </c>
      <c r="H1512" s="4" t="s">
        <v>455</v>
      </c>
      <c r="I1512" s="4" t="s">
        <v>102</v>
      </c>
      <c r="Q1512" s="9" t="s">
        <v>1736</v>
      </c>
      <c r="T1512" s="9"/>
      <c r="W1512" s="9"/>
      <c r="Z1512" s="9"/>
      <c r="AF1512" s="9"/>
      <c r="AI1512" s="9"/>
    </row>
    <row r="1513" spans="1:35" x14ac:dyDescent="0.25">
      <c r="A1513" s="161" t="str">
        <f t="shared" si="27"/>
        <v>SPEARMAN_CHINA</v>
      </c>
      <c r="B1513" s="9" t="s">
        <v>106</v>
      </c>
      <c r="C1513" s="4" t="s">
        <v>710</v>
      </c>
      <c r="E1513" s="4" t="s">
        <v>106</v>
      </c>
      <c r="F1513" s="4" t="s">
        <v>106</v>
      </c>
      <c r="G1513" s="14" t="s">
        <v>132</v>
      </c>
      <c r="H1513" s="4" t="s">
        <v>258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</row>
    <row r="1514" spans="1:35" x14ac:dyDescent="0.25">
      <c r="A1514" s="161" t="str">
        <f t="shared" si="27"/>
        <v>SPEARMAN_JAPAN</v>
      </c>
      <c r="B1514" s="9" t="s">
        <v>106</v>
      </c>
      <c r="C1514" s="4" t="s">
        <v>722</v>
      </c>
      <c r="E1514" s="4" t="s">
        <v>106</v>
      </c>
      <c r="F1514" s="4" t="s">
        <v>106</v>
      </c>
      <c r="G1514" s="14" t="s">
        <v>132</v>
      </c>
      <c r="H1514" s="4" t="s">
        <v>489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</row>
    <row r="1515" spans="1:35" x14ac:dyDescent="0.25">
      <c r="A1515" s="161" t="str">
        <f t="shared" si="27"/>
        <v>SPEARMAN_KOREA</v>
      </c>
      <c r="B1515" s="9" t="s">
        <v>106</v>
      </c>
      <c r="C1515" s="4" t="s">
        <v>723</v>
      </c>
      <c r="E1515" s="4" t="s">
        <v>106</v>
      </c>
      <c r="F1515" s="4" t="s">
        <v>106</v>
      </c>
      <c r="G1515" s="14" t="s">
        <v>132</v>
      </c>
      <c r="H1515" s="4" t="s">
        <v>503</v>
      </c>
      <c r="I1515" s="4" t="s">
        <v>102</v>
      </c>
      <c r="Q1515" s="9" t="s">
        <v>1736</v>
      </c>
      <c r="T1515" s="9"/>
      <c r="W1515" s="9"/>
      <c r="Z1515" s="9"/>
      <c r="AF1515" s="9"/>
      <c r="AI1515" s="9"/>
    </row>
    <row r="1516" spans="1:35" x14ac:dyDescent="0.25">
      <c r="A1516" s="161" t="str">
        <f t="shared" si="27"/>
        <v>SPEARMAN_MONGOL</v>
      </c>
      <c r="B1516" s="9" t="s">
        <v>106</v>
      </c>
      <c r="C1516" s="4" t="s">
        <v>728</v>
      </c>
      <c r="E1516" s="4" t="s">
        <v>106</v>
      </c>
      <c r="F1516" s="4" t="s">
        <v>106</v>
      </c>
      <c r="G1516" s="14" t="s">
        <v>132</v>
      </c>
      <c r="H1516" s="4" t="s">
        <v>534</v>
      </c>
      <c r="I1516" s="4" t="s">
        <v>2096</v>
      </c>
      <c r="Q1516" s="9" t="s">
        <v>1736</v>
      </c>
      <c r="T1516" s="9"/>
      <c r="W1516" s="9"/>
      <c r="Z1516" s="9"/>
      <c r="AF1516" s="9"/>
      <c r="AI1516" s="9"/>
    </row>
    <row r="1517" spans="1:35" x14ac:dyDescent="0.25">
      <c r="A1517" s="161" t="str">
        <f t="shared" si="27"/>
        <v>SPEARMAN_CENTAS</v>
      </c>
      <c r="B1517" s="9" t="s">
        <v>106</v>
      </c>
      <c r="C1517" s="4" t="s">
        <v>918</v>
      </c>
      <c r="E1517" s="4" t="s">
        <v>106</v>
      </c>
      <c r="F1517" s="4" t="s">
        <v>106</v>
      </c>
      <c r="G1517" s="14" t="s">
        <v>132</v>
      </c>
      <c r="H1517" s="4" t="s">
        <v>1035</v>
      </c>
      <c r="I1517" s="4" t="s">
        <v>2096</v>
      </c>
      <c r="Q1517" s="9" t="s">
        <v>1736</v>
      </c>
      <c r="T1517" s="9"/>
      <c r="W1517" s="9"/>
      <c r="Z1517" s="9"/>
      <c r="AF1517" s="9"/>
      <c r="AI1517" s="9"/>
    </row>
    <row r="1518" spans="1:35" x14ac:dyDescent="0.25">
      <c r="A1518" s="161" t="str">
        <f t="shared" si="27"/>
        <v>SPEARMAN_EASTEU</v>
      </c>
      <c r="B1518" s="9" t="s">
        <v>106</v>
      </c>
      <c r="C1518" s="4" t="s">
        <v>698</v>
      </c>
      <c r="E1518" s="4" t="s">
        <v>106</v>
      </c>
      <c r="F1518" s="4" t="s">
        <v>106</v>
      </c>
      <c r="H1518" s="4" t="s">
        <v>625</v>
      </c>
      <c r="I1518" s="4" t="s">
        <v>2096</v>
      </c>
      <c r="Q1518" s="9" t="s">
        <v>1736</v>
      </c>
      <c r="T1518" s="9"/>
      <c r="W1518" s="9"/>
      <c r="Z1518" s="9"/>
      <c r="AF1518" s="9"/>
      <c r="AI1518" s="9"/>
    </row>
    <row r="1519" spans="1:35" x14ac:dyDescent="0.25">
      <c r="A1519" s="161" t="str">
        <f t="shared" si="27"/>
        <v>SPEARMAN_AMERICA</v>
      </c>
      <c r="B1519" s="9" t="s">
        <v>106</v>
      </c>
      <c r="C1519" s="4" t="s">
        <v>699</v>
      </c>
      <c r="E1519" s="4" t="s">
        <v>106</v>
      </c>
      <c r="F1519" s="4" t="s">
        <v>106</v>
      </c>
      <c r="G1519" s="14"/>
      <c r="H1519" s="4" t="s">
        <v>150</v>
      </c>
      <c r="I1519" s="4" t="s">
        <v>1939</v>
      </c>
      <c r="Q1519" s="9" t="s">
        <v>1736</v>
      </c>
      <c r="T1519" s="9"/>
      <c r="W1519" s="9"/>
      <c r="Z1519" s="9"/>
      <c r="AF1519" s="9"/>
      <c r="AI1519" s="9"/>
    </row>
    <row r="1520" spans="1:35" x14ac:dyDescent="0.25">
      <c r="A1520" s="161" t="str">
        <f t="shared" si="27"/>
        <v>SPEARMAN_AUSTRIA</v>
      </c>
      <c r="B1520" s="9" t="s">
        <v>106</v>
      </c>
      <c r="C1520" s="4" t="s">
        <v>701</v>
      </c>
      <c r="D1520" s="4" t="s">
        <v>717</v>
      </c>
      <c r="E1520" s="4" t="s">
        <v>106</v>
      </c>
      <c r="F1520" s="4" t="s">
        <v>106</v>
      </c>
      <c r="G1520" s="14"/>
      <c r="Q1520" s="9"/>
      <c r="T1520" s="9"/>
      <c r="W1520" s="9"/>
      <c r="AF1520" s="9"/>
      <c r="AI1520" s="9"/>
    </row>
    <row r="1521" spans="1:43" x14ac:dyDescent="0.25">
      <c r="A1521" s="161" t="str">
        <f t="shared" si="27"/>
        <v>SPEARMAN_CELTS</v>
      </c>
      <c r="B1521" s="9" t="s">
        <v>106</v>
      </c>
      <c r="C1521" s="4" t="s">
        <v>709</v>
      </c>
      <c r="D1521" s="4" t="s">
        <v>713</v>
      </c>
      <c r="E1521" s="4" t="s">
        <v>106</v>
      </c>
      <c r="F1521" s="4" t="s">
        <v>106</v>
      </c>
      <c r="G1521" s="14" t="s">
        <v>132</v>
      </c>
      <c r="Q1521" s="9"/>
      <c r="T1521" s="9"/>
      <c r="W1521" s="9"/>
      <c r="AF1521" s="9"/>
      <c r="AI1521" s="9"/>
    </row>
    <row r="1522" spans="1:43" x14ac:dyDescent="0.25">
      <c r="A1522" s="161" t="str">
        <f t="shared" si="27"/>
        <v>SPEARMAN_ENGLAND</v>
      </c>
      <c r="B1522" s="9" t="s">
        <v>106</v>
      </c>
      <c r="C1522" s="4" t="s">
        <v>713</v>
      </c>
      <c r="E1522" s="4" t="s">
        <v>106</v>
      </c>
      <c r="F1522" s="4" t="s">
        <v>106</v>
      </c>
      <c r="G1522" s="14" t="s">
        <v>132</v>
      </c>
      <c r="H1522" s="4" t="s">
        <v>311</v>
      </c>
      <c r="I1522" s="4" t="s">
        <v>102</v>
      </c>
      <c r="Q1522" s="9" t="s">
        <v>1736</v>
      </c>
      <c r="T1522" s="9"/>
      <c r="W1522" s="9"/>
      <c r="Z1522" s="9"/>
      <c r="AF1522" s="9"/>
      <c r="AI1522" s="9"/>
    </row>
    <row r="1523" spans="1:43" x14ac:dyDescent="0.25">
      <c r="A1523" s="161" t="str">
        <f t="shared" si="27"/>
        <v>SPEARMAN_FRANCE</v>
      </c>
      <c r="B1523" s="9" t="s">
        <v>106</v>
      </c>
      <c r="C1523" s="4" t="s">
        <v>715</v>
      </c>
      <c r="E1523" s="4" t="s">
        <v>106</v>
      </c>
      <c r="F1523" s="4" t="s">
        <v>106</v>
      </c>
      <c r="G1523" s="14" t="s">
        <v>132</v>
      </c>
      <c r="H1523" s="4" t="s">
        <v>356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</row>
    <row r="1524" spans="1:43" x14ac:dyDescent="0.25">
      <c r="A1524" s="161" t="str">
        <f t="shared" si="27"/>
        <v>SPEARMAN_GERMANY</v>
      </c>
      <c r="B1524" s="9" t="s">
        <v>106</v>
      </c>
      <c r="C1524" s="4" t="s">
        <v>717</v>
      </c>
      <c r="E1524" s="4" t="s">
        <v>106</v>
      </c>
      <c r="F1524" s="4" t="s">
        <v>106</v>
      </c>
      <c r="G1524" s="14" t="s">
        <v>132</v>
      </c>
      <c r="H1524" s="4" t="s">
        <v>388</v>
      </c>
      <c r="I1524" s="4" t="s">
        <v>102</v>
      </c>
      <c r="Q1524" s="9" t="s">
        <v>1736</v>
      </c>
      <c r="T1524" s="9"/>
      <c r="W1524" s="9"/>
      <c r="Z1524" s="9"/>
      <c r="AF1524" s="9"/>
      <c r="AI1524" s="9"/>
    </row>
    <row r="1525" spans="1:43" x14ac:dyDescent="0.25">
      <c r="A1525" s="161" t="str">
        <f t="shared" si="27"/>
        <v>SPEARMAN_NETHERLANDS</v>
      </c>
      <c r="B1525" s="9" t="s">
        <v>106</v>
      </c>
      <c r="C1525" s="4" t="s">
        <v>730</v>
      </c>
      <c r="E1525" s="4" t="s">
        <v>106</v>
      </c>
      <c r="F1525" s="4" t="s">
        <v>106</v>
      </c>
      <c r="G1525" s="14" t="s">
        <v>132</v>
      </c>
      <c r="H1525" s="4" t="s">
        <v>548</v>
      </c>
      <c r="I1525" s="4" t="s">
        <v>1820</v>
      </c>
      <c r="Q1525" s="9" t="s">
        <v>1736</v>
      </c>
      <c r="T1525" s="9"/>
      <c r="W1525" s="9"/>
      <c r="Z1525" s="9"/>
      <c r="AF1525" s="9"/>
      <c r="AI1525" s="9"/>
    </row>
    <row r="1526" spans="1:43" x14ac:dyDescent="0.25">
      <c r="A1526" s="161" t="str">
        <f t="shared" si="27"/>
        <v>SPEARMAN_MED</v>
      </c>
      <c r="B1526" s="9" t="s">
        <v>106</v>
      </c>
      <c r="C1526" s="4" t="s">
        <v>692</v>
      </c>
      <c r="E1526" s="4" t="s">
        <v>106</v>
      </c>
      <c r="F1526" s="4" t="s">
        <v>106</v>
      </c>
      <c r="H1526" s="4" t="s">
        <v>412</v>
      </c>
      <c r="I1526" s="4" t="s">
        <v>128</v>
      </c>
      <c r="Q1526" s="9" t="s">
        <v>1736</v>
      </c>
      <c r="T1526" s="9"/>
      <c r="W1526" s="9"/>
      <c r="Z1526" s="9"/>
      <c r="AF1526" s="9"/>
      <c r="AI1526" s="9"/>
    </row>
    <row r="1527" spans="1:43" x14ac:dyDescent="0.25">
      <c r="A1527" s="161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 t="s">
        <v>132</v>
      </c>
      <c r="H1527" s="4" t="s">
        <v>234</v>
      </c>
      <c r="I1527" s="4" t="s">
        <v>1795</v>
      </c>
      <c r="Q1527" s="9">
        <v>2</v>
      </c>
      <c r="T1527" s="9">
        <v>3</v>
      </c>
      <c r="W1527" s="9"/>
      <c r="Z1527" s="9">
        <v>1</v>
      </c>
      <c r="AF1527" s="9">
        <v>1</v>
      </c>
      <c r="AI1527" s="9">
        <v>1</v>
      </c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2045</v>
      </c>
      <c r="H1528" s="4" t="s">
        <v>2672</v>
      </c>
      <c r="I1528" s="4" t="s">
        <v>2673</v>
      </c>
      <c r="Q1528" s="9">
        <v>1</v>
      </c>
      <c r="T1528" s="9">
        <v>2</v>
      </c>
      <c r="W1528" s="9"/>
      <c r="Z1528" s="9">
        <v>0</v>
      </c>
      <c r="AF1528" s="9">
        <v>0</v>
      </c>
      <c r="AI1528" s="9">
        <v>0</v>
      </c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2047</v>
      </c>
      <c r="H1529" s="4" t="s">
        <v>2671</v>
      </c>
      <c r="I1529" s="4" t="s">
        <v>2673</v>
      </c>
      <c r="Q1529" s="9">
        <v>2</v>
      </c>
      <c r="T1529" s="9">
        <v>2</v>
      </c>
      <c r="W1529" s="9"/>
      <c r="Z1529" s="9">
        <v>0</v>
      </c>
      <c r="AF1529" s="9">
        <v>1</v>
      </c>
      <c r="AI1529" s="9">
        <v>1</v>
      </c>
    </row>
    <row r="1530" spans="1:43" x14ac:dyDescent="0.25">
      <c r="A1530" s="161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 t="s">
        <v>2046</v>
      </c>
      <c r="H1530" s="4" t="s">
        <v>2677</v>
      </c>
      <c r="I1530" s="4" t="s">
        <v>1025</v>
      </c>
      <c r="Q1530" s="9">
        <v>1</v>
      </c>
      <c r="T1530" s="9">
        <v>2</v>
      </c>
      <c r="W1530" s="9"/>
      <c r="Z1530" s="9">
        <v>0</v>
      </c>
      <c r="AF1530" s="9">
        <v>1</v>
      </c>
      <c r="AI1530" s="9">
        <v>1</v>
      </c>
    </row>
    <row r="1531" spans="1:43" x14ac:dyDescent="0.25">
      <c r="A1531" s="161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/>
      <c r="H1531" s="4" t="s">
        <v>234</v>
      </c>
      <c r="I1531" s="4" t="s">
        <v>1795</v>
      </c>
      <c r="Q1531" s="9">
        <v>2</v>
      </c>
      <c r="T1531" s="9">
        <v>3</v>
      </c>
      <c r="W1531" s="9"/>
      <c r="Z1531" s="9">
        <v>0</v>
      </c>
      <c r="AF1531" s="9">
        <v>0</v>
      </c>
      <c r="AI1531" s="9">
        <v>1</v>
      </c>
    </row>
    <row r="1532" spans="1:43" x14ac:dyDescent="0.25">
      <c r="A1532" s="161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 t="s">
        <v>2045</v>
      </c>
      <c r="H1532" s="4" t="s">
        <v>2672</v>
      </c>
      <c r="I1532" s="4" t="s">
        <v>2673</v>
      </c>
      <c r="Q1532" s="9">
        <v>2</v>
      </c>
      <c r="T1532" s="9">
        <v>2</v>
      </c>
      <c r="W1532" s="9"/>
      <c r="Z1532" s="9">
        <v>0</v>
      </c>
      <c r="AF1532" s="9">
        <v>0</v>
      </c>
      <c r="AI1532" s="9">
        <v>1</v>
      </c>
    </row>
    <row r="1533" spans="1:43" x14ac:dyDescent="0.25">
      <c r="A1533" s="161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2047</v>
      </c>
      <c r="H1533" s="4" t="s">
        <v>2671</v>
      </c>
      <c r="I1533" s="4" t="s">
        <v>2673</v>
      </c>
      <c r="Q1533" s="9">
        <v>1</v>
      </c>
      <c r="T1533" s="9">
        <v>2</v>
      </c>
      <c r="W1533" s="9"/>
      <c r="Z1533" s="9">
        <v>0</v>
      </c>
      <c r="AF1533" s="9">
        <v>0</v>
      </c>
      <c r="AI1533" s="9">
        <v>1</v>
      </c>
    </row>
    <row r="1534" spans="1:43" x14ac:dyDescent="0.25">
      <c r="A1534" s="161" t="str">
        <f t="shared" si="27"/>
        <v>SPEARMAN_CARTHAGE</v>
      </c>
      <c r="B1534" s="9" t="s">
        <v>106</v>
      </c>
      <c r="C1534" s="4" t="s">
        <v>708</v>
      </c>
      <c r="E1534" s="4" t="s">
        <v>106</v>
      </c>
      <c r="F1534" s="4" t="s">
        <v>106</v>
      </c>
      <c r="G1534" s="14" t="s">
        <v>2046</v>
      </c>
      <c r="H1534" s="4" t="s">
        <v>2677</v>
      </c>
      <c r="I1534" s="4" t="s">
        <v>1025</v>
      </c>
      <c r="Q1534" s="9">
        <v>1</v>
      </c>
      <c r="T1534" s="9">
        <v>2</v>
      </c>
      <c r="W1534" s="9"/>
      <c r="Z1534" s="9">
        <v>0</v>
      </c>
      <c r="AF1534" s="9">
        <v>0</v>
      </c>
      <c r="AI1534" s="9">
        <v>1</v>
      </c>
    </row>
    <row r="1535" spans="1:43" s="2" customFormat="1" x14ac:dyDescent="0.25">
      <c r="A1535" s="161" t="str">
        <f>CONCATENATE(E1535,IF(ISBLANK(C1535),"",CONCATENATE("_",C1535)))</f>
        <v>SPEARMAN_GREECE</v>
      </c>
      <c r="B1535" s="9" t="s">
        <v>106</v>
      </c>
      <c r="C1535" s="4" t="s">
        <v>718</v>
      </c>
      <c r="D1535" s="4"/>
      <c r="E1535" s="4" t="s">
        <v>106</v>
      </c>
      <c r="F1535" s="4" t="s">
        <v>106</v>
      </c>
      <c r="G1535" s="4"/>
      <c r="H1535" s="4" t="s">
        <v>924</v>
      </c>
      <c r="I1535" s="4" t="s">
        <v>1819</v>
      </c>
      <c r="J1535" s="11"/>
      <c r="K1535" s="11"/>
      <c r="L1535" s="4"/>
      <c r="M1535" s="12"/>
      <c r="N1535" s="4"/>
      <c r="O1535" s="4"/>
      <c r="P1535" s="4"/>
      <c r="Q1535" s="9" t="s">
        <v>1736</v>
      </c>
      <c r="R1535" s="11"/>
      <c r="S1535" s="4"/>
      <c r="T1535" s="11"/>
      <c r="U1535" s="11"/>
      <c r="V1535" s="4"/>
      <c r="W1535" s="11"/>
      <c r="X1535" s="11"/>
      <c r="Y1535" s="4"/>
      <c r="Z1535" s="9"/>
      <c r="AA1535" s="11"/>
      <c r="AB1535" s="4"/>
      <c r="AC1535" s="11"/>
      <c r="AD1535" s="11"/>
      <c r="AE1535" s="4"/>
      <c r="AF1535" s="11"/>
      <c r="AG1535" s="11"/>
      <c r="AH1535" s="4"/>
      <c r="AI1535" s="11"/>
      <c r="AJ1535" s="11"/>
      <c r="AK1535" s="4"/>
      <c r="AL1535" s="4"/>
      <c r="AM1535" s="4"/>
      <c r="AN1535" s="4"/>
      <c r="AO1535" s="4"/>
      <c r="AP1535" s="4"/>
      <c r="AQ1535" s="4"/>
    </row>
    <row r="1536" spans="1:43" x14ac:dyDescent="0.25">
      <c r="A1536" s="161" t="str">
        <f t="shared" si="27"/>
        <v>SPEARMAN_PORTUGAL</v>
      </c>
      <c r="B1536" s="9" t="s">
        <v>106</v>
      </c>
      <c r="C1536" s="4" t="s">
        <v>733</v>
      </c>
      <c r="E1536" s="4" t="s">
        <v>106</v>
      </c>
      <c r="F1536" s="4" t="s">
        <v>106</v>
      </c>
      <c r="G1536" s="14" t="s">
        <v>132</v>
      </c>
      <c r="H1536" s="4" t="s">
        <v>525</v>
      </c>
      <c r="I1536" s="4" t="s">
        <v>1795</v>
      </c>
      <c r="Q1536" s="9" t="s">
        <v>1736</v>
      </c>
      <c r="T1536" s="9"/>
      <c r="W1536" s="9"/>
      <c r="Z1536" s="9"/>
      <c r="AF1536" s="9"/>
      <c r="AI1536" s="9"/>
    </row>
    <row r="1537" spans="1:43" s="2" customFormat="1" x14ac:dyDescent="0.25">
      <c r="A1537" s="161" t="str">
        <f t="shared" si="27"/>
        <v>SPEARMAN_ROME</v>
      </c>
      <c r="B1537" s="9" t="s">
        <v>106</v>
      </c>
      <c r="C1537" s="4" t="s">
        <v>734</v>
      </c>
      <c r="D1537" s="4"/>
      <c r="E1537" s="4" t="s">
        <v>106</v>
      </c>
      <c r="F1537" s="4" t="s">
        <v>106</v>
      </c>
      <c r="G1537" s="4"/>
      <c r="H1537" s="4" t="s">
        <v>998</v>
      </c>
      <c r="I1537" s="4" t="s">
        <v>1795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3</v>
      </c>
      <c r="U1537" s="11"/>
      <c r="V1537" s="4"/>
      <c r="W1537" s="11"/>
      <c r="X1537" s="11"/>
      <c r="Y1537" s="4"/>
      <c r="Z1537" s="9">
        <v>1</v>
      </c>
      <c r="AA1537" s="11"/>
      <c r="AB1537" s="4"/>
      <c r="AC1537" s="11"/>
      <c r="AD1537" s="11"/>
      <c r="AE1537" s="4"/>
      <c r="AF1537" s="11">
        <v>1</v>
      </c>
      <c r="AG1537" s="11"/>
      <c r="AH1537" s="4"/>
      <c r="AI1537" s="11">
        <v>1</v>
      </c>
      <c r="AJ1537" s="11"/>
      <c r="AK1537" s="4"/>
      <c r="AL1537" s="4"/>
      <c r="AM1537" s="4"/>
      <c r="AN1537" s="4"/>
      <c r="AO1537" s="4"/>
      <c r="AP1537" s="4"/>
      <c r="AQ1537" s="4"/>
    </row>
    <row r="1538" spans="1:43" s="2" customFormat="1" x14ac:dyDescent="0.25">
      <c r="A1538" s="161" t="str">
        <f t="shared" si="27"/>
        <v>SPEARMAN_ROME</v>
      </c>
      <c r="B1538" s="9" t="s">
        <v>106</v>
      </c>
      <c r="C1538" s="4" t="s">
        <v>734</v>
      </c>
      <c r="D1538" s="4"/>
      <c r="E1538" s="4" t="s">
        <v>106</v>
      </c>
      <c r="F1538" s="4" t="s">
        <v>106</v>
      </c>
      <c r="G1538" s="4" t="s">
        <v>2045</v>
      </c>
      <c r="H1538" s="4" t="s">
        <v>999</v>
      </c>
      <c r="I1538" s="4" t="s">
        <v>1795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4</v>
      </c>
      <c r="U1538" s="11"/>
      <c r="V1538" s="4"/>
      <c r="W1538" s="11"/>
      <c r="X1538" s="11"/>
      <c r="Y1538" s="4"/>
      <c r="Z1538" s="9">
        <v>0</v>
      </c>
      <c r="AA1538" s="11"/>
      <c r="AB1538" s="4"/>
      <c r="AC1538" s="11"/>
      <c r="AD1538" s="11"/>
      <c r="AE1538" s="4"/>
      <c r="AF1538" s="11">
        <v>1</v>
      </c>
      <c r="AG1538" s="11"/>
      <c r="AH1538" s="4"/>
      <c r="AI1538" s="11">
        <v>1</v>
      </c>
      <c r="AJ1538" s="11"/>
      <c r="AK1538" s="4"/>
      <c r="AL1538" s="4"/>
      <c r="AM1538" s="4"/>
      <c r="AN1538" s="4"/>
      <c r="AO1538" s="4"/>
      <c r="AP1538" s="4"/>
      <c r="AQ1538" s="4"/>
    </row>
    <row r="1539" spans="1:43" s="2" customFormat="1" x14ac:dyDescent="0.25">
      <c r="A1539" s="161" t="str">
        <f t="shared" si="27"/>
        <v>SPEARMAN_ROME</v>
      </c>
      <c r="B1539" s="9" t="s">
        <v>106</v>
      </c>
      <c r="C1539" s="4" t="s">
        <v>734</v>
      </c>
      <c r="D1539" s="4"/>
      <c r="E1539" s="4" t="s">
        <v>106</v>
      </c>
      <c r="F1539" s="4" t="s">
        <v>106</v>
      </c>
      <c r="G1539" s="4" t="s">
        <v>2047</v>
      </c>
      <c r="H1539" s="4" t="s">
        <v>580</v>
      </c>
      <c r="I1539" s="4" t="s">
        <v>1795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2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1</v>
      </c>
      <c r="AG1539" s="11"/>
      <c r="AH1539" s="4"/>
      <c r="AI1539" s="11">
        <v>1</v>
      </c>
      <c r="AJ1539" s="11"/>
      <c r="AK1539" s="4"/>
      <c r="AL1539" s="4"/>
      <c r="AM1539" s="4"/>
      <c r="AN1539" s="4"/>
      <c r="AO1539" s="4"/>
      <c r="AP1539" s="4"/>
      <c r="AQ1539" s="4"/>
    </row>
    <row r="1540" spans="1:43" s="2" customFormat="1" x14ac:dyDescent="0.25">
      <c r="A1540" s="161" t="str">
        <f t="shared" si="27"/>
        <v>SPEARMAN_ROME</v>
      </c>
      <c r="B1540" s="9" t="s">
        <v>106</v>
      </c>
      <c r="C1540" s="4" t="s">
        <v>734</v>
      </c>
      <c r="D1540" s="4"/>
      <c r="E1540" s="4" t="s">
        <v>106</v>
      </c>
      <c r="F1540" s="4" t="s">
        <v>106</v>
      </c>
      <c r="G1540" s="4"/>
      <c r="H1540" s="4" t="s">
        <v>998</v>
      </c>
      <c r="I1540" s="4" t="s">
        <v>1795</v>
      </c>
      <c r="J1540" s="11"/>
      <c r="K1540" s="11"/>
      <c r="L1540" s="4"/>
      <c r="M1540" s="12"/>
      <c r="N1540" s="4"/>
      <c r="O1540" s="4"/>
      <c r="P1540" s="4"/>
      <c r="Q1540" s="9">
        <v>2</v>
      </c>
      <c r="R1540" s="11"/>
      <c r="S1540" s="4"/>
      <c r="T1540" s="11">
        <v>4</v>
      </c>
      <c r="U1540" s="11"/>
      <c r="V1540" s="4"/>
      <c r="W1540" s="11"/>
      <c r="X1540" s="11"/>
      <c r="Y1540" s="4"/>
      <c r="Z1540" s="9">
        <v>0</v>
      </c>
      <c r="AA1540" s="11"/>
      <c r="AB1540" s="4"/>
      <c r="AC1540" s="11"/>
      <c r="AD1540" s="11"/>
      <c r="AE1540" s="4"/>
      <c r="AF1540" s="11">
        <v>0</v>
      </c>
      <c r="AG1540" s="11"/>
      <c r="AH1540" s="4"/>
      <c r="AI1540" s="11">
        <v>2</v>
      </c>
      <c r="AJ1540" s="11"/>
      <c r="AK1540" s="4"/>
      <c r="AL1540" s="4"/>
      <c r="AM1540" s="4"/>
      <c r="AN1540" s="4"/>
      <c r="AO1540" s="4"/>
      <c r="AP1540" s="4"/>
      <c r="AQ1540" s="4"/>
    </row>
    <row r="1541" spans="1:43" s="2" customFormat="1" x14ac:dyDescent="0.25">
      <c r="A1541" s="161" t="str">
        <f t="shared" si="27"/>
        <v>SPEARMAN_ROME</v>
      </c>
      <c r="B1541" s="9" t="s">
        <v>106</v>
      </c>
      <c r="C1541" s="4" t="s">
        <v>734</v>
      </c>
      <c r="D1541" s="4"/>
      <c r="E1541" s="4" t="s">
        <v>106</v>
      </c>
      <c r="F1541" s="4" t="s">
        <v>106</v>
      </c>
      <c r="G1541" s="4" t="s">
        <v>2045</v>
      </c>
      <c r="H1541" s="4" t="s">
        <v>999</v>
      </c>
      <c r="I1541" s="4" t="s">
        <v>1795</v>
      </c>
      <c r="J1541" s="11"/>
      <c r="K1541" s="11"/>
      <c r="L1541" s="4"/>
      <c r="M1541" s="12"/>
      <c r="N1541" s="4"/>
      <c r="O1541" s="4"/>
      <c r="P1541" s="4"/>
      <c r="Q1541" s="9">
        <v>2</v>
      </c>
      <c r="R1541" s="11"/>
      <c r="S1541" s="4"/>
      <c r="T1541" s="11">
        <v>2</v>
      </c>
      <c r="U1541" s="11"/>
      <c r="V1541" s="4"/>
      <c r="W1541" s="11"/>
      <c r="X1541" s="11"/>
      <c r="Y1541" s="4"/>
      <c r="Z1541" s="9">
        <v>0</v>
      </c>
      <c r="AA1541" s="11"/>
      <c r="AB1541" s="4"/>
      <c r="AC1541" s="11"/>
      <c r="AD1541" s="11"/>
      <c r="AE1541" s="4"/>
      <c r="AF1541" s="11">
        <v>0</v>
      </c>
      <c r="AG1541" s="11"/>
      <c r="AH1541" s="4"/>
      <c r="AI1541" s="11">
        <v>1</v>
      </c>
      <c r="AJ1541" s="11"/>
      <c r="AK1541" s="4"/>
      <c r="AL1541" s="4"/>
      <c r="AM1541" s="4"/>
      <c r="AN1541" s="4"/>
      <c r="AO1541" s="4"/>
      <c r="AP1541" s="4"/>
      <c r="AQ1541" s="4"/>
    </row>
    <row r="1542" spans="1:43" s="2" customFormat="1" x14ac:dyDescent="0.25">
      <c r="A1542" s="161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 t="s">
        <v>2047</v>
      </c>
      <c r="H1542" s="4" t="s">
        <v>580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3</v>
      </c>
      <c r="U1542" s="11"/>
      <c r="V1542" s="4"/>
      <c r="W1542" s="11"/>
      <c r="X1542" s="11"/>
      <c r="Y1542" s="4"/>
      <c r="Z1542" s="9">
        <v>0</v>
      </c>
      <c r="AA1542" s="11"/>
      <c r="AB1542" s="4"/>
      <c r="AC1542" s="11"/>
      <c r="AD1542" s="11"/>
      <c r="AE1542" s="4"/>
      <c r="AF1542" s="11">
        <v>0</v>
      </c>
      <c r="AG1542" s="11"/>
      <c r="AH1542" s="4"/>
      <c r="AI1542" s="11">
        <v>1</v>
      </c>
      <c r="AJ1542" s="11"/>
      <c r="AK1542" s="4"/>
      <c r="AL1542" s="4"/>
      <c r="AM1542" s="4"/>
      <c r="AN1542" s="4"/>
      <c r="AO1542" s="4"/>
      <c r="AP1542" s="4"/>
      <c r="AQ1542" s="4"/>
    </row>
    <row r="1543" spans="1:43" x14ac:dyDescent="0.25">
      <c r="A1543" s="161" t="str">
        <f t="shared" si="27"/>
        <v>SPEARMAN_SPAIN</v>
      </c>
      <c r="B1543" s="9" t="s">
        <v>106</v>
      </c>
      <c r="C1543" s="4" t="s">
        <v>738</v>
      </c>
      <c r="E1543" s="4" t="s">
        <v>106</v>
      </c>
      <c r="F1543" s="4" t="s">
        <v>106</v>
      </c>
      <c r="H1543" s="4" t="s">
        <v>1019</v>
      </c>
      <c r="I1543" s="4" t="s">
        <v>2096</v>
      </c>
      <c r="Q1543" s="11">
        <v>0</v>
      </c>
      <c r="T1543" s="11">
        <v>3</v>
      </c>
      <c r="Z1543" s="9">
        <v>1</v>
      </c>
      <c r="AF1543" s="11">
        <v>1</v>
      </c>
      <c r="AI1543" s="11">
        <v>1</v>
      </c>
    </row>
    <row r="1544" spans="1:43" x14ac:dyDescent="0.25">
      <c r="A1544" s="161" t="str">
        <f t="shared" si="27"/>
        <v>SPEARMAN_SPAIN</v>
      </c>
      <c r="B1544" s="9" t="s">
        <v>106</v>
      </c>
      <c r="C1544" s="4" t="s">
        <v>738</v>
      </c>
      <c r="E1544" s="4" t="s">
        <v>106</v>
      </c>
      <c r="F1544" s="4" t="s">
        <v>106</v>
      </c>
      <c r="G1544" s="4" t="s">
        <v>2045</v>
      </c>
      <c r="H1544" s="4" t="s">
        <v>662</v>
      </c>
      <c r="I1544" s="4" t="s">
        <v>2096</v>
      </c>
      <c r="Q1544" s="11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43" x14ac:dyDescent="0.25">
      <c r="A1545" s="161" t="str">
        <f t="shared" si="27"/>
        <v>SPEARMAN_SPAIN</v>
      </c>
      <c r="B1545" s="9" t="s">
        <v>106</v>
      </c>
      <c r="C1545" s="4" t="s">
        <v>738</v>
      </c>
      <c r="E1545" s="4" t="s">
        <v>106</v>
      </c>
      <c r="F1545" s="4" t="s">
        <v>106</v>
      </c>
      <c r="H1545" s="4" t="s">
        <v>1019</v>
      </c>
      <c r="I1545" s="4" t="s">
        <v>2096</v>
      </c>
      <c r="Q1545" s="11">
        <v>3</v>
      </c>
      <c r="T1545" s="11">
        <v>4</v>
      </c>
      <c r="Z1545" s="9">
        <v>0</v>
      </c>
      <c r="AF1545" s="11">
        <v>1</v>
      </c>
      <c r="AI1545" s="11">
        <v>2</v>
      </c>
    </row>
    <row r="1546" spans="1:43" x14ac:dyDescent="0.25">
      <c r="A1546" s="161" t="str">
        <f t="shared" si="27"/>
        <v>SPEARMAN_SPAIN</v>
      </c>
      <c r="B1546" s="9" t="s">
        <v>106</v>
      </c>
      <c r="C1546" s="4" t="s">
        <v>738</v>
      </c>
      <c r="E1546" s="4" t="s">
        <v>106</v>
      </c>
      <c r="F1546" s="4" t="s">
        <v>106</v>
      </c>
      <c r="G1546" s="4" t="s">
        <v>2045</v>
      </c>
      <c r="H1546" s="4" t="s">
        <v>662</v>
      </c>
      <c r="I1546" s="4" t="s">
        <v>2096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43" x14ac:dyDescent="0.25">
      <c r="A1547" s="161" t="str">
        <f t="shared" si="27"/>
        <v>SPEARMAN_SPAIN</v>
      </c>
      <c r="B1547" s="9" t="s">
        <v>106</v>
      </c>
      <c r="C1547" s="4" t="s">
        <v>738</v>
      </c>
      <c r="E1547" s="4" t="s">
        <v>106</v>
      </c>
      <c r="F1547" s="4" t="s">
        <v>106</v>
      </c>
      <c r="H1547" s="4" t="s">
        <v>1019</v>
      </c>
      <c r="I1547" s="4" t="s">
        <v>2096</v>
      </c>
      <c r="Q1547" s="9">
        <v>3</v>
      </c>
      <c r="T1547" s="11">
        <v>4</v>
      </c>
      <c r="Z1547" s="9">
        <v>0</v>
      </c>
      <c r="AF1547" s="11">
        <v>0</v>
      </c>
      <c r="AI1547" s="11">
        <v>1</v>
      </c>
    </row>
    <row r="1548" spans="1:43" x14ac:dyDescent="0.25">
      <c r="A1548" s="161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G1548" s="4" t="s">
        <v>2045</v>
      </c>
      <c r="H1548" s="4" t="s">
        <v>662</v>
      </c>
      <c r="I1548" s="4" t="s">
        <v>2096</v>
      </c>
      <c r="Q1548" s="9">
        <v>2</v>
      </c>
      <c r="T1548" s="11">
        <v>3</v>
      </c>
      <c r="Z1548" s="9">
        <v>0</v>
      </c>
      <c r="AF1548" s="11">
        <v>0</v>
      </c>
      <c r="AI1548" s="11">
        <v>1</v>
      </c>
    </row>
    <row r="1549" spans="1:43" x14ac:dyDescent="0.25">
      <c r="A1549" s="161" t="str">
        <f t="shared" si="27"/>
        <v>SPEARMAN_MIDEAST</v>
      </c>
      <c r="B1549" s="9" t="s">
        <v>106</v>
      </c>
      <c r="C1549" s="4" t="s">
        <v>690</v>
      </c>
      <c r="E1549" s="4" t="s">
        <v>106</v>
      </c>
      <c r="F1549" s="4" t="s">
        <v>106</v>
      </c>
      <c r="H1549" s="4" t="s">
        <v>563</v>
      </c>
      <c r="I1549" s="4" t="s">
        <v>102</v>
      </c>
      <c r="Q1549" s="9" t="s">
        <v>1736</v>
      </c>
      <c r="T1549" s="9"/>
      <c r="W1549" s="9"/>
      <c r="Z1549" s="9"/>
      <c r="AF1549" s="9"/>
      <c r="AI1549" s="9"/>
    </row>
    <row r="1550" spans="1:43" x14ac:dyDescent="0.25">
      <c r="A1550" s="161" t="str">
        <f t="shared" si="27"/>
        <v>SPEARMAN_ARABIA</v>
      </c>
      <c r="B1550" s="9" t="s">
        <v>106</v>
      </c>
      <c r="C1550" s="4" t="s">
        <v>700</v>
      </c>
      <c r="D1550" s="14"/>
      <c r="E1550" s="4" t="s">
        <v>106</v>
      </c>
      <c r="F1550" s="4" t="s">
        <v>106</v>
      </c>
      <c r="G1550" s="14"/>
      <c r="H1550" s="4" t="s">
        <v>170</v>
      </c>
      <c r="I1550" s="4" t="s">
        <v>2096</v>
      </c>
      <c r="Q1550" s="9" t="s">
        <v>1736</v>
      </c>
      <c r="T1550" s="9"/>
      <c r="W1550" s="9"/>
      <c r="AF1550" s="9"/>
      <c r="AI1550" s="9"/>
    </row>
    <row r="1551" spans="1:43" x14ac:dyDescent="0.25">
      <c r="A1551" s="161" t="str">
        <f t="shared" si="27"/>
        <v>SPEARMAN_BABYLON</v>
      </c>
      <c r="B1551" s="9" t="s">
        <v>106</v>
      </c>
      <c r="C1551" s="4" t="s">
        <v>703</v>
      </c>
      <c r="E1551" s="4" t="s">
        <v>106</v>
      </c>
      <c r="F1551" s="4" t="s">
        <v>106</v>
      </c>
      <c r="G1551" s="14"/>
      <c r="H1551" s="4" t="s">
        <v>217</v>
      </c>
      <c r="I1551" s="4" t="s">
        <v>102</v>
      </c>
      <c r="Q1551" s="9" t="s">
        <v>1736</v>
      </c>
      <c r="T1551" s="9"/>
      <c r="W1551" s="9"/>
      <c r="Z1551" s="9"/>
      <c r="AF1551" s="9"/>
      <c r="AI1551" s="9"/>
    </row>
    <row r="1552" spans="1:43" x14ac:dyDescent="0.25">
      <c r="A1552" s="161" t="str">
        <f t="shared" si="27"/>
        <v>SPEARMAN_EGYPT</v>
      </c>
      <c r="B1552" s="9" t="s">
        <v>106</v>
      </c>
      <c r="C1552" s="4" t="s">
        <v>712</v>
      </c>
      <c r="E1552" s="4" t="s">
        <v>106</v>
      </c>
      <c r="F1552" s="4" t="s">
        <v>106</v>
      </c>
      <c r="G1552" s="14" t="s">
        <v>132</v>
      </c>
      <c r="H1552" s="4" t="s">
        <v>287</v>
      </c>
      <c r="I1552" s="4" t="s">
        <v>2096</v>
      </c>
      <c r="Q1552" s="9" t="s">
        <v>1736</v>
      </c>
      <c r="T1552" s="9"/>
      <c r="W1552" s="9"/>
      <c r="Z1552" s="9"/>
      <c r="AF1552" s="9"/>
      <c r="AI1552" s="9"/>
    </row>
    <row r="1553" spans="1:43" x14ac:dyDescent="0.25">
      <c r="A1553" s="161" t="str">
        <f t="shared" si="27"/>
        <v>SPEARMAN_GARAMANTES</v>
      </c>
      <c r="B1553" s="9" t="s">
        <v>106</v>
      </c>
      <c r="C1553" s="4" t="s">
        <v>716</v>
      </c>
      <c r="E1553" s="4" t="s">
        <v>106</v>
      </c>
      <c r="F1553" s="4" t="s">
        <v>106</v>
      </c>
      <c r="G1553" s="14" t="s">
        <v>132</v>
      </c>
      <c r="H1553" s="4" t="s">
        <v>363</v>
      </c>
      <c r="I1553" s="4" t="s">
        <v>1025</v>
      </c>
      <c r="Q1553" s="9" t="s">
        <v>1736</v>
      </c>
      <c r="T1553" s="9"/>
      <c r="W1553" s="9"/>
      <c r="Z1553" s="9"/>
      <c r="AF1553" s="9"/>
      <c r="AI1553" s="9"/>
    </row>
    <row r="1554" spans="1:43" x14ac:dyDescent="0.25">
      <c r="A1554" s="161" t="str">
        <f t="shared" si="27"/>
        <v>SPEARMAN_NORTHEU</v>
      </c>
      <c r="B1554" s="9" t="s">
        <v>106</v>
      </c>
      <c r="C1554" s="4" t="s">
        <v>962</v>
      </c>
      <c r="E1554" s="4" t="s">
        <v>106</v>
      </c>
      <c r="F1554" s="4" t="s">
        <v>106</v>
      </c>
      <c r="G1554" s="14" t="s">
        <v>132</v>
      </c>
      <c r="H1554" s="4" t="s">
        <v>272</v>
      </c>
      <c r="I1554" s="4" t="s">
        <v>102</v>
      </c>
      <c r="Q1554" s="9" t="s">
        <v>1736</v>
      </c>
      <c r="T1554" s="9"/>
      <c r="W1554" s="9"/>
      <c r="Z1554" s="9"/>
      <c r="AF1554" s="9"/>
      <c r="AI1554" s="9"/>
    </row>
    <row r="1555" spans="1:43" x14ac:dyDescent="0.25">
      <c r="A1555" s="161" t="str">
        <f t="shared" si="27"/>
        <v>SPEARMAN_OCEAN</v>
      </c>
      <c r="B1555" s="9" t="s">
        <v>106</v>
      </c>
      <c r="C1555" s="4" t="s">
        <v>994</v>
      </c>
      <c r="D1555" s="4" t="s">
        <v>691</v>
      </c>
      <c r="E1555" s="4" t="s">
        <v>106</v>
      </c>
      <c r="F1555" s="4" t="s">
        <v>106</v>
      </c>
      <c r="Q1555" s="9"/>
      <c r="T1555" s="9"/>
      <c r="W1555" s="9"/>
      <c r="AF1555" s="9"/>
      <c r="AI1555" s="9"/>
    </row>
    <row r="1556" spans="1:43" x14ac:dyDescent="0.25">
      <c r="A1556" s="161" t="str">
        <f t="shared" si="27"/>
        <v>SPEARMAN_SEASIA</v>
      </c>
      <c r="B1556" s="9" t="s">
        <v>106</v>
      </c>
      <c r="C1556" s="4" t="s">
        <v>696</v>
      </c>
      <c r="D1556" s="4" t="s">
        <v>693</v>
      </c>
      <c r="E1556" s="4" t="s">
        <v>106</v>
      </c>
      <c r="F1556" s="4" t="s">
        <v>106</v>
      </c>
      <c r="Q1556" s="9"/>
      <c r="T1556" s="9"/>
      <c r="W1556" s="9"/>
      <c r="AF1556" s="9"/>
      <c r="AI1556" s="9"/>
    </row>
    <row r="1557" spans="1:43" x14ac:dyDescent="0.25">
      <c r="A1557" s="161" t="str">
        <f t="shared" si="27"/>
        <v>SPEARMAN_SOUTHAM</v>
      </c>
      <c r="B1557" s="9" t="s">
        <v>106</v>
      </c>
      <c r="C1557" s="4" t="s">
        <v>691</v>
      </c>
      <c r="E1557" s="4" t="s">
        <v>106</v>
      </c>
      <c r="F1557" s="4" t="s">
        <v>106</v>
      </c>
      <c r="H1557" s="4" t="s">
        <v>522</v>
      </c>
      <c r="I1557" s="4" t="s">
        <v>102</v>
      </c>
      <c r="Q1557" s="9" t="s">
        <v>1736</v>
      </c>
      <c r="T1557" s="9"/>
      <c r="W1557" s="9"/>
      <c r="Z1557" s="9"/>
      <c r="AF1557" s="9"/>
      <c r="AI1557" s="9"/>
    </row>
    <row r="1558" spans="1:43" x14ac:dyDescent="0.25">
      <c r="A1558" s="161" t="str">
        <f t="shared" ref="A1558:A1646" si="28">CONCATENATE(E1558,IF(ISBLANK(C1558),"",CONCATENATE("_",C1558)))</f>
        <v>SPEARMAN_AZTEC</v>
      </c>
      <c r="B1558" s="9" t="s">
        <v>106</v>
      </c>
      <c r="C1558" s="4" t="s">
        <v>702</v>
      </c>
      <c r="E1558" s="4" t="s">
        <v>106</v>
      </c>
      <c r="F1558" s="4" t="s">
        <v>106</v>
      </c>
      <c r="G1558" s="14"/>
      <c r="H1558" s="4" t="s">
        <v>202</v>
      </c>
      <c r="I1558" s="4" t="s">
        <v>102</v>
      </c>
      <c r="Q1558" s="9" t="s">
        <v>1736</v>
      </c>
      <c r="T1558" s="9"/>
      <c r="W1558" s="9"/>
      <c r="Z1558" s="9"/>
      <c r="AF1558" s="9"/>
      <c r="AI1558" s="9"/>
    </row>
    <row r="1559" spans="1:43" x14ac:dyDescent="0.25">
      <c r="A1559" s="161" t="str">
        <f t="shared" si="28"/>
        <v>SPEARMAN_INCA</v>
      </c>
      <c r="B1559" s="9" t="s">
        <v>106</v>
      </c>
      <c r="C1559" s="4" t="s">
        <v>719</v>
      </c>
      <c r="E1559" s="4" t="s">
        <v>106</v>
      </c>
      <c r="F1559" s="4" t="s">
        <v>106</v>
      </c>
      <c r="G1559" s="14" t="s">
        <v>132</v>
      </c>
      <c r="H1559" s="4" t="s">
        <v>428</v>
      </c>
      <c r="I1559" s="4" t="s">
        <v>102</v>
      </c>
      <c r="Q1559" s="9" t="s">
        <v>1736</v>
      </c>
      <c r="T1559" s="9"/>
      <c r="W1559" s="9"/>
      <c r="Z1559" s="9"/>
      <c r="AF1559" s="9"/>
      <c r="AI1559" s="9"/>
    </row>
    <row r="1560" spans="1:43" x14ac:dyDescent="0.25">
      <c r="A1560" s="161" t="str">
        <f t="shared" si="28"/>
        <v>SPEARMAN_MAYA</v>
      </c>
      <c r="B1560" s="9" t="s">
        <v>106</v>
      </c>
      <c r="C1560" s="4" t="s">
        <v>725</v>
      </c>
      <c r="E1560" s="4" t="s">
        <v>106</v>
      </c>
      <c r="F1560" s="4" t="s">
        <v>106</v>
      </c>
      <c r="H1560" s="4" t="s">
        <v>974</v>
      </c>
      <c r="I1560" s="4" t="s">
        <v>1025</v>
      </c>
      <c r="Q1560" s="11">
        <v>0</v>
      </c>
      <c r="T1560" s="11">
        <v>3</v>
      </c>
      <c r="Z1560" s="9">
        <v>1</v>
      </c>
      <c r="AF1560" s="11">
        <v>1</v>
      </c>
      <c r="AI1560" s="11">
        <v>1</v>
      </c>
    </row>
    <row r="1561" spans="1:43" x14ac:dyDescent="0.25">
      <c r="A1561" s="161" t="str">
        <f t="shared" si="28"/>
        <v>SPEARMAN_MAYA</v>
      </c>
      <c r="B1561" s="9" t="s">
        <v>106</v>
      </c>
      <c r="C1561" s="4" t="s">
        <v>725</v>
      </c>
      <c r="E1561" s="4" t="s">
        <v>106</v>
      </c>
      <c r="F1561" s="4" t="s">
        <v>106</v>
      </c>
      <c r="G1561" s="4" t="s">
        <v>2045</v>
      </c>
      <c r="H1561" s="4" t="s">
        <v>522</v>
      </c>
      <c r="I1561" s="4" t="s">
        <v>102</v>
      </c>
      <c r="Q1561" s="11">
        <v>3</v>
      </c>
      <c r="T1561" s="11">
        <v>4</v>
      </c>
      <c r="Z1561" s="9">
        <v>0</v>
      </c>
      <c r="AF1561" s="11">
        <v>1</v>
      </c>
      <c r="AI1561" s="11">
        <v>1</v>
      </c>
    </row>
    <row r="1562" spans="1:43" x14ac:dyDescent="0.25">
      <c r="A1562" s="161" t="str">
        <f t="shared" si="28"/>
        <v>SPEARMAN_MAYA</v>
      </c>
      <c r="B1562" s="9" t="s">
        <v>106</v>
      </c>
      <c r="C1562" s="4" t="s">
        <v>725</v>
      </c>
      <c r="E1562" s="4" t="s">
        <v>106</v>
      </c>
      <c r="F1562" s="4" t="s">
        <v>106</v>
      </c>
      <c r="H1562" s="4" t="s">
        <v>974</v>
      </c>
      <c r="I1562" s="4" t="s">
        <v>1025</v>
      </c>
      <c r="Q1562" s="11">
        <v>3</v>
      </c>
      <c r="T1562" s="11">
        <v>4</v>
      </c>
      <c r="Z1562" s="9">
        <v>0</v>
      </c>
      <c r="AF1562" s="11">
        <v>1</v>
      </c>
      <c r="AI1562" s="11">
        <v>2</v>
      </c>
    </row>
    <row r="1563" spans="1:43" x14ac:dyDescent="0.25">
      <c r="A1563" s="161" t="str">
        <f t="shared" si="28"/>
        <v>SPEARMAN_MAYA</v>
      </c>
      <c r="B1563" s="9" t="s">
        <v>106</v>
      </c>
      <c r="C1563" s="4" t="s">
        <v>725</v>
      </c>
      <c r="E1563" s="4" t="s">
        <v>106</v>
      </c>
      <c r="F1563" s="4" t="s">
        <v>106</v>
      </c>
      <c r="G1563" s="4" t="s">
        <v>2045</v>
      </c>
      <c r="H1563" s="4" t="s">
        <v>522</v>
      </c>
      <c r="I1563" s="4" t="s">
        <v>102</v>
      </c>
      <c r="Q1563" s="9">
        <v>1</v>
      </c>
      <c r="T1563" s="11">
        <v>3</v>
      </c>
      <c r="Z1563" s="9">
        <v>0</v>
      </c>
      <c r="AF1563" s="11">
        <v>0</v>
      </c>
      <c r="AI1563" s="11">
        <v>1</v>
      </c>
    </row>
    <row r="1564" spans="1:43" x14ac:dyDescent="0.25">
      <c r="A1564" s="161" t="str">
        <f t="shared" si="28"/>
        <v>SPEARMAN_MAYA</v>
      </c>
      <c r="B1564" s="9" t="s">
        <v>106</v>
      </c>
      <c r="C1564" s="4" t="s">
        <v>725</v>
      </c>
      <c r="E1564" s="4" t="s">
        <v>106</v>
      </c>
      <c r="F1564" s="4" t="s">
        <v>106</v>
      </c>
      <c r="H1564" s="4" t="s">
        <v>974</v>
      </c>
      <c r="I1564" s="4" t="s">
        <v>1025</v>
      </c>
      <c r="Q1564" s="9">
        <v>3</v>
      </c>
      <c r="T1564" s="11">
        <v>3</v>
      </c>
      <c r="Z1564" s="9">
        <v>0</v>
      </c>
      <c r="AF1564" s="11">
        <v>0</v>
      </c>
      <c r="AI1564" s="11">
        <v>1</v>
      </c>
    </row>
    <row r="1565" spans="1:43" x14ac:dyDescent="0.25">
      <c r="A1565" s="161" t="str">
        <f t="shared" si="28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G1565" s="4" t="s">
        <v>2045</v>
      </c>
      <c r="H1565" s="4" t="s">
        <v>522</v>
      </c>
      <c r="I1565" s="4" t="s">
        <v>102</v>
      </c>
      <c r="Q1565" s="9">
        <v>2</v>
      </c>
      <c r="T1565" s="11">
        <v>3</v>
      </c>
      <c r="Z1565" s="9">
        <v>0</v>
      </c>
      <c r="AF1565" s="11">
        <v>0</v>
      </c>
      <c r="AI1565" s="11">
        <v>1</v>
      </c>
    </row>
    <row r="1566" spans="1:43" x14ac:dyDescent="0.25">
      <c r="A1566" s="161" t="str">
        <f t="shared" si="28"/>
        <v>SPEARMAN_SOUTHAS</v>
      </c>
      <c r="B1566" s="9" t="s">
        <v>106</v>
      </c>
      <c r="C1566" s="4" t="s">
        <v>695</v>
      </c>
      <c r="D1566" s="4" t="s">
        <v>693</v>
      </c>
      <c r="E1566" s="4" t="s">
        <v>106</v>
      </c>
      <c r="F1566" s="4" t="s">
        <v>106</v>
      </c>
      <c r="Q1566" s="9"/>
      <c r="T1566" s="9"/>
      <c r="W1566" s="9"/>
      <c r="AF1566" s="9"/>
      <c r="AI1566" s="9"/>
    </row>
    <row r="1567" spans="1:43" x14ac:dyDescent="0.25">
      <c r="A1567" s="161" t="str">
        <f t="shared" si="28"/>
        <v>SPEARMAN_INDIA</v>
      </c>
      <c r="B1567" s="9" t="s">
        <v>106</v>
      </c>
      <c r="C1567" s="4" t="s">
        <v>720</v>
      </c>
      <c r="E1567" s="4" t="s">
        <v>106</v>
      </c>
      <c r="F1567" s="4" t="s">
        <v>106</v>
      </c>
      <c r="G1567" s="14" t="s">
        <v>132</v>
      </c>
      <c r="H1567" s="4" t="s">
        <v>443</v>
      </c>
      <c r="I1567" s="4" t="s">
        <v>102</v>
      </c>
      <c r="Q1567" s="9" t="s">
        <v>1736</v>
      </c>
      <c r="T1567" s="9">
        <v>20</v>
      </c>
      <c r="W1567" s="9"/>
      <c r="Z1567" s="9">
        <v>1</v>
      </c>
      <c r="AF1567" s="9" t="s">
        <v>1736</v>
      </c>
      <c r="AI1567" s="9" t="s">
        <v>1736</v>
      </c>
    </row>
    <row r="1568" spans="1:43" x14ac:dyDescent="0.25">
      <c r="A1568" s="161" t="str">
        <f t="shared" si="28"/>
        <v>SS_BOOSTER</v>
      </c>
      <c r="B1568" s="9" t="s">
        <v>1074</v>
      </c>
      <c r="C1568" s="5"/>
      <c r="D1568" s="5"/>
      <c r="E1568" s="5" t="s">
        <v>1074</v>
      </c>
      <c r="F1568" s="5" t="s">
        <v>1074</v>
      </c>
      <c r="G1568" s="5"/>
      <c r="H1568" s="5" t="s">
        <v>1114</v>
      </c>
      <c r="I1568" s="5" t="s">
        <v>128</v>
      </c>
      <c r="J1568" s="6"/>
      <c r="K1568" s="6"/>
      <c r="L1568" s="13" t="s">
        <v>1708</v>
      </c>
      <c r="M1568" s="8"/>
      <c r="N1568" s="5"/>
      <c r="O1568" s="5"/>
      <c r="P1568" s="5"/>
      <c r="Q1568" s="7">
        <v>1</v>
      </c>
      <c r="R1568" s="6">
        <v>0.1</v>
      </c>
      <c r="S1568" s="5"/>
      <c r="T1568" s="6"/>
      <c r="U1568" s="6">
        <v>0.12</v>
      </c>
      <c r="V1568" s="5"/>
      <c r="W1568" s="6"/>
      <c r="X1568" s="6" t="s">
        <v>3</v>
      </c>
      <c r="Y1568" s="5"/>
      <c r="Z1568" s="6"/>
      <c r="AA1568" s="6"/>
      <c r="AB1568" s="5"/>
      <c r="AC1568" s="6"/>
      <c r="AD1568" s="6" t="s">
        <v>3</v>
      </c>
      <c r="AE1568" s="5"/>
      <c r="AF1568" s="6"/>
      <c r="AG1568" s="6"/>
      <c r="AH1568" s="5"/>
      <c r="AI1568" s="6"/>
      <c r="AJ1568" s="6"/>
      <c r="AK1568" s="5"/>
      <c r="AL1568" s="5"/>
      <c r="AM1568" s="5"/>
      <c r="AN1568" s="5"/>
      <c r="AO1568" s="5"/>
      <c r="AP1568" s="5"/>
      <c r="AQ1568" s="5"/>
    </row>
    <row r="1569" spans="1:43" x14ac:dyDescent="0.25">
      <c r="A1569" s="161" t="str">
        <f t="shared" si="28"/>
        <v>SS_CAPSULE</v>
      </c>
      <c r="B1569" s="9" t="s">
        <v>2322</v>
      </c>
      <c r="C1569" s="5"/>
      <c r="D1569" s="5"/>
      <c r="E1569" s="5" t="s">
        <v>1075</v>
      </c>
      <c r="F1569" s="5" t="s">
        <v>1075</v>
      </c>
      <c r="G1569" s="5"/>
      <c r="H1569" s="5" t="s">
        <v>1115</v>
      </c>
      <c r="I1569" s="5" t="s">
        <v>128</v>
      </c>
      <c r="J1569" s="6"/>
      <c r="K1569" s="6"/>
      <c r="L1569" s="13" t="s">
        <v>1708</v>
      </c>
      <c r="M1569" s="8"/>
      <c r="N1569" s="5"/>
      <c r="O1569" s="5"/>
      <c r="P1569" s="5"/>
      <c r="Q1569" s="7">
        <v>1</v>
      </c>
      <c r="R1569" s="6">
        <v>0.1</v>
      </c>
      <c r="S1569" s="5"/>
      <c r="T1569" s="6"/>
      <c r="U1569" s="6">
        <v>0.12</v>
      </c>
      <c r="V1569" s="5"/>
      <c r="W1569" s="6"/>
      <c r="X1569" s="6" t="s">
        <v>3</v>
      </c>
      <c r="Y1569" s="5"/>
      <c r="Z1569" s="6"/>
      <c r="AA1569" s="6"/>
      <c r="AB1569" s="5"/>
      <c r="AC1569" s="6"/>
      <c r="AD1569" s="6" t="s">
        <v>3</v>
      </c>
      <c r="AE1569" s="5"/>
      <c r="AF1569" s="6"/>
      <c r="AG1569" s="6"/>
      <c r="AH1569" s="5"/>
      <c r="AI1569" s="6"/>
      <c r="AJ1569" s="6"/>
      <c r="AK1569" s="5"/>
      <c r="AL1569" s="5"/>
      <c r="AM1569" s="5"/>
      <c r="AN1569" s="5"/>
      <c r="AO1569" s="5"/>
      <c r="AP1569" s="5"/>
      <c r="AQ1569" s="5"/>
    </row>
    <row r="1570" spans="1:43" x14ac:dyDescent="0.25">
      <c r="A1570" s="161" t="str">
        <f t="shared" si="28"/>
        <v>SS_ENGINE</v>
      </c>
      <c r="B1570" s="9" t="s">
        <v>1076</v>
      </c>
      <c r="C1570" s="5"/>
      <c r="D1570" s="5"/>
      <c r="E1570" s="5" t="s">
        <v>1076</v>
      </c>
      <c r="F1570" s="5" t="s">
        <v>1076</v>
      </c>
      <c r="G1570" s="5"/>
      <c r="H1570" s="5" t="s">
        <v>1116</v>
      </c>
      <c r="I1570" s="5" t="s">
        <v>128</v>
      </c>
      <c r="J1570" s="6"/>
      <c r="K1570" s="6"/>
      <c r="L1570" s="13" t="s">
        <v>1708</v>
      </c>
      <c r="M1570" s="8"/>
      <c r="N1570" s="5"/>
      <c r="O1570" s="5"/>
      <c r="P1570" s="5"/>
      <c r="Q1570" s="7">
        <v>1</v>
      </c>
      <c r="R1570" s="6">
        <v>0.1</v>
      </c>
      <c r="S1570" s="5"/>
      <c r="T1570" s="6"/>
      <c r="U1570" s="6">
        <v>0.12</v>
      </c>
      <c r="V1570" s="5"/>
      <c r="W1570" s="6"/>
      <c r="X1570" s="6" t="s">
        <v>3</v>
      </c>
      <c r="Y1570" s="5"/>
      <c r="Z1570" s="6"/>
      <c r="AA1570" s="6"/>
      <c r="AB1570" s="5"/>
      <c r="AC1570" s="6"/>
      <c r="AD1570" s="6" t="s">
        <v>3</v>
      </c>
      <c r="AE1570" s="5"/>
      <c r="AF1570" s="6"/>
      <c r="AG1570" s="6"/>
      <c r="AH1570" s="5"/>
      <c r="AI1570" s="6"/>
      <c r="AJ1570" s="6"/>
      <c r="AK1570" s="5"/>
      <c r="AL1570" s="5"/>
      <c r="AM1570" s="5"/>
      <c r="AN1570" s="5"/>
      <c r="AO1570" s="5"/>
      <c r="AP1570" s="5"/>
      <c r="AQ1570" s="5"/>
    </row>
    <row r="1571" spans="1:43" x14ac:dyDescent="0.25">
      <c r="A1571" s="161" t="str">
        <f t="shared" si="28"/>
        <v>SS_STASIS_CHAMBER</v>
      </c>
      <c r="B1571" s="9" t="s">
        <v>1077</v>
      </c>
      <c r="C1571" s="5"/>
      <c r="D1571" s="5"/>
      <c r="E1571" s="5" t="s">
        <v>1077</v>
      </c>
      <c r="F1571" s="5" t="s">
        <v>1077</v>
      </c>
      <c r="G1571" s="5"/>
      <c r="H1571" s="5" t="s">
        <v>1117</v>
      </c>
      <c r="I1571" s="5" t="s">
        <v>128</v>
      </c>
      <c r="J1571" s="6"/>
      <c r="K1571" s="6"/>
      <c r="L1571" s="13" t="s">
        <v>1713</v>
      </c>
      <c r="M1571" s="8"/>
      <c r="N1571" s="5"/>
      <c r="O1571" s="5"/>
      <c r="P1571" s="5"/>
      <c r="Q1571" s="7">
        <v>1</v>
      </c>
      <c r="R1571" s="6">
        <v>0.1</v>
      </c>
      <c r="S1571" s="5"/>
      <c r="T1571" s="6"/>
      <c r="U1571" s="7">
        <v>0.12</v>
      </c>
      <c r="V1571" s="5"/>
      <c r="W1571" s="6"/>
      <c r="X1571" s="6" t="s">
        <v>3</v>
      </c>
      <c r="Y1571" s="5"/>
      <c r="Z1571" s="6"/>
      <c r="AA1571" s="6"/>
      <c r="AB1571" s="5"/>
      <c r="AC1571" s="6"/>
      <c r="AD1571" s="6" t="s">
        <v>3</v>
      </c>
      <c r="AE1571" s="5"/>
      <c r="AF1571" s="6"/>
      <c r="AG1571" s="6"/>
      <c r="AH1571" s="5"/>
      <c r="AI1571" s="6"/>
      <c r="AJ1571" s="6"/>
      <c r="AK1571" s="5"/>
      <c r="AL1571" s="5"/>
      <c r="AM1571" s="5"/>
      <c r="AN1571" s="5"/>
      <c r="AO1571" s="5"/>
      <c r="AP1571" s="5"/>
      <c r="AQ1571" s="5"/>
    </row>
    <row r="1572" spans="1:43" x14ac:dyDescent="0.25">
      <c r="A1572" s="161" t="str">
        <f t="shared" si="28"/>
        <v>STEALTH_BOMBER</v>
      </c>
      <c r="B1572" s="9" t="s">
        <v>774</v>
      </c>
      <c r="C1572" s="5"/>
      <c r="D1572" s="5"/>
      <c r="E1572" s="5" t="s">
        <v>774</v>
      </c>
      <c r="F1572" s="5" t="s">
        <v>802</v>
      </c>
      <c r="G1572" s="5"/>
      <c r="H1572" s="5" t="s">
        <v>1528</v>
      </c>
      <c r="I1572" s="5" t="s">
        <v>128</v>
      </c>
      <c r="J1572" s="6"/>
      <c r="K1572" s="7"/>
      <c r="L1572" s="13" t="s">
        <v>1710</v>
      </c>
      <c r="M1572" s="8">
        <v>2.35</v>
      </c>
      <c r="N1572" s="13" t="s">
        <v>1724</v>
      </c>
      <c r="O1572" s="13"/>
      <c r="P1572" s="13"/>
      <c r="Q1572" s="7">
        <v>1</v>
      </c>
      <c r="R1572" s="6">
        <v>0.08</v>
      </c>
      <c r="S1572" s="13" t="s">
        <v>1614</v>
      </c>
      <c r="T1572" s="6"/>
      <c r="U1572" s="6">
        <v>0.1</v>
      </c>
      <c r="V1572" s="5"/>
      <c r="W1572" s="6"/>
      <c r="X1572" s="6" t="s">
        <v>3</v>
      </c>
      <c r="Y1572" s="5"/>
      <c r="Z1572" s="6"/>
      <c r="AA1572" s="6"/>
      <c r="AB1572" s="5"/>
      <c r="AC1572" s="6"/>
      <c r="AD1572" s="6" t="s">
        <v>3</v>
      </c>
      <c r="AE1572" s="5"/>
      <c r="AF1572" s="6"/>
      <c r="AG1572" s="6"/>
      <c r="AH1572" s="5"/>
      <c r="AI1572" s="6"/>
      <c r="AJ1572" s="6"/>
      <c r="AK1572" s="5"/>
      <c r="AL1572" s="5"/>
      <c r="AM1572" s="5"/>
      <c r="AN1572" s="5"/>
      <c r="AO1572" s="5"/>
      <c r="AP1572" s="5"/>
      <c r="AQ1572" s="5"/>
    </row>
    <row r="1573" spans="1:43" x14ac:dyDescent="0.25">
      <c r="A1573" s="161" t="str">
        <f t="shared" si="28"/>
        <v>STEALTH_BOMBER_AUSTRIA</v>
      </c>
      <c r="B1573" s="9" t="s">
        <v>774</v>
      </c>
      <c r="C1573" s="4" t="s">
        <v>701</v>
      </c>
      <c r="D1573" s="4" t="s">
        <v>717</v>
      </c>
      <c r="E1573" s="4" t="s">
        <v>774</v>
      </c>
      <c r="F1573" s="4" t="s">
        <v>802</v>
      </c>
      <c r="G1573" s="14" t="s">
        <v>132</v>
      </c>
      <c r="Q1573" s="9"/>
      <c r="T1573" s="9"/>
      <c r="W1573" s="9"/>
      <c r="AF1573" s="9"/>
      <c r="AI1573" s="9"/>
    </row>
    <row r="1574" spans="1:43" x14ac:dyDescent="0.25">
      <c r="A1574" s="161" t="str">
        <f t="shared" si="28"/>
        <v>STEALTH_BOMBER_GERMANY</v>
      </c>
      <c r="B1574" s="9" t="s">
        <v>774</v>
      </c>
      <c r="C1574" s="4" t="s">
        <v>717</v>
      </c>
      <c r="E1574" s="4" t="s">
        <v>774</v>
      </c>
      <c r="F1574" s="4" t="s">
        <v>802</v>
      </c>
      <c r="G1574" s="14" t="s">
        <v>132</v>
      </c>
      <c r="H1574" s="4" t="s">
        <v>389</v>
      </c>
      <c r="I1574" s="4" t="s">
        <v>1062</v>
      </c>
    </row>
    <row r="1575" spans="1:43" x14ac:dyDescent="0.25">
      <c r="A1575" s="161" t="str">
        <f t="shared" si="28"/>
        <v>SUBMARINE</v>
      </c>
      <c r="B1575" s="9" t="s">
        <v>105</v>
      </c>
      <c r="C1575" s="5"/>
      <c r="D1575" s="5"/>
      <c r="E1575" s="5" t="s">
        <v>105</v>
      </c>
      <c r="F1575" s="5" t="s">
        <v>105</v>
      </c>
      <c r="G1575" s="5"/>
      <c r="H1575" s="5" t="s">
        <v>1720</v>
      </c>
      <c r="I1575" s="5" t="s">
        <v>102</v>
      </c>
      <c r="J1575" s="6"/>
      <c r="K1575" s="7"/>
      <c r="L1575" s="13" t="s">
        <v>1715</v>
      </c>
      <c r="M1575" s="8"/>
      <c r="N1575" s="13" t="s">
        <v>1726</v>
      </c>
      <c r="O1575" s="13"/>
      <c r="P1575" s="13"/>
      <c r="Q1575" s="7">
        <v>1</v>
      </c>
      <c r="R1575" s="6">
        <v>0.16</v>
      </c>
      <c r="S1575" s="5"/>
      <c r="T1575" s="7">
        <v>3</v>
      </c>
      <c r="U1575" s="6">
        <v>0.12</v>
      </c>
      <c r="V1575" s="5" t="s">
        <v>1702</v>
      </c>
      <c r="W1575" s="6"/>
      <c r="X1575" s="6"/>
      <c r="Y1575" s="5"/>
      <c r="Z1575" s="6"/>
      <c r="AA1575" s="6"/>
      <c r="AB1575" s="5"/>
      <c r="AC1575" s="6"/>
      <c r="AD1575" s="6"/>
      <c r="AE1575" s="5"/>
      <c r="AF1575" s="6"/>
      <c r="AG1575" s="6"/>
      <c r="AH1575" s="5"/>
      <c r="AI1575" s="6"/>
      <c r="AJ1575" s="6"/>
      <c r="AK1575" s="5"/>
      <c r="AL1575" s="5"/>
      <c r="AM1575" s="5"/>
      <c r="AN1575" s="5"/>
      <c r="AO1575" s="5"/>
      <c r="AP1575" s="5"/>
      <c r="AQ1575" s="5"/>
    </row>
    <row r="1576" spans="1:43" x14ac:dyDescent="0.25">
      <c r="A1576" s="161" t="str">
        <f t="shared" si="28"/>
        <v>SUBMARINE_ZULU</v>
      </c>
      <c r="B1576" s="9" t="s">
        <v>105</v>
      </c>
      <c r="C1576" s="5" t="s">
        <v>742</v>
      </c>
      <c r="D1576" s="5" t="s">
        <v>713</v>
      </c>
      <c r="E1576" s="5" t="s">
        <v>105</v>
      </c>
      <c r="F1576" s="5" t="s">
        <v>105</v>
      </c>
      <c r="G1576" s="5"/>
      <c r="H1576" s="5"/>
      <c r="I1576" s="5"/>
      <c r="J1576" s="6"/>
      <c r="K1576" s="7"/>
      <c r="L1576" s="13"/>
      <c r="M1576" s="8"/>
      <c r="N1576" s="13"/>
      <c r="O1576" s="13"/>
      <c r="P1576" s="13"/>
      <c r="Q1576" s="7"/>
      <c r="R1576" s="6"/>
      <c r="S1576" s="5"/>
      <c r="T1576" s="7"/>
      <c r="U1576" s="6"/>
      <c r="V1576" s="5"/>
      <c r="W1576" s="6"/>
      <c r="X1576" s="6"/>
      <c r="Y1576" s="5"/>
      <c r="Z1576" s="6"/>
      <c r="AA1576" s="6"/>
      <c r="AB1576" s="5"/>
      <c r="AC1576" s="6"/>
      <c r="AD1576" s="6"/>
      <c r="AE1576" s="5"/>
      <c r="AF1576" s="6"/>
      <c r="AG1576" s="6"/>
      <c r="AH1576" s="5"/>
      <c r="AI1576" s="6"/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28"/>
        <v>SUBMARINE_AMER</v>
      </c>
      <c r="B1577" s="9" t="s">
        <v>105</v>
      </c>
      <c r="C1577" s="5" t="s">
        <v>697</v>
      </c>
      <c r="D1577" s="5" t="s">
        <v>699</v>
      </c>
      <c r="E1577" s="5" t="s">
        <v>105</v>
      </c>
      <c r="F1577" s="5" t="s">
        <v>105</v>
      </c>
      <c r="G1577" s="5"/>
      <c r="H1577" s="5"/>
      <c r="I1577" s="5"/>
      <c r="J1577" s="6"/>
      <c r="K1577" s="7"/>
      <c r="L1577" s="13"/>
      <c r="M1577" s="8"/>
      <c r="N1577" s="13"/>
      <c r="O1577" s="13"/>
      <c r="P1577" s="13"/>
      <c r="Q1577" s="7"/>
      <c r="R1577" s="6"/>
      <c r="S1577" s="5"/>
      <c r="T1577" s="7"/>
      <c r="U1577" s="6"/>
      <c r="V1577" s="5"/>
      <c r="W1577" s="6"/>
      <c r="X1577" s="6"/>
      <c r="Y1577" s="5"/>
      <c r="Z1577" s="6"/>
      <c r="AA1577" s="6"/>
      <c r="AB1577" s="5"/>
      <c r="AC1577" s="6"/>
      <c r="AD1577" s="6"/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SUBMARINE_ASIA</v>
      </c>
      <c r="B1578" s="9" t="s">
        <v>105</v>
      </c>
      <c r="C1578" s="5" t="s">
        <v>693</v>
      </c>
      <c r="D1578" s="5"/>
      <c r="E1578" s="5" t="s">
        <v>105</v>
      </c>
      <c r="F1578" s="5" t="s">
        <v>105</v>
      </c>
      <c r="G1578" s="5"/>
      <c r="H1578" s="4" t="s">
        <v>490</v>
      </c>
      <c r="I1578" s="5" t="s">
        <v>102</v>
      </c>
      <c r="K1578" s="7"/>
      <c r="L1578" s="13"/>
      <c r="M1578" s="8"/>
      <c r="N1578" s="13"/>
      <c r="O1578" s="13"/>
      <c r="P1578" s="13"/>
      <c r="Q1578" s="7"/>
      <c r="R1578" s="6"/>
      <c r="S1578" s="5"/>
      <c r="T1578" s="7"/>
      <c r="U1578" s="6"/>
      <c r="V1578" s="5"/>
      <c r="W1578" s="6"/>
      <c r="X1578" s="6"/>
      <c r="Y1578" s="5"/>
      <c r="Z1578" s="6"/>
      <c r="AA1578" s="6"/>
      <c r="AB1578" s="5"/>
      <c r="AC1578" s="6"/>
      <c r="AD1578" s="6"/>
      <c r="AE1578" s="5"/>
      <c r="AF1578" s="6"/>
      <c r="AG1578" s="6"/>
      <c r="AH1578" s="5"/>
      <c r="AI1578" s="6"/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SUBMARINE_JAPAN</v>
      </c>
      <c r="B1579" s="9" t="s">
        <v>105</v>
      </c>
      <c r="C1579" s="4" t="s">
        <v>722</v>
      </c>
      <c r="D1579" s="4" t="s">
        <v>693</v>
      </c>
      <c r="E1579" s="4" t="s">
        <v>105</v>
      </c>
      <c r="F1579" s="4" t="s">
        <v>105</v>
      </c>
      <c r="G1579" s="14" t="s">
        <v>132</v>
      </c>
    </row>
    <row r="1580" spans="1:43" x14ac:dyDescent="0.25">
      <c r="A1580" s="161" t="str">
        <f t="shared" si="28"/>
        <v>SUBMARINE_HUNS</v>
      </c>
      <c r="B1580" s="9" t="s">
        <v>105</v>
      </c>
      <c r="C1580" s="4" t="s">
        <v>904</v>
      </c>
      <c r="D1580" s="4" t="s">
        <v>701</v>
      </c>
      <c r="E1580" s="4" t="s">
        <v>105</v>
      </c>
      <c r="F1580" s="4" t="s">
        <v>105</v>
      </c>
    </row>
    <row r="1581" spans="1:43" x14ac:dyDescent="0.25">
      <c r="A1581" s="161" t="str">
        <f t="shared" si="28"/>
        <v>SUBMARINE_EASTEU</v>
      </c>
      <c r="B1581" s="9" t="s">
        <v>105</v>
      </c>
      <c r="C1581" s="4" t="s">
        <v>698</v>
      </c>
      <c r="E1581" s="4" t="s">
        <v>105</v>
      </c>
      <c r="F1581" s="4" t="s">
        <v>105</v>
      </c>
      <c r="H1581" s="4" t="s">
        <v>626</v>
      </c>
      <c r="I1581" s="4" t="s">
        <v>102</v>
      </c>
    </row>
    <row r="1582" spans="1:43" x14ac:dyDescent="0.25">
      <c r="A1582" s="161" t="str">
        <f t="shared" si="28"/>
        <v>SUBMARINE_POLAND</v>
      </c>
      <c r="B1582" s="9" t="s">
        <v>105</v>
      </c>
      <c r="C1582" s="4" t="s">
        <v>732</v>
      </c>
      <c r="E1582" s="4" t="s">
        <v>105</v>
      </c>
      <c r="F1582" s="4" t="s">
        <v>105</v>
      </c>
      <c r="G1582" s="14" t="s">
        <v>132</v>
      </c>
      <c r="H1582" s="4" t="s">
        <v>574</v>
      </c>
      <c r="I1582" s="4" t="s">
        <v>102</v>
      </c>
    </row>
    <row r="1583" spans="1:43" x14ac:dyDescent="0.25">
      <c r="A1583" s="161" t="str">
        <f t="shared" si="28"/>
        <v>SUBMARINE_RUSSIA</v>
      </c>
      <c r="B1583" s="9" t="s">
        <v>105</v>
      </c>
      <c r="C1583" s="4" t="s">
        <v>735</v>
      </c>
      <c r="D1583" s="4" t="s">
        <v>698</v>
      </c>
      <c r="E1583" s="4" t="s">
        <v>105</v>
      </c>
      <c r="F1583" s="4" t="s">
        <v>105</v>
      </c>
      <c r="G1583" s="14" t="s">
        <v>132</v>
      </c>
    </row>
    <row r="1584" spans="1:43" x14ac:dyDescent="0.25">
      <c r="A1584" s="161" t="str">
        <f t="shared" si="28"/>
        <v>SUBMARINE_AMERICA</v>
      </c>
      <c r="B1584" s="9" t="s">
        <v>105</v>
      </c>
      <c r="C1584" s="4" t="s">
        <v>699</v>
      </c>
      <c r="E1584" s="4" t="s">
        <v>105</v>
      </c>
      <c r="F1584" s="4" t="s">
        <v>105</v>
      </c>
      <c r="G1584" s="14"/>
      <c r="H1584" s="4" t="s">
        <v>151</v>
      </c>
      <c r="I1584" s="4" t="s">
        <v>102</v>
      </c>
    </row>
    <row r="1585" spans="1:9" x14ac:dyDescent="0.25">
      <c r="A1585" s="161" t="str">
        <f t="shared" si="28"/>
        <v>SUBMARINE_AUSTRALIA</v>
      </c>
      <c r="B1585" s="9" t="s">
        <v>105</v>
      </c>
      <c r="C1585" s="4" t="s">
        <v>1302</v>
      </c>
      <c r="D1585" s="4" t="s">
        <v>713</v>
      </c>
      <c r="E1585" s="4" t="s">
        <v>105</v>
      </c>
      <c r="F1585" s="4" t="s">
        <v>105</v>
      </c>
      <c r="G1585" s="14"/>
    </row>
    <row r="1586" spans="1:9" x14ac:dyDescent="0.25">
      <c r="A1586" s="161" t="str">
        <f t="shared" si="28"/>
        <v>SUBMARINE_AUSTRIA</v>
      </c>
      <c r="B1586" s="9" t="s">
        <v>105</v>
      </c>
      <c r="C1586" s="4" t="s">
        <v>701</v>
      </c>
      <c r="E1586" s="4" t="s">
        <v>105</v>
      </c>
      <c r="F1586" s="4" t="s">
        <v>105</v>
      </c>
      <c r="G1586" s="14"/>
      <c r="H1586" s="4" t="s">
        <v>186</v>
      </c>
      <c r="I1586" s="4" t="s">
        <v>102</v>
      </c>
    </row>
    <row r="1587" spans="1:9" x14ac:dyDescent="0.25">
      <c r="A1587" s="161" t="str">
        <f t="shared" si="28"/>
        <v>SUBMARINE_CANADA</v>
      </c>
      <c r="B1587" s="9" t="s">
        <v>105</v>
      </c>
      <c r="C1587" s="4" t="s">
        <v>2207</v>
      </c>
      <c r="D1587" s="4" t="s">
        <v>713</v>
      </c>
      <c r="E1587" s="4" t="s">
        <v>105</v>
      </c>
      <c r="F1587" s="4" t="s">
        <v>105</v>
      </c>
      <c r="G1587" s="14"/>
    </row>
    <row r="1588" spans="1:9" x14ac:dyDescent="0.25">
      <c r="A1588" s="161" t="str">
        <f t="shared" si="28"/>
        <v>SUBMARINE_CELTS</v>
      </c>
      <c r="B1588" s="9" t="s">
        <v>105</v>
      </c>
      <c r="C1588" s="4" t="s">
        <v>709</v>
      </c>
      <c r="D1588" s="4" t="s">
        <v>713</v>
      </c>
      <c r="E1588" s="4" t="s">
        <v>105</v>
      </c>
      <c r="F1588" s="4" t="s">
        <v>105</v>
      </c>
      <c r="G1588" s="14"/>
    </row>
    <row r="1589" spans="1:9" x14ac:dyDescent="0.25">
      <c r="A1589" s="161" t="str">
        <f t="shared" si="28"/>
        <v>SUBMARINE_ENGLAND</v>
      </c>
      <c r="B1589" s="9" t="s">
        <v>105</v>
      </c>
      <c r="C1589" s="4" t="s">
        <v>713</v>
      </c>
      <c r="E1589" s="4" t="s">
        <v>105</v>
      </c>
      <c r="F1589" s="4" t="s">
        <v>105</v>
      </c>
      <c r="G1589" s="14" t="s">
        <v>132</v>
      </c>
      <c r="H1589" s="4" t="s">
        <v>312</v>
      </c>
      <c r="I1589" s="4" t="s">
        <v>102</v>
      </c>
    </row>
    <row r="1590" spans="1:9" x14ac:dyDescent="0.25">
      <c r="A1590" s="161" t="str">
        <f t="shared" si="28"/>
        <v>SUBMARINE_FRANCE</v>
      </c>
      <c r="B1590" s="9" t="s">
        <v>105</v>
      </c>
      <c r="C1590" s="4" t="s">
        <v>715</v>
      </c>
      <c r="E1590" s="4" t="s">
        <v>105</v>
      </c>
      <c r="F1590" s="4" t="s">
        <v>105</v>
      </c>
      <c r="G1590" s="14" t="s">
        <v>132</v>
      </c>
      <c r="H1590" s="4" t="s">
        <v>357</v>
      </c>
      <c r="I1590" s="4" t="s">
        <v>102</v>
      </c>
    </row>
    <row r="1591" spans="1:9" x14ac:dyDescent="0.25">
      <c r="A1591" s="161" t="str">
        <f t="shared" si="28"/>
        <v>SUBMARINE_GERMANY</v>
      </c>
      <c r="B1591" s="9" t="s">
        <v>105</v>
      </c>
      <c r="C1591" s="4" t="s">
        <v>717</v>
      </c>
      <c r="E1591" s="4" t="s">
        <v>105</v>
      </c>
      <c r="F1591" s="4" t="s">
        <v>105</v>
      </c>
      <c r="G1591" s="14" t="s">
        <v>132</v>
      </c>
      <c r="H1591" s="4" t="s">
        <v>390</v>
      </c>
      <c r="I1591" s="4" t="s">
        <v>102</v>
      </c>
    </row>
    <row r="1592" spans="1:9" x14ac:dyDescent="0.25">
      <c r="A1592" s="161" t="str">
        <f t="shared" si="28"/>
        <v>SUBMARINE_NETHERLANDS</v>
      </c>
      <c r="B1592" s="9" t="s">
        <v>105</v>
      </c>
      <c r="C1592" s="4" t="s">
        <v>730</v>
      </c>
      <c r="E1592" s="4" t="s">
        <v>105</v>
      </c>
      <c r="F1592" s="4" t="s">
        <v>105</v>
      </c>
      <c r="G1592" s="14" t="s">
        <v>132</v>
      </c>
      <c r="H1592" s="4" t="s">
        <v>549</v>
      </c>
      <c r="I1592" s="4" t="s">
        <v>102</v>
      </c>
    </row>
    <row r="1593" spans="1:9" x14ac:dyDescent="0.25">
      <c r="A1593" s="161" t="str">
        <f t="shared" si="28"/>
        <v>SUBMARINE_GREECE</v>
      </c>
      <c r="B1593" s="9" t="s">
        <v>105</v>
      </c>
      <c r="C1593" s="4" t="s">
        <v>718</v>
      </c>
      <c r="E1593" s="4" t="s">
        <v>105</v>
      </c>
      <c r="F1593" s="4" t="s">
        <v>105</v>
      </c>
      <c r="G1593" s="14" t="s">
        <v>132</v>
      </c>
      <c r="H1593" s="4" t="s">
        <v>413</v>
      </c>
      <c r="I1593" s="4" t="s">
        <v>102</v>
      </c>
    </row>
    <row r="1594" spans="1:9" x14ac:dyDescent="0.25">
      <c r="A1594" s="161" t="str">
        <f t="shared" si="28"/>
        <v>SUBMARINE_ROME</v>
      </c>
      <c r="B1594" s="9" t="s">
        <v>105</v>
      </c>
      <c r="C1594" s="4" t="s">
        <v>734</v>
      </c>
      <c r="E1594" s="4" t="s">
        <v>105</v>
      </c>
      <c r="F1594" s="4" t="s">
        <v>105</v>
      </c>
      <c r="G1594" s="14" t="s">
        <v>132</v>
      </c>
      <c r="H1594" s="4" t="s">
        <v>599</v>
      </c>
      <c r="I1594" s="4" t="s">
        <v>102</v>
      </c>
    </row>
    <row r="1595" spans="1:9" x14ac:dyDescent="0.25">
      <c r="A1595" s="161" t="str">
        <f t="shared" si="28"/>
        <v>SUBMARINE_NORTHAF</v>
      </c>
      <c r="B1595" s="9" t="s">
        <v>105</v>
      </c>
      <c r="C1595" s="4" t="s">
        <v>2009</v>
      </c>
      <c r="D1595" s="4" t="s">
        <v>715</v>
      </c>
      <c r="E1595" s="4" t="s">
        <v>105</v>
      </c>
      <c r="F1595" s="4" t="s">
        <v>105</v>
      </c>
      <c r="G1595" s="14"/>
    </row>
    <row r="1596" spans="1:9" x14ac:dyDescent="0.25">
      <c r="A1596" s="161" t="str">
        <f t="shared" si="28"/>
        <v>SUBMARINE_SWEDEN</v>
      </c>
      <c r="B1596" s="9" t="s">
        <v>105</v>
      </c>
      <c r="C1596" s="4" t="s">
        <v>739</v>
      </c>
      <c r="E1596" s="4" t="s">
        <v>105</v>
      </c>
      <c r="F1596" s="4" t="s">
        <v>105</v>
      </c>
      <c r="G1596" s="14" t="s">
        <v>132</v>
      </c>
      <c r="H1596" s="4" t="s">
        <v>675</v>
      </c>
      <c r="I1596" s="4" t="s">
        <v>102</v>
      </c>
    </row>
    <row r="1597" spans="1:9" x14ac:dyDescent="0.25">
      <c r="A1597" s="161" t="str">
        <f t="shared" si="28"/>
        <v>SUBMARINE_OCEAN</v>
      </c>
      <c r="B1597" s="9" t="s">
        <v>105</v>
      </c>
      <c r="C1597" s="4" t="s">
        <v>994</v>
      </c>
      <c r="D1597" s="4" t="s">
        <v>699</v>
      </c>
      <c r="E1597" s="4" t="s">
        <v>105</v>
      </c>
      <c r="F1597" s="4" t="s">
        <v>105</v>
      </c>
      <c r="G1597" s="14"/>
    </row>
    <row r="1598" spans="1:9" x14ac:dyDescent="0.25">
      <c r="A1598" s="161" t="str">
        <f t="shared" si="28"/>
        <v>SUBMARINE_SAHUL</v>
      </c>
      <c r="B1598" s="9" t="s">
        <v>105</v>
      </c>
      <c r="C1598" s="4" t="s">
        <v>1787</v>
      </c>
      <c r="D1598" s="4" t="s">
        <v>730</v>
      </c>
      <c r="E1598" s="4" t="s">
        <v>105</v>
      </c>
      <c r="F1598" s="4" t="s">
        <v>105</v>
      </c>
      <c r="G1598" s="14"/>
    </row>
    <row r="1599" spans="1:9" x14ac:dyDescent="0.25">
      <c r="A1599" s="161" t="str">
        <f t="shared" si="28"/>
        <v>SUBMARINE_SEASIA</v>
      </c>
      <c r="B1599" s="9" t="s">
        <v>105</v>
      </c>
      <c r="C1599" s="4" t="s">
        <v>696</v>
      </c>
      <c r="D1599" s="4" t="s">
        <v>715</v>
      </c>
      <c r="E1599" s="4" t="s">
        <v>105</v>
      </c>
      <c r="F1599" s="4" t="s">
        <v>105</v>
      </c>
      <c r="G1599" s="14"/>
    </row>
    <row r="1600" spans="1:9" x14ac:dyDescent="0.25">
      <c r="A1600" s="161" t="str">
        <f t="shared" si="28"/>
        <v>SUBMARINE_SOUTHAS</v>
      </c>
      <c r="B1600" s="9" t="s">
        <v>105</v>
      </c>
      <c r="C1600" s="4" t="s">
        <v>695</v>
      </c>
      <c r="D1600" s="4" t="s">
        <v>713</v>
      </c>
      <c r="E1600" s="4" t="s">
        <v>105</v>
      </c>
      <c r="F1600" s="4" t="s">
        <v>105</v>
      </c>
      <c r="G1600" s="14"/>
    </row>
    <row r="1601" spans="1:43" x14ac:dyDescent="0.25">
      <c r="A1601" s="161" t="str">
        <f t="shared" si="28"/>
        <v>SWORDSMAN</v>
      </c>
      <c r="B1601" s="9" t="s">
        <v>104</v>
      </c>
      <c r="C1601" s="5"/>
      <c r="D1601" s="5"/>
      <c r="E1601" s="5" t="s">
        <v>104</v>
      </c>
      <c r="F1601" s="5" t="s">
        <v>104</v>
      </c>
      <c r="G1601" s="5" t="s">
        <v>2045</v>
      </c>
      <c r="H1601" s="5" t="s">
        <v>1530</v>
      </c>
      <c r="I1601" s="5" t="s">
        <v>128</v>
      </c>
      <c r="J1601" s="6"/>
      <c r="K1601" s="6"/>
      <c r="L1601" s="13" t="s">
        <v>1717</v>
      </c>
      <c r="M1601" s="8"/>
      <c r="N1601" s="5"/>
      <c r="O1601" s="5"/>
      <c r="P1601" s="5"/>
      <c r="Q1601" s="6">
        <v>3</v>
      </c>
      <c r="R1601" s="6" t="s">
        <v>1736</v>
      </c>
      <c r="S1601" s="13" t="s">
        <v>1736</v>
      </c>
      <c r="T1601" s="6">
        <v>2</v>
      </c>
      <c r="U1601" s="7" t="s">
        <v>1736</v>
      </c>
      <c r="V1601" s="5" t="s">
        <v>1619</v>
      </c>
      <c r="W1601" s="6" t="s">
        <v>3</v>
      </c>
      <c r="X1601" s="6" t="s">
        <v>3</v>
      </c>
      <c r="Y1601" s="5"/>
      <c r="Z1601" s="6">
        <v>0</v>
      </c>
      <c r="AA1601" s="6"/>
      <c r="AB1601" s="5"/>
      <c r="AC1601" s="6"/>
      <c r="AD1601" s="6" t="s">
        <v>3</v>
      </c>
      <c r="AE1601" s="5"/>
      <c r="AF1601" s="6">
        <v>1</v>
      </c>
      <c r="AG1601" s="6"/>
      <c r="AH1601" s="5"/>
      <c r="AI1601" s="6">
        <v>2</v>
      </c>
      <c r="AJ1601" s="6"/>
      <c r="AK1601" s="5"/>
      <c r="AL1601" s="5"/>
      <c r="AM1601" s="5"/>
      <c r="AN1601" s="5"/>
      <c r="AO1601" s="5"/>
      <c r="AP1601" s="5"/>
      <c r="AQ1601" s="5"/>
    </row>
    <row r="1602" spans="1:43" x14ac:dyDescent="0.25">
      <c r="A1602" s="161" t="str">
        <f t="shared" si="28"/>
        <v>SWORDSMAN</v>
      </c>
      <c r="B1602" s="9" t="s">
        <v>104</v>
      </c>
      <c r="C1602" s="5"/>
      <c r="D1602" s="5"/>
      <c r="E1602" s="5" t="s">
        <v>104</v>
      </c>
      <c r="F1602" s="5" t="s">
        <v>104</v>
      </c>
      <c r="G1602" s="5"/>
      <c r="H1602" s="5" t="s">
        <v>16</v>
      </c>
      <c r="I1602" s="5" t="s">
        <v>128</v>
      </c>
      <c r="J1602" s="6"/>
      <c r="K1602" s="6"/>
      <c r="L1602" s="13" t="s">
        <v>1717</v>
      </c>
      <c r="M1602" s="8"/>
      <c r="N1602" s="5"/>
      <c r="O1602" s="5"/>
      <c r="P1602" s="5"/>
      <c r="Q1602" s="6">
        <v>6</v>
      </c>
      <c r="R1602" s="6" t="s">
        <v>1736</v>
      </c>
      <c r="S1602" s="13" t="s">
        <v>1736</v>
      </c>
      <c r="T1602" s="6">
        <v>3</v>
      </c>
      <c r="U1602" s="7" t="s">
        <v>1736</v>
      </c>
      <c r="V1602" s="5" t="s">
        <v>1619</v>
      </c>
      <c r="W1602" s="6" t="s">
        <v>3</v>
      </c>
      <c r="X1602" s="6" t="s">
        <v>3</v>
      </c>
      <c r="Y1602" s="5"/>
      <c r="Z1602" s="6">
        <v>1</v>
      </c>
      <c r="AA1602" s="6"/>
      <c r="AB1602" s="5"/>
      <c r="AC1602" s="6"/>
      <c r="AD1602" s="6" t="s">
        <v>3</v>
      </c>
      <c r="AE1602" s="5"/>
      <c r="AF1602" s="6">
        <v>1</v>
      </c>
      <c r="AG1602" s="6"/>
      <c r="AH1602" s="5"/>
      <c r="AI1602" s="6">
        <v>3</v>
      </c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8"/>
        <v>SWORDSMAN</v>
      </c>
      <c r="B1603" s="9" t="s">
        <v>104</v>
      </c>
      <c r="C1603" s="5"/>
      <c r="D1603" s="5"/>
      <c r="E1603" s="5" t="s">
        <v>104</v>
      </c>
      <c r="F1603" s="5" t="s">
        <v>104</v>
      </c>
      <c r="G1603" s="5" t="s">
        <v>2047</v>
      </c>
      <c r="H1603" s="5" t="s">
        <v>1529</v>
      </c>
      <c r="I1603" s="5" t="s">
        <v>128</v>
      </c>
      <c r="J1603" s="6"/>
      <c r="K1603" s="6"/>
      <c r="L1603" s="13" t="s">
        <v>1717</v>
      </c>
      <c r="M1603" s="8"/>
      <c r="N1603" s="5"/>
      <c r="O1603" s="5"/>
      <c r="P1603" s="5"/>
      <c r="Q1603" s="6">
        <v>3</v>
      </c>
      <c r="R1603" s="6" t="s">
        <v>1736</v>
      </c>
      <c r="S1603" s="13" t="s">
        <v>1736</v>
      </c>
      <c r="T1603" s="6">
        <v>3</v>
      </c>
      <c r="U1603" s="7" t="s">
        <v>1736</v>
      </c>
      <c r="V1603" s="5" t="s">
        <v>1619</v>
      </c>
      <c r="W1603" s="6" t="s">
        <v>3</v>
      </c>
      <c r="X1603" s="6" t="s">
        <v>3</v>
      </c>
      <c r="Y1603" s="5"/>
      <c r="Z1603" s="6">
        <v>0</v>
      </c>
      <c r="AA1603" s="6"/>
      <c r="AB1603" s="5"/>
      <c r="AC1603" s="6"/>
      <c r="AD1603" s="6" t="s">
        <v>3</v>
      </c>
      <c r="AE1603" s="5"/>
      <c r="AF1603" s="6">
        <v>1</v>
      </c>
      <c r="AG1603" s="6"/>
      <c r="AH1603" s="5"/>
      <c r="AI1603" s="6">
        <v>2</v>
      </c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8"/>
        <v>SWORDSMAN</v>
      </c>
      <c r="B1604" s="9" t="s">
        <v>104</v>
      </c>
      <c r="C1604" s="5"/>
      <c r="D1604" s="5"/>
      <c r="E1604" s="5" t="s">
        <v>104</v>
      </c>
      <c r="F1604" s="5" t="s">
        <v>104</v>
      </c>
      <c r="G1604" s="5" t="s">
        <v>2045</v>
      </c>
      <c r="H1604" s="5" t="s">
        <v>1530</v>
      </c>
      <c r="I1604" s="5" t="s">
        <v>128</v>
      </c>
      <c r="J1604" s="6"/>
      <c r="K1604" s="6"/>
      <c r="L1604" s="13" t="s">
        <v>1717</v>
      </c>
      <c r="M1604" s="8"/>
      <c r="N1604" s="5"/>
      <c r="O1604" s="5"/>
      <c r="P1604" s="5"/>
      <c r="Q1604" s="6">
        <v>0</v>
      </c>
      <c r="R1604" s="6" t="s">
        <v>1736</v>
      </c>
      <c r="S1604" s="13" t="s">
        <v>1736</v>
      </c>
      <c r="T1604" s="6">
        <v>3</v>
      </c>
      <c r="U1604" s="7" t="s">
        <v>1736</v>
      </c>
      <c r="V1604" s="5" t="s">
        <v>1619</v>
      </c>
      <c r="W1604" s="7" t="s">
        <v>3</v>
      </c>
      <c r="X1604" s="6" t="s">
        <v>3</v>
      </c>
      <c r="Y1604" s="5"/>
      <c r="Z1604" s="7">
        <v>0</v>
      </c>
      <c r="AA1604" s="6"/>
      <c r="AB1604" s="5"/>
      <c r="AC1604" s="6"/>
      <c r="AD1604" s="6" t="s">
        <v>3</v>
      </c>
      <c r="AE1604" s="5"/>
      <c r="AF1604" s="6">
        <v>1</v>
      </c>
      <c r="AG1604" s="6"/>
      <c r="AH1604" s="5"/>
      <c r="AI1604" s="6">
        <v>0</v>
      </c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8"/>
        <v>SWORDSMAN</v>
      </c>
      <c r="B1605" s="9" t="s">
        <v>104</v>
      </c>
      <c r="C1605" s="5"/>
      <c r="D1605" s="5"/>
      <c r="E1605" s="5" t="s">
        <v>104</v>
      </c>
      <c r="F1605" s="5" t="s">
        <v>104</v>
      </c>
      <c r="G1605" s="5"/>
      <c r="H1605" s="5" t="s">
        <v>16</v>
      </c>
      <c r="I1605" s="5" t="s">
        <v>128</v>
      </c>
      <c r="J1605" s="6"/>
      <c r="K1605" s="6"/>
      <c r="L1605" s="13" t="s">
        <v>1717</v>
      </c>
      <c r="M1605" s="8"/>
      <c r="N1605" s="5"/>
      <c r="O1605" s="5"/>
      <c r="P1605" s="5"/>
      <c r="Q1605" s="6">
        <v>0</v>
      </c>
      <c r="R1605" s="6" t="s">
        <v>1736</v>
      </c>
      <c r="S1605" s="13" t="s">
        <v>1736</v>
      </c>
      <c r="T1605" s="6">
        <v>3</v>
      </c>
      <c r="U1605" s="7" t="s">
        <v>1736</v>
      </c>
      <c r="V1605" s="5" t="s">
        <v>1619</v>
      </c>
      <c r="W1605" s="7" t="s">
        <v>3</v>
      </c>
      <c r="X1605" s="6" t="s">
        <v>3</v>
      </c>
      <c r="Y1605" s="5"/>
      <c r="Z1605" s="7">
        <v>0</v>
      </c>
      <c r="AA1605" s="6"/>
      <c r="AB1605" s="5"/>
      <c r="AC1605" s="6"/>
      <c r="AD1605" s="6" t="s">
        <v>3</v>
      </c>
      <c r="AE1605" s="5"/>
      <c r="AF1605" s="6">
        <v>1</v>
      </c>
      <c r="AG1605" s="6"/>
      <c r="AH1605" s="5"/>
      <c r="AI1605" s="6">
        <v>0</v>
      </c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si="28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 t="s">
        <v>2047</v>
      </c>
      <c r="H1606" s="5" t="s">
        <v>1529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0</v>
      </c>
      <c r="R1606" s="6" t="s">
        <v>1736</v>
      </c>
      <c r="S1606" s="13" t="s">
        <v>1736</v>
      </c>
      <c r="T1606" s="6">
        <v>2</v>
      </c>
      <c r="U1606" s="7" t="s">
        <v>1736</v>
      </c>
      <c r="V1606" s="5" t="s">
        <v>1619</v>
      </c>
      <c r="W1606" s="7" t="s">
        <v>3</v>
      </c>
      <c r="X1606" s="6" t="s">
        <v>3</v>
      </c>
      <c r="Y1606" s="5"/>
      <c r="Z1606" s="7">
        <v>0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0</v>
      </c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8"/>
        <v>SWORDSMAN_AFRI</v>
      </c>
      <c r="B1607" s="9" t="s">
        <v>104</v>
      </c>
      <c r="C1607" s="4" t="s">
        <v>694</v>
      </c>
      <c r="E1607" s="4" t="s">
        <v>104</v>
      </c>
      <c r="F1607" s="4" t="s">
        <v>104</v>
      </c>
      <c r="H1607" s="4" t="s">
        <v>687</v>
      </c>
      <c r="I1607" s="4" t="s">
        <v>1305</v>
      </c>
      <c r="Q1607" s="11" t="s">
        <v>1736</v>
      </c>
    </row>
    <row r="1608" spans="1:43" x14ac:dyDescent="0.25">
      <c r="A1608" s="161" t="str">
        <f t="shared" si="28"/>
        <v>SWORDSMAN_ETHIOPIA</v>
      </c>
      <c r="B1608" s="9" t="s">
        <v>104</v>
      </c>
      <c r="C1608" s="4" t="s">
        <v>714</v>
      </c>
      <c r="E1608" s="4" t="s">
        <v>104</v>
      </c>
      <c r="F1608" s="4" t="s">
        <v>104</v>
      </c>
      <c r="H1608" s="4" t="s">
        <v>326</v>
      </c>
      <c r="I1608" s="4" t="s">
        <v>1025</v>
      </c>
      <c r="Q1608" s="11" t="s">
        <v>1736</v>
      </c>
    </row>
    <row r="1609" spans="1:43" x14ac:dyDescent="0.25">
      <c r="A1609" s="161" t="str">
        <f t="shared" si="28"/>
        <v>SWORDSMAN_SONGHAI</v>
      </c>
      <c r="B1609" s="9" t="s">
        <v>104</v>
      </c>
      <c r="C1609" s="4" t="s">
        <v>737</v>
      </c>
      <c r="E1609" s="4" t="s">
        <v>104</v>
      </c>
      <c r="F1609" s="4" t="s">
        <v>104</v>
      </c>
      <c r="H1609" s="4" t="s">
        <v>1304</v>
      </c>
      <c r="I1609" s="4" t="s">
        <v>1305</v>
      </c>
      <c r="Q1609" s="11" t="s">
        <v>1736</v>
      </c>
      <c r="R1609" s="11">
        <v>0.13800000000000001</v>
      </c>
    </row>
    <row r="1610" spans="1:43" x14ac:dyDescent="0.25">
      <c r="A1610" s="161" t="str">
        <f>CONCATENATE(E1610,IF(ISBLANK(C1610),"",CONCATENATE("_",C1610)))</f>
        <v>SWORDSMAN_ASIA</v>
      </c>
      <c r="B1610" s="9" t="s">
        <v>104</v>
      </c>
      <c r="C1610" s="4" t="s">
        <v>693</v>
      </c>
      <c r="E1610" s="4" t="s">
        <v>104</v>
      </c>
      <c r="F1610" s="4" t="s">
        <v>104</v>
      </c>
      <c r="H1610" s="4" t="s">
        <v>2688</v>
      </c>
      <c r="I1610" s="4" t="s">
        <v>835</v>
      </c>
      <c r="Q1610" s="9" t="s">
        <v>1736</v>
      </c>
      <c r="T1610" s="9"/>
      <c r="W1610" s="9"/>
    </row>
    <row r="1611" spans="1:43" x14ac:dyDescent="0.25">
      <c r="A1611" s="161" t="str">
        <f t="shared" si="28"/>
        <v>SWORDSMAN_CHINA</v>
      </c>
      <c r="B1611" s="9" t="s">
        <v>104</v>
      </c>
      <c r="C1611" s="4" t="s">
        <v>710</v>
      </c>
      <c r="E1611" s="4" t="s">
        <v>104</v>
      </c>
      <c r="F1611" s="4" t="s">
        <v>104</v>
      </c>
      <c r="H1611" s="4" t="s">
        <v>456</v>
      </c>
      <c r="I1611" s="4" t="s">
        <v>102</v>
      </c>
      <c r="Q1611" s="9">
        <v>1</v>
      </c>
      <c r="T1611" s="9">
        <v>2</v>
      </c>
      <c r="W1611" s="9"/>
      <c r="Z1611" s="11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SWORDSMAN_CHINA</v>
      </c>
      <c r="B1612" s="9" t="s">
        <v>104</v>
      </c>
      <c r="C1612" s="4" t="s">
        <v>710</v>
      </c>
      <c r="E1612" s="4" t="s">
        <v>104</v>
      </c>
      <c r="F1612" s="4" t="s">
        <v>104</v>
      </c>
      <c r="G1612" s="14" t="s">
        <v>2045</v>
      </c>
      <c r="H1612" s="4" t="s">
        <v>259</v>
      </c>
      <c r="I1612" s="4" t="s">
        <v>102</v>
      </c>
      <c r="Q1612" s="9">
        <v>2</v>
      </c>
      <c r="T1612" s="9">
        <v>3</v>
      </c>
      <c r="W1612" s="9"/>
      <c r="Z1612" s="11">
        <v>0</v>
      </c>
      <c r="AF1612" s="11">
        <v>1</v>
      </c>
      <c r="AI1612" s="11">
        <v>1</v>
      </c>
    </row>
    <row r="1613" spans="1:43" x14ac:dyDescent="0.25">
      <c r="A1613" s="161" t="str">
        <f>CONCATENATE(E1613,IF(ISBLANK(C1613),"",CONCATENATE("_",C1613)))</f>
        <v>SWORDSMAN_CHINA</v>
      </c>
      <c r="B1613" s="9" t="s">
        <v>104</v>
      </c>
      <c r="C1613" s="4" t="s">
        <v>710</v>
      </c>
      <c r="E1613" s="4" t="s">
        <v>104</v>
      </c>
      <c r="F1613" s="4" t="s">
        <v>104</v>
      </c>
      <c r="H1613" s="4" t="s">
        <v>456</v>
      </c>
      <c r="I1613" s="4" t="s">
        <v>102</v>
      </c>
      <c r="Q1613" s="9">
        <v>3</v>
      </c>
      <c r="T1613" s="9">
        <v>3</v>
      </c>
      <c r="W1613" s="9"/>
      <c r="Z1613" s="11">
        <v>0</v>
      </c>
      <c r="AF1613" s="11">
        <v>1</v>
      </c>
      <c r="AI1613" s="11">
        <v>2</v>
      </c>
    </row>
    <row r="1614" spans="1:43" x14ac:dyDescent="0.25">
      <c r="A1614" s="161" t="str">
        <f>CONCATENATE(E1614,IF(ISBLANK(C1614),"",CONCATENATE("_",C1614)))</f>
        <v>SWORDSMAN_CHINA</v>
      </c>
      <c r="B1614" s="9" t="s">
        <v>104</v>
      </c>
      <c r="C1614" s="4" t="s">
        <v>710</v>
      </c>
      <c r="E1614" s="4" t="s">
        <v>104</v>
      </c>
      <c r="F1614" s="4" t="s">
        <v>104</v>
      </c>
      <c r="G1614" s="14" t="s">
        <v>2045</v>
      </c>
      <c r="H1614" s="4" t="s">
        <v>259</v>
      </c>
      <c r="I1614" s="4" t="s">
        <v>102</v>
      </c>
      <c r="Q1614" s="9">
        <v>3</v>
      </c>
      <c r="T1614" s="9">
        <v>3</v>
      </c>
      <c r="W1614" s="9"/>
      <c r="Z1614" s="11">
        <v>0</v>
      </c>
      <c r="AF1614" s="11">
        <v>0</v>
      </c>
      <c r="AI1614" s="11">
        <v>1</v>
      </c>
    </row>
    <row r="1615" spans="1:43" x14ac:dyDescent="0.25">
      <c r="A1615" s="161" t="str">
        <f>CONCATENATE(E1615,IF(ISBLANK(C1615),"",CONCATENATE("_",C1615)))</f>
        <v>SWORDSMAN_CHINA</v>
      </c>
      <c r="B1615" s="9" t="s">
        <v>104</v>
      </c>
      <c r="C1615" s="4" t="s">
        <v>710</v>
      </c>
      <c r="E1615" s="4" t="s">
        <v>104</v>
      </c>
      <c r="F1615" s="4" t="s">
        <v>104</v>
      </c>
      <c r="H1615" s="4" t="s">
        <v>456</v>
      </c>
      <c r="I1615" s="4" t="s">
        <v>102</v>
      </c>
      <c r="Q1615" s="9">
        <v>2</v>
      </c>
      <c r="T1615" s="9">
        <v>3</v>
      </c>
      <c r="W1615" s="9"/>
      <c r="Z1615" s="11">
        <v>0</v>
      </c>
      <c r="AF1615" s="11">
        <v>0</v>
      </c>
      <c r="AI1615" s="11">
        <v>1</v>
      </c>
    </row>
    <row r="1616" spans="1:43" x14ac:dyDescent="0.25">
      <c r="A1616" s="161" t="str">
        <f>CONCATENATE(E1616,IF(ISBLANK(C1616),"",CONCATENATE("_",C1616)))</f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G1616" s="14" t="s">
        <v>2045</v>
      </c>
      <c r="H1616" s="4" t="s">
        <v>259</v>
      </c>
      <c r="I1616" s="4" t="s">
        <v>102</v>
      </c>
      <c r="Q1616" s="9">
        <v>1</v>
      </c>
      <c r="T1616" s="9">
        <v>2</v>
      </c>
      <c r="W1616" s="9"/>
      <c r="Z1616" s="11">
        <v>0</v>
      </c>
      <c r="AF1616" s="11">
        <v>0</v>
      </c>
      <c r="AI1616" s="11">
        <v>1</v>
      </c>
    </row>
    <row r="1617" spans="1:43" x14ac:dyDescent="0.25">
      <c r="A1617" s="161" t="str">
        <f t="shared" si="28"/>
        <v>SWORDSMAN_JAPAN</v>
      </c>
      <c r="B1617" s="9" t="s">
        <v>104</v>
      </c>
      <c r="C1617" s="4" t="s">
        <v>722</v>
      </c>
      <c r="E1617" s="4" t="s">
        <v>104</v>
      </c>
      <c r="F1617" s="4" t="s">
        <v>104</v>
      </c>
      <c r="G1617" s="14" t="s">
        <v>132</v>
      </c>
      <c r="H1617" s="4" t="s">
        <v>491</v>
      </c>
      <c r="I1617" s="4" t="s">
        <v>102</v>
      </c>
      <c r="Q1617" s="9" t="s">
        <v>1736</v>
      </c>
      <c r="T1617" s="9"/>
      <c r="W1617" s="9"/>
    </row>
    <row r="1618" spans="1:43" x14ac:dyDescent="0.25">
      <c r="A1618" s="161" t="str">
        <f t="shared" si="28"/>
        <v>SWORDSMAN_KOREA</v>
      </c>
      <c r="B1618" s="9" t="s">
        <v>104</v>
      </c>
      <c r="C1618" s="4" t="s">
        <v>723</v>
      </c>
      <c r="E1618" s="4" t="s">
        <v>104</v>
      </c>
      <c r="F1618" s="4" t="s">
        <v>104</v>
      </c>
      <c r="G1618" s="14" t="s">
        <v>132</v>
      </c>
      <c r="H1618" s="4" t="s">
        <v>504</v>
      </c>
      <c r="I1618" s="4" t="s">
        <v>102</v>
      </c>
      <c r="Q1618" s="9" t="s">
        <v>1736</v>
      </c>
      <c r="T1618" s="9"/>
      <c r="W1618" s="9"/>
    </row>
    <row r="1619" spans="1:43" x14ac:dyDescent="0.25">
      <c r="A1619" s="161" t="str">
        <f t="shared" si="28"/>
        <v>SWORDSMAN_MONGOL</v>
      </c>
      <c r="B1619" s="9" t="s">
        <v>104</v>
      </c>
      <c r="C1619" s="4" t="s">
        <v>728</v>
      </c>
      <c r="E1619" s="4" t="s">
        <v>104</v>
      </c>
      <c r="F1619" s="4" t="s">
        <v>104</v>
      </c>
      <c r="G1619" s="14" t="s">
        <v>132</v>
      </c>
      <c r="H1619" s="4" t="s">
        <v>535</v>
      </c>
      <c r="I1619" s="4" t="s">
        <v>2096</v>
      </c>
      <c r="Q1619" s="9" t="s">
        <v>1736</v>
      </c>
      <c r="T1619" s="9"/>
      <c r="W1619" s="9"/>
    </row>
    <row r="1620" spans="1:43" x14ac:dyDescent="0.25">
      <c r="A1620" s="161" t="str">
        <f t="shared" si="28"/>
        <v>SWORDSMAN_CENTAS</v>
      </c>
      <c r="B1620" s="9" t="s">
        <v>104</v>
      </c>
      <c r="C1620" s="4" t="s">
        <v>918</v>
      </c>
      <c r="E1620" s="4" t="s">
        <v>104</v>
      </c>
      <c r="F1620" s="4" t="s">
        <v>104</v>
      </c>
      <c r="G1620" s="14" t="s">
        <v>132</v>
      </c>
      <c r="H1620" s="4" t="s">
        <v>1036</v>
      </c>
      <c r="I1620" s="4" t="s">
        <v>122</v>
      </c>
      <c r="Q1620" s="9" t="s">
        <v>1736</v>
      </c>
      <c r="T1620" s="9"/>
      <c r="W1620" s="9"/>
    </row>
    <row r="1621" spans="1:43" x14ac:dyDescent="0.25">
      <c r="A1621" s="161" t="str">
        <f>CONCATENATE(E1621,IF(ISBLANK(C1621),"",CONCATENATE("_",C1621)))</f>
        <v>SWORDSMAN_HUNS</v>
      </c>
      <c r="B1621" s="9" t="s">
        <v>104</v>
      </c>
      <c r="C1621" s="4" t="s">
        <v>904</v>
      </c>
      <c r="E1621" s="4" t="s">
        <v>104</v>
      </c>
      <c r="F1621" s="4" t="s">
        <v>104</v>
      </c>
      <c r="G1621" s="14" t="s">
        <v>132</v>
      </c>
      <c r="H1621" s="4" t="s">
        <v>1808</v>
      </c>
      <c r="I1621" s="4" t="s">
        <v>835</v>
      </c>
      <c r="Q1621" s="9" t="s">
        <v>1736</v>
      </c>
      <c r="T1621" s="9"/>
      <c r="W1621" s="9"/>
    </row>
    <row r="1622" spans="1:43" x14ac:dyDescent="0.25">
      <c r="A1622" s="161" t="str">
        <f t="shared" si="28"/>
        <v>SWORDSMAN_OTTOMAN</v>
      </c>
      <c r="B1622" s="9" t="s">
        <v>104</v>
      </c>
      <c r="C1622" s="4" t="s">
        <v>1037</v>
      </c>
      <c r="E1622" s="4" t="s">
        <v>104</v>
      </c>
      <c r="F1622" s="4" t="s">
        <v>104</v>
      </c>
      <c r="G1622" s="14" t="s">
        <v>132</v>
      </c>
      <c r="H1622" s="4" t="s">
        <v>1041</v>
      </c>
      <c r="I1622" s="4" t="s">
        <v>2096</v>
      </c>
      <c r="Q1622" s="9">
        <v>1</v>
      </c>
      <c r="T1622" s="9">
        <v>2</v>
      </c>
      <c r="W1622" s="9"/>
      <c r="Z1622" s="11">
        <v>1</v>
      </c>
      <c r="AF1622" s="11">
        <v>1</v>
      </c>
      <c r="AI1622" s="11">
        <v>1</v>
      </c>
    </row>
    <row r="1623" spans="1:43" x14ac:dyDescent="0.25">
      <c r="A1623" s="161" t="str">
        <f t="shared" si="28"/>
        <v>SWORDSMAN_OTTOMAN</v>
      </c>
      <c r="B1623" s="9" t="s">
        <v>104</v>
      </c>
      <c r="C1623" s="4" t="s">
        <v>1037</v>
      </c>
      <c r="E1623" s="4" t="s">
        <v>104</v>
      </c>
      <c r="F1623" s="4" t="s">
        <v>104</v>
      </c>
      <c r="G1623" s="14" t="s">
        <v>2045</v>
      </c>
      <c r="H1623" s="4" t="s">
        <v>1953</v>
      </c>
      <c r="I1623" s="4" t="s">
        <v>2096</v>
      </c>
      <c r="Q1623" s="9">
        <v>2</v>
      </c>
      <c r="T1623" s="9">
        <v>3</v>
      </c>
      <c r="W1623" s="9"/>
      <c r="Z1623" s="11">
        <v>0</v>
      </c>
      <c r="AF1623" s="11">
        <v>1</v>
      </c>
      <c r="AI1623" s="11">
        <v>1</v>
      </c>
    </row>
    <row r="1624" spans="1:43" x14ac:dyDescent="0.25">
      <c r="A1624" s="161" t="str">
        <f t="shared" ref="A1624:A1634" si="29">CONCATENATE(E1624,IF(ISBLANK(C1624),"",CONCATENATE("_",C1624)))</f>
        <v>SWORDSMAN_OTTOMAN</v>
      </c>
      <c r="B1624" s="9" t="s">
        <v>104</v>
      </c>
      <c r="C1624" s="4" t="s">
        <v>1037</v>
      </c>
      <c r="E1624" s="4" t="s">
        <v>104</v>
      </c>
      <c r="F1624" s="4" t="s">
        <v>104</v>
      </c>
      <c r="G1624" s="14" t="s">
        <v>132</v>
      </c>
      <c r="H1624" s="4" t="s">
        <v>1041</v>
      </c>
      <c r="I1624" s="4" t="s">
        <v>2096</v>
      </c>
      <c r="Q1624" s="9">
        <v>3</v>
      </c>
      <c r="T1624" s="9">
        <v>3</v>
      </c>
      <c r="W1624" s="9"/>
      <c r="Z1624" s="11">
        <v>0</v>
      </c>
      <c r="AF1624" s="11">
        <v>1</v>
      </c>
      <c r="AI1624" s="11">
        <v>2</v>
      </c>
    </row>
    <row r="1625" spans="1:43" x14ac:dyDescent="0.25">
      <c r="A1625" s="161" t="str">
        <f t="shared" si="29"/>
        <v>SWORDSMAN_OTTOMAN</v>
      </c>
      <c r="B1625" s="9" t="s">
        <v>104</v>
      </c>
      <c r="C1625" s="4" t="s">
        <v>1037</v>
      </c>
      <c r="E1625" s="4" t="s">
        <v>104</v>
      </c>
      <c r="F1625" s="4" t="s">
        <v>104</v>
      </c>
      <c r="G1625" s="14" t="s">
        <v>2045</v>
      </c>
      <c r="H1625" s="4" t="s">
        <v>1953</v>
      </c>
      <c r="I1625" s="4" t="s">
        <v>2096</v>
      </c>
      <c r="Q1625" s="9">
        <v>3</v>
      </c>
      <c r="T1625" s="9">
        <v>3</v>
      </c>
      <c r="W1625" s="9"/>
      <c r="Z1625" s="11">
        <v>0</v>
      </c>
      <c r="AF1625" s="11">
        <v>0</v>
      </c>
      <c r="AI1625" s="11">
        <v>1</v>
      </c>
    </row>
    <row r="1626" spans="1:43" x14ac:dyDescent="0.25">
      <c r="A1626" s="161" t="str">
        <f t="shared" si="29"/>
        <v>SWORDSMAN_OTTOMAN</v>
      </c>
      <c r="B1626" s="9" t="s">
        <v>104</v>
      </c>
      <c r="C1626" s="4" t="s">
        <v>1037</v>
      </c>
      <c r="E1626" s="4" t="s">
        <v>104</v>
      </c>
      <c r="F1626" s="4" t="s">
        <v>104</v>
      </c>
      <c r="G1626" s="14" t="s">
        <v>132</v>
      </c>
      <c r="H1626" s="4" t="s">
        <v>1041</v>
      </c>
      <c r="I1626" s="4" t="s">
        <v>2096</v>
      </c>
      <c r="Q1626" s="9">
        <v>2</v>
      </c>
      <c r="T1626" s="9">
        <v>3</v>
      </c>
      <c r="W1626" s="9"/>
      <c r="Z1626" s="11">
        <v>0</v>
      </c>
      <c r="AF1626" s="11">
        <v>0</v>
      </c>
      <c r="AI1626" s="11">
        <v>1</v>
      </c>
    </row>
    <row r="1627" spans="1:43" x14ac:dyDescent="0.25">
      <c r="A1627" s="161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2045</v>
      </c>
      <c r="H1627" s="4" t="s">
        <v>1953</v>
      </c>
      <c r="I1627" s="4" t="s">
        <v>2096</v>
      </c>
      <c r="Q1627" s="9">
        <v>1</v>
      </c>
      <c r="T1627" s="9">
        <v>2</v>
      </c>
      <c r="W1627" s="9"/>
      <c r="Z1627" s="11">
        <v>0</v>
      </c>
      <c r="AF1627" s="11">
        <v>0</v>
      </c>
      <c r="AI1627" s="11">
        <v>1</v>
      </c>
    </row>
    <row r="1628" spans="1:43" s="2" customFormat="1" x14ac:dyDescent="0.25">
      <c r="A1628" s="161" t="str">
        <f t="shared" si="29"/>
        <v>SWORDSMAN_EASTEU</v>
      </c>
      <c r="B1628" s="9" t="s">
        <v>104</v>
      </c>
      <c r="C1628" s="4" t="s">
        <v>698</v>
      </c>
      <c r="D1628" s="4"/>
      <c r="E1628" s="4" t="s">
        <v>104</v>
      </c>
      <c r="F1628" s="4" t="s">
        <v>104</v>
      </c>
      <c r="G1628" s="4"/>
      <c r="H1628" s="4" t="s">
        <v>915</v>
      </c>
      <c r="I1628" s="4" t="s">
        <v>1818</v>
      </c>
      <c r="J1628" s="11"/>
      <c r="K1628" s="11"/>
      <c r="L1628" s="4"/>
      <c r="M1628" s="12"/>
      <c r="N1628" s="4"/>
      <c r="O1628" s="4"/>
      <c r="P1628" s="4"/>
      <c r="Q1628" s="9">
        <v>3</v>
      </c>
      <c r="R1628" s="11"/>
      <c r="S1628" s="4"/>
      <c r="T1628" s="11">
        <v>2</v>
      </c>
      <c r="U1628" s="11"/>
      <c r="V1628" s="4"/>
      <c r="W1628" s="11"/>
      <c r="X1628" s="11"/>
      <c r="Y1628" s="4"/>
      <c r="Z1628" s="9">
        <v>1</v>
      </c>
      <c r="AA1628" s="11"/>
      <c r="AB1628" s="4"/>
      <c r="AC1628" s="11"/>
      <c r="AD1628" s="11"/>
      <c r="AE1628" s="4"/>
      <c r="AF1628" s="11">
        <v>1</v>
      </c>
      <c r="AG1628" s="11"/>
      <c r="AH1628" s="4"/>
      <c r="AI1628" s="11">
        <v>2</v>
      </c>
      <c r="AJ1628" s="11"/>
      <c r="AK1628" s="4"/>
      <c r="AL1628" s="4"/>
      <c r="AM1628" s="4"/>
      <c r="AN1628" s="4"/>
      <c r="AO1628" s="4"/>
      <c r="AP1628" s="4"/>
      <c r="AQ1628" s="4"/>
    </row>
    <row r="1629" spans="1:43" s="2" customFormat="1" x14ac:dyDescent="0.25">
      <c r="A1629" s="161" t="str">
        <f t="shared" si="29"/>
        <v>SWORDSMAN_EASTEU</v>
      </c>
      <c r="B1629" s="9" t="s">
        <v>104</v>
      </c>
      <c r="C1629" s="4" t="s">
        <v>698</v>
      </c>
      <c r="D1629" s="4"/>
      <c r="E1629" s="4" t="s">
        <v>104</v>
      </c>
      <c r="F1629" s="4" t="s">
        <v>104</v>
      </c>
      <c r="G1629" s="4" t="s">
        <v>2045</v>
      </c>
      <c r="H1629" s="4" t="s">
        <v>916</v>
      </c>
      <c r="I1629" s="4" t="s">
        <v>1818</v>
      </c>
      <c r="J1629" s="11"/>
      <c r="K1629" s="11"/>
      <c r="L1629" s="4"/>
      <c r="M1629" s="12"/>
      <c r="N1629" s="4"/>
      <c r="O1629" s="4"/>
      <c r="P1629" s="4"/>
      <c r="Q1629" s="9">
        <v>3</v>
      </c>
      <c r="R1629" s="11"/>
      <c r="S1629" s="4"/>
      <c r="T1629" s="11">
        <v>3</v>
      </c>
      <c r="U1629" s="11"/>
      <c r="V1629" s="4"/>
      <c r="W1629" s="11"/>
      <c r="X1629" s="11"/>
      <c r="Y1629" s="4"/>
      <c r="Z1629" s="9">
        <v>0</v>
      </c>
      <c r="AA1629" s="11"/>
      <c r="AB1629" s="4"/>
      <c r="AC1629" s="11"/>
      <c r="AD1629" s="11"/>
      <c r="AE1629" s="4"/>
      <c r="AF1629" s="11">
        <v>1</v>
      </c>
      <c r="AG1629" s="11"/>
      <c r="AH1629" s="4"/>
      <c r="AI1629" s="11">
        <v>1</v>
      </c>
      <c r="AJ1629" s="11"/>
      <c r="AK1629" s="4"/>
      <c r="AL1629" s="4"/>
      <c r="AM1629" s="4"/>
      <c r="AN1629" s="4"/>
      <c r="AO1629" s="4"/>
      <c r="AP1629" s="4"/>
      <c r="AQ1629" s="4"/>
    </row>
    <row r="1630" spans="1:43" s="2" customFormat="1" x14ac:dyDescent="0.25">
      <c r="A1630" s="161" t="str">
        <f t="shared" si="29"/>
        <v>SWORDSMAN_EASTEU</v>
      </c>
      <c r="B1630" s="9" t="s">
        <v>104</v>
      </c>
      <c r="C1630" s="4" t="s">
        <v>698</v>
      </c>
      <c r="D1630" s="4"/>
      <c r="E1630" s="4" t="s">
        <v>104</v>
      </c>
      <c r="F1630" s="4" t="s">
        <v>104</v>
      </c>
      <c r="G1630" s="4"/>
      <c r="H1630" s="4" t="s">
        <v>915</v>
      </c>
      <c r="I1630" s="4" t="s">
        <v>1818</v>
      </c>
      <c r="J1630" s="11"/>
      <c r="K1630" s="11"/>
      <c r="L1630" s="4"/>
      <c r="M1630" s="12"/>
      <c r="N1630" s="4"/>
      <c r="O1630" s="4"/>
      <c r="P1630" s="4"/>
      <c r="Q1630" s="9">
        <v>3</v>
      </c>
      <c r="R1630" s="11"/>
      <c r="S1630" s="4"/>
      <c r="T1630" s="11">
        <v>3</v>
      </c>
      <c r="U1630" s="11"/>
      <c r="V1630" s="4"/>
      <c r="W1630" s="11"/>
      <c r="X1630" s="11"/>
      <c r="Y1630" s="4"/>
      <c r="Z1630" s="9">
        <v>0</v>
      </c>
      <c r="AA1630" s="11"/>
      <c r="AB1630" s="4"/>
      <c r="AC1630" s="11"/>
      <c r="AD1630" s="11"/>
      <c r="AE1630" s="4"/>
      <c r="AF1630" s="11">
        <v>1</v>
      </c>
      <c r="AG1630" s="11"/>
      <c r="AH1630" s="4"/>
      <c r="AI1630" s="11">
        <v>2</v>
      </c>
      <c r="AJ1630" s="11"/>
      <c r="AK1630" s="4"/>
      <c r="AL1630" s="4"/>
      <c r="AM1630" s="4"/>
      <c r="AN1630" s="4"/>
      <c r="AO1630" s="4"/>
      <c r="AP1630" s="4"/>
      <c r="AQ1630" s="4"/>
    </row>
    <row r="1631" spans="1:43" s="2" customFormat="1" x14ac:dyDescent="0.25">
      <c r="A1631" s="161" t="str">
        <f t="shared" si="29"/>
        <v>SWORDSMAN_EASTEU</v>
      </c>
      <c r="B1631" s="9" t="s">
        <v>104</v>
      </c>
      <c r="C1631" s="4" t="s">
        <v>698</v>
      </c>
      <c r="D1631" s="4"/>
      <c r="E1631" s="4" t="s">
        <v>104</v>
      </c>
      <c r="F1631" s="4" t="s">
        <v>104</v>
      </c>
      <c r="G1631" s="4" t="s">
        <v>2045</v>
      </c>
      <c r="H1631" s="4" t="s">
        <v>916</v>
      </c>
      <c r="I1631" s="4" t="s">
        <v>1818</v>
      </c>
      <c r="J1631" s="11"/>
      <c r="K1631" s="11"/>
      <c r="L1631" s="4"/>
      <c r="M1631" s="12"/>
      <c r="N1631" s="4"/>
      <c r="O1631" s="4"/>
      <c r="P1631" s="4"/>
      <c r="Q1631" s="9">
        <v>3</v>
      </c>
      <c r="R1631" s="11"/>
      <c r="S1631" s="4"/>
      <c r="T1631" s="11">
        <v>3</v>
      </c>
      <c r="U1631" s="11"/>
      <c r="V1631" s="4"/>
      <c r="W1631" s="11"/>
      <c r="X1631" s="11"/>
      <c r="Y1631" s="4"/>
      <c r="Z1631" s="9">
        <v>0</v>
      </c>
      <c r="AA1631" s="11"/>
      <c r="AB1631" s="4"/>
      <c r="AC1631" s="11"/>
      <c r="AD1631" s="11"/>
      <c r="AE1631" s="4"/>
      <c r="AF1631" s="11">
        <v>0</v>
      </c>
      <c r="AG1631" s="11"/>
      <c r="AH1631" s="4"/>
      <c r="AI1631" s="11">
        <v>2</v>
      </c>
      <c r="AJ1631" s="11"/>
      <c r="AK1631" s="4"/>
      <c r="AL1631" s="4"/>
      <c r="AM1631" s="4"/>
      <c r="AN1631" s="4"/>
      <c r="AO1631" s="4"/>
      <c r="AP1631" s="4"/>
      <c r="AQ1631" s="4"/>
    </row>
    <row r="1632" spans="1:43" s="2" customFormat="1" x14ac:dyDescent="0.25">
      <c r="A1632" s="161" t="str">
        <f t="shared" si="29"/>
        <v>SWORDSMAN_EASTEU</v>
      </c>
      <c r="B1632" s="9" t="s">
        <v>104</v>
      </c>
      <c r="C1632" s="4" t="s">
        <v>698</v>
      </c>
      <c r="D1632" s="4"/>
      <c r="E1632" s="4" t="s">
        <v>104</v>
      </c>
      <c r="F1632" s="4" t="s">
        <v>104</v>
      </c>
      <c r="G1632" s="4"/>
      <c r="H1632" s="4" t="s">
        <v>915</v>
      </c>
      <c r="I1632" s="4" t="s">
        <v>1818</v>
      </c>
      <c r="J1632" s="11"/>
      <c r="K1632" s="11"/>
      <c r="L1632" s="4"/>
      <c r="M1632" s="12"/>
      <c r="N1632" s="4"/>
      <c r="O1632" s="4"/>
      <c r="P1632" s="4"/>
      <c r="Q1632" s="9">
        <v>3</v>
      </c>
      <c r="R1632" s="11"/>
      <c r="S1632" s="4"/>
      <c r="T1632" s="11">
        <v>3</v>
      </c>
      <c r="U1632" s="11"/>
      <c r="V1632" s="4"/>
      <c r="W1632" s="11"/>
      <c r="X1632" s="11"/>
      <c r="Y1632" s="4"/>
      <c r="Z1632" s="9">
        <v>0</v>
      </c>
      <c r="AA1632" s="11"/>
      <c r="AB1632" s="4"/>
      <c r="AC1632" s="11"/>
      <c r="AD1632" s="11"/>
      <c r="AE1632" s="4"/>
      <c r="AF1632" s="11">
        <v>1</v>
      </c>
      <c r="AG1632" s="11"/>
      <c r="AH1632" s="4"/>
      <c r="AI1632" s="11">
        <v>2</v>
      </c>
      <c r="AJ1632" s="11"/>
      <c r="AK1632" s="4"/>
      <c r="AL1632" s="4"/>
      <c r="AM1632" s="4"/>
      <c r="AN1632" s="4"/>
      <c r="AO1632" s="4"/>
      <c r="AP1632" s="4"/>
      <c r="AQ1632" s="4"/>
    </row>
    <row r="1633" spans="1:43" s="2" customFormat="1" x14ac:dyDescent="0.25">
      <c r="A1633" s="161" t="str">
        <f t="shared" si="29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 t="s">
        <v>2045</v>
      </c>
      <c r="H1633" s="4" t="s">
        <v>916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2</v>
      </c>
      <c r="U1633" s="11"/>
      <c r="V1633" s="4"/>
      <c r="W1633" s="11"/>
      <c r="X1633" s="11"/>
      <c r="Y1633" s="4"/>
      <c r="Z1633" s="9">
        <v>0</v>
      </c>
      <c r="AA1633" s="11"/>
      <c r="AB1633" s="4"/>
      <c r="AC1633" s="11"/>
      <c r="AD1633" s="11"/>
      <c r="AE1633" s="4"/>
      <c r="AF1633" s="11">
        <v>0</v>
      </c>
      <c r="AG1633" s="11"/>
      <c r="AH1633" s="4"/>
      <c r="AI1633" s="11">
        <v>2</v>
      </c>
      <c r="AJ1633" s="11"/>
      <c r="AK1633" s="4"/>
      <c r="AL1633" s="4"/>
      <c r="AM1633" s="4"/>
      <c r="AN1633" s="4"/>
      <c r="AO1633" s="4"/>
      <c r="AP1633" s="4"/>
      <c r="AQ1633" s="4"/>
    </row>
    <row r="1634" spans="1:43" s="2" customFormat="1" x14ac:dyDescent="0.25">
      <c r="A1634" s="161" t="str">
        <f t="shared" si="29"/>
        <v>SWORDSMAN_POLAND</v>
      </c>
      <c r="B1634" s="9" t="s">
        <v>104</v>
      </c>
      <c r="C1634" s="4" t="s">
        <v>732</v>
      </c>
      <c r="D1634" s="4"/>
      <c r="E1634" s="4" t="s">
        <v>104</v>
      </c>
      <c r="F1634" s="4" t="s">
        <v>104</v>
      </c>
      <c r="G1634" s="4"/>
      <c r="H1634" s="4" t="s">
        <v>2098</v>
      </c>
      <c r="I1634" s="4" t="s">
        <v>1933</v>
      </c>
      <c r="J1634" s="11"/>
      <c r="K1634" s="11"/>
      <c r="L1634" s="4"/>
      <c r="M1634" s="12"/>
      <c r="N1634" s="4"/>
      <c r="O1634" s="4"/>
      <c r="P1634" s="4"/>
      <c r="Q1634" s="9" t="s">
        <v>1736</v>
      </c>
      <c r="R1634" s="11"/>
      <c r="S1634" s="4"/>
      <c r="T1634" s="11"/>
      <c r="U1634" s="11"/>
      <c r="V1634" s="4"/>
      <c r="W1634" s="11"/>
      <c r="X1634" s="11"/>
      <c r="Y1634" s="4"/>
      <c r="Z1634" s="9"/>
      <c r="AA1634" s="11"/>
      <c r="AB1634" s="4"/>
      <c r="AC1634" s="11"/>
      <c r="AD1634" s="11"/>
      <c r="AE1634" s="4"/>
      <c r="AF1634" s="11"/>
      <c r="AG1634" s="11"/>
      <c r="AH1634" s="4"/>
      <c r="AI1634" s="11"/>
      <c r="AJ1634" s="11"/>
      <c r="AK1634" s="4"/>
      <c r="AL1634" s="4"/>
      <c r="AM1634" s="4"/>
      <c r="AN1634" s="4"/>
      <c r="AO1634" s="4"/>
      <c r="AP1634" s="4"/>
      <c r="AQ1634" s="4"/>
    </row>
    <row r="1635" spans="1:43" x14ac:dyDescent="0.25">
      <c r="A1635" s="161" t="str">
        <f t="shared" si="28"/>
        <v>SWORDSMAN_RUSSIA</v>
      </c>
      <c r="B1635" s="9" t="s">
        <v>104</v>
      </c>
      <c r="C1635" s="4" t="s">
        <v>735</v>
      </c>
      <c r="E1635" s="4" t="s">
        <v>104</v>
      </c>
      <c r="F1635" s="4" t="s">
        <v>104</v>
      </c>
      <c r="H1635" s="4" t="s">
        <v>1009</v>
      </c>
      <c r="I1635" s="4" t="s">
        <v>2096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43" x14ac:dyDescent="0.25">
      <c r="A1636" s="161" t="str">
        <f t="shared" si="28"/>
        <v>SWORDSMAN_RUSSIA</v>
      </c>
      <c r="B1636" s="9" t="s">
        <v>104</v>
      </c>
      <c r="C1636" s="4" t="s">
        <v>735</v>
      </c>
      <c r="E1636" s="4" t="s">
        <v>104</v>
      </c>
      <c r="F1636" s="4" t="s">
        <v>104</v>
      </c>
      <c r="G1636" s="4" t="s">
        <v>2045</v>
      </c>
      <c r="H1636" s="4" t="s">
        <v>1010</v>
      </c>
      <c r="I1636" s="4" t="s">
        <v>2096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43" x14ac:dyDescent="0.25">
      <c r="A1637" s="161" t="str">
        <f t="shared" si="28"/>
        <v>SWORDSMAN_RUSSIA</v>
      </c>
      <c r="B1637" s="9" t="s">
        <v>104</v>
      </c>
      <c r="C1637" s="4" t="s">
        <v>735</v>
      </c>
      <c r="E1637" s="4" t="s">
        <v>104</v>
      </c>
      <c r="F1637" s="4" t="s">
        <v>104</v>
      </c>
      <c r="G1637" s="4" t="s">
        <v>2047</v>
      </c>
      <c r="H1637" s="4" t="s">
        <v>627</v>
      </c>
      <c r="I1637" s="4" t="s">
        <v>2096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43" x14ac:dyDescent="0.25">
      <c r="A1638" s="161" t="str">
        <f t="shared" si="28"/>
        <v>SWORDSMAN_RUSSIA</v>
      </c>
      <c r="B1638" s="9" t="s">
        <v>104</v>
      </c>
      <c r="C1638" s="4" t="s">
        <v>735</v>
      </c>
      <c r="E1638" s="4" t="s">
        <v>104</v>
      </c>
      <c r="F1638" s="4" t="s">
        <v>104</v>
      </c>
      <c r="H1638" s="4" t="s">
        <v>1009</v>
      </c>
      <c r="I1638" s="4" t="s">
        <v>2096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43" x14ac:dyDescent="0.25">
      <c r="A1639" s="161" t="str">
        <f t="shared" si="28"/>
        <v>SWORDSMAN_RUSSIA</v>
      </c>
      <c r="B1639" s="9" t="s">
        <v>104</v>
      </c>
      <c r="C1639" s="4" t="s">
        <v>735</v>
      </c>
      <c r="E1639" s="4" t="s">
        <v>104</v>
      </c>
      <c r="F1639" s="4" t="s">
        <v>104</v>
      </c>
      <c r="G1639" s="4" t="s">
        <v>2045</v>
      </c>
      <c r="H1639" s="4" t="s">
        <v>1010</v>
      </c>
      <c r="I1639" s="4" t="s">
        <v>2096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43" x14ac:dyDescent="0.25">
      <c r="A1640" s="161" t="str">
        <f t="shared" si="28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G1640" s="4" t="s">
        <v>2047</v>
      </c>
      <c r="H1640" s="4" t="s">
        <v>627</v>
      </c>
      <c r="I1640" s="4" t="s">
        <v>2096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43" x14ac:dyDescent="0.25">
      <c r="A1641" s="161" t="str">
        <f t="shared" si="28"/>
        <v>SWORDSMAN_AMERICA</v>
      </c>
      <c r="B1641" s="9" t="s">
        <v>104</v>
      </c>
      <c r="C1641" s="4" t="s">
        <v>699</v>
      </c>
      <c r="E1641" s="4" t="s">
        <v>104</v>
      </c>
      <c r="F1641" s="4" t="s">
        <v>104</v>
      </c>
      <c r="G1641" s="14"/>
      <c r="H1641" s="4" t="s">
        <v>152</v>
      </c>
      <c r="I1641" s="4" t="s">
        <v>1939</v>
      </c>
      <c r="Q1641" s="9" t="s">
        <v>1736</v>
      </c>
      <c r="T1641" s="9"/>
      <c r="W1641" s="9"/>
      <c r="AF1641" s="9"/>
      <c r="AI1641" s="9"/>
    </row>
    <row r="1642" spans="1:43" x14ac:dyDescent="0.25">
      <c r="A1642" s="161" t="str">
        <f t="shared" si="28"/>
        <v>SWORDSMAN_ENGLAND</v>
      </c>
      <c r="B1642" s="9" t="s">
        <v>104</v>
      </c>
      <c r="C1642" s="4" t="s">
        <v>713</v>
      </c>
      <c r="E1642" s="4" t="s">
        <v>104</v>
      </c>
      <c r="F1642" s="4" t="s">
        <v>104</v>
      </c>
      <c r="G1642" s="14" t="s">
        <v>132</v>
      </c>
      <c r="H1642" s="4" t="s">
        <v>313</v>
      </c>
      <c r="I1642" s="4" t="s">
        <v>102</v>
      </c>
      <c r="Q1642" s="9" t="s">
        <v>1736</v>
      </c>
      <c r="T1642" s="9"/>
      <c r="W1642" s="9"/>
      <c r="AF1642" s="9"/>
      <c r="AI1642" s="9"/>
    </row>
    <row r="1643" spans="1:43" x14ac:dyDescent="0.25">
      <c r="A1643" s="161" t="str">
        <f t="shared" si="28"/>
        <v>SWORDSMAN_FRANCE</v>
      </c>
      <c r="B1643" s="9" t="s">
        <v>104</v>
      </c>
      <c r="C1643" s="4" t="s">
        <v>715</v>
      </c>
      <c r="E1643" s="4" t="s">
        <v>104</v>
      </c>
      <c r="F1643" s="4" t="s">
        <v>104</v>
      </c>
      <c r="G1643" s="14" t="s">
        <v>132</v>
      </c>
      <c r="H1643" s="4" t="s">
        <v>358</v>
      </c>
      <c r="I1643" s="4" t="s">
        <v>102</v>
      </c>
      <c r="Q1643" s="9" t="s">
        <v>1736</v>
      </c>
      <c r="R1643" s="11">
        <v>0.14199999999999999</v>
      </c>
      <c r="T1643" s="9"/>
      <c r="W1643" s="9"/>
      <c r="AF1643" s="9"/>
      <c r="AI1643" s="9"/>
    </row>
    <row r="1644" spans="1:43" x14ac:dyDescent="0.25">
      <c r="A1644" s="161" t="str">
        <f t="shared" si="28"/>
        <v>SWORDSMAN_GERMANY</v>
      </c>
      <c r="B1644" s="9" t="s">
        <v>104</v>
      </c>
      <c r="C1644" s="4" t="s">
        <v>717</v>
      </c>
      <c r="E1644" s="4" t="s">
        <v>104</v>
      </c>
      <c r="F1644" s="4" t="s">
        <v>104</v>
      </c>
      <c r="G1644" s="14" t="s">
        <v>132</v>
      </c>
      <c r="H1644" s="4" t="s">
        <v>391</v>
      </c>
      <c r="I1644" s="4" t="s">
        <v>102</v>
      </c>
      <c r="Q1644" s="9" t="s">
        <v>1736</v>
      </c>
      <c r="T1644" s="9"/>
      <c r="W1644" s="9"/>
      <c r="AF1644" s="9"/>
      <c r="AI1644" s="9"/>
    </row>
    <row r="1645" spans="1:43" x14ac:dyDescent="0.25">
      <c r="A1645" s="161" t="str">
        <f t="shared" si="28"/>
        <v>SWORDSMAN_MED</v>
      </c>
      <c r="B1645" s="9" t="s">
        <v>104</v>
      </c>
      <c r="C1645" s="4" t="s">
        <v>692</v>
      </c>
      <c r="E1645" s="4" t="s">
        <v>104</v>
      </c>
      <c r="F1645" s="4" t="s">
        <v>104</v>
      </c>
      <c r="H1645" s="4" t="s">
        <v>854</v>
      </c>
      <c r="I1645" s="4" t="s">
        <v>835</v>
      </c>
      <c r="Q1645" s="9" t="s">
        <v>1736</v>
      </c>
      <c r="R1645" s="11">
        <v>0.14399999999999999</v>
      </c>
      <c r="T1645" s="9"/>
      <c r="W1645" s="9"/>
      <c r="AF1645" s="9"/>
      <c r="AI1645" s="9"/>
    </row>
    <row r="1646" spans="1:43" x14ac:dyDescent="0.25">
      <c r="A1646" s="161" t="str">
        <f t="shared" si="28"/>
        <v>SWORDSMAN_CARTHAGE</v>
      </c>
      <c r="B1646" s="9" t="s">
        <v>104</v>
      </c>
      <c r="C1646" s="4" t="s">
        <v>708</v>
      </c>
      <c r="E1646" s="4" t="s">
        <v>104</v>
      </c>
      <c r="F1646" s="4" t="s">
        <v>104</v>
      </c>
      <c r="H1646" s="4" t="s">
        <v>2675</v>
      </c>
      <c r="I1646" s="4" t="s">
        <v>2673</v>
      </c>
      <c r="Q1646" s="9" t="s">
        <v>1736</v>
      </c>
      <c r="T1646" s="9"/>
      <c r="W1646" s="9"/>
      <c r="AF1646" s="9"/>
      <c r="AI1646" s="9"/>
    </row>
    <row r="1647" spans="1:43" x14ac:dyDescent="0.25">
      <c r="A1647" s="161" t="str">
        <f t="shared" ref="A1647:A1730" si="30">CONCATENATE(E1647,IF(ISBLANK(C1647),"",CONCATENATE("_",C1647)))</f>
        <v>SWORDSMAN_GREECE</v>
      </c>
      <c r="B1647" s="9" t="s">
        <v>104</v>
      </c>
      <c r="C1647" s="4" t="s">
        <v>718</v>
      </c>
      <c r="E1647" s="4" t="s">
        <v>104</v>
      </c>
      <c r="F1647" s="4" t="s">
        <v>104</v>
      </c>
      <c r="G1647" s="14" t="s">
        <v>132</v>
      </c>
      <c r="H1647" s="4" t="s">
        <v>414</v>
      </c>
      <c r="I1647" s="4" t="s">
        <v>122</v>
      </c>
      <c r="Q1647" s="9" t="s">
        <v>1736</v>
      </c>
      <c r="T1647" s="9"/>
      <c r="W1647" s="9"/>
      <c r="Z1647" s="9"/>
      <c r="AF1647" s="9"/>
      <c r="AI1647" s="9"/>
    </row>
    <row r="1648" spans="1:43" x14ac:dyDescent="0.25">
      <c r="A1648" s="161" t="str">
        <f t="shared" si="30"/>
        <v>SWORDSMAN_ROME</v>
      </c>
      <c r="B1648" s="9" t="s">
        <v>104</v>
      </c>
      <c r="C1648" s="4" t="s">
        <v>734</v>
      </c>
      <c r="E1648" s="4" t="s">
        <v>104</v>
      </c>
      <c r="F1648" s="4" t="s">
        <v>104</v>
      </c>
      <c r="G1648" s="14" t="s">
        <v>132</v>
      </c>
      <c r="H1648" s="4" t="s">
        <v>600</v>
      </c>
      <c r="I1648" s="4" t="s">
        <v>128</v>
      </c>
      <c r="Q1648" s="9" t="s">
        <v>1736</v>
      </c>
      <c r="T1648" s="9"/>
      <c r="W1648" s="9"/>
      <c r="Z1648" s="9"/>
      <c r="AF1648" s="9"/>
      <c r="AI1648" s="9"/>
    </row>
    <row r="1649" spans="1:35" x14ac:dyDescent="0.25">
      <c r="A1649" s="161" t="str">
        <f t="shared" si="30"/>
        <v>SWORDSMAN_SPAIN</v>
      </c>
      <c r="B1649" s="9" t="s">
        <v>104</v>
      </c>
      <c r="C1649" s="4" t="s">
        <v>738</v>
      </c>
      <c r="E1649" s="4" t="s">
        <v>104</v>
      </c>
      <c r="F1649" s="4" t="s">
        <v>104</v>
      </c>
      <c r="H1649" s="4" t="s">
        <v>1020</v>
      </c>
      <c r="I1649" s="4" t="s">
        <v>2096</v>
      </c>
      <c r="Q1649" s="9">
        <v>3</v>
      </c>
      <c r="T1649" s="11">
        <v>3</v>
      </c>
      <c r="Z1649" s="9">
        <v>1</v>
      </c>
      <c r="AF1649" s="11">
        <v>1</v>
      </c>
      <c r="AI1649" s="11">
        <v>2</v>
      </c>
    </row>
    <row r="1650" spans="1:35" x14ac:dyDescent="0.25">
      <c r="A1650" s="161" t="str">
        <f t="shared" si="30"/>
        <v>SWORDSMAN_SPAIN</v>
      </c>
      <c r="B1650" s="9" t="s">
        <v>104</v>
      </c>
      <c r="C1650" s="4" t="s">
        <v>738</v>
      </c>
      <c r="E1650" s="4" t="s">
        <v>104</v>
      </c>
      <c r="F1650" s="4" t="s">
        <v>104</v>
      </c>
      <c r="G1650" s="4" t="s">
        <v>2045</v>
      </c>
      <c r="H1650" s="4" t="s">
        <v>663</v>
      </c>
      <c r="I1650" s="4" t="s">
        <v>2096</v>
      </c>
      <c r="Q1650" s="9">
        <v>3</v>
      </c>
      <c r="T1650" s="11">
        <v>5</v>
      </c>
      <c r="Z1650" s="9">
        <v>0</v>
      </c>
      <c r="AF1650" s="11">
        <v>1</v>
      </c>
      <c r="AI1650" s="11">
        <v>1</v>
      </c>
    </row>
    <row r="1651" spans="1:35" x14ac:dyDescent="0.25">
      <c r="A1651" s="161" t="str">
        <f t="shared" si="30"/>
        <v>SWORDSMAN_SPAIN</v>
      </c>
      <c r="B1651" s="9" t="s">
        <v>104</v>
      </c>
      <c r="C1651" s="4" t="s">
        <v>738</v>
      </c>
      <c r="E1651" s="4" t="s">
        <v>104</v>
      </c>
      <c r="F1651" s="4" t="s">
        <v>104</v>
      </c>
      <c r="H1651" s="4" t="s">
        <v>1020</v>
      </c>
      <c r="I1651" s="4" t="s">
        <v>2096</v>
      </c>
      <c r="Q1651" s="9">
        <v>3</v>
      </c>
      <c r="T1651" s="11">
        <v>5</v>
      </c>
      <c r="Z1651" s="9">
        <v>0</v>
      </c>
      <c r="AF1651" s="11">
        <v>1</v>
      </c>
      <c r="AI1651" s="11">
        <v>2</v>
      </c>
    </row>
    <row r="1652" spans="1:35" x14ac:dyDescent="0.25">
      <c r="A1652" s="161" t="str">
        <f t="shared" si="30"/>
        <v>SWORDSMAN_SPAIN</v>
      </c>
      <c r="B1652" s="9" t="s">
        <v>104</v>
      </c>
      <c r="C1652" s="4" t="s">
        <v>738</v>
      </c>
      <c r="E1652" s="4" t="s">
        <v>104</v>
      </c>
      <c r="F1652" s="4" t="s">
        <v>104</v>
      </c>
      <c r="G1652" s="4" t="s">
        <v>2045</v>
      </c>
      <c r="H1652" s="4" t="s">
        <v>663</v>
      </c>
      <c r="I1652" s="4" t="s">
        <v>2096</v>
      </c>
      <c r="Q1652" s="9">
        <v>3</v>
      </c>
      <c r="T1652" s="11">
        <v>3</v>
      </c>
      <c r="Z1652" s="9">
        <v>0</v>
      </c>
      <c r="AF1652" s="11">
        <v>0</v>
      </c>
      <c r="AI1652" s="11">
        <v>2</v>
      </c>
    </row>
    <row r="1653" spans="1:35" x14ac:dyDescent="0.25">
      <c r="A1653" s="161" t="str">
        <f t="shared" si="30"/>
        <v>SWORDSMAN_MIDEAST</v>
      </c>
      <c r="B1653" s="9" t="s">
        <v>104</v>
      </c>
      <c r="C1653" s="4" t="s">
        <v>690</v>
      </c>
      <c r="E1653" s="4" t="s">
        <v>104</v>
      </c>
      <c r="F1653" s="4" t="s">
        <v>104</v>
      </c>
      <c r="H1653" s="4" t="s">
        <v>175</v>
      </c>
      <c r="I1653" s="4" t="s">
        <v>122</v>
      </c>
      <c r="Q1653" s="9" t="s">
        <v>1736</v>
      </c>
      <c r="T1653" s="9"/>
      <c r="W1653" s="9"/>
      <c r="Z1653" s="9"/>
      <c r="AF1653" s="9"/>
      <c r="AI1653" s="9"/>
    </row>
    <row r="1654" spans="1:35" x14ac:dyDescent="0.25">
      <c r="A1654" s="161" t="str">
        <f t="shared" si="30"/>
        <v>SWORDSMAN_ARABIA</v>
      </c>
      <c r="B1654" s="9" t="s">
        <v>104</v>
      </c>
      <c r="C1654" s="4" t="s">
        <v>700</v>
      </c>
      <c r="D1654" s="14"/>
      <c r="E1654" s="4" t="s">
        <v>104</v>
      </c>
      <c r="F1654" s="4" t="s">
        <v>104</v>
      </c>
      <c r="H1654" s="4" t="s">
        <v>806</v>
      </c>
      <c r="I1654" s="4" t="s">
        <v>2096</v>
      </c>
      <c r="Q1654" s="9">
        <v>2</v>
      </c>
      <c r="T1654" s="11">
        <v>2</v>
      </c>
      <c r="Z1654" s="9">
        <v>1</v>
      </c>
      <c r="AF1654" s="11">
        <v>1</v>
      </c>
      <c r="AI1654" s="11">
        <v>1</v>
      </c>
    </row>
    <row r="1655" spans="1:35" x14ac:dyDescent="0.25">
      <c r="A1655" s="161" t="str">
        <f t="shared" si="30"/>
        <v>SWORDSMAN_ARABIA</v>
      </c>
      <c r="B1655" s="9" t="s">
        <v>104</v>
      </c>
      <c r="C1655" s="4" t="s">
        <v>700</v>
      </c>
      <c r="D1655" s="14"/>
      <c r="E1655" s="4" t="s">
        <v>104</v>
      </c>
      <c r="F1655" s="4" t="s">
        <v>104</v>
      </c>
      <c r="G1655" s="4" t="s">
        <v>2045</v>
      </c>
      <c r="H1655" s="4" t="s">
        <v>807</v>
      </c>
      <c r="I1655" s="4" t="s">
        <v>2096</v>
      </c>
      <c r="Q1655" s="9">
        <v>2</v>
      </c>
      <c r="T1655" s="11">
        <v>3</v>
      </c>
      <c r="Z1655" s="9">
        <v>0</v>
      </c>
      <c r="AF1655" s="11">
        <v>1</v>
      </c>
      <c r="AI1655" s="11">
        <v>1</v>
      </c>
    </row>
    <row r="1656" spans="1:35" x14ac:dyDescent="0.25">
      <c r="A1656" s="161" t="str">
        <f t="shared" si="30"/>
        <v>SWORDSMAN_ARABIA</v>
      </c>
      <c r="B1656" s="9" t="s">
        <v>104</v>
      </c>
      <c r="C1656" s="4" t="s">
        <v>700</v>
      </c>
      <c r="D1656" s="14"/>
      <c r="E1656" s="4" t="s">
        <v>104</v>
      </c>
      <c r="F1656" s="4" t="s">
        <v>104</v>
      </c>
      <c r="G1656" s="4" t="s">
        <v>2047</v>
      </c>
      <c r="H1656" s="4" t="s">
        <v>171</v>
      </c>
      <c r="I1656" s="4" t="s">
        <v>2096</v>
      </c>
      <c r="Q1656" s="9">
        <v>2</v>
      </c>
      <c r="T1656" s="11">
        <v>3</v>
      </c>
      <c r="Z1656" s="9">
        <v>0</v>
      </c>
      <c r="AF1656" s="11">
        <v>1</v>
      </c>
      <c r="AI1656" s="11">
        <v>1</v>
      </c>
    </row>
    <row r="1657" spans="1:35" x14ac:dyDescent="0.25">
      <c r="A1657" s="161" t="str">
        <f t="shared" si="30"/>
        <v>SWORDSMAN_ARABIA</v>
      </c>
      <c r="B1657" s="9" t="s">
        <v>104</v>
      </c>
      <c r="C1657" s="4" t="s">
        <v>700</v>
      </c>
      <c r="D1657" s="14"/>
      <c r="E1657" s="4" t="s">
        <v>104</v>
      </c>
      <c r="F1657" s="4" t="s">
        <v>104</v>
      </c>
      <c r="H1657" s="4" t="s">
        <v>806</v>
      </c>
      <c r="I1657" s="4" t="s">
        <v>2096</v>
      </c>
      <c r="Q1657" s="9">
        <v>2</v>
      </c>
      <c r="T1657" s="11">
        <v>3</v>
      </c>
      <c r="Z1657" s="9">
        <v>0</v>
      </c>
      <c r="AF1657" s="11">
        <v>0</v>
      </c>
      <c r="AI1657" s="11">
        <v>2</v>
      </c>
    </row>
    <row r="1658" spans="1:35" x14ac:dyDescent="0.25">
      <c r="A1658" s="161" t="str">
        <f t="shared" si="30"/>
        <v>SWORDSMAN_ARABIA</v>
      </c>
      <c r="B1658" s="9" t="s">
        <v>104</v>
      </c>
      <c r="C1658" s="4" t="s">
        <v>700</v>
      </c>
      <c r="D1658" s="14"/>
      <c r="E1658" s="4" t="s">
        <v>104</v>
      </c>
      <c r="F1658" s="4" t="s">
        <v>104</v>
      </c>
      <c r="G1658" s="4" t="s">
        <v>2045</v>
      </c>
      <c r="H1658" s="4" t="s">
        <v>807</v>
      </c>
      <c r="I1658" s="4" t="s">
        <v>2096</v>
      </c>
      <c r="Q1658" s="9">
        <v>2</v>
      </c>
      <c r="T1658" s="11">
        <v>3</v>
      </c>
      <c r="Z1658" s="9">
        <v>0</v>
      </c>
      <c r="AF1658" s="11">
        <v>0</v>
      </c>
      <c r="AI1658" s="11">
        <v>1</v>
      </c>
    </row>
    <row r="1659" spans="1:35" x14ac:dyDescent="0.25">
      <c r="A1659" s="161" t="str">
        <f t="shared" si="30"/>
        <v>SWORDSMAN_ARABIA</v>
      </c>
      <c r="B1659" s="9" t="s">
        <v>104</v>
      </c>
      <c r="C1659" s="4" t="s">
        <v>700</v>
      </c>
      <c r="D1659" s="14"/>
      <c r="E1659" s="4" t="s">
        <v>104</v>
      </c>
      <c r="F1659" s="4" t="s">
        <v>104</v>
      </c>
      <c r="G1659" s="4" t="s">
        <v>2047</v>
      </c>
      <c r="H1659" s="4" t="s">
        <v>171</v>
      </c>
      <c r="I1659" s="4" t="s">
        <v>2096</v>
      </c>
      <c r="Q1659" s="9">
        <v>2</v>
      </c>
      <c r="T1659" s="11">
        <v>2</v>
      </c>
      <c r="Z1659" s="9">
        <v>0</v>
      </c>
      <c r="AF1659" s="11">
        <v>0</v>
      </c>
      <c r="AI1659" s="11">
        <v>1</v>
      </c>
    </row>
    <row r="1660" spans="1:35" x14ac:dyDescent="0.25">
      <c r="A1660" s="161" t="str">
        <f t="shared" si="30"/>
        <v>SWORDSMAN_BABYLON</v>
      </c>
      <c r="B1660" s="9" t="s">
        <v>104</v>
      </c>
      <c r="C1660" s="4" t="s">
        <v>703</v>
      </c>
      <c r="E1660" s="4" t="s">
        <v>104</v>
      </c>
      <c r="F1660" s="4" t="s">
        <v>104</v>
      </c>
      <c r="H1660" s="4" t="s">
        <v>814</v>
      </c>
      <c r="I1660" s="4" t="s">
        <v>102</v>
      </c>
      <c r="Q1660" s="9">
        <v>2</v>
      </c>
      <c r="T1660" s="11">
        <v>2</v>
      </c>
      <c r="Z1660" s="9">
        <v>1</v>
      </c>
      <c r="AF1660" s="11">
        <v>1</v>
      </c>
      <c r="AI1660" s="11">
        <v>1</v>
      </c>
    </row>
    <row r="1661" spans="1:35" x14ac:dyDescent="0.25">
      <c r="A1661" s="161" t="str">
        <f t="shared" si="30"/>
        <v>SWORDSMAN_BABYLON</v>
      </c>
      <c r="B1661" s="9" t="s">
        <v>104</v>
      </c>
      <c r="C1661" s="4" t="s">
        <v>703</v>
      </c>
      <c r="E1661" s="4" t="s">
        <v>104</v>
      </c>
      <c r="F1661" s="4" t="s">
        <v>104</v>
      </c>
      <c r="G1661" s="4" t="s">
        <v>2045</v>
      </c>
      <c r="H1661" s="4" t="s">
        <v>815</v>
      </c>
      <c r="I1661" s="4" t="s">
        <v>102</v>
      </c>
      <c r="Q1661" s="9">
        <v>2</v>
      </c>
      <c r="T1661" s="11">
        <v>3</v>
      </c>
      <c r="Z1661" s="9">
        <v>0</v>
      </c>
      <c r="AF1661" s="11">
        <v>1</v>
      </c>
      <c r="AI1661" s="11">
        <v>1</v>
      </c>
    </row>
    <row r="1662" spans="1:35" x14ac:dyDescent="0.25">
      <c r="A1662" s="161" t="str">
        <f t="shared" si="30"/>
        <v>SWORDSMAN_BABYLON</v>
      </c>
      <c r="B1662" s="9" t="s">
        <v>104</v>
      </c>
      <c r="C1662" s="4" t="s">
        <v>703</v>
      </c>
      <c r="E1662" s="4" t="s">
        <v>104</v>
      </c>
      <c r="F1662" s="4" t="s">
        <v>104</v>
      </c>
      <c r="G1662" s="4" t="s">
        <v>2047</v>
      </c>
      <c r="H1662" s="4" t="s">
        <v>218</v>
      </c>
      <c r="I1662" s="4" t="s">
        <v>102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</row>
    <row r="1663" spans="1:35" x14ac:dyDescent="0.25">
      <c r="A1663" s="161" t="str">
        <f t="shared" si="30"/>
        <v>SWORDSMAN_BABYLON</v>
      </c>
      <c r="B1663" s="9" t="s">
        <v>104</v>
      </c>
      <c r="C1663" s="4" t="s">
        <v>703</v>
      </c>
      <c r="E1663" s="4" t="s">
        <v>104</v>
      </c>
      <c r="F1663" s="4" t="s">
        <v>104</v>
      </c>
      <c r="H1663" s="4" t="s">
        <v>814</v>
      </c>
      <c r="I1663" s="4" t="s">
        <v>102</v>
      </c>
      <c r="Q1663" s="9">
        <v>2</v>
      </c>
      <c r="T1663" s="11">
        <v>3</v>
      </c>
      <c r="Z1663" s="9">
        <v>0</v>
      </c>
      <c r="AF1663" s="11">
        <v>0</v>
      </c>
      <c r="AI1663" s="11">
        <v>2</v>
      </c>
    </row>
    <row r="1664" spans="1:35" x14ac:dyDescent="0.25">
      <c r="A1664" s="161" t="str">
        <f t="shared" si="30"/>
        <v>SWORDSMAN_BABYLON</v>
      </c>
      <c r="B1664" s="9" t="s">
        <v>104</v>
      </c>
      <c r="C1664" s="4" t="s">
        <v>703</v>
      </c>
      <c r="E1664" s="4" t="s">
        <v>104</v>
      </c>
      <c r="F1664" s="4" t="s">
        <v>104</v>
      </c>
      <c r="G1664" s="4" t="s">
        <v>2045</v>
      </c>
      <c r="H1664" s="4" t="s">
        <v>815</v>
      </c>
      <c r="I1664" s="4" t="s">
        <v>102</v>
      </c>
      <c r="Q1664" s="9">
        <v>2</v>
      </c>
      <c r="T1664" s="11">
        <v>3</v>
      </c>
      <c r="Z1664" s="9">
        <v>0</v>
      </c>
      <c r="AF1664" s="11">
        <v>0</v>
      </c>
      <c r="AI1664" s="11">
        <v>1</v>
      </c>
    </row>
    <row r="1665" spans="1:35" x14ac:dyDescent="0.25">
      <c r="A1665" s="161" t="str">
        <f t="shared" si="30"/>
        <v>SWORDSMAN_BABYLON</v>
      </c>
      <c r="B1665" s="9" t="s">
        <v>104</v>
      </c>
      <c r="C1665" s="4" t="s">
        <v>703</v>
      </c>
      <c r="E1665" s="4" t="s">
        <v>104</v>
      </c>
      <c r="F1665" s="4" t="s">
        <v>104</v>
      </c>
      <c r="G1665" s="4" t="s">
        <v>2047</v>
      </c>
      <c r="H1665" s="4" t="s">
        <v>218</v>
      </c>
      <c r="I1665" s="4" t="s">
        <v>102</v>
      </c>
      <c r="Q1665" s="9">
        <v>2</v>
      </c>
      <c r="T1665" s="11">
        <v>2</v>
      </c>
      <c r="Z1665" s="9">
        <v>0</v>
      </c>
      <c r="AF1665" s="11">
        <v>0</v>
      </c>
      <c r="AI1665" s="11">
        <v>1</v>
      </c>
    </row>
    <row r="1666" spans="1:35" x14ac:dyDescent="0.25">
      <c r="A1666" s="161" t="str">
        <f t="shared" si="30"/>
        <v>SWORDSMAN_EGYPT</v>
      </c>
      <c r="B1666" s="9" t="s">
        <v>104</v>
      </c>
      <c r="C1666" s="4" t="s">
        <v>712</v>
      </c>
      <c r="E1666" s="4" t="s">
        <v>104</v>
      </c>
      <c r="F1666" s="4" t="s">
        <v>104</v>
      </c>
      <c r="G1666" s="14" t="s">
        <v>132</v>
      </c>
      <c r="H1666" s="4" t="s">
        <v>288</v>
      </c>
      <c r="I1666" s="4" t="s">
        <v>122</v>
      </c>
      <c r="Q1666" s="9" t="s">
        <v>1736</v>
      </c>
      <c r="T1666" s="9"/>
      <c r="W1666" s="9"/>
      <c r="Z1666" s="9"/>
      <c r="AF1666" s="9"/>
      <c r="AI1666" s="9"/>
    </row>
    <row r="1667" spans="1:35" x14ac:dyDescent="0.25">
      <c r="A1667" s="161" t="str">
        <f t="shared" si="30"/>
        <v>SWORDSMAN_JERUSALEM</v>
      </c>
      <c r="B1667" s="9" t="s">
        <v>104</v>
      </c>
      <c r="C1667" s="4" t="s">
        <v>1184</v>
      </c>
      <c r="E1667" s="4" t="s">
        <v>104</v>
      </c>
      <c r="F1667" s="4" t="s">
        <v>104</v>
      </c>
      <c r="G1667" s="14" t="s">
        <v>132</v>
      </c>
      <c r="H1667" s="4" t="s">
        <v>1823</v>
      </c>
      <c r="I1667" s="4" t="s">
        <v>1025</v>
      </c>
      <c r="Q1667" s="9" t="s">
        <v>1736</v>
      </c>
      <c r="T1667" s="9"/>
      <c r="W1667" s="9"/>
      <c r="Z1667" s="9"/>
      <c r="AF1667" s="9"/>
      <c r="AI1667" s="9"/>
    </row>
    <row r="1668" spans="1:35" x14ac:dyDescent="0.25">
      <c r="A1668" s="161" t="str">
        <f t="shared" si="30"/>
        <v>SWORDSMAN_PERSIA</v>
      </c>
      <c r="B1668" s="9" t="s">
        <v>104</v>
      </c>
      <c r="C1668" s="4" t="s">
        <v>731</v>
      </c>
      <c r="E1668" s="4" t="s">
        <v>104</v>
      </c>
      <c r="F1668" s="4" t="s">
        <v>104</v>
      </c>
      <c r="G1668" s="14" t="s">
        <v>132</v>
      </c>
      <c r="H1668" s="4" t="s">
        <v>564</v>
      </c>
      <c r="I1668" s="4" t="s">
        <v>102</v>
      </c>
      <c r="Q1668" s="9" t="s">
        <v>1736</v>
      </c>
      <c r="T1668" s="9"/>
      <c r="W1668" s="9"/>
      <c r="Z1668" s="9"/>
      <c r="AF1668" s="9"/>
      <c r="AI1668" s="9"/>
    </row>
    <row r="1669" spans="1:35" x14ac:dyDescent="0.25">
      <c r="A1669" s="161" t="str">
        <f t="shared" si="30"/>
        <v>SWORDSMAN_NORTHAF</v>
      </c>
      <c r="B1669" s="9" t="s">
        <v>104</v>
      </c>
      <c r="C1669" s="4" t="s">
        <v>2009</v>
      </c>
      <c r="E1669" s="4" t="s">
        <v>104</v>
      </c>
      <c r="F1669" s="4" t="s">
        <v>104</v>
      </c>
      <c r="H1669" s="4" t="s">
        <v>822</v>
      </c>
      <c r="I1669" s="4" t="s">
        <v>1822</v>
      </c>
      <c r="Q1669" s="9">
        <v>2</v>
      </c>
      <c r="R1669" s="11">
        <v>0.15</v>
      </c>
      <c r="T1669" s="11">
        <v>2</v>
      </c>
      <c r="U1669" s="11">
        <v>9.5000000000000001E-2</v>
      </c>
      <c r="X1669" s="11" t="s">
        <v>3</v>
      </c>
      <c r="Z1669" s="9">
        <v>0</v>
      </c>
      <c r="AF1669" s="11">
        <v>1</v>
      </c>
      <c r="AI1669" s="11">
        <v>1</v>
      </c>
    </row>
    <row r="1670" spans="1:35" x14ac:dyDescent="0.25">
      <c r="A1670" s="161" t="str">
        <f t="shared" si="30"/>
        <v>SWORDSMAN_NORTHAF</v>
      </c>
      <c r="B1670" s="9" t="s">
        <v>104</v>
      </c>
      <c r="C1670" s="4" t="s">
        <v>2009</v>
      </c>
      <c r="E1670" s="4" t="s">
        <v>104</v>
      </c>
      <c r="F1670" s="4" t="s">
        <v>104</v>
      </c>
      <c r="G1670" s="4" t="s">
        <v>2045</v>
      </c>
      <c r="H1670" s="4" t="s">
        <v>823</v>
      </c>
      <c r="I1670" s="4" t="s">
        <v>1822</v>
      </c>
      <c r="Q1670" s="9">
        <v>1</v>
      </c>
      <c r="R1670" s="11">
        <v>0.15</v>
      </c>
      <c r="T1670" s="11">
        <v>3</v>
      </c>
      <c r="U1670" s="11">
        <v>9.5000000000000001E-2</v>
      </c>
      <c r="X1670" s="11" t="s">
        <v>3</v>
      </c>
      <c r="Z1670" s="9">
        <v>1</v>
      </c>
      <c r="AF1670" s="11">
        <v>1</v>
      </c>
      <c r="AI1670" s="11">
        <v>2</v>
      </c>
    </row>
    <row r="1671" spans="1:35" x14ac:dyDescent="0.25">
      <c r="A1671" s="161" t="str">
        <f t="shared" si="30"/>
        <v>SWORDSMAN_NORTHAF</v>
      </c>
      <c r="B1671" s="9" t="s">
        <v>104</v>
      </c>
      <c r="C1671" s="4" t="s">
        <v>2009</v>
      </c>
      <c r="E1671" s="4" t="s">
        <v>104</v>
      </c>
      <c r="F1671" s="4" t="s">
        <v>104</v>
      </c>
      <c r="G1671" s="4" t="s">
        <v>2047</v>
      </c>
      <c r="H1671" s="4" t="s">
        <v>235</v>
      </c>
      <c r="I1671" s="4" t="s">
        <v>1821</v>
      </c>
      <c r="Q1671" s="9">
        <v>3</v>
      </c>
      <c r="R1671" s="11">
        <v>0.15</v>
      </c>
      <c r="T1671" s="11">
        <v>2</v>
      </c>
      <c r="U1671" s="11">
        <v>9.5000000000000001E-2</v>
      </c>
      <c r="X1671" s="11" t="s">
        <v>3</v>
      </c>
      <c r="Z1671" s="9">
        <v>0</v>
      </c>
      <c r="AF1671" s="11">
        <v>1</v>
      </c>
      <c r="AI1671" s="11">
        <v>1</v>
      </c>
    </row>
    <row r="1672" spans="1:35" x14ac:dyDescent="0.25">
      <c r="A1672" s="161" t="str">
        <f t="shared" si="30"/>
        <v>SWORDSMAN_NORTHAF</v>
      </c>
      <c r="B1672" s="9" t="s">
        <v>104</v>
      </c>
      <c r="C1672" s="4" t="s">
        <v>2009</v>
      </c>
      <c r="E1672" s="4" t="s">
        <v>104</v>
      </c>
      <c r="F1672" s="4" t="s">
        <v>104</v>
      </c>
      <c r="H1672" s="4" t="s">
        <v>822</v>
      </c>
      <c r="I1672" s="4" t="s">
        <v>1822</v>
      </c>
      <c r="Q1672" s="9">
        <v>2</v>
      </c>
      <c r="R1672" s="11">
        <v>0.15</v>
      </c>
      <c r="T1672" s="11">
        <v>3</v>
      </c>
      <c r="U1672" s="11">
        <v>9.5000000000000001E-2</v>
      </c>
      <c r="X1672" s="11" t="s">
        <v>3</v>
      </c>
      <c r="Z1672" s="9">
        <v>0</v>
      </c>
      <c r="AF1672" s="11">
        <v>0</v>
      </c>
      <c r="AI1672" s="11">
        <v>1</v>
      </c>
    </row>
    <row r="1673" spans="1:35" x14ac:dyDescent="0.25">
      <c r="A1673" s="161" t="str">
        <f t="shared" si="30"/>
        <v>SWORDSMAN_NORTHAF</v>
      </c>
      <c r="B1673" s="9" t="s">
        <v>104</v>
      </c>
      <c r="C1673" s="4" t="s">
        <v>2009</v>
      </c>
      <c r="E1673" s="4" t="s">
        <v>104</v>
      </c>
      <c r="F1673" s="4" t="s">
        <v>104</v>
      </c>
      <c r="G1673" s="4" t="s">
        <v>2045</v>
      </c>
      <c r="H1673" s="4" t="s">
        <v>823</v>
      </c>
      <c r="I1673" s="4" t="s">
        <v>1822</v>
      </c>
      <c r="Q1673" s="9">
        <v>2</v>
      </c>
      <c r="R1673" s="11">
        <v>0.15</v>
      </c>
      <c r="T1673" s="11">
        <v>3</v>
      </c>
      <c r="U1673" s="11">
        <v>9.5000000000000001E-2</v>
      </c>
      <c r="X1673" s="11" t="s">
        <v>3</v>
      </c>
      <c r="Z1673" s="9">
        <v>0</v>
      </c>
      <c r="AF1673" s="11">
        <v>0</v>
      </c>
      <c r="AI1673" s="11">
        <v>1</v>
      </c>
    </row>
    <row r="1674" spans="1:35" x14ac:dyDescent="0.25">
      <c r="A1674" s="161" t="str">
        <f t="shared" si="30"/>
        <v>SWORDSMAN_NORTHAF</v>
      </c>
      <c r="B1674" s="9" t="s">
        <v>104</v>
      </c>
      <c r="C1674" s="4" t="s">
        <v>2009</v>
      </c>
      <c r="E1674" s="4" t="s">
        <v>104</v>
      </c>
      <c r="F1674" s="4" t="s">
        <v>104</v>
      </c>
      <c r="G1674" s="4" t="s">
        <v>2047</v>
      </c>
      <c r="H1674" s="4" t="s">
        <v>235</v>
      </c>
      <c r="I1674" s="4" t="s">
        <v>1821</v>
      </c>
      <c r="Q1674" s="9">
        <v>2</v>
      </c>
      <c r="R1674" s="11">
        <v>0.15</v>
      </c>
      <c r="T1674" s="11">
        <v>3</v>
      </c>
      <c r="U1674" s="11">
        <v>9.5000000000000001E-2</v>
      </c>
      <c r="X1674" s="11" t="s">
        <v>3</v>
      </c>
      <c r="Z1674" s="9">
        <v>0</v>
      </c>
      <c r="AF1674" s="11">
        <v>0</v>
      </c>
      <c r="AI1674" s="11">
        <v>1</v>
      </c>
    </row>
    <row r="1675" spans="1:35" x14ac:dyDescent="0.25">
      <c r="A1675" s="161" t="str">
        <f t="shared" si="30"/>
        <v>SWORDSMAN_NORTHEU</v>
      </c>
      <c r="B1675" s="9" t="s">
        <v>104</v>
      </c>
      <c r="C1675" s="4" t="s">
        <v>962</v>
      </c>
      <c r="E1675" s="4" t="s">
        <v>104</v>
      </c>
      <c r="F1675" s="4" t="s">
        <v>104</v>
      </c>
      <c r="G1675" s="14" t="s">
        <v>132</v>
      </c>
      <c r="H1675" s="4" t="s">
        <v>273</v>
      </c>
      <c r="I1675" s="4" t="s">
        <v>102</v>
      </c>
      <c r="Q1675" s="9" t="s">
        <v>1736</v>
      </c>
      <c r="T1675" s="9"/>
      <c r="W1675" s="9"/>
      <c r="Z1675" s="9"/>
      <c r="AF1675" s="9"/>
      <c r="AI1675" s="9"/>
    </row>
    <row r="1676" spans="1:35" x14ac:dyDescent="0.25">
      <c r="A1676" s="161" t="str">
        <f t="shared" si="30"/>
        <v>SWORDSMAN_OCEAN</v>
      </c>
      <c r="B1676" s="9" t="s">
        <v>104</v>
      </c>
      <c r="C1676" s="4" t="s">
        <v>994</v>
      </c>
      <c r="E1676" s="4" t="s">
        <v>104</v>
      </c>
      <c r="F1676" s="4" t="s">
        <v>104</v>
      </c>
      <c r="H1676" s="4" t="s">
        <v>996</v>
      </c>
      <c r="I1676" s="4" t="s">
        <v>1799</v>
      </c>
      <c r="Q1676" s="9" t="s">
        <v>1736</v>
      </c>
      <c r="T1676" s="9"/>
      <c r="W1676" s="9"/>
      <c r="Z1676" s="9"/>
      <c r="AF1676" s="9"/>
      <c r="AI1676" s="9"/>
    </row>
    <row r="1677" spans="1:35" x14ac:dyDescent="0.25">
      <c r="A1677" s="161" t="str">
        <f t="shared" si="30"/>
        <v>SWORDSMAN_POLYNESIA</v>
      </c>
      <c r="B1677" s="9" t="s">
        <v>104</v>
      </c>
      <c r="C1677" s="4" t="s">
        <v>1081</v>
      </c>
      <c r="E1677" s="4" t="s">
        <v>104</v>
      </c>
      <c r="F1677" s="4" t="s">
        <v>104</v>
      </c>
      <c r="H1677" s="4" t="s">
        <v>997</v>
      </c>
      <c r="I1677" s="4" t="s">
        <v>1025</v>
      </c>
      <c r="Q1677" s="9" t="s">
        <v>1736</v>
      </c>
      <c r="T1677" s="9"/>
      <c r="W1677" s="9"/>
      <c r="Z1677" s="9"/>
      <c r="AF1677" s="9"/>
      <c r="AI1677" s="9"/>
    </row>
    <row r="1678" spans="1:35" x14ac:dyDescent="0.25">
      <c r="A1678" s="161" t="str">
        <f t="shared" si="30"/>
        <v>SWORDSMAN_SEASIA</v>
      </c>
      <c r="B1678" s="9" t="s">
        <v>104</v>
      </c>
      <c r="C1678" s="4" t="s">
        <v>696</v>
      </c>
      <c r="D1678" s="4" t="s">
        <v>693</v>
      </c>
      <c r="E1678" s="4" t="s">
        <v>104</v>
      </c>
      <c r="F1678" s="4" t="s">
        <v>104</v>
      </c>
      <c r="Q1678" s="9"/>
      <c r="T1678" s="9"/>
      <c r="W1678" s="9"/>
      <c r="AF1678" s="9"/>
      <c r="AI1678" s="9"/>
    </row>
    <row r="1679" spans="1:35" x14ac:dyDescent="0.25">
      <c r="A1679" s="161" t="str">
        <f t="shared" si="30"/>
        <v>SWORDSMAN_SOUTHAM</v>
      </c>
      <c r="B1679" s="9" t="s">
        <v>104</v>
      </c>
      <c r="C1679" s="4" t="s">
        <v>691</v>
      </c>
      <c r="E1679" s="4" t="s">
        <v>104</v>
      </c>
      <c r="F1679" s="4" t="s">
        <v>104</v>
      </c>
      <c r="H1679" s="4" t="s">
        <v>523</v>
      </c>
      <c r="I1679" s="4" t="s">
        <v>2096</v>
      </c>
      <c r="Q1679" s="9" t="s">
        <v>1736</v>
      </c>
      <c r="T1679" s="9"/>
      <c r="W1679" s="9"/>
      <c r="Z1679" s="9"/>
      <c r="AF1679" s="9"/>
      <c r="AI1679" s="9"/>
    </row>
    <row r="1680" spans="1:35" x14ac:dyDescent="0.25">
      <c r="A1680" s="161" t="str">
        <f t="shared" si="30"/>
        <v>SWORDSMAN_AZTEC</v>
      </c>
      <c r="B1680" s="9" t="s">
        <v>104</v>
      </c>
      <c r="C1680" s="4" t="s">
        <v>702</v>
      </c>
      <c r="E1680" s="4" t="s">
        <v>104</v>
      </c>
      <c r="F1680" s="4" t="s">
        <v>104</v>
      </c>
      <c r="G1680" s="14"/>
      <c r="H1680" s="4" t="s">
        <v>203</v>
      </c>
      <c r="I1680" s="4" t="s">
        <v>2096</v>
      </c>
      <c r="Q1680" s="9" t="s">
        <v>1736</v>
      </c>
      <c r="T1680" s="9"/>
      <c r="W1680" s="9"/>
      <c r="Z1680" s="9"/>
      <c r="AF1680" s="9"/>
      <c r="AI1680" s="9"/>
    </row>
    <row r="1681" spans="1:43" x14ac:dyDescent="0.25">
      <c r="A1681" s="161" t="str">
        <f t="shared" si="30"/>
        <v>SWORDSMAN_INCA</v>
      </c>
      <c r="B1681" s="9" t="s">
        <v>104</v>
      </c>
      <c r="C1681" s="4" t="s">
        <v>719</v>
      </c>
      <c r="E1681" s="4" t="s">
        <v>104</v>
      </c>
      <c r="F1681" s="4" t="s">
        <v>104</v>
      </c>
      <c r="H1681" s="4" t="s">
        <v>429</v>
      </c>
      <c r="I1681" s="4" t="s">
        <v>2096</v>
      </c>
      <c r="Q1681" s="9"/>
      <c r="Z1681" s="9"/>
    </row>
    <row r="1682" spans="1:43" x14ac:dyDescent="0.25">
      <c r="A1682" s="161" t="str">
        <f t="shared" si="30"/>
        <v>SWORDSMAN_MAYA</v>
      </c>
      <c r="B1682" s="9" t="s">
        <v>104</v>
      </c>
      <c r="C1682" s="4" t="s">
        <v>725</v>
      </c>
      <c r="D1682" s="4" t="s">
        <v>691</v>
      </c>
      <c r="E1682" s="4" t="s">
        <v>104</v>
      </c>
      <c r="F1682" s="4" t="s">
        <v>104</v>
      </c>
      <c r="G1682" s="14" t="s">
        <v>132</v>
      </c>
      <c r="Q1682" s="9"/>
      <c r="T1682" s="9"/>
      <c r="W1682" s="9"/>
      <c r="AF1682" s="9"/>
      <c r="AI1682" s="9"/>
    </row>
    <row r="1683" spans="1:43" x14ac:dyDescent="0.25">
      <c r="A1683" s="161" t="str">
        <f>CONCATENATE(E1683,IF(ISBLANK(C1683),"",CONCATENATE("_",C1683)))</f>
        <v>SWORDSMAN_SOUTHAS</v>
      </c>
      <c r="B1683" s="9" t="s">
        <v>104</v>
      </c>
      <c r="C1683" s="4" t="s">
        <v>695</v>
      </c>
      <c r="E1683" s="4" t="s">
        <v>104</v>
      </c>
      <c r="F1683" s="4" t="s">
        <v>104</v>
      </c>
      <c r="H1683" s="4" t="s">
        <v>1802</v>
      </c>
      <c r="I1683" s="4" t="s">
        <v>835</v>
      </c>
      <c r="Q1683" s="9">
        <v>2</v>
      </c>
      <c r="T1683" s="9">
        <v>2</v>
      </c>
      <c r="W1683" s="9"/>
      <c r="Z1683" s="9">
        <v>0</v>
      </c>
      <c r="AF1683" s="9">
        <v>1</v>
      </c>
      <c r="AG1683" s="9"/>
      <c r="AI1683" s="9">
        <v>1</v>
      </c>
    </row>
    <row r="1684" spans="1:43" x14ac:dyDescent="0.25">
      <c r="A1684" s="161" t="str">
        <f t="shared" si="30"/>
        <v>SWORDSMAN_SOUTHAS</v>
      </c>
      <c r="B1684" s="9" t="s">
        <v>104</v>
      </c>
      <c r="C1684" s="4" t="s">
        <v>695</v>
      </c>
      <c r="E1684" s="4" t="s">
        <v>104</v>
      </c>
      <c r="F1684" s="4" t="s">
        <v>104</v>
      </c>
      <c r="G1684" s="4" t="s">
        <v>2045</v>
      </c>
      <c r="H1684" s="4" t="s">
        <v>1803</v>
      </c>
      <c r="I1684" s="4" t="s">
        <v>835</v>
      </c>
      <c r="Q1684" s="9">
        <v>2</v>
      </c>
      <c r="T1684" s="9">
        <v>3</v>
      </c>
      <c r="W1684" s="9"/>
      <c r="Z1684" s="9">
        <v>1</v>
      </c>
      <c r="AF1684" s="9">
        <v>1</v>
      </c>
      <c r="AG1684" s="9"/>
      <c r="AI1684" s="9">
        <v>2</v>
      </c>
    </row>
    <row r="1685" spans="1:43" x14ac:dyDescent="0.25">
      <c r="A1685" s="161" t="str">
        <f>CONCATENATE(E1685,IF(ISBLANK(C1685),"",CONCATENATE("_",C1685)))</f>
        <v>SWORDSMAN_SOUTHAS</v>
      </c>
      <c r="B1685" s="9" t="s">
        <v>104</v>
      </c>
      <c r="C1685" s="4" t="s">
        <v>695</v>
      </c>
      <c r="E1685" s="4" t="s">
        <v>104</v>
      </c>
      <c r="F1685" s="4" t="s">
        <v>104</v>
      </c>
      <c r="G1685" s="4" t="s">
        <v>2047</v>
      </c>
      <c r="H1685" s="4" t="s">
        <v>1804</v>
      </c>
      <c r="I1685" s="4" t="s">
        <v>835</v>
      </c>
      <c r="Q1685" s="9">
        <v>2</v>
      </c>
      <c r="T1685" s="9">
        <v>3</v>
      </c>
      <c r="W1685" s="9"/>
      <c r="Z1685" s="9">
        <v>0</v>
      </c>
      <c r="AF1685" s="9">
        <v>1</v>
      </c>
      <c r="AG1685" s="9"/>
      <c r="AI1685" s="9">
        <v>1</v>
      </c>
    </row>
    <row r="1686" spans="1:43" x14ac:dyDescent="0.25">
      <c r="A1686" s="161" t="str">
        <f>CONCATENATE(E1686,IF(ISBLANK(C1686),"",CONCATENATE("_",C1686)))</f>
        <v>SWORDSMAN_SOUTHAS</v>
      </c>
      <c r="B1686" s="9" t="s">
        <v>104</v>
      </c>
      <c r="C1686" s="4" t="s">
        <v>695</v>
      </c>
      <c r="E1686" s="4" t="s">
        <v>104</v>
      </c>
      <c r="F1686" s="4" t="s">
        <v>104</v>
      </c>
      <c r="G1686" s="4" t="s">
        <v>2046</v>
      </c>
      <c r="H1686" s="4" t="s">
        <v>1805</v>
      </c>
      <c r="I1686" s="4" t="s">
        <v>835</v>
      </c>
      <c r="Q1686" s="9">
        <v>2</v>
      </c>
      <c r="T1686" s="9">
        <v>3</v>
      </c>
      <c r="W1686" s="9"/>
      <c r="Z1686" s="9">
        <v>0</v>
      </c>
      <c r="AF1686" s="9">
        <v>0</v>
      </c>
      <c r="AG1686" s="9"/>
      <c r="AI1686" s="9">
        <v>1</v>
      </c>
    </row>
    <row r="1687" spans="1:43" x14ac:dyDescent="0.25">
      <c r="A1687" s="161" t="str">
        <f t="shared" si="30"/>
        <v>SWORDSMAN_SOUTHAS</v>
      </c>
      <c r="B1687" s="9" t="s">
        <v>104</v>
      </c>
      <c r="C1687" s="4" t="s">
        <v>695</v>
      </c>
      <c r="E1687" s="4" t="s">
        <v>104</v>
      </c>
      <c r="F1687" s="4" t="s">
        <v>104</v>
      </c>
      <c r="G1687" s="4" t="s">
        <v>2056</v>
      </c>
      <c r="H1687" s="4" t="s">
        <v>1806</v>
      </c>
      <c r="I1687" s="4" t="s">
        <v>835</v>
      </c>
      <c r="Q1687" s="9">
        <v>2</v>
      </c>
      <c r="T1687" s="9">
        <v>3</v>
      </c>
      <c r="W1687" s="9"/>
      <c r="Z1687" s="9">
        <v>0</v>
      </c>
      <c r="AF1687" s="9">
        <v>0</v>
      </c>
      <c r="AG1687" s="9"/>
      <c r="AI1687" s="9">
        <v>1</v>
      </c>
    </row>
    <row r="1688" spans="1:43" x14ac:dyDescent="0.25">
      <c r="A1688" s="161" t="str">
        <f>CONCATENATE(E1688,IF(ISBLANK(C1688),"",CONCATENATE("_",C1688)))</f>
        <v>SWORDSMAN_SOUTHAS</v>
      </c>
      <c r="B1688" s="9" t="s">
        <v>104</v>
      </c>
      <c r="C1688" s="4" t="s">
        <v>695</v>
      </c>
      <c r="E1688" s="4" t="s">
        <v>104</v>
      </c>
      <c r="F1688" s="4" t="s">
        <v>104</v>
      </c>
      <c r="G1688" s="4" t="s">
        <v>2057</v>
      </c>
      <c r="H1688" s="4" t="s">
        <v>1807</v>
      </c>
      <c r="I1688" s="4" t="s">
        <v>835</v>
      </c>
      <c r="Q1688" s="9">
        <v>2</v>
      </c>
      <c r="T1688" s="9">
        <v>2</v>
      </c>
      <c r="W1688" s="9"/>
      <c r="Z1688" s="9">
        <v>0</v>
      </c>
      <c r="AF1688" s="9">
        <v>0</v>
      </c>
      <c r="AG1688" s="9"/>
      <c r="AI1688" s="9">
        <v>1</v>
      </c>
    </row>
    <row r="1689" spans="1:43" x14ac:dyDescent="0.25">
      <c r="A1689" s="161" t="str">
        <f t="shared" si="30"/>
        <v>SWORDSMAN_INDIA</v>
      </c>
      <c r="B1689" s="9" t="s">
        <v>104</v>
      </c>
      <c r="C1689" s="4" t="s">
        <v>720</v>
      </c>
      <c r="E1689" s="4" t="s">
        <v>104</v>
      </c>
      <c r="F1689" s="4" t="s">
        <v>104</v>
      </c>
      <c r="H1689" s="4" t="s">
        <v>928</v>
      </c>
      <c r="I1689" s="4" t="s">
        <v>102</v>
      </c>
      <c r="Q1689" s="9">
        <v>1</v>
      </c>
      <c r="T1689" s="11">
        <v>2</v>
      </c>
      <c r="Z1689" s="9">
        <v>1</v>
      </c>
      <c r="AF1689" s="11">
        <v>1</v>
      </c>
      <c r="AG1689" s="9"/>
      <c r="AI1689" s="11">
        <v>1</v>
      </c>
    </row>
    <row r="1690" spans="1:43" x14ac:dyDescent="0.25">
      <c r="A1690" s="161" t="str">
        <f t="shared" si="30"/>
        <v>SWORDSMAN_INDIA</v>
      </c>
      <c r="B1690" s="9" t="s">
        <v>104</v>
      </c>
      <c r="C1690" s="4" t="s">
        <v>720</v>
      </c>
      <c r="E1690" s="4" t="s">
        <v>104</v>
      </c>
      <c r="F1690" s="4" t="s">
        <v>104</v>
      </c>
      <c r="G1690" s="4" t="s">
        <v>2045</v>
      </c>
      <c r="H1690" s="4" t="s">
        <v>444</v>
      </c>
      <c r="I1690" s="4" t="s">
        <v>102</v>
      </c>
      <c r="Q1690" s="9">
        <v>2</v>
      </c>
      <c r="T1690" s="11">
        <v>3</v>
      </c>
      <c r="Z1690" s="9">
        <v>0</v>
      </c>
      <c r="AF1690" s="11">
        <v>1</v>
      </c>
      <c r="AG1690" s="9"/>
      <c r="AI1690" s="11">
        <v>1</v>
      </c>
    </row>
    <row r="1691" spans="1:43" x14ac:dyDescent="0.25">
      <c r="A1691" s="161" t="str">
        <f t="shared" si="30"/>
        <v>SWORDSMAN_INDIA</v>
      </c>
      <c r="B1691" s="9" t="s">
        <v>104</v>
      </c>
      <c r="C1691" s="4" t="s">
        <v>720</v>
      </c>
      <c r="E1691" s="4" t="s">
        <v>104</v>
      </c>
      <c r="F1691" s="4" t="s">
        <v>104</v>
      </c>
      <c r="H1691" s="4" t="s">
        <v>928</v>
      </c>
      <c r="I1691" s="4" t="s">
        <v>102</v>
      </c>
      <c r="Q1691" s="9">
        <v>3</v>
      </c>
      <c r="T1691" s="11">
        <v>3</v>
      </c>
      <c r="Z1691" s="9">
        <v>0</v>
      </c>
      <c r="AF1691" s="11">
        <v>1</v>
      </c>
      <c r="AG1691" s="9"/>
      <c r="AI1691" s="11">
        <v>2</v>
      </c>
    </row>
    <row r="1692" spans="1:43" x14ac:dyDescent="0.25">
      <c r="A1692" s="161" t="str">
        <f t="shared" si="30"/>
        <v>SWORDSMAN_INDIA</v>
      </c>
      <c r="B1692" s="9" t="s">
        <v>104</v>
      </c>
      <c r="C1692" s="4" t="s">
        <v>720</v>
      </c>
      <c r="E1692" s="4" t="s">
        <v>104</v>
      </c>
      <c r="F1692" s="4" t="s">
        <v>104</v>
      </c>
      <c r="G1692" s="4" t="s">
        <v>2045</v>
      </c>
      <c r="H1692" s="4" t="s">
        <v>444</v>
      </c>
      <c r="I1692" s="4" t="s">
        <v>102</v>
      </c>
      <c r="Q1692" s="9">
        <v>2</v>
      </c>
      <c r="T1692" s="11">
        <v>3</v>
      </c>
      <c r="Z1692" s="9">
        <v>0</v>
      </c>
      <c r="AF1692" s="11">
        <v>0</v>
      </c>
      <c r="AI1692" s="11">
        <v>1</v>
      </c>
    </row>
    <row r="1693" spans="1:43" x14ac:dyDescent="0.25">
      <c r="A1693" s="161" t="str">
        <f t="shared" si="30"/>
        <v>SWORDSMAN_INDIA</v>
      </c>
      <c r="B1693" s="9" t="s">
        <v>104</v>
      </c>
      <c r="C1693" s="4" t="s">
        <v>720</v>
      </c>
      <c r="E1693" s="4" t="s">
        <v>104</v>
      </c>
      <c r="F1693" s="4" t="s">
        <v>104</v>
      </c>
      <c r="H1693" s="4" t="s">
        <v>928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</row>
    <row r="1694" spans="1:43" x14ac:dyDescent="0.25">
      <c r="A1694" s="161" t="str">
        <f t="shared" si="30"/>
        <v>SWORDSMAN_INDIA</v>
      </c>
      <c r="B1694" s="9" t="s">
        <v>104</v>
      </c>
      <c r="C1694" s="4" t="s">
        <v>720</v>
      </c>
      <c r="E1694" s="4" t="s">
        <v>104</v>
      </c>
      <c r="F1694" s="4" t="s">
        <v>104</v>
      </c>
      <c r="G1694" s="4" t="s">
        <v>2045</v>
      </c>
      <c r="H1694" s="4" t="s">
        <v>444</v>
      </c>
      <c r="I1694" s="4" t="s">
        <v>102</v>
      </c>
      <c r="Q1694" s="9">
        <v>2</v>
      </c>
      <c r="T1694" s="11">
        <v>2</v>
      </c>
      <c r="Z1694" s="9">
        <v>0</v>
      </c>
      <c r="AF1694" s="11">
        <v>0</v>
      </c>
      <c r="AI1694" s="11">
        <v>1</v>
      </c>
    </row>
    <row r="1695" spans="1:43" x14ac:dyDescent="0.25">
      <c r="A1695" s="161" t="str">
        <f t="shared" si="30"/>
        <v>TANK</v>
      </c>
      <c r="B1695" s="9" t="s">
        <v>103</v>
      </c>
      <c r="C1695" s="5"/>
      <c r="D1695" s="5"/>
      <c r="E1695" s="5" t="s">
        <v>103</v>
      </c>
      <c r="F1695" s="5" t="s">
        <v>103</v>
      </c>
      <c r="G1695" s="5"/>
      <c r="H1695" s="5" t="s">
        <v>15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3</v>
      </c>
      <c r="R1695" s="6" t="s">
        <v>1694</v>
      </c>
      <c r="S1695" s="13" t="s">
        <v>1622</v>
      </c>
      <c r="T1695" s="6"/>
      <c r="U1695" s="6"/>
      <c r="V1695" s="5"/>
      <c r="W1695" s="6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6"/>
      <c r="AG1695" s="6"/>
      <c r="AH1695" s="5"/>
      <c r="AI1695" s="6"/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161" t="str">
        <f t="shared" si="30"/>
        <v>TANK_AFRI</v>
      </c>
      <c r="B1696" s="9" t="s">
        <v>103</v>
      </c>
      <c r="C1696" s="4" t="s">
        <v>694</v>
      </c>
      <c r="D1696" s="4" t="s">
        <v>690</v>
      </c>
      <c r="E1696" s="4" t="s">
        <v>103</v>
      </c>
      <c r="F1696" s="4" t="s">
        <v>103</v>
      </c>
      <c r="Q1696" s="9"/>
      <c r="T1696" s="9"/>
      <c r="W1696" s="9"/>
      <c r="AF1696" s="9"/>
      <c r="AI1696" s="9"/>
    </row>
    <row r="1697" spans="1:35" x14ac:dyDescent="0.25">
      <c r="A1697" s="161" t="str">
        <f t="shared" si="30"/>
        <v>TANK_ZULU</v>
      </c>
      <c r="B1697" s="9" t="s">
        <v>103</v>
      </c>
      <c r="C1697" s="4" t="s">
        <v>742</v>
      </c>
      <c r="D1697" s="4" t="s">
        <v>713</v>
      </c>
      <c r="E1697" s="4" t="s">
        <v>103</v>
      </c>
      <c r="F1697" s="4" t="s">
        <v>103</v>
      </c>
      <c r="Q1697" s="9"/>
      <c r="T1697" s="9"/>
      <c r="W1697" s="9"/>
      <c r="AF1697" s="9"/>
      <c r="AI1697" s="9"/>
    </row>
    <row r="1698" spans="1:35" x14ac:dyDescent="0.25">
      <c r="A1698" s="161" t="str">
        <f t="shared" si="30"/>
        <v>TANK_AMER</v>
      </c>
      <c r="B1698" s="9" t="s">
        <v>103</v>
      </c>
      <c r="C1698" s="4" t="s">
        <v>697</v>
      </c>
      <c r="D1698" s="4" t="s">
        <v>699</v>
      </c>
      <c r="E1698" s="4" t="s">
        <v>103</v>
      </c>
      <c r="F1698" s="4" t="s">
        <v>103</v>
      </c>
      <c r="Q1698" s="9"/>
      <c r="T1698" s="9"/>
      <c r="W1698" s="9"/>
      <c r="AF1698" s="9"/>
      <c r="AI1698" s="9"/>
    </row>
    <row r="1699" spans="1:35" x14ac:dyDescent="0.25">
      <c r="A1699" s="161" t="str">
        <f t="shared" si="30"/>
        <v>TANK_IROQUOIS</v>
      </c>
      <c r="B1699" s="9" t="s">
        <v>103</v>
      </c>
      <c r="C1699" s="4" t="s">
        <v>721</v>
      </c>
      <c r="D1699" s="4" t="s">
        <v>2207</v>
      </c>
      <c r="E1699" s="4" t="s">
        <v>103</v>
      </c>
      <c r="F1699" s="4" t="s">
        <v>103</v>
      </c>
    </row>
    <row r="1700" spans="1:35" x14ac:dyDescent="0.25">
      <c r="A1700" s="161" t="str">
        <f t="shared" si="30"/>
        <v>TANK_ASIA</v>
      </c>
      <c r="B1700" s="9" t="s">
        <v>103</v>
      </c>
      <c r="C1700" s="4" t="s">
        <v>693</v>
      </c>
      <c r="E1700" s="4" t="s">
        <v>103</v>
      </c>
      <c r="F1700" s="4" t="s">
        <v>103</v>
      </c>
      <c r="H1700" s="4" t="s">
        <v>260</v>
      </c>
      <c r="I1700" s="4" t="s">
        <v>102</v>
      </c>
      <c r="R1700" s="11">
        <v>0.115</v>
      </c>
    </row>
    <row r="1701" spans="1:35" x14ac:dyDescent="0.25">
      <c r="A1701" s="161" t="str">
        <f t="shared" si="30"/>
        <v>TANK_CHINA</v>
      </c>
      <c r="B1701" s="9" t="s">
        <v>103</v>
      </c>
      <c r="C1701" s="4" t="s">
        <v>710</v>
      </c>
      <c r="D1701" s="4" t="s">
        <v>693</v>
      </c>
      <c r="E1701" s="4" t="s">
        <v>103</v>
      </c>
      <c r="F1701" s="4" t="s">
        <v>103</v>
      </c>
      <c r="G1701" s="14" t="s">
        <v>132</v>
      </c>
    </row>
    <row r="1702" spans="1:35" x14ac:dyDescent="0.25">
      <c r="A1702" s="161" t="str">
        <f t="shared" si="30"/>
        <v>TANK_JAPAN</v>
      </c>
      <c r="B1702" s="9" t="s">
        <v>103</v>
      </c>
      <c r="C1702" s="4" t="s">
        <v>722</v>
      </c>
      <c r="E1702" s="4" t="s">
        <v>103</v>
      </c>
      <c r="F1702" s="4" t="s">
        <v>103</v>
      </c>
      <c r="G1702" s="14" t="s">
        <v>132</v>
      </c>
      <c r="H1702" s="4" t="s">
        <v>492</v>
      </c>
      <c r="I1702" s="4" t="s">
        <v>102</v>
      </c>
      <c r="R1702" s="11">
        <v>0.112</v>
      </c>
    </row>
    <row r="1703" spans="1:35" x14ac:dyDescent="0.25">
      <c r="A1703" s="161" t="str">
        <f t="shared" si="30"/>
        <v>TANK_KOREA</v>
      </c>
      <c r="B1703" s="9" t="s">
        <v>103</v>
      </c>
      <c r="C1703" s="4" t="s">
        <v>723</v>
      </c>
      <c r="D1703" s="4" t="s">
        <v>722</v>
      </c>
      <c r="E1703" s="4" t="s">
        <v>103</v>
      </c>
      <c r="F1703" s="4" t="s">
        <v>103</v>
      </c>
      <c r="G1703" s="14"/>
    </row>
    <row r="1704" spans="1:35" x14ac:dyDescent="0.25">
      <c r="A1704" s="161" t="str">
        <f t="shared" si="30"/>
        <v>TANK_HUNS</v>
      </c>
      <c r="B1704" s="9" t="s">
        <v>103</v>
      </c>
      <c r="C1704" s="4" t="s">
        <v>904</v>
      </c>
      <c r="E1704" s="4" t="s">
        <v>103</v>
      </c>
      <c r="F1704" s="4" t="s">
        <v>103</v>
      </c>
      <c r="H1704" s="4" t="s">
        <v>914</v>
      </c>
      <c r="I1704" s="4" t="s">
        <v>102</v>
      </c>
    </row>
    <row r="1705" spans="1:35" x14ac:dyDescent="0.25">
      <c r="A1705" s="161" t="str">
        <f t="shared" si="30"/>
        <v>TANK_EASTEU</v>
      </c>
      <c r="B1705" s="9" t="s">
        <v>103</v>
      </c>
      <c r="C1705" s="4" t="s">
        <v>698</v>
      </c>
      <c r="E1705" s="4" t="s">
        <v>103</v>
      </c>
      <c r="F1705" s="4" t="s">
        <v>103</v>
      </c>
      <c r="H1705" s="4" t="s">
        <v>628</v>
      </c>
      <c r="I1705" s="4" t="s">
        <v>131</v>
      </c>
      <c r="R1705" s="11">
        <v>0.113</v>
      </c>
    </row>
    <row r="1706" spans="1:35" x14ac:dyDescent="0.25">
      <c r="A1706" s="161" t="str">
        <f t="shared" si="30"/>
        <v>TANK_POLAND</v>
      </c>
      <c r="B1706" s="9" t="s">
        <v>103</v>
      </c>
      <c r="C1706" s="4" t="s">
        <v>732</v>
      </c>
      <c r="E1706" s="4" t="s">
        <v>103</v>
      </c>
      <c r="F1706" s="4" t="s">
        <v>103</v>
      </c>
      <c r="G1706" s="14" t="s">
        <v>132</v>
      </c>
      <c r="H1706" s="4" t="s">
        <v>575</v>
      </c>
      <c r="I1706" s="4" t="s">
        <v>1933</v>
      </c>
    </row>
    <row r="1707" spans="1:35" x14ac:dyDescent="0.25">
      <c r="A1707" s="161" t="str">
        <f t="shared" si="30"/>
        <v>TANK_RUSSIA</v>
      </c>
      <c r="B1707" s="9" t="s">
        <v>103</v>
      </c>
      <c r="C1707" s="4" t="s">
        <v>735</v>
      </c>
      <c r="D1707" s="4" t="s">
        <v>698</v>
      </c>
      <c r="E1707" s="4" t="s">
        <v>103</v>
      </c>
      <c r="F1707" s="4" t="s">
        <v>103</v>
      </c>
      <c r="G1707" s="14" t="s">
        <v>132</v>
      </c>
    </row>
    <row r="1708" spans="1:35" x14ac:dyDescent="0.25">
      <c r="A1708" s="161" t="str">
        <f t="shared" si="30"/>
        <v>TANK_AMERICA</v>
      </c>
      <c r="B1708" s="9" t="s">
        <v>103</v>
      </c>
      <c r="C1708" s="4" t="s">
        <v>699</v>
      </c>
      <c r="E1708" s="4" t="s">
        <v>103</v>
      </c>
      <c r="F1708" s="4" t="s">
        <v>103</v>
      </c>
      <c r="G1708" s="14"/>
      <c r="H1708" s="4" t="s">
        <v>153</v>
      </c>
      <c r="I1708" s="4" t="s">
        <v>131</v>
      </c>
      <c r="R1708" s="11">
        <v>0.115</v>
      </c>
    </row>
    <row r="1709" spans="1:35" x14ac:dyDescent="0.25">
      <c r="A1709" s="161" t="str">
        <f t="shared" si="30"/>
        <v>TANK_AUSTRALIA</v>
      </c>
      <c r="B1709" s="9" t="s">
        <v>103</v>
      </c>
      <c r="C1709" s="4" t="s">
        <v>1302</v>
      </c>
      <c r="D1709" s="4" t="s">
        <v>713</v>
      </c>
      <c r="E1709" s="4" t="s">
        <v>103</v>
      </c>
      <c r="F1709" s="4" t="s">
        <v>103</v>
      </c>
      <c r="G1709" s="14"/>
    </row>
    <row r="1710" spans="1:35" x14ac:dyDescent="0.25">
      <c r="A1710" s="161" t="str">
        <f t="shared" si="30"/>
        <v>TANK_AUSTRIA</v>
      </c>
      <c r="B1710" s="9" t="s">
        <v>103</v>
      </c>
      <c r="C1710" s="4" t="s">
        <v>701</v>
      </c>
      <c r="E1710" s="4" t="s">
        <v>103</v>
      </c>
      <c r="F1710" s="4" t="s">
        <v>103</v>
      </c>
      <c r="G1710" s="14"/>
      <c r="H1710" s="4" t="s">
        <v>187</v>
      </c>
      <c r="I1710" s="4" t="s">
        <v>102</v>
      </c>
    </row>
    <row r="1711" spans="1:35" x14ac:dyDescent="0.25">
      <c r="A1711" s="161" t="str">
        <f t="shared" si="30"/>
        <v>TANK_CANADA</v>
      </c>
      <c r="B1711" s="9" t="s">
        <v>103</v>
      </c>
      <c r="C1711" s="4" t="s">
        <v>2207</v>
      </c>
      <c r="E1711" s="4" t="s">
        <v>103</v>
      </c>
      <c r="F1711" s="4" t="s">
        <v>103</v>
      </c>
      <c r="G1711" s="14"/>
      <c r="H1711" s="4" t="s">
        <v>2208</v>
      </c>
      <c r="I1711" s="4" t="s">
        <v>102</v>
      </c>
    </row>
    <row r="1712" spans="1:35" x14ac:dyDescent="0.25">
      <c r="A1712" s="161" t="str">
        <f t="shared" si="30"/>
        <v>TANK_CELTS</v>
      </c>
      <c r="B1712" s="9" t="s">
        <v>103</v>
      </c>
      <c r="C1712" s="4" t="s">
        <v>709</v>
      </c>
      <c r="D1712" s="4" t="s">
        <v>713</v>
      </c>
      <c r="E1712" s="4" t="s">
        <v>103</v>
      </c>
      <c r="F1712" s="4" t="s">
        <v>103</v>
      </c>
      <c r="G1712" s="14"/>
    </row>
    <row r="1713" spans="1:43" x14ac:dyDescent="0.25">
      <c r="A1713" s="161" t="str">
        <f t="shared" si="30"/>
        <v>TANK_ENGLAND</v>
      </c>
      <c r="B1713" s="9" t="s">
        <v>103</v>
      </c>
      <c r="C1713" s="4" t="s">
        <v>713</v>
      </c>
      <c r="E1713" s="4" t="s">
        <v>103</v>
      </c>
      <c r="F1713" s="4" t="s">
        <v>103</v>
      </c>
      <c r="G1713" s="14" t="s">
        <v>132</v>
      </c>
      <c r="H1713" s="4" t="s">
        <v>314</v>
      </c>
      <c r="I1713" s="4" t="s">
        <v>1049</v>
      </c>
      <c r="R1713" s="11">
        <v>0.113</v>
      </c>
    </row>
    <row r="1714" spans="1:43" x14ac:dyDescent="0.25">
      <c r="A1714" s="161" t="str">
        <f t="shared" si="30"/>
        <v>TANK_FRANCE</v>
      </c>
      <c r="B1714" s="9" t="s">
        <v>103</v>
      </c>
      <c r="C1714" s="4" t="s">
        <v>715</v>
      </c>
      <c r="E1714" s="4" t="s">
        <v>103</v>
      </c>
      <c r="F1714" s="4" t="s">
        <v>103</v>
      </c>
      <c r="G1714" s="14" t="s">
        <v>132</v>
      </c>
      <c r="H1714" s="4" t="s">
        <v>359</v>
      </c>
      <c r="I1714" s="4" t="s">
        <v>102</v>
      </c>
      <c r="R1714" s="11">
        <v>0.113</v>
      </c>
    </row>
    <row r="1715" spans="1:43" x14ac:dyDescent="0.25">
      <c r="A1715" s="161" t="str">
        <f t="shared" si="30"/>
        <v>TANK_GERMANY</v>
      </c>
      <c r="B1715" s="9" t="s">
        <v>103</v>
      </c>
      <c r="C1715" s="4" t="s">
        <v>717</v>
      </c>
      <c r="E1715" s="4" t="s">
        <v>103</v>
      </c>
      <c r="F1715" s="4" t="s">
        <v>103</v>
      </c>
      <c r="G1715" s="14" t="s">
        <v>132</v>
      </c>
      <c r="H1715" s="4" t="s">
        <v>392</v>
      </c>
      <c r="I1715" s="4" t="s">
        <v>102</v>
      </c>
    </row>
    <row r="1716" spans="1:43" x14ac:dyDescent="0.25">
      <c r="A1716" s="161" t="str">
        <f t="shared" si="30"/>
        <v>TANK_MIDEAST</v>
      </c>
      <c r="B1716" s="9" t="s">
        <v>103</v>
      </c>
      <c r="C1716" s="4" t="s">
        <v>690</v>
      </c>
      <c r="E1716" s="4" t="s">
        <v>103</v>
      </c>
      <c r="F1716" s="4" t="s">
        <v>103</v>
      </c>
      <c r="G1716" s="14"/>
      <c r="H1716" s="4" t="s">
        <v>204</v>
      </c>
      <c r="I1716" s="4" t="s">
        <v>102</v>
      </c>
      <c r="R1716" s="11">
        <v>0.113</v>
      </c>
    </row>
    <row r="1717" spans="1:43" x14ac:dyDescent="0.25">
      <c r="A1717" s="161" t="str">
        <f t="shared" si="30"/>
        <v>TANK_NETHERLANDS</v>
      </c>
      <c r="B1717" s="9" t="s">
        <v>103</v>
      </c>
      <c r="C1717" s="4" t="s">
        <v>730</v>
      </c>
      <c r="E1717" s="4" t="s">
        <v>103</v>
      </c>
      <c r="F1717" s="4" t="s">
        <v>103</v>
      </c>
      <c r="G1717" s="14" t="s">
        <v>132</v>
      </c>
      <c r="H1717" s="4" t="s">
        <v>550</v>
      </c>
      <c r="I1717" s="4" t="s">
        <v>102</v>
      </c>
    </row>
    <row r="1718" spans="1:43" x14ac:dyDescent="0.25">
      <c r="A1718" s="161" t="str">
        <f t="shared" si="30"/>
        <v>TANK_ROME</v>
      </c>
      <c r="B1718" s="9" t="s">
        <v>103</v>
      </c>
      <c r="C1718" s="4" t="s">
        <v>734</v>
      </c>
      <c r="E1718" s="4" t="s">
        <v>103</v>
      </c>
      <c r="F1718" s="4" t="s">
        <v>103</v>
      </c>
      <c r="G1718" s="14" t="s">
        <v>132</v>
      </c>
      <c r="H1718" s="4" t="s">
        <v>127</v>
      </c>
      <c r="I1718" s="4" t="s">
        <v>1070</v>
      </c>
    </row>
    <row r="1719" spans="1:43" x14ac:dyDescent="0.25">
      <c r="A1719" s="161" t="str">
        <f t="shared" si="30"/>
        <v>TANK_SPAIN</v>
      </c>
      <c r="B1719" s="9" t="s">
        <v>103</v>
      </c>
      <c r="C1719" s="4" t="s">
        <v>738</v>
      </c>
      <c r="E1719" s="4" t="s">
        <v>103</v>
      </c>
      <c r="F1719" s="4" t="s">
        <v>103</v>
      </c>
      <c r="G1719" s="14" t="s">
        <v>132</v>
      </c>
      <c r="H1719" s="4" t="s">
        <v>664</v>
      </c>
      <c r="I1719" s="4" t="s">
        <v>102</v>
      </c>
    </row>
    <row r="1720" spans="1:43" x14ac:dyDescent="0.25">
      <c r="A1720" s="161" t="str">
        <f t="shared" si="30"/>
        <v>TANK_NORTHAF</v>
      </c>
      <c r="B1720" s="9" t="s">
        <v>103</v>
      </c>
      <c r="C1720" s="4" t="s">
        <v>2009</v>
      </c>
      <c r="D1720" s="4" t="s">
        <v>715</v>
      </c>
      <c r="E1720" s="4" t="s">
        <v>103</v>
      </c>
      <c r="F1720" s="4" t="s">
        <v>103</v>
      </c>
      <c r="G1720" s="14"/>
    </row>
    <row r="1721" spans="1:43" x14ac:dyDescent="0.25">
      <c r="A1721" s="161" t="str">
        <f t="shared" si="30"/>
        <v>TANK_SWEDEN</v>
      </c>
      <c r="B1721" s="9" t="s">
        <v>103</v>
      </c>
      <c r="C1721" s="4" t="s">
        <v>739</v>
      </c>
      <c r="E1721" s="4" t="s">
        <v>103</v>
      </c>
      <c r="F1721" s="4" t="s">
        <v>103</v>
      </c>
      <c r="G1721" s="14" t="s">
        <v>132</v>
      </c>
      <c r="H1721" s="4" t="s">
        <v>676</v>
      </c>
      <c r="I1721" s="4" t="s">
        <v>102</v>
      </c>
    </row>
    <row r="1722" spans="1:43" x14ac:dyDescent="0.25">
      <c r="A1722" s="161" t="str">
        <f t="shared" si="30"/>
        <v>TANK_OCEAN</v>
      </c>
      <c r="B1722" s="9" t="s">
        <v>103</v>
      </c>
      <c r="C1722" s="4" t="s">
        <v>994</v>
      </c>
      <c r="D1722" s="4" t="s">
        <v>690</v>
      </c>
      <c r="E1722" s="4" t="s">
        <v>103</v>
      </c>
      <c r="F1722" s="4" t="s">
        <v>103</v>
      </c>
    </row>
    <row r="1723" spans="1:43" x14ac:dyDescent="0.25">
      <c r="A1723" s="161" t="str">
        <f t="shared" si="30"/>
        <v>TANK_SAHUL</v>
      </c>
      <c r="B1723" s="9" t="s">
        <v>103</v>
      </c>
      <c r="C1723" s="4" t="s">
        <v>1787</v>
      </c>
      <c r="D1723" s="4" t="s">
        <v>730</v>
      </c>
      <c r="E1723" s="4" t="s">
        <v>103</v>
      </c>
      <c r="F1723" s="4" t="s">
        <v>103</v>
      </c>
    </row>
    <row r="1724" spans="1:43" x14ac:dyDescent="0.25">
      <c r="A1724" s="161" t="str">
        <f t="shared" si="30"/>
        <v>TANK_SEASIA</v>
      </c>
      <c r="B1724" s="9" t="s">
        <v>103</v>
      </c>
      <c r="C1724" s="4" t="s">
        <v>696</v>
      </c>
      <c r="D1724" s="4" t="s">
        <v>715</v>
      </c>
      <c r="E1724" s="4" t="s">
        <v>103</v>
      </c>
      <c r="F1724" s="4" t="s">
        <v>103</v>
      </c>
    </row>
    <row r="1725" spans="1:43" x14ac:dyDescent="0.25">
      <c r="A1725" s="161" t="str">
        <f t="shared" si="30"/>
        <v>TANK_SOUTHAM</v>
      </c>
      <c r="B1725" s="9" t="s">
        <v>103</v>
      </c>
      <c r="C1725" s="4" t="s">
        <v>691</v>
      </c>
      <c r="D1725" s="4" t="s">
        <v>690</v>
      </c>
      <c r="E1725" s="4" t="s">
        <v>103</v>
      </c>
      <c r="F1725" s="4" t="s">
        <v>103</v>
      </c>
    </row>
    <row r="1726" spans="1:43" x14ac:dyDescent="0.25">
      <c r="A1726" s="161" t="str">
        <f t="shared" si="30"/>
        <v>TANK_SOUTHAS</v>
      </c>
      <c r="B1726" s="9" t="s">
        <v>103</v>
      </c>
      <c r="C1726" s="4" t="s">
        <v>695</v>
      </c>
      <c r="D1726" s="4" t="s">
        <v>713</v>
      </c>
      <c r="E1726" s="4" t="s">
        <v>103</v>
      </c>
      <c r="F1726" s="4" t="s">
        <v>103</v>
      </c>
    </row>
    <row r="1727" spans="1:43" x14ac:dyDescent="0.25">
      <c r="A1727" s="161" t="str">
        <f t="shared" si="30"/>
        <v>TRANSPORT</v>
      </c>
      <c r="C1727" s="5"/>
      <c r="D1727" s="5"/>
      <c r="E1727" s="5" t="s">
        <v>775</v>
      </c>
      <c r="F1727" s="5" t="s">
        <v>775</v>
      </c>
      <c r="G1727" s="5"/>
      <c r="H1727" s="5" t="s">
        <v>1120</v>
      </c>
      <c r="I1727" s="5" t="s">
        <v>128</v>
      </c>
      <c r="J1727" s="6"/>
      <c r="K1727" s="7"/>
      <c r="L1727" s="13" t="s">
        <v>1712</v>
      </c>
      <c r="M1727" s="8"/>
      <c r="N1727" s="13" t="s">
        <v>1726</v>
      </c>
      <c r="O1727" s="13"/>
      <c r="P1727" s="13"/>
      <c r="Q1727" s="7">
        <v>2</v>
      </c>
      <c r="R1727" s="6">
        <v>0.11</v>
      </c>
      <c r="S1727" s="13" t="s">
        <v>1612</v>
      </c>
      <c r="T1727" s="7">
        <v>3</v>
      </c>
      <c r="U1727" s="6">
        <v>6.5000000000000002E-2</v>
      </c>
      <c r="V1727" s="5" t="s">
        <v>1695</v>
      </c>
      <c r="W1727" s="6"/>
      <c r="X1727" s="6"/>
      <c r="Y1727" s="5"/>
      <c r="Z1727" s="7">
        <v>1</v>
      </c>
      <c r="AA1727" s="6"/>
      <c r="AB1727" s="5"/>
      <c r="AC1727" s="6"/>
      <c r="AD1727" s="6"/>
      <c r="AE1727" s="5"/>
      <c r="AF1727" s="6"/>
      <c r="AG1727" s="6"/>
      <c r="AH1727" s="5"/>
      <c r="AI1727" s="6"/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0"/>
        <v>TREBUCHET</v>
      </c>
      <c r="B1728" s="9" t="s">
        <v>776</v>
      </c>
      <c r="C1728" s="5"/>
      <c r="D1728" s="5"/>
      <c r="E1728" s="5" t="s">
        <v>776</v>
      </c>
      <c r="F1728" s="5" t="s">
        <v>776</v>
      </c>
      <c r="G1728" s="5"/>
      <c r="H1728" s="5" t="s">
        <v>14</v>
      </c>
      <c r="I1728" s="5" t="s">
        <v>128</v>
      </c>
      <c r="J1728" s="6"/>
      <c r="K1728" s="6"/>
      <c r="L1728" s="13" t="s">
        <v>746</v>
      </c>
      <c r="M1728" s="8"/>
      <c r="N1728" s="5"/>
      <c r="O1728" s="5"/>
      <c r="P1728" s="5"/>
      <c r="Q1728" s="7">
        <v>2</v>
      </c>
      <c r="R1728" s="6" t="s">
        <v>1694</v>
      </c>
      <c r="S1728" s="13" t="s">
        <v>1612</v>
      </c>
      <c r="T1728" s="7">
        <v>3</v>
      </c>
      <c r="U1728" s="7" t="s">
        <v>1736</v>
      </c>
      <c r="V1728" s="5" t="s">
        <v>688</v>
      </c>
      <c r="W1728" s="6">
        <v>7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/>
      <c r="AG1728" s="6"/>
      <c r="AH1728" s="5"/>
      <c r="AI1728" s="6"/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0"/>
        <v>TRIREME</v>
      </c>
      <c r="B1729" s="9" t="s">
        <v>777</v>
      </c>
      <c r="C1729" s="5"/>
      <c r="D1729" s="5"/>
      <c r="E1729" s="5" t="s">
        <v>777</v>
      </c>
      <c r="F1729" s="5" t="s">
        <v>777</v>
      </c>
      <c r="G1729" s="5"/>
      <c r="H1729" s="5" t="s">
        <v>13</v>
      </c>
      <c r="I1729" s="5" t="s">
        <v>128</v>
      </c>
      <c r="J1729" s="6"/>
      <c r="K1729" s="7"/>
      <c r="L1729" s="13" t="s">
        <v>1711</v>
      </c>
      <c r="M1729" s="8"/>
      <c r="N1729" s="13" t="s">
        <v>1726</v>
      </c>
      <c r="O1729" s="13"/>
      <c r="P1729" s="13"/>
      <c r="Q1729" s="7">
        <v>1</v>
      </c>
      <c r="R1729" s="6">
        <v>7.0000000000000007E-2</v>
      </c>
      <c r="S1729" s="5"/>
      <c r="T1729" s="7">
        <v>2</v>
      </c>
      <c r="U1729" s="6">
        <v>5.3999999999999999E-2</v>
      </c>
      <c r="V1729" s="5" t="s">
        <v>1695</v>
      </c>
      <c r="W1729" s="6"/>
      <c r="X1729" s="6"/>
      <c r="Y1729" s="5"/>
      <c r="Z1729" s="6"/>
      <c r="AA1729" s="6"/>
      <c r="AB1729" s="5"/>
      <c r="AC1729" s="6"/>
      <c r="AD1729" s="6"/>
      <c r="AE1729" s="5"/>
      <c r="AF1729" s="6"/>
      <c r="AG1729" s="6"/>
      <c r="AH1729" s="5"/>
      <c r="AI1729" s="6"/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0"/>
        <v>TRIREME_NORTHEU</v>
      </c>
      <c r="B1730" s="9" t="s">
        <v>777</v>
      </c>
      <c r="C1730" s="5" t="s">
        <v>962</v>
      </c>
      <c r="D1730" s="5"/>
      <c r="E1730" s="5" t="s">
        <v>777</v>
      </c>
      <c r="F1730" s="5" t="s">
        <v>777</v>
      </c>
      <c r="G1730" s="5"/>
      <c r="H1730" s="5" t="s">
        <v>1947</v>
      </c>
      <c r="I1730" s="5" t="s">
        <v>1948</v>
      </c>
      <c r="J1730" s="6"/>
      <c r="K1730" s="7"/>
      <c r="L1730" s="13"/>
      <c r="M1730" s="8"/>
      <c r="N1730" s="13"/>
      <c r="O1730" s="13"/>
      <c r="P1730" s="13"/>
      <c r="Q1730" s="7"/>
      <c r="R1730" s="6">
        <v>0.08</v>
      </c>
      <c r="S1730" s="5"/>
      <c r="T1730" s="7"/>
      <c r="U1730" s="6"/>
      <c r="V1730" s="5"/>
      <c r="W1730" s="6"/>
      <c r="X1730" s="6"/>
      <c r="Y1730" s="5"/>
      <c r="Z1730" s="6"/>
      <c r="AA1730" s="6"/>
      <c r="AB1730" s="5"/>
      <c r="AC1730" s="6"/>
      <c r="AD1730" s="6"/>
      <c r="AE1730" s="5"/>
      <c r="AF1730" s="6"/>
      <c r="AG1730" s="6"/>
      <c r="AH1730" s="5"/>
      <c r="AI1730" s="6"/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ref="A1731:A1795" si="31">CONCATENATE(E1731,IF(ISBLANK(C1731),"",CONCATENATE("_",C1731)))</f>
        <v>U_AMERICAN_B17</v>
      </c>
      <c r="B1731" s="9" t="s">
        <v>2323</v>
      </c>
      <c r="C1731" s="5"/>
      <c r="D1731" s="5"/>
      <c r="E1731" s="5" t="s">
        <v>1543</v>
      </c>
      <c r="F1731" s="5" t="s">
        <v>1543</v>
      </c>
      <c r="G1731" s="5"/>
      <c r="H1731" s="5" t="s">
        <v>1669</v>
      </c>
      <c r="I1731" s="5" t="s">
        <v>128</v>
      </c>
      <c r="J1731" s="6"/>
      <c r="K1731" s="7"/>
      <c r="L1731" s="13" t="s">
        <v>1710</v>
      </c>
      <c r="M1731" s="8">
        <v>1.7</v>
      </c>
      <c r="N1731" s="13" t="s">
        <v>1724</v>
      </c>
      <c r="O1731" s="13"/>
      <c r="P1731" s="13"/>
      <c r="Q1731" s="7">
        <v>1</v>
      </c>
      <c r="R1731" s="6">
        <v>0.08</v>
      </c>
      <c r="S1731" s="13" t="s">
        <v>1614</v>
      </c>
      <c r="T1731" s="7">
        <v>3</v>
      </c>
      <c r="U1731" s="6">
        <v>0.1</v>
      </c>
      <c r="V1731" s="5"/>
      <c r="W1731" s="6" t="s">
        <v>3</v>
      </c>
      <c r="X1731" s="6" t="s">
        <v>3</v>
      </c>
      <c r="Y1731" s="5"/>
      <c r="Z1731" s="6"/>
      <c r="AA1731" s="6"/>
      <c r="AB1731" s="5"/>
      <c r="AC1731" s="6"/>
      <c r="AD1731" s="6" t="s">
        <v>3</v>
      </c>
      <c r="AE1731" s="5"/>
      <c r="AF1731" s="6"/>
      <c r="AG1731" s="6"/>
      <c r="AH1731" s="5"/>
      <c r="AI1731" s="6"/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U_AMERICAN_MINUTEMAN</v>
      </c>
      <c r="B1732" s="9" t="s">
        <v>2324</v>
      </c>
      <c r="C1732" s="5"/>
      <c r="D1732" s="5"/>
      <c r="E1732" s="5" t="s">
        <v>1544</v>
      </c>
      <c r="F1732" s="5" t="s">
        <v>1544</v>
      </c>
      <c r="G1732" s="5"/>
      <c r="H1732" s="5" t="s">
        <v>1670</v>
      </c>
      <c r="I1732" s="5" t="s">
        <v>128</v>
      </c>
      <c r="J1732" s="6"/>
      <c r="K1732" s="6"/>
      <c r="L1732" s="13" t="s">
        <v>1707</v>
      </c>
      <c r="M1732" s="8"/>
      <c r="N1732" s="5"/>
      <c r="O1732" s="5"/>
      <c r="P1732" s="5"/>
      <c r="Q1732" s="7">
        <v>14</v>
      </c>
      <c r="R1732" s="6" t="s">
        <v>1736</v>
      </c>
      <c r="S1732" s="13" t="s">
        <v>1618</v>
      </c>
      <c r="T1732" s="6">
        <v>19</v>
      </c>
      <c r="U1732" s="7" t="s">
        <v>1736</v>
      </c>
      <c r="V1732" s="5"/>
      <c r="W1732" s="6" t="s">
        <v>3</v>
      </c>
      <c r="X1732" s="6" t="s">
        <v>3</v>
      </c>
      <c r="Y1732" s="5"/>
      <c r="Z1732" s="7">
        <v>1</v>
      </c>
      <c r="AA1732" s="6"/>
      <c r="AB1732" s="5"/>
      <c r="AC1732" s="6"/>
      <c r="AD1732" s="6" t="s">
        <v>3</v>
      </c>
      <c r="AE1732" s="5"/>
      <c r="AF1732" s="6" t="s">
        <v>1736</v>
      </c>
      <c r="AG1732" s="6"/>
      <c r="AH1732" s="5"/>
      <c r="AI1732" s="6" t="s">
        <v>1736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 t="shared" si="31"/>
        <v>U_ARABIAN_CAMELARCHER</v>
      </c>
      <c r="B1733" s="9" t="s">
        <v>2325</v>
      </c>
      <c r="C1733" s="5"/>
      <c r="D1733" s="5"/>
      <c r="E1733" s="5" t="s">
        <v>1545</v>
      </c>
      <c r="F1733" s="5" t="s">
        <v>1545</v>
      </c>
      <c r="G1733" s="5"/>
      <c r="H1733" s="5" t="s">
        <v>1671</v>
      </c>
      <c r="I1733" s="5" t="s">
        <v>128</v>
      </c>
      <c r="J1733" s="6"/>
      <c r="K1733" s="6"/>
      <c r="L1733" s="13" t="s">
        <v>1713</v>
      </c>
      <c r="M1733" s="8"/>
      <c r="N1733" s="5"/>
      <c r="O1733" s="5"/>
      <c r="P1733" s="5"/>
      <c r="Q1733" s="7" t="s">
        <v>1694</v>
      </c>
      <c r="R1733" s="6" t="s">
        <v>1694</v>
      </c>
      <c r="S1733" s="13" t="s">
        <v>1694</v>
      </c>
      <c r="T1733" s="6" t="s">
        <v>1694</v>
      </c>
      <c r="U1733" s="7" t="s">
        <v>1694</v>
      </c>
      <c r="V1733" s="5"/>
      <c r="W1733" s="6" t="s">
        <v>3</v>
      </c>
      <c r="X1733" s="6" t="s">
        <v>3</v>
      </c>
      <c r="Y1733" s="5"/>
      <c r="Z1733" s="7">
        <v>1</v>
      </c>
      <c r="AA1733" s="6"/>
      <c r="AB1733" s="5"/>
      <c r="AC1733" s="6"/>
      <c r="AD1733" s="6" t="s">
        <v>3</v>
      </c>
      <c r="AE1733" s="5"/>
      <c r="AF1733" s="6" t="s">
        <v>1694</v>
      </c>
      <c r="AG1733" s="6"/>
      <c r="AH1733" s="5"/>
      <c r="AI1733" s="6"/>
      <c r="AJ1733" s="6"/>
      <c r="AK1733" s="5"/>
      <c r="AL1733" s="5"/>
      <c r="AM1733" s="5"/>
      <c r="AN1733" s="5"/>
      <c r="AO1733" s="5"/>
      <c r="AP1733" s="5"/>
      <c r="AQ1733" s="5"/>
    </row>
    <row r="1734" spans="1:43" x14ac:dyDescent="0.25">
      <c r="A1734" s="161" t="str">
        <f t="shared" si="31"/>
        <v>U_ASSYRIAN_SIEGE_TOWER</v>
      </c>
      <c r="B1734" s="9" t="s">
        <v>2326</v>
      </c>
      <c r="C1734" s="5"/>
      <c r="D1734" s="5"/>
      <c r="E1734" s="5" t="s">
        <v>1546</v>
      </c>
      <c r="F1734" s="5" t="s">
        <v>1546</v>
      </c>
      <c r="G1734" s="5"/>
      <c r="H1734" s="5" t="s">
        <v>1627</v>
      </c>
      <c r="I1734" s="5" t="s">
        <v>128</v>
      </c>
      <c r="J1734" s="6"/>
      <c r="K1734" s="6"/>
      <c r="L1734" s="13" t="s">
        <v>746</v>
      </c>
      <c r="M1734" s="8"/>
      <c r="N1734" s="5"/>
      <c r="O1734" s="5"/>
      <c r="P1734" s="5"/>
      <c r="Q1734" s="7">
        <v>1</v>
      </c>
      <c r="R1734" s="6">
        <v>0.1</v>
      </c>
      <c r="S1734" s="13" t="s">
        <v>1612</v>
      </c>
      <c r="T1734" s="6"/>
      <c r="U1734" s="6" t="s">
        <v>1736</v>
      </c>
      <c r="V1734" s="5"/>
      <c r="W1734" s="6">
        <v>4</v>
      </c>
      <c r="X1734" s="6" t="s">
        <v>3</v>
      </c>
      <c r="Y1734" s="5"/>
      <c r="Z1734" s="6"/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U_AUSTRIAN_HUSSAR</v>
      </c>
      <c r="B1735" s="9" t="s">
        <v>2327</v>
      </c>
      <c r="C1735" s="5"/>
      <c r="D1735" s="5"/>
      <c r="E1735" s="5" t="s">
        <v>1547</v>
      </c>
      <c r="F1735" s="5" t="s">
        <v>1547</v>
      </c>
      <c r="G1735" s="5"/>
      <c r="H1735" s="5" t="s">
        <v>1628</v>
      </c>
      <c r="I1735" s="5" t="s">
        <v>128</v>
      </c>
      <c r="J1735" s="6"/>
      <c r="K1735" s="6"/>
      <c r="L1735" s="13" t="s">
        <v>1713</v>
      </c>
      <c r="M1735" s="8"/>
      <c r="N1735" s="5"/>
      <c r="O1735" s="5"/>
      <c r="P1735" s="5"/>
      <c r="Q1735" s="7" t="s">
        <v>1694</v>
      </c>
      <c r="R1735" s="6" t="s">
        <v>1694</v>
      </c>
      <c r="S1735" s="13" t="s">
        <v>1694</v>
      </c>
      <c r="T1735" s="6" t="s">
        <v>1694</v>
      </c>
      <c r="U1735" s="7" t="s">
        <v>1694</v>
      </c>
      <c r="V1735" s="5"/>
      <c r="W1735" s="7" t="s">
        <v>3</v>
      </c>
      <c r="X1735" s="6" t="s">
        <v>3</v>
      </c>
      <c r="Y1735" s="5"/>
      <c r="Z1735" s="6">
        <v>1</v>
      </c>
      <c r="AA1735" s="6"/>
      <c r="AB1735" s="5"/>
      <c r="AC1735" s="6"/>
      <c r="AD1735" s="6" t="s">
        <v>3</v>
      </c>
      <c r="AE1735" s="5"/>
      <c r="AF1735" s="6" t="s">
        <v>1694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U_AZTEC_JAGUAR</v>
      </c>
      <c r="B1736" s="9" t="s">
        <v>2328</v>
      </c>
      <c r="C1736" s="5"/>
      <c r="D1736" s="5"/>
      <c r="E1736" s="5" t="s">
        <v>1548</v>
      </c>
      <c r="F1736" s="5" t="s">
        <v>1548</v>
      </c>
      <c r="G1736" s="5"/>
      <c r="H1736" s="5" t="s">
        <v>1672</v>
      </c>
      <c r="I1736" s="5" t="s">
        <v>128</v>
      </c>
      <c r="J1736" s="6"/>
      <c r="K1736" s="6"/>
      <c r="L1736" s="13" t="s">
        <v>1707</v>
      </c>
      <c r="M1736" s="8"/>
      <c r="N1736" s="5"/>
      <c r="O1736" s="5"/>
      <c r="P1736" s="5"/>
      <c r="Q1736" s="7" t="s">
        <v>1736</v>
      </c>
      <c r="R1736" s="6" t="s">
        <v>1736</v>
      </c>
      <c r="S1736" s="13" t="s">
        <v>1619</v>
      </c>
      <c r="T1736" s="6">
        <v>18</v>
      </c>
      <c r="U1736" s="7" t="s">
        <v>1736</v>
      </c>
      <c r="V1736" s="5"/>
      <c r="W1736" s="7" t="s">
        <v>3</v>
      </c>
      <c r="X1736" s="6" t="s">
        <v>3</v>
      </c>
      <c r="Y1736" s="5"/>
      <c r="Z1736" s="7">
        <v>1</v>
      </c>
      <c r="AA1736" s="6"/>
      <c r="AB1736" s="5"/>
      <c r="AC1736" s="6"/>
      <c r="AD1736" s="6" t="s">
        <v>3</v>
      </c>
      <c r="AE1736" s="5"/>
      <c r="AF1736" s="7" t="s">
        <v>1736</v>
      </c>
      <c r="AG1736" s="6"/>
      <c r="AH1736" s="5"/>
      <c r="AI1736" s="6" t="s">
        <v>1736</v>
      </c>
      <c r="AJ1736" s="6"/>
      <c r="AK1736" s="5"/>
      <c r="AL1736" s="5"/>
      <c r="AM1736" s="5"/>
      <c r="AN1736" s="5"/>
      <c r="AO1736" s="5"/>
      <c r="AP1736" s="5"/>
      <c r="AQ1736" s="5"/>
    </row>
    <row r="1737" spans="1:43" x14ac:dyDescent="0.25">
      <c r="A1737" s="161" t="str">
        <f t="shared" si="31"/>
        <v>U_BABYLONIAN_BOWMAN</v>
      </c>
      <c r="B1737" s="9" t="s">
        <v>2329</v>
      </c>
      <c r="C1737" s="5"/>
      <c r="D1737" s="5"/>
      <c r="E1737" s="5" t="s">
        <v>1549</v>
      </c>
      <c r="F1737" s="5" t="s">
        <v>1549</v>
      </c>
      <c r="G1737" s="5"/>
      <c r="H1737" s="5" t="s">
        <v>1629</v>
      </c>
      <c r="I1737" s="5" t="s">
        <v>128</v>
      </c>
      <c r="J1737" s="6"/>
      <c r="K1737" s="6"/>
      <c r="L1737" s="13" t="s">
        <v>1707</v>
      </c>
      <c r="M1737" s="8"/>
      <c r="N1737" s="5"/>
      <c r="O1737" s="5"/>
      <c r="P1737" s="5"/>
      <c r="Q1737" s="7" t="s">
        <v>1736</v>
      </c>
      <c r="R1737" s="6" t="s">
        <v>1736</v>
      </c>
      <c r="S1737" s="13" t="s">
        <v>44</v>
      </c>
      <c r="T1737" s="6" t="s">
        <v>1736</v>
      </c>
      <c r="U1737" s="7" t="s">
        <v>1736</v>
      </c>
      <c r="V1737" s="5"/>
      <c r="W1737" s="7" t="s">
        <v>3</v>
      </c>
      <c r="X1737" s="6" t="s">
        <v>3</v>
      </c>
      <c r="Y1737" s="5"/>
      <c r="Z1737" s="7">
        <v>1</v>
      </c>
      <c r="AA1737" s="6"/>
      <c r="AB1737" s="5"/>
      <c r="AC1737" s="6"/>
      <c r="AD1737" s="6" t="s">
        <v>3</v>
      </c>
      <c r="AE1737" s="5"/>
      <c r="AF1737" s="7" t="s">
        <v>1736</v>
      </c>
      <c r="AG1737" s="6"/>
      <c r="AH1737" s="5"/>
      <c r="AI1737" s="6" t="s">
        <v>1736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31"/>
        <v>U_BRAZILIAN_PRACINHAS</v>
      </c>
      <c r="B1738" s="9" t="s">
        <v>2368</v>
      </c>
      <c r="C1738" s="5"/>
      <c r="D1738" s="5"/>
      <c r="E1738" s="5" t="s">
        <v>1550</v>
      </c>
      <c r="F1738" s="5" t="s">
        <v>1550</v>
      </c>
      <c r="G1738" s="5"/>
      <c r="H1738" s="5" t="s">
        <v>1630</v>
      </c>
      <c r="I1738" s="5" t="s">
        <v>128</v>
      </c>
      <c r="J1738" s="6"/>
      <c r="K1738" s="6"/>
      <c r="L1738" s="13" t="s">
        <v>1707</v>
      </c>
      <c r="M1738" s="8"/>
      <c r="N1738" s="5"/>
      <c r="O1738" s="5"/>
      <c r="P1738" s="5"/>
      <c r="Q1738" s="7" t="s">
        <v>1736</v>
      </c>
      <c r="R1738" s="6" t="s">
        <v>1736</v>
      </c>
      <c r="S1738" s="13" t="s">
        <v>1619</v>
      </c>
      <c r="T1738" s="6"/>
      <c r="U1738" s="7" t="s">
        <v>1694</v>
      </c>
      <c r="V1738" s="5"/>
      <c r="W1738" s="7" t="s">
        <v>3</v>
      </c>
      <c r="X1738" s="6" t="s">
        <v>3</v>
      </c>
      <c r="Y1738" s="5"/>
      <c r="Z1738" s="7">
        <v>1</v>
      </c>
      <c r="AA1738" s="6"/>
      <c r="AB1738" s="5"/>
      <c r="AC1738" s="6"/>
      <c r="AD1738" s="6" t="s">
        <v>3</v>
      </c>
      <c r="AE1738" s="5"/>
      <c r="AF1738" s="7" t="s">
        <v>1694</v>
      </c>
      <c r="AG1738" s="6"/>
      <c r="AH1738" s="5"/>
      <c r="AI1738" s="6" t="s">
        <v>1736</v>
      </c>
      <c r="AJ1738" s="6"/>
      <c r="AK1738" s="5"/>
      <c r="AL1738" s="5"/>
      <c r="AM1738" s="5"/>
      <c r="AN1738" s="5"/>
      <c r="AO1738" s="5"/>
      <c r="AP1738" s="5"/>
      <c r="AQ1738" s="5"/>
    </row>
    <row r="1739" spans="1:43" x14ac:dyDescent="0.25">
      <c r="A1739" s="161" t="str">
        <f t="shared" si="31"/>
        <v>U_BYZANTIUM_CATAPHRACT</v>
      </c>
      <c r="B1739" s="9" t="s">
        <v>2369</v>
      </c>
      <c r="C1739" s="5"/>
      <c r="D1739" s="5"/>
      <c r="E1739" s="5" t="s">
        <v>1551</v>
      </c>
      <c r="F1739" s="5" t="s">
        <v>1551</v>
      </c>
      <c r="G1739" s="5"/>
      <c r="H1739" s="5" t="s">
        <v>1631</v>
      </c>
      <c r="I1739" s="5" t="s">
        <v>128</v>
      </c>
      <c r="J1739" s="6"/>
      <c r="K1739" s="6"/>
      <c r="L1739" s="13" t="s">
        <v>1713</v>
      </c>
      <c r="M1739" s="8"/>
      <c r="N1739" s="5"/>
      <c r="O1739" s="5"/>
      <c r="P1739" s="5"/>
      <c r="Q1739" s="7" t="s">
        <v>1694</v>
      </c>
      <c r="R1739" s="6" t="s">
        <v>1694</v>
      </c>
      <c r="S1739" s="13" t="s">
        <v>1694</v>
      </c>
      <c r="T1739" s="6" t="s">
        <v>1694</v>
      </c>
      <c r="U1739" s="7" t="s">
        <v>1694</v>
      </c>
      <c r="V1739" s="5" t="s">
        <v>1700</v>
      </c>
      <c r="W1739" s="7" t="s">
        <v>3</v>
      </c>
      <c r="X1739" s="6" t="s">
        <v>3</v>
      </c>
      <c r="Y1739" s="5"/>
      <c r="Z1739" s="7">
        <v>1</v>
      </c>
      <c r="AA1739" s="6"/>
      <c r="AB1739" s="5"/>
      <c r="AC1739" s="6"/>
      <c r="AD1739" s="6" t="s">
        <v>3</v>
      </c>
      <c r="AE1739" s="5"/>
      <c r="AF1739" s="7" t="s">
        <v>1694</v>
      </c>
      <c r="AG1739" s="6"/>
      <c r="AH1739" s="5"/>
      <c r="AI1739" s="6"/>
      <c r="AJ1739" s="6"/>
      <c r="AK1739" s="5"/>
      <c r="AL1739" s="5"/>
      <c r="AM1739" s="5"/>
      <c r="AN1739" s="5"/>
      <c r="AO1739" s="5"/>
      <c r="AP1739" s="5"/>
      <c r="AQ1739" s="5"/>
    </row>
    <row r="1740" spans="1:43" x14ac:dyDescent="0.25">
      <c r="A1740" s="161" t="str">
        <f t="shared" si="31"/>
        <v>U_BYZANTIUM_DROMON</v>
      </c>
      <c r="B1740" s="9" t="s">
        <v>2370</v>
      </c>
      <c r="C1740" s="5"/>
      <c r="D1740" s="5"/>
      <c r="E1740" s="5" t="s">
        <v>1552</v>
      </c>
      <c r="F1740" s="5" t="s">
        <v>1552</v>
      </c>
      <c r="G1740" s="5"/>
      <c r="H1740" s="5" t="s">
        <v>1632</v>
      </c>
      <c r="I1740" s="5" t="s">
        <v>128</v>
      </c>
      <c r="J1740" s="6"/>
      <c r="K1740" s="7"/>
      <c r="L1740" s="13" t="s">
        <v>1711</v>
      </c>
      <c r="M1740" s="8"/>
      <c r="N1740" s="13" t="s">
        <v>1726</v>
      </c>
      <c r="O1740" s="13"/>
      <c r="P1740" s="13"/>
      <c r="Q1740" s="7">
        <v>1</v>
      </c>
      <c r="R1740" s="6">
        <v>0.16</v>
      </c>
      <c r="S1740" s="5"/>
      <c r="T1740" s="7">
        <v>2</v>
      </c>
      <c r="U1740" s="6">
        <v>0.11</v>
      </c>
      <c r="V1740" s="5" t="s">
        <v>1695</v>
      </c>
      <c r="W1740" s="6"/>
      <c r="X1740" s="6"/>
      <c r="Y1740" s="5"/>
      <c r="Z1740" s="6"/>
      <c r="AA1740" s="6"/>
      <c r="AB1740" s="5"/>
      <c r="AC1740" s="6"/>
      <c r="AD1740" s="6"/>
      <c r="AE1740" s="5"/>
      <c r="AF1740" s="6"/>
      <c r="AG1740" s="6"/>
      <c r="AH1740" s="5"/>
      <c r="AI1740" s="6"/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1"/>
        <v>U_CARTHAGE_AFRICANFOREST_ELEPHANT</v>
      </c>
      <c r="B1741" s="9" t="s">
        <v>2371</v>
      </c>
      <c r="C1741" s="5"/>
      <c r="D1741" s="5"/>
      <c r="E1741" s="5" t="s">
        <v>1553</v>
      </c>
      <c r="F1741" s="5" t="s">
        <v>1553</v>
      </c>
      <c r="G1741" s="5"/>
      <c r="H1741" s="5" t="s">
        <v>1633</v>
      </c>
      <c r="I1741" s="5" t="s">
        <v>128</v>
      </c>
      <c r="J1741" s="6"/>
      <c r="K1741" s="6"/>
      <c r="L1741" s="13" t="s">
        <v>1713</v>
      </c>
      <c r="M1741" s="8"/>
      <c r="N1741" s="5"/>
      <c r="O1741" s="5"/>
      <c r="P1741" s="5"/>
      <c r="Q1741" s="7">
        <v>2</v>
      </c>
      <c r="R1741" s="6">
        <v>0.13</v>
      </c>
      <c r="S1741" s="13" t="s">
        <v>1617</v>
      </c>
      <c r="T1741" s="6">
        <v>3</v>
      </c>
      <c r="U1741" s="6" t="s">
        <v>1694</v>
      </c>
      <c r="V1741" s="5"/>
      <c r="W1741" s="7" t="s">
        <v>3</v>
      </c>
      <c r="X1741" s="6" t="s">
        <v>3</v>
      </c>
      <c r="Y1741" s="5"/>
      <c r="Z1741" s="7">
        <v>1</v>
      </c>
      <c r="AA1741" s="6"/>
      <c r="AB1741" s="5"/>
      <c r="AC1741" s="6"/>
      <c r="AD1741" s="6" t="s">
        <v>3</v>
      </c>
      <c r="AE1741" s="5"/>
      <c r="AF1741" s="6"/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1"/>
        <v>U_CARTHAGE_QUINQUEREME</v>
      </c>
      <c r="B1742" s="9" t="s">
        <v>2372</v>
      </c>
      <c r="C1742" s="5"/>
      <c r="D1742" s="5"/>
      <c r="E1742" s="5" t="s">
        <v>1554</v>
      </c>
      <c r="F1742" s="5" t="s">
        <v>1554</v>
      </c>
      <c r="G1742" s="5"/>
      <c r="H1742" s="5" t="s">
        <v>1634</v>
      </c>
      <c r="I1742" s="5" t="s">
        <v>128</v>
      </c>
      <c r="J1742" s="6"/>
      <c r="K1742" s="7"/>
      <c r="L1742" s="13" t="s">
        <v>1711</v>
      </c>
      <c r="M1742" s="8"/>
      <c r="N1742" s="13" t="s">
        <v>1726</v>
      </c>
      <c r="O1742" s="13"/>
      <c r="P1742" s="13"/>
      <c r="Q1742" s="7">
        <v>1</v>
      </c>
      <c r="R1742" s="6">
        <v>7.2999999999999995E-2</v>
      </c>
      <c r="S1742" s="5"/>
      <c r="T1742" s="7">
        <v>2</v>
      </c>
      <c r="U1742" s="6">
        <v>0.05</v>
      </c>
      <c r="V1742" s="5" t="s">
        <v>1697</v>
      </c>
      <c r="W1742" s="6"/>
      <c r="X1742" s="6"/>
      <c r="Y1742" s="5"/>
      <c r="Z1742" s="6"/>
      <c r="AA1742" s="6"/>
      <c r="AB1742" s="5"/>
      <c r="AC1742" s="6"/>
      <c r="AD1742" s="6"/>
      <c r="AE1742" s="5"/>
      <c r="AF1742" s="6"/>
      <c r="AG1742" s="6"/>
      <c r="AH1742" s="5"/>
      <c r="AI1742" s="6"/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1"/>
        <v>U_CELT_PICTISH_WARRIOR</v>
      </c>
      <c r="B1743" s="9" t="s">
        <v>2330</v>
      </c>
      <c r="C1743" s="5"/>
      <c r="D1743" s="5"/>
      <c r="E1743" s="5" t="s">
        <v>1555</v>
      </c>
      <c r="F1743" s="5" t="s">
        <v>1555</v>
      </c>
      <c r="G1743" s="5"/>
      <c r="H1743" s="5" t="s">
        <v>1635</v>
      </c>
      <c r="I1743" s="5" t="s">
        <v>128</v>
      </c>
      <c r="J1743" s="6"/>
      <c r="K1743" s="6"/>
      <c r="L1743" s="13" t="s">
        <v>1707</v>
      </c>
      <c r="M1743" s="8"/>
      <c r="N1743" s="5"/>
      <c r="O1743" s="5"/>
      <c r="P1743" s="5"/>
      <c r="Q1743" s="7">
        <v>10</v>
      </c>
      <c r="R1743" s="6" t="s">
        <v>1736</v>
      </c>
      <c r="S1743" s="13" t="s">
        <v>1619</v>
      </c>
      <c r="T1743" s="6">
        <v>18</v>
      </c>
      <c r="U1743" s="7" t="s">
        <v>1736</v>
      </c>
      <c r="V1743" s="5"/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 t="s">
        <v>1736</v>
      </c>
      <c r="AG1743" s="6"/>
      <c r="AH1743" s="5"/>
      <c r="AI1743" s="6">
        <v>6</v>
      </c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U_CHINESE_CHUKONU</v>
      </c>
      <c r="B1744" s="9" t="s">
        <v>2331</v>
      </c>
      <c r="C1744" s="5"/>
      <c r="D1744" s="5"/>
      <c r="E1744" s="5" t="s">
        <v>1556</v>
      </c>
      <c r="F1744" s="5" t="s">
        <v>1556</v>
      </c>
      <c r="G1744" s="5"/>
      <c r="H1744" s="5" t="s">
        <v>1673</v>
      </c>
      <c r="I1744" s="5" t="s">
        <v>128</v>
      </c>
      <c r="J1744" s="6"/>
      <c r="K1744" s="6"/>
      <c r="L1744" s="13" t="s">
        <v>1707</v>
      </c>
      <c r="M1744" s="8"/>
      <c r="N1744" s="5"/>
      <c r="O1744" s="5"/>
      <c r="P1744" s="5"/>
      <c r="Q1744" s="7" t="s">
        <v>1736</v>
      </c>
      <c r="R1744" s="6" t="s">
        <v>1736</v>
      </c>
      <c r="S1744" s="13" t="s">
        <v>44</v>
      </c>
      <c r="T1744" s="7">
        <v>15</v>
      </c>
      <c r="U1744" s="7" t="s">
        <v>1736</v>
      </c>
      <c r="V1744" s="5" t="s">
        <v>34</v>
      </c>
      <c r="W1744" s="6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6" t="s">
        <v>1736</v>
      </c>
      <c r="AG1744" s="6"/>
      <c r="AH1744" s="5"/>
      <c r="AI1744" s="6" t="s">
        <v>1736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U_DANISH_BERSERKER</v>
      </c>
      <c r="B1745" s="9" t="s">
        <v>2332</v>
      </c>
      <c r="C1745" s="5"/>
      <c r="D1745" s="5"/>
      <c r="E1745" s="5" t="s">
        <v>1557</v>
      </c>
      <c r="F1745" s="5" t="s">
        <v>1557</v>
      </c>
      <c r="G1745" s="5"/>
      <c r="H1745" s="5" t="s">
        <v>1636</v>
      </c>
      <c r="I1745" s="5" t="s">
        <v>128</v>
      </c>
      <c r="J1745" s="6"/>
      <c r="K1745" s="6"/>
      <c r="L1745" s="13" t="s">
        <v>1717</v>
      </c>
      <c r="M1745" s="8"/>
      <c r="N1745" s="5"/>
      <c r="O1745" s="5"/>
      <c r="P1745" s="5"/>
      <c r="Q1745" s="7" t="s">
        <v>1736</v>
      </c>
      <c r="R1745" s="6">
        <v>0.14000000000000001</v>
      </c>
      <c r="S1745" s="13" t="s">
        <v>1619</v>
      </c>
      <c r="T1745" s="7">
        <v>18</v>
      </c>
      <c r="U1745" s="6">
        <v>9.8000000000000004E-2</v>
      </c>
      <c r="V1745" s="5"/>
      <c r="W1745" s="6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6" t="s">
        <v>1736</v>
      </c>
      <c r="AG1745" s="6"/>
      <c r="AH1745" s="5"/>
      <c r="AI1745" s="6" t="s">
        <v>1736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U_DANISH_LONGBOAT</v>
      </c>
      <c r="C1746" s="5"/>
      <c r="D1746" s="5"/>
      <c r="E1746" s="5" t="s">
        <v>1558</v>
      </c>
      <c r="F1746" s="5" t="s">
        <v>1558</v>
      </c>
      <c r="G1746" s="5"/>
      <c r="H1746" s="5" t="s">
        <v>992</v>
      </c>
      <c r="I1746" s="5" t="s">
        <v>128</v>
      </c>
      <c r="J1746" s="6"/>
      <c r="K1746" s="7"/>
      <c r="L1746" s="13" t="s">
        <v>1711</v>
      </c>
      <c r="M1746" s="8"/>
      <c r="N1746" s="13" t="s">
        <v>1726</v>
      </c>
      <c r="O1746" s="13"/>
      <c r="P1746" s="13"/>
      <c r="Q1746" s="7">
        <v>2</v>
      </c>
      <c r="R1746" s="6">
        <v>0.1</v>
      </c>
      <c r="S1746" s="13" t="s">
        <v>1612</v>
      </c>
      <c r="T1746" s="7">
        <v>4</v>
      </c>
      <c r="U1746" s="6">
        <v>5.5E-2</v>
      </c>
      <c r="V1746" s="5" t="s">
        <v>1695</v>
      </c>
      <c r="W1746" s="6"/>
      <c r="X1746" s="6"/>
      <c r="Y1746" s="5"/>
      <c r="Z1746" s="7">
        <v>1</v>
      </c>
      <c r="AA1746" s="6"/>
      <c r="AB1746" s="5"/>
      <c r="AC1746" s="6"/>
      <c r="AD1746" s="6"/>
      <c r="AE1746" s="5"/>
      <c r="AF1746" s="6"/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U_DANISH_SKI_INFANTRY</v>
      </c>
      <c r="B1747" s="9" t="s">
        <v>2333</v>
      </c>
      <c r="C1747" s="5"/>
      <c r="D1747" s="5"/>
      <c r="E1747" s="5" t="s">
        <v>1559</v>
      </c>
      <c r="F1747" s="5" t="s">
        <v>1608</v>
      </c>
      <c r="G1747" s="5"/>
      <c r="H1747" s="5" t="s">
        <v>1637</v>
      </c>
      <c r="I1747" s="5" t="s">
        <v>128</v>
      </c>
      <c r="J1747" s="6"/>
      <c r="K1747" s="6"/>
      <c r="L1747" s="13" t="s">
        <v>1707</v>
      </c>
      <c r="M1747" s="8"/>
      <c r="N1747" s="5"/>
      <c r="O1747" s="5"/>
      <c r="P1747" s="5"/>
      <c r="Q1747" s="7">
        <v>14</v>
      </c>
      <c r="R1747" s="6">
        <v>0.13</v>
      </c>
      <c r="S1747" s="13" t="s">
        <v>1618</v>
      </c>
      <c r="T1747" s="7">
        <v>19</v>
      </c>
      <c r="U1747" s="6">
        <v>8.6999999999999994E-2</v>
      </c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1736</v>
      </c>
      <c r="AG1747" s="6"/>
      <c r="AH1747" s="5"/>
      <c r="AI1747" s="7" t="s">
        <v>1736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U_DUTCH_SEA_BEGGARS</v>
      </c>
      <c r="B1748" s="9" t="s">
        <v>2373</v>
      </c>
      <c r="C1748" s="5"/>
      <c r="D1748" s="5"/>
      <c r="E1748" s="5" t="s">
        <v>1560</v>
      </c>
      <c r="F1748" s="5" t="s">
        <v>1560</v>
      </c>
      <c r="G1748" s="5"/>
      <c r="H1748" s="5" t="s">
        <v>1638</v>
      </c>
      <c r="I1748" s="5" t="s">
        <v>128</v>
      </c>
      <c r="J1748" s="6"/>
      <c r="K1748" s="7"/>
      <c r="L1748" s="13" t="s">
        <v>1711</v>
      </c>
      <c r="M1748" s="8"/>
      <c r="N1748" s="13" t="s">
        <v>1726</v>
      </c>
      <c r="O1748" s="13"/>
      <c r="P1748" s="13"/>
      <c r="Q1748" s="7">
        <v>1</v>
      </c>
      <c r="R1748" s="6" t="s">
        <v>1736</v>
      </c>
      <c r="S1748" s="5"/>
      <c r="T1748" s="6"/>
      <c r="U1748" s="6">
        <v>0.1</v>
      </c>
      <c r="V1748" s="5" t="s">
        <v>1695</v>
      </c>
      <c r="W1748" s="6"/>
      <c r="X1748" s="6"/>
      <c r="Y1748" s="5"/>
      <c r="Z1748" s="6"/>
      <c r="AA1748" s="6"/>
      <c r="AB1748" s="5"/>
      <c r="AC1748" s="6"/>
      <c r="AD1748" s="6"/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U_EGYPTIAN_WARCHARIOT</v>
      </c>
      <c r="B1749" s="9" t="s">
        <v>2334</v>
      </c>
      <c r="C1749" s="5"/>
      <c r="D1749" s="5"/>
      <c r="E1749" s="5" t="s">
        <v>1561</v>
      </c>
      <c r="F1749" s="5" t="s">
        <v>1561</v>
      </c>
      <c r="G1749" s="5"/>
      <c r="H1749" s="5" t="s">
        <v>1674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>
        <v>2</v>
      </c>
      <c r="R1749" s="6">
        <v>0.13</v>
      </c>
      <c r="S1749" s="13" t="s">
        <v>1617</v>
      </c>
      <c r="T1749" s="7">
        <v>3</v>
      </c>
      <c r="U1749" s="6" t="s">
        <v>1694</v>
      </c>
      <c r="V1749" s="5"/>
      <c r="W1749" s="6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6"/>
      <c r="AG1749" s="6"/>
      <c r="AH1749" s="5"/>
      <c r="AI1749" s="6"/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U_ENGLISH_LONGBOWMAN</v>
      </c>
      <c r="B1750" s="9" t="s">
        <v>2335</v>
      </c>
      <c r="C1750" s="5"/>
      <c r="D1750" s="5"/>
      <c r="E1750" s="5" t="s">
        <v>1562</v>
      </c>
      <c r="F1750" s="5" t="s">
        <v>1562</v>
      </c>
      <c r="G1750" s="5"/>
      <c r="H1750" s="5" t="s">
        <v>1675</v>
      </c>
      <c r="I1750" s="5" t="s">
        <v>128</v>
      </c>
      <c r="J1750" s="6"/>
      <c r="K1750" s="6"/>
      <c r="L1750" s="13" t="s">
        <v>1707</v>
      </c>
      <c r="M1750" s="8"/>
      <c r="N1750" s="5"/>
      <c r="O1750" s="5"/>
      <c r="P1750" s="5"/>
      <c r="Q1750" s="7" t="s">
        <v>1736</v>
      </c>
      <c r="R1750" s="6" t="s">
        <v>1736</v>
      </c>
      <c r="S1750" s="13" t="s">
        <v>44</v>
      </c>
      <c r="T1750" s="7">
        <v>19</v>
      </c>
      <c r="U1750" s="7" t="s">
        <v>1736</v>
      </c>
      <c r="V1750" s="5" t="s">
        <v>1703</v>
      </c>
      <c r="W1750" s="6">
        <v>31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6" t="s">
        <v>1736</v>
      </c>
      <c r="AG1750" s="6"/>
      <c r="AH1750" s="5"/>
      <c r="AI1750" s="6" t="s">
        <v>1736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U_ENGLISH_SHIPOFTHELINE</v>
      </c>
      <c r="B1751" s="9" t="s">
        <v>2336</v>
      </c>
      <c r="C1751" s="5"/>
      <c r="D1751" s="5"/>
      <c r="E1751" s="5" t="s">
        <v>1563</v>
      </c>
      <c r="F1751" s="5" t="s">
        <v>1563</v>
      </c>
      <c r="G1751" s="5"/>
      <c r="H1751" s="5" t="s">
        <v>1676</v>
      </c>
      <c r="I1751" s="5" t="s">
        <v>128</v>
      </c>
      <c r="J1751" s="6"/>
      <c r="K1751" s="7"/>
      <c r="L1751" s="13" t="s">
        <v>1711</v>
      </c>
      <c r="M1751" s="8"/>
      <c r="N1751" s="13" t="s">
        <v>1726</v>
      </c>
      <c r="O1751" s="13"/>
      <c r="P1751" s="13"/>
      <c r="Q1751" s="7">
        <v>1</v>
      </c>
      <c r="R1751" s="6">
        <v>0.13700000000000001</v>
      </c>
      <c r="S1751" s="5"/>
      <c r="T1751" s="6">
        <v>2</v>
      </c>
      <c r="U1751" s="7">
        <v>0.11</v>
      </c>
      <c r="V1751" s="5" t="s">
        <v>1699</v>
      </c>
      <c r="W1751" s="6"/>
      <c r="X1751" s="6"/>
      <c r="Y1751" s="5"/>
      <c r="Z1751" s="6"/>
      <c r="AA1751" s="6"/>
      <c r="AB1751" s="5"/>
      <c r="AC1751" s="6"/>
      <c r="AD1751" s="6"/>
      <c r="AE1751" s="5"/>
      <c r="AF1751" s="6"/>
      <c r="AG1751" s="6"/>
      <c r="AH1751" s="5"/>
      <c r="AI1751" s="6"/>
      <c r="AJ1751" s="6"/>
      <c r="AK1751" s="5"/>
      <c r="AL1751" s="5"/>
      <c r="AM1751" s="5"/>
      <c r="AN1751" s="5"/>
      <c r="AO1751" s="5"/>
      <c r="AP1751" s="5"/>
      <c r="AQ1751" s="5"/>
    </row>
    <row r="1752" spans="1:43" x14ac:dyDescent="0.25">
      <c r="A1752" s="161" t="str">
        <f t="shared" si="31"/>
        <v>U_ETHIOPIA_MEHAL_SEFARI</v>
      </c>
      <c r="B1752" s="9" t="s">
        <v>2374</v>
      </c>
      <c r="C1752" s="5"/>
      <c r="D1752" s="5"/>
      <c r="E1752" s="5" t="s">
        <v>1564</v>
      </c>
      <c r="F1752" s="5" t="s">
        <v>1564</v>
      </c>
      <c r="G1752" s="5"/>
      <c r="H1752" s="5" t="s">
        <v>1639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>
        <v>14</v>
      </c>
      <c r="R1752" s="6">
        <v>0.13</v>
      </c>
      <c r="S1752" s="13" t="s">
        <v>1618</v>
      </c>
      <c r="T1752" s="6">
        <v>19</v>
      </c>
      <c r="U1752" s="6" t="s">
        <v>1694</v>
      </c>
      <c r="V1752" s="5"/>
      <c r="W1752" s="6" t="s">
        <v>3</v>
      </c>
      <c r="X1752" s="6" t="s">
        <v>3</v>
      </c>
      <c r="Y1752" s="5"/>
      <c r="Z1752" s="7">
        <v>1</v>
      </c>
      <c r="AA1752" s="6"/>
      <c r="AB1752" s="5"/>
      <c r="AC1752" s="6"/>
      <c r="AD1752" s="6" t="s">
        <v>3</v>
      </c>
      <c r="AE1752" s="5"/>
      <c r="AF1752" s="6" t="s">
        <v>1694</v>
      </c>
      <c r="AG1752" s="6"/>
      <c r="AH1752" s="5"/>
      <c r="AI1752" s="6" t="s">
        <v>1736</v>
      </c>
      <c r="AJ1752" s="6"/>
      <c r="AK1752" s="5"/>
      <c r="AL1752" s="5"/>
      <c r="AM1752" s="5"/>
      <c r="AN1752" s="5"/>
      <c r="AO1752" s="5"/>
      <c r="AP1752" s="5"/>
      <c r="AQ1752" s="5"/>
    </row>
    <row r="1753" spans="1:43" x14ac:dyDescent="0.25">
      <c r="A1753" s="161" t="str">
        <f t="shared" si="31"/>
        <v>U_FRENCH_FOREIGNLEGION</v>
      </c>
      <c r="B1753" s="9" t="s">
        <v>2337</v>
      </c>
      <c r="C1753" s="5"/>
      <c r="D1753" s="5"/>
      <c r="E1753" s="5" t="s">
        <v>1565</v>
      </c>
      <c r="F1753" s="5" t="s">
        <v>1565</v>
      </c>
      <c r="G1753" s="5"/>
      <c r="H1753" s="5" t="s">
        <v>1507</v>
      </c>
      <c r="I1753" s="5" t="s">
        <v>128</v>
      </c>
      <c r="J1753" s="6"/>
      <c r="K1753" s="6"/>
      <c r="L1753" s="13" t="s">
        <v>1707</v>
      </c>
      <c r="M1753" s="8"/>
      <c r="N1753" s="5"/>
      <c r="O1753" s="5"/>
      <c r="P1753" s="5"/>
      <c r="Q1753" s="7" t="s">
        <v>1736</v>
      </c>
      <c r="R1753" s="6" t="s">
        <v>1736</v>
      </c>
      <c r="S1753" s="13" t="s">
        <v>1619</v>
      </c>
      <c r="T1753" s="6">
        <v>18</v>
      </c>
      <c r="U1753" s="7" t="s">
        <v>1736</v>
      </c>
      <c r="V1753" s="5"/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1736</v>
      </c>
      <c r="AG1753" s="6"/>
      <c r="AH1753" s="5"/>
      <c r="AI1753" s="6" t="s">
        <v>1736</v>
      </c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31"/>
        <v>U_FRENCH_MUSKETEER</v>
      </c>
      <c r="B1754" s="9" t="s">
        <v>2338</v>
      </c>
      <c r="C1754" s="5"/>
      <c r="D1754" s="5"/>
      <c r="E1754" s="5" t="s">
        <v>1566</v>
      </c>
      <c r="F1754" s="5" t="s">
        <v>1566</v>
      </c>
      <c r="G1754" s="5"/>
      <c r="H1754" s="5" t="s">
        <v>1677</v>
      </c>
      <c r="I1754" s="5" t="s">
        <v>128</v>
      </c>
      <c r="J1754" s="6"/>
      <c r="K1754" s="6"/>
      <c r="L1754" s="13" t="s">
        <v>1707</v>
      </c>
      <c r="M1754" s="8"/>
      <c r="N1754" s="5"/>
      <c r="O1754" s="5"/>
      <c r="P1754" s="5"/>
      <c r="Q1754" s="7">
        <v>14</v>
      </c>
      <c r="R1754" s="6" t="s">
        <v>1736</v>
      </c>
      <c r="S1754" s="13" t="s">
        <v>1618</v>
      </c>
      <c r="T1754" s="6">
        <v>19</v>
      </c>
      <c r="U1754" s="7" t="s">
        <v>1694</v>
      </c>
      <c r="V1754" s="5"/>
      <c r="W1754" s="6" t="s">
        <v>3</v>
      </c>
      <c r="X1754" s="6" t="s">
        <v>3</v>
      </c>
      <c r="Y1754" s="5"/>
      <c r="Z1754" s="7">
        <v>1</v>
      </c>
      <c r="AA1754" s="6"/>
      <c r="AB1754" s="5"/>
      <c r="AC1754" s="6"/>
      <c r="AD1754" s="6" t="s">
        <v>3</v>
      </c>
      <c r="AE1754" s="5"/>
      <c r="AF1754" s="7" t="s">
        <v>1736</v>
      </c>
      <c r="AG1754" s="6"/>
      <c r="AH1754" s="5"/>
      <c r="AI1754" s="7" t="s">
        <v>1736</v>
      </c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31"/>
        <v>U_GERMAN_LANDSKNECHT</v>
      </c>
      <c r="B1755" s="9" t="s">
        <v>2339</v>
      </c>
      <c r="C1755" s="5"/>
      <c r="D1755" s="5"/>
      <c r="E1755" s="5" t="s">
        <v>1567</v>
      </c>
      <c r="F1755" s="5" t="s">
        <v>1567</v>
      </c>
      <c r="G1755" s="5"/>
      <c r="H1755" s="5" t="s">
        <v>1678</v>
      </c>
      <c r="I1755" s="5" t="s">
        <v>128</v>
      </c>
      <c r="J1755" s="6"/>
      <c r="K1755" s="6"/>
      <c r="L1755" s="13" t="s">
        <v>1707</v>
      </c>
      <c r="M1755" s="8"/>
      <c r="N1755" s="5"/>
      <c r="O1755" s="5"/>
      <c r="P1755" s="5"/>
      <c r="Q1755" s="7">
        <v>6</v>
      </c>
      <c r="R1755" s="6" t="s">
        <v>1736</v>
      </c>
      <c r="S1755" s="13" t="s">
        <v>22</v>
      </c>
      <c r="T1755" s="6">
        <v>5</v>
      </c>
      <c r="U1755" s="7" t="s">
        <v>1736</v>
      </c>
      <c r="V1755" s="5"/>
      <c r="W1755" s="7" t="s">
        <v>3</v>
      </c>
      <c r="X1755" s="6" t="s">
        <v>3</v>
      </c>
      <c r="Y1755" s="5"/>
      <c r="Z1755" s="7">
        <v>1</v>
      </c>
      <c r="AA1755" s="6"/>
      <c r="AB1755" s="5"/>
      <c r="AC1755" s="6"/>
      <c r="AD1755" s="6" t="s">
        <v>3</v>
      </c>
      <c r="AE1755" s="5"/>
      <c r="AF1755" s="7">
        <v>1</v>
      </c>
      <c r="AG1755" s="6"/>
      <c r="AH1755" s="5"/>
      <c r="AI1755" s="7">
        <v>2</v>
      </c>
      <c r="AJ1755" s="6"/>
      <c r="AK1755" s="5"/>
      <c r="AL1755" s="5"/>
      <c r="AM1755" s="5"/>
      <c r="AN1755" s="5"/>
      <c r="AO1755" s="5"/>
      <c r="AP1755" s="5"/>
      <c r="AQ1755" s="5"/>
    </row>
    <row r="1756" spans="1:43" x14ac:dyDescent="0.25">
      <c r="A1756" s="161" t="str">
        <f t="shared" si="31"/>
        <v>U_GERMAN_LANDSKNECHT</v>
      </c>
      <c r="B1756" s="9" t="s">
        <v>2339</v>
      </c>
      <c r="C1756" s="5"/>
      <c r="D1756" s="5"/>
      <c r="E1756" s="5" t="s">
        <v>1567</v>
      </c>
      <c r="F1756" s="5" t="s">
        <v>1567</v>
      </c>
      <c r="G1756" s="5" t="s">
        <v>92</v>
      </c>
      <c r="H1756" s="5" t="s">
        <v>1679</v>
      </c>
      <c r="I1756" s="5" t="s">
        <v>128</v>
      </c>
      <c r="J1756" s="6"/>
      <c r="K1756" s="6"/>
      <c r="L1756" s="13" t="s">
        <v>1707</v>
      </c>
      <c r="M1756" s="8"/>
      <c r="N1756" s="5"/>
      <c r="O1756" s="5"/>
      <c r="P1756" s="5"/>
      <c r="Q1756" s="7">
        <v>6</v>
      </c>
      <c r="R1756" s="6" t="s">
        <v>1736</v>
      </c>
      <c r="S1756" s="13" t="s">
        <v>22</v>
      </c>
      <c r="T1756" s="6">
        <v>6</v>
      </c>
      <c r="U1756" s="7" t="s">
        <v>1736</v>
      </c>
      <c r="V1756" s="5"/>
      <c r="W1756" s="7" t="s">
        <v>3</v>
      </c>
      <c r="X1756" s="6" t="s">
        <v>3</v>
      </c>
      <c r="Y1756" s="5"/>
      <c r="Z1756" s="7">
        <v>0</v>
      </c>
      <c r="AA1756" s="6"/>
      <c r="AB1756" s="5"/>
      <c r="AC1756" s="6"/>
      <c r="AD1756" s="6" t="s">
        <v>3</v>
      </c>
      <c r="AE1756" s="5"/>
      <c r="AF1756" s="7">
        <v>1</v>
      </c>
      <c r="AG1756" s="6"/>
      <c r="AH1756" s="5"/>
      <c r="AI1756" s="7">
        <v>3</v>
      </c>
      <c r="AJ1756" s="6"/>
      <c r="AK1756" s="5"/>
      <c r="AL1756" s="5"/>
      <c r="AM1756" s="5"/>
      <c r="AN1756" s="5"/>
      <c r="AO1756" s="5"/>
      <c r="AP1756" s="5"/>
      <c r="AQ1756" s="5"/>
    </row>
    <row r="1757" spans="1:43" x14ac:dyDescent="0.25">
      <c r="A1757" s="161" t="str">
        <f t="shared" si="31"/>
        <v>U_GERMAN_LANDSKNECHT</v>
      </c>
      <c r="B1757" s="9" t="s">
        <v>2339</v>
      </c>
      <c r="C1757" s="5"/>
      <c r="D1757" s="5"/>
      <c r="E1757" s="5" t="s">
        <v>1567</v>
      </c>
      <c r="F1757" s="5" t="s">
        <v>1567</v>
      </c>
      <c r="G1757" s="5"/>
      <c r="H1757" s="5" t="s">
        <v>1678</v>
      </c>
      <c r="I1757" s="5" t="s">
        <v>128</v>
      </c>
      <c r="J1757" s="6"/>
      <c r="K1757" s="6"/>
      <c r="L1757" s="13" t="s">
        <v>1707</v>
      </c>
      <c r="M1757" s="8"/>
      <c r="N1757" s="5"/>
      <c r="O1757" s="5"/>
      <c r="P1757" s="5"/>
      <c r="Q1757" s="7">
        <v>0</v>
      </c>
      <c r="R1757" s="6" t="s">
        <v>1736</v>
      </c>
      <c r="S1757" s="13" t="s">
        <v>22</v>
      </c>
      <c r="T1757" s="7">
        <v>5</v>
      </c>
      <c r="U1757" s="7" t="s">
        <v>1736</v>
      </c>
      <c r="V1757" s="5"/>
      <c r="W1757" s="7" t="s">
        <v>3</v>
      </c>
      <c r="X1757" s="6" t="s">
        <v>3</v>
      </c>
      <c r="Y1757" s="5"/>
      <c r="Z1757" s="7">
        <v>0</v>
      </c>
      <c r="AA1757" s="6"/>
      <c r="AB1757" s="5"/>
      <c r="AC1757" s="6"/>
      <c r="AD1757" s="6" t="s">
        <v>3</v>
      </c>
      <c r="AE1757" s="5"/>
      <c r="AF1757" s="7">
        <v>1</v>
      </c>
      <c r="AG1757" s="6"/>
      <c r="AH1757" s="5"/>
      <c r="AI1757" s="7">
        <v>2</v>
      </c>
      <c r="AJ1757" s="6"/>
      <c r="AK1757" s="5"/>
      <c r="AL1757" s="5"/>
      <c r="AM1757" s="5"/>
      <c r="AN1757" s="5"/>
      <c r="AO1757" s="5"/>
      <c r="AP1757" s="5"/>
      <c r="AQ1757" s="5"/>
    </row>
    <row r="1758" spans="1:43" x14ac:dyDescent="0.25">
      <c r="A1758" s="161" t="str">
        <f>CONCATENATE(E1758,IF(ISBLANK(C1758),"",CONCATENATE("_",C1758)))</f>
        <v>U_GERMAN_LANDSKNECHT</v>
      </c>
      <c r="C1758" s="5"/>
      <c r="D1758" s="5"/>
      <c r="E1758" s="5" t="s">
        <v>1567</v>
      </c>
      <c r="F1758" s="5" t="s">
        <v>1567</v>
      </c>
      <c r="G1758" s="5" t="s">
        <v>2575</v>
      </c>
      <c r="H1758" s="5" t="s">
        <v>1678</v>
      </c>
      <c r="I1758" s="5" t="s">
        <v>128</v>
      </c>
      <c r="J1758" s="6"/>
      <c r="K1758" s="6"/>
      <c r="L1758" s="13" t="s">
        <v>1707</v>
      </c>
      <c r="M1758" s="8"/>
      <c r="N1758" s="5"/>
      <c r="O1758" s="5"/>
      <c r="P1758" s="5"/>
      <c r="Q1758" s="7">
        <v>0</v>
      </c>
      <c r="R1758" s="6" t="s">
        <v>1736</v>
      </c>
      <c r="S1758" s="13" t="s">
        <v>22</v>
      </c>
      <c r="T1758" s="7">
        <v>0</v>
      </c>
      <c r="U1758" s="7" t="s">
        <v>1736</v>
      </c>
      <c r="V1758" s="5"/>
      <c r="W1758" s="7">
        <v>0</v>
      </c>
      <c r="X1758" s="6" t="s">
        <v>3</v>
      </c>
      <c r="Y1758" s="5"/>
      <c r="Z1758" s="7">
        <v>0</v>
      </c>
      <c r="AA1758" s="6"/>
      <c r="AB1758" s="5"/>
      <c r="AC1758" s="6">
        <v>0</v>
      </c>
      <c r="AD1758" s="6" t="s">
        <v>3</v>
      </c>
      <c r="AE1758" s="5"/>
      <c r="AF1758" s="7">
        <v>0</v>
      </c>
      <c r="AG1758" s="6"/>
      <c r="AH1758" s="5"/>
      <c r="AI1758" s="7">
        <v>0</v>
      </c>
      <c r="AJ1758" s="6"/>
      <c r="AK1758" s="5"/>
      <c r="AL1758" s="5" t="s">
        <v>1909</v>
      </c>
      <c r="AM1758" s="5"/>
      <c r="AN1758" s="5"/>
      <c r="AO1758" s="5" t="s">
        <v>1909</v>
      </c>
      <c r="AP1758" s="5"/>
      <c r="AQ1758" s="5"/>
    </row>
    <row r="1759" spans="1:43" x14ac:dyDescent="0.25">
      <c r="A1759" s="161" t="str">
        <f t="shared" si="31"/>
        <v>U_GERMAN_PANZER</v>
      </c>
      <c r="B1759" s="9" t="s">
        <v>2340</v>
      </c>
      <c r="C1759" s="5"/>
      <c r="D1759" s="5"/>
      <c r="E1759" s="5" t="s">
        <v>1568</v>
      </c>
      <c r="F1759" s="5" t="s">
        <v>1568</v>
      </c>
      <c r="G1759" s="5"/>
      <c r="H1759" s="5" t="s">
        <v>1680</v>
      </c>
      <c r="I1759" s="5" t="s">
        <v>128</v>
      </c>
      <c r="J1759" s="6"/>
      <c r="K1759" s="6"/>
      <c r="L1759" s="13" t="s">
        <v>1708</v>
      </c>
      <c r="M1759" s="8"/>
      <c r="N1759" s="5"/>
      <c r="O1759" s="5"/>
      <c r="P1759" s="5"/>
      <c r="Q1759" s="7">
        <v>3</v>
      </c>
      <c r="R1759" s="6">
        <v>0.11</v>
      </c>
      <c r="S1759" s="13" t="s">
        <v>1622</v>
      </c>
      <c r="T1759" s="6"/>
      <c r="U1759" s="6">
        <v>0.11</v>
      </c>
      <c r="V1759" s="5"/>
      <c r="W1759" s="6" t="s">
        <v>3</v>
      </c>
      <c r="X1759" s="6" t="s">
        <v>3</v>
      </c>
      <c r="Y1759" s="5"/>
      <c r="Z1759" s="7">
        <v>1</v>
      </c>
      <c r="AA1759" s="6"/>
      <c r="AB1759" s="5"/>
      <c r="AC1759" s="6"/>
      <c r="AD1759" s="6" t="s">
        <v>3</v>
      </c>
      <c r="AE1759" s="5"/>
      <c r="AF1759" s="6"/>
      <c r="AG1759" s="6"/>
      <c r="AH1759" s="5"/>
      <c r="AI1759" s="6"/>
      <c r="AJ1759" s="6"/>
      <c r="AK1759" s="5"/>
      <c r="AL1759" s="5"/>
      <c r="AM1759" s="5"/>
      <c r="AN1759" s="5"/>
      <c r="AO1759" s="5"/>
      <c r="AP1759" s="5"/>
      <c r="AQ1759" s="5"/>
    </row>
    <row r="1760" spans="1:43" x14ac:dyDescent="0.25">
      <c r="A1760" s="161" t="str">
        <f t="shared" si="31"/>
        <v>U_GREEK_COMPANIONCAVALRY</v>
      </c>
      <c r="B1760" s="9" t="s">
        <v>2341</v>
      </c>
      <c r="C1760" s="5"/>
      <c r="D1760" s="5"/>
      <c r="E1760" s="5" t="s">
        <v>1569</v>
      </c>
      <c r="F1760" s="5" t="s">
        <v>1569</v>
      </c>
      <c r="G1760" s="5"/>
      <c r="H1760" s="5" t="s">
        <v>925</v>
      </c>
      <c r="I1760" s="5" t="s">
        <v>128</v>
      </c>
      <c r="J1760" s="6"/>
      <c r="K1760" s="6"/>
      <c r="L1760" s="13" t="s">
        <v>1713</v>
      </c>
      <c r="M1760" s="8"/>
      <c r="N1760" s="5"/>
      <c r="O1760" s="5"/>
      <c r="P1760" s="5"/>
      <c r="Q1760" s="7" t="s">
        <v>1694</v>
      </c>
      <c r="R1760" s="6" t="s">
        <v>1694</v>
      </c>
      <c r="S1760" s="13" t="s">
        <v>1694</v>
      </c>
      <c r="T1760" s="6" t="s">
        <v>1694</v>
      </c>
      <c r="U1760" s="7" t="s">
        <v>1694</v>
      </c>
      <c r="V1760" s="5" t="s">
        <v>1700</v>
      </c>
      <c r="W1760" s="6" t="s">
        <v>3</v>
      </c>
      <c r="X1760" s="6" t="s">
        <v>3</v>
      </c>
      <c r="Y1760" s="5"/>
      <c r="Z1760" s="7">
        <v>1</v>
      </c>
      <c r="AA1760" s="6"/>
      <c r="AB1760" s="5"/>
      <c r="AC1760" s="6"/>
      <c r="AD1760" s="6" t="s">
        <v>3</v>
      </c>
      <c r="AE1760" s="5"/>
      <c r="AF1760" s="7" t="s">
        <v>1694</v>
      </c>
      <c r="AG1760" s="6"/>
      <c r="AH1760" s="5"/>
      <c r="AI1760" s="6"/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1"/>
        <v>U_GREEK_HOPLITE</v>
      </c>
      <c r="B1761" s="9" t="s">
        <v>2342</v>
      </c>
      <c r="C1761" s="5"/>
      <c r="D1761" s="5"/>
      <c r="E1761" s="4" t="s">
        <v>785</v>
      </c>
      <c r="F1761" s="5" t="s">
        <v>785</v>
      </c>
      <c r="G1761" s="5"/>
      <c r="H1761" s="5" t="s">
        <v>412</v>
      </c>
      <c r="I1761" s="5" t="s">
        <v>128</v>
      </c>
      <c r="J1761" s="6"/>
      <c r="K1761" s="6"/>
      <c r="L1761" s="13" t="s">
        <v>1707</v>
      </c>
      <c r="M1761" s="8"/>
      <c r="N1761" s="5"/>
      <c r="O1761" s="5"/>
      <c r="P1761" s="5"/>
      <c r="Q1761" s="7">
        <v>0</v>
      </c>
      <c r="R1761" s="6" t="s">
        <v>1736</v>
      </c>
      <c r="S1761" s="13" t="s">
        <v>1624</v>
      </c>
      <c r="T1761" s="6">
        <v>0</v>
      </c>
      <c r="U1761" s="7" t="s">
        <v>1736</v>
      </c>
      <c r="V1761" s="5" t="s">
        <v>1704</v>
      </c>
      <c r="W1761" s="7">
        <v>0</v>
      </c>
      <c r="X1761" s="6" t="s">
        <v>3</v>
      </c>
      <c r="Y1761" s="5"/>
      <c r="Z1761" s="7">
        <v>0</v>
      </c>
      <c r="AA1761" s="6"/>
      <c r="AB1761" s="5"/>
      <c r="AC1761" s="6">
        <v>0</v>
      </c>
      <c r="AD1761" s="6" t="s">
        <v>3</v>
      </c>
      <c r="AE1761" s="5"/>
      <c r="AF1761" s="7">
        <v>0</v>
      </c>
      <c r="AG1761" s="6"/>
      <c r="AH1761" s="5"/>
      <c r="AI1761" s="7">
        <v>0</v>
      </c>
      <c r="AJ1761" s="6"/>
      <c r="AK1761" s="5"/>
      <c r="AL1761" s="5" t="s">
        <v>1909</v>
      </c>
      <c r="AM1761" s="5"/>
      <c r="AN1761" s="5"/>
      <c r="AO1761" s="5" t="s">
        <v>1909</v>
      </c>
      <c r="AP1761" s="5"/>
      <c r="AQ1761" s="5"/>
    </row>
    <row r="1762" spans="1:43" x14ac:dyDescent="0.25">
      <c r="A1762" s="161" t="str">
        <f t="shared" si="31"/>
        <v>U_GREEK_HOPLITE</v>
      </c>
      <c r="B1762" s="9" t="s">
        <v>2342</v>
      </c>
      <c r="E1762" s="4" t="s">
        <v>785</v>
      </c>
      <c r="F1762" s="4" t="s">
        <v>785</v>
      </c>
      <c r="G1762" s="4" t="s">
        <v>2053</v>
      </c>
      <c r="H1762" s="4" t="s">
        <v>922</v>
      </c>
      <c r="I1762" s="4" t="s">
        <v>102</v>
      </c>
      <c r="L1762" s="4" t="s">
        <v>1707</v>
      </c>
      <c r="Q1762" s="11">
        <v>2</v>
      </c>
      <c r="S1762" s="13" t="s">
        <v>1624</v>
      </c>
      <c r="T1762" s="11">
        <v>2</v>
      </c>
      <c r="V1762" s="5" t="s">
        <v>1704</v>
      </c>
      <c r="W1762" s="11" t="s">
        <v>3</v>
      </c>
      <c r="Z1762" s="11">
        <v>1</v>
      </c>
      <c r="AD1762" s="6" t="s">
        <v>3</v>
      </c>
      <c r="AF1762" s="11">
        <v>1</v>
      </c>
      <c r="AI1762" s="11">
        <v>1</v>
      </c>
    </row>
    <row r="1763" spans="1:43" x14ac:dyDescent="0.25">
      <c r="A1763" s="161" t="str">
        <f t="shared" si="31"/>
        <v>U_GREEK_HOPLITE</v>
      </c>
      <c r="B1763" s="9" t="s">
        <v>2342</v>
      </c>
      <c r="E1763" s="4" t="s">
        <v>785</v>
      </c>
      <c r="F1763" s="4" t="s">
        <v>785</v>
      </c>
      <c r="G1763" s="4" t="s">
        <v>2045</v>
      </c>
      <c r="H1763" s="4" t="s">
        <v>923</v>
      </c>
      <c r="I1763" s="4" t="s">
        <v>102</v>
      </c>
      <c r="L1763" s="4" t="s">
        <v>1707</v>
      </c>
      <c r="Q1763" s="11">
        <v>2</v>
      </c>
      <c r="S1763" s="13" t="s">
        <v>1624</v>
      </c>
      <c r="T1763" s="11">
        <v>3</v>
      </c>
      <c r="V1763" s="5" t="s">
        <v>1704</v>
      </c>
      <c r="W1763" s="11" t="s">
        <v>3</v>
      </c>
      <c r="Z1763" s="11">
        <v>0</v>
      </c>
      <c r="AD1763" s="6" t="s">
        <v>3</v>
      </c>
      <c r="AF1763" s="11">
        <v>1</v>
      </c>
      <c r="AI1763" s="11">
        <v>1</v>
      </c>
    </row>
    <row r="1764" spans="1:43" x14ac:dyDescent="0.25">
      <c r="A1764" s="161" t="str">
        <f t="shared" si="31"/>
        <v>U_GREEK_HOPLITE</v>
      </c>
      <c r="B1764" s="9" t="s">
        <v>2342</v>
      </c>
      <c r="E1764" s="4" t="s">
        <v>785</v>
      </c>
      <c r="F1764" s="4" t="s">
        <v>785</v>
      </c>
      <c r="G1764" s="4" t="s">
        <v>2047</v>
      </c>
      <c r="H1764" s="4" t="s">
        <v>679</v>
      </c>
      <c r="I1764" s="4" t="s">
        <v>102</v>
      </c>
      <c r="L1764" s="4" t="s">
        <v>1707</v>
      </c>
      <c r="Q1764" s="11">
        <v>2</v>
      </c>
      <c r="S1764" s="13" t="s">
        <v>1624</v>
      </c>
      <c r="T1764" s="11">
        <v>4</v>
      </c>
      <c r="V1764" s="5" t="s">
        <v>1704</v>
      </c>
      <c r="W1764" s="11" t="s">
        <v>3</v>
      </c>
      <c r="Z1764" s="11">
        <v>0</v>
      </c>
      <c r="AD1764" s="6" t="s">
        <v>3</v>
      </c>
      <c r="AF1764" s="11">
        <v>1</v>
      </c>
      <c r="AI1764" s="11">
        <v>1</v>
      </c>
    </row>
    <row r="1765" spans="1:43" x14ac:dyDescent="0.25">
      <c r="A1765" s="161" t="str">
        <f t="shared" si="31"/>
        <v>U_GREEK_HOPLITE</v>
      </c>
      <c r="B1765" s="9" t="s">
        <v>2342</v>
      </c>
      <c r="E1765" s="4" t="s">
        <v>785</v>
      </c>
      <c r="F1765" s="4" t="s">
        <v>785</v>
      </c>
      <c r="G1765" s="4" t="s">
        <v>2053</v>
      </c>
      <c r="H1765" s="4" t="s">
        <v>922</v>
      </c>
      <c r="I1765" s="4" t="s">
        <v>102</v>
      </c>
      <c r="L1765" s="4" t="s">
        <v>1707</v>
      </c>
      <c r="Q1765" s="9">
        <v>2</v>
      </c>
      <c r="S1765" s="13" t="s">
        <v>1624</v>
      </c>
      <c r="T1765" s="11">
        <v>4</v>
      </c>
      <c r="V1765" s="5" t="s">
        <v>1704</v>
      </c>
      <c r="W1765" s="9" t="s">
        <v>3</v>
      </c>
      <c r="Z1765" s="9">
        <v>0</v>
      </c>
      <c r="AD1765" s="6" t="s">
        <v>3</v>
      </c>
      <c r="AF1765" s="11">
        <v>0</v>
      </c>
      <c r="AI1765" s="11">
        <v>2</v>
      </c>
    </row>
    <row r="1766" spans="1:43" x14ac:dyDescent="0.25">
      <c r="A1766" s="161" t="str">
        <f t="shared" si="31"/>
        <v>U_GREEK_HOPLITE</v>
      </c>
      <c r="B1766" s="9" t="s">
        <v>2342</v>
      </c>
      <c r="E1766" s="4" t="s">
        <v>785</v>
      </c>
      <c r="F1766" s="4" t="s">
        <v>785</v>
      </c>
      <c r="G1766" s="4" t="s">
        <v>2045</v>
      </c>
      <c r="H1766" s="4" t="s">
        <v>923</v>
      </c>
      <c r="I1766" s="4" t="s">
        <v>102</v>
      </c>
      <c r="L1766" s="4" t="s">
        <v>1707</v>
      </c>
      <c r="Q1766" s="9">
        <v>2</v>
      </c>
      <c r="S1766" s="13" t="s">
        <v>1624</v>
      </c>
      <c r="T1766" s="11">
        <v>3</v>
      </c>
      <c r="V1766" s="5" t="s">
        <v>1704</v>
      </c>
      <c r="W1766" s="9" t="s">
        <v>3</v>
      </c>
      <c r="Z1766" s="9">
        <v>0</v>
      </c>
      <c r="AD1766" s="6" t="s">
        <v>3</v>
      </c>
      <c r="AF1766" s="11">
        <v>0</v>
      </c>
      <c r="AI1766" s="11">
        <v>1</v>
      </c>
    </row>
    <row r="1767" spans="1:43" x14ac:dyDescent="0.25">
      <c r="A1767" s="161" t="str">
        <f t="shared" si="31"/>
        <v>U_GREEK_HOPLITE</v>
      </c>
      <c r="B1767" s="9" t="s">
        <v>2342</v>
      </c>
      <c r="E1767" s="4" t="s">
        <v>785</v>
      </c>
      <c r="F1767" s="4" t="s">
        <v>785</v>
      </c>
      <c r="G1767" s="4" t="s">
        <v>2047</v>
      </c>
      <c r="H1767" s="4" t="s">
        <v>679</v>
      </c>
      <c r="I1767" s="4" t="s">
        <v>102</v>
      </c>
      <c r="L1767" s="4" t="s">
        <v>1707</v>
      </c>
      <c r="Q1767" s="9">
        <v>2</v>
      </c>
      <c r="S1767" s="13" t="s">
        <v>1624</v>
      </c>
      <c r="T1767" s="11">
        <v>2</v>
      </c>
      <c r="V1767" s="5" t="s">
        <v>1704</v>
      </c>
      <c r="W1767" s="9" t="s">
        <v>3</v>
      </c>
      <c r="Z1767" s="9">
        <v>0</v>
      </c>
      <c r="AD1767" s="6" t="s">
        <v>3</v>
      </c>
      <c r="AF1767" s="11">
        <v>0</v>
      </c>
      <c r="AI1767" s="11">
        <v>1</v>
      </c>
    </row>
    <row r="1768" spans="1:43" x14ac:dyDescent="0.25">
      <c r="A1768" s="161" t="str">
        <f t="shared" si="31"/>
        <v>U_HITTITE_WARCHARIOT</v>
      </c>
      <c r="C1768" s="5"/>
      <c r="D1768" s="5"/>
      <c r="E1768" s="5" t="s">
        <v>1570</v>
      </c>
      <c r="F1768" s="5" t="s">
        <v>1570</v>
      </c>
      <c r="G1768" s="5"/>
      <c r="H1768" s="5" t="s">
        <v>1640</v>
      </c>
      <c r="I1768" s="5" t="s">
        <v>128</v>
      </c>
      <c r="J1768" s="6"/>
      <c r="K1768" s="6"/>
      <c r="L1768" s="13" t="s">
        <v>1708</v>
      </c>
      <c r="M1768" s="8"/>
      <c r="N1768" s="5"/>
      <c r="O1768" s="5"/>
      <c r="P1768" s="5"/>
      <c r="Q1768" s="7">
        <v>2</v>
      </c>
      <c r="R1768" s="6">
        <v>0.14499999999999999</v>
      </c>
      <c r="S1768" s="13" t="s">
        <v>1612</v>
      </c>
      <c r="T1768" s="6">
        <v>3</v>
      </c>
      <c r="U1768" s="6" t="s">
        <v>1736</v>
      </c>
      <c r="V1768" s="5" t="s">
        <v>1617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6"/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U_HUNS_BATTERING_RAM</v>
      </c>
      <c r="B1769" s="9" t="s">
        <v>2375</v>
      </c>
      <c r="C1769" s="5"/>
      <c r="D1769" s="5"/>
      <c r="E1769" s="5" t="s">
        <v>1571</v>
      </c>
      <c r="F1769" s="5" t="s">
        <v>1571</v>
      </c>
      <c r="G1769" s="5"/>
      <c r="H1769" s="5" t="s">
        <v>1641</v>
      </c>
      <c r="I1769" s="5" t="s">
        <v>128</v>
      </c>
      <c r="J1769" s="6"/>
      <c r="K1769" s="6"/>
      <c r="L1769" s="13" t="s">
        <v>1707</v>
      </c>
      <c r="M1769" s="8"/>
      <c r="N1769" s="5"/>
      <c r="O1769" s="5"/>
      <c r="P1769" s="5"/>
      <c r="Q1769" s="7">
        <v>1</v>
      </c>
      <c r="R1769" s="6">
        <v>0.115</v>
      </c>
      <c r="S1769" s="13" t="s">
        <v>1612</v>
      </c>
      <c r="T1769" s="7">
        <v>3</v>
      </c>
      <c r="U1769" s="6">
        <v>7.4999999999999997E-2</v>
      </c>
      <c r="V1769" s="5" t="s">
        <v>1696</v>
      </c>
      <c r="W1769" s="7"/>
      <c r="X1769" s="6" t="s">
        <v>3</v>
      </c>
      <c r="Y1769" s="5"/>
      <c r="Z1769" s="6"/>
      <c r="AA1769" s="6"/>
      <c r="AB1769" s="5"/>
      <c r="AC1769" s="6"/>
      <c r="AD1769" s="6" t="s">
        <v>3</v>
      </c>
      <c r="AE1769" s="5"/>
      <c r="AF1769" s="6"/>
      <c r="AG1769" s="6"/>
      <c r="AH1769" s="5"/>
      <c r="AI1769" s="6"/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U_HUNS_BATTERING_RAM</v>
      </c>
      <c r="B1770" s="9" t="s">
        <v>2375</v>
      </c>
      <c r="C1770" s="5"/>
      <c r="D1770" s="5"/>
      <c r="E1770" s="5" t="s">
        <v>1571</v>
      </c>
      <c r="F1770" s="5" t="s">
        <v>1571</v>
      </c>
      <c r="G1770" s="5" t="s">
        <v>750</v>
      </c>
      <c r="H1770" s="5" t="s">
        <v>36</v>
      </c>
      <c r="I1770" s="5" t="s">
        <v>128</v>
      </c>
      <c r="J1770" s="6"/>
      <c r="K1770" s="6"/>
      <c r="L1770" s="13" t="s">
        <v>746</v>
      </c>
      <c r="M1770" s="8"/>
      <c r="N1770" s="5"/>
      <c r="O1770" s="5"/>
      <c r="P1770" s="5"/>
      <c r="Q1770" s="7">
        <v>0</v>
      </c>
      <c r="R1770" s="6" t="s">
        <v>1694</v>
      </c>
      <c r="S1770" s="13" t="s">
        <v>1612</v>
      </c>
      <c r="T1770" s="6">
        <v>0</v>
      </c>
      <c r="U1770" s="6"/>
      <c r="V1770" s="5" t="s">
        <v>1610</v>
      </c>
      <c r="W1770" s="6">
        <v>3</v>
      </c>
      <c r="X1770" s="6" t="s">
        <v>3</v>
      </c>
      <c r="Y1770" s="5"/>
      <c r="Z1770" s="7">
        <v>0</v>
      </c>
      <c r="AA1770" s="6"/>
      <c r="AB1770" s="5"/>
      <c r="AC1770" s="6"/>
      <c r="AD1770" s="6" t="s">
        <v>3</v>
      </c>
      <c r="AE1770" s="5"/>
      <c r="AF1770" s="6">
        <v>0</v>
      </c>
      <c r="AG1770" s="6"/>
      <c r="AH1770" s="5"/>
      <c r="AI1770" s="6">
        <v>0</v>
      </c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si="31"/>
        <v>U_HUNS_HORSE_ARCHER</v>
      </c>
      <c r="B1771" s="9" t="s">
        <v>2376</v>
      </c>
      <c r="C1771" s="5"/>
      <c r="D1771" s="5"/>
      <c r="E1771" s="5" t="s">
        <v>1572</v>
      </c>
      <c r="F1771" s="5" t="s">
        <v>1572</v>
      </c>
      <c r="G1771" s="5"/>
      <c r="H1771" s="5" t="s">
        <v>1642</v>
      </c>
      <c r="I1771" s="5" t="s">
        <v>128</v>
      </c>
      <c r="J1771" s="6"/>
      <c r="K1771" s="6"/>
      <c r="L1771" s="13" t="s">
        <v>1713</v>
      </c>
      <c r="M1771" s="8"/>
      <c r="N1771" s="5"/>
      <c r="O1771" s="5"/>
      <c r="P1771" s="5"/>
      <c r="Q1771" s="7" t="s">
        <v>1694</v>
      </c>
      <c r="R1771" s="6" t="s">
        <v>1694</v>
      </c>
      <c r="S1771" s="13" t="s">
        <v>1694</v>
      </c>
      <c r="T1771" s="6" t="s">
        <v>1694</v>
      </c>
      <c r="U1771" s="7" t="s">
        <v>1694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1694</v>
      </c>
      <c r="AG1771" s="6"/>
      <c r="AH1771" s="5"/>
      <c r="AI1771" s="6"/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1"/>
        <v>U_INCAN_SLINGER</v>
      </c>
      <c r="B1772" s="9" t="s">
        <v>2343</v>
      </c>
      <c r="C1772" s="5"/>
      <c r="D1772" s="5"/>
      <c r="E1772" s="5" t="s">
        <v>1573</v>
      </c>
      <c r="F1772" s="5" t="s">
        <v>1573</v>
      </c>
      <c r="G1772" s="5"/>
      <c r="H1772" s="5" t="s">
        <v>1643</v>
      </c>
      <c r="I1772" s="5" t="s">
        <v>128</v>
      </c>
      <c r="J1772" s="6"/>
      <c r="K1772" s="6"/>
      <c r="L1772" s="13" t="s">
        <v>1707</v>
      </c>
      <c r="M1772" s="8"/>
      <c r="N1772" s="5"/>
      <c r="O1772" s="5"/>
      <c r="P1772" s="5"/>
      <c r="Q1772" s="7" t="s">
        <v>1736</v>
      </c>
      <c r="R1772" s="6" t="s">
        <v>1736</v>
      </c>
      <c r="S1772" s="13" t="s">
        <v>44</v>
      </c>
      <c r="T1772" s="6"/>
      <c r="U1772" s="6"/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7" t="s">
        <v>1736</v>
      </c>
      <c r="AG1772" s="6"/>
      <c r="AH1772" s="5"/>
      <c r="AI1772" s="6" t="s">
        <v>1736</v>
      </c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1"/>
        <v>U_INDIAN_WARELEPHANT</v>
      </c>
      <c r="B1773" s="9" t="s">
        <v>2344</v>
      </c>
      <c r="C1773" s="5"/>
      <c r="D1773" s="5"/>
      <c r="E1773" s="5" t="s">
        <v>1574</v>
      </c>
      <c r="F1773" s="5" t="s">
        <v>1574</v>
      </c>
      <c r="G1773" s="5"/>
      <c r="H1773" s="5" t="s">
        <v>1681</v>
      </c>
      <c r="I1773" s="5" t="s">
        <v>128</v>
      </c>
      <c r="J1773" s="6"/>
      <c r="K1773" s="6"/>
      <c r="L1773" s="13" t="s">
        <v>1716</v>
      </c>
      <c r="M1773" s="8"/>
      <c r="N1773" s="5"/>
      <c r="O1773" s="5"/>
      <c r="P1773" s="5"/>
      <c r="Q1773" s="7">
        <v>2</v>
      </c>
      <c r="R1773" s="6" t="s">
        <v>1694</v>
      </c>
      <c r="S1773" s="13" t="s">
        <v>1617</v>
      </c>
      <c r="T1773" s="7">
        <v>3</v>
      </c>
      <c r="U1773" s="7" t="s">
        <v>1694</v>
      </c>
      <c r="V1773" s="5"/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1"/>
        <v>U_INDONESIAN_KRIS_SWORDSMAN</v>
      </c>
      <c r="B1774" s="9" t="s">
        <v>2377</v>
      </c>
      <c r="C1774" s="5"/>
      <c r="D1774" s="5"/>
      <c r="E1774" s="5" t="s">
        <v>1575</v>
      </c>
      <c r="F1774" s="5" t="s">
        <v>1575</v>
      </c>
      <c r="G1774" s="5"/>
      <c r="H1774" s="5" t="s">
        <v>1644</v>
      </c>
      <c r="I1774" s="5" t="s">
        <v>128</v>
      </c>
      <c r="J1774" s="6"/>
      <c r="K1774" s="6"/>
      <c r="L1774" s="13" t="s">
        <v>1707</v>
      </c>
      <c r="M1774" s="8"/>
      <c r="N1774" s="5"/>
      <c r="O1774" s="5"/>
      <c r="P1774" s="5"/>
      <c r="Q1774" s="7" t="s">
        <v>1736</v>
      </c>
      <c r="R1774" s="6" t="s">
        <v>1736</v>
      </c>
      <c r="S1774" s="13" t="s">
        <v>1736</v>
      </c>
      <c r="T1774" s="6"/>
      <c r="U1774" s="7" t="s">
        <v>1694</v>
      </c>
      <c r="V1774" s="5"/>
      <c r="W1774" s="7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7" t="s">
        <v>1736</v>
      </c>
      <c r="AG1774" s="6"/>
      <c r="AH1774" s="5"/>
      <c r="AI1774" s="6" t="s">
        <v>1736</v>
      </c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1"/>
        <v>U_IROQUOIAN_MOHAWKWARRIOR</v>
      </c>
      <c r="B1775" s="9" t="s">
        <v>2345</v>
      </c>
      <c r="C1775" s="5"/>
      <c r="D1775" s="5"/>
      <c r="E1775" s="5" t="s">
        <v>1576</v>
      </c>
      <c r="F1775" s="5" t="s">
        <v>1576</v>
      </c>
      <c r="G1775" s="5"/>
      <c r="H1775" s="5" t="s">
        <v>1682</v>
      </c>
      <c r="I1775" s="5" t="s">
        <v>128</v>
      </c>
      <c r="J1775" s="6"/>
      <c r="K1775" s="6"/>
      <c r="L1775" s="13" t="s">
        <v>1707</v>
      </c>
      <c r="M1775" s="8"/>
      <c r="N1775" s="5"/>
      <c r="O1775" s="5"/>
      <c r="P1775" s="5"/>
      <c r="Q1775" s="7" t="s">
        <v>1736</v>
      </c>
      <c r="R1775" s="6" t="s">
        <v>1736</v>
      </c>
      <c r="S1775" s="13" t="s">
        <v>1619</v>
      </c>
      <c r="T1775" s="6">
        <v>18</v>
      </c>
      <c r="U1775" s="7" t="s">
        <v>1736</v>
      </c>
      <c r="V1775" s="5"/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7" t="s">
        <v>1736</v>
      </c>
      <c r="AG1775" s="6"/>
      <c r="AH1775" s="5"/>
      <c r="AI1775" s="7" t="s">
        <v>1736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1"/>
        <v>U_JAPANESE_SAMURAI</v>
      </c>
      <c r="B1776" s="9" t="s">
        <v>2346</v>
      </c>
      <c r="C1776" s="5"/>
      <c r="D1776" s="5"/>
      <c r="E1776" s="4" t="s">
        <v>786</v>
      </c>
      <c r="F1776" s="5" t="s">
        <v>786</v>
      </c>
      <c r="G1776" s="5"/>
      <c r="H1776" s="5" t="s">
        <v>1683</v>
      </c>
      <c r="I1776" s="5" t="s">
        <v>128</v>
      </c>
      <c r="J1776" s="6"/>
      <c r="K1776" s="6"/>
      <c r="L1776" s="13" t="s">
        <v>1707</v>
      </c>
      <c r="M1776" s="8"/>
      <c r="N1776" s="5"/>
      <c r="O1776" s="5"/>
      <c r="P1776" s="5"/>
      <c r="Q1776" s="7">
        <v>0</v>
      </c>
      <c r="R1776" s="6" t="s">
        <v>1736</v>
      </c>
      <c r="S1776" s="13" t="s">
        <v>1625</v>
      </c>
      <c r="T1776" s="6">
        <v>0</v>
      </c>
      <c r="U1776" s="7" t="s">
        <v>1736</v>
      </c>
      <c r="V1776" s="5"/>
      <c r="W1776" s="6">
        <v>0</v>
      </c>
      <c r="X1776" s="6" t="s">
        <v>3</v>
      </c>
      <c r="Y1776" s="5"/>
      <c r="Z1776" s="7">
        <v>0</v>
      </c>
      <c r="AA1776" s="6"/>
      <c r="AB1776" s="5"/>
      <c r="AC1776" s="6">
        <v>0</v>
      </c>
      <c r="AD1776" s="6" t="s">
        <v>3</v>
      </c>
      <c r="AE1776" s="5"/>
      <c r="AF1776" s="7">
        <v>0</v>
      </c>
      <c r="AG1776" s="6"/>
      <c r="AH1776" s="5"/>
      <c r="AI1776" s="7">
        <v>0</v>
      </c>
      <c r="AJ1776" s="6"/>
      <c r="AK1776" s="5"/>
      <c r="AL1776" s="5" t="s">
        <v>1909</v>
      </c>
      <c r="AM1776" s="5"/>
      <c r="AN1776" s="5"/>
      <c r="AO1776" s="5" t="s">
        <v>1909</v>
      </c>
      <c r="AP1776" s="5"/>
      <c r="AQ1776" s="5"/>
    </row>
    <row r="1777" spans="1:43" x14ac:dyDescent="0.25">
      <c r="A1777" s="161" t="str">
        <f t="shared" si="31"/>
        <v>U_JAPANESE_SAMURAI</v>
      </c>
      <c r="B1777" s="9" t="s">
        <v>2346</v>
      </c>
      <c r="E1777" s="4" t="s">
        <v>786</v>
      </c>
      <c r="F1777" s="4" t="s">
        <v>786</v>
      </c>
      <c r="G1777" s="4" t="s">
        <v>2053</v>
      </c>
      <c r="H1777" s="4" t="s">
        <v>680</v>
      </c>
      <c r="I1777" s="4" t="s">
        <v>102</v>
      </c>
      <c r="L1777" s="4" t="s">
        <v>1707</v>
      </c>
      <c r="Q1777" s="9">
        <v>1</v>
      </c>
      <c r="S1777" s="13" t="s">
        <v>1625</v>
      </c>
      <c r="T1777" s="11">
        <v>2</v>
      </c>
      <c r="W1777" s="11">
        <v>3</v>
      </c>
      <c r="Z1777" s="9">
        <v>1</v>
      </c>
      <c r="AD1777" s="6" t="s">
        <v>3</v>
      </c>
      <c r="AF1777" s="11">
        <v>1</v>
      </c>
      <c r="AI1777" s="11">
        <v>1</v>
      </c>
    </row>
    <row r="1778" spans="1:43" x14ac:dyDescent="0.25">
      <c r="A1778" s="161" t="str">
        <f t="shared" si="31"/>
        <v>U_JAPANESE_SAMURAI</v>
      </c>
      <c r="B1778" s="9" t="s">
        <v>2346</v>
      </c>
      <c r="E1778" s="4" t="s">
        <v>786</v>
      </c>
      <c r="F1778" s="4" t="s">
        <v>786</v>
      </c>
      <c r="G1778" s="4" t="s">
        <v>2045</v>
      </c>
      <c r="H1778" s="4" t="s">
        <v>953</v>
      </c>
      <c r="I1778" s="4" t="s">
        <v>102</v>
      </c>
      <c r="L1778" s="4" t="s">
        <v>1707</v>
      </c>
      <c r="Q1778" s="9">
        <v>1</v>
      </c>
      <c r="S1778" s="13" t="s">
        <v>1625</v>
      </c>
      <c r="T1778" s="11">
        <v>2</v>
      </c>
      <c r="W1778" s="11">
        <v>4</v>
      </c>
      <c r="Z1778" s="9">
        <v>0</v>
      </c>
      <c r="AD1778" s="6" t="s">
        <v>3</v>
      </c>
      <c r="AF1778" s="11">
        <v>1</v>
      </c>
      <c r="AI1778" s="11">
        <v>1</v>
      </c>
    </row>
    <row r="1779" spans="1:43" x14ac:dyDescent="0.25">
      <c r="A1779" s="161" t="str">
        <f t="shared" si="31"/>
        <v>U_JAPANESE_SAMURAI</v>
      </c>
      <c r="B1779" s="9" t="s">
        <v>2346</v>
      </c>
      <c r="E1779" s="4" t="s">
        <v>786</v>
      </c>
      <c r="F1779" s="4" t="s">
        <v>786</v>
      </c>
      <c r="G1779" s="4" t="s">
        <v>2053</v>
      </c>
      <c r="H1779" s="4" t="s">
        <v>680</v>
      </c>
      <c r="I1779" s="4" t="s">
        <v>102</v>
      </c>
      <c r="L1779" s="4" t="s">
        <v>1707</v>
      </c>
      <c r="Q1779" s="9">
        <v>1</v>
      </c>
      <c r="S1779" s="13" t="s">
        <v>1625</v>
      </c>
      <c r="T1779" s="11">
        <v>2</v>
      </c>
      <c r="W1779" s="11">
        <v>3</v>
      </c>
      <c r="Z1779" s="9">
        <v>0</v>
      </c>
      <c r="AD1779" s="6" t="s">
        <v>3</v>
      </c>
      <c r="AF1779" s="11">
        <v>1</v>
      </c>
      <c r="AI1779" s="11">
        <v>1</v>
      </c>
    </row>
    <row r="1780" spans="1:43" x14ac:dyDescent="0.25">
      <c r="A1780" s="161" t="str">
        <f t="shared" si="31"/>
        <v>U_JAPANESE_SAMURAI</v>
      </c>
      <c r="B1780" s="9" t="s">
        <v>2346</v>
      </c>
      <c r="E1780" s="4" t="s">
        <v>786</v>
      </c>
      <c r="F1780" s="4" t="s">
        <v>786</v>
      </c>
      <c r="G1780" s="4" t="s">
        <v>2045</v>
      </c>
      <c r="H1780" s="4" t="s">
        <v>953</v>
      </c>
      <c r="I1780" s="4" t="s">
        <v>102</v>
      </c>
      <c r="L1780" s="4" t="s">
        <v>1707</v>
      </c>
      <c r="Q1780" s="9">
        <v>2</v>
      </c>
      <c r="S1780" s="13" t="s">
        <v>1625</v>
      </c>
      <c r="T1780" s="11">
        <v>2</v>
      </c>
      <c r="W1780" s="9">
        <v>3</v>
      </c>
      <c r="Z1780" s="9">
        <v>0</v>
      </c>
      <c r="AD1780" s="6" t="s">
        <v>3</v>
      </c>
      <c r="AF1780" s="11">
        <v>0</v>
      </c>
      <c r="AI1780" s="11">
        <v>1</v>
      </c>
    </row>
    <row r="1781" spans="1:43" x14ac:dyDescent="0.25">
      <c r="A1781" s="161" t="str">
        <f t="shared" si="31"/>
        <v>U_JAPANESE_SAMURAI</v>
      </c>
      <c r="B1781" s="9" t="s">
        <v>2346</v>
      </c>
      <c r="E1781" s="4" t="s">
        <v>786</v>
      </c>
      <c r="F1781" s="4" t="s">
        <v>786</v>
      </c>
      <c r="G1781" s="4" t="s">
        <v>2053</v>
      </c>
      <c r="H1781" s="4" t="s">
        <v>680</v>
      </c>
      <c r="I1781" s="4" t="s">
        <v>102</v>
      </c>
      <c r="L1781" s="4" t="s">
        <v>1707</v>
      </c>
      <c r="Q1781" s="9">
        <v>2</v>
      </c>
      <c r="S1781" s="13" t="s">
        <v>1625</v>
      </c>
      <c r="T1781" s="11">
        <v>2</v>
      </c>
      <c r="W1781" s="9">
        <v>4</v>
      </c>
      <c r="Z1781" s="9">
        <v>0</v>
      </c>
      <c r="AD1781" s="6" t="s">
        <v>3</v>
      </c>
      <c r="AF1781" s="11">
        <v>0</v>
      </c>
      <c r="AI1781" s="11">
        <v>1</v>
      </c>
    </row>
    <row r="1782" spans="1:43" x14ac:dyDescent="0.25">
      <c r="A1782" s="161" t="str">
        <f t="shared" si="31"/>
        <v>U_JAPANESE_SAMURAI</v>
      </c>
      <c r="B1782" s="9" t="s">
        <v>2346</v>
      </c>
      <c r="E1782" s="4" t="s">
        <v>786</v>
      </c>
      <c r="F1782" s="4" t="s">
        <v>786</v>
      </c>
      <c r="G1782" s="4" t="s">
        <v>2045</v>
      </c>
      <c r="H1782" s="4" t="s">
        <v>953</v>
      </c>
      <c r="I1782" s="4" t="s">
        <v>102</v>
      </c>
      <c r="L1782" s="4" t="s">
        <v>1707</v>
      </c>
      <c r="Q1782" s="9">
        <v>2</v>
      </c>
      <c r="S1782" s="13" t="s">
        <v>1625</v>
      </c>
      <c r="T1782" s="11">
        <v>2</v>
      </c>
      <c r="W1782" s="9">
        <v>3</v>
      </c>
      <c r="Z1782" s="9">
        <v>0</v>
      </c>
      <c r="AD1782" s="6" t="s">
        <v>3</v>
      </c>
      <c r="AF1782" s="11">
        <v>0</v>
      </c>
      <c r="AI1782" s="11">
        <v>1</v>
      </c>
    </row>
    <row r="1783" spans="1:43" x14ac:dyDescent="0.25">
      <c r="A1783" s="161" t="str">
        <f t="shared" si="31"/>
        <v>U_JAPANESE_SAMURAI</v>
      </c>
      <c r="B1783" s="9" t="s">
        <v>2346</v>
      </c>
      <c r="E1783" s="4" t="s">
        <v>786</v>
      </c>
      <c r="F1783" s="4" t="s">
        <v>786</v>
      </c>
      <c r="G1783" s="4" t="s">
        <v>2053</v>
      </c>
      <c r="H1783" s="4" t="s">
        <v>680</v>
      </c>
      <c r="I1783" s="4" t="s">
        <v>102</v>
      </c>
      <c r="L1783" s="4" t="s">
        <v>1707</v>
      </c>
      <c r="Q1783" s="9">
        <v>1</v>
      </c>
      <c r="S1783" s="13" t="s">
        <v>1625</v>
      </c>
      <c r="T1783" s="11">
        <v>2</v>
      </c>
      <c r="W1783" s="9">
        <v>3</v>
      </c>
      <c r="Z1783" s="9">
        <v>0</v>
      </c>
      <c r="AD1783" s="6" t="s">
        <v>3</v>
      </c>
      <c r="AF1783" s="11">
        <v>0</v>
      </c>
      <c r="AI1783" s="11">
        <v>1</v>
      </c>
    </row>
    <row r="1784" spans="1:43" x14ac:dyDescent="0.25">
      <c r="A1784" s="161" t="str">
        <f t="shared" si="31"/>
        <v>U_JAPANESE_SAMURAI</v>
      </c>
      <c r="B1784" s="9" t="s">
        <v>2346</v>
      </c>
      <c r="E1784" s="4" t="s">
        <v>786</v>
      </c>
      <c r="F1784" s="4" t="s">
        <v>786</v>
      </c>
      <c r="G1784" s="4" t="s">
        <v>2045</v>
      </c>
      <c r="H1784" s="4" t="s">
        <v>953</v>
      </c>
      <c r="I1784" s="4" t="s">
        <v>102</v>
      </c>
      <c r="L1784" s="4" t="s">
        <v>1707</v>
      </c>
      <c r="Q1784" s="9">
        <v>1</v>
      </c>
      <c r="S1784" s="13" t="s">
        <v>1625</v>
      </c>
      <c r="T1784" s="11">
        <v>2</v>
      </c>
      <c r="W1784" s="9">
        <v>3</v>
      </c>
      <c r="Z1784" s="9">
        <v>0</v>
      </c>
      <c r="AD1784" s="6" t="s">
        <v>3</v>
      </c>
      <c r="AF1784" s="11">
        <v>0</v>
      </c>
      <c r="AI1784" s="11">
        <v>1</v>
      </c>
    </row>
    <row r="1785" spans="1:43" x14ac:dyDescent="0.25">
      <c r="A1785" s="161" t="str">
        <f t="shared" si="31"/>
        <v>U_JAPANESE_SAMURAI</v>
      </c>
      <c r="B1785" s="9" t="s">
        <v>2346</v>
      </c>
      <c r="E1785" s="4" t="s">
        <v>786</v>
      </c>
      <c r="F1785" s="4" t="s">
        <v>786</v>
      </c>
      <c r="G1785" s="4" t="s">
        <v>2053</v>
      </c>
      <c r="H1785" s="4" t="s">
        <v>680</v>
      </c>
      <c r="I1785" s="4" t="s">
        <v>102</v>
      </c>
      <c r="L1785" s="4" t="s">
        <v>1707</v>
      </c>
      <c r="Q1785" s="9">
        <v>1</v>
      </c>
      <c r="S1785" s="13" t="s">
        <v>1625</v>
      </c>
      <c r="T1785" s="11">
        <v>2</v>
      </c>
      <c r="W1785" s="9">
        <v>4</v>
      </c>
      <c r="Z1785" s="9">
        <v>0</v>
      </c>
      <c r="AD1785" s="6" t="s">
        <v>3</v>
      </c>
      <c r="AF1785" s="11">
        <v>0</v>
      </c>
      <c r="AI1785" s="11">
        <v>1</v>
      </c>
    </row>
    <row r="1786" spans="1:43" x14ac:dyDescent="0.25">
      <c r="A1786" s="161" t="str">
        <f t="shared" si="31"/>
        <v>U_JAPANESE_ZERO</v>
      </c>
      <c r="B1786" s="9" t="s">
        <v>2347</v>
      </c>
      <c r="C1786" s="5"/>
      <c r="D1786" s="5"/>
      <c r="E1786" s="5" t="s">
        <v>1577</v>
      </c>
      <c r="F1786" s="5" t="s">
        <v>1577</v>
      </c>
      <c r="G1786" s="5"/>
      <c r="H1786" s="5" t="s">
        <v>1684</v>
      </c>
      <c r="I1786" s="5" t="s">
        <v>128</v>
      </c>
      <c r="J1786" s="6"/>
      <c r="K1786" s="7"/>
      <c r="L1786" s="13" t="s">
        <v>1710</v>
      </c>
      <c r="M1786" s="8">
        <v>2</v>
      </c>
      <c r="N1786" s="13" t="s">
        <v>1724</v>
      </c>
      <c r="O1786" s="13"/>
      <c r="P1786" s="13"/>
      <c r="Q1786" s="7">
        <v>3</v>
      </c>
      <c r="R1786" s="6">
        <v>7.0000000000000007E-2</v>
      </c>
      <c r="S1786" s="13" t="s">
        <v>1620</v>
      </c>
      <c r="T1786" s="7">
        <v>4</v>
      </c>
      <c r="U1786" s="6">
        <v>0.06</v>
      </c>
      <c r="V1786" s="5" t="s">
        <v>1698</v>
      </c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6"/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1"/>
        <v>U_KOREAN_HWACHA</v>
      </c>
      <c r="B1787" s="9" t="s">
        <v>2348</v>
      </c>
      <c r="C1787" s="5"/>
      <c r="D1787" s="5"/>
      <c r="E1787" s="5" t="s">
        <v>1578</v>
      </c>
      <c r="F1787" s="5" t="s">
        <v>1578</v>
      </c>
      <c r="G1787" s="5"/>
      <c r="H1787" s="5" t="s">
        <v>1645</v>
      </c>
      <c r="I1787" s="5" t="s">
        <v>128</v>
      </c>
      <c r="J1787" s="6"/>
      <c r="K1787" s="6"/>
      <c r="L1787" s="13" t="s">
        <v>746</v>
      </c>
      <c r="M1787" s="8"/>
      <c r="N1787" s="5"/>
      <c r="O1787" s="5"/>
      <c r="P1787" s="5"/>
      <c r="Q1787" s="7">
        <v>2</v>
      </c>
      <c r="R1787" s="6">
        <v>0.13</v>
      </c>
      <c r="S1787" s="13" t="s">
        <v>1612</v>
      </c>
      <c r="T1787" s="6">
        <v>3</v>
      </c>
      <c r="U1787" s="6" t="s">
        <v>1694</v>
      </c>
      <c r="V1787" s="5" t="s">
        <v>688</v>
      </c>
      <c r="W1787" s="7">
        <v>7</v>
      </c>
      <c r="X1787" s="6" t="s">
        <v>3</v>
      </c>
      <c r="Y1787" s="5"/>
      <c r="Z1787" s="7">
        <v>1</v>
      </c>
      <c r="AA1787" s="6"/>
      <c r="AB1787" s="5"/>
      <c r="AC1787" s="6"/>
      <c r="AD1787" s="6" t="s">
        <v>3</v>
      </c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1"/>
        <v>U_KOREAN_TURTLESHIP</v>
      </c>
      <c r="B1788" s="9" t="s">
        <v>2378</v>
      </c>
      <c r="C1788" s="5"/>
      <c r="D1788" s="5"/>
      <c r="E1788" s="5" t="s">
        <v>1579</v>
      </c>
      <c r="F1788" s="5" t="s">
        <v>1579</v>
      </c>
      <c r="G1788" s="5"/>
      <c r="H1788" s="5" t="s">
        <v>1646</v>
      </c>
      <c r="I1788" s="5" t="s">
        <v>128</v>
      </c>
      <c r="J1788" s="6"/>
      <c r="K1788" s="7"/>
      <c r="L1788" s="13" t="s">
        <v>1712</v>
      </c>
      <c r="M1788" s="8"/>
      <c r="N1788" s="13" t="s">
        <v>1726</v>
      </c>
      <c r="O1788" s="13"/>
      <c r="P1788" s="13"/>
      <c r="Q1788" s="7">
        <v>1</v>
      </c>
      <c r="R1788" s="6" t="s">
        <v>1736</v>
      </c>
      <c r="S1788" s="5"/>
      <c r="T1788" s="6">
        <v>2</v>
      </c>
      <c r="U1788" s="6">
        <v>0.11</v>
      </c>
      <c r="V1788" s="5" t="s">
        <v>1695</v>
      </c>
      <c r="W1788" s="6"/>
      <c r="X1788" s="6"/>
      <c r="Y1788" s="5"/>
      <c r="Z1788" s="6"/>
      <c r="AA1788" s="6"/>
      <c r="AB1788" s="5"/>
      <c r="AC1788" s="6"/>
      <c r="AD1788" s="6"/>
      <c r="AE1788" s="5"/>
      <c r="AF1788" s="6"/>
      <c r="AG1788" s="6"/>
      <c r="AH1788" s="5"/>
      <c r="AI1788" s="6"/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1"/>
        <v>U_MAYAN_ATLALIST</v>
      </c>
      <c r="B1789" s="9" t="s">
        <v>2349</v>
      </c>
      <c r="C1789" s="5"/>
      <c r="D1789" s="5"/>
      <c r="E1789" s="5" t="s">
        <v>1580</v>
      </c>
      <c r="F1789" s="5" t="s">
        <v>1580</v>
      </c>
      <c r="G1789" s="5"/>
      <c r="H1789" s="5" t="s">
        <v>1647</v>
      </c>
      <c r="I1789" s="5" t="s">
        <v>128</v>
      </c>
      <c r="J1789" s="6"/>
      <c r="K1789" s="6"/>
      <c r="L1789" s="13" t="s">
        <v>1707</v>
      </c>
      <c r="M1789" s="8"/>
      <c r="N1789" s="5"/>
      <c r="O1789" s="5"/>
      <c r="P1789" s="5"/>
      <c r="Q1789" s="7">
        <v>10</v>
      </c>
      <c r="R1789" s="6" t="s">
        <v>1736</v>
      </c>
      <c r="S1789" s="13" t="s">
        <v>44</v>
      </c>
      <c r="T1789" s="6">
        <v>18</v>
      </c>
      <c r="U1789" s="7" t="s">
        <v>1736</v>
      </c>
      <c r="V1789" s="5"/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6" t="s">
        <v>1736</v>
      </c>
      <c r="AG1789" s="6"/>
      <c r="AH1789" s="5"/>
      <c r="AI1789" s="6">
        <v>6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 t="shared" si="31"/>
        <v>U_MONGOLIAN_KESHIK</v>
      </c>
      <c r="B1790" s="9" t="s">
        <v>2350</v>
      </c>
      <c r="C1790" s="5"/>
      <c r="D1790" s="5"/>
      <c r="E1790" s="5" t="s">
        <v>1581</v>
      </c>
      <c r="F1790" s="5" t="s">
        <v>1581</v>
      </c>
      <c r="G1790" s="5"/>
      <c r="H1790" s="5" t="s">
        <v>1648</v>
      </c>
      <c r="I1790" s="5" t="s">
        <v>128</v>
      </c>
      <c r="J1790" s="6"/>
      <c r="K1790" s="6"/>
      <c r="L1790" s="13" t="s">
        <v>1707</v>
      </c>
      <c r="M1790" s="8"/>
      <c r="N1790" s="5"/>
      <c r="O1790" s="5"/>
      <c r="P1790" s="5"/>
      <c r="Q1790" s="7" t="s">
        <v>1694</v>
      </c>
      <c r="R1790" s="6" t="s">
        <v>1694</v>
      </c>
      <c r="S1790" s="13" t="s">
        <v>1694</v>
      </c>
      <c r="T1790" s="7" t="s">
        <v>1694</v>
      </c>
      <c r="U1790" s="7" t="s">
        <v>1694</v>
      </c>
      <c r="V1790" s="5"/>
      <c r="W1790" s="6" t="s">
        <v>3</v>
      </c>
      <c r="X1790" s="6" t="s">
        <v>3</v>
      </c>
      <c r="Y1790" s="5"/>
      <c r="Z1790" s="7">
        <v>1</v>
      </c>
      <c r="AA1790" s="6"/>
      <c r="AB1790" s="5"/>
      <c r="AC1790" s="6"/>
      <c r="AD1790" s="6" t="s">
        <v>3</v>
      </c>
      <c r="AE1790" s="5"/>
      <c r="AF1790" s="6" t="s">
        <v>1694</v>
      </c>
      <c r="AG1790" s="6"/>
      <c r="AH1790" s="5"/>
      <c r="AI1790" s="6"/>
      <c r="AJ1790" s="6"/>
      <c r="AK1790" s="5"/>
      <c r="AL1790" s="5"/>
      <c r="AM1790" s="5"/>
      <c r="AN1790" s="5"/>
      <c r="AO1790" s="5"/>
      <c r="AP1790" s="5"/>
      <c r="AQ1790" s="5"/>
    </row>
    <row r="1791" spans="1:43" x14ac:dyDescent="0.25">
      <c r="A1791" s="161" t="str">
        <f t="shared" si="31"/>
        <v>U_MORROCAN_BERBER_CAVALRY</v>
      </c>
      <c r="B1791" s="9" t="s">
        <v>2380</v>
      </c>
      <c r="C1791" s="5"/>
      <c r="D1791" s="5"/>
      <c r="E1791" s="5" t="s">
        <v>1582</v>
      </c>
      <c r="F1791" s="5" t="s">
        <v>1582</v>
      </c>
      <c r="G1791" s="5"/>
      <c r="H1791" s="5" t="s">
        <v>1649</v>
      </c>
      <c r="I1791" s="5" t="s">
        <v>128</v>
      </c>
      <c r="J1791" s="6"/>
      <c r="K1791" s="6"/>
      <c r="L1791" s="13" t="s">
        <v>1713</v>
      </c>
      <c r="M1791" s="8"/>
      <c r="N1791" s="5"/>
      <c r="O1791" s="5"/>
      <c r="P1791" s="5"/>
      <c r="Q1791" s="7" t="s">
        <v>1694</v>
      </c>
      <c r="R1791" s="6" t="s">
        <v>1694</v>
      </c>
      <c r="S1791" s="13" t="s">
        <v>1694</v>
      </c>
      <c r="T1791" s="6" t="s">
        <v>1694</v>
      </c>
      <c r="U1791" s="7" t="s">
        <v>1694</v>
      </c>
      <c r="V1791" s="5"/>
      <c r="W1791" s="7" t="s">
        <v>3</v>
      </c>
      <c r="X1791" s="6" t="s">
        <v>3</v>
      </c>
      <c r="Y1791" s="5"/>
      <c r="Z1791" s="7">
        <v>1</v>
      </c>
      <c r="AA1791" s="6"/>
      <c r="AB1791" s="5"/>
      <c r="AC1791" s="6"/>
      <c r="AD1791" s="6" t="s">
        <v>3</v>
      </c>
      <c r="AE1791" s="5"/>
      <c r="AF1791" s="6" t="s">
        <v>1694</v>
      </c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1"/>
        <v>U_OTTOMAN_JANISSARY</v>
      </c>
      <c r="B1792" s="9" t="s">
        <v>2351</v>
      </c>
      <c r="C1792" s="5"/>
      <c r="D1792" s="5"/>
      <c r="E1792" s="5" t="s">
        <v>1583</v>
      </c>
      <c r="F1792" s="5" t="s">
        <v>1583</v>
      </c>
      <c r="G1792" s="5"/>
      <c r="H1792" s="5" t="s">
        <v>1685</v>
      </c>
      <c r="I1792" s="5" t="s">
        <v>128</v>
      </c>
      <c r="J1792" s="6"/>
      <c r="K1792" s="6"/>
      <c r="L1792" s="13" t="s">
        <v>1707</v>
      </c>
      <c r="M1792" s="8"/>
      <c r="N1792" s="5"/>
      <c r="O1792" s="5"/>
      <c r="P1792" s="5"/>
      <c r="Q1792" s="7">
        <v>14</v>
      </c>
      <c r="R1792" s="6" t="s">
        <v>1736</v>
      </c>
      <c r="S1792" s="13" t="s">
        <v>1618</v>
      </c>
      <c r="T1792" s="7">
        <v>19</v>
      </c>
      <c r="U1792" s="7" t="s">
        <v>1736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1736</v>
      </c>
      <c r="AG1792" s="6"/>
      <c r="AH1792" s="5"/>
      <c r="AI1792" s="6" t="s">
        <v>1736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1"/>
        <v>U_OTTOMAN_SIPAHI</v>
      </c>
      <c r="B1793" s="9" t="s">
        <v>2352</v>
      </c>
      <c r="C1793" s="5"/>
      <c r="D1793" s="5"/>
      <c r="E1793" s="5" t="s">
        <v>1584</v>
      </c>
      <c r="F1793" s="5" t="s">
        <v>1584</v>
      </c>
      <c r="G1793" s="5"/>
      <c r="H1793" s="5" t="s">
        <v>1686</v>
      </c>
      <c r="I1793" s="5" t="s">
        <v>128</v>
      </c>
      <c r="J1793" s="6"/>
      <c r="K1793" s="6"/>
      <c r="L1793" s="13" t="s">
        <v>1713</v>
      </c>
      <c r="M1793" s="8"/>
      <c r="N1793" s="5"/>
      <c r="O1793" s="5"/>
      <c r="P1793" s="5"/>
      <c r="Q1793" s="7" t="s">
        <v>1694</v>
      </c>
      <c r="R1793" s="6" t="s">
        <v>1694</v>
      </c>
      <c r="S1793" s="13" t="s">
        <v>1694</v>
      </c>
      <c r="T1793" s="7" t="s">
        <v>1694</v>
      </c>
      <c r="U1793" s="7" t="s">
        <v>1694</v>
      </c>
      <c r="V1793" s="5" t="s">
        <v>1700</v>
      </c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1694</v>
      </c>
      <c r="AG1793" s="6"/>
      <c r="AH1793" s="5"/>
      <c r="AI1793" s="6"/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1"/>
        <v>U_PERSIAN_IMMORTAL</v>
      </c>
      <c r="B1794" s="9" t="s">
        <v>2353</v>
      </c>
      <c r="C1794" s="5"/>
      <c r="D1794" s="5"/>
      <c r="E1794" s="5" t="s">
        <v>1585</v>
      </c>
      <c r="F1794" s="5" t="s">
        <v>1585</v>
      </c>
      <c r="G1794" s="5"/>
      <c r="H1794" s="5" t="s">
        <v>1687</v>
      </c>
      <c r="I1794" s="5" t="s">
        <v>128</v>
      </c>
      <c r="J1794" s="6"/>
      <c r="K1794" s="6"/>
      <c r="L1794" s="13" t="s">
        <v>1707</v>
      </c>
      <c r="M1794" s="8"/>
      <c r="N1794" s="5"/>
      <c r="O1794" s="5"/>
      <c r="P1794" s="5"/>
      <c r="Q1794" s="7" t="s">
        <v>1736</v>
      </c>
      <c r="R1794" s="6" t="s">
        <v>1736</v>
      </c>
      <c r="S1794" s="13" t="s">
        <v>1624</v>
      </c>
      <c r="T1794" s="7">
        <v>20</v>
      </c>
      <c r="U1794" s="7" t="s">
        <v>1736</v>
      </c>
      <c r="V1794" s="5"/>
      <c r="W1794" s="6">
        <v>30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1736</v>
      </c>
      <c r="AG1794" s="6"/>
      <c r="AH1794" s="5"/>
      <c r="AI1794" s="6" t="s">
        <v>1736</v>
      </c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1"/>
        <v>U_POLISH_WINGED_HUSSAR</v>
      </c>
      <c r="B1795" s="9" t="s">
        <v>2354</v>
      </c>
      <c r="C1795" s="5"/>
      <c r="D1795" s="5"/>
      <c r="E1795" s="5" t="s">
        <v>1586</v>
      </c>
      <c r="F1795" s="5" t="s">
        <v>1586</v>
      </c>
      <c r="G1795" s="5"/>
      <c r="H1795" s="5" t="s">
        <v>1650</v>
      </c>
      <c r="I1795" s="5" t="s">
        <v>128</v>
      </c>
      <c r="J1795" s="6"/>
      <c r="K1795" s="6"/>
      <c r="L1795" s="13" t="s">
        <v>1713</v>
      </c>
      <c r="M1795" s="8"/>
      <c r="N1795" s="5"/>
      <c r="O1795" s="5"/>
      <c r="P1795" s="5"/>
      <c r="Q1795" s="7" t="s">
        <v>1694</v>
      </c>
      <c r="R1795" s="6">
        <v>0.13</v>
      </c>
      <c r="S1795" s="13" t="s">
        <v>1694</v>
      </c>
      <c r="T1795" s="6" t="s">
        <v>1694</v>
      </c>
      <c r="U1795" s="6" t="s">
        <v>1694</v>
      </c>
      <c r="V1795" s="5"/>
      <c r="W1795" s="7" t="s">
        <v>3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7" t="s">
        <v>1694</v>
      </c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ref="A1796:A1883" si="32">CONCATENATE(E1796,IF(ISBLANK(C1796),"",CONCATENATE("_",C1796)))</f>
        <v>U_POLYNESIAN_MAORI_WARRIOR</v>
      </c>
      <c r="B1796" s="9" t="s">
        <v>2355</v>
      </c>
      <c r="C1796" s="5"/>
      <c r="D1796" s="5"/>
      <c r="E1796" s="5" t="s">
        <v>1587</v>
      </c>
      <c r="F1796" s="5" t="s">
        <v>1587</v>
      </c>
      <c r="G1796" s="5"/>
      <c r="H1796" s="5" t="s">
        <v>1651</v>
      </c>
      <c r="I1796" s="5" t="s">
        <v>128</v>
      </c>
      <c r="J1796" s="6"/>
      <c r="K1796" s="6"/>
      <c r="L1796" s="13" t="s">
        <v>1707</v>
      </c>
      <c r="M1796" s="8"/>
      <c r="N1796" s="5"/>
      <c r="O1796" s="5"/>
      <c r="P1796" s="5"/>
      <c r="Q1796" s="7">
        <v>10</v>
      </c>
      <c r="R1796" s="6">
        <v>0.13</v>
      </c>
      <c r="S1796" s="13" t="s">
        <v>1619</v>
      </c>
      <c r="T1796" s="7">
        <v>18</v>
      </c>
      <c r="U1796" s="6">
        <v>8.7999999999999995E-2</v>
      </c>
      <c r="V1796" s="5"/>
      <c r="W1796" s="6" t="s">
        <v>3</v>
      </c>
      <c r="X1796" s="6" t="s">
        <v>3</v>
      </c>
      <c r="Y1796" s="5"/>
      <c r="Z1796" s="7">
        <v>1</v>
      </c>
      <c r="AA1796" s="6"/>
      <c r="AB1796" s="5"/>
      <c r="AC1796" s="6"/>
      <c r="AD1796" s="6" t="s">
        <v>3</v>
      </c>
      <c r="AE1796" s="5"/>
      <c r="AF1796" s="7" t="s">
        <v>1736</v>
      </c>
      <c r="AG1796" s="6"/>
      <c r="AH1796" s="5"/>
      <c r="AI1796" s="6">
        <v>6</v>
      </c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U_POLYNESIAN_WAR_CANOE</v>
      </c>
      <c r="C1797" s="5"/>
      <c r="D1797" s="5"/>
      <c r="E1797" s="5" t="s">
        <v>1588</v>
      </c>
      <c r="F1797" s="5" t="s">
        <v>1588</v>
      </c>
      <c r="G1797" s="5"/>
      <c r="H1797" s="5" t="s">
        <v>995</v>
      </c>
      <c r="I1797" s="5" t="s">
        <v>128</v>
      </c>
      <c r="J1797" s="6"/>
      <c r="K1797" s="7"/>
      <c r="L1797" s="13" t="s">
        <v>1711</v>
      </c>
      <c r="M1797" s="8"/>
      <c r="N1797" s="13" t="s">
        <v>1726</v>
      </c>
      <c r="O1797" s="13"/>
      <c r="P1797" s="13"/>
      <c r="Q1797" s="7">
        <v>2</v>
      </c>
      <c r="R1797" s="6">
        <v>7.0000000000000007E-2</v>
      </c>
      <c r="S1797" s="13" t="s">
        <v>1612</v>
      </c>
      <c r="T1797" s="7">
        <v>5</v>
      </c>
      <c r="U1797" s="6">
        <v>0.04</v>
      </c>
      <c r="V1797" s="5" t="s">
        <v>1695</v>
      </c>
      <c r="W1797" s="6"/>
      <c r="X1797" s="6"/>
      <c r="Y1797" s="5"/>
      <c r="Z1797" s="7">
        <v>1</v>
      </c>
      <c r="AA1797" s="6"/>
      <c r="AB1797" s="5"/>
      <c r="AC1797" s="6"/>
      <c r="AD1797" s="6"/>
      <c r="AE1797" s="5"/>
      <c r="AF1797" s="6"/>
      <c r="AG1797" s="6"/>
      <c r="AH1797" s="5"/>
      <c r="AI1797" s="6"/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U_PORTUGUESE_CARRACK</v>
      </c>
      <c r="B1798" s="9" t="s">
        <v>2381</v>
      </c>
      <c r="C1798" s="5"/>
      <c r="D1798" s="5"/>
      <c r="E1798" s="5" t="s">
        <v>1589</v>
      </c>
      <c r="F1798" s="5" t="s">
        <v>1589</v>
      </c>
      <c r="G1798" s="5"/>
      <c r="H1798" s="5" t="s">
        <v>1652</v>
      </c>
      <c r="I1798" s="5" t="s">
        <v>128</v>
      </c>
      <c r="J1798" s="6"/>
      <c r="K1798" s="7"/>
      <c r="L1798" s="13" t="s">
        <v>1712</v>
      </c>
      <c r="M1798" s="8"/>
      <c r="N1798" s="13" t="s">
        <v>1726</v>
      </c>
      <c r="O1798" s="13"/>
      <c r="P1798" s="13"/>
      <c r="Q1798" s="7">
        <v>1</v>
      </c>
      <c r="R1798" s="6">
        <v>0.13700000000000001</v>
      </c>
      <c r="S1798" s="5"/>
      <c r="T1798" s="6">
        <v>3</v>
      </c>
      <c r="U1798" s="7" t="s">
        <v>1736</v>
      </c>
      <c r="V1798" s="5" t="s">
        <v>1695</v>
      </c>
      <c r="W1798" s="6"/>
      <c r="X1798" s="6"/>
      <c r="Y1798" s="5"/>
      <c r="Z1798" s="6"/>
      <c r="AA1798" s="6"/>
      <c r="AB1798" s="5"/>
      <c r="AC1798" s="6"/>
      <c r="AD1798" s="6"/>
      <c r="AE1798" s="5"/>
      <c r="AF1798" s="6"/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U_ROMAN_BALLISTA</v>
      </c>
      <c r="B1799" s="9" t="s">
        <v>2356</v>
      </c>
      <c r="C1799" s="5"/>
      <c r="D1799" s="5"/>
      <c r="E1799" s="5" t="s">
        <v>1590</v>
      </c>
      <c r="F1799" s="5" t="s">
        <v>1590</v>
      </c>
      <c r="G1799" s="5"/>
      <c r="H1799" s="5" t="s">
        <v>1688</v>
      </c>
      <c r="I1799" s="5" t="s">
        <v>128</v>
      </c>
      <c r="J1799" s="6"/>
      <c r="K1799" s="6"/>
      <c r="L1799" s="13" t="s">
        <v>746</v>
      </c>
      <c r="M1799" s="8"/>
      <c r="N1799" s="5"/>
      <c r="O1799" s="5"/>
      <c r="P1799" s="5"/>
      <c r="Q1799" s="7">
        <v>2</v>
      </c>
      <c r="R1799" s="6" t="s">
        <v>1694</v>
      </c>
      <c r="S1799" s="13" t="s">
        <v>1612</v>
      </c>
      <c r="T1799" s="7">
        <v>4</v>
      </c>
      <c r="U1799" s="7" t="s">
        <v>1736</v>
      </c>
      <c r="V1799" s="5" t="s">
        <v>688</v>
      </c>
      <c r="W1799" s="6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6"/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U_ROMAN_LEGION</v>
      </c>
      <c r="B1800" s="9" t="s">
        <v>2357</v>
      </c>
      <c r="C1800" s="5"/>
      <c r="D1800" s="5"/>
      <c r="E1800" s="5" t="s">
        <v>1591</v>
      </c>
      <c r="F1800" s="5" t="s">
        <v>1591</v>
      </c>
      <c r="G1800" s="5"/>
      <c r="H1800" s="5" t="s">
        <v>600</v>
      </c>
      <c r="I1800" s="5" t="s">
        <v>128</v>
      </c>
      <c r="J1800" s="6"/>
      <c r="K1800" s="6"/>
      <c r="L1800" s="13" t="s">
        <v>1717</v>
      </c>
      <c r="M1800" s="8"/>
      <c r="N1800" s="5"/>
      <c r="O1800" s="5"/>
      <c r="P1800" s="5"/>
      <c r="Q1800" s="7" t="s">
        <v>1736</v>
      </c>
      <c r="R1800" s="6" t="s">
        <v>1736</v>
      </c>
      <c r="S1800" s="13" t="s">
        <v>1624</v>
      </c>
      <c r="T1800" s="7" t="s">
        <v>1736</v>
      </c>
      <c r="U1800" s="7" t="s">
        <v>1736</v>
      </c>
      <c r="V1800" s="5" t="s">
        <v>1705</v>
      </c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 t="s">
        <v>1736</v>
      </c>
      <c r="AG1800" s="6"/>
      <c r="AH1800" s="5"/>
      <c r="AI1800" s="6" t="s">
        <v>1736</v>
      </c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U_RUSSIAN_COSSACK</v>
      </c>
      <c r="B1801" s="9" t="s">
        <v>2358</v>
      </c>
      <c r="C1801" s="5"/>
      <c r="D1801" s="5"/>
      <c r="E1801" s="5" t="s">
        <v>1592</v>
      </c>
      <c r="F1801" s="5" t="s">
        <v>1592</v>
      </c>
      <c r="G1801" s="5"/>
      <c r="H1801" s="5" t="s">
        <v>1689</v>
      </c>
      <c r="I1801" s="5" t="s">
        <v>128</v>
      </c>
      <c r="J1801" s="6"/>
      <c r="K1801" s="6"/>
      <c r="L1801" s="13" t="s">
        <v>1713</v>
      </c>
      <c r="M1801" s="8"/>
      <c r="N1801" s="5"/>
      <c r="O1801" s="5"/>
      <c r="P1801" s="5"/>
      <c r="Q1801" s="7">
        <v>1</v>
      </c>
      <c r="R1801" s="6" t="s">
        <v>1694</v>
      </c>
      <c r="S1801" s="13" t="s">
        <v>1694</v>
      </c>
      <c r="T1801" s="7">
        <v>1</v>
      </c>
      <c r="U1801" s="7" t="s">
        <v>1694</v>
      </c>
      <c r="V1801" s="5"/>
      <c r="W1801" s="7" t="s">
        <v>3</v>
      </c>
      <c r="X1801" s="6" t="s">
        <v>3</v>
      </c>
      <c r="Y1801" s="5"/>
      <c r="Z1801" s="7">
        <v>0</v>
      </c>
      <c r="AA1801" s="6"/>
      <c r="AB1801" s="5"/>
      <c r="AC1801" s="6"/>
      <c r="AD1801" s="6" t="s">
        <v>3</v>
      </c>
      <c r="AE1801" s="5"/>
      <c r="AF1801" s="6">
        <v>1</v>
      </c>
      <c r="AG1801" s="6"/>
      <c r="AH1801" s="5"/>
      <c r="AI1801" s="6">
        <v>1</v>
      </c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U_RUSSIAN_COSSACK</v>
      </c>
      <c r="B1802" s="9" t="s">
        <v>2358</v>
      </c>
      <c r="C1802" s="5"/>
      <c r="D1802" s="5"/>
      <c r="E1802" s="5" t="s">
        <v>1592</v>
      </c>
      <c r="F1802" s="5" t="s">
        <v>1592</v>
      </c>
      <c r="G1802" s="5" t="s">
        <v>2045</v>
      </c>
      <c r="H1802" s="5" t="s">
        <v>1690</v>
      </c>
      <c r="I1802" s="5" t="s">
        <v>128</v>
      </c>
      <c r="J1802" s="6"/>
      <c r="K1802" s="6"/>
      <c r="L1802" s="13" t="s">
        <v>1713</v>
      </c>
      <c r="M1802" s="8"/>
      <c r="N1802" s="5"/>
      <c r="O1802" s="5"/>
      <c r="P1802" s="5"/>
      <c r="Q1802" s="7">
        <v>2</v>
      </c>
      <c r="R1802" s="6" t="s">
        <v>1694</v>
      </c>
      <c r="S1802" s="13" t="s">
        <v>1694</v>
      </c>
      <c r="T1802" s="7">
        <v>2</v>
      </c>
      <c r="U1802" s="7" t="s">
        <v>1694</v>
      </c>
      <c r="V1802" s="5"/>
      <c r="W1802" s="7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6">
        <v>1</v>
      </c>
      <c r="AG1802" s="6"/>
      <c r="AH1802" s="5"/>
      <c r="AI1802" s="6">
        <v>1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U_RUSSIAN_COSSACK</v>
      </c>
      <c r="B1803" s="9" t="s">
        <v>2358</v>
      </c>
      <c r="C1803" s="5"/>
      <c r="D1803" s="5"/>
      <c r="E1803" s="5" t="s">
        <v>1592</v>
      </c>
      <c r="F1803" s="5" t="s">
        <v>1592</v>
      </c>
      <c r="G1803" s="5" t="s">
        <v>2047</v>
      </c>
      <c r="H1803" s="5" t="s">
        <v>1691</v>
      </c>
      <c r="I1803" s="5" t="s">
        <v>128</v>
      </c>
      <c r="J1803" s="6"/>
      <c r="K1803" s="6"/>
      <c r="L1803" s="13" t="s">
        <v>1713</v>
      </c>
      <c r="M1803" s="8"/>
      <c r="N1803" s="5"/>
      <c r="O1803" s="5"/>
      <c r="P1803" s="5"/>
      <c r="Q1803" s="7">
        <v>2</v>
      </c>
      <c r="R1803" s="6" t="s">
        <v>1694</v>
      </c>
      <c r="S1803" s="13" t="s">
        <v>1694</v>
      </c>
      <c r="T1803" s="7">
        <v>2</v>
      </c>
      <c r="U1803" s="7" t="s">
        <v>1694</v>
      </c>
      <c r="V1803" s="5"/>
      <c r="W1803" s="7" t="s">
        <v>3</v>
      </c>
      <c r="X1803" s="6" t="s">
        <v>3</v>
      </c>
      <c r="Y1803" s="5"/>
      <c r="Z1803" s="7">
        <v>0</v>
      </c>
      <c r="AA1803" s="6"/>
      <c r="AB1803" s="5"/>
      <c r="AC1803" s="6"/>
      <c r="AD1803" s="6" t="s">
        <v>3</v>
      </c>
      <c r="AE1803" s="5"/>
      <c r="AF1803" s="7">
        <v>1</v>
      </c>
      <c r="AG1803" s="6"/>
      <c r="AH1803" s="5"/>
      <c r="AI1803" s="7">
        <v>2</v>
      </c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U_RUSSIAN_COSSACK</v>
      </c>
      <c r="B1804" s="9" t="s">
        <v>2358</v>
      </c>
      <c r="C1804" s="5"/>
      <c r="D1804" s="5"/>
      <c r="E1804" s="5" t="s">
        <v>1592</v>
      </c>
      <c r="F1804" s="5" t="s">
        <v>1592</v>
      </c>
      <c r="G1804" s="5"/>
      <c r="H1804" s="5" t="s">
        <v>1689</v>
      </c>
      <c r="I1804" s="5" t="s">
        <v>128</v>
      </c>
      <c r="J1804" s="6"/>
      <c r="K1804" s="6"/>
      <c r="L1804" s="13" t="s">
        <v>1713</v>
      </c>
      <c r="M1804" s="8"/>
      <c r="N1804" s="5"/>
      <c r="O1804" s="5"/>
      <c r="P1804" s="5"/>
      <c r="Q1804" s="7">
        <v>0</v>
      </c>
      <c r="R1804" s="6" t="s">
        <v>1694</v>
      </c>
      <c r="S1804" s="13" t="s">
        <v>1694</v>
      </c>
      <c r="T1804" s="7">
        <v>1</v>
      </c>
      <c r="U1804" s="7" t="s">
        <v>1694</v>
      </c>
      <c r="V1804" s="5"/>
      <c r="W1804" s="7" t="s">
        <v>3</v>
      </c>
      <c r="X1804" s="6" t="s">
        <v>3</v>
      </c>
      <c r="Y1804" s="5"/>
      <c r="Z1804" s="7">
        <v>0</v>
      </c>
      <c r="AA1804" s="6"/>
      <c r="AB1804" s="5"/>
      <c r="AC1804" s="6"/>
      <c r="AD1804" s="6" t="s">
        <v>3</v>
      </c>
      <c r="AE1804" s="5"/>
      <c r="AF1804" s="7">
        <v>0</v>
      </c>
      <c r="AG1804" s="6"/>
      <c r="AH1804" s="5"/>
      <c r="AI1804" s="7">
        <v>2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U_RUSSIAN_COSSACK</v>
      </c>
      <c r="B1805" s="9" t="s">
        <v>2358</v>
      </c>
      <c r="C1805" s="5"/>
      <c r="D1805" s="5"/>
      <c r="E1805" s="5" t="s">
        <v>1592</v>
      </c>
      <c r="F1805" s="5" t="s">
        <v>1592</v>
      </c>
      <c r="G1805" s="5" t="s">
        <v>2045</v>
      </c>
      <c r="H1805" s="5" t="s">
        <v>1690</v>
      </c>
      <c r="I1805" s="5" t="s">
        <v>128</v>
      </c>
      <c r="J1805" s="6"/>
      <c r="K1805" s="6"/>
      <c r="L1805" s="13" t="s">
        <v>1713</v>
      </c>
      <c r="M1805" s="8"/>
      <c r="N1805" s="5"/>
      <c r="O1805" s="5"/>
      <c r="P1805" s="5"/>
      <c r="Q1805" s="7">
        <v>0</v>
      </c>
      <c r="R1805" s="6" t="s">
        <v>1694</v>
      </c>
      <c r="S1805" s="13" t="s">
        <v>1694</v>
      </c>
      <c r="T1805" s="7">
        <v>1</v>
      </c>
      <c r="U1805" s="7" t="s">
        <v>1694</v>
      </c>
      <c r="V1805" s="5"/>
      <c r="W1805" s="7" t="s">
        <v>3</v>
      </c>
      <c r="X1805" s="6" t="s">
        <v>3</v>
      </c>
      <c r="Y1805" s="5"/>
      <c r="Z1805" s="7">
        <v>0</v>
      </c>
      <c r="AA1805" s="6"/>
      <c r="AB1805" s="5"/>
      <c r="AC1805" s="6"/>
      <c r="AD1805" s="6" t="s">
        <v>3</v>
      </c>
      <c r="AE1805" s="5"/>
      <c r="AF1805" s="7">
        <v>0</v>
      </c>
      <c r="AG1805" s="6"/>
      <c r="AH1805" s="5"/>
      <c r="AI1805" s="7">
        <v>1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U_SAXON_HUSCARL</v>
      </c>
      <c r="C1806" s="5"/>
      <c r="D1806" s="5"/>
      <c r="E1806" s="5" t="s">
        <v>1593</v>
      </c>
      <c r="F1806" s="5" t="s">
        <v>1593</v>
      </c>
      <c r="G1806" s="5"/>
      <c r="H1806" s="5" t="s">
        <v>1653</v>
      </c>
      <c r="I1806" s="5" t="s">
        <v>128</v>
      </c>
      <c r="J1806" s="6"/>
      <c r="K1806" s="6"/>
      <c r="L1806" s="13" t="s">
        <v>1707</v>
      </c>
      <c r="M1806" s="8"/>
      <c r="N1806" s="5"/>
      <c r="O1806" s="5"/>
      <c r="P1806" s="5"/>
      <c r="Q1806" s="7">
        <v>9</v>
      </c>
      <c r="R1806" s="6" t="s">
        <v>1736</v>
      </c>
      <c r="S1806" s="13" t="s">
        <v>1620</v>
      </c>
      <c r="T1806" s="6" t="s">
        <v>1736</v>
      </c>
      <c r="U1806" s="7" t="s">
        <v>1736</v>
      </c>
      <c r="V1806" s="5" t="s">
        <v>1619</v>
      </c>
      <c r="W1806" s="6" t="s">
        <v>3</v>
      </c>
      <c r="X1806" s="6" t="s">
        <v>3</v>
      </c>
      <c r="Y1806" s="5"/>
      <c r="Z1806" s="7">
        <v>1</v>
      </c>
      <c r="AA1806" s="6"/>
      <c r="AB1806" s="5"/>
      <c r="AC1806" s="6"/>
      <c r="AD1806" s="6" t="s">
        <v>3</v>
      </c>
      <c r="AE1806" s="5"/>
      <c r="AF1806" s="7" t="s">
        <v>1736</v>
      </c>
      <c r="AG1806" s="6"/>
      <c r="AH1806" s="5"/>
      <c r="AI1806" s="7">
        <v>6</v>
      </c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U_SHOSHONE_COMANCHE_RIDERS</v>
      </c>
      <c r="B1807" s="9" t="s">
        <v>2359</v>
      </c>
      <c r="C1807" s="5"/>
      <c r="D1807" s="5"/>
      <c r="E1807" s="5" t="s">
        <v>1594</v>
      </c>
      <c r="F1807" s="5" t="s">
        <v>1594</v>
      </c>
      <c r="G1807" s="5"/>
      <c r="H1807" s="5" t="s">
        <v>1654</v>
      </c>
      <c r="I1807" s="5" t="s">
        <v>128</v>
      </c>
      <c r="J1807" s="6"/>
      <c r="K1807" s="6"/>
      <c r="L1807" s="13" t="s">
        <v>1713</v>
      </c>
      <c r="M1807" s="8"/>
      <c r="N1807" s="5"/>
      <c r="O1807" s="5"/>
      <c r="P1807" s="5"/>
      <c r="Q1807" s="7" t="s">
        <v>1694</v>
      </c>
      <c r="R1807" s="6" t="s">
        <v>1694</v>
      </c>
      <c r="S1807" s="13" t="s">
        <v>1694</v>
      </c>
      <c r="T1807" s="6" t="s">
        <v>1694</v>
      </c>
      <c r="U1807" s="7" t="s">
        <v>1694</v>
      </c>
      <c r="V1807" s="5"/>
      <c r="W1807" s="7" t="s">
        <v>3</v>
      </c>
      <c r="X1807" s="6" t="s">
        <v>3</v>
      </c>
      <c r="Y1807" s="5"/>
      <c r="Z1807" s="7">
        <v>1</v>
      </c>
      <c r="AA1807" s="6"/>
      <c r="AB1807" s="5"/>
      <c r="AC1807" s="6"/>
      <c r="AD1807" s="6" t="s">
        <v>3</v>
      </c>
      <c r="AE1807" s="5"/>
      <c r="AF1807" s="7" t="s">
        <v>1694</v>
      </c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U_SHOSHONE_PATHFINDER</v>
      </c>
      <c r="B1808" s="9" t="s">
        <v>2360</v>
      </c>
      <c r="C1808" s="5"/>
      <c r="D1808" s="5"/>
      <c r="E1808" s="5" t="s">
        <v>1595</v>
      </c>
      <c r="F1808" s="5" t="s">
        <v>1595</v>
      </c>
      <c r="G1808" s="5"/>
      <c r="H1808" s="5" t="s">
        <v>1655</v>
      </c>
      <c r="I1808" s="5" t="s">
        <v>128</v>
      </c>
      <c r="J1808" s="6"/>
      <c r="K1808" s="6"/>
      <c r="L1808" s="13" t="s">
        <v>1707</v>
      </c>
      <c r="M1808" s="8"/>
      <c r="N1808" s="5"/>
      <c r="O1808" s="5"/>
      <c r="P1808" s="5"/>
      <c r="Q1808" s="7">
        <v>6</v>
      </c>
      <c r="R1808" s="6" t="s">
        <v>1736</v>
      </c>
      <c r="S1808" s="13" t="s">
        <v>20</v>
      </c>
      <c r="T1808" s="6"/>
      <c r="U1808" s="7" t="s">
        <v>1694</v>
      </c>
      <c r="V1808" s="5"/>
      <c r="W1808" s="7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7">
        <v>2</v>
      </c>
      <c r="AG1808" s="6"/>
      <c r="AH1808" s="5"/>
      <c r="AI1808" s="7">
        <v>5</v>
      </c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U_SIAMESE_WARELEPHANT</v>
      </c>
      <c r="B1809" s="9" t="s">
        <v>2361</v>
      </c>
      <c r="C1809" s="5"/>
      <c r="D1809" s="5"/>
      <c r="E1809" s="5" t="s">
        <v>1596</v>
      </c>
      <c r="F1809" s="5" t="s">
        <v>1596</v>
      </c>
      <c r="G1809" s="5"/>
      <c r="H1809" s="5" t="s">
        <v>1692</v>
      </c>
      <c r="I1809" s="5" t="s">
        <v>128</v>
      </c>
      <c r="J1809" s="6"/>
      <c r="K1809" s="6"/>
      <c r="L1809" s="13" t="s">
        <v>1716</v>
      </c>
      <c r="M1809" s="8"/>
      <c r="N1809" s="5"/>
      <c r="O1809" s="5"/>
      <c r="P1809" s="5"/>
      <c r="Q1809" s="7">
        <v>2</v>
      </c>
      <c r="R1809" s="6" t="s">
        <v>1694</v>
      </c>
      <c r="S1809" s="13" t="s">
        <v>1617</v>
      </c>
      <c r="T1809" s="6">
        <v>3</v>
      </c>
      <c r="U1809" s="7" t="s">
        <v>1694</v>
      </c>
      <c r="V1809" s="5"/>
      <c r="W1809" s="6" t="s">
        <v>3</v>
      </c>
      <c r="X1809" s="6" t="s">
        <v>3</v>
      </c>
      <c r="Y1809" s="5"/>
      <c r="Z1809" s="7">
        <v>1</v>
      </c>
      <c r="AA1809" s="6"/>
      <c r="AB1809" s="5"/>
      <c r="AC1809" s="6"/>
      <c r="AD1809" s="6" t="s">
        <v>3</v>
      </c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U_SONGHAI_MUSLIMCAVALRY</v>
      </c>
      <c r="B1810" s="9" t="s">
        <v>2362</v>
      </c>
      <c r="C1810" s="5"/>
      <c r="D1810" s="5"/>
      <c r="E1810" s="5" t="s">
        <v>1597</v>
      </c>
      <c r="F1810" s="5" t="s">
        <v>1597</v>
      </c>
      <c r="G1810" s="5"/>
      <c r="H1810" s="5" t="s">
        <v>1693</v>
      </c>
      <c r="I1810" s="5" t="s">
        <v>128</v>
      </c>
      <c r="J1810" s="6"/>
      <c r="K1810" s="6"/>
      <c r="L1810" s="13" t="s">
        <v>1713</v>
      </c>
      <c r="M1810" s="8"/>
      <c r="N1810" s="5"/>
      <c r="O1810" s="5"/>
      <c r="P1810" s="5"/>
      <c r="Q1810" s="7" t="s">
        <v>1694</v>
      </c>
      <c r="R1810" s="6" t="s">
        <v>1694</v>
      </c>
      <c r="S1810" s="13" t="s">
        <v>1694</v>
      </c>
      <c r="T1810" s="6" t="s">
        <v>1694</v>
      </c>
      <c r="U1810" s="7" t="s">
        <v>1694</v>
      </c>
      <c r="V1810" s="5" t="s">
        <v>1700</v>
      </c>
      <c r="W1810" s="6" t="s">
        <v>3</v>
      </c>
      <c r="X1810" s="6" t="s">
        <v>3</v>
      </c>
      <c r="Y1810" s="5"/>
      <c r="Z1810" s="7">
        <v>1</v>
      </c>
      <c r="AA1810" s="6"/>
      <c r="AB1810" s="5"/>
      <c r="AC1810" s="6"/>
      <c r="AD1810" s="6" t="s">
        <v>3</v>
      </c>
      <c r="AE1810" s="5"/>
      <c r="AF1810" s="7" t="s">
        <v>1694</v>
      </c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U_SPANISH_CONQUISTADOR</v>
      </c>
      <c r="B1811" s="9" t="s">
        <v>2363</v>
      </c>
      <c r="C1811" s="5"/>
      <c r="D1811" s="5"/>
      <c r="E1811" s="5" t="s">
        <v>1598</v>
      </c>
      <c r="F1811" s="5" t="s">
        <v>1598</v>
      </c>
      <c r="G1811" s="5"/>
      <c r="H1811" s="5" t="s">
        <v>1656</v>
      </c>
      <c r="I1811" s="5" t="s">
        <v>128</v>
      </c>
      <c r="J1811" s="6"/>
      <c r="K1811" s="6"/>
      <c r="L1811" s="13" t="s">
        <v>1707</v>
      </c>
      <c r="M1811" s="8"/>
      <c r="N1811" s="5"/>
      <c r="O1811" s="5"/>
      <c r="P1811" s="5"/>
      <c r="Q1811" s="7" t="s">
        <v>1694</v>
      </c>
      <c r="R1811" s="6">
        <v>0.13</v>
      </c>
      <c r="S1811" s="13" t="s">
        <v>1694</v>
      </c>
      <c r="T1811" s="6"/>
      <c r="U1811" s="6"/>
      <c r="V1811" s="5"/>
      <c r="W1811" s="6" t="s">
        <v>3</v>
      </c>
      <c r="X1811" s="6" t="s">
        <v>3</v>
      </c>
      <c r="Y1811" s="5"/>
      <c r="Z1811" s="7">
        <v>1</v>
      </c>
      <c r="AA1811" s="6"/>
      <c r="AB1811" s="5"/>
      <c r="AC1811" s="6"/>
      <c r="AD1811" s="6" t="s">
        <v>3</v>
      </c>
      <c r="AE1811" s="5"/>
      <c r="AF1811" s="7" t="s">
        <v>1694</v>
      </c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U_SPANISH_GALLEON</v>
      </c>
      <c r="C1812" s="5"/>
      <c r="D1812" s="5"/>
      <c r="E1812" s="5" t="s">
        <v>1599</v>
      </c>
      <c r="F1812" s="5" t="s">
        <v>1599</v>
      </c>
      <c r="G1812" s="5"/>
      <c r="H1812" s="5" t="s">
        <v>1657</v>
      </c>
      <c r="I1812" s="5" t="s">
        <v>128</v>
      </c>
      <c r="J1812" s="6"/>
      <c r="K1812" s="7"/>
      <c r="L1812" s="13" t="s">
        <v>1711</v>
      </c>
      <c r="M1812" s="8"/>
      <c r="N1812" s="13" t="s">
        <v>1726</v>
      </c>
      <c r="O1812" s="13"/>
      <c r="P1812" s="13"/>
      <c r="Q1812" s="7">
        <v>2</v>
      </c>
      <c r="R1812" s="6">
        <v>0.13</v>
      </c>
      <c r="S1812" s="13" t="s">
        <v>1612</v>
      </c>
      <c r="T1812" s="6" t="s">
        <v>1694</v>
      </c>
      <c r="U1812" s="6" t="s">
        <v>1694</v>
      </c>
      <c r="V1812" s="5" t="s">
        <v>1695</v>
      </c>
      <c r="W1812" s="6"/>
      <c r="X1812" s="6"/>
      <c r="Y1812" s="5"/>
      <c r="Z1812" s="7">
        <v>1</v>
      </c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U_SPANISH_TERCIO</v>
      </c>
      <c r="B1813" s="9" t="s">
        <v>2364</v>
      </c>
      <c r="C1813" s="5"/>
      <c r="D1813" s="5"/>
      <c r="E1813" s="5" t="s">
        <v>1600</v>
      </c>
      <c r="F1813" s="5" t="s">
        <v>1600</v>
      </c>
      <c r="G1813" s="5"/>
      <c r="H1813" s="5" t="s">
        <v>1658</v>
      </c>
      <c r="I1813" s="5" t="s">
        <v>128</v>
      </c>
      <c r="J1813" s="6"/>
      <c r="K1813" s="6"/>
      <c r="L1813" s="13" t="s">
        <v>1707</v>
      </c>
      <c r="M1813" s="8"/>
      <c r="N1813" s="5"/>
      <c r="O1813" s="5"/>
      <c r="P1813" s="5"/>
      <c r="Q1813" s="7">
        <v>6</v>
      </c>
      <c r="R1813" s="6" t="s">
        <v>1736</v>
      </c>
      <c r="S1813" s="13" t="s">
        <v>1626</v>
      </c>
      <c r="T1813" s="6">
        <v>9</v>
      </c>
      <c r="U1813" s="7" t="s">
        <v>1736</v>
      </c>
      <c r="V1813" s="5" t="s">
        <v>1706</v>
      </c>
      <c r="W1813" s="6">
        <v>16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7">
        <v>2</v>
      </c>
      <c r="AG1813" s="6"/>
      <c r="AH1813" s="5"/>
      <c r="AI1813" s="6">
        <v>4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U_SPANISH_TERCIO</v>
      </c>
      <c r="B1814" s="9" t="s">
        <v>2364</v>
      </c>
      <c r="C1814" s="5"/>
      <c r="D1814" s="5"/>
      <c r="E1814" s="5" t="s">
        <v>1600</v>
      </c>
      <c r="F1814" s="5" t="s">
        <v>1600</v>
      </c>
      <c r="G1814" s="5" t="s">
        <v>2059</v>
      </c>
      <c r="H1814" s="5" t="s">
        <v>1659</v>
      </c>
      <c r="I1814" s="5" t="s">
        <v>128</v>
      </c>
      <c r="J1814" s="6"/>
      <c r="K1814" s="6"/>
      <c r="L1814" s="13" t="s">
        <v>1707</v>
      </c>
      <c r="M1814" s="8"/>
      <c r="N1814" s="5"/>
      <c r="O1814" s="5"/>
      <c r="P1814" s="5"/>
      <c r="Q1814" s="7">
        <v>6</v>
      </c>
      <c r="R1814" s="6" t="s">
        <v>1736</v>
      </c>
      <c r="S1814" s="13" t="s">
        <v>1626</v>
      </c>
      <c r="T1814" s="6">
        <v>9</v>
      </c>
      <c r="U1814" s="7" t="s">
        <v>1736</v>
      </c>
      <c r="V1814" s="5" t="s">
        <v>1706</v>
      </c>
      <c r="W1814" s="6">
        <v>16</v>
      </c>
      <c r="X1814" s="6" t="s">
        <v>3</v>
      </c>
      <c r="Y1814" s="5"/>
      <c r="Z1814" s="7">
        <v>0</v>
      </c>
      <c r="AA1814" s="6"/>
      <c r="AB1814" s="5"/>
      <c r="AC1814" s="6"/>
      <c r="AD1814" s="6" t="s">
        <v>3</v>
      </c>
      <c r="AE1814" s="5"/>
      <c r="AF1814" s="7">
        <v>1</v>
      </c>
      <c r="AG1814" s="6"/>
      <c r="AH1814" s="5"/>
      <c r="AI1814" s="6">
        <v>3</v>
      </c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>CONCATENATE(E1815,IF(ISBLANK(C1815),"",CONCATENATE("_",C1815)))</f>
        <v>U_SPANISH_TERCIO</v>
      </c>
      <c r="C1815" s="5"/>
      <c r="D1815" s="5"/>
      <c r="E1815" s="5" t="s">
        <v>1600</v>
      </c>
      <c r="F1815" s="5" t="s">
        <v>1600</v>
      </c>
      <c r="G1815" s="5" t="s">
        <v>2576</v>
      </c>
      <c r="H1815" s="5" t="s">
        <v>1658</v>
      </c>
      <c r="I1815" s="5" t="s">
        <v>128</v>
      </c>
      <c r="J1815" s="6"/>
      <c r="K1815" s="6"/>
      <c r="L1815" s="13" t="s">
        <v>1707</v>
      </c>
      <c r="M1815" s="8"/>
      <c r="N1815" s="5"/>
      <c r="O1815" s="5"/>
      <c r="P1815" s="5"/>
      <c r="Q1815" s="7">
        <v>0</v>
      </c>
      <c r="R1815" s="6" t="s">
        <v>1736</v>
      </c>
      <c r="S1815" s="13" t="s">
        <v>1626</v>
      </c>
      <c r="T1815" s="6">
        <v>0</v>
      </c>
      <c r="U1815" s="7" t="s">
        <v>1736</v>
      </c>
      <c r="V1815" s="5" t="s">
        <v>1706</v>
      </c>
      <c r="W1815" s="6">
        <v>0</v>
      </c>
      <c r="X1815" s="6" t="s">
        <v>3</v>
      </c>
      <c r="Y1815" s="5"/>
      <c r="Z1815" s="7">
        <v>0</v>
      </c>
      <c r="AA1815" s="6"/>
      <c r="AB1815" s="5"/>
      <c r="AC1815" s="6">
        <v>0</v>
      </c>
      <c r="AD1815" s="6" t="s">
        <v>3</v>
      </c>
      <c r="AE1815" s="5"/>
      <c r="AF1815" s="7">
        <v>0</v>
      </c>
      <c r="AG1815" s="6"/>
      <c r="AH1815" s="5"/>
      <c r="AI1815" s="6">
        <v>0</v>
      </c>
      <c r="AJ1815" s="6"/>
      <c r="AK1815" s="5"/>
      <c r="AL1815" s="5" t="s">
        <v>1909</v>
      </c>
      <c r="AM1815" s="5"/>
      <c r="AN1815" s="5"/>
      <c r="AO1815" s="5" t="s">
        <v>1909</v>
      </c>
      <c r="AP1815" s="5"/>
      <c r="AQ1815" s="5"/>
    </row>
    <row r="1816" spans="1:43" x14ac:dyDescent="0.25">
      <c r="A1816" s="161" t="str">
        <f t="shared" si="32"/>
        <v>U_SPANISH_TREASURE_CART</v>
      </c>
      <c r="C1816" s="5"/>
      <c r="D1816" s="5"/>
      <c r="E1816" s="5" t="s">
        <v>1601</v>
      </c>
      <c r="F1816" s="5" t="s">
        <v>1601</v>
      </c>
      <c r="H1816" s="5" t="s">
        <v>1660</v>
      </c>
      <c r="I1816" s="5" t="s">
        <v>128</v>
      </c>
      <c r="J1816" s="6"/>
      <c r="K1816" s="6"/>
      <c r="L1816" s="13" t="s">
        <v>1708</v>
      </c>
      <c r="M1816" s="8"/>
      <c r="N1816" s="5"/>
      <c r="O1816" s="5"/>
      <c r="P1816" s="5"/>
      <c r="Q1816" s="7">
        <v>1</v>
      </c>
      <c r="R1816" s="6">
        <v>6.3E-2</v>
      </c>
      <c r="S1816" s="5"/>
      <c r="T1816" s="6"/>
      <c r="U1816" s="6"/>
      <c r="V1816" s="5"/>
      <c r="W1816" s="6"/>
      <c r="X1816" s="6" t="s">
        <v>3</v>
      </c>
      <c r="Y1816" s="5"/>
      <c r="Z1816" s="6"/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U_SUMERIAN_PHALANX</v>
      </c>
      <c r="C1817" s="5"/>
      <c r="D1817" s="5"/>
      <c r="E1817" s="5" t="s">
        <v>1602</v>
      </c>
      <c r="F1817" s="5" t="s">
        <v>1602</v>
      </c>
      <c r="G1817" s="5"/>
      <c r="H1817" s="5" t="s">
        <v>1661</v>
      </c>
      <c r="I1817" s="5" t="s">
        <v>128</v>
      </c>
      <c r="J1817" s="6"/>
      <c r="K1817" s="6"/>
      <c r="L1817" s="13" t="s">
        <v>1707</v>
      </c>
      <c r="M1817" s="8"/>
      <c r="N1817" s="5"/>
      <c r="O1817" s="5"/>
      <c r="P1817" s="5"/>
      <c r="Q1817" s="7" t="s">
        <v>1736</v>
      </c>
      <c r="R1817" s="6">
        <v>0.13</v>
      </c>
      <c r="S1817" s="13" t="s">
        <v>1624</v>
      </c>
      <c r="T1817" s="6">
        <v>20</v>
      </c>
      <c r="U1817" s="6" t="s">
        <v>1694</v>
      </c>
      <c r="V1817" s="5"/>
      <c r="W1817" s="6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7" t="s">
        <v>1694</v>
      </c>
      <c r="AG1817" s="6"/>
      <c r="AH1817" s="5"/>
      <c r="AI1817" s="6" t="s">
        <v>1736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U_SWEDISH_CAROLEAN</v>
      </c>
      <c r="B1818" s="9" t="s">
        <v>2365</v>
      </c>
      <c r="C1818" s="5"/>
      <c r="D1818" s="5"/>
      <c r="E1818" s="5" t="s">
        <v>1603</v>
      </c>
      <c r="F1818" s="5" t="s">
        <v>1603</v>
      </c>
      <c r="G1818" s="5"/>
      <c r="H1818" s="5" t="s">
        <v>1662</v>
      </c>
      <c r="I1818" s="5" t="s">
        <v>128</v>
      </c>
      <c r="J1818" s="6"/>
      <c r="K1818" s="6"/>
      <c r="L1818" s="13" t="s">
        <v>1707</v>
      </c>
      <c r="M1818" s="8"/>
      <c r="N1818" s="5"/>
      <c r="O1818" s="5"/>
      <c r="P1818" s="5"/>
      <c r="Q1818" s="7">
        <v>14</v>
      </c>
      <c r="R1818" s="6" t="s">
        <v>1736</v>
      </c>
      <c r="S1818" s="13" t="s">
        <v>1618</v>
      </c>
      <c r="T1818" s="6">
        <v>19</v>
      </c>
      <c r="U1818" s="7" t="s">
        <v>1736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7" t="s">
        <v>1736</v>
      </c>
      <c r="AG1818" s="6"/>
      <c r="AH1818" s="5"/>
      <c r="AI1818" s="7" t="s">
        <v>1736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U_SWEDISH_HAKKAPELITTA</v>
      </c>
      <c r="B1819" s="9" t="s">
        <v>2382</v>
      </c>
      <c r="C1819" s="5"/>
      <c r="D1819" s="5"/>
      <c r="E1819" s="5" t="s">
        <v>1604</v>
      </c>
      <c r="F1819" s="5" t="s">
        <v>1604</v>
      </c>
      <c r="G1819" s="5"/>
      <c r="H1819" s="5" t="s">
        <v>1663</v>
      </c>
      <c r="I1819" s="5" t="s">
        <v>128</v>
      </c>
      <c r="J1819" s="6"/>
      <c r="K1819" s="6"/>
      <c r="L1819" s="13" t="s">
        <v>1713</v>
      </c>
      <c r="M1819" s="8"/>
      <c r="N1819" s="5"/>
      <c r="O1819" s="5"/>
      <c r="P1819" s="5"/>
      <c r="Q1819" s="7" t="s">
        <v>1694</v>
      </c>
      <c r="R1819" s="6" t="s">
        <v>1694</v>
      </c>
      <c r="S1819" s="13" t="s">
        <v>1694</v>
      </c>
      <c r="T1819" s="6" t="s">
        <v>1694</v>
      </c>
      <c r="U1819" s="7" t="s">
        <v>1694</v>
      </c>
      <c r="V1819" s="5" t="s">
        <v>1700</v>
      </c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1694</v>
      </c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U_VENETIAN_GALLEASS</v>
      </c>
      <c r="B1820" s="9" t="s">
        <v>2366</v>
      </c>
      <c r="C1820" s="5"/>
      <c r="D1820" s="5"/>
      <c r="E1820" s="5" t="s">
        <v>1605</v>
      </c>
      <c r="F1820" s="5" t="s">
        <v>1605</v>
      </c>
      <c r="G1820" s="5"/>
      <c r="H1820" s="5" t="s">
        <v>1664</v>
      </c>
      <c r="I1820" s="5" t="s">
        <v>128</v>
      </c>
      <c r="J1820" s="6"/>
      <c r="K1820" s="7"/>
      <c r="L1820" s="13" t="s">
        <v>1711</v>
      </c>
      <c r="M1820" s="8"/>
      <c r="N1820" s="13" t="s">
        <v>1726</v>
      </c>
      <c r="O1820" s="13"/>
      <c r="P1820" s="13"/>
      <c r="Q1820" s="7">
        <v>1</v>
      </c>
      <c r="R1820" s="6" t="s">
        <v>1736</v>
      </c>
      <c r="S1820" s="5"/>
      <c r="T1820" s="6"/>
      <c r="U1820" s="6">
        <v>0.1</v>
      </c>
      <c r="V1820" s="5"/>
      <c r="W1820" s="6"/>
      <c r="X1820" s="6"/>
      <c r="Y1820" s="5"/>
      <c r="Z1820" s="6"/>
      <c r="AA1820" s="6"/>
      <c r="AB1820" s="5"/>
      <c r="AC1820" s="6"/>
      <c r="AD1820" s="6"/>
      <c r="AE1820" s="5"/>
      <c r="AF1820" s="6"/>
      <c r="AG1820" s="6"/>
      <c r="AH1820" s="5"/>
      <c r="AI1820" s="6"/>
      <c r="AJ1820" s="6"/>
      <c r="AK1820" s="5"/>
      <c r="AL1820" s="5"/>
      <c r="AM1820" s="5"/>
      <c r="AN1820" s="5"/>
      <c r="AO1820" s="5"/>
      <c r="AP1820" s="5"/>
      <c r="AQ1820" s="5"/>
    </row>
    <row r="1821" spans="1:43" x14ac:dyDescent="0.25">
      <c r="A1821" s="161" t="str">
        <f t="shared" si="32"/>
        <v>U_VENETIAN_MERCHANT</v>
      </c>
      <c r="B1821" s="9" t="s">
        <v>2367</v>
      </c>
      <c r="C1821" s="5"/>
      <c r="D1821" s="5"/>
      <c r="E1821" s="5" t="s">
        <v>1606</v>
      </c>
      <c r="F1821" s="5" t="s">
        <v>1606</v>
      </c>
      <c r="G1821" s="5"/>
      <c r="H1821" s="5" t="s">
        <v>1665</v>
      </c>
      <c r="I1821" s="5" t="s">
        <v>128</v>
      </c>
      <c r="J1821" s="6"/>
      <c r="K1821" s="6"/>
      <c r="L1821" s="13" t="s">
        <v>1711</v>
      </c>
      <c r="M1821" s="8"/>
      <c r="N1821" s="5"/>
      <c r="O1821" s="5"/>
      <c r="P1821" s="5"/>
      <c r="Q1821" s="7">
        <v>1</v>
      </c>
      <c r="R1821" s="6" t="s">
        <v>1694</v>
      </c>
      <c r="S1821" s="13" t="s">
        <v>1623</v>
      </c>
      <c r="T1821" s="6"/>
      <c r="U1821" s="6"/>
      <c r="V1821" s="5"/>
      <c r="W1821" s="6"/>
      <c r="X1821" s="6" t="s">
        <v>3</v>
      </c>
      <c r="Y1821" s="5"/>
      <c r="Z1821" s="6"/>
      <c r="AA1821" s="6"/>
      <c r="AB1821" s="5"/>
      <c r="AC1821" s="6"/>
      <c r="AD1821" s="6" t="s">
        <v>3</v>
      </c>
      <c r="AE1821" s="5"/>
      <c r="AF1821" s="6"/>
      <c r="AG1821" s="6"/>
      <c r="AH1821" s="5"/>
      <c r="AI1821" s="6"/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 t="shared" si="32"/>
        <v>U_ZULU_IMPI_WARRIOR</v>
      </c>
      <c r="B1822" s="9" t="s">
        <v>2319</v>
      </c>
      <c r="C1822" s="5"/>
      <c r="D1822" s="5"/>
      <c r="E1822" s="5" t="s">
        <v>1607</v>
      </c>
      <c r="F1822" s="5" t="s">
        <v>1607</v>
      </c>
      <c r="G1822" s="5"/>
      <c r="H1822" s="5" t="s">
        <v>1666</v>
      </c>
      <c r="I1822" s="5" t="s">
        <v>128</v>
      </c>
      <c r="J1822" s="6"/>
      <c r="K1822" s="6"/>
      <c r="L1822" s="13" t="s">
        <v>1707</v>
      </c>
      <c r="M1822" s="8"/>
      <c r="N1822" s="5"/>
      <c r="O1822" s="5"/>
      <c r="P1822" s="5"/>
      <c r="Q1822" s="7">
        <v>4</v>
      </c>
      <c r="R1822" s="6" t="s">
        <v>1736</v>
      </c>
      <c r="S1822" s="13" t="s">
        <v>1619</v>
      </c>
      <c r="T1822" s="6"/>
      <c r="U1822" s="7" t="s">
        <v>1694</v>
      </c>
      <c r="V1822" s="5"/>
      <c r="W1822" s="7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>
        <v>1</v>
      </c>
      <c r="AG1822" s="6"/>
      <c r="AH1822" s="5"/>
      <c r="AI1822" s="6">
        <v>3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x14ac:dyDescent="0.25">
      <c r="A1823" s="161" t="str">
        <f t="shared" si="32"/>
        <v>U_ZULU_IMPI_WARRIOR</v>
      </c>
      <c r="B1823" s="9" t="s">
        <v>2319</v>
      </c>
      <c r="C1823" s="5"/>
      <c r="D1823" s="5"/>
      <c r="E1823" s="5" t="s">
        <v>1607</v>
      </c>
      <c r="F1823" s="5" t="s">
        <v>1607</v>
      </c>
      <c r="G1823" s="5" t="s">
        <v>2045</v>
      </c>
      <c r="H1823" s="5" t="s">
        <v>1667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3</v>
      </c>
      <c r="R1823" s="6" t="s">
        <v>1736</v>
      </c>
      <c r="S1823" s="13" t="s">
        <v>1619</v>
      </c>
      <c r="T1823" s="6"/>
      <c r="U1823" s="7" t="s">
        <v>1694</v>
      </c>
      <c r="V1823" s="5"/>
      <c r="W1823" s="7" t="s">
        <v>3</v>
      </c>
      <c r="X1823" s="6" t="s">
        <v>3</v>
      </c>
      <c r="Y1823" s="5"/>
      <c r="Z1823" s="7">
        <v>0</v>
      </c>
      <c r="AA1823" s="6"/>
      <c r="AB1823" s="5"/>
      <c r="AC1823" s="6"/>
      <c r="AD1823" s="6" t="s">
        <v>3</v>
      </c>
      <c r="AE1823" s="5"/>
      <c r="AF1823" s="7">
        <v>1</v>
      </c>
      <c r="AG1823" s="6"/>
      <c r="AH1823" s="5"/>
      <c r="AI1823" s="6">
        <v>2</v>
      </c>
      <c r="AJ1823" s="6"/>
      <c r="AK1823" s="5"/>
      <c r="AL1823" s="5"/>
      <c r="AM1823" s="5"/>
      <c r="AN1823" s="5"/>
      <c r="AO1823" s="5"/>
      <c r="AP1823" s="5"/>
      <c r="AQ1823" s="5"/>
    </row>
    <row r="1824" spans="1:43" x14ac:dyDescent="0.25">
      <c r="A1824" s="161" t="str">
        <f t="shared" si="32"/>
        <v>U_ZULU_IMPI_WARRIOR</v>
      </c>
      <c r="B1824" s="9" t="s">
        <v>2319</v>
      </c>
      <c r="C1824" s="5"/>
      <c r="D1824" s="5"/>
      <c r="E1824" s="5" t="s">
        <v>1607</v>
      </c>
      <c r="F1824" s="5" t="s">
        <v>1607</v>
      </c>
      <c r="G1824" s="5" t="s">
        <v>2047</v>
      </c>
      <c r="H1824" s="5" t="s">
        <v>1668</v>
      </c>
      <c r="I1824" s="5" t="s">
        <v>128</v>
      </c>
      <c r="J1824" s="6"/>
      <c r="K1824" s="6"/>
      <c r="L1824" s="13" t="s">
        <v>1707</v>
      </c>
      <c r="M1824" s="8"/>
      <c r="N1824" s="5"/>
      <c r="O1824" s="5"/>
      <c r="P1824" s="5"/>
      <c r="Q1824" s="7">
        <v>5</v>
      </c>
      <c r="R1824" s="6" t="s">
        <v>1736</v>
      </c>
      <c r="S1824" s="13" t="s">
        <v>1619</v>
      </c>
      <c r="T1824" s="6"/>
      <c r="U1824" s="7" t="s">
        <v>1694</v>
      </c>
      <c r="V1824" s="5"/>
      <c r="W1824" s="7" t="s">
        <v>3</v>
      </c>
      <c r="X1824" s="6" t="s">
        <v>3</v>
      </c>
      <c r="Y1824" s="5"/>
      <c r="Z1824" s="7">
        <v>0</v>
      </c>
      <c r="AA1824" s="6"/>
      <c r="AB1824" s="5"/>
      <c r="AC1824" s="6"/>
      <c r="AD1824" s="6" t="s">
        <v>3</v>
      </c>
      <c r="AE1824" s="5"/>
      <c r="AF1824" s="7">
        <v>1</v>
      </c>
      <c r="AG1824" s="6"/>
      <c r="AH1824" s="5"/>
      <c r="AI1824" s="6">
        <v>2</v>
      </c>
      <c r="AJ1824" s="6"/>
      <c r="AK1824" s="5"/>
      <c r="AL1824" s="5"/>
      <c r="AM1824" s="5"/>
      <c r="AN1824" s="5"/>
      <c r="AO1824" s="5"/>
      <c r="AP1824" s="5"/>
      <c r="AQ1824" s="5"/>
    </row>
    <row r="1825" spans="1:43" x14ac:dyDescent="0.25">
      <c r="A1825" s="161" t="str">
        <f t="shared" si="32"/>
        <v>UNION_ARTILLERY_NAPOLEON</v>
      </c>
      <c r="C1825" s="5"/>
      <c r="D1825" s="5"/>
      <c r="E1825" s="5" t="s">
        <v>1379</v>
      </c>
      <c r="F1825" s="5" t="s">
        <v>1379</v>
      </c>
      <c r="G1825" s="5"/>
      <c r="H1825" s="5" t="s">
        <v>1531</v>
      </c>
      <c r="I1825" s="5" t="s">
        <v>128</v>
      </c>
      <c r="J1825" s="6"/>
      <c r="K1825" s="6"/>
      <c r="L1825" s="13" t="s">
        <v>746</v>
      </c>
      <c r="M1825" s="8"/>
      <c r="N1825" s="5"/>
      <c r="O1825" s="5"/>
      <c r="P1825" s="5"/>
      <c r="Q1825" s="7">
        <v>3</v>
      </c>
      <c r="R1825" s="6" t="s">
        <v>1694</v>
      </c>
      <c r="S1825" s="13" t="s">
        <v>1612</v>
      </c>
      <c r="T1825" s="6"/>
      <c r="U1825" s="7" t="s">
        <v>1694</v>
      </c>
      <c r="V1825" s="5"/>
      <c r="W1825" s="6" t="s">
        <v>3</v>
      </c>
      <c r="X1825" s="6" t="s">
        <v>3</v>
      </c>
      <c r="Y1825" s="5"/>
      <c r="Z1825" s="7">
        <v>1</v>
      </c>
      <c r="AA1825" s="6"/>
      <c r="AB1825" s="5"/>
      <c r="AC1825" s="6"/>
      <c r="AD1825" s="6" t="s">
        <v>3</v>
      </c>
      <c r="AE1825" s="5"/>
      <c r="AF1825" s="6"/>
      <c r="AG1825" s="6"/>
      <c r="AH1825" s="5"/>
      <c r="AI1825" s="6"/>
      <c r="AJ1825" s="6"/>
      <c r="AK1825" s="5"/>
      <c r="AL1825" s="5"/>
      <c r="AM1825" s="5"/>
      <c r="AN1825" s="5"/>
      <c r="AO1825" s="5"/>
      <c r="AP1825" s="5"/>
      <c r="AQ1825" s="5"/>
    </row>
    <row r="1826" spans="1:43" x14ac:dyDescent="0.25">
      <c r="A1826" s="161" t="str">
        <f t="shared" si="32"/>
        <v>UNION_ARTILLERY_PARROTT</v>
      </c>
      <c r="C1826" s="5"/>
      <c r="D1826" s="5"/>
      <c r="E1826" s="5" t="s">
        <v>1380</v>
      </c>
      <c r="F1826" s="5" t="s">
        <v>1380</v>
      </c>
      <c r="G1826" s="5"/>
      <c r="H1826" s="5" t="s">
        <v>1532</v>
      </c>
      <c r="I1826" s="5" t="s">
        <v>128</v>
      </c>
      <c r="J1826" s="6"/>
      <c r="K1826" s="6"/>
      <c r="L1826" s="13" t="s">
        <v>746</v>
      </c>
      <c r="M1826" s="8"/>
      <c r="N1826" s="5"/>
      <c r="O1826" s="5"/>
      <c r="P1826" s="5"/>
      <c r="Q1826" s="7">
        <v>3</v>
      </c>
      <c r="R1826" s="6" t="s">
        <v>1694</v>
      </c>
      <c r="S1826" s="13" t="s">
        <v>1612</v>
      </c>
      <c r="T1826" s="6"/>
      <c r="U1826" s="7" t="s">
        <v>1694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6"/>
      <c r="AG1826" s="6"/>
      <c r="AH1826" s="5"/>
      <c r="AI1826" s="6"/>
      <c r="AJ1826" s="6"/>
      <c r="AK1826" s="5"/>
      <c r="AL1826" s="5"/>
      <c r="AM1826" s="5"/>
      <c r="AN1826" s="5"/>
      <c r="AO1826" s="5"/>
      <c r="AP1826" s="5"/>
      <c r="AQ1826" s="5"/>
    </row>
    <row r="1827" spans="1:43" x14ac:dyDescent="0.25">
      <c r="A1827" s="161" t="str">
        <f t="shared" si="32"/>
        <v>UNION_CAVALRY_CARBINE</v>
      </c>
      <c r="C1827" s="5"/>
      <c r="D1827" s="5"/>
      <c r="E1827" s="5" t="s">
        <v>1381</v>
      </c>
      <c r="F1827" s="5" t="s">
        <v>1381</v>
      </c>
      <c r="G1827" s="5"/>
      <c r="H1827" s="5" t="s">
        <v>1533</v>
      </c>
      <c r="I1827" s="5" t="s">
        <v>128</v>
      </c>
      <c r="J1827" s="6"/>
      <c r="K1827" s="6"/>
      <c r="L1827" s="13" t="s">
        <v>1713</v>
      </c>
      <c r="M1827" s="8"/>
      <c r="N1827" s="5"/>
      <c r="O1827" s="5"/>
      <c r="P1827" s="5"/>
      <c r="Q1827" s="7" t="s">
        <v>1694</v>
      </c>
      <c r="R1827" s="6" t="s">
        <v>1694</v>
      </c>
      <c r="S1827" s="13" t="s">
        <v>1694</v>
      </c>
      <c r="T1827" s="6"/>
      <c r="U1827" s="7" t="s">
        <v>1694</v>
      </c>
      <c r="V1827" s="5"/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7" t="s">
        <v>1694</v>
      </c>
      <c r="AG1827" s="6"/>
      <c r="AH1827" s="5"/>
      <c r="AI1827" s="6"/>
      <c r="AJ1827" s="6"/>
      <c r="AK1827" s="5"/>
      <c r="AL1827" s="5"/>
      <c r="AM1827" s="5"/>
      <c r="AN1827" s="5"/>
      <c r="AO1827" s="5"/>
      <c r="AP1827" s="5"/>
      <c r="AQ1827" s="5"/>
    </row>
    <row r="1828" spans="1:43" x14ac:dyDescent="0.25">
      <c r="A1828" s="161" t="str">
        <f t="shared" si="32"/>
        <v>UNION_CAVALRY_PISTOL</v>
      </c>
      <c r="C1828" s="5"/>
      <c r="D1828" s="5"/>
      <c r="E1828" s="5" t="s">
        <v>1382</v>
      </c>
      <c r="F1828" s="5" t="s">
        <v>1382</v>
      </c>
      <c r="G1828" s="5"/>
      <c r="H1828" s="5" t="s">
        <v>1534</v>
      </c>
      <c r="I1828" s="5" t="s">
        <v>128</v>
      </c>
      <c r="J1828" s="6"/>
      <c r="K1828" s="6"/>
      <c r="L1828" s="13" t="s">
        <v>1713</v>
      </c>
      <c r="M1828" s="8"/>
      <c r="N1828" s="5"/>
      <c r="O1828" s="5"/>
      <c r="P1828" s="5"/>
      <c r="Q1828" s="7" t="s">
        <v>1694</v>
      </c>
      <c r="R1828" s="6" t="s">
        <v>1694</v>
      </c>
      <c r="S1828" s="13" t="s">
        <v>1694</v>
      </c>
      <c r="T1828" s="6"/>
      <c r="U1828" s="7" t="s">
        <v>1694</v>
      </c>
      <c r="V1828" s="5"/>
      <c r="W1828" s="7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7" t="s">
        <v>1694</v>
      </c>
      <c r="AG1828" s="6"/>
      <c r="AH1828" s="5"/>
      <c r="AI1828" s="6"/>
      <c r="AJ1828" s="6"/>
      <c r="AK1828" s="5"/>
      <c r="AL1828" s="5"/>
      <c r="AM1828" s="5"/>
      <c r="AN1828" s="5"/>
      <c r="AO1828" s="5"/>
      <c r="AP1828" s="5"/>
      <c r="AQ1828" s="5"/>
    </row>
    <row r="1829" spans="1:43" x14ac:dyDescent="0.25">
      <c r="A1829" s="161" t="str">
        <f t="shared" si="32"/>
        <v>UNION_CORPS</v>
      </c>
      <c r="C1829" s="5"/>
      <c r="D1829" s="5"/>
      <c r="E1829" s="5" t="s">
        <v>1383</v>
      </c>
      <c r="F1829" s="5" t="s">
        <v>1538</v>
      </c>
      <c r="G1829" s="5"/>
      <c r="H1829" s="5" t="s">
        <v>1537</v>
      </c>
      <c r="I1829" s="5" t="s">
        <v>128</v>
      </c>
      <c r="J1829" s="6"/>
      <c r="K1829" s="6"/>
      <c r="L1829" s="13" t="s">
        <v>1707</v>
      </c>
      <c r="M1829" s="8"/>
      <c r="N1829" s="5"/>
      <c r="O1829" s="5"/>
      <c r="P1829" s="5"/>
      <c r="Q1829" s="7">
        <v>14</v>
      </c>
      <c r="R1829" s="6" t="s">
        <v>1736</v>
      </c>
      <c r="S1829" s="13" t="s">
        <v>1618</v>
      </c>
      <c r="T1829" s="6"/>
      <c r="U1829" s="7" t="s">
        <v>1736</v>
      </c>
      <c r="V1829" s="5"/>
      <c r="W1829" s="7" t="s">
        <v>3</v>
      </c>
      <c r="X1829" s="6" t="s">
        <v>3</v>
      </c>
      <c r="Y1829" s="5"/>
      <c r="Z1829" s="7">
        <v>2</v>
      </c>
      <c r="AA1829" s="6"/>
      <c r="AB1829" s="5"/>
      <c r="AC1829" s="6"/>
      <c r="AD1829" s="6" t="s">
        <v>3</v>
      </c>
      <c r="AE1829" s="5"/>
      <c r="AF1829" s="7">
        <v>4</v>
      </c>
      <c r="AG1829" s="6"/>
      <c r="AH1829" s="5"/>
      <c r="AI1829" s="6">
        <v>8</v>
      </c>
      <c r="AJ1829" s="6"/>
      <c r="AK1829" s="5"/>
      <c r="AL1829" s="5"/>
      <c r="AM1829" s="5"/>
      <c r="AN1829" s="5"/>
      <c r="AO1829" s="5"/>
      <c r="AP1829" s="5"/>
      <c r="AQ1829" s="5"/>
    </row>
    <row r="1830" spans="1:43" x14ac:dyDescent="0.25">
      <c r="A1830" s="161" t="str">
        <f t="shared" si="32"/>
        <v>UNION_DIVISION</v>
      </c>
      <c r="C1830" s="5"/>
      <c r="D1830" s="5"/>
      <c r="E1830" s="5" t="s">
        <v>1384</v>
      </c>
      <c r="F1830" s="5" t="s">
        <v>1538</v>
      </c>
      <c r="G1830" s="5"/>
      <c r="H1830" s="5" t="s">
        <v>1537</v>
      </c>
      <c r="I1830" s="5" t="s">
        <v>128</v>
      </c>
      <c r="J1830" s="6"/>
      <c r="K1830" s="6"/>
      <c r="L1830" s="13" t="s">
        <v>1707</v>
      </c>
      <c r="M1830" s="8"/>
      <c r="N1830" s="5"/>
      <c r="O1830" s="5"/>
      <c r="P1830" s="5"/>
      <c r="Q1830" s="7">
        <v>7</v>
      </c>
      <c r="R1830" s="6" t="s">
        <v>1736</v>
      </c>
      <c r="S1830" s="13" t="s">
        <v>1618</v>
      </c>
      <c r="T1830" s="6"/>
      <c r="U1830" s="7" t="s">
        <v>1736</v>
      </c>
      <c r="V1830" s="5"/>
      <c r="W1830" s="7" t="s">
        <v>3</v>
      </c>
      <c r="X1830" s="6" t="s">
        <v>3</v>
      </c>
      <c r="Y1830" s="5"/>
      <c r="Z1830" s="7">
        <v>1</v>
      </c>
      <c r="AA1830" s="6"/>
      <c r="AB1830" s="5"/>
      <c r="AC1830" s="6"/>
      <c r="AD1830" s="6" t="s">
        <v>3</v>
      </c>
      <c r="AE1830" s="5"/>
      <c r="AF1830" s="7">
        <v>2</v>
      </c>
      <c r="AG1830" s="6"/>
      <c r="AH1830" s="5"/>
      <c r="AI1830" s="6">
        <v>5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2"/>
        <v>UNION_GENERAL</v>
      </c>
      <c r="C1831" s="5"/>
      <c r="D1831" s="5"/>
      <c r="E1831" s="5" t="s">
        <v>1385</v>
      </c>
      <c r="F1831" s="5" t="s">
        <v>1387</v>
      </c>
      <c r="G1831" s="5"/>
      <c r="H1831" s="5" t="s">
        <v>1535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1</v>
      </c>
      <c r="R1831" s="6" t="s">
        <v>1694</v>
      </c>
      <c r="S1831" s="13" t="s">
        <v>1619</v>
      </c>
      <c r="T1831" s="6"/>
      <c r="U1831" s="7" t="s">
        <v>1736</v>
      </c>
      <c r="V1831" s="5"/>
      <c r="W1831" s="6"/>
      <c r="X1831" s="6" t="s">
        <v>3</v>
      </c>
      <c r="Y1831" s="5"/>
      <c r="Z1831" s="6"/>
      <c r="AA1831" s="6"/>
      <c r="AB1831" s="5"/>
      <c r="AC1831" s="6"/>
      <c r="AD1831" s="6" t="s">
        <v>3</v>
      </c>
      <c r="AE1831" s="5"/>
      <c r="AF1831" s="6"/>
      <c r="AG1831" s="6"/>
      <c r="AH1831" s="5"/>
      <c r="AI1831" s="6"/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2"/>
        <v>UNION_IRONCLAD</v>
      </c>
      <c r="C1832" s="5"/>
      <c r="D1832" s="5"/>
      <c r="E1832" s="5" t="s">
        <v>1386</v>
      </c>
      <c r="F1832" s="5" t="s">
        <v>1386</v>
      </c>
      <c r="G1832" s="5"/>
      <c r="H1832" s="5" t="s">
        <v>1536</v>
      </c>
      <c r="I1832" s="5" t="s">
        <v>128</v>
      </c>
      <c r="J1832" s="6"/>
      <c r="K1832" s="7"/>
      <c r="L1832" s="13" t="s">
        <v>1712</v>
      </c>
      <c r="M1832" s="8"/>
      <c r="N1832" s="13" t="s">
        <v>1726</v>
      </c>
      <c r="O1832" s="13"/>
      <c r="P1832" s="13"/>
      <c r="Q1832" s="7">
        <v>1</v>
      </c>
      <c r="R1832" s="6" t="s">
        <v>1694</v>
      </c>
      <c r="S1832" s="5"/>
      <c r="T1832" s="6"/>
      <c r="U1832" s="7"/>
      <c r="V1832" s="5"/>
      <c r="W1832" s="7" t="s">
        <v>3</v>
      </c>
      <c r="X1832" s="6"/>
      <c r="Y1832" s="5"/>
      <c r="Z1832" s="6"/>
      <c r="AA1832" s="6"/>
      <c r="AB1832" s="5"/>
      <c r="AC1832" s="6"/>
      <c r="AD1832" s="6"/>
      <c r="AE1832" s="5"/>
      <c r="AF1832" s="6"/>
      <c r="AG1832" s="6"/>
      <c r="AH1832" s="5"/>
      <c r="AI1832" s="6"/>
      <c r="AJ1832" s="6"/>
      <c r="AK1832" s="5"/>
      <c r="AL1832" s="5"/>
      <c r="AM1832" s="5"/>
      <c r="AN1832" s="5"/>
      <c r="AO1832" s="5"/>
      <c r="AP1832" s="5"/>
      <c r="AQ1832" s="5"/>
    </row>
    <row r="1833" spans="1:43" x14ac:dyDescent="0.25">
      <c r="A1833" s="161" t="str">
        <f t="shared" si="32"/>
        <v>WORKBOAT</v>
      </c>
      <c r="B1833" s="9" t="s">
        <v>1388</v>
      </c>
      <c r="C1833" s="5"/>
      <c r="D1833" s="5"/>
      <c r="E1833" s="5" t="s">
        <v>1388</v>
      </c>
      <c r="F1833" s="5" t="s">
        <v>1388</v>
      </c>
      <c r="G1833" s="5"/>
      <c r="H1833" s="5" t="s">
        <v>4</v>
      </c>
      <c r="I1833" s="5" t="s">
        <v>128</v>
      </c>
      <c r="J1833" s="6">
        <v>1</v>
      </c>
      <c r="K1833" s="7"/>
      <c r="L1833" s="13" t="s">
        <v>1711</v>
      </c>
      <c r="M1833" s="8"/>
      <c r="N1833" s="13" t="s">
        <v>1726</v>
      </c>
      <c r="O1833" s="13"/>
      <c r="P1833" s="13"/>
      <c r="Q1833" s="7">
        <v>1</v>
      </c>
      <c r="R1833" s="6">
        <v>7.0000000000000007E-2</v>
      </c>
      <c r="S1833" s="5"/>
      <c r="T1833" s="7">
        <v>3</v>
      </c>
      <c r="U1833" s="6">
        <v>5.5E-2</v>
      </c>
      <c r="V1833" s="5" t="s">
        <v>1695</v>
      </c>
      <c r="W1833" s="6"/>
      <c r="X1833" s="6"/>
      <c r="Y1833" s="5"/>
      <c r="Z1833" s="6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x14ac:dyDescent="0.25">
      <c r="A1834" s="161" t="str">
        <f t="shared" si="32"/>
        <v>WORKBOAT_LATE</v>
      </c>
      <c r="B1834" s="9" t="s">
        <v>1388</v>
      </c>
      <c r="C1834" s="5"/>
      <c r="D1834" s="5"/>
      <c r="E1834" s="5" t="s">
        <v>1389</v>
      </c>
      <c r="F1834" s="5" t="s">
        <v>1390</v>
      </c>
      <c r="G1834" s="5"/>
      <c r="H1834" s="5" t="s">
        <v>1541</v>
      </c>
      <c r="I1834" s="5" t="s">
        <v>128</v>
      </c>
      <c r="J1834" s="6"/>
      <c r="K1834" s="7"/>
      <c r="L1834" s="13" t="s">
        <v>1711</v>
      </c>
      <c r="M1834" s="8"/>
      <c r="N1834" s="13" t="s">
        <v>1726</v>
      </c>
      <c r="O1834" s="13"/>
      <c r="P1834" s="13"/>
      <c r="Q1834" s="7">
        <v>1</v>
      </c>
      <c r="R1834" s="6">
        <v>7.0000000000000007E-2</v>
      </c>
      <c r="S1834" s="5"/>
      <c r="T1834" s="7">
        <v>2</v>
      </c>
      <c r="U1834" s="6">
        <v>5.7000000000000002E-2</v>
      </c>
      <c r="V1834" s="5" t="s">
        <v>1695</v>
      </c>
      <c r="W1834" s="6"/>
      <c r="X1834" s="6"/>
      <c r="Y1834" s="5"/>
      <c r="Z1834" s="6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x14ac:dyDescent="0.25">
      <c r="A1835" s="161" t="str">
        <f t="shared" si="32"/>
        <v>WW1_BOMBER</v>
      </c>
      <c r="B1835" s="9" t="s">
        <v>2384</v>
      </c>
      <c r="C1835" s="5"/>
      <c r="D1835" s="5"/>
      <c r="E1835" s="5" t="s">
        <v>778</v>
      </c>
      <c r="F1835" s="5" t="s">
        <v>778</v>
      </c>
      <c r="G1835" s="5"/>
      <c r="H1835" s="5" t="s">
        <v>1160</v>
      </c>
      <c r="I1835" s="5" t="s">
        <v>128</v>
      </c>
      <c r="J1835" s="6"/>
      <c r="K1835" s="7"/>
      <c r="L1835" s="13" t="s">
        <v>1710</v>
      </c>
      <c r="M1835" s="8">
        <v>1.5</v>
      </c>
      <c r="N1835" s="13" t="s">
        <v>1724</v>
      </c>
      <c r="O1835" s="13"/>
      <c r="P1835" s="13"/>
      <c r="Q1835" s="7">
        <v>1</v>
      </c>
      <c r="R1835" s="6">
        <v>0.08</v>
      </c>
      <c r="S1835" s="13" t="s">
        <v>1614</v>
      </c>
      <c r="T1835" s="7">
        <v>2</v>
      </c>
      <c r="U1835" s="6">
        <v>7.4999999999999997E-2</v>
      </c>
      <c r="V1835" s="5"/>
      <c r="W1835" s="6" t="s">
        <v>3</v>
      </c>
      <c r="X1835" s="6" t="s">
        <v>3</v>
      </c>
      <c r="Y1835" s="5"/>
      <c r="Z1835" s="6"/>
      <c r="AA1835" s="6"/>
      <c r="AB1835" s="5"/>
      <c r="AC1835" s="6"/>
      <c r="AD1835" s="6" t="s">
        <v>3</v>
      </c>
      <c r="AE1835" s="5"/>
      <c r="AF1835" s="6"/>
      <c r="AG1835" s="6"/>
      <c r="AH1835" s="5"/>
      <c r="AI1835" s="6"/>
      <c r="AJ1835" s="6"/>
      <c r="AK1835" s="5"/>
      <c r="AL1835" s="5"/>
      <c r="AM1835" s="5"/>
      <c r="AN1835" s="5"/>
      <c r="AO1835" s="5"/>
      <c r="AP1835" s="5"/>
      <c r="AQ1835" s="5"/>
    </row>
    <row r="1836" spans="1:43" x14ac:dyDescent="0.25">
      <c r="A1836" s="161" t="str">
        <f t="shared" si="32"/>
        <v>WW1_BOMBER_ZULU</v>
      </c>
      <c r="B1836" s="9" t="s">
        <v>2384</v>
      </c>
      <c r="C1836" s="5" t="s">
        <v>742</v>
      </c>
      <c r="D1836" s="5" t="s">
        <v>713</v>
      </c>
      <c r="E1836" s="5" t="s">
        <v>778</v>
      </c>
      <c r="F1836" s="5" t="s">
        <v>778</v>
      </c>
      <c r="G1836" s="5"/>
      <c r="H1836" s="5"/>
      <c r="I1836" s="5"/>
      <c r="J1836" s="6"/>
      <c r="K1836" s="7"/>
      <c r="L1836" s="13"/>
      <c r="M1836" s="8"/>
      <c r="N1836" s="13"/>
      <c r="O1836" s="13"/>
      <c r="P1836" s="13"/>
      <c r="Q1836" s="7"/>
      <c r="R1836" s="6"/>
      <c r="S1836" s="13"/>
      <c r="T1836" s="7"/>
      <c r="U1836" s="6"/>
      <c r="V1836" s="5"/>
      <c r="W1836" s="6"/>
      <c r="X1836" s="6"/>
      <c r="Y1836" s="5"/>
      <c r="Z1836" s="6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2"/>
        <v>WW1_BOMBER_AUSTRALIA</v>
      </c>
      <c r="B1837" s="9" t="s">
        <v>2384</v>
      </c>
      <c r="C1837" s="5" t="s">
        <v>1302</v>
      </c>
      <c r="D1837" s="5" t="s">
        <v>713</v>
      </c>
      <c r="E1837" s="5" t="s">
        <v>778</v>
      </c>
      <c r="F1837" s="5" t="s">
        <v>778</v>
      </c>
      <c r="G1837" s="5"/>
      <c r="H1837" s="5"/>
      <c r="I1837" s="5"/>
      <c r="J1837" s="6"/>
      <c r="K1837" s="7"/>
      <c r="L1837" s="13"/>
      <c r="M1837" s="8"/>
      <c r="N1837" s="13"/>
      <c r="O1837" s="13"/>
      <c r="P1837" s="13"/>
      <c r="Q1837" s="7"/>
      <c r="R1837" s="6"/>
      <c r="S1837" s="13"/>
      <c r="T1837" s="7"/>
      <c r="U1837" s="6"/>
      <c r="V1837" s="5"/>
      <c r="W1837" s="6"/>
      <c r="X1837" s="6"/>
      <c r="Y1837" s="5"/>
      <c r="Z1837" s="6"/>
      <c r="AA1837" s="6"/>
      <c r="AB1837" s="5"/>
      <c r="AC1837" s="6"/>
      <c r="AD1837" s="6"/>
      <c r="AE1837" s="5"/>
      <c r="AF1837" s="6"/>
      <c r="AG1837" s="6"/>
      <c r="AH1837" s="5"/>
      <c r="AI1837" s="6"/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2"/>
        <v>WW1_BOMBER_CANADA</v>
      </c>
      <c r="B1838" s="9" t="s">
        <v>2384</v>
      </c>
      <c r="C1838" s="5" t="s">
        <v>2207</v>
      </c>
      <c r="D1838" s="5" t="s">
        <v>713</v>
      </c>
      <c r="E1838" s="5" t="s">
        <v>778</v>
      </c>
      <c r="F1838" s="5" t="s">
        <v>778</v>
      </c>
      <c r="G1838" s="5"/>
      <c r="H1838" s="5"/>
      <c r="I1838" s="5"/>
      <c r="J1838" s="6"/>
      <c r="K1838" s="7"/>
      <c r="L1838" s="13"/>
      <c r="M1838" s="8"/>
      <c r="N1838" s="13"/>
      <c r="O1838" s="13"/>
      <c r="P1838" s="13"/>
      <c r="Q1838" s="7"/>
      <c r="R1838" s="6"/>
      <c r="S1838" s="13"/>
      <c r="T1838" s="7"/>
      <c r="U1838" s="6"/>
      <c r="V1838" s="5"/>
      <c r="W1838" s="6"/>
      <c r="X1838" s="6"/>
      <c r="Y1838" s="5"/>
      <c r="Z1838" s="6"/>
      <c r="AA1838" s="6"/>
      <c r="AB1838" s="5"/>
      <c r="AC1838" s="6"/>
      <c r="AD1838" s="6"/>
      <c r="AE1838" s="5"/>
      <c r="AF1838" s="6"/>
      <c r="AG1838" s="6"/>
      <c r="AH1838" s="5"/>
      <c r="AI1838" s="6"/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2"/>
        <v>WW1_BOMBER_CELTS</v>
      </c>
      <c r="B1839" s="9" t="s">
        <v>2384</v>
      </c>
      <c r="C1839" s="5" t="s">
        <v>709</v>
      </c>
      <c r="D1839" s="5" t="s">
        <v>713</v>
      </c>
      <c r="E1839" s="5" t="s">
        <v>778</v>
      </c>
      <c r="F1839" s="5" t="s">
        <v>778</v>
      </c>
      <c r="G1839" s="5"/>
      <c r="H1839" s="5"/>
      <c r="I1839" s="5"/>
      <c r="J1839" s="6"/>
      <c r="K1839" s="7"/>
      <c r="L1839" s="13"/>
      <c r="M1839" s="8"/>
      <c r="N1839" s="13"/>
      <c r="O1839" s="13"/>
      <c r="P1839" s="13"/>
      <c r="Q1839" s="7"/>
      <c r="R1839" s="6"/>
      <c r="S1839" s="13"/>
      <c r="T1839" s="7"/>
      <c r="U1839" s="6"/>
      <c r="V1839" s="5"/>
      <c r="W1839" s="6"/>
      <c r="X1839" s="6"/>
      <c r="Y1839" s="5"/>
      <c r="Z1839" s="6"/>
      <c r="AA1839" s="6"/>
      <c r="AB1839" s="5"/>
      <c r="AC1839" s="6"/>
      <c r="AD1839" s="6"/>
      <c r="AE1839" s="5"/>
      <c r="AF1839" s="6"/>
      <c r="AG1839" s="6"/>
      <c r="AH1839" s="5"/>
      <c r="AI1839" s="6"/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2"/>
        <v>WW1_BOMBER_ENGLAND</v>
      </c>
      <c r="B1840" s="9" t="s">
        <v>2384</v>
      </c>
      <c r="C1840" s="5" t="s">
        <v>713</v>
      </c>
      <c r="D1840" s="5"/>
      <c r="E1840" s="5" t="s">
        <v>778</v>
      </c>
      <c r="F1840" s="5" t="s">
        <v>778</v>
      </c>
      <c r="G1840" s="5"/>
      <c r="H1840" s="5" t="s">
        <v>2225</v>
      </c>
      <c r="I1840" s="5" t="s">
        <v>2223</v>
      </c>
      <c r="J1840" s="6"/>
      <c r="K1840" s="7"/>
      <c r="L1840" s="13"/>
      <c r="M1840" s="8"/>
      <c r="N1840" s="13"/>
      <c r="O1840" s="13"/>
      <c r="P1840" s="13"/>
      <c r="Q1840" s="7"/>
      <c r="R1840" s="6">
        <v>0.17799999999999999</v>
      </c>
      <c r="S1840" s="13"/>
      <c r="T1840" s="7"/>
      <c r="U1840" s="6">
        <v>0.16500000000000001</v>
      </c>
      <c r="V1840" s="5"/>
      <c r="W1840" s="6"/>
      <c r="X1840" s="6"/>
      <c r="Y1840" s="5"/>
      <c r="Z1840" s="6"/>
      <c r="AA1840" s="6"/>
      <c r="AB1840" s="5"/>
      <c r="AC1840" s="6"/>
      <c r="AD1840" s="6"/>
      <c r="AE1840" s="5"/>
      <c r="AF1840" s="6"/>
      <c r="AG1840" s="6"/>
      <c r="AH1840" s="5"/>
      <c r="AI1840" s="6"/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2"/>
        <v>WW1_BOMBER_SOUTHAS</v>
      </c>
      <c r="B1841" s="9" t="s">
        <v>2384</v>
      </c>
      <c r="C1841" s="5" t="s">
        <v>695</v>
      </c>
      <c r="D1841" s="5" t="s">
        <v>713</v>
      </c>
      <c r="E1841" s="5" t="s">
        <v>778</v>
      </c>
      <c r="F1841" s="5" t="s">
        <v>778</v>
      </c>
      <c r="G1841" s="5"/>
      <c r="H1841" s="5"/>
      <c r="I1841" s="5"/>
      <c r="J1841" s="6"/>
      <c r="K1841" s="7"/>
      <c r="L1841" s="13"/>
      <c r="M1841" s="8"/>
      <c r="N1841" s="13"/>
      <c r="O1841" s="13"/>
      <c r="P1841" s="13"/>
      <c r="Q1841" s="7"/>
      <c r="R1841" s="6"/>
      <c r="S1841" s="13"/>
      <c r="T1841" s="7"/>
      <c r="U1841" s="6"/>
      <c r="V1841" s="5"/>
      <c r="W1841" s="6"/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2"/>
        <v>WW1_FIGHTER</v>
      </c>
      <c r="B1842" s="9" t="s">
        <v>2385</v>
      </c>
      <c r="C1842" s="5"/>
      <c r="D1842" s="5"/>
      <c r="E1842" s="5" t="s">
        <v>779</v>
      </c>
      <c r="F1842" s="5" t="s">
        <v>779</v>
      </c>
      <c r="G1842" s="5"/>
      <c r="H1842" s="5" t="s">
        <v>1159</v>
      </c>
      <c r="I1842" s="5" t="s">
        <v>128</v>
      </c>
      <c r="J1842" s="6"/>
      <c r="K1842" s="7"/>
      <c r="L1842" s="13" t="s">
        <v>1710</v>
      </c>
      <c r="M1842" s="8">
        <v>1.8</v>
      </c>
      <c r="N1842" s="13" t="s">
        <v>1724</v>
      </c>
      <c r="O1842" s="13"/>
      <c r="P1842" s="13"/>
      <c r="Q1842" s="7">
        <v>3</v>
      </c>
      <c r="R1842" s="6">
        <v>0.08</v>
      </c>
      <c r="S1842" s="13" t="s">
        <v>1620</v>
      </c>
      <c r="T1842" s="6"/>
      <c r="U1842" s="6">
        <v>7.0000000000000007E-2</v>
      </c>
      <c r="V1842" s="5"/>
      <c r="W1842" s="6" t="s">
        <v>3</v>
      </c>
      <c r="X1842" s="6" t="s">
        <v>3</v>
      </c>
      <c r="Y1842" s="5"/>
      <c r="Z1842" s="6">
        <v>1</v>
      </c>
      <c r="AA1842" s="6"/>
      <c r="AB1842" s="5"/>
      <c r="AC1842" s="6"/>
      <c r="AD1842" s="6" t="s">
        <v>3</v>
      </c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2"/>
        <v>WW1_FIGHTER_ZULU</v>
      </c>
      <c r="B1843" s="9" t="s">
        <v>2385</v>
      </c>
      <c r="C1843" s="5" t="s">
        <v>742</v>
      </c>
      <c r="D1843" s="5" t="s">
        <v>713</v>
      </c>
      <c r="E1843" s="5" t="s">
        <v>779</v>
      </c>
      <c r="F1843" s="5" t="s">
        <v>779</v>
      </c>
      <c r="G1843" s="5"/>
      <c r="H1843" s="5"/>
      <c r="I1843" s="5"/>
      <c r="J1843" s="6"/>
      <c r="K1843" s="7"/>
      <c r="L1843" s="13"/>
      <c r="M1843" s="8"/>
      <c r="N1843" s="13"/>
      <c r="O1843" s="13"/>
      <c r="P1843" s="13"/>
      <c r="Q1843" s="7"/>
      <c r="R1843" s="6"/>
      <c r="S1843" s="13"/>
      <c r="T1843" s="6"/>
      <c r="U1843" s="6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2"/>
        <v>WW1_FIGHTER_AMER</v>
      </c>
      <c r="B1844" s="9" t="s">
        <v>2385</v>
      </c>
      <c r="C1844" s="5" t="s">
        <v>697</v>
      </c>
      <c r="D1844" s="5" t="s">
        <v>699</v>
      </c>
      <c r="E1844" s="5" t="s">
        <v>779</v>
      </c>
      <c r="F1844" s="5" t="s">
        <v>779</v>
      </c>
      <c r="G1844" s="5"/>
      <c r="H1844" s="5"/>
      <c r="I1844" s="5"/>
      <c r="J1844" s="6"/>
      <c r="K1844" s="7"/>
      <c r="L1844" s="13"/>
      <c r="M1844" s="8"/>
      <c r="N1844" s="13"/>
      <c r="O1844" s="13"/>
      <c r="P1844" s="13"/>
      <c r="Q1844" s="7"/>
      <c r="R1844" s="6"/>
      <c r="S1844" s="13"/>
      <c r="T1844" s="6"/>
      <c r="U1844" s="6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WW1_FIGHTER_ASIA</v>
      </c>
      <c r="B1845" s="9" t="s">
        <v>2385</v>
      </c>
      <c r="C1845" s="4" t="s">
        <v>693</v>
      </c>
      <c r="E1845" s="4" t="s">
        <v>779</v>
      </c>
      <c r="F1845" s="4" t="s">
        <v>779</v>
      </c>
      <c r="G1845" s="14" t="s">
        <v>132</v>
      </c>
      <c r="H1845" s="4" t="s">
        <v>493</v>
      </c>
      <c r="I1845" s="4" t="s">
        <v>102</v>
      </c>
    </row>
    <row r="1846" spans="1:43" x14ac:dyDescent="0.25">
      <c r="A1846" s="161" t="str">
        <f t="shared" si="32"/>
        <v>WW1_FIGHTER_CHINA</v>
      </c>
      <c r="B1846" s="9" t="s">
        <v>2385</v>
      </c>
      <c r="C1846" s="4" t="s">
        <v>710</v>
      </c>
      <c r="D1846" s="4" t="s">
        <v>693</v>
      </c>
      <c r="E1846" s="4" t="s">
        <v>779</v>
      </c>
      <c r="F1846" s="4" t="s">
        <v>779</v>
      </c>
      <c r="G1846" s="14"/>
      <c r="H1846" s="4" t="s">
        <v>261</v>
      </c>
      <c r="I1846" s="4" t="s">
        <v>102</v>
      </c>
    </row>
    <row r="1847" spans="1:43" x14ac:dyDescent="0.25">
      <c r="A1847" s="161" t="str">
        <f t="shared" si="32"/>
        <v>WW1_FIGHTER_JAPAN</v>
      </c>
      <c r="B1847" s="9" t="s">
        <v>2385</v>
      </c>
      <c r="C1847" s="4" t="s">
        <v>722</v>
      </c>
      <c r="D1847" s="4" t="s">
        <v>693</v>
      </c>
      <c r="E1847" s="4" t="s">
        <v>779</v>
      </c>
      <c r="F1847" s="4" t="s">
        <v>779</v>
      </c>
      <c r="G1847" s="14" t="s">
        <v>132</v>
      </c>
    </row>
    <row r="1848" spans="1:43" x14ac:dyDescent="0.25">
      <c r="A1848" s="161" t="str">
        <f t="shared" si="32"/>
        <v>WW1_FIGHTER_CENTAS</v>
      </c>
      <c r="B1848" s="9" t="s">
        <v>2385</v>
      </c>
      <c r="C1848" s="4" t="s">
        <v>918</v>
      </c>
      <c r="D1848" s="4" t="s">
        <v>698</v>
      </c>
      <c r="E1848" s="4" t="s">
        <v>779</v>
      </c>
      <c r="F1848" s="4" t="s">
        <v>779</v>
      </c>
      <c r="G1848" s="14"/>
    </row>
    <row r="1849" spans="1:43" x14ac:dyDescent="0.25">
      <c r="A1849" s="161" t="str">
        <f t="shared" si="32"/>
        <v>WW1_FIGHTER_HUNS</v>
      </c>
      <c r="B1849" s="9" t="s">
        <v>2385</v>
      </c>
      <c r="C1849" s="4" t="s">
        <v>904</v>
      </c>
      <c r="E1849" s="4" t="s">
        <v>779</v>
      </c>
      <c r="F1849" s="4" t="s">
        <v>779</v>
      </c>
      <c r="H1849" s="4" t="s">
        <v>917</v>
      </c>
      <c r="I1849" s="4" t="s">
        <v>102</v>
      </c>
    </row>
    <row r="1850" spans="1:43" x14ac:dyDescent="0.25">
      <c r="A1850" s="161" t="str">
        <f t="shared" si="32"/>
        <v>WW1_FIGHTER_EASTEU</v>
      </c>
      <c r="B1850" s="9" t="s">
        <v>2385</v>
      </c>
      <c r="C1850" s="4" t="s">
        <v>698</v>
      </c>
      <c r="E1850" s="4" t="s">
        <v>779</v>
      </c>
      <c r="F1850" s="4" t="s">
        <v>779</v>
      </c>
      <c r="G1850" s="14" t="s">
        <v>132</v>
      </c>
      <c r="H1850" s="4" t="s">
        <v>576</v>
      </c>
      <c r="I1850" s="4" t="s">
        <v>102</v>
      </c>
    </row>
    <row r="1851" spans="1:43" x14ac:dyDescent="0.25">
      <c r="A1851" s="161" t="str">
        <f t="shared" si="32"/>
        <v>WW1_FIGHTER_RUSSIA</v>
      </c>
      <c r="B1851" s="9" t="s">
        <v>2385</v>
      </c>
      <c r="C1851" s="4" t="s">
        <v>735</v>
      </c>
      <c r="E1851" s="4" t="s">
        <v>779</v>
      </c>
      <c r="F1851" s="4" t="s">
        <v>779</v>
      </c>
      <c r="G1851" s="14" t="s">
        <v>132</v>
      </c>
      <c r="H1851" s="4" t="s">
        <v>629</v>
      </c>
      <c r="I1851" s="4" t="s">
        <v>102</v>
      </c>
    </row>
    <row r="1852" spans="1:43" x14ac:dyDescent="0.25">
      <c r="A1852" s="161" t="str">
        <f t="shared" si="32"/>
        <v>WW1_FIGHTER_AMERICA</v>
      </c>
      <c r="B1852" s="9" t="s">
        <v>2385</v>
      </c>
      <c r="C1852" s="4" t="s">
        <v>699</v>
      </c>
      <c r="E1852" s="4" t="s">
        <v>779</v>
      </c>
      <c r="F1852" s="4" t="s">
        <v>779</v>
      </c>
      <c r="G1852" s="14"/>
      <c r="H1852" s="4" t="s">
        <v>154</v>
      </c>
      <c r="I1852" s="4" t="s">
        <v>102</v>
      </c>
    </row>
    <row r="1853" spans="1:43" x14ac:dyDescent="0.25">
      <c r="A1853" s="161" t="str">
        <f t="shared" si="32"/>
        <v>WW1_FIGHTER_AUSTRALIA</v>
      </c>
      <c r="B1853" s="9" t="s">
        <v>2385</v>
      </c>
      <c r="C1853" s="4" t="s">
        <v>1302</v>
      </c>
      <c r="D1853" s="4" t="s">
        <v>713</v>
      </c>
      <c r="E1853" s="4" t="s">
        <v>779</v>
      </c>
      <c r="F1853" s="4" t="s">
        <v>779</v>
      </c>
      <c r="G1853" s="14"/>
    </row>
    <row r="1854" spans="1:43" x14ac:dyDescent="0.25">
      <c r="A1854" s="161" t="str">
        <f t="shared" si="32"/>
        <v>WW1_FIGHTER_AUSTRIA</v>
      </c>
      <c r="B1854" s="9" t="s">
        <v>2385</v>
      </c>
      <c r="C1854" s="4" t="s">
        <v>701</v>
      </c>
      <c r="E1854" s="4" t="s">
        <v>779</v>
      </c>
      <c r="F1854" s="4" t="s">
        <v>779</v>
      </c>
      <c r="G1854" s="14"/>
      <c r="H1854" s="4" t="s">
        <v>188</v>
      </c>
      <c r="I1854" s="4" t="s">
        <v>102</v>
      </c>
    </row>
    <row r="1855" spans="1:43" x14ac:dyDescent="0.25">
      <c r="A1855" s="161" t="str">
        <f t="shared" si="32"/>
        <v>WW1_FIGHTER_BELGIUM</v>
      </c>
      <c r="B1855" s="9" t="s">
        <v>2385</v>
      </c>
      <c r="C1855" s="4" t="s">
        <v>704</v>
      </c>
      <c r="E1855" s="4" t="s">
        <v>779</v>
      </c>
      <c r="F1855" s="4" t="s">
        <v>779</v>
      </c>
      <c r="G1855" s="14"/>
      <c r="H1855" s="4" t="s">
        <v>2222</v>
      </c>
      <c r="I1855" s="4" t="s">
        <v>2223</v>
      </c>
    </row>
    <row r="1856" spans="1:43" x14ac:dyDescent="0.25">
      <c r="A1856" s="161" t="str">
        <f t="shared" si="32"/>
        <v>WW1_FIGHTER_CANADA</v>
      </c>
      <c r="B1856" s="9" t="s">
        <v>2385</v>
      </c>
      <c r="C1856" s="4" t="s">
        <v>2207</v>
      </c>
      <c r="D1856" s="4" t="s">
        <v>713</v>
      </c>
      <c r="E1856" s="4" t="s">
        <v>779</v>
      </c>
      <c r="F1856" s="4" t="s">
        <v>779</v>
      </c>
      <c r="G1856" s="14"/>
    </row>
    <row r="1857" spans="1:43" x14ac:dyDescent="0.25">
      <c r="A1857" s="161" t="str">
        <f t="shared" si="32"/>
        <v>WW1_FIGHTER_CELTS</v>
      </c>
      <c r="B1857" s="9" t="s">
        <v>2385</v>
      </c>
      <c r="C1857" s="4" t="s">
        <v>709</v>
      </c>
      <c r="D1857" s="4" t="s">
        <v>713</v>
      </c>
      <c r="E1857" s="4" t="s">
        <v>779</v>
      </c>
      <c r="F1857" s="4" t="s">
        <v>779</v>
      </c>
      <c r="G1857" s="14"/>
    </row>
    <row r="1858" spans="1:43" x14ac:dyDescent="0.25">
      <c r="A1858" s="161" t="str">
        <f t="shared" si="32"/>
        <v>WW1_FIGHTER_ENGLAND</v>
      </c>
      <c r="B1858" s="9" t="s">
        <v>2385</v>
      </c>
      <c r="C1858" s="4" t="s">
        <v>713</v>
      </c>
      <c r="E1858" s="4" t="s">
        <v>779</v>
      </c>
      <c r="F1858" s="4" t="s">
        <v>779</v>
      </c>
      <c r="G1858" s="14" t="s">
        <v>132</v>
      </c>
      <c r="H1858" s="4" t="s">
        <v>315</v>
      </c>
      <c r="I1858" s="4" t="s">
        <v>102</v>
      </c>
    </row>
    <row r="1859" spans="1:43" x14ac:dyDescent="0.25">
      <c r="A1859" s="161" t="str">
        <f t="shared" si="32"/>
        <v>WW1_FIGHTER_FRANCE</v>
      </c>
      <c r="B1859" s="9" t="s">
        <v>2385</v>
      </c>
      <c r="C1859" s="4" t="s">
        <v>715</v>
      </c>
      <c r="E1859" s="4" t="s">
        <v>779</v>
      </c>
      <c r="F1859" s="4" t="s">
        <v>779</v>
      </c>
      <c r="G1859" s="14" t="s">
        <v>132</v>
      </c>
      <c r="H1859" s="4" t="s">
        <v>360</v>
      </c>
      <c r="I1859" s="4" t="s">
        <v>102</v>
      </c>
    </row>
    <row r="1860" spans="1:43" x14ac:dyDescent="0.25">
      <c r="A1860" s="161" t="str">
        <f t="shared" si="32"/>
        <v>WW1_FIGHTER_GERMANY</v>
      </c>
      <c r="B1860" s="9" t="s">
        <v>2385</v>
      </c>
      <c r="C1860" s="4" t="s">
        <v>717</v>
      </c>
      <c r="E1860" s="4" t="s">
        <v>779</v>
      </c>
      <c r="F1860" s="4" t="s">
        <v>779</v>
      </c>
      <c r="G1860" s="14" t="s">
        <v>132</v>
      </c>
      <c r="H1860" s="4" t="s">
        <v>393</v>
      </c>
      <c r="I1860" s="4" t="s">
        <v>102</v>
      </c>
    </row>
    <row r="1861" spans="1:43" x14ac:dyDescent="0.25">
      <c r="A1861" s="161" t="str">
        <f t="shared" si="32"/>
        <v>WW1_FIGHTER_SWISS</v>
      </c>
      <c r="B1861" s="9" t="s">
        <v>2385</v>
      </c>
      <c r="C1861" s="4" t="s">
        <v>740</v>
      </c>
      <c r="D1861" s="4" t="s">
        <v>704</v>
      </c>
      <c r="E1861" s="4" t="s">
        <v>779</v>
      </c>
      <c r="F1861" s="4" t="s">
        <v>779</v>
      </c>
      <c r="G1861" s="14"/>
    </row>
    <row r="1862" spans="1:43" x14ac:dyDescent="0.25">
      <c r="A1862" s="161" t="str">
        <f t="shared" si="32"/>
        <v>WW1_FIGHTER_MED</v>
      </c>
      <c r="B1862" s="9" t="s">
        <v>2385</v>
      </c>
      <c r="C1862" s="4" t="s">
        <v>692</v>
      </c>
      <c r="E1862" s="4" t="s">
        <v>779</v>
      </c>
      <c r="F1862" s="4" t="s">
        <v>779</v>
      </c>
      <c r="G1862" s="14"/>
      <c r="H1862" s="4" t="s">
        <v>1921</v>
      </c>
      <c r="I1862" s="4" t="s">
        <v>1922</v>
      </c>
    </row>
    <row r="1863" spans="1:43" x14ac:dyDescent="0.25">
      <c r="A1863" s="161" t="str">
        <f t="shared" si="32"/>
        <v>WW1_FIGHTER_ROME</v>
      </c>
      <c r="B1863" s="9" t="s">
        <v>2385</v>
      </c>
      <c r="C1863" s="4" t="s">
        <v>734</v>
      </c>
      <c r="E1863" s="4" t="s">
        <v>779</v>
      </c>
      <c r="F1863" s="4" t="s">
        <v>779</v>
      </c>
      <c r="G1863" s="14"/>
      <c r="H1863" s="4" t="s">
        <v>601</v>
      </c>
      <c r="I1863" s="4" t="s">
        <v>102</v>
      </c>
    </row>
    <row r="1864" spans="1:43" x14ac:dyDescent="0.25">
      <c r="A1864" s="161" t="str">
        <f t="shared" si="32"/>
        <v>WW1_FIGHTER_OTTOMAN</v>
      </c>
      <c r="B1864" s="9" t="s">
        <v>2385</v>
      </c>
      <c r="C1864" s="4" t="s">
        <v>1037</v>
      </c>
      <c r="E1864" s="4" t="s">
        <v>779</v>
      </c>
      <c r="F1864" s="4" t="s">
        <v>779</v>
      </c>
      <c r="G1864" s="14"/>
      <c r="H1864" s="4" t="s">
        <v>2224</v>
      </c>
      <c r="I1864" s="4" t="s">
        <v>2223</v>
      </c>
    </row>
    <row r="1865" spans="1:43" x14ac:dyDescent="0.25">
      <c r="A1865" s="161" t="str">
        <f t="shared" si="32"/>
        <v>WW1_FIGHTER_NORTHAF</v>
      </c>
      <c r="B1865" s="9" t="s">
        <v>2385</v>
      </c>
      <c r="C1865" s="4" t="s">
        <v>2009</v>
      </c>
      <c r="D1865" s="4" t="s">
        <v>715</v>
      </c>
      <c r="E1865" s="4" t="s">
        <v>779</v>
      </c>
      <c r="F1865" s="4" t="s">
        <v>779</v>
      </c>
      <c r="G1865" s="14"/>
    </row>
    <row r="1866" spans="1:43" x14ac:dyDescent="0.25">
      <c r="A1866" s="161" t="str">
        <f t="shared" si="32"/>
        <v>WW1_FIGHTER_SEASIA</v>
      </c>
      <c r="B1866" s="9" t="s">
        <v>2385</v>
      </c>
      <c r="C1866" s="4" t="s">
        <v>696</v>
      </c>
      <c r="D1866" s="4" t="s">
        <v>715</v>
      </c>
      <c r="E1866" s="4" t="s">
        <v>779</v>
      </c>
      <c r="F1866" s="4" t="s">
        <v>779</v>
      </c>
      <c r="G1866" s="14"/>
    </row>
    <row r="1867" spans="1:43" x14ac:dyDescent="0.25">
      <c r="A1867" s="161" t="str">
        <f t="shared" si="32"/>
        <v>WW1_FIGHTER_SOUTHAM</v>
      </c>
      <c r="B1867" s="9" t="s">
        <v>2385</v>
      </c>
      <c r="C1867" s="4" t="s">
        <v>691</v>
      </c>
      <c r="D1867" s="4" t="s">
        <v>692</v>
      </c>
      <c r="E1867" s="4" t="s">
        <v>779</v>
      </c>
      <c r="F1867" s="4" t="s">
        <v>779</v>
      </c>
      <c r="G1867" s="14"/>
    </row>
    <row r="1868" spans="1:43" x14ac:dyDescent="0.25">
      <c r="A1868" s="161" t="str">
        <f t="shared" si="32"/>
        <v>WW1_FIGHTER_SOUTHAS</v>
      </c>
      <c r="B1868" s="9" t="s">
        <v>2385</v>
      </c>
      <c r="C1868" s="4" t="s">
        <v>695</v>
      </c>
      <c r="E1868" s="4" t="s">
        <v>779</v>
      </c>
      <c r="F1868" s="4" t="s">
        <v>779</v>
      </c>
      <c r="G1868" s="14"/>
      <c r="H1868" s="4" t="s">
        <v>1923</v>
      </c>
      <c r="I1868" s="4" t="s">
        <v>1922</v>
      </c>
    </row>
    <row r="1869" spans="1:43" x14ac:dyDescent="0.25">
      <c r="A1869" s="161" t="str">
        <f t="shared" si="32"/>
        <v>WW1_INFANTRY</v>
      </c>
      <c r="B1869" s="9" t="s">
        <v>2386</v>
      </c>
      <c r="C1869" s="5"/>
      <c r="D1869" s="5"/>
      <c r="E1869" s="5" t="s">
        <v>780</v>
      </c>
      <c r="F1869" s="5" t="s">
        <v>780</v>
      </c>
      <c r="G1869" s="5"/>
      <c r="H1869" s="5" t="s">
        <v>1158</v>
      </c>
      <c r="I1869" s="5" t="s">
        <v>128</v>
      </c>
      <c r="J1869" s="6"/>
      <c r="K1869" s="6"/>
      <c r="L1869" s="13" t="s">
        <v>1707</v>
      </c>
      <c r="M1869" s="8"/>
      <c r="N1869" s="5"/>
      <c r="O1869" s="5"/>
      <c r="P1869" s="5"/>
      <c r="Q1869" s="7">
        <v>14</v>
      </c>
      <c r="R1869" s="6">
        <v>0.125</v>
      </c>
      <c r="S1869" s="13" t="s">
        <v>1619</v>
      </c>
      <c r="T1869" s="6">
        <v>18</v>
      </c>
      <c r="U1869" s="7" t="s">
        <v>1736</v>
      </c>
      <c r="V1869" s="5"/>
      <c r="W1869" s="6" t="s">
        <v>3</v>
      </c>
      <c r="X1869" s="6" t="s">
        <v>3</v>
      </c>
      <c r="Y1869" s="5"/>
      <c r="Z1869" s="6">
        <v>1</v>
      </c>
      <c r="AA1869" s="6"/>
      <c r="AB1869" s="5"/>
      <c r="AC1869" s="6"/>
      <c r="AD1869" s="6" t="s">
        <v>3</v>
      </c>
      <c r="AE1869" s="5"/>
      <c r="AF1869" s="6" t="s">
        <v>1736</v>
      </c>
      <c r="AG1869" s="6"/>
      <c r="AH1869" s="5"/>
      <c r="AI1869" s="6" t="s">
        <v>1736</v>
      </c>
      <c r="AJ1869" s="6"/>
      <c r="AK1869" s="5"/>
      <c r="AL1869" s="5"/>
      <c r="AM1869" s="5"/>
      <c r="AN1869" s="5"/>
      <c r="AO1869" s="5"/>
      <c r="AP1869" s="5"/>
      <c r="AQ1869" s="5"/>
    </row>
    <row r="1870" spans="1:43" x14ac:dyDescent="0.25">
      <c r="A1870" s="161" t="str">
        <f t="shared" si="32"/>
        <v>WW1_INFANTRY_AMER</v>
      </c>
      <c r="B1870" s="9" t="s">
        <v>2386</v>
      </c>
      <c r="C1870" s="4" t="s">
        <v>697</v>
      </c>
      <c r="E1870" s="4" t="s">
        <v>780</v>
      </c>
      <c r="F1870" s="4" t="s">
        <v>780</v>
      </c>
      <c r="H1870" s="4" t="s">
        <v>472</v>
      </c>
      <c r="I1870" s="4" t="s">
        <v>835</v>
      </c>
      <c r="R1870" s="11">
        <v>0.13500000000000001</v>
      </c>
      <c r="U1870" s="11">
        <v>9.5000000000000001E-2</v>
      </c>
    </row>
    <row r="1871" spans="1:43" x14ac:dyDescent="0.25">
      <c r="A1871" s="161" t="str">
        <f t="shared" si="32"/>
        <v>WW1_INFANTRY_JAPAN</v>
      </c>
      <c r="B1871" s="9" t="s">
        <v>2386</v>
      </c>
      <c r="C1871" s="4" t="s">
        <v>722</v>
      </c>
      <c r="E1871" s="4" t="s">
        <v>780</v>
      </c>
      <c r="F1871" s="4" t="s">
        <v>780</v>
      </c>
      <c r="G1871" s="14" t="s">
        <v>132</v>
      </c>
      <c r="H1871" s="4" t="s">
        <v>494</v>
      </c>
      <c r="I1871" s="4" t="s">
        <v>122</v>
      </c>
    </row>
    <row r="1872" spans="1:43" x14ac:dyDescent="0.25">
      <c r="A1872" s="161" t="str">
        <f t="shared" si="32"/>
        <v>WW1_INFANTRY_CENTAS</v>
      </c>
      <c r="B1872" s="9" t="s">
        <v>2386</v>
      </c>
      <c r="C1872" s="4" t="s">
        <v>918</v>
      </c>
      <c r="E1872" s="4" t="s">
        <v>780</v>
      </c>
      <c r="F1872" s="4" t="s">
        <v>780</v>
      </c>
      <c r="G1872" s="14" t="s">
        <v>132</v>
      </c>
      <c r="H1872" s="14" t="s">
        <v>1045</v>
      </c>
      <c r="I1872" s="4" t="s">
        <v>122</v>
      </c>
      <c r="J1872" s="167"/>
    </row>
    <row r="1873" spans="1:43" x14ac:dyDescent="0.25">
      <c r="A1873" s="161" t="str">
        <f t="shared" si="32"/>
        <v>WW1_INFANTRY_HUNS</v>
      </c>
      <c r="B1873" s="9" t="s">
        <v>2386</v>
      </c>
      <c r="C1873" s="4" t="s">
        <v>904</v>
      </c>
      <c r="D1873" s="4" t="s">
        <v>701</v>
      </c>
      <c r="E1873" s="4" t="s">
        <v>780</v>
      </c>
      <c r="F1873" s="4" t="s">
        <v>780</v>
      </c>
      <c r="G1873" s="14"/>
      <c r="H1873" s="14"/>
      <c r="J1873" s="167"/>
    </row>
    <row r="1874" spans="1:43" x14ac:dyDescent="0.25">
      <c r="A1874" s="161" t="str">
        <f t="shared" si="32"/>
        <v>WW1_INFANTRY_EASTEU</v>
      </c>
      <c r="B1874" s="9" t="s">
        <v>2386</v>
      </c>
      <c r="C1874" s="4" t="s">
        <v>698</v>
      </c>
      <c r="E1874" s="4" t="s">
        <v>780</v>
      </c>
      <c r="F1874" s="4" t="s">
        <v>780</v>
      </c>
      <c r="G1874" s="14" t="s">
        <v>132</v>
      </c>
      <c r="H1874" s="4" t="s">
        <v>630</v>
      </c>
      <c r="I1874" s="4" t="s">
        <v>122</v>
      </c>
    </row>
    <row r="1875" spans="1:43" x14ac:dyDescent="0.25">
      <c r="A1875" s="161" t="str">
        <f t="shared" si="32"/>
        <v>WW1_INFANTRY_AMERICA</v>
      </c>
      <c r="B1875" s="9" t="s">
        <v>2386</v>
      </c>
      <c r="C1875" s="4" t="s">
        <v>699</v>
      </c>
      <c r="E1875" s="4" t="s">
        <v>780</v>
      </c>
      <c r="F1875" s="4" t="s">
        <v>780</v>
      </c>
      <c r="G1875" s="14"/>
      <c r="H1875" s="4" t="s">
        <v>155</v>
      </c>
      <c r="I1875" s="4" t="s">
        <v>122</v>
      </c>
    </row>
    <row r="1876" spans="1:43" x14ac:dyDescent="0.25">
      <c r="A1876" s="161" t="str">
        <f t="shared" si="32"/>
        <v>WW1_INFANTRY_AUSTRIA</v>
      </c>
      <c r="B1876" s="9" t="s">
        <v>2386</v>
      </c>
      <c r="C1876" s="4" t="s">
        <v>701</v>
      </c>
      <c r="E1876" s="4" t="s">
        <v>780</v>
      </c>
      <c r="F1876" s="4" t="s">
        <v>780</v>
      </c>
      <c r="G1876" s="14"/>
      <c r="H1876" s="4" t="s">
        <v>189</v>
      </c>
      <c r="I1876" s="4" t="s">
        <v>122</v>
      </c>
    </row>
    <row r="1877" spans="1:43" x14ac:dyDescent="0.25">
      <c r="A1877" s="161" t="str">
        <f t="shared" si="32"/>
        <v>WW1_INFANTRY_CELTS</v>
      </c>
      <c r="B1877" s="9" t="s">
        <v>2386</v>
      </c>
      <c r="C1877" s="4" t="s">
        <v>709</v>
      </c>
      <c r="D1877" s="4" t="s">
        <v>713</v>
      </c>
      <c r="E1877" s="4" t="s">
        <v>780</v>
      </c>
      <c r="F1877" s="4" t="s">
        <v>780</v>
      </c>
      <c r="G1877" s="14"/>
    </row>
    <row r="1878" spans="1:43" x14ac:dyDescent="0.25">
      <c r="A1878" s="161" t="str">
        <f t="shared" si="32"/>
        <v>WW1_INFANTRY_ENGLAND</v>
      </c>
      <c r="B1878" s="9" t="s">
        <v>2386</v>
      </c>
      <c r="C1878" s="4" t="s">
        <v>713</v>
      </c>
      <c r="E1878" s="4" t="s">
        <v>780</v>
      </c>
      <c r="F1878" s="4" t="s">
        <v>780</v>
      </c>
      <c r="G1878" s="14" t="s">
        <v>132</v>
      </c>
      <c r="H1878" s="4" t="s">
        <v>316</v>
      </c>
      <c r="I1878" s="4" t="s">
        <v>122</v>
      </c>
    </row>
    <row r="1879" spans="1:43" x14ac:dyDescent="0.25">
      <c r="A1879" s="161" t="str">
        <f t="shared" si="32"/>
        <v>WW1_INFANTRY_FRANCE</v>
      </c>
      <c r="B1879" s="9" t="s">
        <v>2386</v>
      </c>
      <c r="C1879" s="4" t="s">
        <v>715</v>
      </c>
      <c r="E1879" s="4" t="s">
        <v>780</v>
      </c>
      <c r="F1879" s="4" t="s">
        <v>780</v>
      </c>
      <c r="G1879" s="14" t="s">
        <v>132</v>
      </c>
      <c r="H1879" s="4" t="s">
        <v>361</v>
      </c>
      <c r="I1879" s="4" t="s">
        <v>122</v>
      </c>
    </row>
    <row r="1880" spans="1:43" x14ac:dyDescent="0.25">
      <c r="A1880" s="161" t="str">
        <f t="shared" si="32"/>
        <v>WW1_INFANTRY_GERMANY</v>
      </c>
      <c r="B1880" s="9" t="s">
        <v>2386</v>
      </c>
      <c r="C1880" s="4" t="s">
        <v>717</v>
      </c>
      <c r="E1880" s="4" t="s">
        <v>780</v>
      </c>
      <c r="F1880" s="4" t="s">
        <v>780</v>
      </c>
      <c r="G1880" s="14" t="s">
        <v>132</v>
      </c>
      <c r="H1880" s="4" t="s">
        <v>394</v>
      </c>
      <c r="I1880" s="4" t="s">
        <v>122</v>
      </c>
    </row>
    <row r="1881" spans="1:43" x14ac:dyDescent="0.25">
      <c r="A1881" s="161" t="str">
        <f t="shared" si="32"/>
        <v>WW1_INFANTRY_MED</v>
      </c>
      <c r="B1881" s="9" t="s">
        <v>2386</v>
      </c>
      <c r="C1881" s="4" t="s">
        <v>692</v>
      </c>
      <c r="E1881" s="4" t="s">
        <v>780</v>
      </c>
      <c r="F1881" s="4" t="s">
        <v>780</v>
      </c>
      <c r="G1881" s="14" t="s">
        <v>132</v>
      </c>
      <c r="H1881" s="4" t="s">
        <v>415</v>
      </c>
      <c r="I1881" s="4" t="s">
        <v>122</v>
      </c>
    </row>
    <row r="1882" spans="1:43" x14ac:dyDescent="0.25">
      <c r="A1882" s="161" t="str">
        <f t="shared" si="32"/>
        <v>WW1_INFANTRY_ROME</v>
      </c>
      <c r="B1882" s="9" t="s">
        <v>2386</v>
      </c>
      <c r="C1882" s="4" t="s">
        <v>734</v>
      </c>
      <c r="E1882" s="4" t="s">
        <v>780</v>
      </c>
      <c r="F1882" s="4" t="s">
        <v>780</v>
      </c>
      <c r="G1882" s="14" t="s">
        <v>132</v>
      </c>
      <c r="H1882" s="4" t="s">
        <v>602</v>
      </c>
      <c r="I1882" s="4" t="s">
        <v>122</v>
      </c>
    </row>
    <row r="1883" spans="1:43" x14ac:dyDescent="0.25">
      <c r="A1883" s="161" t="str">
        <f t="shared" si="32"/>
        <v>WW1_INFANTRY_MIDEAST</v>
      </c>
      <c r="B1883" s="9" t="s">
        <v>2386</v>
      </c>
      <c r="C1883" s="4" t="s">
        <v>690</v>
      </c>
      <c r="E1883" s="4" t="s">
        <v>780</v>
      </c>
      <c r="F1883" s="4" t="s">
        <v>780</v>
      </c>
      <c r="H1883" s="4" t="s">
        <v>172</v>
      </c>
      <c r="I1883" s="4" t="s">
        <v>122</v>
      </c>
    </row>
    <row r="1884" spans="1:43" x14ac:dyDescent="0.25">
      <c r="A1884" s="161" t="str">
        <f t="shared" ref="A1884:A1917" si="33">CONCATENATE(E1884,IF(ISBLANK(C1884),"",CONCATENATE("_",C1884)))</f>
        <v>WW1_INFANTRY_SOUTHAS</v>
      </c>
      <c r="B1884" s="9" t="s">
        <v>2386</v>
      </c>
      <c r="C1884" s="4" t="s">
        <v>695</v>
      </c>
      <c r="E1884" s="4" t="s">
        <v>780</v>
      </c>
      <c r="F1884" s="4" t="s">
        <v>780</v>
      </c>
      <c r="H1884" s="4" t="s">
        <v>445</v>
      </c>
      <c r="I1884" s="4" t="s">
        <v>122</v>
      </c>
    </row>
    <row r="1885" spans="1:43" x14ac:dyDescent="0.25">
      <c r="A1885" s="161" t="str">
        <f t="shared" si="33"/>
        <v>WW1_TANK</v>
      </c>
      <c r="B1885" s="9" t="s">
        <v>2383</v>
      </c>
      <c r="C1885" s="5"/>
      <c r="D1885" s="5"/>
      <c r="E1885" s="5" t="s">
        <v>781</v>
      </c>
      <c r="F1885" s="5" t="s">
        <v>781</v>
      </c>
      <c r="G1885" s="5"/>
      <c r="H1885" s="5" t="s">
        <v>2226</v>
      </c>
      <c r="I1885" s="5" t="s">
        <v>2223</v>
      </c>
      <c r="J1885" s="6"/>
      <c r="K1885" s="6"/>
      <c r="L1885" s="13" t="s">
        <v>1708</v>
      </c>
      <c r="M1885" s="8"/>
      <c r="N1885" s="5"/>
      <c r="O1885" s="5"/>
      <c r="P1885" s="5"/>
      <c r="Q1885" s="7">
        <v>2</v>
      </c>
      <c r="R1885" s="6">
        <v>0.11</v>
      </c>
      <c r="S1885" s="13" t="s">
        <v>1612</v>
      </c>
      <c r="T1885" s="6">
        <v>4</v>
      </c>
      <c r="U1885" s="6">
        <v>0.12</v>
      </c>
      <c r="V1885" s="5" t="s">
        <v>688</v>
      </c>
      <c r="W1885" s="7" t="s">
        <v>3</v>
      </c>
      <c r="X1885" s="6" t="s">
        <v>3</v>
      </c>
      <c r="Y1885" s="5"/>
      <c r="Z1885" s="6">
        <v>1</v>
      </c>
      <c r="AA1885" s="6"/>
      <c r="AB1885" s="5"/>
      <c r="AC1885" s="6"/>
      <c r="AD1885" s="6" t="s">
        <v>3</v>
      </c>
      <c r="AE1885" s="5"/>
      <c r="AF1885" s="6"/>
      <c r="AG1885" s="6"/>
      <c r="AH1885" s="5"/>
      <c r="AI1885" s="6"/>
      <c r="AJ1885" s="6"/>
      <c r="AK1885" s="5"/>
      <c r="AL1885" s="5"/>
      <c r="AM1885" s="5"/>
      <c r="AN1885" s="5"/>
      <c r="AO1885" s="5"/>
      <c r="AP1885" s="5"/>
      <c r="AQ1885" s="5"/>
    </row>
    <row r="1886" spans="1:43" x14ac:dyDescent="0.25">
      <c r="A1886" s="161" t="str">
        <f t="shared" si="33"/>
        <v>WW1_TANK_ZULU</v>
      </c>
      <c r="B1886" s="9" t="s">
        <v>2383</v>
      </c>
      <c r="C1886" s="5" t="s">
        <v>742</v>
      </c>
      <c r="D1886" s="5" t="s">
        <v>709</v>
      </c>
      <c r="E1886" s="5" t="s">
        <v>781</v>
      </c>
      <c r="F1886" s="5" t="s">
        <v>781</v>
      </c>
      <c r="G1886" s="5"/>
      <c r="H1886" s="5"/>
      <c r="I1886" s="5"/>
      <c r="J1886" s="6"/>
      <c r="K1886" s="6"/>
      <c r="L1886" s="13"/>
      <c r="M1886" s="8"/>
      <c r="N1886" s="5"/>
      <c r="O1886" s="5"/>
      <c r="P1886" s="5"/>
      <c r="Q1886" s="7"/>
      <c r="R1886" s="6"/>
      <c r="S1886" s="13"/>
      <c r="T1886" s="6"/>
      <c r="U1886" s="6"/>
      <c r="V1886" s="5"/>
      <c r="W1886" s="7"/>
      <c r="X1886" s="6"/>
      <c r="Y1886" s="5"/>
      <c r="Z1886" s="6"/>
      <c r="AA1886" s="6"/>
      <c r="AB1886" s="5"/>
      <c r="AC1886" s="6"/>
      <c r="AD1886" s="6"/>
      <c r="AE1886" s="5"/>
      <c r="AF1886" s="6"/>
      <c r="AG1886" s="6"/>
      <c r="AH1886" s="5"/>
      <c r="AI1886" s="6"/>
      <c r="AJ1886" s="6"/>
      <c r="AK1886" s="5"/>
      <c r="AL1886" s="5"/>
      <c r="AM1886" s="5"/>
      <c r="AN1886" s="5"/>
      <c r="AO1886" s="5"/>
      <c r="AP1886" s="5"/>
      <c r="AQ1886" s="5"/>
    </row>
    <row r="1887" spans="1:43" x14ac:dyDescent="0.25">
      <c r="A1887" s="161" t="str">
        <f t="shared" si="33"/>
        <v>WW1_TANK_AMER</v>
      </c>
      <c r="B1887" s="9" t="s">
        <v>2383</v>
      </c>
      <c r="C1887" s="5" t="s">
        <v>697</v>
      </c>
      <c r="D1887" s="5" t="s">
        <v>699</v>
      </c>
      <c r="E1887" s="5" t="s">
        <v>781</v>
      </c>
      <c r="F1887" s="5" t="s">
        <v>781</v>
      </c>
      <c r="G1887" s="5"/>
      <c r="H1887" s="5"/>
      <c r="I1887" s="5"/>
      <c r="J1887" s="6"/>
      <c r="K1887" s="6"/>
      <c r="L1887" s="13"/>
      <c r="M1887" s="8"/>
      <c r="N1887" s="5"/>
      <c r="O1887" s="5"/>
      <c r="P1887" s="5"/>
      <c r="Q1887" s="7"/>
      <c r="R1887" s="6"/>
      <c r="S1887" s="13"/>
      <c r="T1887" s="6"/>
      <c r="U1887" s="6"/>
      <c r="V1887" s="5"/>
      <c r="W1887" s="7"/>
      <c r="X1887" s="6"/>
      <c r="Y1887" s="5"/>
      <c r="Z1887" s="6"/>
      <c r="AA1887" s="6"/>
      <c r="AB1887" s="5"/>
      <c r="AC1887" s="6"/>
      <c r="AD1887" s="6"/>
      <c r="AE1887" s="5"/>
      <c r="AF1887" s="6"/>
      <c r="AG1887" s="6"/>
      <c r="AH1887" s="5"/>
      <c r="AI1887" s="6"/>
      <c r="AJ1887" s="6"/>
      <c r="AK1887" s="5"/>
      <c r="AL1887" s="5"/>
      <c r="AM1887" s="5"/>
      <c r="AN1887" s="5"/>
      <c r="AO1887" s="5"/>
      <c r="AP1887" s="5"/>
      <c r="AQ1887" s="5"/>
    </row>
    <row r="1888" spans="1:43" x14ac:dyDescent="0.25">
      <c r="A1888" s="161" t="str">
        <f t="shared" si="33"/>
        <v>WW1_TANK_CHINA</v>
      </c>
      <c r="B1888" s="9" t="s">
        <v>2383</v>
      </c>
      <c r="C1888" s="4" t="s">
        <v>710</v>
      </c>
      <c r="E1888" s="4" t="s">
        <v>781</v>
      </c>
      <c r="F1888" s="4" t="s">
        <v>781</v>
      </c>
      <c r="G1888" s="14" t="s">
        <v>132</v>
      </c>
      <c r="H1888" s="4" t="s">
        <v>262</v>
      </c>
      <c r="I1888" s="4" t="s">
        <v>102</v>
      </c>
      <c r="R1888" s="11">
        <v>0.13</v>
      </c>
      <c r="T1888" s="11">
        <v>4</v>
      </c>
      <c r="U1888" s="11">
        <v>0.11</v>
      </c>
    </row>
    <row r="1889" spans="1:26" x14ac:dyDescent="0.25">
      <c r="A1889" s="161" t="str">
        <f t="shared" si="33"/>
        <v>WW1_TANK_JAPAN</v>
      </c>
      <c r="B1889" s="9" t="s">
        <v>2383</v>
      </c>
      <c r="C1889" s="4" t="s">
        <v>722</v>
      </c>
      <c r="E1889" s="4" t="s">
        <v>781</v>
      </c>
      <c r="F1889" s="4" t="s">
        <v>781</v>
      </c>
      <c r="G1889" s="14" t="s">
        <v>132</v>
      </c>
      <c r="H1889" s="4" t="s">
        <v>495</v>
      </c>
      <c r="I1889" s="4" t="s">
        <v>102</v>
      </c>
      <c r="R1889" s="11">
        <v>0.13</v>
      </c>
      <c r="T1889" s="11">
        <v>4</v>
      </c>
      <c r="U1889" s="11">
        <v>0.11</v>
      </c>
    </row>
    <row r="1890" spans="1:26" x14ac:dyDescent="0.25">
      <c r="A1890" s="161" t="str">
        <f t="shared" si="33"/>
        <v>WW1_TANK_KOREA</v>
      </c>
      <c r="B1890" s="9" t="s">
        <v>2383</v>
      </c>
      <c r="C1890" s="4" t="s">
        <v>723</v>
      </c>
      <c r="D1890" s="4" t="s">
        <v>722</v>
      </c>
      <c r="E1890" s="4" t="s">
        <v>781</v>
      </c>
      <c r="F1890" s="4" t="s">
        <v>781</v>
      </c>
      <c r="G1890" s="14"/>
    </row>
    <row r="1891" spans="1:26" x14ac:dyDescent="0.25">
      <c r="A1891" s="161" t="str">
        <f t="shared" si="33"/>
        <v>WW1_TANK_HUNS</v>
      </c>
      <c r="B1891" s="9" t="s">
        <v>2383</v>
      </c>
      <c r="C1891" s="4" t="s">
        <v>904</v>
      </c>
      <c r="D1891" s="4" t="s">
        <v>701</v>
      </c>
      <c r="E1891" s="4" t="s">
        <v>781</v>
      </c>
      <c r="F1891" s="4" t="s">
        <v>781</v>
      </c>
    </row>
    <row r="1892" spans="1:26" x14ac:dyDescent="0.25">
      <c r="A1892" s="161" t="str">
        <f t="shared" si="33"/>
        <v>WW1_TANK_EASTEU</v>
      </c>
      <c r="B1892" s="9" t="s">
        <v>2383</v>
      </c>
      <c r="C1892" s="4" t="s">
        <v>698</v>
      </c>
      <c r="E1892" s="4" t="s">
        <v>781</v>
      </c>
      <c r="F1892" s="4" t="s">
        <v>781</v>
      </c>
      <c r="H1892" s="4" t="s">
        <v>856</v>
      </c>
      <c r="I1892" s="4" t="s">
        <v>120</v>
      </c>
      <c r="R1892" s="11">
        <v>0.13</v>
      </c>
      <c r="T1892" s="11">
        <v>4</v>
      </c>
      <c r="U1892" s="11">
        <v>0.11</v>
      </c>
    </row>
    <row r="1893" spans="1:26" x14ac:dyDescent="0.25">
      <c r="A1893" s="161" t="str">
        <f t="shared" si="33"/>
        <v>WW1_TANK_POLAND</v>
      </c>
      <c r="B1893" s="9" t="s">
        <v>2383</v>
      </c>
      <c r="C1893" s="4" t="s">
        <v>732</v>
      </c>
      <c r="E1893" s="4" t="s">
        <v>781</v>
      </c>
      <c r="F1893" s="4" t="s">
        <v>781</v>
      </c>
      <c r="G1893" s="14" t="s">
        <v>132</v>
      </c>
      <c r="H1893" s="4" t="s">
        <v>577</v>
      </c>
      <c r="I1893" s="4" t="s">
        <v>102</v>
      </c>
      <c r="R1893" s="9">
        <v>0.13</v>
      </c>
      <c r="T1893" s="11">
        <v>4</v>
      </c>
      <c r="U1893" s="11">
        <v>0.11</v>
      </c>
    </row>
    <row r="1894" spans="1:26" x14ac:dyDescent="0.25">
      <c r="A1894" s="161" t="str">
        <f t="shared" si="33"/>
        <v>WW1_TANK_RUSSIA</v>
      </c>
      <c r="B1894" s="9" t="s">
        <v>2383</v>
      </c>
      <c r="C1894" s="4" t="s">
        <v>735</v>
      </c>
      <c r="E1894" s="4" t="s">
        <v>781</v>
      </c>
      <c r="F1894" s="4" t="s">
        <v>781</v>
      </c>
      <c r="G1894" s="14" t="s">
        <v>132</v>
      </c>
      <c r="H1894" s="4" t="s">
        <v>631</v>
      </c>
      <c r="I1894" s="4" t="s">
        <v>102</v>
      </c>
      <c r="R1894" s="9">
        <v>0.13</v>
      </c>
      <c r="T1894" s="11">
        <v>4</v>
      </c>
      <c r="U1894" s="11">
        <v>0.11</v>
      </c>
    </row>
    <row r="1895" spans="1:26" x14ac:dyDescent="0.25">
      <c r="A1895" s="161" t="str">
        <f t="shared" si="33"/>
        <v>WW1_TANK_AMERICA</v>
      </c>
      <c r="B1895" s="9" t="s">
        <v>2383</v>
      </c>
      <c r="C1895" s="4" t="s">
        <v>699</v>
      </c>
      <c r="E1895" s="4" t="s">
        <v>781</v>
      </c>
      <c r="F1895" s="4" t="s">
        <v>781</v>
      </c>
      <c r="G1895" s="14"/>
      <c r="H1895" s="4" t="s">
        <v>156</v>
      </c>
      <c r="I1895" s="4" t="s">
        <v>102</v>
      </c>
      <c r="Q1895" s="11">
        <v>1</v>
      </c>
      <c r="R1895" s="9">
        <v>0.13</v>
      </c>
      <c r="T1895" s="11">
        <v>2</v>
      </c>
      <c r="U1895" s="11">
        <v>0.11</v>
      </c>
    </row>
    <row r="1896" spans="1:26" x14ac:dyDescent="0.25">
      <c r="A1896" s="161" t="str">
        <f t="shared" si="33"/>
        <v>WW1_TANK_AMERICA</v>
      </c>
      <c r="B1896" s="9" t="s">
        <v>2383</v>
      </c>
      <c r="C1896" s="4" t="s">
        <v>699</v>
      </c>
      <c r="E1896" s="4" t="s">
        <v>781</v>
      </c>
      <c r="F1896" s="4" t="s">
        <v>781</v>
      </c>
      <c r="G1896" s="14"/>
      <c r="H1896" s="4" t="s">
        <v>2227</v>
      </c>
      <c r="I1896" s="4" t="s">
        <v>2223</v>
      </c>
      <c r="Q1896" s="11">
        <v>1</v>
      </c>
      <c r="R1896" s="9">
        <v>0.125</v>
      </c>
      <c r="T1896" s="11">
        <v>2</v>
      </c>
      <c r="U1896" s="11">
        <v>0.11</v>
      </c>
    </row>
    <row r="1897" spans="1:26" x14ac:dyDescent="0.25">
      <c r="A1897" s="161" t="str">
        <f t="shared" si="33"/>
        <v>WW1_TANK_AUSTRALIA</v>
      </c>
      <c r="B1897" s="9" t="s">
        <v>2383</v>
      </c>
      <c r="C1897" s="4" t="s">
        <v>1302</v>
      </c>
      <c r="D1897" s="4" t="s">
        <v>709</v>
      </c>
      <c r="E1897" s="4" t="s">
        <v>781</v>
      </c>
      <c r="F1897" s="4" t="s">
        <v>781</v>
      </c>
      <c r="G1897" s="14"/>
      <c r="R1897" s="9"/>
    </row>
    <row r="1898" spans="1:26" x14ac:dyDescent="0.25">
      <c r="A1898" s="161" t="str">
        <f t="shared" si="33"/>
        <v>WW1_TANK_AUSTRIA</v>
      </c>
      <c r="B1898" s="9" t="s">
        <v>2383</v>
      </c>
      <c r="C1898" s="4" t="s">
        <v>701</v>
      </c>
      <c r="E1898" s="4" t="s">
        <v>781</v>
      </c>
      <c r="F1898" s="4" t="s">
        <v>781</v>
      </c>
      <c r="G1898" s="14"/>
      <c r="H1898" s="4" t="s">
        <v>190</v>
      </c>
      <c r="I1898" s="4" t="s">
        <v>102</v>
      </c>
      <c r="R1898" s="9">
        <v>0.13</v>
      </c>
      <c r="T1898" s="11">
        <v>4</v>
      </c>
      <c r="U1898" s="11">
        <v>0.11</v>
      </c>
    </row>
    <row r="1899" spans="1:26" x14ac:dyDescent="0.25">
      <c r="A1899" s="161" t="str">
        <f t="shared" si="33"/>
        <v>WW1_TANK_BELGIUM</v>
      </c>
      <c r="B1899" s="9" t="s">
        <v>2383</v>
      </c>
      <c r="C1899" s="4" t="s">
        <v>704</v>
      </c>
      <c r="E1899" s="4" t="s">
        <v>781</v>
      </c>
      <c r="F1899" s="4" t="s">
        <v>781</v>
      </c>
      <c r="G1899" s="14"/>
      <c r="H1899" s="4" t="s">
        <v>220</v>
      </c>
      <c r="I1899" s="4" t="s">
        <v>120</v>
      </c>
      <c r="R1899" s="11">
        <v>0.13</v>
      </c>
    </row>
    <row r="1900" spans="1:26" x14ac:dyDescent="0.25">
      <c r="A1900" s="161" t="str">
        <f t="shared" si="33"/>
        <v>WW1_TANK_CANADA</v>
      </c>
      <c r="B1900" s="9" t="s">
        <v>2383</v>
      </c>
      <c r="C1900" s="4" t="s">
        <v>2207</v>
      </c>
      <c r="E1900" s="4" t="s">
        <v>781</v>
      </c>
      <c r="F1900" s="4" t="s">
        <v>781</v>
      </c>
      <c r="G1900" s="14"/>
      <c r="H1900" s="4" t="s">
        <v>2209</v>
      </c>
      <c r="I1900" s="4" t="s">
        <v>120</v>
      </c>
      <c r="R1900" s="11">
        <v>0.13</v>
      </c>
    </row>
    <row r="1901" spans="1:26" x14ac:dyDescent="0.25">
      <c r="A1901" s="161" t="str">
        <f t="shared" si="33"/>
        <v>WW1_TANK_CELTS</v>
      </c>
      <c r="B1901" s="9" t="s">
        <v>2383</v>
      </c>
      <c r="C1901" s="4" t="s">
        <v>709</v>
      </c>
      <c r="E1901" s="4" t="s">
        <v>781</v>
      </c>
      <c r="F1901" s="4" t="s">
        <v>781</v>
      </c>
      <c r="G1901" s="14"/>
      <c r="H1901" s="4" t="s">
        <v>317</v>
      </c>
      <c r="I1901" s="4" t="s">
        <v>102</v>
      </c>
      <c r="R1901" s="11">
        <v>0.125</v>
      </c>
      <c r="T1901" s="11">
        <v>4</v>
      </c>
    </row>
    <row r="1902" spans="1:26" x14ac:dyDescent="0.25">
      <c r="A1902" s="161" t="str">
        <f t="shared" si="33"/>
        <v>WW1_TANK_ENGLAND</v>
      </c>
      <c r="B1902" s="9" t="s">
        <v>2383</v>
      </c>
      <c r="C1902" s="4" t="s">
        <v>713</v>
      </c>
      <c r="E1902" s="4" t="s">
        <v>781</v>
      </c>
      <c r="F1902" s="4" t="s">
        <v>781</v>
      </c>
      <c r="G1902" s="14" t="s">
        <v>132</v>
      </c>
      <c r="H1902" s="4" t="s">
        <v>2206</v>
      </c>
      <c r="I1902" s="4" t="s">
        <v>120</v>
      </c>
      <c r="Q1902" s="11">
        <v>1</v>
      </c>
      <c r="R1902" s="11">
        <v>0.125</v>
      </c>
      <c r="T1902" s="11">
        <v>1</v>
      </c>
      <c r="Z1902" s="11">
        <v>0</v>
      </c>
    </row>
    <row r="1903" spans="1:26" x14ac:dyDescent="0.25">
      <c r="A1903" s="161" t="str">
        <f>CONCATENATE(E1903,IF(ISBLANK(C1903),"",CONCATENATE("_",C1903)))</f>
        <v>WW1_TANK_ENGLAND</v>
      </c>
      <c r="B1903" s="9" t="s">
        <v>2383</v>
      </c>
      <c r="C1903" s="4" t="s">
        <v>713</v>
      </c>
      <c r="E1903" s="4" t="s">
        <v>781</v>
      </c>
      <c r="F1903" s="4" t="s">
        <v>781</v>
      </c>
      <c r="G1903" s="14" t="s">
        <v>2045</v>
      </c>
      <c r="H1903" s="4" t="s">
        <v>317</v>
      </c>
      <c r="I1903" s="4" t="s">
        <v>102</v>
      </c>
      <c r="Q1903" s="11">
        <v>1</v>
      </c>
      <c r="R1903" s="11">
        <v>0.125</v>
      </c>
      <c r="T1903" s="11">
        <v>3</v>
      </c>
      <c r="Z1903" s="11">
        <v>1</v>
      </c>
    </row>
    <row r="1904" spans="1:26" x14ac:dyDescent="0.25">
      <c r="A1904" s="161" t="str">
        <f t="shared" si="33"/>
        <v>WW1_TANK_FRANCE</v>
      </c>
      <c r="B1904" s="9" t="s">
        <v>2383</v>
      </c>
      <c r="C1904" s="4" t="s">
        <v>715</v>
      </c>
      <c r="E1904" s="4" t="s">
        <v>781</v>
      </c>
      <c r="F1904" s="4" t="s">
        <v>781</v>
      </c>
      <c r="H1904" s="4" t="s">
        <v>883</v>
      </c>
      <c r="I1904" s="4" t="s">
        <v>102</v>
      </c>
      <c r="Q1904" s="11">
        <v>1</v>
      </c>
      <c r="R1904" s="9">
        <v>0.13</v>
      </c>
      <c r="T1904" s="11">
        <v>1</v>
      </c>
      <c r="U1904" s="11">
        <v>0.11</v>
      </c>
      <c r="Z1904" s="9">
        <v>0</v>
      </c>
    </row>
    <row r="1905" spans="1:43" x14ac:dyDescent="0.25">
      <c r="A1905" s="161" t="str">
        <f t="shared" si="33"/>
        <v>WW1_TANK_FRANCE</v>
      </c>
      <c r="B1905" s="9" t="s">
        <v>2383</v>
      </c>
      <c r="C1905" s="4" t="s">
        <v>715</v>
      </c>
      <c r="E1905" s="4" t="s">
        <v>781</v>
      </c>
      <c r="F1905" s="4" t="s">
        <v>781</v>
      </c>
      <c r="G1905" s="4" t="s">
        <v>2045</v>
      </c>
      <c r="H1905" s="4" t="s">
        <v>884</v>
      </c>
      <c r="I1905" s="4" t="s">
        <v>120</v>
      </c>
      <c r="Q1905" s="11">
        <v>1</v>
      </c>
      <c r="R1905" s="9">
        <v>0.13</v>
      </c>
      <c r="T1905" s="11">
        <v>2</v>
      </c>
      <c r="U1905" s="11">
        <v>0.11</v>
      </c>
      <c r="Z1905" s="9">
        <v>1</v>
      </c>
    </row>
    <row r="1906" spans="1:43" x14ac:dyDescent="0.25">
      <c r="A1906" s="161" t="str">
        <f t="shared" si="33"/>
        <v>WW1_TANK_FRANCE</v>
      </c>
      <c r="B1906" s="9" t="s">
        <v>2383</v>
      </c>
      <c r="C1906" s="4" t="s">
        <v>715</v>
      </c>
      <c r="E1906" s="4" t="s">
        <v>781</v>
      </c>
      <c r="F1906" s="4" t="s">
        <v>781</v>
      </c>
      <c r="G1906" s="4" t="s">
        <v>2047</v>
      </c>
      <c r="H1906" s="4" t="s">
        <v>362</v>
      </c>
      <c r="I1906" s="4" t="s">
        <v>120</v>
      </c>
      <c r="Q1906" s="11">
        <v>0</v>
      </c>
      <c r="R1906" s="9">
        <v>0.13</v>
      </c>
      <c r="T1906" s="11">
        <v>1</v>
      </c>
      <c r="U1906" s="11">
        <v>0.11</v>
      </c>
      <c r="Z1906" s="9">
        <v>0</v>
      </c>
    </row>
    <row r="1907" spans="1:43" x14ac:dyDescent="0.25">
      <c r="A1907" s="161" t="str">
        <f t="shared" si="33"/>
        <v>WW1_TANK_GERMANY</v>
      </c>
      <c r="B1907" s="9" t="s">
        <v>2383</v>
      </c>
      <c r="C1907" s="4" t="s">
        <v>717</v>
      </c>
      <c r="E1907" s="4" t="s">
        <v>781</v>
      </c>
      <c r="F1907" s="4" t="s">
        <v>781</v>
      </c>
      <c r="G1907" s="14" t="s">
        <v>132</v>
      </c>
      <c r="H1907" s="4" t="s">
        <v>395</v>
      </c>
      <c r="I1907" s="4" t="s">
        <v>102</v>
      </c>
      <c r="Q1907" s="11">
        <v>1</v>
      </c>
      <c r="R1907" s="9">
        <v>0.115</v>
      </c>
      <c r="T1907" s="11">
        <v>2</v>
      </c>
      <c r="U1907" s="11">
        <v>0.97499999999999998</v>
      </c>
    </row>
    <row r="1908" spans="1:43" x14ac:dyDescent="0.25">
      <c r="A1908" s="161" t="str">
        <f t="shared" si="33"/>
        <v>WW1_TANK_GERMANY</v>
      </c>
      <c r="B1908" s="9" t="s">
        <v>2383</v>
      </c>
      <c r="C1908" s="4" t="s">
        <v>717</v>
      </c>
      <c r="E1908" s="4" t="s">
        <v>781</v>
      </c>
      <c r="F1908" s="4" t="s">
        <v>781</v>
      </c>
      <c r="G1908" s="14" t="s">
        <v>2045</v>
      </c>
      <c r="H1908" s="4" t="s">
        <v>2212</v>
      </c>
      <c r="I1908" s="4" t="s">
        <v>120</v>
      </c>
      <c r="Q1908" s="11">
        <v>1</v>
      </c>
      <c r="R1908" s="9">
        <v>0.125</v>
      </c>
      <c r="T1908" s="11">
        <v>2</v>
      </c>
      <c r="U1908" s="11">
        <v>0.105</v>
      </c>
    </row>
    <row r="1909" spans="1:43" x14ac:dyDescent="0.25">
      <c r="A1909" s="161" t="str">
        <f t="shared" si="33"/>
        <v>WW1_TANK_BRAZIL</v>
      </c>
      <c r="B1909" s="9" t="s">
        <v>2383</v>
      </c>
      <c r="C1909" s="4" t="s">
        <v>706</v>
      </c>
      <c r="E1909" s="4" t="s">
        <v>781</v>
      </c>
      <c r="F1909" s="4" t="s">
        <v>781</v>
      </c>
      <c r="G1909" s="14" t="s">
        <v>132</v>
      </c>
      <c r="H1909" s="4" t="s">
        <v>224</v>
      </c>
      <c r="I1909" s="4" t="s">
        <v>120</v>
      </c>
      <c r="R1909" s="9">
        <v>0.13</v>
      </c>
      <c r="T1909" s="11">
        <v>4</v>
      </c>
      <c r="U1909" s="11">
        <v>0.11</v>
      </c>
    </row>
    <row r="1910" spans="1:43" x14ac:dyDescent="0.25">
      <c r="A1910" s="161" t="str">
        <f t="shared" si="33"/>
        <v>WW1_TANK_GREECE</v>
      </c>
      <c r="B1910" s="9" t="s">
        <v>2383</v>
      </c>
      <c r="C1910" s="4" t="s">
        <v>718</v>
      </c>
      <c r="E1910" s="4" t="s">
        <v>781</v>
      </c>
      <c r="F1910" s="4" t="s">
        <v>781</v>
      </c>
      <c r="G1910" s="14" t="s">
        <v>132</v>
      </c>
      <c r="H1910" s="4" t="s">
        <v>416</v>
      </c>
      <c r="I1910" s="4" t="s">
        <v>102</v>
      </c>
      <c r="R1910" s="9">
        <v>0.13</v>
      </c>
      <c r="T1910" s="11">
        <v>4</v>
      </c>
      <c r="U1910" s="11">
        <v>0.11</v>
      </c>
    </row>
    <row r="1911" spans="1:43" x14ac:dyDescent="0.25">
      <c r="A1911" s="161" t="str">
        <f t="shared" si="33"/>
        <v>WW1_TANK_ROME</v>
      </c>
      <c r="B1911" s="9" t="s">
        <v>2383</v>
      </c>
      <c r="C1911" s="4" t="s">
        <v>734</v>
      </c>
      <c r="E1911" s="4" t="s">
        <v>781</v>
      </c>
      <c r="F1911" s="4" t="s">
        <v>781</v>
      </c>
      <c r="G1911" s="14" t="s">
        <v>132</v>
      </c>
      <c r="H1911" s="4" t="s">
        <v>603</v>
      </c>
      <c r="I1911" s="4" t="s">
        <v>102</v>
      </c>
      <c r="R1911" s="9">
        <v>0.13</v>
      </c>
      <c r="T1911" s="11">
        <v>4</v>
      </c>
      <c r="U1911" s="11">
        <v>0.11</v>
      </c>
    </row>
    <row r="1912" spans="1:43" x14ac:dyDescent="0.25">
      <c r="A1912" s="161" t="str">
        <f t="shared" si="33"/>
        <v>WW1_TANK_SPAIN</v>
      </c>
      <c r="B1912" s="9" t="s">
        <v>2383</v>
      </c>
      <c r="C1912" s="4" t="s">
        <v>738</v>
      </c>
      <c r="E1912" s="4" t="s">
        <v>781</v>
      </c>
      <c r="F1912" s="4" t="s">
        <v>781</v>
      </c>
      <c r="G1912" s="14" t="s">
        <v>132</v>
      </c>
      <c r="H1912" s="4" t="s">
        <v>665</v>
      </c>
      <c r="I1912" s="4" t="s">
        <v>102</v>
      </c>
      <c r="R1912" s="9">
        <v>0.13</v>
      </c>
      <c r="T1912" s="11">
        <v>4</v>
      </c>
      <c r="U1912" s="11">
        <v>0.11</v>
      </c>
    </row>
    <row r="1913" spans="1:43" x14ac:dyDescent="0.25">
      <c r="A1913" s="161" t="str">
        <f t="shared" si="33"/>
        <v>WW1_TANK_NORTHAF</v>
      </c>
      <c r="B1913" s="9" t="s">
        <v>2383</v>
      </c>
      <c r="C1913" s="4" t="s">
        <v>2009</v>
      </c>
      <c r="D1913" s="4" t="s">
        <v>715</v>
      </c>
      <c r="E1913" s="4" t="s">
        <v>781</v>
      </c>
      <c r="F1913" s="4" t="s">
        <v>781</v>
      </c>
      <c r="G1913" s="14"/>
      <c r="R1913" s="9"/>
    </row>
    <row r="1914" spans="1:43" x14ac:dyDescent="0.25">
      <c r="A1914" s="161" t="str">
        <f t="shared" si="33"/>
        <v>WW1_TANK_SWEDEN</v>
      </c>
      <c r="B1914" s="9" t="s">
        <v>2383</v>
      </c>
      <c r="C1914" s="4" t="s">
        <v>739</v>
      </c>
      <c r="E1914" s="4" t="s">
        <v>781</v>
      </c>
      <c r="F1914" s="4" t="s">
        <v>781</v>
      </c>
      <c r="G1914" s="14" t="s">
        <v>132</v>
      </c>
      <c r="H1914" s="4" t="s">
        <v>677</v>
      </c>
      <c r="I1914" s="4" t="s">
        <v>102</v>
      </c>
      <c r="R1914" s="9">
        <v>0.13</v>
      </c>
      <c r="T1914" s="11">
        <v>4</v>
      </c>
      <c r="U1914" s="11">
        <v>0.11</v>
      </c>
    </row>
    <row r="1915" spans="1:43" x14ac:dyDescent="0.25">
      <c r="A1915" s="161" t="str">
        <f t="shared" si="33"/>
        <v>WW1_TANK_SEASIA</v>
      </c>
      <c r="B1915" s="9" t="s">
        <v>2383</v>
      </c>
      <c r="C1915" s="4" t="s">
        <v>696</v>
      </c>
      <c r="D1915" s="4" t="s">
        <v>715</v>
      </c>
      <c r="E1915" s="4" t="s">
        <v>781</v>
      </c>
      <c r="F1915" s="4" t="s">
        <v>781</v>
      </c>
      <c r="G1915" s="14"/>
      <c r="R1915" s="9"/>
    </row>
    <row r="1916" spans="1:43" x14ac:dyDescent="0.25">
      <c r="A1916" s="161" t="str">
        <f t="shared" si="33"/>
        <v>WW1_TANK_SOUTHAS</v>
      </c>
      <c r="B1916" s="9" t="s">
        <v>2383</v>
      </c>
      <c r="C1916" s="4" t="s">
        <v>695</v>
      </c>
      <c r="D1916" s="4" t="s">
        <v>709</v>
      </c>
      <c r="E1916" s="4" t="s">
        <v>781</v>
      </c>
      <c r="F1916" s="4" t="s">
        <v>781</v>
      </c>
      <c r="G1916" s="14"/>
      <c r="R1916" s="9"/>
    </row>
    <row r="1917" spans="1:43" x14ac:dyDescent="0.25">
      <c r="A1917" s="161" t="str">
        <f t="shared" si="33"/>
        <v>WW2_INFANTRY</v>
      </c>
      <c r="B1917" s="9" t="s">
        <v>111</v>
      </c>
      <c r="C1917" s="5"/>
      <c r="D1917" s="5"/>
      <c r="E1917" s="5" t="s">
        <v>1391</v>
      </c>
      <c r="F1917" s="5" t="s">
        <v>1391</v>
      </c>
      <c r="G1917" s="5"/>
      <c r="H1917" s="5" t="s">
        <v>1501</v>
      </c>
      <c r="I1917" s="5" t="s">
        <v>102</v>
      </c>
      <c r="J1917" s="6"/>
      <c r="K1917" s="6"/>
      <c r="L1917" s="13" t="s">
        <v>1707</v>
      </c>
      <c r="M1917" s="8"/>
      <c r="N1917" s="5"/>
      <c r="O1917" s="5"/>
      <c r="P1917" s="5"/>
      <c r="Q1917" s="7">
        <v>14</v>
      </c>
      <c r="R1917" s="6" t="s">
        <v>1736</v>
      </c>
      <c r="S1917" s="13" t="s">
        <v>1619</v>
      </c>
      <c r="T1917" s="6">
        <v>18</v>
      </c>
      <c r="U1917" s="7" t="s">
        <v>1736</v>
      </c>
      <c r="V1917" s="5"/>
      <c r="W1917" s="6" t="s">
        <v>3</v>
      </c>
      <c r="X1917" s="6" t="s">
        <v>3</v>
      </c>
      <c r="Y1917" s="5"/>
      <c r="Z1917" s="7">
        <v>1</v>
      </c>
      <c r="AA1917" s="6"/>
      <c r="AB1917" s="5"/>
      <c r="AC1917" s="6"/>
      <c r="AD1917" s="6" t="s">
        <v>3</v>
      </c>
      <c r="AE1917" s="5"/>
      <c r="AF1917" s="6" t="s">
        <v>1736</v>
      </c>
      <c r="AG1917" s="6"/>
      <c r="AH1917" s="5"/>
      <c r="AI1917" s="6" t="s">
        <v>1736</v>
      </c>
      <c r="AJ1917" s="6"/>
      <c r="AK1917" s="5"/>
      <c r="AL1917" s="5"/>
      <c r="AM1917" s="5"/>
      <c r="AN1917" s="5"/>
      <c r="AO1917" s="5"/>
      <c r="AP1917" s="5"/>
      <c r="AQ1917" s="5"/>
    </row>
    <row r="1918" spans="1:43" x14ac:dyDescent="0.25">
      <c r="A1918" s="161" t="str">
        <f t="shared" ref="A1918:A1949" si="34">CONCATENATE(E1918,IF(ISBLANK(C1918),"",CONCATENATE("_",C1918)))</f>
        <v>WW2_INFANTRY_AFRI</v>
      </c>
      <c r="B1918" s="9" t="s">
        <v>111</v>
      </c>
      <c r="C1918" s="4" t="s">
        <v>694</v>
      </c>
      <c r="E1918" s="5" t="s">
        <v>1391</v>
      </c>
      <c r="F1918" s="5" t="s">
        <v>1391</v>
      </c>
      <c r="H1918" s="4" t="s">
        <v>324</v>
      </c>
      <c r="I1918" s="4" t="s">
        <v>1025</v>
      </c>
    </row>
    <row r="1919" spans="1:43" x14ac:dyDescent="0.25">
      <c r="A1919" s="161" t="str">
        <f t="shared" si="34"/>
        <v>WW2_INFANTRY_AMER</v>
      </c>
      <c r="B1919" s="9" t="s">
        <v>111</v>
      </c>
      <c r="C1919" s="4" t="s">
        <v>697</v>
      </c>
      <c r="E1919" s="5" t="s">
        <v>1391</v>
      </c>
      <c r="F1919" s="5" t="s">
        <v>1391</v>
      </c>
      <c r="H1919" s="4" t="s">
        <v>463</v>
      </c>
      <c r="I1919" s="4" t="s">
        <v>835</v>
      </c>
    </row>
    <row r="1920" spans="1:43" x14ac:dyDescent="0.25">
      <c r="A1920" s="161" t="str">
        <f t="shared" si="34"/>
        <v>WW2_INFANTRY_ASIA</v>
      </c>
      <c r="B1920" s="9" t="s">
        <v>111</v>
      </c>
      <c r="C1920" s="4" t="s">
        <v>693</v>
      </c>
      <c r="E1920" s="5" t="s">
        <v>1391</v>
      </c>
      <c r="F1920" s="5" t="s">
        <v>1391</v>
      </c>
      <c r="H1920" s="4" t="s">
        <v>449</v>
      </c>
      <c r="I1920" s="4" t="s">
        <v>102</v>
      </c>
    </row>
    <row r="1921" spans="1:35" x14ac:dyDescent="0.25">
      <c r="A1921" s="161" t="str">
        <f t="shared" si="34"/>
        <v>WW2_INFANTRY_CHINA</v>
      </c>
      <c r="B1921" s="9" t="s">
        <v>111</v>
      </c>
      <c r="C1921" s="4" t="s">
        <v>710</v>
      </c>
      <c r="E1921" s="5" t="s">
        <v>1391</v>
      </c>
      <c r="F1921" s="5" t="s">
        <v>1391</v>
      </c>
      <c r="G1921" s="14" t="s">
        <v>132</v>
      </c>
      <c r="H1921" s="4" t="s">
        <v>636</v>
      </c>
      <c r="I1921" s="4" t="s">
        <v>102</v>
      </c>
    </row>
    <row r="1922" spans="1:35" x14ac:dyDescent="0.25">
      <c r="A1922" s="161" t="str">
        <f t="shared" si="34"/>
        <v>WW2_INFANTRY_JAPAN</v>
      </c>
      <c r="B1922" s="9" t="s">
        <v>111</v>
      </c>
      <c r="C1922" s="4" t="s">
        <v>722</v>
      </c>
      <c r="E1922" s="5" t="s">
        <v>1391</v>
      </c>
      <c r="F1922" s="5" t="s">
        <v>1391</v>
      </c>
      <c r="H1922" s="4" t="s">
        <v>952</v>
      </c>
      <c r="I1922" s="4" t="s">
        <v>102</v>
      </c>
      <c r="Q1922" s="11">
        <v>1</v>
      </c>
      <c r="T1922" s="11">
        <v>1</v>
      </c>
      <c r="Z1922" s="11">
        <v>0</v>
      </c>
      <c r="AF1922" s="11">
        <v>1</v>
      </c>
      <c r="AI1922" s="11">
        <v>1</v>
      </c>
    </row>
    <row r="1923" spans="1:35" x14ac:dyDescent="0.25">
      <c r="A1923" s="161" t="str">
        <f t="shared" si="34"/>
        <v>WW2_INFANTRY_JAPAN</v>
      </c>
      <c r="B1923" s="9" t="s">
        <v>111</v>
      </c>
      <c r="C1923" s="4" t="s">
        <v>722</v>
      </c>
      <c r="E1923" s="5" t="s">
        <v>1391</v>
      </c>
      <c r="F1923" s="5" t="s">
        <v>1391</v>
      </c>
      <c r="G1923" s="4" t="s">
        <v>2045</v>
      </c>
      <c r="H1923" s="4" t="s">
        <v>481</v>
      </c>
      <c r="I1923" s="4" t="s">
        <v>102</v>
      </c>
      <c r="Q1923" s="11">
        <v>13</v>
      </c>
      <c r="T1923" s="11">
        <v>8</v>
      </c>
      <c r="Z1923" s="11">
        <v>1</v>
      </c>
      <c r="AF1923" s="11">
        <v>2</v>
      </c>
      <c r="AI1923" s="11">
        <v>6</v>
      </c>
    </row>
    <row r="1924" spans="1:35" x14ac:dyDescent="0.25">
      <c r="A1924" s="161" t="str">
        <f>CONCATENATE(E1924,IF(ISBLANK(C1924),"",CONCATENATE("_",C1924)))</f>
        <v>WW2_INFANTRY_JAPAN</v>
      </c>
      <c r="B1924" s="9" t="s">
        <v>111</v>
      </c>
      <c r="C1924" s="4" t="s">
        <v>722</v>
      </c>
      <c r="E1924" s="5" t="s">
        <v>1391</v>
      </c>
      <c r="F1924" s="5" t="s">
        <v>1391</v>
      </c>
      <c r="H1924" s="4" t="s">
        <v>952</v>
      </c>
      <c r="I1924" s="4" t="s">
        <v>102</v>
      </c>
      <c r="Q1924" s="11">
        <v>0</v>
      </c>
      <c r="T1924" s="11">
        <v>1</v>
      </c>
      <c r="Z1924" s="11">
        <v>0</v>
      </c>
      <c r="AF1924" s="11">
        <v>0</v>
      </c>
      <c r="AI1924" s="11">
        <v>0</v>
      </c>
    </row>
    <row r="1925" spans="1:35" x14ac:dyDescent="0.25">
      <c r="A1925" s="161" t="str">
        <f>CONCATENATE(E1925,IF(ISBLANK(C1925),"",CONCATENATE("_",C1925)))</f>
        <v>WW2_INFANTRY_JAPAN</v>
      </c>
      <c r="B1925" s="9" t="s">
        <v>111</v>
      </c>
      <c r="C1925" s="4" t="s">
        <v>722</v>
      </c>
      <c r="E1925" s="5" t="s">
        <v>1391</v>
      </c>
      <c r="F1925" s="5" t="s">
        <v>1391</v>
      </c>
      <c r="G1925" s="4" t="s">
        <v>2045</v>
      </c>
      <c r="H1925" s="4" t="s">
        <v>481</v>
      </c>
      <c r="I1925" s="4" t="s">
        <v>102</v>
      </c>
      <c r="Q1925" s="11">
        <v>0</v>
      </c>
      <c r="T1925" s="11">
        <v>8</v>
      </c>
      <c r="Z1925" s="11">
        <v>0</v>
      </c>
      <c r="AF1925" s="11">
        <v>0</v>
      </c>
      <c r="AI1925" s="11">
        <v>0</v>
      </c>
    </row>
    <row r="1926" spans="1:35" x14ac:dyDescent="0.25">
      <c r="A1926" s="161" t="str">
        <f t="shared" si="34"/>
        <v>WW2_INFANTRY_CENTAS</v>
      </c>
      <c r="B1926" s="9" t="s">
        <v>111</v>
      </c>
      <c r="C1926" s="4" t="s">
        <v>918</v>
      </c>
      <c r="E1926" s="5" t="s">
        <v>1391</v>
      </c>
      <c r="F1926" s="5" t="s">
        <v>1391</v>
      </c>
      <c r="G1926" s="14" t="s">
        <v>132</v>
      </c>
      <c r="H1926" s="4" t="s">
        <v>908</v>
      </c>
      <c r="I1926" s="4" t="s">
        <v>102</v>
      </c>
      <c r="R1926" s="11">
        <v>0.15</v>
      </c>
      <c r="U1926" s="11">
        <v>9.5000000000000001E-2</v>
      </c>
      <c r="X1926" s="11" t="s">
        <v>3</v>
      </c>
    </row>
    <row r="1927" spans="1:35" x14ac:dyDescent="0.25">
      <c r="A1927" s="161" t="str">
        <f t="shared" si="34"/>
        <v>WW2_INFANTRY_EASTEU</v>
      </c>
      <c r="B1927" s="9" t="s">
        <v>111</v>
      </c>
      <c r="C1927" s="4" t="s">
        <v>698</v>
      </c>
      <c r="E1927" s="5" t="s">
        <v>1391</v>
      </c>
      <c r="F1927" s="5" t="s">
        <v>1391</v>
      </c>
      <c r="H1927" s="4" t="s">
        <v>571</v>
      </c>
      <c r="I1927" s="4" t="s">
        <v>102</v>
      </c>
    </row>
    <row r="1928" spans="1:35" x14ac:dyDescent="0.25">
      <c r="A1928" s="161" t="str">
        <f t="shared" si="34"/>
        <v>WW2_INFANTRY_RUSSIA</v>
      </c>
      <c r="B1928" s="9" t="s">
        <v>111</v>
      </c>
      <c r="C1928" s="4" t="s">
        <v>735</v>
      </c>
      <c r="E1928" s="5" t="s">
        <v>1391</v>
      </c>
      <c r="F1928" s="5" t="s">
        <v>1391</v>
      </c>
      <c r="G1928" s="14" t="s">
        <v>132</v>
      </c>
      <c r="H1928" s="4" t="s">
        <v>614</v>
      </c>
      <c r="I1928" s="4" t="s">
        <v>102</v>
      </c>
    </row>
    <row r="1929" spans="1:35" x14ac:dyDescent="0.25">
      <c r="A1929" s="161" t="str">
        <f t="shared" si="34"/>
        <v>WW2_INFANTRY_AMERICA</v>
      </c>
      <c r="B1929" s="9" t="s">
        <v>111</v>
      </c>
      <c r="C1929" s="4" t="s">
        <v>699</v>
      </c>
      <c r="E1929" s="5" t="s">
        <v>1391</v>
      </c>
      <c r="F1929" s="5" t="s">
        <v>1391</v>
      </c>
      <c r="G1929" s="14"/>
      <c r="H1929" s="4" t="s">
        <v>140</v>
      </c>
      <c r="I1929" s="4" t="s">
        <v>102</v>
      </c>
    </row>
    <row r="1930" spans="1:35" x14ac:dyDescent="0.25">
      <c r="A1930" s="161" t="str">
        <f t="shared" si="34"/>
        <v>WW2_INFANTRY_AUSTRALIA</v>
      </c>
      <c r="B1930" s="9" t="s">
        <v>111</v>
      </c>
      <c r="C1930" s="4" t="s">
        <v>1302</v>
      </c>
      <c r="E1930" s="5" t="s">
        <v>1391</v>
      </c>
      <c r="F1930" s="5" t="s">
        <v>1391</v>
      </c>
      <c r="G1930" s="14"/>
      <c r="H1930" s="4" t="s">
        <v>2214</v>
      </c>
      <c r="I1930" s="4" t="s">
        <v>966</v>
      </c>
      <c r="Q1930" s="11">
        <v>3</v>
      </c>
      <c r="T1930" s="11">
        <v>4</v>
      </c>
      <c r="W1930" s="11" t="s">
        <v>3</v>
      </c>
      <c r="Z1930" s="11">
        <v>0</v>
      </c>
      <c r="AF1930" s="11">
        <v>1</v>
      </c>
      <c r="AI1930" s="11">
        <v>1</v>
      </c>
    </row>
    <row r="1931" spans="1:35" x14ac:dyDescent="0.25">
      <c r="A1931" s="161" t="str">
        <f t="shared" si="34"/>
        <v>WW2_INFANTRY_AUSTRALIA</v>
      </c>
      <c r="B1931" s="9" t="s">
        <v>111</v>
      </c>
      <c r="C1931" s="4" t="s">
        <v>1302</v>
      </c>
      <c r="E1931" s="5" t="s">
        <v>1391</v>
      </c>
      <c r="F1931" s="5" t="s">
        <v>1391</v>
      </c>
      <c r="G1931" s="14" t="s">
        <v>2045</v>
      </c>
      <c r="H1931" s="4" t="s">
        <v>2215</v>
      </c>
      <c r="I1931" s="4" t="s">
        <v>966</v>
      </c>
      <c r="Q1931" s="11">
        <v>4</v>
      </c>
      <c r="T1931" s="11">
        <v>5</v>
      </c>
      <c r="W1931" s="11" t="s">
        <v>3</v>
      </c>
      <c r="Z1931" s="11">
        <v>1</v>
      </c>
      <c r="AF1931" s="11">
        <v>1</v>
      </c>
      <c r="AI1931" s="11">
        <v>3</v>
      </c>
    </row>
    <row r="1932" spans="1:35" x14ac:dyDescent="0.25">
      <c r="A1932" s="161" t="str">
        <f t="shared" si="34"/>
        <v>WW2_INFANTRY_AUSTRALIA</v>
      </c>
      <c r="B1932" s="9" t="s">
        <v>111</v>
      </c>
      <c r="C1932" s="4" t="s">
        <v>1302</v>
      </c>
      <c r="E1932" s="5" t="s">
        <v>1391</v>
      </c>
      <c r="F1932" s="5" t="s">
        <v>1391</v>
      </c>
      <c r="G1932" s="14"/>
      <c r="H1932" s="4" t="s">
        <v>2214</v>
      </c>
      <c r="I1932" s="4" t="s">
        <v>966</v>
      </c>
      <c r="Q1932" s="11">
        <v>2</v>
      </c>
      <c r="T1932" s="11">
        <v>3</v>
      </c>
      <c r="W1932" s="11" t="s">
        <v>3</v>
      </c>
      <c r="Z1932" s="11">
        <v>0</v>
      </c>
      <c r="AF1932" s="11">
        <v>1</v>
      </c>
      <c r="AI1932" s="11">
        <v>1</v>
      </c>
    </row>
    <row r="1933" spans="1:35" x14ac:dyDescent="0.25">
      <c r="A1933" s="161" t="str">
        <f t="shared" si="34"/>
        <v>WW2_INFANTRY_AUSTRALIA</v>
      </c>
      <c r="B1933" s="9" t="s">
        <v>111</v>
      </c>
      <c r="C1933" s="4" t="s">
        <v>1302</v>
      </c>
      <c r="E1933" s="5" t="s">
        <v>1391</v>
      </c>
      <c r="F1933" s="5" t="s">
        <v>1391</v>
      </c>
      <c r="G1933" s="14" t="s">
        <v>2045</v>
      </c>
      <c r="H1933" s="4" t="s">
        <v>2215</v>
      </c>
      <c r="I1933" s="4" t="s">
        <v>966</v>
      </c>
      <c r="Q1933" s="11">
        <v>5</v>
      </c>
      <c r="T1933" s="11">
        <v>6</v>
      </c>
      <c r="W1933" s="11" t="s">
        <v>3</v>
      </c>
      <c r="Z1933" s="11">
        <v>0</v>
      </c>
      <c r="AF1933" s="11">
        <v>0</v>
      </c>
      <c r="AI1933" s="11">
        <v>2</v>
      </c>
    </row>
    <row r="1934" spans="1:35" x14ac:dyDescent="0.25">
      <c r="A1934" s="161" t="str">
        <f t="shared" si="34"/>
        <v>WW2_INFANTRY_AUSTRIA</v>
      </c>
      <c r="B1934" s="9" t="s">
        <v>111</v>
      </c>
      <c r="C1934" s="4" t="s">
        <v>701</v>
      </c>
      <c r="E1934" s="5" t="s">
        <v>1391</v>
      </c>
      <c r="F1934" s="5" t="s">
        <v>1391</v>
      </c>
      <c r="G1934" s="14"/>
      <c r="H1934" s="4" t="s">
        <v>180</v>
      </c>
      <c r="I1934" s="4" t="s">
        <v>102</v>
      </c>
    </row>
    <row r="1935" spans="1:35" x14ac:dyDescent="0.25">
      <c r="A1935" s="161" t="str">
        <f t="shared" si="34"/>
        <v>WW2_INFANTRY_CELTS</v>
      </c>
      <c r="B1935" s="9" t="s">
        <v>111</v>
      </c>
      <c r="C1935" s="4" t="s">
        <v>709</v>
      </c>
      <c r="D1935" s="4" t="s">
        <v>713</v>
      </c>
      <c r="E1935" s="5" t="s">
        <v>1391</v>
      </c>
      <c r="F1935" s="5" t="s">
        <v>1391</v>
      </c>
      <c r="G1935" s="14"/>
    </row>
    <row r="1936" spans="1:35" x14ac:dyDescent="0.25">
      <c r="A1936" s="161" t="str">
        <f t="shared" si="34"/>
        <v>WW2_INFANTRY_ENGLAND</v>
      </c>
      <c r="B1936" s="9" t="s">
        <v>111</v>
      </c>
      <c r="C1936" s="4" t="s">
        <v>713</v>
      </c>
      <c r="E1936" s="5" t="s">
        <v>1391</v>
      </c>
      <c r="F1936" s="5" t="s">
        <v>1391</v>
      </c>
      <c r="G1936" s="14" t="s">
        <v>132</v>
      </c>
      <c r="H1936" s="4" t="s">
        <v>300</v>
      </c>
      <c r="I1936" s="4" t="s">
        <v>102</v>
      </c>
    </row>
    <row r="1937" spans="1:43" x14ac:dyDescent="0.25">
      <c r="A1937" s="161" t="str">
        <f t="shared" si="34"/>
        <v>WW2_INFANTRY_FRANCE</v>
      </c>
      <c r="B1937" s="9" t="s">
        <v>111</v>
      </c>
      <c r="C1937" s="4" t="s">
        <v>715</v>
      </c>
      <c r="E1937" s="5" t="s">
        <v>1391</v>
      </c>
      <c r="F1937" s="5" t="s">
        <v>1391</v>
      </c>
      <c r="G1937" s="14" t="s">
        <v>132</v>
      </c>
      <c r="H1937" s="4" t="s">
        <v>346</v>
      </c>
      <c r="I1937" s="4" t="s">
        <v>102</v>
      </c>
    </row>
    <row r="1938" spans="1:43" x14ac:dyDescent="0.25">
      <c r="A1938" s="161" t="str">
        <f t="shared" si="34"/>
        <v>WW2_INFANTRY_GERMANY</v>
      </c>
      <c r="B1938" s="9" t="s">
        <v>111</v>
      </c>
      <c r="C1938" s="4" t="s">
        <v>717</v>
      </c>
      <c r="E1938" s="5" t="s">
        <v>1391</v>
      </c>
      <c r="F1938" s="5" t="s">
        <v>1391</v>
      </c>
      <c r="G1938" s="14" t="s">
        <v>132</v>
      </c>
      <c r="H1938" s="4" t="s">
        <v>377</v>
      </c>
      <c r="I1938" s="4" t="s">
        <v>102</v>
      </c>
    </row>
    <row r="1939" spans="1:43" x14ac:dyDescent="0.25">
      <c r="A1939" s="161" t="str">
        <f t="shared" si="34"/>
        <v>WW2_INFANTRY_NETHERLANDS</v>
      </c>
      <c r="B1939" s="9" t="s">
        <v>111</v>
      </c>
      <c r="C1939" s="4" t="s">
        <v>730</v>
      </c>
      <c r="E1939" s="5" t="s">
        <v>1391</v>
      </c>
      <c r="F1939" s="5" t="s">
        <v>1391</v>
      </c>
      <c r="G1939" s="14" t="s">
        <v>132</v>
      </c>
      <c r="H1939" s="4" t="s">
        <v>543</v>
      </c>
      <c r="I1939" s="4" t="s">
        <v>102</v>
      </c>
    </row>
    <row r="1940" spans="1:43" x14ac:dyDescent="0.25">
      <c r="A1940" s="161" t="str">
        <f t="shared" si="34"/>
        <v>WW2_INFANTRY_GREECE</v>
      </c>
      <c r="B1940" s="9" t="s">
        <v>111</v>
      </c>
      <c r="C1940" s="4" t="s">
        <v>718</v>
      </c>
      <c r="E1940" s="5" t="s">
        <v>1391</v>
      </c>
      <c r="F1940" s="5" t="s">
        <v>1391</v>
      </c>
      <c r="G1940" s="14" t="s">
        <v>132</v>
      </c>
      <c r="H1940" s="4" t="s">
        <v>404</v>
      </c>
      <c r="I1940" s="4" t="s">
        <v>102</v>
      </c>
    </row>
    <row r="1941" spans="1:43" x14ac:dyDescent="0.25">
      <c r="A1941" s="161" t="str">
        <f t="shared" si="34"/>
        <v>WW2_INFANTRY_ROME</v>
      </c>
      <c r="B1941" s="9" t="s">
        <v>111</v>
      </c>
      <c r="C1941" s="4" t="s">
        <v>734</v>
      </c>
      <c r="E1941" s="5" t="s">
        <v>1391</v>
      </c>
      <c r="F1941" s="5" t="s">
        <v>1391</v>
      </c>
      <c r="G1941" s="14" t="s">
        <v>132</v>
      </c>
      <c r="H1941" s="4" t="s">
        <v>590</v>
      </c>
      <c r="I1941" s="4" t="s">
        <v>102</v>
      </c>
    </row>
    <row r="1942" spans="1:43" x14ac:dyDescent="0.25">
      <c r="A1942" s="161" t="str">
        <f t="shared" si="34"/>
        <v>WW2_INFANTRY_SPAIN</v>
      </c>
      <c r="B1942" s="9" t="s">
        <v>111</v>
      </c>
      <c r="C1942" s="4" t="s">
        <v>738</v>
      </c>
      <c r="E1942" s="5" t="s">
        <v>1391</v>
      </c>
      <c r="F1942" s="5" t="s">
        <v>1391</v>
      </c>
      <c r="G1942" s="14" t="s">
        <v>132</v>
      </c>
      <c r="H1942" s="4" t="s">
        <v>654</v>
      </c>
      <c r="I1942" s="4" t="s">
        <v>102</v>
      </c>
    </row>
    <row r="1943" spans="1:43" x14ac:dyDescent="0.25">
      <c r="A1943" s="161" t="str">
        <f t="shared" si="34"/>
        <v>WW2_INFANTRY_SWEDEN</v>
      </c>
      <c r="B1943" s="9" t="s">
        <v>111</v>
      </c>
      <c r="C1943" s="4" t="s">
        <v>739</v>
      </c>
      <c r="E1943" s="5" t="s">
        <v>1391</v>
      </c>
      <c r="F1943" s="5" t="s">
        <v>1391</v>
      </c>
      <c r="G1943" s="14" t="s">
        <v>132</v>
      </c>
      <c r="H1943" s="4" t="s">
        <v>672</v>
      </c>
      <c r="I1943" s="4" t="s">
        <v>102</v>
      </c>
    </row>
    <row r="1944" spans="1:43" x14ac:dyDescent="0.25">
      <c r="A1944" s="161" t="str">
        <f t="shared" si="34"/>
        <v>WW2_INFANTRY_SAHUL</v>
      </c>
      <c r="B1944" s="9" t="s">
        <v>111</v>
      </c>
      <c r="C1944" s="4" t="s">
        <v>1787</v>
      </c>
      <c r="E1944" s="5" t="s">
        <v>1391</v>
      </c>
      <c r="F1944" s="5" t="s">
        <v>1391</v>
      </c>
      <c r="G1944" s="14"/>
      <c r="H1944" s="4" t="s">
        <v>2213</v>
      </c>
      <c r="I1944" s="4" t="s">
        <v>966</v>
      </c>
      <c r="Q1944" s="11">
        <v>3</v>
      </c>
      <c r="T1944" s="11">
        <v>4</v>
      </c>
      <c r="W1944" s="11" t="s">
        <v>3</v>
      </c>
      <c r="Z1944" s="11">
        <v>0</v>
      </c>
      <c r="AF1944" s="11">
        <v>1</v>
      </c>
      <c r="AI1944" s="11">
        <v>1</v>
      </c>
    </row>
    <row r="1945" spans="1:43" x14ac:dyDescent="0.25">
      <c r="A1945" s="161" t="str">
        <f t="shared" si="34"/>
        <v>WW2_INFANTRY_SAHUL</v>
      </c>
      <c r="B1945" s="9" t="s">
        <v>111</v>
      </c>
      <c r="C1945" s="4" t="s">
        <v>1787</v>
      </c>
      <c r="E1945" s="5" t="s">
        <v>1391</v>
      </c>
      <c r="F1945" s="5" t="s">
        <v>1391</v>
      </c>
      <c r="G1945" s="14" t="s">
        <v>2045</v>
      </c>
      <c r="H1945" s="4" t="s">
        <v>2216</v>
      </c>
      <c r="I1945" s="4" t="s">
        <v>966</v>
      </c>
      <c r="Q1945" s="11">
        <v>4</v>
      </c>
      <c r="T1945" s="11">
        <v>5</v>
      </c>
      <c r="W1945" s="11" t="s">
        <v>3</v>
      </c>
      <c r="Z1945" s="11">
        <v>1</v>
      </c>
      <c r="AF1945" s="11">
        <v>1</v>
      </c>
      <c r="AI1945" s="11">
        <v>3</v>
      </c>
    </row>
    <row r="1946" spans="1:43" x14ac:dyDescent="0.25">
      <c r="A1946" s="161" t="str">
        <f t="shared" si="34"/>
        <v>WW2_INFANTRY_SAHUL</v>
      </c>
      <c r="B1946" s="9" t="s">
        <v>111</v>
      </c>
      <c r="C1946" s="4" t="s">
        <v>1787</v>
      </c>
      <c r="E1946" s="5" t="s">
        <v>1391</v>
      </c>
      <c r="F1946" s="5" t="s">
        <v>1391</v>
      </c>
      <c r="G1946" s="14"/>
      <c r="H1946" s="4" t="s">
        <v>2213</v>
      </c>
      <c r="I1946" s="4" t="s">
        <v>966</v>
      </c>
      <c r="Q1946" s="11">
        <v>2</v>
      </c>
      <c r="T1946" s="11">
        <v>3</v>
      </c>
      <c r="W1946" s="11" t="s">
        <v>3</v>
      </c>
      <c r="Z1946" s="11">
        <v>0</v>
      </c>
      <c r="AF1946" s="11">
        <v>1</v>
      </c>
      <c r="AI1946" s="11">
        <v>1</v>
      </c>
    </row>
    <row r="1947" spans="1:43" x14ac:dyDescent="0.25">
      <c r="A1947" s="161" t="str">
        <f t="shared" si="34"/>
        <v>WW2_INFANTRY_SAHUL</v>
      </c>
      <c r="B1947" s="9" t="s">
        <v>111</v>
      </c>
      <c r="C1947" s="4" t="s">
        <v>1787</v>
      </c>
      <c r="E1947" s="5" t="s">
        <v>1391</v>
      </c>
      <c r="F1947" s="5" t="s">
        <v>1391</v>
      </c>
      <c r="G1947" s="14" t="s">
        <v>2045</v>
      </c>
      <c r="H1947" s="4" t="s">
        <v>2216</v>
      </c>
      <c r="I1947" s="4" t="s">
        <v>966</v>
      </c>
      <c r="Q1947" s="11">
        <v>5</v>
      </c>
      <c r="T1947" s="11">
        <v>6</v>
      </c>
      <c r="W1947" s="11" t="s">
        <v>3</v>
      </c>
      <c r="Z1947" s="11">
        <v>0</v>
      </c>
      <c r="AF1947" s="11">
        <v>0</v>
      </c>
      <c r="AI1947" s="11">
        <v>2</v>
      </c>
    </row>
    <row r="1948" spans="1:43" x14ac:dyDescent="0.25">
      <c r="A1948" s="161" t="str">
        <f t="shared" si="34"/>
        <v>WW2_INFANTRY_SEASIA</v>
      </c>
      <c r="B1948" s="9" t="s">
        <v>111</v>
      </c>
      <c r="C1948" s="4" t="s">
        <v>696</v>
      </c>
      <c r="D1948" s="4" t="s">
        <v>693</v>
      </c>
      <c r="E1948" s="5" t="s">
        <v>1391</v>
      </c>
      <c r="F1948" s="5" t="s">
        <v>1391</v>
      </c>
    </row>
    <row r="1949" spans="1:43" x14ac:dyDescent="0.25">
      <c r="A1949" s="161" t="str">
        <f t="shared" si="34"/>
        <v>WW2_INFANTRY_SIAM</v>
      </c>
      <c r="B1949" s="9" t="s">
        <v>111</v>
      </c>
      <c r="C1949" s="4" t="s">
        <v>736</v>
      </c>
      <c r="E1949" s="5" t="s">
        <v>1391</v>
      </c>
      <c r="F1949" s="5" t="s">
        <v>1391</v>
      </c>
      <c r="G1949" s="14" t="s">
        <v>132</v>
      </c>
      <c r="H1949" s="4" t="s">
        <v>249</v>
      </c>
      <c r="I1949" s="4" t="s">
        <v>102</v>
      </c>
    </row>
    <row r="1950" spans="1:43" x14ac:dyDescent="0.25">
      <c r="A1950" s="161" t="str">
        <f t="shared" ref="A1950:A1970" si="35">CONCATENATE(E1950,IF(ISBLANK(C1950),"",CONCATENATE("_",C1950)))</f>
        <v>XCOM_SQUAD</v>
      </c>
      <c r="B1950" s="9" t="s">
        <v>782</v>
      </c>
      <c r="C1950" s="5"/>
      <c r="D1950" s="5"/>
      <c r="E1950" s="5" t="s">
        <v>782</v>
      </c>
      <c r="F1950" s="5" t="s">
        <v>782</v>
      </c>
      <c r="G1950" s="5"/>
      <c r="H1950" s="5" t="s">
        <v>1542</v>
      </c>
      <c r="I1950" s="5" t="s">
        <v>128</v>
      </c>
      <c r="J1950" s="6"/>
      <c r="K1950" s="6"/>
      <c r="L1950" s="13" t="s">
        <v>1707</v>
      </c>
      <c r="M1950" s="8"/>
      <c r="N1950" s="5"/>
      <c r="O1950" s="5"/>
      <c r="P1950" s="5"/>
      <c r="Q1950" s="7">
        <v>6</v>
      </c>
      <c r="R1950" s="6" t="s">
        <v>1736</v>
      </c>
      <c r="S1950" s="13" t="s">
        <v>1613</v>
      </c>
      <c r="T1950" s="6">
        <v>10</v>
      </c>
      <c r="U1950" s="7" t="s">
        <v>1694</v>
      </c>
      <c r="V1950" s="5"/>
      <c r="W1950" s="7" t="s">
        <v>3</v>
      </c>
      <c r="X1950" s="6" t="s">
        <v>3</v>
      </c>
      <c r="Y1950" s="5"/>
      <c r="Z1950" s="7">
        <v>1</v>
      </c>
      <c r="AA1950" s="6"/>
      <c r="AB1950" s="5"/>
      <c r="AC1950" s="6"/>
      <c r="AD1950" s="6" t="s">
        <v>3</v>
      </c>
      <c r="AE1950" s="5"/>
      <c r="AF1950" s="6">
        <v>2</v>
      </c>
      <c r="AG1950" s="6"/>
      <c r="AH1950" s="5"/>
      <c r="AI1950" s="6">
        <v>5</v>
      </c>
      <c r="AJ1950" s="6"/>
      <c r="AK1950" s="5"/>
      <c r="AL1950" s="5"/>
      <c r="AM1950" s="5"/>
      <c r="AN1950" s="5"/>
      <c r="AO1950" s="5"/>
      <c r="AP1950" s="5"/>
      <c r="AQ1950" s="5"/>
    </row>
    <row r="1951" spans="1:43" x14ac:dyDescent="0.25">
      <c r="A1951" s="161" t="str">
        <f t="shared" si="35"/>
        <v>XP_PRIVATEER</v>
      </c>
      <c r="B1951" s="9" t="s">
        <v>1364</v>
      </c>
      <c r="C1951" s="5"/>
      <c r="D1951" s="5"/>
      <c r="E1951" s="5" t="s">
        <v>783</v>
      </c>
      <c r="F1951" s="5" t="s">
        <v>783</v>
      </c>
      <c r="G1951" s="5"/>
      <c r="H1951" s="5" t="s">
        <v>1161</v>
      </c>
      <c r="I1951" s="5" t="s">
        <v>128</v>
      </c>
      <c r="J1951" s="6"/>
      <c r="K1951" s="7"/>
      <c r="L1951" s="13" t="s">
        <v>1711</v>
      </c>
      <c r="M1951" s="8"/>
      <c r="N1951" s="13" t="s">
        <v>1726</v>
      </c>
      <c r="O1951" s="13"/>
      <c r="P1951" s="13"/>
      <c r="Q1951" s="7">
        <v>1</v>
      </c>
      <c r="R1951" s="6" t="s">
        <v>1736</v>
      </c>
      <c r="S1951" s="5"/>
      <c r="T1951" s="6"/>
      <c r="U1951" s="7" t="s">
        <v>1736</v>
      </c>
      <c r="V1951" s="5"/>
      <c r="W1951" s="6"/>
      <c r="X1951" s="6"/>
      <c r="Y1951" s="5"/>
      <c r="Z1951" s="6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x14ac:dyDescent="0.25">
      <c r="A1952" s="161" t="str">
        <f t="shared" si="35"/>
        <v>AUTOCHTHON</v>
      </c>
      <c r="B1952" s="9" t="s">
        <v>2518</v>
      </c>
      <c r="C1952" s="5"/>
      <c r="D1952" s="5"/>
      <c r="E1952" s="5" t="s">
        <v>2518</v>
      </c>
      <c r="F1952" s="5" t="s">
        <v>2518</v>
      </c>
      <c r="G1952" s="5"/>
      <c r="H1952" s="5" t="s">
        <v>2085</v>
      </c>
      <c r="I1952" s="5" t="s">
        <v>1025</v>
      </c>
      <c r="J1952" s="6"/>
      <c r="K1952" s="7">
        <v>1</v>
      </c>
      <c r="L1952" s="13"/>
      <c r="M1952" s="8"/>
      <c r="N1952" s="13"/>
      <c r="O1952" s="13"/>
      <c r="P1952" s="13"/>
      <c r="Q1952" s="7">
        <v>6</v>
      </c>
      <c r="R1952" s="6">
        <v>0.13500000000000001</v>
      </c>
      <c r="S1952" s="5" t="s">
        <v>20</v>
      </c>
      <c r="T1952" s="6">
        <v>10</v>
      </c>
      <c r="U1952" s="7" t="s">
        <v>1736</v>
      </c>
      <c r="V1952" s="5"/>
      <c r="W1952" s="6"/>
      <c r="X1952" s="6"/>
      <c r="Y1952" s="5"/>
      <c r="Z1952" s="6">
        <v>1</v>
      </c>
      <c r="AA1952" s="6"/>
      <c r="AB1952" s="5"/>
      <c r="AC1952" s="6"/>
      <c r="AD1952" s="6"/>
      <c r="AE1952" s="5"/>
      <c r="AF1952" s="6">
        <v>2</v>
      </c>
      <c r="AG1952" s="6"/>
      <c r="AH1952" s="5"/>
      <c r="AI1952" s="6">
        <v>5</v>
      </c>
      <c r="AJ1952" s="6"/>
      <c r="AK1952" s="5"/>
      <c r="AL1952" s="5"/>
      <c r="AM1952" s="5"/>
      <c r="AN1952" s="5"/>
      <c r="AO1952" s="5"/>
      <c r="AP1952" s="5"/>
      <c r="AQ1952" s="5"/>
    </row>
    <row r="1953" spans="1:43" x14ac:dyDescent="0.25">
      <c r="A1953" s="161" t="str">
        <f t="shared" si="35"/>
        <v>AUTOCHTHON_ED</v>
      </c>
      <c r="B1953" s="9" t="s">
        <v>2518</v>
      </c>
      <c r="C1953" s="5"/>
      <c r="D1953" s="5"/>
      <c r="E1953" s="5" t="s">
        <v>2683</v>
      </c>
      <c r="F1953" s="5" t="s">
        <v>2683</v>
      </c>
      <c r="G1953" s="5"/>
      <c r="H1953" s="5" t="s">
        <v>2689</v>
      </c>
      <c r="I1953" s="5" t="s">
        <v>1025</v>
      </c>
      <c r="J1953" s="6"/>
      <c r="K1953" s="7">
        <v>1</v>
      </c>
      <c r="L1953" s="13"/>
      <c r="M1953" s="8"/>
      <c r="N1953" s="13"/>
      <c r="O1953" s="13"/>
      <c r="P1953" s="13"/>
      <c r="Q1953" s="7"/>
      <c r="R1953" s="6"/>
      <c r="S1953" s="5"/>
      <c r="T1953" s="6"/>
      <c r="U1953" s="7"/>
      <c r="V1953" s="5"/>
      <c r="W1953" s="6"/>
      <c r="X1953" s="6"/>
      <c r="Y1953" s="5"/>
      <c r="Z1953" s="6"/>
      <c r="AA1953" s="6"/>
      <c r="AB1953" s="5"/>
      <c r="AC1953" s="6"/>
      <c r="AD1953" s="6"/>
      <c r="AE1953" s="5"/>
      <c r="AF1953" s="6"/>
      <c r="AG1953" s="6"/>
      <c r="AH1953" s="5"/>
      <c r="AI1953" s="6"/>
      <c r="AJ1953" s="6"/>
      <c r="AK1953" s="5"/>
      <c r="AL1953" s="5"/>
      <c r="AM1953" s="5"/>
      <c r="AN1953" s="5"/>
      <c r="AO1953" s="5"/>
      <c r="AP1953" s="5"/>
      <c r="AQ1953" s="5"/>
    </row>
    <row r="1954" spans="1:43" x14ac:dyDescent="0.25">
      <c r="A1954" s="161" t="str">
        <f t="shared" si="35"/>
        <v>AUTOCHTHON_ED_AMER</v>
      </c>
      <c r="B1954" s="9" t="s">
        <v>2518</v>
      </c>
      <c r="C1954" s="4" t="s">
        <v>697</v>
      </c>
      <c r="E1954" s="4" t="s">
        <v>2683</v>
      </c>
      <c r="F1954" s="4" t="s">
        <v>2683</v>
      </c>
      <c r="H1954" s="4" t="s">
        <v>2690</v>
      </c>
      <c r="I1954" s="4" t="s">
        <v>1025</v>
      </c>
      <c r="K1954" s="7">
        <v>1</v>
      </c>
      <c r="Q1954" s="9"/>
      <c r="Z1954" s="9"/>
      <c r="AJ1954" s="6"/>
      <c r="AK1954" s="5"/>
      <c r="AL1954" s="5"/>
      <c r="AM1954" s="5"/>
      <c r="AN1954" s="5"/>
      <c r="AO1954" s="5"/>
      <c r="AP1954" s="5"/>
      <c r="AQ1954" s="5"/>
    </row>
    <row r="1955" spans="1:43" x14ac:dyDescent="0.25">
      <c r="A1955" s="161" t="str">
        <f t="shared" si="35"/>
        <v>AUTOCHTHON_ED_ASIA</v>
      </c>
      <c r="B1955" s="9" t="s">
        <v>2518</v>
      </c>
      <c r="C1955" s="4" t="s">
        <v>693</v>
      </c>
      <c r="E1955" s="4" t="s">
        <v>2683</v>
      </c>
      <c r="F1955" s="4" t="s">
        <v>2683</v>
      </c>
      <c r="H1955" s="4" t="s">
        <v>2691</v>
      </c>
      <c r="I1955" s="4" t="s">
        <v>1025</v>
      </c>
      <c r="K1955" s="7">
        <v>1</v>
      </c>
      <c r="Q1955" s="9"/>
      <c r="Z1955" s="9"/>
      <c r="AJ1955" s="6"/>
      <c r="AK1955" s="5"/>
      <c r="AL1955" s="5"/>
      <c r="AM1955" s="5"/>
      <c r="AN1955" s="5"/>
      <c r="AO1955" s="5"/>
      <c r="AP1955" s="5"/>
      <c r="AQ1955" s="5"/>
    </row>
    <row r="1956" spans="1:43" x14ac:dyDescent="0.25">
      <c r="A1956" s="161" t="str">
        <f t="shared" si="35"/>
        <v>AUTOCHTHON_ED_JAPAN</v>
      </c>
      <c r="B1956" s="9" t="s">
        <v>2518</v>
      </c>
      <c r="C1956" s="4" t="s">
        <v>722</v>
      </c>
      <c r="E1956" s="4" t="s">
        <v>2683</v>
      </c>
      <c r="F1956" s="4" t="s">
        <v>2683</v>
      </c>
      <c r="H1956" s="4" t="s">
        <v>2692</v>
      </c>
      <c r="I1956" s="4" t="s">
        <v>1025</v>
      </c>
      <c r="K1956" s="7">
        <v>1</v>
      </c>
      <c r="Q1956" s="9"/>
      <c r="Z1956" s="9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5"/>
        <v>AUTOCHTHON_ED_KOREA</v>
      </c>
      <c r="B1957" s="9" t="s">
        <v>2518</v>
      </c>
      <c r="C1957" s="4" t="s">
        <v>723</v>
      </c>
      <c r="D1957" s="4" t="s">
        <v>722</v>
      </c>
      <c r="E1957" s="4" t="s">
        <v>2683</v>
      </c>
      <c r="F1957" s="4" t="s">
        <v>2683</v>
      </c>
      <c r="K1957" s="7">
        <v>1</v>
      </c>
      <c r="Q1957" s="9"/>
      <c r="Z1957" s="9"/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5"/>
        <v>AUTOCHTHON_ED_CENTAS</v>
      </c>
      <c r="B1958" s="9" t="s">
        <v>2518</v>
      </c>
      <c r="C1958" s="4" t="s">
        <v>918</v>
      </c>
      <c r="D1958" s="4" t="s">
        <v>698</v>
      </c>
      <c r="E1958" s="4" t="s">
        <v>2683</v>
      </c>
      <c r="F1958" s="4" t="s">
        <v>2683</v>
      </c>
      <c r="K1958" s="7"/>
      <c r="Q1958" s="9"/>
      <c r="Z1958" s="9"/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5"/>
        <v>AUTOCHTHON_ED_EASTEU</v>
      </c>
      <c r="B1959" s="9" t="s">
        <v>2518</v>
      </c>
      <c r="C1959" s="4" t="s">
        <v>698</v>
      </c>
      <c r="E1959" s="4" t="s">
        <v>2683</v>
      </c>
      <c r="F1959" s="4" t="s">
        <v>2683</v>
      </c>
      <c r="H1959" s="4" t="s">
        <v>2694</v>
      </c>
      <c r="I1959" s="4" t="s">
        <v>1025</v>
      </c>
      <c r="K1959" s="7">
        <v>1</v>
      </c>
      <c r="Q1959" s="9"/>
      <c r="Z1959" s="9"/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5"/>
        <v>AUTOCHTHON_ED_EURO</v>
      </c>
      <c r="B1960" s="9" t="s">
        <v>2518</v>
      </c>
      <c r="C1960" s="4" t="s">
        <v>689</v>
      </c>
      <c r="E1960" s="4" t="s">
        <v>2683</v>
      </c>
      <c r="F1960" s="4" t="s">
        <v>2683</v>
      </c>
      <c r="H1960" s="4" t="s">
        <v>2696</v>
      </c>
      <c r="I1960" s="4" t="s">
        <v>1025</v>
      </c>
      <c r="K1960" s="7">
        <v>1</v>
      </c>
      <c r="Q1960" s="9"/>
      <c r="Z1960" s="9"/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5"/>
        <v>AUTOCHTHON_ED_AUSTRIA</v>
      </c>
      <c r="B1961" s="9" t="s">
        <v>2518</v>
      </c>
      <c r="C1961" s="4" t="s">
        <v>701</v>
      </c>
      <c r="D1961" s="4" t="s">
        <v>717</v>
      </c>
      <c r="E1961" s="4" t="s">
        <v>2683</v>
      </c>
      <c r="F1961" s="4" t="s">
        <v>2683</v>
      </c>
      <c r="K1961" s="7"/>
      <c r="Q1961" s="9"/>
      <c r="Z1961" s="9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35"/>
        <v>AUTOCHTHON_ED_CELTS</v>
      </c>
      <c r="B1962" s="9" t="s">
        <v>2518</v>
      </c>
      <c r="C1962" s="4" t="s">
        <v>709</v>
      </c>
      <c r="D1962" s="4" t="s">
        <v>717</v>
      </c>
      <c r="E1962" s="4" t="s">
        <v>2683</v>
      </c>
      <c r="F1962" s="4" t="s">
        <v>2683</v>
      </c>
      <c r="K1962" s="7">
        <v>1</v>
      </c>
      <c r="Q1962" s="9"/>
      <c r="Z1962" s="9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35"/>
        <v>AUTOCHTHON_ED_ENGLAND</v>
      </c>
      <c r="B1963" s="9" t="s">
        <v>2518</v>
      </c>
      <c r="C1963" s="4" t="s">
        <v>713</v>
      </c>
      <c r="D1963" s="4" t="s">
        <v>717</v>
      </c>
      <c r="E1963" s="4" t="s">
        <v>2683</v>
      </c>
      <c r="F1963" s="4" t="s">
        <v>2683</v>
      </c>
      <c r="K1963" s="7">
        <v>1</v>
      </c>
      <c r="Q1963" s="9"/>
      <c r="Z1963" s="9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5"/>
        <v>AUTOCHTHON_ED_GERMANY</v>
      </c>
      <c r="B1964" s="9" t="s">
        <v>2518</v>
      </c>
      <c r="C1964" s="4" t="s">
        <v>717</v>
      </c>
      <c r="E1964" s="4" t="s">
        <v>2683</v>
      </c>
      <c r="F1964" s="4" t="s">
        <v>2683</v>
      </c>
      <c r="H1964" s="4" t="s">
        <v>2693</v>
      </c>
      <c r="I1964" s="4" t="s">
        <v>1025</v>
      </c>
      <c r="K1964" s="7">
        <v>1</v>
      </c>
      <c r="Q1964" s="9"/>
      <c r="Z1964" s="9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5"/>
        <v>AUTOCHTHON_ED_MED</v>
      </c>
      <c r="B1965" s="9" t="s">
        <v>2518</v>
      </c>
      <c r="C1965" s="4" t="s">
        <v>692</v>
      </c>
      <c r="E1965" s="4" t="s">
        <v>2683</v>
      </c>
      <c r="F1965" s="4" t="s">
        <v>2683</v>
      </c>
      <c r="H1965" s="4" t="s">
        <v>2695</v>
      </c>
      <c r="I1965" s="4" t="s">
        <v>1025</v>
      </c>
      <c r="K1965" s="7">
        <v>1</v>
      </c>
      <c r="Q1965" s="9"/>
      <c r="Z1965" s="9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5"/>
        <v>AUTOCHTHON_ED_MIDEAST</v>
      </c>
      <c r="B1966" s="9" t="s">
        <v>2518</v>
      </c>
      <c r="C1966" s="4" t="s">
        <v>690</v>
      </c>
      <c r="E1966" s="4" t="s">
        <v>2683</v>
      </c>
      <c r="F1966" s="4" t="s">
        <v>2683</v>
      </c>
      <c r="H1966" s="4" t="s">
        <v>2697</v>
      </c>
      <c r="I1966" s="4" t="s">
        <v>1025</v>
      </c>
      <c r="K1966" s="7">
        <v>1</v>
      </c>
      <c r="Q1966" s="9"/>
      <c r="Z1966" s="9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5"/>
        <v>AUTOCHTHON_ED_NORTHEU</v>
      </c>
      <c r="B1967" s="9" t="s">
        <v>2518</v>
      </c>
      <c r="C1967" s="4" t="s">
        <v>962</v>
      </c>
      <c r="E1967" s="4" t="s">
        <v>2683</v>
      </c>
      <c r="F1967" s="4" t="s">
        <v>2683</v>
      </c>
      <c r="H1967" s="4" t="s">
        <v>2698</v>
      </c>
      <c r="I1967" s="4" t="s">
        <v>1025</v>
      </c>
      <c r="K1967" s="7">
        <v>1</v>
      </c>
      <c r="Q1967" s="9"/>
      <c r="Z1967" s="9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5"/>
        <v>AUTOCHTHON_ED_SEASIA</v>
      </c>
      <c r="B1968" s="9" t="s">
        <v>2518</v>
      </c>
      <c r="C1968" s="4" t="s">
        <v>696</v>
      </c>
      <c r="D1968" s="4" t="s">
        <v>693</v>
      </c>
      <c r="E1968" s="4" t="s">
        <v>2683</v>
      </c>
      <c r="F1968" s="4" t="s">
        <v>2683</v>
      </c>
      <c r="K1968" s="7"/>
      <c r="Q1968" s="9"/>
      <c r="Z1968" s="9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5"/>
        <v>AUTOCHTHON_ED_SOUTHAM</v>
      </c>
      <c r="B1969" s="9" t="s">
        <v>2518</v>
      </c>
      <c r="C1969" s="4" t="s">
        <v>691</v>
      </c>
      <c r="D1969" s="4" t="s">
        <v>697</v>
      </c>
      <c r="E1969" s="4" t="s">
        <v>2683</v>
      </c>
      <c r="F1969" s="4" t="s">
        <v>2683</v>
      </c>
      <c r="K1969" s="7">
        <v>1</v>
      </c>
      <c r="Q1969" s="9"/>
      <c r="Z1969" s="9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5"/>
        <v>AUTOCHTHON_ED_SOUTHAS</v>
      </c>
      <c r="B1970" s="9" t="s">
        <v>2518</v>
      </c>
      <c r="C1970" s="4" t="s">
        <v>695</v>
      </c>
      <c r="E1970" s="4" t="s">
        <v>2683</v>
      </c>
      <c r="F1970" s="4" t="s">
        <v>2683</v>
      </c>
      <c r="H1970" s="4" t="s">
        <v>2699</v>
      </c>
      <c r="I1970" s="4" t="s">
        <v>1025</v>
      </c>
      <c r="K1970" s="7">
        <v>1</v>
      </c>
      <c r="Q1970" s="9"/>
      <c r="Z1970" s="9"/>
      <c r="AJ1970" s="6"/>
      <c r="AK1970" s="5"/>
      <c r="AL1970" s="5"/>
      <c r="AM1970" s="5"/>
      <c r="AN1970" s="5"/>
      <c r="AO1970" s="5"/>
      <c r="AP1970" s="5"/>
      <c r="AQ1970" s="5"/>
    </row>
    <row r="1971" spans="1:43" s="2" customFormat="1" x14ac:dyDescent="0.25">
      <c r="A1971" s="161" t="str">
        <f t="shared" ref="A1971:A2035" si="36">CONCATENATE(E1971,IF(ISBLANK(C1971),"",CONCATENATE("_",C1971)))</f>
        <v>CAVEMAN</v>
      </c>
      <c r="B1971" s="9" t="s">
        <v>2520</v>
      </c>
      <c r="C1971" s="5"/>
      <c r="D1971" s="5"/>
      <c r="E1971" s="5" t="s">
        <v>2520</v>
      </c>
      <c r="F1971" s="5" t="s">
        <v>2520</v>
      </c>
      <c r="G1971" s="5"/>
      <c r="H1971" s="5" t="s">
        <v>1404</v>
      </c>
      <c r="I1971" s="5" t="s">
        <v>128</v>
      </c>
      <c r="J1971" s="6"/>
      <c r="K1971" s="7">
        <v>1</v>
      </c>
      <c r="L1971" s="13" t="s">
        <v>1717</v>
      </c>
      <c r="M1971" s="8"/>
      <c r="N1971" s="5"/>
      <c r="O1971" s="5"/>
      <c r="P1971" s="5"/>
      <c r="Q1971" s="6">
        <v>2</v>
      </c>
      <c r="R1971" s="6" t="s">
        <v>1736</v>
      </c>
      <c r="S1971" s="13" t="s">
        <v>46</v>
      </c>
      <c r="T1971" s="6">
        <v>2</v>
      </c>
      <c r="U1971" s="7" t="s">
        <v>1736</v>
      </c>
      <c r="V1971" s="5"/>
      <c r="W1971" s="7">
        <v>3</v>
      </c>
      <c r="X1971" s="6" t="s">
        <v>3</v>
      </c>
      <c r="Y1971" s="5"/>
      <c r="Z1971" s="7">
        <v>1</v>
      </c>
      <c r="AA1971" s="6"/>
      <c r="AB1971" s="5"/>
      <c r="AC1971" s="6"/>
      <c r="AD1971" s="6" t="s">
        <v>3</v>
      </c>
      <c r="AE1971" s="5"/>
      <c r="AF1971" s="6">
        <v>1</v>
      </c>
      <c r="AG1971" s="6"/>
      <c r="AH1971" s="5"/>
      <c r="AI1971" s="6">
        <v>1</v>
      </c>
      <c r="AJ1971" s="6"/>
      <c r="AK1971" s="5"/>
      <c r="AL1971" s="5"/>
      <c r="AM1971" s="5"/>
      <c r="AN1971" s="5"/>
      <c r="AO1971" s="5"/>
      <c r="AP1971" s="5"/>
      <c r="AQ1971" s="5"/>
    </row>
    <row r="1972" spans="1:43" s="2" customFormat="1" x14ac:dyDescent="0.25">
      <c r="A1972" s="161" t="str">
        <f t="shared" si="36"/>
        <v>CAVEMAN</v>
      </c>
      <c r="B1972" s="9" t="s">
        <v>2520</v>
      </c>
      <c r="C1972" s="5"/>
      <c r="D1972" s="5"/>
      <c r="E1972" s="5" t="s">
        <v>2520</v>
      </c>
      <c r="F1972" s="5" t="s">
        <v>2520</v>
      </c>
      <c r="G1972" s="5" t="s">
        <v>2045</v>
      </c>
      <c r="H1972" s="5" t="s">
        <v>1405</v>
      </c>
      <c r="I1972" s="5" t="s">
        <v>128</v>
      </c>
      <c r="J1972" s="6"/>
      <c r="K1972" s="7">
        <v>1</v>
      </c>
      <c r="L1972" s="13" t="s">
        <v>1717</v>
      </c>
      <c r="M1972" s="8"/>
      <c r="N1972" s="5"/>
      <c r="O1972" s="5"/>
      <c r="P1972" s="5"/>
      <c r="Q1972" s="6">
        <v>4</v>
      </c>
      <c r="R1972" s="6" t="s">
        <v>1736</v>
      </c>
      <c r="S1972" s="13" t="s">
        <v>46</v>
      </c>
      <c r="T1972" s="6">
        <v>1</v>
      </c>
      <c r="U1972" s="7" t="s">
        <v>1736</v>
      </c>
      <c r="V1972" s="5"/>
      <c r="W1972" s="7">
        <v>3</v>
      </c>
      <c r="X1972" s="6" t="s">
        <v>3</v>
      </c>
      <c r="Y1972" s="5"/>
      <c r="Z1972" s="7">
        <v>0</v>
      </c>
      <c r="AA1972" s="6"/>
      <c r="AB1972" s="5"/>
      <c r="AC1972" s="6"/>
      <c r="AD1972" s="6" t="s">
        <v>3</v>
      </c>
      <c r="AE1972" s="5"/>
      <c r="AF1972" s="6">
        <v>1</v>
      </c>
      <c r="AG1972" s="6"/>
      <c r="AH1972" s="5"/>
      <c r="AI1972" s="6">
        <v>1</v>
      </c>
      <c r="AJ1972" s="6"/>
      <c r="AK1972" s="5"/>
      <c r="AL1972" s="5"/>
      <c r="AM1972" s="5"/>
      <c r="AN1972" s="5"/>
      <c r="AO1972" s="5"/>
      <c r="AP1972" s="5"/>
      <c r="AQ1972" s="5"/>
    </row>
    <row r="1973" spans="1:43" s="2" customFormat="1" x14ac:dyDescent="0.25">
      <c r="A1973" s="161" t="str">
        <f t="shared" si="36"/>
        <v>CAVEMAN</v>
      </c>
      <c r="B1973" s="9" t="s">
        <v>2520</v>
      </c>
      <c r="C1973" s="5"/>
      <c r="D1973" s="5"/>
      <c r="E1973" s="5" t="s">
        <v>2520</v>
      </c>
      <c r="F1973" s="5" t="s">
        <v>2520</v>
      </c>
      <c r="G1973" s="5" t="s">
        <v>2047</v>
      </c>
      <c r="H1973" s="5" t="s">
        <v>1406</v>
      </c>
      <c r="I1973" s="5" t="s">
        <v>128</v>
      </c>
      <c r="J1973" s="6"/>
      <c r="K1973" s="7">
        <v>1</v>
      </c>
      <c r="L1973" s="13" t="s">
        <v>1717</v>
      </c>
      <c r="M1973" s="8"/>
      <c r="N1973" s="5"/>
      <c r="O1973" s="5"/>
      <c r="P1973" s="5"/>
      <c r="Q1973" s="6">
        <v>4</v>
      </c>
      <c r="R1973" s="6" t="s">
        <v>1736</v>
      </c>
      <c r="S1973" s="13" t="s">
        <v>46</v>
      </c>
      <c r="T1973" s="6">
        <v>1</v>
      </c>
      <c r="U1973" s="7" t="s">
        <v>1736</v>
      </c>
      <c r="V1973" s="5"/>
      <c r="W1973" s="7">
        <v>3</v>
      </c>
      <c r="X1973" s="6" t="s">
        <v>3</v>
      </c>
      <c r="Y1973" s="5"/>
      <c r="Z1973" s="7">
        <v>0</v>
      </c>
      <c r="AA1973" s="6"/>
      <c r="AB1973" s="5"/>
      <c r="AC1973" s="6"/>
      <c r="AD1973" s="6" t="s">
        <v>3</v>
      </c>
      <c r="AE1973" s="5"/>
      <c r="AF1973" s="6">
        <v>0</v>
      </c>
      <c r="AG1973" s="6"/>
      <c r="AH1973" s="5"/>
      <c r="AI1973" s="6">
        <v>1</v>
      </c>
      <c r="AJ1973" s="6"/>
      <c r="AK1973" s="5"/>
      <c r="AL1973" s="5"/>
      <c r="AM1973" s="5"/>
      <c r="AN1973" s="5"/>
      <c r="AO1973" s="5"/>
      <c r="AP1973" s="5"/>
      <c r="AQ1973" s="5"/>
    </row>
    <row r="1974" spans="1:43" s="2" customFormat="1" x14ac:dyDescent="0.25">
      <c r="A1974" s="161" t="str">
        <f t="shared" si="36"/>
        <v>CAVEMAN</v>
      </c>
      <c r="B1974" s="9" t="s">
        <v>2520</v>
      </c>
      <c r="C1974" s="5"/>
      <c r="D1974" s="5"/>
      <c r="E1974" s="5" t="s">
        <v>2520</v>
      </c>
      <c r="F1974" s="5" t="s">
        <v>2520</v>
      </c>
      <c r="G1974" s="5"/>
      <c r="H1974" s="5" t="s">
        <v>1404</v>
      </c>
      <c r="I1974" s="5" t="s">
        <v>128</v>
      </c>
      <c r="J1974" s="6"/>
      <c r="K1974" s="7">
        <v>1</v>
      </c>
      <c r="L1974" s="13" t="s">
        <v>1717</v>
      </c>
      <c r="M1974" s="8"/>
      <c r="N1974" s="5"/>
      <c r="O1974" s="5"/>
      <c r="P1974" s="5"/>
      <c r="Q1974" s="6">
        <v>0</v>
      </c>
      <c r="R1974" s="6" t="s">
        <v>1736</v>
      </c>
      <c r="S1974" s="13" t="s">
        <v>46</v>
      </c>
      <c r="T1974" s="6">
        <v>2</v>
      </c>
      <c r="U1974" s="7" t="s">
        <v>1736</v>
      </c>
      <c r="V1974" s="5"/>
      <c r="W1974" s="7">
        <v>3</v>
      </c>
      <c r="X1974" s="6" t="s">
        <v>3</v>
      </c>
      <c r="Y1974" s="5"/>
      <c r="Z1974" s="7">
        <v>0</v>
      </c>
      <c r="AA1974" s="6"/>
      <c r="AB1974" s="5"/>
      <c r="AC1974" s="6"/>
      <c r="AD1974" s="6" t="s">
        <v>3</v>
      </c>
      <c r="AE1974" s="5"/>
      <c r="AF1974" s="6">
        <v>0</v>
      </c>
      <c r="AG1974" s="6"/>
      <c r="AH1974" s="5"/>
      <c r="AI1974" s="6">
        <v>1</v>
      </c>
      <c r="AJ1974" s="6"/>
      <c r="AK1974" s="5"/>
      <c r="AL1974" s="5"/>
      <c r="AM1974" s="5"/>
      <c r="AN1974" s="5"/>
      <c r="AO1974" s="5"/>
      <c r="AP1974" s="5"/>
      <c r="AQ1974" s="5"/>
    </row>
    <row r="1975" spans="1:43" s="2" customFormat="1" x14ac:dyDescent="0.25">
      <c r="A1975" s="161" t="str">
        <f t="shared" si="36"/>
        <v>CAVEMAN</v>
      </c>
      <c r="B1975" s="9" t="s">
        <v>2520</v>
      </c>
      <c r="C1975" s="5"/>
      <c r="D1975" s="5"/>
      <c r="E1975" s="5" t="s">
        <v>2520</v>
      </c>
      <c r="F1975" s="5" t="s">
        <v>2520</v>
      </c>
      <c r="G1975" s="5" t="s">
        <v>2045</v>
      </c>
      <c r="H1975" s="5" t="s">
        <v>1405</v>
      </c>
      <c r="I1975" s="5" t="s">
        <v>128</v>
      </c>
      <c r="J1975" s="6"/>
      <c r="K1975" s="7">
        <v>1</v>
      </c>
      <c r="L1975" s="13" t="s">
        <v>1717</v>
      </c>
      <c r="M1975" s="8"/>
      <c r="N1975" s="5"/>
      <c r="O1975" s="5"/>
      <c r="P1975" s="5"/>
      <c r="Q1975" s="6">
        <v>0</v>
      </c>
      <c r="R1975" s="6" t="s">
        <v>1736</v>
      </c>
      <c r="S1975" s="13" t="s">
        <v>46</v>
      </c>
      <c r="T1975" s="6">
        <v>2</v>
      </c>
      <c r="U1975" s="7" t="s">
        <v>1736</v>
      </c>
      <c r="V1975" s="5"/>
      <c r="W1975" s="7">
        <v>3</v>
      </c>
      <c r="X1975" s="6" t="s">
        <v>3</v>
      </c>
      <c r="Y1975" s="5"/>
      <c r="Z1975" s="7">
        <v>0</v>
      </c>
      <c r="AA1975" s="6"/>
      <c r="AB1975" s="5"/>
      <c r="AC1975" s="6"/>
      <c r="AD1975" s="6" t="s">
        <v>3</v>
      </c>
      <c r="AE1975" s="5"/>
      <c r="AF1975" s="6">
        <v>0</v>
      </c>
      <c r="AG1975" s="6"/>
      <c r="AH1975" s="5"/>
      <c r="AI1975" s="6">
        <v>0</v>
      </c>
      <c r="AJ1975" s="6"/>
      <c r="AK1975" s="5"/>
      <c r="AL1975" s="5"/>
      <c r="AM1975" s="5"/>
      <c r="AN1975" s="5"/>
      <c r="AO1975" s="5"/>
      <c r="AP1975" s="5"/>
      <c r="AQ1975" s="5"/>
    </row>
    <row r="1976" spans="1:43" s="2" customFormat="1" x14ac:dyDescent="0.25">
      <c r="A1976" s="161" t="str">
        <f t="shared" si="36"/>
        <v>CAVEMAN</v>
      </c>
      <c r="B1976" s="9" t="s">
        <v>2520</v>
      </c>
      <c r="C1976" s="5"/>
      <c r="D1976" s="5"/>
      <c r="E1976" s="5" t="s">
        <v>2520</v>
      </c>
      <c r="F1976" s="5" t="s">
        <v>2520</v>
      </c>
      <c r="G1976" s="5" t="s">
        <v>2047</v>
      </c>
      <c r="H1976" s="5" t="s">
        <v>1406</v>
      </c>
      <c r="I1976" s="5" t="s">
        <v>128</v>
      </c>
      <c r="J1976" s="6"/>
      <c r="K1976" s="7">
        <v>1</v>
      </c>
      <c r="L1976" s="13" t="s">
        <v>1717</v>
      </c>
      <c r="M1976" s="8"/>
      <c r="N1976" s="5"/>
      <c r="O1976" s="5"/>
      <c r="P1976" s="5"/>
      <c r="Q1976" s="6">
        <v>0</v>
      </c>
      <c r="R1976" s="6" t="s">
        <v>1736</v>
      </c>
      <c r="S1976" s="13" t="s">
        <v>46</v>
      </c>
      <c r="T1976" s="6">
        <v>2</v>
      </c>
      <c r="U1976" s="7" t="s">
        <v>1736</v>
      </c>
      <c r="V1976" s="5"/>
      <c r="W1976" s="7">
        <v>3</v>
      </c>
      <c r="X1976" s="6" t="s">
        <v>3</v>
      </c>
      <c r="Y1976" s="5"/>
      <c r="Z1976" s="7">
        <v>0</v>
      </c>
      <c r="AA1976" s="6"/>
      <c r="AB1976" s="5"/>
      <c r="AC1976" s="6"/>
      <c r="AD1976" s="6" t="s">
        <v>3</v>
      </c>
      <c r="AE1976" s="5"/>
      <c r="AF1976" s="6">
        <v>0</v>
      </c>
      <c r="AG1976" s="6"/>
      <c r="AH1976" s="5"/>
      <c r="AI1976" s="6">
        <v>0</v>
      </c>
      <c r="AJ1976" s="6"/>
      <c r="AK1976" s="5"/>
      <c r="AL1976" s="5"/>
      <c r="AM1976" s="5"/>
      <c r="AN1976" s="5"/>
      <c r="AO1976" s="5"/>
      <c r="AP1976" s="5"/>
      <c r="AQ1976" s="5"/>
    </row>
    <row r="1977" spans="1:43" s="2" customFormat="1" x14ac:dyDescent="0.25">
      <c r="A1977" s="161" t="str">
        <f t="shared" si="36"/>
        <v>CAVEMAN_ED</v>
      </c>
      <c r="B1977" s="9" t="s">
        <v>2520</v>
      </c>
      <c r="C1977" s="5"/>
      <c r="D1977" s="5"/>
      <c r="E1977" s="5" t="s">
        <v>2685</v>
      </c>
      <c r="F1977" s="5" t="s">
        <v>2685</v>
      </c>
      <c r="G1977" s="5"/>
      <c r="H1977" s="5" t="s">
        <v>2684</v>
      </c>
      <c r="I1977" s="5" t="s">
        <v>1025</v>
      </c>
      <c r="J1977" s="6"/>
      <c r="K1977" s="7">
        <v>1</v>
      </c>
      <c r="L1977" s="13"/>
      <c r="M1977" s="8"/>
      <c r="N1977" s="5"/>
      <c r="O1977" s="5"/>
      <c r="P1977" s="5"/>
      <c r="Q1977" s="6">
        <v>6</v>
      </c>
      <c r="R1977" s="6"/>
      <c r="S1977" s="13"/>
      <c r="T1977" s="6">
        <v>10</v>
      </c>
      <c r="U1977" s="7"/>
      <c r="V1977" s="5"/>
      <c r="W1977" s="7" t="s">
        <v>3</v>
      </c>
      <c r="X1977" s="6"/>
      <c r="Y1977" s="5"/>
      <c r="Z1977" s="7">
        <v>1</v>
      </c>
      <c r="AA1977" s="6"/>
      <c r="AB1977" s="5"/>
      <c r="AC1977" s="6"/>
      <c r="AD1977" s="6" t="s">
        <v>3</v>
      </c>
      <c r="AE1977" s="5"/>
      <c r="AF1977" s="6">
        <v>2</v>
      </c>
      <c r="AG1977" s="6"/>
      <c r="AH1977" s="5"/>
      <c r="AI1977" s="6">
        <v>5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>CONCATENATE(E1978,IF(ISBLANK(C1978),"",CONCATENATE("_",C1978)))</f>
        <v>CAVEMAN_ED_AFRI</v>
      </c>
      <c r="B1978" s="9" t="s">
        <v>2520</v>
      </c>
      <c r="C1978" s="5" t="s">
        <v>694</v>
      </c>
      <c r="D1978" s="5"/>
      <c r="E1978" s="5" t="s">
        <v>2685</v>
      </c>
      <c r="F1978" s="5" t="s">
        <v>2685</v>
      </c>
      <c r="G1978" s="5"/>
      <c r="H1978" s="5" t="s">
        <v>2091</v>
      </c>
      <c r="I1978" s="5" t="s">
        <v>1025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/>
      <c r="S1978" s="5"/>
      <c r="T1978" s="6">
        <v>10</v>
      </c>
      <c r="U1978" s="7"/>
      <c r="V1978" s="5"/>
      <c r="W1978" s="6" t="s">
        <v>3</v>
      </c>
      <c r="X1978" s="6"/>
      <c r="Y1978" s="5"/>
      <c r="Z1978" s="6">
        <v>1</v>
      </c>
      <c r="AA1978" s="6"/>
      <c r="AB1978" s="5"/>
      <c r="AC1978" s="6"/>
      <c r="AD1978" s="6" t="s">
        <v>3</v>
      </c>
      <c r="AE1978" s="5"/>
      <c r="AF1978" s="6">
        <v>2</v>
      </c>
      <c r="AG1978" s="6"/>
      <c r="AH1978" s="5"/>
      <c r="AI1978" s="6">
        <v>5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s="2" customFormat="1" x14ac:dyDescent="0.25">
      <c r="A1979" s="161" t="str">
        <f>CONCATENATE(E1979,IF(ISBLANK(C1979),"",CONCATENATE("_",C1979)))</f>
        <v>CAVEMAN_ED_CENTAS</v>
      </c>
      <c r="B1979" s="9" t="s">
        <v>2520</v>
      </c>
      <c r="C1979" s="4" t="s">
        <v>918</v>
      </c>
      <c r="D1979" s="4"/>
      <c r="E1979" s="4" t="s">
        <v>2685</v>
      </c>
      <c r="F1979" s="4" t="s">
        <v>2685</v>
      </c>
      <c r="G1979" s="4"/>
      <c r="H1979" s="4" t="s">
        <v>1791</v>
      </c>
      <c r="I1979" s="4" t="s">
        <v>1793</v>
      </c>
      <c r="J1979" s="11"/>
      <c r="K1979" s="7">
        <v>1</v>
      </c>
      <c r="L1979" s="4"/>
      <c r="M1979" s="12"/>
      <c r="N1979" s="4"/>
      <c r="O1979" s="4"/>
      <c r="P1979" s="4"/>
      <c r="Q1979" s="9">
        <v>6</v>
      </c>
      <c r="R1979" s="11"/>
      <c r="S1979" s="4"/>
      <c r="T1979" s="9">
        <v>10</v>
      </c>
      <c r="U1979" s="11"/>
      <c r="V1979" s="4"/>
      <c r="W1979" s="9" t="s">
        <v>3</v>
      </c>
      <c r="X1979" s="11"/>
      <c r="Y1979" s="4"/>
      <c r="Z1979" s="9">
        <v>1</v>
      </c>
      <c r="AA1979" s="11"/>
      <c r="AB1979" s="4"/>
      <c r="AC1979" s="11"/>
      <c r="AD1979" s="11" t="s">
        <v>3</v>
      </c>
      <c r="AE1979" s="4"/>
      <c r="AF1979" s="9">
        <v>2</v>
      </c>
      <c r="AG1979" s="11"/>
      <c r="AH1979" s="4"/>
      <c r="AI1979" s="9">
        <v>5</v>
      </c>
      <c r="AJ1979" s="11"/>
      <c r="AK1979" s="4"/>
      <c r="AL1979" s="4"/>
      <c r="AM1979" s="4"/>
      <c r="AN1979" s="4"/>
      <c r="AO1979" s="4"/>
      <c r="AP1979" s="4"/>
      <c r="AQ1979" s="4"/>
    </row>
    <row r="1980" spans="1:43" s="2" customFormat="1" x14ac:dyDescent="0.25">
      <c r="A1980" s="161" t="str">
        <f>CONCATENATE(E1980,IF(ISBLANK(C1980),"",CONCATENATE("_",C1980)))</f>
        <v>CAVEMAN_ED_MED</v>
      </c>
      <c r="B1980" s="9" t="s">
        <v>2520</v>
      </c>
      <c r="C1980" s="4" t="s">
        <v>692</v>
      </c>
      <c r="D1980" s="4"/>
      <c r="E1980" s="4" t="s">
        <v>2685</v>
      </c>
      <c r="F1980" s="4" t="s">
        <v>2685</v>
      </c>
      <c r="G1980" s="4"/>
      <c r="H1980" s="4" t="s">
        <v>853</v>
      </c>
      <c r="I1980" s="4" t="s">
        <v>1055</v>
      </c>
      <c r="J1980" s="11"/>
      <c r="K1980" s="7">
        <v>1</v>
      </c>
      <c r="L1980" s="4"/>
      <c r="M1980" s="12"/>
      <c r="N1980" s="4"/>
      <c r="O1980" s="4"/>
      <c r="P1980" s="4"/>
      <c r="Q1980" s="9">
        <v>6</v>
      </c>
      <c r="R1980" s="11"/>
      <c r="S1980" s="4"/>
      <c r="T1980" s="9">
        <v>10</v>
      </c>
      <c r="U1980" s="11"/>
      <c r="V1980" s="4"/>
      <c r="W1980" s="9" t="s">
        <v>3</v>
      </c>
      <c r="X1980" s="11"/>
      <c r="Y1980" s="4"/>
      <c r="Z1980" s="9">
        <v>1</v>
      </c>
      <c r="AA1980" s="11"/>
      <c r="AB1980" s="4"/>
      <c r="AC1980" s="11"/>
      <c r="AD1980" s="11" t="s">
        <v>3</v>
      </c>
      <c r="AE1980" s="4"/>
      <c r="AF1980" s="9">
        <v>2</v>
      </c>
      <c r="AG1980" s="11"/>
      <c r="AH1980" s="4"/>
      <c r="AI1980" s="9">
        <v>5</v>
      </c>
      <c r="AJ1980" s="11"/>
      <c r="AK1980" s="4"/>
      <c r="AL1980" s="4"/>
      <c r="AM1980" s="4"/>
      <c r="AN1980" s="4"/>
      <c r="AO1980" s="4"/>
      <c r="AP1980" s="4"/>
      <c r="AQ1980" s="4"/>
    </row>
    <row r="1981" spans="1:43" s="2" customFormat="1" x14ac:dyDescent="0.25">
      <c r="A1981" s="161" t="str">
        <f t="shared" si="36"/>
        <v>CAVEMAN_ED_NORTHAF</v>
      </c>
      <c r="B1981" s="9" t="s">
        <v>2520</v>
      </c>
      <c r="C1981" s="5" t="s">
        <v>2009</v>
      </c>
      <c r="D1981" s="5"/>
      <c r="E1981" s="5" t="s">
        <v>2685</v>
      </c>
      <c r="F1981" s="5" t="s">
        <v>2685</v>
      </c>
      <c r="G1981" s="5"/>
      <c r="H1981" s="5" t="s">
        <v>2092</v>
      </c>
      <c r="I1981" s="5" t="s">
        <v>1025</v>
      </c>
      <c r="J1981" s="6"/>
      <c r="K1981" s="7">
        <v>1</v>
      </c>
      <c r="L1981" s="13"/>
      <c r="M1981" s="8"/>
      <c r="N1981" s="5"/>
      <c r="O1981" s="5"/>
      <c r="P1981" s="5"/>
      <c r="Q1981" s="6">
        <v>6</v>
      </c>
      <c r="R1981" s="6"/>
      <c r="S1981" s="13"/>
      <c r="T1981" s="6">
        <v>10</v>
      </c>
      <c r="U1981" s="7"/>
      <c r="V1981" s="5"/>
      <c r="W1981" s="7" t="s">
        <v>3</v>
      </c>
      <c r="X1981" s="6"/>
      <c r="Y1981" s="5"/>
      <c r="Z1981" s="7">
        <v>1</v>
      </c>
      <c r="AA1981" s="6"/>
      <c r="AB1981" s="5"/>
      <c r="AC1981" s="6"/>
      <c r="AD1981" s="6" t="s">
        <v>3</v>
      </c>
      <c r="AE1981" s="5"/>
      <c r="AF1981" s="6">
        <v>2</v>
      </c>
      <c r="AG1981" s="6"/>
      <c r="AH1981" s="5"/>
      <c r="AI1981" s="6">
        <v>5</v>
      </c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 t="shared" si="36"/>
        <v>CAVEMAN_ED_OCEAN</v>
      </c>
      <c r="B1982" s="9" t="s">
        <v>2520</v>
      </c>
      <c r="C1982" s="4" t="s">
        <v>994</v>
      </c>
      <c r="D1982" s="4"/>
      <c r="E1982" s="4" t="s">
        <v>2685</v>
      </c>
      <c r="F1982" s="4" t="s">
        <v>2685</v>
      </c>
      <c r="G1982" s="4"/>
      <c r="H1982" s="4" t="s">
        <v>1789</v>
      </c>
      <c r="I1982" s="4" t="s">
        <v>1793</v>
      </c>
      <c r="J1982" s="11"/>
      <c r="K1982" s="11">
        <v>1</v>
      </c>
      <c r="L1982" s="4"/>
      <c r="M1982" s="12"/>
      <c r="N1982" s="4"/>
      <c r="O1982" s="4"/>
      <c r="P1982" s="4"/>
      <c r="Q1982" s="9">
        <v>6</v>
      </c>
      <c r="R1982" s="11"/>
      <c r="S1982" s="4"/>
      <c r="T1982" s="9">
        <v>10</v>
      </c>
      <c r="U1982" s="11"/>
      <c r="V1982" s="4"/>
      <c r="W1982" s="9" t="s">
        <v>3</v>
      </c>
      <c r="X1982" s="11"/>
      <c r="Y1982" s="4"/>
      <c r="Z1982" s="9">
        <v>1</v>
      </c>
      <c r="AA1982" s="11"/>
      <c r="AB1982" s="4"/>
      <c r="AC1982" s="11"/>
      <c r="AD1982" s="11" t="s">
        <v>3</v>
      </c>
      <c r="AE1982" s="4"/>
      <c r="AF1982" s="9">
        <v>2</v>
      </c>
      <c r="AG1982" s="11"/>
      <c r="AH1982" s="4"/>
      <c r="AI1982" s="9">
        <v>5</v>
      </c>
      <c r="AJ1982" s="11"/>
      <c r="AK1982" s="4"/>
      <c r="AL1982" s="4"/>
      <c r="AM1982" s="4"/>
      <c r="AN1982" s="4"/>
      <c r="AO1982" s="4"/>
      <c r="AP1982" s="4"/>
      <c r="AQ1982" s="4"/>
    </row>
    <row r="1983" spans="1:43" s="2" customFormat="1" x14ac:dyDescent="0.25">
      <c r="A1983" s="161" t="str">
        <f t="shared" si="36"/>
        <v>EXPLORER</v>
      </c>
      <c r="B1983" s="9" t="s">
        <v>1338</v>
      </c>
      <c r="C1983" s="4"/>
      <c r="D1983" s="4"/>
      <c r="E1983" s="4" t="s">
        <v>1338</v>
      </c>
      <c r="F1983" s="4" t="s">
        <v>1338</v>
      </c>
      <c r="G1983" s="4"/>
      <c r="H1983" s="4" t="s">
        <v>529</v>
      </c>
      <c r="I1983" s="4" t="s">
        <v>2096</v>
      </c>
      <c r="J1983" s="11"/>
      <c r="K1983" s="11">
        <v>1</v>
      </c>
      <c r="L1983" s="4"/>
      <c r="M1983" s="12"/>
      <c r="N1983" s="4"/>
      <c r="O1983" s="4"/>
      <c r="P1983" s="4"/>
      <c r="Q1983" s="9">
        <v>2</v>
      </c>
      <c r="R1983" s="11" t="s">
        <v>1694</v>
      </c>
      <c r="S1983" s="4" t="s">
        <v>1612</v>
      </c>
      <c r="T1983" s="9">
        <v>3</v>
      </c>
      <c r="U1983" s="11" t="s">
        <v>1694</v>
      </c>
      <c r="V1983" s="4" t="s">
        <v>1610</v>
      </c>
      <c r="W1983" s="9" t="s">
        <v>3</v>
      </c>
      <c r="X1983" s="11" t="s">
        <v>3</v>
      </c>
      <c r="Y1983" s="4"/>
      <c r="Z1983" s="9">
        <v>1</v>
      </c>
      <c r="AA1983" s="11"/>
      <c r="AB1983" s="4"/>
      <c r="AC1983" s="11"/>
      <c r="AD1983" s="11" t="s">
        <v>3</v>
      </c>
      <c r="AE1983" s="4"/>
      <c r="AF1983" s="9">
        <v>1</v>
      </c>
      <c r="AG1983" s="11"/>
      <c r="AH1983" s="4"/>
      <c r="AI1983" s="9">
        <v>2</v>
      </c>
      <c r="AJ1983" s="11"/>
      <c r="AK1983" s="4"/>
      <c r="AL1983" s="4"/>
      <c r="AM1983" s="4"/>
      <c r="AN1983" s="4"/>
      <c r="AO1983" s="4"/>
      <c r="AP1983" s="4"/>
      <c r="AQ1983" s="4"/>
    </row>
    <row r="1984" spans="1:43" x14ac:dyDescent="0.25">
      <c r="A1984" s="161" t="str">
        <f t="shared" si="36"/>
        <v>EXPLORER_ED</v>
      </c>
      <c r="B1984" s="9" t="s">
        <v>1338</v>
      </c>
      <c r="C1984" s="5"/>
      <c r="D1984" s="5"/>
      <c r="E1984" s="5" t="s">
        <v>2611</v>
      </c>
      <c r="F1984" s="5" t="s">
        <v>2611</v>
      </c>
      <c r="G1984" s="5"/>
      <c r="H1984" s="5" t="s">
        <v>529</v>
      </c>
      <c r="I1984" s="5" t="s">
        <v>2096</v>
      </c>
      <c r="J1984" s="6"/>
      <c r="K1984" s="7">
        <v>1</v>
      </c>
      <c r="L1984" s="13"/>
      <c r="M1984" s="8"/>
      <c r="N1984" s="13"/>
      <c r="O1984" s="13"/>
      <c r="P1984" s="13"/>
      <c r="Q1984" s="7">
        <v>2</v>
      </c>
      <c r="R1984" s="6" t="s">
        <v>1694</v>
      </c>
      <c r="S1984" s="5" t="s">
        <v>1612</v>
      </c>
      <c r="T1984" s="6">
        <v>3</v>
      </c>
      <c r="U1984" s="7" t="s">
        <v>1694</v>
      </c>
      <c r="V1984" s="5" t="s">
        <v>1610</v>
      </c>
      <c r="W1984" s="6" t="s">
        <v>3</v>
      </c>
      <c r="X1984" s="6" t="s">
        <v>3</v>
      </c>
      <c r="Y1984" s="5"/>
      <c r="Z1984" s="6">
        <v>1</v>
      </c>
      <c r="AA1984" s="6"/>
      <c r="AB1984" s="5"/>
      <c r="AC1984" s="6"/>
      <c r="AD1984" s="6" t="s">
        <v>3</v>
      </c>
      <c r="AE1984" s="5"/>
      <c r="AF1984" s="6">
        <v>1</v>
      </c>
      <c r="AG1984" s="6"/>
      <c r="AH1984" s="5"/>
      <c r="AI1984" s="6">
        <v>2</v>
      </c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HUNTER</v>
      </c>
      <c r="B1985" s="9" t="s">
        <v>2686</v>
      </c>
      <c r="C1985" s="5"/>
      <c r="D1985" s="5"/>
      <c r="E1985" s="5" t="s">
        <v>2686</v>
      </c>
      <c r="F1985" s="5" t="s">
        <v>2686</v>
      </c>
      <c r="G1985" s="5"/>
      <c r="H1985" s="5" t="s">
        <v>685</v>
      </c>
      <c r="I1985" s="5" t="s">
        <v>1795</v>
      </c>
      <c r="J1985" s="6"/>
      <c r="K1985" s="7">
        <v>1</v>
      </c>
      <c r="L1985" s="13"/>
      <c r="M1985" s="8"/>
      <c r="N1985" s="13"/>
      <c r="O1985" s="13"/>
      <c r="P1985" s="13"/>
      <c r="Q1985" s="7">
        <v>3</v>
      </c>
      <c r="R1985" s="6">
        <v>0.17499999999999999</v>
      </c>
      <c r="S1985" s="5" t="s">
        <v>20</v>
      </c>
      <c r="T1985" s="6"/>
      <c r="U1985" s="7" t="s">
        <v>1736</v>
      </c>
      <c r="V1985" s="5"/>
      <c r="W1985" s="6" t="s">
        <v>3</v>
      </c>
      <c r="X1985" s="6" t="s">
        <v>3</v>
      </c>
      <c r="Y1985" s="5"/>
      <c r="Z1985" s="6">
        <v>1</v>
      </c>
      <c r="AA1985" s="6"/>
      <c r="AB1985" s="5"/>
      <c r="AC1985" s="6"/>
      <c r="AD1985" s="6" t="s">
        <v>3</v>
      </c>
      <c r="AE1985" s="5"/>
      <c r="AF1985" s="6">
        <v>1</v>
      </c>
      <c r="AG1985" s="6"/>
      <c r="AH1985" s="5"/>
      <c r="AI1985" s="6">
        <v>4</v>
      </c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HUNTER_ED</v>
      </c>
      <c r="B1986" s="9" t="s">
        <v>2686</v>
      </c>
      <c r="C1986" s="5"/>
      <c r="D1986" s="5"/>
      <c r="E1986" s="5" t="s">
        <v>2687</v>
      </c>
      <c r="F1986" s="5" t="s">
        <v>2687</v>
      </c>
      <c r="G1986" s="5"/>
      <c r="H1986" s="5" t="s">
        <v>2682</v>
      </c>
      <c r="I1986" s="5" t="s">
        <v>1025</v>
      </c>
      <c r="J1986" s="6"/>
      <c r="K1986" s="7">
        <v>1</v>
      </c>
      <c r="L1986" s="13"/>
      <c r="M1986" s="8"/>
      <c r="N1986" s="13"/>
      <c r="O1986" s="13"/>
      <c r="P1986" s="13"/>
      <c r="Q1986" s="7">
        <v>3</v>
      </c>
      <c r="R1986" s="6">
        <v>0.17499999999999999</v>
      </c>
      <c r="S1986" s="5" t="s">
        <v>20</v>
      </c>
      <c r="T1986" s="6"/>
      <c r="U1986" s="7" t="s">
        <v>1736</v>
      </c>
      <c r="V1986" s="5"/>
      <c r="W1986" s="6" t="s">
        <v>3</v>
      </c>
      <c r="X1986" s="6" t="s">
        <v>3</v>
      </c>
      <c r="Y1986" s="5"/>
      <c r="Z1986" s="6">
        <v>1</v>
      </c>
      <c r="AA1986" s="6"/>
      <c r="AB1986" s="5"/>
      <c r="AC1986" s="6"/>
      <c r="AD1986" s="6" t="s">
        <v>3</v>
      </c>
      <c r="AE1986" s="5"/>
      <c r="AF1986" s="6">
        <v>1</v>
      </c>
      <c r="AG1986" s="6"/>
      <c r="AH1986" s="5"/>
      <c r="AI1986" s="6">
        <v>4</v>
      </c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HUNTER_ED_EASTEU</v>
      </c>
      <c r="B1987" s="9" t="s">
        <v>2686</v>
      </c>
      <c r="C1987" s="5" t="s">
        <v>698</v>
      </c>
      <c r="D1987" s="5" t="s">
        <v>962</v>
      </c>
      <c r="E1987" s="5" t="s">
        <v>2687</v>
      </c>
      <c r="F1987" s="5" t="s">
        <v>2687</v>
      </c>
      <c r="G1987" s="5"/>
      <c r="H1987" s="5"/>
      <c r="I1987" s="5"/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6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HUNTER_ED_EURO</v>
      </c>
      <c r="B1988" s="9" t="s">
        <v>2686</v>
      </c>
      <c r="C1988" s="5" t="s">
        <v>689</v>
      </c>
      <c r="D1988" s="5" t="s">
        <v>962</v>
      </c>
      <c r="E1988" s="5" t="s">
        <v>2687</v>
      </c>
      <c r="F1988" s="5" t="s">
        <v>2687</v>
      </c>
      <c r="G1988" s="5"/>
      <c r="H1988" s="5"/>
      <c r="I1988" s="5"/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6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HUNTER_ED_MED</v>
      </c>
      <c r="B1989" s="9" t="s">
        <v>2686</v>
      </c>
      <c r="C1989" s="5" t="s">
        <v>692</v>
      </c>
      <c r="D1989" s="5" t="s">
        <v>962</v>
      </c>
      <c r="E1989" s="5" t="s">
        <v>2687</v>
      </c>
      <c r="F1989" s="5" t="s">
        <v>2687</v>
      </c>
      <c r="G1989" s="5"/>
      <c r="H1989" s="5"/>
      <c r="I1989" s="5"/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6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HUNTER_ED_NORTHEU</v>
      </c>
      <c r="B1990" s="9" t="s">
        <v>2686</v>
      </c>
      <c r="C1990" s="5" t="s">
        <v>962</v>
      </c>
      <c r="D1990" s="5"/>
      <c r="E1990" s="5" t="s">
        <v>2687</v>
      </c>
      <c r="F1990" s="5" t="s">
        <v>2687</v>
      </c>
      <c r="G1990" s="5"/>
      <c r="H1990" s="5" t="s">
        <v>1022</v>
      </c>
      <c r="I1990" s="5" t="s">
        <v>1795</v>
      </c>
      <c r="J1990" s="6"/>
      <c r="K1990" s="7">
        <v>1</v>
      </c>
      <c r="L1990" s="13"/>
      <c r="M1990" s="8"/>
      <c r="N1990" s="13"/>
      <c r="O1990" s="13"/>
      <c r="P1990" s="13"/>
      <c r="Q1990" s="7"/>
      <c r="R1990" s="6"/>
      <c r="S1990" s="5"/>
      <c r="T1990" s="6"/>
      <c r="U1990" s="7"/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 t="shared" si="36"/>
        <v>HUNTER_ED_NORTHEU</v>
      </c>
      <c r="B1991" s="9" t="s">
        <v>2686</v>
      </c>
      <c r="C1991" s="5" t="s">
        <v>962</v>
      </c>
      <c r="D1991" s="5"/>
      <c r="E1991" s="5" t="s">
        <v>2687</v>
      </c>
      <c r="F1991" s="5" t="s">
        <v>2687</v>
      </c>
      <c r="G1991" s="5" t="s">
        <v>2045</v>
      </c>
      <c r="H1991" s="5" t="s">
        <v>1023</v>
      </c>
      <c r="I1991" s="5" t="s">
        <v>1795</v>
      </c>
      <c r="J1991" s="6"/>
      <c r="K1991" s="7">
        <v>1</v>
      </c>
      <c r="L1991" s="13"/>
      <c r="M1991" s="8"/>
      <c r="N1991" s="13"/>
      <c r="O1991" s="13"/>
      <c r="P1991" s="13"/>
      <c r="Q1991" s="7"/>
      <c r="R1991" s="6"/>
      <c r="S1991" s="5"/>
      <c r="T1991" s="6"/>
      <c r="U1991" s="7"/>
      <c r="V1991" s="5"/>
      <c r="W1991" s="6"/>
      <c r="X1991" s="6"/>
      <c r="Y1991" s="5"/>
      <c r="Z1991" s="6"/>
      <c r="AA1991" s="6"/>
      <c r="AB1991" s="5"/>
      <c r="AC1991" s="6"/>
      <c r="AD1991" s="6"/>
      <c r="AE1991" s="5"/>
      <c r="AF1991" s="6"/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HUNTER_ED_NORTHEU</v>
      </c>
      <c r="B1992" s="9" t="s">
        <v>2686</v>
      </c>
      <c r="C1992" s="5" t="s">
        <v>962</v>
      </c>
      <c r="D1992" s="5"/>
      <c r="E1992" s="5" t="s">
        <v>2687</v>
      </c>
      <c r="F1992" s="5" t="s">
        <v>2687</v>
      </c>
      <c r="G1992" s="5"/>
      <c r="H1992" s="5" t="s">
        <v>1022</v>
      </c>
      <c r="I1992" s="5" t="s">
        <v>1795</v>
      </c>
      <c r="J1992" s="6"/>
      <c r="K1992" s="7">
        <v>1</v>
      </c>
      <c r="L1992" s="13"/>
      <c r="M1992" s="8"/>
      <c r="N1992" s="13"/>
      <c r="O1992" s="13"/>
      <c r="P1992" s="13"/>
      <c r="Q1992" s="7"/>
      <c r="R1992" s="6"/>
      <c r="S1992" s="5"/>
      <c r="T1992" s="6"/>
      <c r="U1992" s="7"/>
      <c r="V1992" s="5"/>
      <c r="W1992" s="6"/>
      <c r="X1992" s="6"/>
      <c r="Y1992" s="5"/>
      <c r="Z1992" s="6"/>
      <c r="AA1992" s="6"/>
      <c r="AB1992" s="5"/>
      <c r="AC1992" s="6"/>
      <c r="AD1992" s="6"/>
      <c r="AE1992" s="5"/>
      <c r="AF1992" s="6"/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HUNTER_ED_NORTHEU</v>
      </c>
      <c r="B1993" s="9" t="s">
        <v>2686</v>
      </c>
      <c r="C1993" s="5" t="s">
        <v>962</v>
      </c>
      <c r="D1993" s="5"/>
      <c r="E1993" s="5" t="s">
        <v>2687</v>
      </c>
      <c r="F1993" s="5" t="s">
        <v>2687</v>
      </c>
      <c r="G1993" s="5" t="s">
        <v>2045</v>
      </c>
      <c r="H1993" s="5" t="s">
        <v>1023</v>
      </c>
      <c r="I1993" s="5" t="s">
        <v>1795</v>
      </c>
      <c r="J1993" s="6"/>
      <c r="K1993" s="7">
        <v>1</v>
      </c>
      <c r="L1993" s="13"/>
      <c r="M1993" s="8"/>
      <c r="N1993" s="13"/>
      <c r="O1993" s="13"/>
      <c r="P1993" s="13"/>
      <c r="Q1993" s="7"/>
      <c r="R1993" s="6"/>
      <c r="S1993" s="5"/>
      <c r="T1993" s="6"/>
      <c r="U1993" s="7"/>
      <c r="V1993" s="5"/>
      <c r="W1993" s="6"/>
      <c r="X1993" s="6"/>
      <c r="Y1993" s="5"/>
      <c r="Z1993" s="6"/>
      <c r="AA1993" s="6"/>
      <c r="AB1993" s="5"/>
      <c r="AC1993" s="6"/>
      <c r="AD1993" s="6"/>
      <c r="AE1993" s="5"/>
      <c r="AF1993" s="6"/>
      <c r="AG1993" s="6"/>
      <c r="AH1993" s="5"/>
      <c r="AI1993" s="6"/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PRIMITIVE_ARCHER</v>
      </c>
      <c r="B1994" s="9" t="s">
        <v>2521</v>
      </c>
      <c r="C1994" s="5"/>
      <c r="D1994" s="5"/>
      <c r="E1994" s="5" t="s">
        <v>2521</v>
      </c>
      <c r="F1994" s="5" t="s">
        <v>2521</v>
      </c>
      <c r="G1994" s="5"/>
      <c r="H1994" s="5" t="s">
        <v>2084</v>
      </c>
      <c r="I1994" s="5" t="s">
        <v>1933</v>
      </c>
      <c r="J1994" s="6"/>
      <c r="K1994" s="7">
        <v>1</v>
      </c>
      <c r="L1994" s="13"/>
      <c r="M1994" s="8"/>
      <c r="N1994" s="13"/>
      <c r="O1994" s="13"/>
      <c r="P1994" s="13"/>
      <c r="Q1994" s="7">
        <v>6</v>
      </c>
      <c r="R1994" s="6">
        <v>0.13</v>
      </c>
      <c r="S1994" s="5" t="s">
        <v>20</v>
      </c>
      <c r="T1994" s="6">
        <v>10</v>
      </c>
      <c r="U1994" s="7" t="s">
        <v>1736</v>
      </c>
      <c r="V1994" s="5"/>
      <c r="W1994" s="6" t="s">
        <v>3</v>
      </c>
      <c r="X1994" s="6" t="s">
        <v>3</v>
      </c>
      <c r="Y1994" s="5"/>
      <c r="Z1994" s="6">
        <v>1</v>
      </c>
      <c r="AA1994" s="6"/>
      <c r="AB1994" s="5"/>
      <c r="AC1994" s="6"/>
      <c r="AD1994" s="6" t="s">
        <v>3</v>
      </c>
      <c r="AE1994" s="5"/>
      <c r="AF1994" s="6">
        <v>2</v>
      </c>
      <c r="AG1994" s="6"/>
      <c r="AH1994" s="5"/>
      <c r="AI1994" s="6">
        <v>5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s="2" customFormat="1" x14ac:dyDescent="0.25">
      <c r="A1995" s="161" t="str">
        <f t="shared" si="36"/>
        <v>PRIMITIVE_ARCHER_AFRI</v>
      </c>
      <c r="B1995" s="9" t="s">
        <v>2521</v>
      </c>
      <c r="C1995" s="4" t="s">
        <v>694</v>
      </c>
      <c r="D1995" s="4"/>
      <c r="E1995" s="4" t="s">
        <v>2521</v>
      </c>
      <c r="F1995" s="4" t="s">
        <v>2521</v>
      </c>
      <c r="G1995" s="4"/>
      <c r="H1995" s="4" t="s">
        <v>1965</v>
      </c>
      <c r="I1995" s="4" t="s">
        <v>1025</v>
      </c>
      <c r="J1995" s="11"/>
      <c r="K1995" s="11">
        <v>1</v>
      </c>
      <c r="L1995" s="4"/>
      <c r="M1995" s="12"/>
      <c r="N1995" s="4"/>
      <c r="O1995" s="4"/>
      <c r="P1995" s="4"/>
      <c r="Q1995" s="9"/>
      <c r="R1995" s="11"/>
      <c r="S1995" s="4"/>
      <c r="T1995" s="11"/>
      <c r="U1995" s="11"/>
      <c r="V1995" s="4"/>
      <c r="W1995" s="11"/>
      <c r="X1995" s="11"/>
      <c r="Y1995" s="4"/>
      <c r="Z1995" s="9"/>
      <c r="AA1995" s="11"/>
      <c r="AB1995" s="4"/>
      <c r="AC1995" s="11"/>
      <c r="AD1995" s="11"/>
      <c r="AE1995" s="4"/>
      <c r="AF1995" s="11"/>
      <c r="AG1995" s="11"/>
      <c r="AH1995" s="4"/>
      <c r="AI1995" s="11"/>
      <c r="AJ1995" s="11"/>
      <c r="AK1995" s="4"/>
      <c r="AL1995" s="4"/>
      <c r="AM1995" s="4"/>
      <c r="AN1995" s="4"/>
      <c r="AO1995" s="4"/>
      <c r="AP1995" s="4"/>
      <c r="AQ1995" s="4"/>
    </row>
    <row r="1996" spans="1:43" x14ac:dyDescent="0.25">
      <c r="A1996" s="161" t="str">
        <f t="shared" si="36"/>
        <v>SAVAGE</v>
      </c>
      <c r="B1996" s="9" t="s">
        <v>2083</v>
      </c>
      <c r="C1996" s="5"/>
      <c r="D1996" s="5"/>
      <c r="E1996" s="5" t="s">
        <v>2083</v>
      </c>
      <c r="F1996" s="5" t="s">
        <v>2083</v>
      </c>
      <c r="G1996" s="5"/>
      <c r="H1996" s="5" t="s">
        <v>2088</v>
      </c>
      <c r="I1996" s="5" t="s">
        <v>835</v>
      </c>
      <c r="J1996" s="6"/>
      <c r="K1996" s="7">
        <v>1</v>
      </c>
      <c r="L1996" s="13"/>
      <c r="M1996" s="8"/>
      <c r="N1996" s="13"/>
      <c r="O1996" s="13"/>
      <c r="P1996" s="13"/>
      <c r="Q1996" s="7">
        <v>6</v>
      </c>
      <c r="R1996" s="6">
        <v>0.14000000000000001</v>
      </c>
      <c r="S1996" s="5" t="s">
        <v>1619</v>
      </c>
      <c r="T1996" s="6">
        <v>10</v>
      </c>
      <c r="U1996" s="7" t="s">
        <v>1736</v>
      </c>
      <c r="V1996" s="5"/>
      <c r="W1996" s="6" t="s">
        <v>3</v>
      </c>
      <c r="X1996" s="6" t="s">
        <v>3</v>
      </c>
      <c r="Y1996" s="5"/>
      <c r="Z1996" s="6">
        <v>1</v>
      </c>
      <c r="AA1996" s="6"/>
      <c r="AB1996" s="5"/>
      <c r="AC1996" s="6"/>
      <c r="AD1996" s="6" t="s">
        <v>3</v>
      </c>
      <c r="AE1996" s="5"/>
      <c r="AF1996" s="6">
        <v>2</v>
      </c>
      <c r="AG1996" s="6"/>
      <c r="AH1996" s="5"/>
      <c r="AI1996" s="6">
        <v>5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 t="shared" si="36"/>
        <v>SAVAGE_AFRI</v>
      </c>
      <c r="B1997" s="9" t="s">
        <v>2083</v>
      </c>
      <c r="C1997" s="5" t="s">
        <v>694</v>
      </c>
      <c r="D1997" s="5"/>
      <c r="E1997" s="5" t="s">
        <v>2083</v>
      </c>
      <c r="F1997" s="5" t="s">
        <v>2083</v>
      </c>
      <c r="G1997" s="5"/>
      <c r="H1997" s="5" t="s">
        <v>2090</v>
      </c>
      <c r="I1997" s="5" t="s">
        <v>1025</v>
      </c>
      <c r="J1997" s="6"/>
      <c r="K1997" s="7">
        <v>1</v>
      </c>
      <c r="L1997" s="13"/>
      <c r="M1997" s="8"/>
      <c r="N1997" s="13"/>
      <c r="O1997" s="13"/>
      <c r="P1997" s="13"/>
      <c r="Q1997" s="7"/>
      <c r="R1997" s="6"/>
      <c r="S1997" s="5"/>
      <c r="T1997" s="6"/>
      <c r="U1997" s="7"/>
      <c r="V1997" s="5"/>
      <c r="W1997" s="6"/>
      <c r="X1997" s="6"/>
      <c r="Y1997" s="5"/>
      <c r="Z1997" s="6"/>
      <c r="AA1997" s="6"/>
      <c r="AB1997" s="5"/>
      <c r="AC1997" s="6"/>
      <c r="AD1997" s="6"/>
      <c r="AE1997" s="5"/>
      <c r="AF1997" s="6"/>
      <c r="AG1997" s="6"/>
      <c r="AH1997" s="5"/>
      <c r="AI1997" s="6"/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 t="shared" si="36"/>
        <v>SAVAGE_EASTEU</v>
      </c>
      <c r="B1998" s="9" t="s">
        <v>2083</v>
      </c>
      <c r="C1998" s="5" t="s">
        <v>698</v>
      </c>
      <c r="D1998" s="5"/>
      <c r="E1998" s="5" t="s">
        <v>2083</v>
      </c>
      <c r="F1998" s="5" t="s">
        <v>2083</v>
      </c>
      <c r="G1998" s="5"/>
      <c r="H1998" s="5" t="s">
        <v>887</v>
      </c>
      <c r="I1998" s="5" t="s">
        <v>1820</v>
      </c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SAVAGE_CELTS</v>
      </c>
      <c r="B1999" s="9" t="s">
        <v>2083</v>
      </c>
      <c r="C1999" s="5" t="s">
        <v>709</v>
      </c>
      <c r="D1999" s="5"/>
      <c r="E1999" s="5" t="s">
        <v>2083</v>
      </c>
      <c r="F1999" s="5" t="s">
        <v>2083</v>
      </c>
      <c r="G1999" s="5"/>
      <c r="H1999" s="5" t="s">
        <v>236</v>
      </c>
      <c r="I1999" s="5" t="s">
        <v>1055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 t="shared" si="36"/>
        <v>SAVAGE_ENGLAND</v>
      </c>
      <c r="B2000" s="9" t="s">
        <v>2083</v>
      </c>
      <c r="C2000" s="5" t="s">
        <v>713</v>
      </c>
      <c r="D2000" s="5" t="s">
        <v>709</v>
      </c>
      <c r="E2000" s="5" t="s">
        <v>2083</v>
      </c>
      <c r="F2000" s="5" t="s">
        <v>2083</v>
      </c>
      <c r="G2000" s="5"/>
      <c r="H2000" s="5"/>
      <c r="I2000" s="5"/>
      <c r="J2000" s="6"/>
      <c r="K2000" s="7">
        <v>1</v>
      </c>
      <c r="L2000" s="13"/>
      <c r="M2000" s="8"/>
      <c r="N2000" s="13"/>
      <c r="O2000" s="13"/>
      <c r="P2000" s="13"/>
      <c r="Q2000" s="7"/>
      <c r="R2000" s="6"/>
      <c r="S2000" s="5"/>
      <c r="T2000" s="6"/>
      <c r="U2000" s="7"/>
      <c r="V2000" s="5"/>
      <c r="W2000" s="6"/>
      <c r="X2000" s="6"/>
      <c r="Y2000" s="5"/>
      <c r="Z2000" s="6"/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 t="shared" si="36"/>
        <v>SAVAGE_GERMANY</v>
      </c>
      <c r="B2001" s="9" t="s">
        <v>2083</v>
      </c>
      <c r="C2001" s="5" t="s">
        <v>717</v>
      </c>
      <c r="D2001" s="5" t="s">
        <v>698</v>
      </c>
      <c r="E2001" s="5" t="s">
        <v>2083</v>
      </c>
      <c r="F2001" s="5" t="s">
        <v>2083</v>
      </c>
      <c r="G2001" s="5"/>
      <c r="H2001" s="5"/>
      <c r="I2001" s="5"/>
      <c r="J2001" s="6"/>
      <c r="K2001" s="7">
        <v>1</v>
      </c>
      <c r="L2001" s="13"/>
      <c r="M2001" s="8"/>
      <c r="N2001" s="13">
        <v>0</v>
      </c>
      <c r="O2001" s="13"/>
      <c r="P2001" s="13"/>
      <c r="Q2001" s="7"/>
      <c r="R2001" s="6"/>
      <c r="S2001" s="5"/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si="36"/>
        <v>SAVAGE_MIDEAST</v>
      </c>
      <c r="B2002" s="9" t="s">
        <v>2083</v>
      </c>
      <c r="C2002" s="5" t="s">
        <v>690</v>
      </c>
      <c r="D2002" s="5"/>
      <c r="E2002" s="5" t="s">
        <v>2083</v>
      </c>
      <c r="F2002" s="5" t="s">
        <v>2083</v>
      </c>
      <c r="G2002" s="5"/>
      <c r="H2002" s="5" t="s">
        <v>2181</v>
      </c>
      <c r="I2002" s="5" t="s">
        <v>1793</v>
      </c>
      <c r="J2002" s="6"/>
      <c r="K2002" s="7">
        <v>1</v>
      </c>
      <c r="L2002" s="13"/>
      <c r="M2002" s="8"/>
      <c r="N2002" s="13"/>
      <c r="O2002" s="13"/>
      <c r="P2002" s="13"/>
      <c r="Q2002" s="7"/>
      <c r="R2002" s="6"/>
      <c r="S2002" s="5"/>
      <c r="T2002" s="6"/>
      <c r="U2002" s="7"/>
      <c r="V2002" s="5"/>
      <c r="W2002" s="6"/>
      <c r="X2002" s="6"/>
      <c r="Y2002" s="5"/>
      <c r="Z2002" s="6"/>
      <c r="AA2002" s="6"/>
      <c r="AB2002" s="5"/>
      <c r="AC2002" s="6"/>
      <c r="AD2002" s="6"/>
      <c r="AE2002" s="5"/>
      <c r="AF2002" s="6"/>
      <c r="AG2002" s="6"/>
      <c r="AH2002" s="5"/>
      <c r="AI2002" s="6"/>
      <c r="AJ2002" s="6"/>
      <c r="AK2002" s="5"/>
      <c r="AL2002" s="5"/>
      <c r="AM2002" s="5"/>
      <c r="AN2002" s="5"/>
      <c r="AO2002" s="5"/>
      <c r="AP2002" s="5"/>
      <c r="AQ2002" s="5"/>
    </row>
    <row r="2003" spans="1:43" x14ac:dyDescent="0.25">
      <c r="A2003" s="161" t="str">
        <f t="shared" si="36"/>
        <v>SAVAGE_NORTHAF</v>
      </c>
      <c r="B2003" s="9" t="s">
        <v>2083</v>
      </c>
      <c r="C2003" s="5" t="s">
        <v>2009</v>
      </c>
      <c r="D2003" s="5"/>
      <c r="E2003" s="5" t="s">
        <v>2083</v>
      </c>
      <c r="F2003" s="5" t="s">
        <v>2083</v>
      </c>
      <c r="G2003" s="5"/>
      <c r="H2003" s="5" t="s">
        <v>2093</v>
      </c>
      <c r="I2003" s="5" t="s">
        <v>1025</v>
      </c>
      <c r="J2003" s="6"/>
      <c r="K2003" s="7">
        <v>1</v>
      </c>
      <c r="L2003" s="13"/>
      <c r="M2003" s="8"/>
      <c r="N2003" s="13"/>
      <c r="O2003" s="13"/>
      <c r="P2003" s="13"/>
      <c r="Q2003" s="7">
        <v>2</v>
      </c>
      <c r="R2003" s="6"/>
      <c r="S2003" s="5"/>
      <c r="T2003" s="6">
        <v>2</v>
      </c>
      <c r="U2003" s="7"/>
      <c r="V2003" s="5"/>
      <c r="W2003" s="6"/>
      <c r="X2003" s="6"/>
      <c r="Y2003" s="5"/>
      <c r="Z2003" s="6">
        <v>1</v>
      </c>
      <c r="AA2003" s="6"/>
      <c r="AB2003" s="5"/>
      <c r="AC2003" s="6"/>
      <c r="AD2003" s="6"/>
      <c r="AE2003" s="5"/>
      <c r="AF2003" s="6">
        <v>1</v>
      </c>
      <c r="AG2003" s="6"/>
      <c r="AH2003" s="5"/>
      <c r="AI2003" s="6">
        <v>2</v>
      </c>
      <c r="AJ2003" s="6"/>
      <c r="AK2003" s="5"/>
      <c r="AL2003" s="5"/>
      <c r="AM2003" s="5"/>
      <c r="AN2003" s="5"/>
      <c r="AO2003" s="5"/>
      <c r="AP2003" s="5"/>
      <c r="AQ2003" s="5"/>
    </row>
    <row r="2004" spans="1:43" x14ac:dyDescent="0.25">
      <c r="A2004" s="161" t="str">
        <f t="shared" si="36"/>
        <v>SAVAGE_NORTHAF</v>
      </c>
      <c r="B2004" s="9" t="s">
        <v>2083</v>
      </c>
      <c r="C2004" s="5" t="s">
        <v>2009</v>
      </c>
      <c r="D2004" s="5"/>
      <c r="E2004" s="5" t="s">
        <v>2083</v>
      </c>
      <c r="F2004" s="5" t="s">
        <v>2083</v>
      </c>
      <c r="G2004" s="5" t="s">
        <v>2045</v>
      </c>
      <c r="H2004" s="5" t="s">
        <v>2094</v>
      </c>
      <c r="I2004" s="5" t="s">
        <v>1025</v>
      </c>
      <c r="J2004" s="6"/>
      <c r="K2004" s="7">
        <v>1</v>
      </c>
      <c r="L2004" s="13"/>
      <c r="M2004" s="8"/>
      <c r="N2004" s="13"/>
      <c r="O2004" s="13"/>
      <c r="P2004" s="13"/>
      <c r="Q2004" s="7">
        <v>2</v>
      </c>
      <c r="R2004" s="6"/>
      <c r="S2004" s="5"/>
      <c r="T2004" s="6">
        <v>3</v>
      </c>
      <c r="U2004" s="7"/>
      <c r="V2004" s="5"/>
      <c r="W2004" s="6"/>
      <c r="X2004" s="6"/>
      <c r="Y2004" s="5"/>
      <c r="Z2004" s="6">
        <v>0</v>
      </c>
      <c r="AA2004" s="6"/>
      <c r="AB2004" s="5"/>
      <c r="AC2004" s="6"/>
      <c r="AD2004" s="6"/>
      <c r="AE2004" s="5"/>
      <c r="AF2004" s="6">
        <v>1</v>
      </c>
      <c r="AG2004" s="6"/>
      <c r="AH2004" s="5"/>
      <c r="AI2004" s="6">
        <v>1</v>
      </c>
      <c r="AJ2004" s="6"/>
      <c r="AK2004" s="5"/>
      <c r="AL2004" s="5"/>
      <c r="AM2004" s="5"/>
      <c r="AN2004" s="5"/>
      <c r="AO2004" s="5"/>
      <c r="AP2004" s="5"/>
      <c r="AQ2004" s="5"/>
    </row>
    <row r="2005" spans="1:43" x14ac:dyDescent="0.25">
      <c r="A2005" s="161" t="str">
        <f t="shared" si="36"/>
        <v>SAVAGE_NORTHAF</v>
      </c>
      <c r="B2005" s="9" t="s">
        <v>2083</v>
      </c>
      <c r="C2005" s="5" t="s">
        <v>2009</v>
      </c>
      <c r="D2005" s="5"/>
      <c r="E2005" s="5" t="s">
        <v>2083</v>
      </c>
      <c r="F2005" s="5" t="s">
        <v>2083</v>
      </c>
      <c r="G2005" s="5"/>
      <c r="H2005" s="5" t="s">
        <v>2093</v>
      </c>
      <c r="I2005" s="5" t="s">
        <v>1025</v>
      </c>
      <c r="J2005" s="6"/>
      <c r="K2005" s="7">
        <v>1</v>
      </c>
      <c r="L2005" s="13"/>
      <c r="M2005" s="8"/>
      <c r="N2005" s="13"/>
      <c r="O2005" s="13"/>
      <c r="P2005" s="13"/>
      <c r="Q2005" s="7">
        <v>2</v>
      </c>
      <c r="R2005" s="6"/>
      <c r="S2005" s="5"/>
      <c r="T2005" s="6">
        <v>3</v>
      </c>
      <c r="U2005" s="7"/>
      <c r="V2005" s="5"/>
      <c r="W2005" s="6"/>
      <c r="X2005" s="6"/>
      <c r="Y2005" s="5"/>
      <c r="Z2005" s="6">
        <v>0</v>
      </c>
      <c r="AA2005" s="6"/>
      <c r="AB2005" s="5"/>
      <c r="AC2005" s="6"/>
      <c r="AD2005" s="6"/>
      <c r="AE2005" s="5"/>
      <c r="AF2005" s="6">
        <v>0</v>
      </c>
      <c r="AG2005" s="6"/>
      <c r="AH2005" s="5"/>
      <c r="AI2005" s="6">
        <v>1</v>
      </c>
      <c r="AJ2005" s="6"/>
      <c r="AK2005" s="5"/>
      <c r="AL2005" s="5"/>
      <c r="AM2005" s="5"/>
      <c r="AN2005" s="5"/>
      <c r="AO2005" s="5"/>
      <c r="AP2005" s="5"/>
      <c r="AQ2005" s="5"/>
    </row>
    <row r="2006" spans="1:43" x14ac:dyDescent="0.25">
      <c r="A2006" s="161" t="str">
        <f t="shared" si="36"/>
        <v>SAVAGE_NORTHAF</v>
      </c>
      <c r="B2006" s="9" t="s">
        <v>2083</v>
      </c>
      <c r="C2006" s="5" t="s">
        <v>2009</v>
      </c>
      <c r="D2006" s="5"/>
      <c r="E2006" s="5" t="s">
        <v>2083</v>
      </c>
      <c r="F2006" s="5" t="s">
        <v>2083</v>
      </c>
      <c r="G2006" s="5" t="s">
        <v>2045</v>
      </c>
      <c r="H2006" s="5" t="s">
        <v>2094</v>
      </c>
      <c r="I2006" s="5" t="s">
        <v>1025</v>
      </c>
      <c r="J2006" s="6"/>
      <c r="K2006" s="7">
        <v>1</v>
      </c>
      <c r="L2006" s="13"/>
      <c r="M2006" s="8"/>
      <c r="N2006" s="13"/>
      <c r="O2006" s="13"/>
      <c r="P2006" s="13"/>
      <c r="Q2006" s="7">
        <v>0</v>
      </c>
      <c r="R2006" s="6"/>
      <c r="S2006" s="5"/>
      <c r="T2006" s="6">
        <v>2</v>
      </c>
      <c r="U2006" s="7"/>
      <c r="V2006" s="5"/>
      <c r="W2006" s="6"/>
      <c r="X2006" s="6"/>
      <c r="Y2006" s="5"/>
      <c r="Z2006" s="6">
        <v>0</v>
      </c>
      <c r="AA2006" s="6"/>
      <c r="AB2006" s="5"/>
      <c r="AC2006" s="6"/>
      <c r="AD2006" s="6"/>
      <c r="AE2006" s="5"/>
      <c r="AF2006" s="6">
        <v>0</v>
      </c>
      <c r="AG2006" s="6"/>
      <c r="AH2006" s="5"/>
      <c r="AI2006" s="6">
        <v>1</v>
      </c>
      <c r="AJ2006" s="6"/>
      <c r="AK2006" s="5"/>
      <c r="AL2006" s="5"/>
      <c r="AM2006" s="5"/>
      <c r="AN2006" s="5"/>
      <c r="AO2006" s="5"/>
      <c r="AP2006" s="5"/>
      <c r="AQ2006" s="5"/>
    </row>
    <row r="2007" spans="1:43" x14ac:dyDescent="0.25">
      <c r="A2007" s="161" t="str">
        <f t="shared" si="36"/>
        <v>SAVAGE_ED</v>
      </c>
      <c r="B2007" s="9" t="s">
        <v>2083</v>
      </c>
      <c r="C2007" s="5"/>
      <c r="D2007" s="5"/>
      <c r="E2007" s="5" t="s">
        <v>2583</v>
      </c>
      <c r="F2007" s="5" t="s">
        <v>2583</v>
      </c>
      <c r="G2007" s="5"/>
      <c r="H2007" s="5" t="s">
        <v>2122</v>
      </c>
      <c r="I2007" s="5" t="s">
        <v>2123</v>
      </c>
      <c r="J2007" s="6"/>
      <c r="K2007" s="7">
        <v>1</v>
      </c>
      <c r="L2007" s="13"/>
      <c r="M2007" s="8"/>
      <c r="N2007" s="13"/>
      <c r="O2007" s="13"/>
      <c r="P2007" s="13"/>
      <c r="Q2007" s="7">
        <v>6</v>
      </c>
      <c r="R2007" s="6">
        <v>0.14000000000000001</v>
      </c>
      <c r="S2007" s="5" t="s">
        <v>1619</v>
      </c>
      <c r="T2007" s="6">
        <v>10</v>
      </c>
      <c r="U2007" s="7" t="s">
        <v>1736</v>
      </c>
      <c r="V2007" s="5"/>
      <c r="W2007" s="6" t="s">
        <v>3</v>
      </c>
      <c r="X2007" s="6" t="s">
        <v>3</v>
      </c>
      <c r="Y2007" s="5"/>
      <c r="Z2007" s="6">
        <v>1</v>
      </c>
      <c r="AA2007" s="6"/>
      <c r="AB2007" s="5"/>
      <c r="AC2007" s="6"/>
      <c r="AD2007" s="6" t="s">
        <v>3</v>
      </c>
      <c r="AE2007" s="5"/>
      <c r="AF2007" s="6">
        <v>2</v>
      </c>
      <c r="AG2007" s="6"/>
      <c r="AH2007" s="5"/>
      <c r="AI2007" s="6">
        <v>5</v>
      </c>
      <c r="AJ2007" s="6"/>
      <c r="AK2007" s="5"/>
      <c r="AL2007" s="5"/>
      <c r="AM2007" s="5"/>
      <c r="AN2007" s="5"/>
      <c r="AO2007" s="5"/>
      <c r="AP2007" s="5"/>
      <c r="AQ2007" s="5"/>
    </row>
    <row r="2008" spans="1:43" s="2" customFormat="1" x14ac:dyDescent="0.25">
      <c r="A2008" s="161" t="str">
        <f t="shared" si="36"/>
        <v>SAVAGE_ED_AFRI</v>
      </c>
      <c r="B2008" s="9" t="s">
        <v>2083</v>
      </c>
      <c r="C2008" s="5" t="s">
        <v>694</v>
      </c>
      <c r="D2008" s="5"/>
      <c r="E2008" s="5" t="s">
        <v>2583</v>
      </c>
      <c r="F2008" s="5" t="s">
        <v>2583</v>
      </c>
      <c r="G2008" s="5"/>
      <c r="H2008" s="5" t="s">
        <v>2090</v>
      </c>
      <c r="I2008" s="5" t="s">
        <v>1025</v>
      </c>
      <c r="J2008" s="6"/>
      <c r="K2008" s="7">
        <v>1</v>
      </c>
      <c r="L2008" s="13"/>
      <c r="M2008" s="8"/>
      <c r="N2008" s="5"/>
      <c r="O2008" s="5"/>
      <c r="P2008" s="5"/>
      <c r="Q2008" s="6"/>
      <c r="R2008" s="6"/>
      <c r="S2008" s="13"/>
      <c r="T2008" s="6"/>
      <c r="U2008" s="7"/>
      <c r="V2008" s="5"/>
      <c r="W2008" s="7"/>
      <c r="X2008" s="6"/>
      <c r="Y2008" s="5"/>
      <c r="Z2008" s="7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5"/>
      <c r="AM2008" s="5"/>
      <c r="AN2008" s="5"/>
      <c r="AO2008" s="5"/>
      <c r="AP2008" s="5"/>
      <c r="AQ2008" s="5"/>
    </row>
    <row r="2009" spans="1:43" s="2" customFormat="1" x14ac:dyDescent="0.25">
      <c r="A2009" s="161" t="str">
        <f t="shared" si="36"/>
        <v>SAVAGE_ED_EASTEU</v>
      </c>
      <c r="B2009" s="9" t="s">
        <v>2083</v>
      </c>
      <c r="C2009" s="5" t="s">
        <v>698</v>
      </c>
      <c r="D2009" s="5"/>
      <c r="E2009" s="5" t="s">
        <v>2583</v>
      </c>
      <c r="F2009" s="5" t="s">
        <v>2583</v>
      </c>
      <c r="G2009" s="5"/>
      <c r="H2009" s="5" t="s">
        <v>887</v>
      </c>
      <c r="I2009" s="5" t="s">
        <v>1820</v>
      </c>
      <c r="J2009" s="6"/>
      <c r="K2009" s="7">
        <v>1</v>
      </c>
      <c r="L2009" s="13"/>
      <c r="M2009" s="8"/>
      <c r="N2009" s="5"/>
      <c r="O2009" s="5"/>
      <c r="P2009" s="5"/>
      <c r="Q2009" s="6"/>
      <c r="R2009" s="6"/>
      <c r="S2009" s="13"/>
      <c r="T2009" s="6"/>
      <c r="U2009" s="7"/>
      <c r="V2009" s="5"/>
      <c r="W2009" s="7"/>
      <c r="X2009" s="6"/>
      <c r="Y2009" s="5"/>
      <c r="Z2009" s="7"/>
      <c r="AA2009" s="6"/>
      <c r="AB2009" s="5"/>
      <c r="AC2009" s="6"/>
      <c r="AD2009" s="6"/>
      <c r="AE2009" s="5"/>
      <c r="AF2009" s="6"/>
      <c r="AG2009" s="6"/>
      <c r="AH2009" s="5"/>
      <c r="AI2009" s="6"/>
      <c r="AJ2009" s="6"/>
      <c r="AK2009" s="5"/>
      <c r="AL2009" s="5"/>
      <c r="AM2009" s="5"/>
      <c r="AN2009" s="5"/>
      <c r="AO2009" s="5"/>
      <c r="AP2009" s="5"/>
      <c r="AQ2009" s="5"/>
    </row>
    <row r="2010" spans="1:43" s="2" customFormat="1" x14ac:dyDescent="0.25">
      <c r="A2010" s="161" t="str">
        <f t="shared" si="36"/>
        <v>SAVAGE_ED_CELTS</v>
      </c>
      <c r="B2010" s="9" t="s">
        <v>2083</v>
      </c>
      <c r="C2010" s="5" t="s">
        <v>709</v>
      </c>
      <c r="D2010" s="5"/>
      <c r="E2010" s="5" t="s">
        <v>2583</v>
      </c>
      <c r="F2010" s="5" t="s">
        <v>2583</v>
      </c>
      <c r="G2010" s="5"/>
      <c r="H2010" s="5" t="s">
        <v>236</v>
      </c>
      <c r="I2010" s="5" t="s">
        <v>1055</v>
      </c>
      <c r="J2010" s="6"/>
      <c r="K2010" s="7">
        <v>1</v>
      </c>
      <c r="L2010" s="13"/>
      <c r="M2010" s="8"/>
      <c r="N2010" s="5"/>
      <c r="O2010" s="5"/>
      <c r="P2010" s="5"/>
      <c r="Q2010" s="6"/>
      <c r="R2010" s="6"/>
      <c r="S2010" s="13"/>
      <c r="T2010" s="6"/>
      <c r="U2010" s="7"/>
      <c r="V2010" s="5"/>
      <c r="W2010" s="7"/>
      <c r="X2010" s="6"/>
      <c r="Y2010" s="5"/>
      <c r="Z2010" s="7"/>
      <c r="AA2010" s="6"/>
      <c r="AB2010" s="5"/>
      <c r="AC2010" s="6"/>
      <c r="AD2010" s="6"/>
      <c r="AE2010" s="5"/>
      <c r="AF2010" s="6"/>
      <c r="AG2010" s="6"/>
      <c r="AH2010" s="5"/>
      <c r="AI2010" s="6"/>
      <c r="AJ2010" s="6"/>
      <c r="AK2010" s="5"/>
      <c r="AL2010" s="5"/>
      <c r="AM2010" s="5"/>
      <c r="AN2010" s="5"/>
      <c r="AO2010" s="5"/>
      <c r="AP2010" s="5"/>
      <c r="AQ2010" s="5"/>
    </row>
    <row r="2011" spans="1:43" s="2" customFormat="1" x14ac:dyDescent="0.25">
      <c r="A2011" s="161" t="str">
        <f t="shared" si="36"/>
        <v>SAVAGE_ED_ENGLAND</v>
      </c>
      <c r="B2011" s="9" t="s">
        <v>2083</v>
      </c>
      <c r="C2011" s="4" t="s">
        <v>713</v>
      </c>
      <c r="D2011" s="4" t="s">
        <v>709</v>
      </c>
      <c r="E2011" s="5" t="s">
        <v>2583</v>
      </c>
      <c r="F2011" s="5" t="s">
        <v>2583</v>
      </c>
      <c r="G2011" s="4"/>
      <c r="H2011" s="4"/>
      <c r="I2011" s="4"/>
      <c r="J2011" s="11"/>
      <c r="K2011" s="7">
        <v>1</v>
      </c>
      <c r="L2011" s="4"/>
      <c r="M2011" s="12"/>
      <c r="N2011" s="4"/>
      <c r="O2011" s="4"/>
      <c r="P2011" s="4"/>
      <c r="Q2011" s="9"/>
      <c r="R2011" s="11"/>
      <c r="S2011" s="4"/>
      <c r="T2011" s="11"/>
      <c r="U2011" s="11"/>
      <c r="V2011" s="4"/>
      <c r="W2011" s="11"/>
      <c r="X2011" s="11"/>
      <c r="Y2011" s="4"/>
      <c r="Z2011" s="9"/>
      <c r="AA2011" s="11"/>
      <c r="AB2011" s="4"/>
      <c r="AC2011" s="11"/>
      <c r="AD2011" s="11"/>
      <c r="AE2011" s="4"/>
      <c r="AF2011" s="11"/>
      <c r="AG2011" s="11"/>
      <c r="AH2011" s="4"/>
      <c r="AI2011" s="11"/>
      <c r="AJ2011" s="11"/>
      <c r="AK2011" s="4"/>
      <c r="AL2011" s="4"/>
      <c r="AM2011" s="4"/>
      <c r="AN2011" s="4"/>
      <c r="AO2011" s="4"/>
      <c r="AP2011" s="4"/>
      <c r="AQ2011" s="4"/>
    </row>
    <row r="2012" spans="1:43" s="2" customFormat="1" x14ac:dyDescent="0.25">
      <c r="A2012" s="161" t="str">
        <f t="shared" si="36"/>
        <v>SAVAGE_ED_GERMANY</v>
      </c>
      <c r="B2012" s="211" t="s">
        <v>2083</v>
      </c>
      <c r="C2012" s="212" t="s">
        <v>717</v>
      </c>
      <c r="D2012" s="213" t="s">
        <v>698</v>
      </c>
      <c r="E2012" s="213" t="s">
        <v>2583</v>
      </c>
      <c r="F2012" s="213" t="s">
        <v>2583</v>
      </c>
      <c r="G2012" s="213"/>
      <c r="H2012" s="212"/>
      <c r="I2012" s="213"/>
      <c r="J2012" s="211"/>
      <c r="K2012" s="211">
        <v>1</v>
      </c>
      <c r="L2012" s="213"/>
      <c r="M2012" s="213"/>
      <c r="N2012" s="211">
        <v>0</v>
      </c>
      <c r="O2012" s="211"/>
      <c r="P2012" s="213"/>
      <c r="Q2012" s="211"/>
      <c r="R2012" s="211"/>
      <c r="S2012" s="213"/>
      <c r="T2012" s="211"/>
      <c r="U2012" s="211"/>
      <c r="V2012" s="213"/>
      <c r="W2012" s="211"/>
      <c r="X2012" s="211"/>
      <c r="Y2012" s="213"/>
      <c r="Z2012" s="211"/>
      <c r="AA2012" s="211"/>
      <c r="AB2012" s="213"/>
      <c r="AC2012" s="211"/>
      <c r="AD2012" s="211"/>
      <c r="AE2012" s="213"/>
      <c r="AF2012" s="211"/>
      <c r="AG2012" s="211"/>
      <c r="AH2012" s="213"/>
      <c r="AI2012" s="213"/>
      <c r="AJ2012" s="213"/>
      <c r="AK2012" s="213"/>
      <c r="AL2012" s="213"/>
      <c r="AM2012" s="213"/>
      <c r="AN2012" s="213"/>
      <c r="AO2012" s="4"/>
      <c r="AP2012" s="4"/>
      <c r="AQ2012" s="4"/>
    </row>
    <row r="2013" spans="1:43" s="2" customFormat="1" x14ac:dyDescent="0.25">
      <c r="A2013" s="161" t="str">
        <f t="shared" si="36"/>
        <v>SAVAGE_ED_MIDEAST</v>
      </c>
      <c r="B2013" s="211" t="s">
        <v>2083</v>
      </c>
      <c r="C2013" s="212" t="s">
        <v>690</v>
      </c>
      <c r="D2013" s="213"/>
      <c r="E2013" s="213" t="s">
        <v>2583</v>
      </c>
      <c r="F2013" s="213" t="s">
        <v>2583</v>
      </c>
      <c r="G2013" s="213"/>
      <c r="H2013" s="212" t="s">
        <v>2181</v>
      </c>
      <c r="I2013" s="4" t="s">
        <v>1793</v>
      </c>
      <c r="J2013" s="211"/>
      <c r="K2013" s="211">
        <v>1</v>
      </c>
      <c r="L2013" s="213"/>
      <c r="M2013" s="213"/>
      <c r="N2013" s="211"/>
      <c r="O2013" s="211"/>
      <c r="P2013" s="213"/>
      <c r="Q2013" s="211"/>
      <c r="R2013" s="211"/>
      <c r="S2013" s="213"/>
      <c r="T2013" s="211"/>
      <c r="U2013" s="211"/>
      <c r="V2013" s="213"/>
      <c r="W2013" s="211"/>
      <c r="X2013" s="211"/>
      <c r="Y2013" s="213"/>
      <c r="Z2013" s="211"/>
      <c r="AA2013" s="211"/>
      <c r="AB2013" s="213"/>
      <c r="AC2013" s="211"/>
      <c r="AD2013" s="211"/>
      <c r="AE2013" s="213"/>
      <c r="AF2013" s="211"/>
      <c r="AG2013" s="211"/>
      <c r="AH2013" s="213"/>
      <c r="AI2013" s="213"/>
      <c r="AJ2013" s="213"/>
      <c r="AK2013" s="213"/>
      <c r="AL2013" s="213"/>
      <c r="AM2013" s="213"/>
      <c r="AN2013" s="213"/>
      <c r="AO2013" s="4"/>
      <c r="AP2013" s="4"/>
      <c r="AQ2013" s="4"/>
    </row>
    <row r="2014" spans="1:43" s="2" customFormat="1" x14ac:dyDescent="0.25">
      <c r="A2014" s="161" t="str">
        <f t="shared" si="36"/>
        <v>SAVAGE_ED_NORTHEU</v>
      </c>
      <c r="B2014" s="9" t="s">
        <v>2083</v>
      </c>
      <c r="C2014" s="5" t="s">
        <v>962</v>
      </c>
      <c r="D2014" s="5"/>
      <c r="E2014" s="5" t="s">
        <v>2583</v>
      </c>
      <c r="F2014" s="5" t="s">
        <v>2583</v>
      </c>
      <c r="G2014" s="5"/>
      <c r="H2014" s="5" t="s">
        <v>2610</v>
      </c>
      <c r="I2014" s="5" t="s">
        <v>2123</v>
      </c>
      <c r="J2014" s="6"/>
      <c r="K2014" s="7">
        <v>1</v>
      </c>
      <c r="L2014" s="13"/>
      <c r="M2014" s="8"/>
      <c r="N2014" s="5"/>
      <c r="O2014" s="5"/>
      <c r="P2014" s="5"/>
      <c r="Q2014" s="6"/>
      <c r="R2014" s="6"/>
      <c r="S2014" s="13"/>
      <c r="T2014" s="6"/>
      <c r="U2014" s="7"/>
      <c r="V2014" s="5"/>
      <c r="W2014" s="7"/>
      <c r="X2014" s="6"/>
      <c r="Y2014" s="5"/>
      <c r="Z2014" s="7"/>
      <c r="AA2014" s="6"/>
      <c r="AB2014" s="5"/>
      <c r="AC2014" s="6"/>
      <c r="AD2014" s="6"/>
      <c r="AE2014" s="5"/>
      <c r="AF2014" s="6"/>
      <c r="AG2014" s="6"/>
      <c r="AH2014" s="5"/>
      <c r="AI2014" s="6"/>
      <c r="AJ2014" s="6"/>
      <c r="AK2014" s="5"/>
      <c r="AL2014" s="5"/>
      <c r="AM2014" s="5"/>
      <c r="AN2014" s="5"/>
      <c r="AO2014" s="5"/>
      <c r="AP2014" s="5"/>
      <c r="AQ2014" s="5"/>
    </row>
    <row r="2015" spans="1:43" x14ac:dyDescent="0.25">
      <c r="A2015" s="161" t="str">
        <f t="shared" si="36"/>
        <v>SAVAGE_ED_NORTHAF</v>
      </c>
      <c r="B2015" s="9" t="s">
        <v>2083</v>
      </c>
      <c r="C2015" s="5" t="s">
        <v>2009</v>
      </c>
      <c r="D2015" s="5"/>
      <c r="E2015" s="5" t="s">
        <v>2583</v>
      </c>
      <c r="F2015" s="5" t="s">
        <v>2583</v>
      </c>
      <c r="G2015" s="5"/>
      <c r="H2015" s="5" t="s">
        <v>2093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2</v>
      </c>
      <c r="R2015" s="6"/>
      <c r="S2015" s="5"/>
      <c r="T2015" s="6">
        <v>2</v>
      </c>
      <c r="U2015" s="7"/>
      <c r="V2015" s="5"/>
      <c r="W2015" s="6"/>
      <c r="X2015" s="6"/>
      <c r="Y2015" s="5"/>
      <c r="Z2015" s="6">
        <v>1</v>
      </c>
      <c r="AA2015" s="6"/>
      <c r="AB2015" s="5"/>
      <c r="AC2015" s="6"/>
      <c r="AD2015" s="6"/>
      <c r="AE2015" s="5"/>
      <c r="AF2015" s="6">
        <v>1</v>
      </c>
      <c r="AG2015" s="6"/>
      <c r="AH2015" s="5"/>
      <c r="AI2015" s="6">
        <v>2</v>
      </c>
      <c r="AJ2015" s="6"/>
      <c r="AK2015" s="5"/>
      <c r="AL2015" s="5"/>
      <c r="AM2015" s="5"/>
      <c r="AN2015" s="5"/>
      <c r="AO2015" s="5"/>
      <c r="AP2015" s="5"/>
      <c r="AQ2015" s="5"/>
    </row>
    <row r="2016" spans="1:43" x14ac:dyDescent="0.25">
      <c r="A2016" s="161" t="str">
        <f t="shared" si="36"/>
        <v>SAVAGE_ED_NORTHAF</v>
      </c>
      <c r="B2016" s="9" t="s">
        <v>2083</v>
      </c>
      <c r="C2016" s="5" t="s">
        <v>2009</v>
      </c>
      <c r="D2016" s="5"/>
      <c r="E2016" s="5" t="s">
        <v>2583</v>
      </c>
      <c r="F2016" s="5" t="s">
        <v>2583</v>
      </c>
      <c r="G2016" s="5" t="s">
        <v>2045</v>
      </c>
      <c r="H2016" s="5" t="s">
        <v>2094</v>
      </c>
      <c r="I2016" s="5" t="s">
        <v>1025</v>
      </c>
      <c r="J2016" s="6"/>
      <c r="K2016" s="7">
        <v>1</v>
      </c>
      <c r="L2016" s="13"/>
      <c r="M2016" s="8"/>
      <c r="N2016" s="13"/>
      <c r="O2016" s="13"/>
      <c r="P2016" s="13"/>
      <c r="Q2016" s="7">
        <v>2</v>
      </c>
      <c r="R2016" s="6"/>
      <c r="S2016" s="5"/>
      <c r="T2016" s="6">
        <v>3</v>
      </c>
      <c r="U2016" s="7"/>
      <c r="V2016" s="5"/>
      <c r="W2016" s="6"/>
      <c r="X2016" s="6"/>
      <c r="Y2016" s="5"/>
      <c r="Z2016" s="6">
        <v>0</v>
      </c>
      <c r="AA2016" s="6"/>
      <c r="AB2016" s="5"/>
      <c r="AC2016" s="6"/>
      <c r="AD2016" s="6"/>
      <c r="AE2016" s="5"/>
      <c r="AF2016" s="6">
        <v>1</v>
      </c>
      <c r="AG2016" s="6"/>
      <c r="AH2016" s="5"/>
      <c r="AI2016" s="6">
        <v>1</v>
      </c>
      <c r="AJ2016" s="6"/>
      <c r="AK2016" s="5"/>
      <c r="AL2016" s="5"/>
      <c r="AM2016" s="5"/>
      <c r="AN2016" s="5"/>
      <c r="AO2016" s="5"/>
      <c r="AP2016" s="5"/>
      <c r="AQ2016" s="5"/>
    </row>
    <row r="2017" spans="1:43" x14ac:dyDescent="0.25">
      <c r="A2017" s="161" t="str">
        <f t="shared" si="36"/>
        <v>SAVAGE_ED_NORTHAF</v>
      </c>
      <c r="B2017" s="9" t="s">
        <v>2083</v>
      </c>
      <c r="C2017" s="5" t="s">
        <v>2009</v>
      </c>
      <c r="D2017" s="5"/>
      <c r="E2017" s="5" t="s">
        <v>2583</v>
      </c>
      <c r="F2017" s="5" t="s">
        <v>2583</v>
      </c>
      <c r="G2017" s="5"/>
      <c r="H2017" s="5" t="s">
        <v>2093</v>
      </c>
      <c r="I2017" s="5" t="s">
        <v>1025</v>
      </c>
      <c r="J2017" s="6"/>
      <c r="K2017" s="7">
        <v>1</v>
      </c>
      <c r="L2017" s="13"/>
      <c r="M2017" s="8"/>
      <c r="N2017" s="13"/>
      <c r="O2017" s="13"/>
      <c r="P2017" s="13"/>
      <c r="Q2017" s="7">
        <v>2</v>
      </c>
      <c r="R2017" s="6"/>
      <c r="S2017" s="5"/>
      <c r="T2017" s="6">
        <v>3</v>
      </c>
      <c r="U2017" s="7"/>
      <c r="V2017" s="5"/>
      <c r="W2017" s="6"/>
      <c r="X2017" s="6"/>
      <c r="Y2017" s="5"/>
      <c r="Z2017" s="6">
        <v>0</v>
      </c>
      <c r="AA2017" s="6"/>
      <c r="AB2017" s="5"/>
      <c r="AC2017" s="6"/>
      <c r="AD2017" s="6"/>
      <c r="AE2017" s="5"/>
      <c r="AF2017" s="6">
        <v>0</v>
      </c>
      <c r="AG2017" s="6"/>
      <c r="AH2017" s="5"/>
      <c r="AI2017" s="6">
        <v>1</v>
      </c>
      <c r="AJ2017" s="6"/>
      <c r="AK2017" s="5"/>
      <c r="AL2017" s="5"/>
      <c r="AM2017" s="5"/>
      <c r="AN2017" s="5"/>
      <c r="AO2017" s="5"/>
      <c r="AP2017" s="5"/>
      <c r="AQ2017" s="5"/>
    </row>
    <row r="2018" spans="1:43" x14ac:dyDescent="0.25">
      <c r="A2018" s="161" t="str">
        <f t="shared" si="36"/>
        <v>SAVAGE_ED_NORTHAF</v>
      </c>
      <c r="B2018" s="9" t="s">
        <v>2083</v>
      </c>
      <c r="C2018" s="5" t="s">
        <v>2009</v>
      </c>
      <c r="D2018" s="5"/>
      <c r="E2018" s="5" t="s">
        <v>2583</v>
      </c>
      <c r="F2018" s="5" t="s">
        <v>2583</v>
      </c>
      <c r="G2018" s="5" t="s">
        <v>2045</v>
      </c>
      <c r="H2018" s="5" t="s">
        <v>2094</v>
      </c>
      <c r="I2018" s="5" t="s">
        <v>1025</v>
      </c>
      <c r="J2018" s="6"/>
      <c r="K2018" s="7">
        <v>1</v>
      </c>
      <c r="L2018" s="13"/>
      <c r="M2018" s="8"/>
      <c r="N2018" s="13"/>
      <c r="O2018" s="13"/>
      <c r="P2018" s="13"/>
      <c r="Q2018" s="7">
        <v>0</v>
      </c>
      <c r="R2018" s="6"/>
      <c r="S2018" s="5"/>
      <c r="T2018" s="6">
        <v>2</v>
      </c>
      <c r="U2018" s="7"/>
      <c r="V2018" s="5"/>
      <c r="W2018" s="6"/>
      <c r="X2018" s="6"/>
      <c r="Y2018" s="5"/>
      <c r="Z2018" s="6">
        <v>0</v>
      </c>
      <c r="AA2018" s="6"/>
      <c r="AB2018" s="5"/>
      <c r="AC2018" s="6"/>
      <c r="AD2018" s="6"/>
      <c r="AE2018" s="5"/>
      <c r="AF2018" s="6">
        <v>0</v>
      </c>
      <c r="AG2018" s="6"/>
      <c r="AH2018" s="5"/>
      <c r="AI2018" s="6">
        <v>1</v>
      </c>
      <c r="AJ2018" s="6"/>
      <c r="AK2018" s="5"/>
      <c r="AL2018" s="5"/>
      <c r="AM2018" s="5"/>
      <c r="AN2018" s="5"/>
      <c r="AO2018" s="5"/>
      <c r="AP2018" s="5"/>
      <c r="AQ2018" s="5"/>
    </row>
    <row r="2019" spans="1:43" x14ac:dyDescent="0.25">
      <c r="A2019" s="161" t="str">
        <f t="shared" si="36"/>
        <v>SHAMAN</v>
      </c>
      <c r="B2019" s="9" t="s">
        <v>2519</v>
      </c>
      <c r="C2019" s="5"/>
      <c r="D2019" s="5"/>
      <c r="E2019" s="5" t="s">
        <v>2519</v>
      </c>
      <c r="F2019" s="5" t="s">
        <v>2519</v>
      </c>
      <c r="G2019" s="5"/>
      <c r="H2019" s="5" t="s">
        <v>2089</v>
      </c>
      <c r="I2019" s="5" t="s">
        <v>102</v>
      </c>
      <c r="J2019" s="6"/>
      <c r="K2019" s="7">
        <v>1</v>
      </c>
      <c r="L2019" s="13"/>
      <c r="M2019" s="8"/>
      <c r="N2019" s="13"/>
      <c r="O2019" s="13"/>
      <c r="P2019" s="13"/>
      <c r="Q2019" s="7">
        <v>3</v>
      </c>
      <c r="R2019" s="6">
        <v>0.13500000000000001</v>
      </c>
      <c r="S2019" s="5" t="s">
        <v>1613</v>
      </c>
      <c r="T2019" s="6"/>
      <c r="U2019" s="7"/>
      <c r="V2019" s="5"/>
      <c r="W2019" s="6"/>
      <c r="X2019" s="6"/>
      <c r="Y2019" s="5"/>
      <c r="Z2019" s="6">
        <v>1</v>
      </c>
      <c r="AA2019" s="6"/>
      <c r="AB2019" s="5"/>
      <c r="AC2019" s="6"/>
      <c r="AD2019" s="6"/>
      <c r="AE2019" s="5"/>
      <c r="AF2019" s="6">
        <v>2</v>
      </c>
      <c r="AG2019" s="6"/>
      <c r="AH2019" s="5"/>
      <c r="AI2019" s="6">
        <v>3</v>
      </c>
      <c r="AJ2019" s="6"/>
      <c r="AK2019" s="5"/>
      <c r="AL2019" s="5"/>
      <c r="AM2019" s="5"/>
      <c r="AN2019" s="5"/>
      <c r="AO2019" s="5"/>
      <c r="AP2019" s="5"/>
      <c r="AQ2019" s="5"/>
    </row>
    <row r="2020" spans="1:43" x14ac:dyDescent="0.25">
      <c r="A2020" s="161" t="str">
        <f t="shared" si="36"/>
        <v>2HANDER</v>
      </c>
      <c r="B2020" s="9" t="s">
        <v>2522</v>
      </c>
      <c r="C2020" s="5"/>
      <c r="D2020" s="5"/>
      <c r="E2020" s="5" t="s">
        <v>2522</v>
      </c>
      <c r="F2020" s="5" t="s">
        <v>2522</v>
      </c>
      <c r="G2020" s="5"/>
      <c r="H2020" s="5" t="s">
        <v>2162</v>
      </c>
      <c r="I2020" s="5" t="s">
        <v>1811</v>
      </c>
      <c r="J2020" s="6"/>
      <c r="K2020" s="7">
        <v>1</v>
      </c>
      <c r="L2020" s="13"/>
      <c r="M2020" s="8"/>
      <c r="N2020" s="13"/>
      <c r="O2020" s="13"/>
      <c r="P2020" s="13"/>
      <c r="Q2020" s="7" t="s">
        <v>1736</v>
      </c>
      <c r="R2020" s="6" t="s">
        <v>1736</v>
      </c>
      <c r="S2020" s="13" t="s">
        <v>22</v>
      </c>
      <c r="T2020" s="7" t="s">
        <v>1736</v>
      </c>
      <c r="U2020" s="7" t="s">
        <v>1694</v>
      </c>
      <c r="V2020" s="5"/>
      <c r="W2020" s="6" t="s">
        <v>3</v>
      </c>
      <c r="X2020" s="6" t="s">
        <v>3</v>
      </c>
      <c r="Y2020" s="5"/>
      <c r="Z2020" s="7">
        <v>1</v>
      </c>
      <c r="AA2020" s="6"/>
      <c r="AB2020" s="5"/>
      <c r="AC2020" s="6"/>
      <c r="AD2020" s="6" t="s">
        <v>3</v>
      </c>
      <c r="AE2020" s="5"/>
      <c r="AF2020" s="7" t="s">
        <v>1736</v>
      </c>
      <c r="AG2020" s="6"/>
      <c r="AH2020" s="5"/>
      <c r="AI2020" s="7" t="s">
        <v>1736</v>
      </c>
      <c r="AJ2020" s="6"/>
      <c r="AK2020" s="5"/>
      <c r="AL2020" s="5"/>
      <c r="AM2020" s="5"/>
      <c r="AN2020" s="5"/>
      <c r="AO2020" s="5"/>
      <c r="AP2020" s="5"/>
      <c r="AQ2020" s="5"/>
    </row>
    <row r="2021" spans="1:43" x14ac:dyDescent="0.25">
      <c r="A2021" s="161" t="str">
        <f t="shared" si="36"/>
        <v>2HANDER_ED</v>
      </c>
      <c r="B2021" s="9" t="s">
        <v>2522</v>
      </c>
      <c r="C2021" s="5"/>
      <c r="D2021" s="5"/>
      <c r="E2021" s="5" t="s">
        <v>2586</v>
      </c>
      <c r="F2021" s="5" t="s">
        <v>2586</v>
      </c>
      <c r="G2021" s="5"/>
      <c r="H2021" s="5" t="s">
        <v>2162</v>
      </c>
      <c r="I2021" s="5" t="s">
        <v>1811</v>
      </c>
      <c r="J2021" s="6"/>
      <c r="K2021" s="7">
        <v>1</v>
      </c>
      <c r="L2021" s="13"/>
      <c r="M2021" s="8"/>
      <c r="N2021" s="13"/>
      <c r="O2021" s="13"/>
      <c r="P2021" s="13"/>
      <c r="Q2021" s="7" t="s">
        <v>1736</v>
      </c>
      <c r="R2021" s="6" t="s">
        <v>1736</v>
      </c>
      <c r="S2021" s="13" t="s">
        <v>22</v>
      </c>
      <c r="T2021" s="7" t="s">
        <v>1736</v>
      </c>
      <c r="U2021" s="7" t="s">
        <v>1694</v>
      </c>
      <c r="V2021" s="5"/>
      <c r="W2021" s="6" t="s">
        <v>3</v>
      </c>
      <c r="X2021" s="6" t="s">
        <v>3</v>
      </c>
      <c r="Y2021" s="5"/>
      <c r="Z2021" s="7">
        <v>1</v>
      </c>
      <c r="AA2021" s="6"/>
      <c r="AB2021" s="5"/>
      <c r="AC2021" s="6"/>
      <c r="AD2021" s="6" t="s">
        <v>3</v>
      </c>
      <c r="AE2021" s="5"/>
      <c r="AF2021" s="7" t="s">
        <v>1736</v>
      </c>
      <c r="AG2021" s="6"/>
      <c r="AH2021" s="5"/>
      <c r="AI2021" s="7" t="s">
        <v>1736</v>
      </c>
      <c r="AJ2021" s="6"/>
      <c r="AK2021" s="5"/>
      <c r="AL2021" s="5"/>
      <c r="AM2021" s="5"/>
      <c r="AN2021" s="5"/>
      <c r="AO2021" s="5"/>
      <c r="AP2021" s="5"/>
      <c r="AQ2021" s="5"/>
    </row>
    <row r="2022" spans="1:43" x14ac:dyDescent="0.25">
      <c r="A2022" s="161" t="str">
        <f t="shared" si="36"/>
        <v>2HANDER_ED_AUSTRIA</v>
      </c>
      <c r="B2022" s="9" t="s">
        <v>2522</v>
      </c>
      <c r="C2022" s="5" t="s">
        <v>701</v>
      </c>
      <c r="D2022" s="5" t="s">
        <v>717</v>
      </c>
      <c r="E2022" s="5" t="s">
        <v>2586</v>
      </c>
      <c r="F2022" s="5" t="s">
        <v>2586</v>
      </c>
      <c r="G2022" s="5"/>
      <c r="H2022" s="5"/>
      <c r="I2022" s="5"/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13"/>
      <c r="T2022" s="7"/>
      <c r="U2022" s="7"/>
      <c r="V2022" s="5"/>
      <c r="W2022" s="6"/>
      <c r="X2022" s="6"/>
      <c r="Y2022" s="5"/>
      <c r="Z2022" s="7"/>
      <c r="AA2022" s="6"/>
      <c r="AB2022" s="5"/>
      <c r="AC2022" s="6"/>
      <c r="AD2022" s="6"/>
      <c r="AE2022" s="5"/>
      <c r="AF2022" s="7"/>
      <c r="AG2022" s="6"/>
      <c r="AH2022" s="5"/>
      <c r="AI2022" s="7"/>
      <c r="AJ2022" s="6"/>
      <c r="AK2022" s="5"/>
      <c r="AL2022" s="5"/>
      <c r="AM2022" s="5"/>
      <c r="AN2022" s="5"/>
      <c r="AO2022" s="5"/>
      <c r="AP2022" s="5"/>
      <c r="AQ2022" s="5"/>
    </row>
    <row r="2023" spans="1:43" x14ac:dyDescent="0.25">
      <c r="A2023" s="161" t="str">
        <f t="shared" si="36"/>
        <v>2HANDER_ED_BELGIUM</v>
      </c>
      <c r="B2023" s="9" t="s">
        <v>2522</v>
      </c>
      <c r="C2023" s="5" t="s">
        <v>704</v>
      </c>
      <c r="D2023" s="5" t="s">
        <v>717</v>
      </c>
      <c r="E2023" s="5" t="s">
        <v>2586</v>
      </c>
      <c r="F2023" s="5" t="s">
        <v>2586</v>
      </c>
      <c r="G2023" s="5"/>
      <c r="H2023" s="5"/>
      <c r="I2023" s="5"/>
      <c r="J2023" s="6"/>
      <c r="K2023" s="7">
        <v>1</v>
      </c>
      <c r="L2023" s="13"/>
      <c r="M2023" s="8"/>
      <c r="N2023" s="13"/>
      <c r="O2023" s="13"/>
      <c r="P2023" s="13"/>
      <c r="Q2023" s="7"/>
      <c r="R2023" s="6"/>
      <c r="S2023" s="13"/>
      <c r="T2023" s="7"/>
      <c r="U2023" s="7"/>
      <c r="V2023" s="5"/>
      <c r="W2023" s="6"/>
      <c r="X2023" s="6"/>
      <c r="Y2023" s="5"/>
      <c r="Z2023" s="7"/>
      <c r="AA2023" s="6"/>
      <c r="AB2023" s="5"/>
      <c r="AC2023" s="6"/>
      <c r="AD2023" s="6"/>
      <c r="AE2023" s="5"/>
      <c r="AF2023" s="7"/>
      <c r="AG2023" s="6"/>
      <c r="AH2023" s="5"/>
      <c r="AI2023" s="7"/>
      <c r="AJ2023" s="6"/>
      <c r="AK2023" s="5"/>
      <c r="AL2023" s="5"/>
      <c r="AM2023" s="5"/>
      <c r="AN2023" s="5"/>
      <c r="AO2023" s="5"/>
      <c r="AP2023" s="5"/>
      <c r="AQ2023" s="5"/>
    </row>
    <row r="2024" spans="1:43" x14ac:dyDescent="0.25">
      <c r="A2024" s="161" t="str">
        <f t="shared" si="36"/>
        <v>2HANDER_ED_BOHEMIA</v>
      </c>
      <c r="B2024" s="9" t="s">
        <v>2522</v>
      </c>
      <c r="C2024" s="5" t="s">
        <v>705</v>
      </c>
      <c r="D2024" s="5" t="s">
        <v>717</v>
      </c>
      <c r="E2024" s="5" t="s">
        <v>2586</v>
      </c>
      <c r="F2024" s="5" t="s">
        <v>2586</v>
      </c>
      <c r="G2024" s="5"/>
      <c r="H2024" s="5"/>
      <c r="I2024" s="5"/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13"/>
      <c r="T2024" s="7"/>
      <c r="U2024" s="7"/>
      <c r="V2024" s="5"/>
      <c r="W2024" s="6"/>
      <c r="X2024" s="6"/>
      <c r="Y2024" s="5"/>
      <c r="Z2024" s="7"/>
      <c r="AA2024" s="6"/>
      <c r="AB2024" s="5"/>
      <c r="AC2024" s="6"/>
      <c r="AD2024" s="6"/>
      <c r="AE2024" s="5"/>
      <c r="AF2024" s="7"/>
      <c r="AG2024" s="6"/>
      <c r="AH2024" s="5"/>
      <c r="AI2024" s="7"/>
      <c r="AJ2024" s="6"/>
      <c r="AK2024" s="5"/>
      <c r="AL2024" s="5"/>
      <c r="AM2024" s="5"/>
      <c r="AN2024" s="5"/>
      <c r="AO2024" s="5"/>
      <c r="AP2024" s="5"/>
      <c r="AQ2024" s="5"/>
    </row>
    <row r="2025" spans="1:43" x14ac:dyDescent="0.25">
      <c r="A2025" s="161" t="str">
        <f t="shared" si="36"/>
        <v>2HANDER_ED_GERMANY</v>
      </c>
      <c r="B2025" s="9" t="s">
        <v>2522</v>
      </c>
      <c r="C2025" s="5" t="s">
        <v>717</v>
      </c>
      <c r="D2025" s="5"/>
      <c r="E2025" s="5" t="s">
        <v>2586</v>
      </c>
      <c r="F2025" s="5" t="s">
        <v>2586</v>
      </c>
      <c r="G2025" s="5"/>
      <c r="H2025" s="5" t="s">
        <v>2600</v>
      </c>
      <c r="I2025" s="5" t="s">
        <v>1811</v>
      </c>
      <c r="J2025" s="6"/>
      <c r="K2025" s="7">
        <v>1</v>
      </c>
      <c r="L2025" s="13"/>
      <c r="M2025" s="8"/>
      <c r="N2025" s="13"/>
      <c r="O2025" s="13"/>
      <c r="P2025" s="13"/>
      <c r="Q2025" s="7">
        <v>3</v>
      </c>
      <c r="R2025" s="6"/>
      <c r="S2025" s="13"/>
      <c r="T2025" s="7">
        <v>4</v>
      </c>
      <c r="U2025" s="7"/>
      <c r="V2025" s="5"/>
      <c r="W2025" s="6" t="s">
        <v>3</v>
      </c>
      <c r="X2025" s="6"/>
      <c r="Y2025" s="5"/>
      <c r="Z2025" s="7">
        <v>1</v>
      </c>
      <c r="AA2025" s="6"/>
      <c r="AB2025" s="5"/>
      <c r="AC2025" s="6"/>
      <c r="AD2025" s="6"/>
      <c r="AE2025" s="5"/>
      <c r="AF2025" s="7">
        <v>1</v>
      </c>
      <c r="AG2025" s="6"/>
      <c r="AH2025" s="5"/>
      <c r="AI2025" s="7">
        <v>2</v>
      </c>
      <c r="AJ2025" s="6"/>
      <c r="AK2025" s="5"/>
      <c r="AL2025" s="5"/>
      <c r="AM2025" s="5"/>
      <c r="AN2025" s="5"/>
      <c r="AO2025" s="5"/>
      <c r="AP2025" s="5"/>
      <c r="AQ2025" s="5"/>
    </row>
    <row r="2026" spans="1:43" x14ac:dyDescent="0.25">
      <c r="A2026" s="161" t="str">
        <f t="shared" si="36"/>
        <v>2HANDER_ED_GERMANY</v>
      </c>
      <c r="B2026" s="9" t="s">
        <v>2522</v>
      </c>
      <c r="C2026" s="5" t="s">
        <v>717</v>
      </c>
      <c r="D2026" s="5"/>
      <c r="E2026" s="5" t="s">
        <v>2586</v>
      </c>
      <c r="F2026" s="5" t="s">
        <v>2586</v>
      </c>
      <c r="G2026" s="5" t="s">
        <v>2045</v>
      </c>
      <c r="H2026" s="5" t="s">
        <v>2601</v>
      </c>
      <c r="I2026" s="5" t="s">
        <v>1811</v>
      </c>
      <c r="J2026" s="6"/>
      <c r="K2026" s="7">
        <v>1</v>
      </c>
      <c r="L2026" s="13"/>
      <c r="M2026" s="8"/>
      <c r="N2026" s="13"/>
      <c r="O2026" s="13"/>
      <c r="P2026" s="13"/>
      <c r="Q2026" s="7">
        <v>4</v>
      </c>
      <c r="R2026" s="6"/>
      <c r="S2026" s="13"/>
      <c r="T2026" s="7">
        <v>5</v>
      </c>
      <c r="U2026" s="7"/>
      <c r="V2026" s="5"/>
      <c r="W2026" s="6" t="s">
        <v>3</v>
      </c>
      <c r="X2026" s="6"/>
      <c r="Y2026" s="5"/>
      <c r="Z2026" s="7">
        <v>0</v>
      </c>
      <c r="AA2026" s="6"/>
      <c r="AB2026" s="5"/>
      <c r="AC2026" s="6"/>
      <c r="AD2026" s="6"/>
      <c r="AE2026" s="5"/>
      <c r="AF2026" s="7">
        <v>1</v>
      </c>
      <c r="AG2026" s="6"/>
      <c r="AH2026" s="5"/>
      <c r="AI2026" s="7">
        <v>2</v>
      </c>
      <c r="AJ2026" s="6"/>
      <c r="AK2026" s="5"/>
      <c r="AL2026" s="5"/>
      <c r="AM2026" s="5"/>
      <c r="AN2026" s="5"/>
      <c r="AO2026" s="5"/>
      <c r="AP2026" s="5"/>
      <c r="AQ2026" s="5"/>
    </row>
    <row r="2027" spans="1:43" x14ac:dyDescent="0.25">
      <c r="A2027" s="161" t="str">
        <f t="shared" si="36"/>
        <v>2HANDER_ED_GERMANY</v>
      </c>
      <c r="B2027" s="9" t="s">
        <v>2522</v>
      </c>
      <c r="C2027" s="5" t="s">
        <v>717</v>
      </c>
      <c r="D2027" s="5"/>
      <c r="E2027" s="5" t="s">
        <v>2586</v>
      </c>
      <c r="F2027" s="5" t="s">
        <v>2586</v>
      </c>
      <c r="G2027" s="5"/>
      <c r="H2027" s="5" t="s">
        <v>2600</v>
      </c>
      <c r="I2027" s="5" t="s">
        <v>1811</v>
      </c>
      <c r="J2027" s="6"/>
      <c r="K2027" s="7">
        <v>1</v>
      </c>
      <c r="L2027" s="13"/>
      <c r="M2027" s="8"/>
      <c r="N2027" s="13"/>
      <c r="O2027" s="13"/>
      <c r="P2027" s="13"/>
      <c r="Q2027" s="7">
        <v>3</v>
      </c>
      <c r="R2027" s="6"/>
      <c r="S2027" s="13"/>
      <c r="T2027" s="7">
        <v>4</v>
      </c>
      <c r="U2027" s="7"/>
      <c r="V2027" s="5"/>
      <c r="W2027" s="6" t="s">
        <v>3</v>
      </c>
      <c r="X2027" s="6"/>
      <c r="Y2027" s="5"/>
      <c r="Z2027" s="7">
        <v>0</v>
      </c>
      <c r="AA2027" s="6"/>
      <c r="AB2027" s="5"/>
      <c r="AC2027" s="6"/>
      <c r="AD2027" s="6"/>
      <c r="AE2027" s="5"/>
      <c r="AF2027" s="7">
        <v>1</v>
      </c>
      <c r="AG2027" s="6"/>
      <c r="AH2027" s="5"/>
      <c r="AI2027" s="7">
        <v>2</v>
      </c>
      <c r="AJ2027" s="6"/>
      <c r="AK2027" s="5"/>
      <c r="AL2027" s="5"/>
      <c r="AM2027" s="5"/>
      <c r="AN2027" s="5"/>
      <c r="AO2027" s="5"/>
      <c r="AP2027" s="5"/>
      <c r="AQ2027" s="5"/>
    </row>
    <row r="2028" spans="1:43" x14ac:dyDescent="0.25">
      <c r="A2028" s="161" t="str">
        <f t="shared" si="36"/>
        <v>2HANDER_ED_GERMANY</v>
      </c>
      <c r="B2028" s="9" t="s">
        <v>2522</v>
      </c>
      <c r="C2028" s="5" t="s">
        <v>717</v>
      </c>
      <c r="D2028" s="5"/>
      <c r="E2028" s="5" t="s">
        <v>2586</v>
      </c>
      <c r="F2028" s="5" t="s">
        <v>2586</v>
      </c>
      <c r="G2028" s="5" t="s">
        <v>2045</v>
      </c>
      <c r="H2028" s="5" t="s">
        <v>2601</v>
      </c>
      <c r="I2028" s="5" t="s">
        <v>1811</v>
      </c>
      <c r="J2028" s="6"/>
      <c r="K2028" s="7">
        <v>1</v>
      </c>
      <c r="L2028" s="13"/>
      <c r="M2028" s="8"/>
      <c r="N2028" s="13"/>
      <c r="O2028" s="13"/>
      <c r="P2028" s="13"/>
      <c r="Q2028" s="7">
        <v>2</v>
      </c>
      <c r="R2028" s="6"/>
      <c r="S2028" s="13"/>
      <c r="T2028" s="7">
        <v>3</v>
      </c>
      <c r="U2028" s="7"/>
      <c r="V2028" s="5"/>
      <c r="W2028" s="6" t="s">
        <v>3</v>
      </c>
      <c r="X2028" s="6"/>
      <c r="Y2028" s="5"/>
      <c r="Z2028" s="7">
        <v>0</v>
      </c>
      <c r="AA2028" s="6"/>
      <c r="AB2028" s="5"/>
      <c r="AC2028" s="6"/>
      <c r="AD2028" s="6"/>
      <c r="AE2028" s="5"/>
      <c r="AF2028" s="7">
        <v>0</v>
      </c>
      <c r="AG2028" s="6"/>
      <c r="AH2028" s="5"/>
      <c r="AI2028" s="7">
        <v>1</v>
      </c>
      <c r="AJ2028" s="6"/>
      <c r="AK2028" s="5"/>
      <c r="AL2028" s="5"/>
      <c r="AM2028" s="5"/>
      <c r="AN2028" s="5"/>
      <c r="AO2028" s="5"/>
      <c r="AP2028" s="5"/>
      <c r="AQ2028" s="5"/>
    </row>
    <row r="2029" spans="1:43" x14ac:dyDescent="0.25">
      <c r="A2029" s="161" t="str">
        <f t="shared" si="36"/>
        <v>2HANDER_ED_NETHERLANDS</v>
      </c>
      <c r="B2029" s="9" t="s">
        <v>2522</v>
      </c>
      <c r="C2029" s="5" t="s">
        <v>730</v>
      </c>
      <c r="D2029" s="5" t="s">
        <v>717</v>
      </c>
      <c r="E2029" s="5" t="s">
        <v>2586</v>
      </c>
      <c r="F2029" s="5" t="s">
        <v>2586</v>
      </c>
      <c r="G2029" s="5"/>
      <c r="H2029" s="5"/>
      <c r="I2029" s="5"/>
      <c r="J2029" s="6"/>
      <c r="K2029" s="7">
        <v>1</v>
      </c>
      <c r="L2029" s="13"/>
      <c r="M2029" s="8"/>
      <c r="N2029" s="13"/>
      <c r="O2029" s="13"/>
      <c r="P2029" s="13"/>
      <c r="Q2029" s="7"/>
      <c r="R2029" s="6"/>
      <c r="S2029" s="13"/>
      <c r="T2029" s="7"/>
      <c r="U2029" s="7"/>
      <c r="V2029" s="5"/>
      <c r="W2029" s="6"/>
      <c r="X2029" s="6"/>
      <c r="Y2029" s="5"/>
      <c r="Z2029" s="7"/>
      <c r="AA2029" s="6"/>
      <c r="AB2029" s="5"/>
      <c r="AC2029" s="6"/>
      <c r="AD2029" s="6"/>
      <c r="AE2029" s="5"/>
      <c r="AF2029" s="7"/>
      <c r="AG2029" s="6"/>
      <c r="AH2029" s="5"/>
      <c r="AI2029" s="7"/>
      <c r="AJ2029" s="6"/>
      <c r="AK2029" s="5"/>
      <c r="AL2029" s="5"/>
      <c r="AM2029" s="5"/>
      <c r="AN2029" s="5"/>
      <c r="AO2029" s="5"/>
      <c r="AP2029" s="5"/>
      <c r="AQ2029" s="5"/>
    </row>
    <row r="2030" spans="1:43" x14ac:dyDescent="0.25">
      <c r="A2030" s="161" t="str">
        <f t="shared" si="36"/>
        <v>2HANDER_ED_WITTENBERG</v>
      </c>
      <c r="B2030" s="9" t="s">
        <v>2522</v>
      </c>
      <c r="C2030" s="5" t="s">
        <v>1215</v>
      </c>
      <c r="D2030" s="5" t="s">
        <v>717</v>
      </c>
      <c r="E2030" s="5" t="s">
        <v>2586</v>
      </c>
      <c r="F2030" s="5" t="s">
        <v>2586</v>
      </c>
      <c r="G2030" s="5"/>
      <c r="H2030" s="5"/>
      <c r="I2030" s="5"/>
      <c r="J2030" s="6"/>
      <c r="K2030" s="7">
        <v>1</v>
      </c>
      <c r="L2030" s="13"/>
      <c r="M2030" s="8"/>
      <c r="N2030" s="13"/>
      <c r="O2030" s="13"/>
      <c r="P2030" s="13"/>
      <c r="Q2030" s="7"/>
      <c r="R2030" s="6"/>
      <c r="S2030" s="13"/>
      <c r="T2030" s="7"/>
      <c r="U2030" s="7"/>
      <c r="V2030" s="5"/>
      <c r="W2030" s="6"/>
      <c r="X2030" s="6"/>
      <c r="Y2030" s="5"/>
      <c r="Z2030" s="7"/>
      <c r="AA2030" s="6"/>
      <c r="AB2030" s="5"/>
      <c r="AC2030" s="6"/>
      <c r="AD2030" s="6"/>
      <c r="AE2030" s="5"/>
      <c r="AF2030" s="7"/>
      <c r="AG2030" s="6"/>
      <c r="AH2030" s="5"/>
      <c r="AI2030" s="7"/>
      <c r="AJ2030" s="6"/>
      <c r="AK2030" s="5"/>
      <c r="AL2030" s="5"/>
      <c r="AM2030" s="5"/>
      <c r="AN2030" s="5"/>
      <c r="AO2030" s="5"/>
      <c r="AP2030" s="5"/>
      <c r="AQ2030" s="5"/>
    </row>
    <row r="2031" spans="1:43" x14ac:dyDescent="0.25">
      <c r="A2031" s="161" t="str">
        <f t="shared" si="36"/>
        <v>2HANDER_ED_NORTHEU</v>
      </c>
      <c r="B2031" s="9" t="s">
        <v>2522</v>
      </c>
      <c r="C2031" s="5" t="s">
        <v>962</v>
      </c>
      <c r="D2031" s="5"/>
      <c r="E2031" s="5" t="s">
        <v>2586</v>
      </c>
      <c r="F2031" s="5" t="s">
        <v>2586</v>
      </c>
      <c r="G2031" s="5"/>
      <c r="H2031" s="5" t="s">
        <v>2404</v>
      </c>
      <c r="I2031" s="5" t="s">
        <v>1811</v>
      </c>
      <c r="J2031" s="6"/>
      <c r="K2031" s="7">
        <v>1</v>
      </c>
      <c r="L2031" s="13"/>
      <c r="M2031" s="8"/>
      <c r="N2031" s="13"/>
      <c r="O2031" s="13"/>
      <c r="P2031" s="13"/>
      <c r="Q2031" s="7"/>
      <c r="R2031" s="6"/>
      <c r="S2031" s="5"/>
      <c r="T2031" s="6"/>
      <c r="U2031" s="7"/>
      <c r="V2031" s="5"/>
      <c r="W2031" s="6"/>
      <c r="X2031" s="6"/>
      <c r="Y2031" s="5"/>
      <c r="Z2031" s="6"/>
      <c r="AA2031" s="6"/>
      <c r="AB2031" s="5"/>
      <c r="AC2031" s="6"/>
      <c r="AD2031" s="6"/>
      <c r="AE2031" s="5"/>
      <c r="AF2031" s="6"/>
      <c r="AG2031" s="6"/>
      <c r="AH2031" s="5"/>
      <c r="AI2031" s="6"/>
      <c r="AJ2031" s="6"/>
      <c r="AK2031" s="5"/>
      <c r="AL2031" s="5"/>
      <c r="AM2031" s="5"/>
      <c r="AN2031" s="5"/>
      <c r="AO2031" s="5"/>
      <c r="AP2031" s="5"/>
      <c r="AQ2031" s="5"/>
    </row>
    <row r="2032" spans="1:43" x14ac:dyDescent="0.25">
      <c r="A2032" s="161" t="str">
        <f t="shared" si="36"/>
        <v>2HANDER_ED_SWEDEN</v>
      </c>
      <c r="B2032" s="9" t="s">
        <v>2522</v>
      </c>
      <c r="C2032" s="5" t="s">
        <v>739</v>
      </c>
      <c r="D2032" s="5"/>
      <c r="E2032" s="5" t="s">
        <v>2586</v>
      </c>
      <c r="F2032" s="5" t="s">
        <v>2586</v>
      </c>
      <c r="G2032" s="5"/>
      <c r="H2032" s="5" t="s">
        <v>2405</v>
      </c>
      <c r="I2032" s="5" t="s">
        <v>1811</v>
      </c>
      <c r="J2032" s="6"/>
      <c r="K2032" s="7">
        <v>1</v>
      </c>
      <c r="L2032" s="13"/>
      <c r="M2032" s="8"/>
      <c r="N2032" s="13"/>
      <c r="O2032" s="13"/>
      <c r="P2032" s="13"/>
      <c r="Q2032" s="7"/>
      <c r="R2032" s="6"/>
      <c r="S2032" s="5"/>
      <c r="T2032" s="6"/>
      <c r="U2032" s="7"/>
      <c r="V2032" s="5"/>
      <c r="W2032" s="6"/>
      <c r="X2032" s="6"/>
      <c r="Y2032" s="5"/>
      <c r="Z2032" s="6"/>
      <c r="AA2032" s="6"/>
      <c r="AB2032" s="5"/>
      <c r="AC2032" s="6"/>
      <c r="AD2032" s="6"/>
      <c r="AE2032" s="5"/>
      <c r="AF2032" s="6"/>
      <c r="AG2032" s="6"/>
      <c r="AH2032" s="5"/>
      <c r="AI2032" s="6"/>
      <c r="AJ2032" s="6"/>
      <c r="AK2032" s="5"/>
      <c r="AL2032" s="5"/>
      <c r="AM2032" s="5"/>
      <c r="AN2032" s="5"/>
      <c r="AO2032" s="5"/>
      <c r="AP2032" s="5"/>
      <c r="AQ2032" s="5"/>
    </row>
    <row r="2033" spans="1:43" x14ac:dyDescent="0.25">
      <c r="A2033" s="161" t="str">
        <f t="shared" si="36"/>
        <v>2HANDER_ED_SOUTHAS</v>
      </c>
      <c r="B2033" s="9" t="s">
        <v>2522</v>
      </c>
      <c r="C2033" s="5" t="s">
        <v>695</v>
      </c>
      <c r="D2033" s="5"/>
      <c r="E2033" s="5" t="s">
        <v>2586</v>
      </c>
      <c r="F2033" s="5" t="s">
        <v>2586</v>
      </c>
      <c r="G2033" s="5"/>
      <c r="H2033" s="5" t="s">
        <v>2403</v>
      </c>
      <c r="I2033" s="5" t="s">
        <v>1811</v>
      </c>
      <c r="J2033" s="6"/>
      <c r="K2033" s="7">
        <v>1</v>
      </c>
      <c r="L2033" s="13"/>
      <c r="M2033" s="8"/>
      <c r="N2033" s="13"/>
      <c r="O2033" s="13"/>
      <c r="P2033" s="13"/>
      <c r="Q2033" s="7"/>
      <c r="R2033" s="6"/>
      <c r="S2033" s="5"/>
      <c r="T2033" s="6"/>
      <c r="U2033" s="7"/>
      <c r="V2033" s="5"/>
      <c r="W2033" s="6"/>
      <c r="X2033" s="6"/>
      <c r="Y2033" s="5"/>
      <c r="Z2033" s="6"/>
      <c r="AA2033" s="6"/>
      <c r="AB2033" s="5"/>
      <c r="AC2033" s="6"/>
      <c r="AD2033" s="6"/>
      <c r="AE2033" s="5"/>
      <c r="AF2033" s="6"/>
      <c r="AG2033" s="6"/>
      <c r="AH2033" s="5"/>
      <c r="AI2033" s="6"/>
      <c r="AJ2033" s="6"/>
      <c r="AK2033" s="5"/>
      <c r="AL2033" s="5"/>
      <c r="AM2033" s="5"/>
      <c r="AN2033" s="5"/>
      <c r="AO2033" s="5"/>
      <c r="AP2033" s="5"/>
      <c r="AQ2033" s="5"/>
    </row>
    <row r="2034" spans="1:43" x14ac:dyDescent="0.25">
      <c r="A2034" s="161" t="str">
        <f t="shared" si="36"/>
        <v>REITER</v>
      </c>
      <c r="B2034" s="9" t="s">
        <v>762</v>
      </c>
      <c r="C2034" s="5"/>
      <c r="D2034" s="5"/>
      <c r="E2034" s="5" t="s">
        <v>2523</v>
      </c>
      <c r="F2034" s="5" t="s">
        <v>2523</v>
      </c>
      <c r="G2034" s="5"/>
      <c r="H2034" s="5" t="s">
        <v>2163</v>
      </c>
      <c r="I2034" s="5" t="s">
        <v>1811</v>
      </c>
      <c r="J2034" s="6"/>
      <c r="K2034" s="7">
        <v>1</v>
      </c>
      <c r="L2034" s="13"/>
      <c r="M2034" s="8"/>
      <c r="N2034" s="13"/>
      <c r="O2034" s="13"/>
      <c r="P2034" s="13"/>
      <c r="Q2034" s="7" t="s">
        <v>1694</v>
      </c>
      <c r="R2034" s="6" t="s">
        <v>1694</v>
      </c>
      <c r="S2034" s="13" t="s">
        <v>1694</v>
      </c>
      <c r="T2034" s="7" t="s">
        <v>1694</v>
      </c>
      <c r="U2034" s="6" t="s">
        <v>1694</v>
      </c>
      <c r="V2034" s="5"/>
      <c r="W2034" s="6" t="s">
        <v>3</v>
      </c>
      <c r="X2034" s="6" t="s">
        <v>3</v>
      </c>
      <c r="Y2034" s="5"/>
      <c r="Z2034" s="6">
        <v>1</v>
      </c>
      <c r="AA2034" s="6"/>
      <c r="AB2034" s="5"/>
      <c r="AC2034" s="6"/>
      <c r="AD2034" s="6" t="s">
        <v>3</v>
      </c>
      <c r="AE2034" s="5"/>
      <c r="AF2034" s="6" t="s">
        <v>1694</v>
      </c>
      <c r="AG2034" s="6"/>
      <c r="AH2034" s="5"/>
      <c r="AI2034" s="6"/>
      <c r="AJ2034" s="6"/>
      <c r="AK2034" s="5"/>
      <c r="AL2034" s="5"/>
      <c r="AM2034" s="5"/>
      <c r="AN2034" s="5"/>
      <c r="AO2034" s="5"/>
      <c r="AP2034" s="5"/>
      <c r="AQ2034" s="5"/>
    </row>
    <row r="2035" spans="1:43" x14ac:dyDescent="0.25">
      <c r="A2035" s="161" t="str">
        <f t="shared" si="36"/>
        <v>RODELEROS</v>
      </c>
      <c r="B2035" s="9" t="s">
        <v>2524</v>
      </c>
      <c r="C2035" s="5"/>
      <c r="D2035" s="5"/>
      <c r="E2035" s="5" t="s">
        <v>2524</v>
      </c>
      <c r="F2035" s="5" t="s">
        <v>2524</v>
      </c>
      <c r="G2035" s="5"/>
      <c r="H2035" s="5" t="s">
        <v>2164</v>
      </c>
      <c r="I2035" s="5" t="s">
        <v>1811</v>
      </c>
      <c r="J2035" s="6"/>
      <c r="K2035" s="7">
        <v>1</v>
      </c>
      <c r="L2035" s="13"/>
      <c r="M2035" s="8"/>
      <c r="N2035" s="13"/>
      <c r="O2035" s="13"/>
      <c r="P2035" s="13"/>
      <c r="Q2035" s="7" t="s">
        <v>1736</v>
      </c>
      <c r="R2035" s="6" t="s">
        <v>1736</v>
      </c>
      <c r="S2035" s="13" t="s">
        <v>1736</v>
      </c>
      <c r="T2035" s="6" t="s">
        <v>1736</v>
      </c>
      <c r="U2035" s="7" t="s">
        <v>1736</v>
      </c>
      <c r="V2035" s="5"/>
      <c r="W2035" s="7" t="s">
        <v>3</v>
      </c>
      <c r="X2035" s="6" t="s">
        <v>3</v>
      </c>
      <c r="Y2035" s="5"/>
      <c r="Z2035" s="7">
        <v>1</v>
      </c>
      <c r="AA2035" s="6"/>
      <c r="AB2035" s="5"/>
      <c r="AC2035" s="6"/>
      <c r="AD2035" s="6" t="s">
        <v>3</v>
      </c>
      <c r="AE2035" s="5"/>
      <c r="AF2035" s="7" t="s">
        <v>1736</v>
      </c>
      <c r="AG2035" s="6"/>
      <c r="AH2035" s="5"/>
      <c r="AI2035" s="6" t="s">
        <v>1736</v>
      </c>
      <c r="AJ2035" s="6"/>
      <c r="AK2035" s="5"/>
      <c r="AL2035" s="5"/>
      <c r="AM2035" s="5"/>
      <c r="AN2035" s="5"/>
      <c r="AO2035" s="5"/>
      <c r="AP2035" s="5"/>
      <c r="AQ2035" s="5"/>
    </row>
    <row r="2036" spans="1:43" x14ac:dyDescent="0.25">
      <c r="A2036" s="161" t="str">
        <f t="shared" ref="A2036:A2099" si="37">CONCATENATE(E2036,IF(ISBLANK(C2036),"",CONCATENATE("_",C2036)))</f>
        <v>FREE_COMPANY</v>
      </c>
      <c r="B2036" s="9" t="s">
        <v>2527</v>
      </c>
      <c r="C2036" s="5"/>
      <c r="D2036" s="5"/>
      <c r="E2036" s="5" t="s">
        <v>2525</v>
      </c>
      <c r="F2036" s="5" t="s">
        <v>2525</v>
      </c>
      <c r="G2036" s="5"/>
      <c r="H2036" s="5" t="s">
        <v>2166</v>
      </c>
      <c r="I2036" s="5" t="s">
        <v>1811</v>
      </c>
      <c r="J2036" s="6"/>
      <c r="K2036" s="7">
        <v>1</v>
      </c>
      <c r="L2036" s="13"/>
      <c r="M2036" s="8"/>
      <c r="N2036" s="13"/>
      <c r="O2036" s="13"/>
      <c r="P2036" s="13"/>
      <c r="Q2036" s="7">
        <v>6</v>
      </c>
      <c r="R2036" s="6" t="s">
        <v>1736</v>
      </c>
      <c r="S2036" s="13" t="s">
        <v>22</v>
      </c>
      <c r="T2036" s="6">
        <v>5</v>
      </c>
      <c r="U2036" s="7" t="s">
        <v>1736</v>
      </c>
      <c r="V2036" s="5"/>
      <c r="W2036" s="7" t="s">
        <v>3</v>
      </c>
      <c r="X2036" s="6" t="s">
        <v>3</v>
      </c>
      <c r="Y2036" s="5"/>
      <c r="Z2036" s="7">
        <v>1</v>
      </c>
      <c r="AA2036" s="6"/>
      <c r="AB2036" s="5"/>
      <c r="AC2036" s="6"/>
      <c r="AD2036" s="6" t="s">
        <v>3</v>
      </c>
      <c r="AE2036" s="5"/>
      <c r="AF2036" s="7">
        <v>1</v>
      </c>
      <c r="AG2036" s="6"/>
      <c r="AH2036" s="5"/>
      <c r="AI2036" s="7">
        <v>2</v>
      </c>
      <c r="AJ2036" s="6"/>
      <c r="AK2036" s="5"/>
      <c r="AL2036" s="5"/>
      <c r="AM2036" s="5"/>
      <c r="AN2036" s="5"/>
      <c r="AO2036" s="5"/>
      <c r="AP2036" s="5"/>
      <c r="AQ2036" s="5"/>
    </row>
    <row r="2037" spans="1:43" x14ac:dyDescent="0.25">
      <c r="A2037" s="161" t="str">
        <f t="shared" si="37"/>
        <v>FREE_COMPANY</v>
      </c>
      <c r="B2037" s="9" t="s">
        <v>2527</v>
      </c>
      <c r="C2037" s="5"/>
      <c r="D2037" s="5"/>
      <c r="E2037" s="5" t="s">
        <v>2525</v>
      </c>
      <c r="F2037" s="5" t="s">
        <v>2525</v>
      </c>
      <c r="G2037" s="5" t="s">
        <v>2038</v>
      </c>
      <c r="H2037" s="5" t="s">
        <v>2165</v>
      </c>
      <c r="I2037" s="5" t="s">
        <v>1811</v>
      </c>
      <c r="J2037" s="6"/>
      <c r="K2037" s="7">
        <v>1</v>
      </c>
      <c r="L2037" s="13"/>
      <c r="M2037" s="8"/>
      <c r="N2037" s="13"/>
      <c r="O2037" s="13"/>
      <c r="P2037" s="13"/>
      <c r="Q2037" s="7">
        <v>6</v>
      </c>
      <c r="R2037" s="6" t="s">
        <v>1736</v>
      </c>
      <c r="S2037" s="13" t="s">
        <v>22</v>
      </c>
      <c r="T2037" s="6">
        <v>6</v>
      </c>
      <c r="U2037" s="7" t="s">
        <v>1736</v>
      </c>
      <c r="V2037" s="5"/>
      <c r="W2037" s="7" t="s">
        <v>3</v>
      </c>
      <c r="X2037" s="6" t="s">
        <v>3</v>
      </c>
      <c r="Y2037" s="5"/>
      <c r="Z2037" s="7">
        <v>0</v>
      </c>
      <c r="AA2037" s="6"/>
      <c r="AB2037" s="5"/>
      <c r="AC2037" s="6"/>
      <c r="AD2037" s="6" t="s">
        <v>3</v>
      </c>
      <c r="AE2037" s="5"/>
      <c r="AF2037" s="7">
        <v>1</v>
      </c>
      <c r="AG2037" s="6"/>
      <c r="AH2037" s="5"/>
      <c r="AI2037" s="7">
        <v>3</v>
      </c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 t="shared" si="37"/>
        <v>FREE_COMPANY</v>
      </c>
      <c r="B2038" s="9" t="s">
        <v>2527</v>
      </c>
      <c r="C2038" s="5"/>
      <c r="D2038" s="5"/>
      <c r="E2038" s="5" t="s">
        <v>2525</v>
      </c>
      <c r="F2038" s="5" t="s">
        <v>2525</v>
      </c>
      <c r="G2038" s="5"/>
      <c r="H2038" s="5" t="s">
        <v>2166</v>
      </c>
      <c r="I2038" s="5" t="s">
        <v>1811</v>
      </c>
      <c r="J2038" s="6"/>
      <c r="K2038" s="7">
        <v>1</v>
      </c>
      <c r="L2038" s="13"/>
      <c r="M2038" s="8"/>
      <c r="N2038" s="13"/>
      <c r="O2038" s="13"/>
      <c r="P2038" s="13"/>
      <c r="Q2038" s="7">
        <v>0</v>
      </c>
      <c r="R2038" s="6" t="s">
        <v>1736</v>
      </c>
      <c r="S2038" s="13" t="s">
        <v>22</v>
      </c>
      <c r="T2038" s="7">
        <v>5</v>
      </c>
      <c r="U2038" s="7" t="s">
        <v>1736</v>
      </c>
      <c r="V2038" s="5"/>
      <c r="W2038" s="7" t="s">
        <v>3</v>
      </c>
      <c r="X2038" s="6" t="s">
        <v>3</v>
      </c>
      <c r="Y2038" s="5"/>
      <c r="Z2038" s="7">
        <v>0</v>
      </c>
      <c r="AA2038" s="6"/>
      <c r="AB2038" s="5"/>
      <c r="AC2038" s="6"/>
      <c r="AD2038" s="6" t="s">
        <v>3</v>
      </c>
      <c r="AE2038" s="5"/>
      <c r="AF2038" s="7">
        <v>1</v>
      </c>
      <c r="AG2038" s="6"/>
      <c r="AH2038" s="5"/>
      <c r="AI2038" s="7">
        <v>2</v>
      </c>
      <c r="AJ2038" s="6"/>
      <c r="AK2038" s="5"/>
      <c r="AL2038" s="5"/>
      <c r="AM2038" s="5"/>
      <c r="AN2038" s="5"/>
      <c r="AO2038" s="5"/>
      <c r="AP2038" s="5"/>
      <c r="AQ2038" s="5"/>
    </row>
    <row r="2039" spans="1:43" s="2" customFormat="1" x14ac:dyDescent="0.25">
      <c r="A2039" s="161" t="str">
        <f t="shared" si="37"/>
        <v>EE_CARRACK</v>
      </c>
      <c r="B2039" s="9" t="s">
        <v>2526</v>
      </c>
      <c r="C2039" s="5"/>
      <c r="D2039" s="5"/>
      <c r="E2039" s="5" t="s">
        <v>2526</v>
      </c>
      <c r="F2039" s="5" t="s">
        <v>2526</v>
      </c>
      <c r="G2039" s="5"/>
      <c r="H2039" s="5" t="s">
        <v>2062</v>
      </c>
      <c r="I2039" s="5" t="s">
        <v>1982</v>
      </c>
      <c r="J2039" s="6"/>
      <c r="K2039" s="7">
        <v>1</v>
      </c>
      <c r="L2039" s="13" t="s">
        <v>1707</v>
      </c>
      <c r="M2039" s="8"/>
      <c r="N2039" s="13" t="s">
        <v>1726</v>
      </c>
      <c r="O2039" s="13"/>
      <c r="P2039" s="13"/>
      <c r="Q2039" s="7">
        <v>1</v>
      </c>
      <c r="R2039" s="6" t="s">
        <v>1694</v>
      </c>
      <c r="S2039" s="13"/>
      <c r="T2039" s="7">
        <v>3</v>
      </c>
      <c r="U2039" s="7" t="s">
        <v>1736</v>
      </c>
      <c r="V2039" s="5" t="s">
        <v>1695</v>
      </c>
      <c r="W2039" s="6"/>
      <c r="X2039" s="6"/>
      <c r="Y2039" s="5"/>
      <c r="Z2039" s="6">
        <v>1</v>
      </c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5"/>
      <c r="AM2039" s="5"/>
      <c r="AN2039" s="5"/>
      <c r="AO2039" s="5"/>
      <c r="AP2039" s="5"/>
      <c r="AQ2039" s="5"/>
    </row>
    <row r="2040" spans="1:43" s="2" customFormat="1" x14ac:dyDescent="0.25">
      <c r="A2040" s="161" t="str">
        <f t="shared" si="37"/>
        <v>EE_CARRACK_ED</v>
      </c>
      <c r="B2040" s="9" t="s">
        <v>2526</v>
      </c>
      <c r="C2040" s="5"/>
      <c r="D2040" s="5"/>
      <c r="E2040" s="5" t="s">
        <v>2585</v>
      </c>
      <c r="F2040" s="5" t="s">
        <v>2585</v>
      </c>
      <c r="G2040" s="5"/>
      <c r="H2040" s="5" t="s">
        <v>2062</v>
      </c>
      <c r="I2040" s="5" t="s">
        <v>1982</v>
      </c>
      <c r="J2040" s="6"/>
      <c r="K2040" s="7">
        <v>1</v>
      </c>
      <c r="L2040" s="13" t="s">
        <v>1707</v>
      </c>
      <c r="M2040" s="8"/>
      <c r="N2040" s="13" t="s">
        <v>1726</v>
      </c>
      <c r="O2040" s="13"/>
      <c r="P2040" s="13"/>
      <c r="Q2040" s="7">
        <v>1</v>
      </c>
      <c r="R2040" s="6" t="s">
        <v>1694</v>
      </c>
      <c r="S2040" s="13"/>
      <c r="T2040" s="7">
        <v>3</v>
      </c>
      <c r="U2040" s="7" t="s">
        <v>1736</v>
      </c>
      <c r="V2040" s="5" t="s">
        <v>1695</v>
      </c>
      <c r="W2040" s="6"/>
      <c r="X2040" s="6"/>
      <c r="Y2040" s="5"/>
      <c r="Z2040" s="6">
        <v>1</v>
      </c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5"/>
      <c r="AM2040" s="5"/>
      <c r="AN2040" s="5"/>
      <c r="AO2040" s="5"/>
      <c r="AP2040" s="5"/>
      <c r="AQ2040" s="5"/>
    </row>
    <row r="2041" spans="1:43" x14ac:dyDescent="0.25">
      <c r="A2041" s="161" t="str">
        <f t="shared" si="37"/>
        <v>EE_CARRACK_ED_OTTOMAN</v>
      </c>
      <c r="B2041" s="9" t="s">
        <v>2526</v>
      </c>
      <c r="C2041" s="5" t="s">
        <v>1037</v>
      </c>
      <c r="D2041" s="5"/>
      <c r="E2041" s="5" t="s">
        <v>2585</v>
      </c>
      <c r="F2041" s="5" t="s">
        <v>2585</v>
      </c>
      <c r="G2041" s="5"/>
      <c r="H2041" s="5" t="s">
        <v>1979</v>
      </c>
      <c r="I2041" s="5" t="s">
        <v>1982</v>
      </c>
      <c r="J2041" s="6"/>
      <c r="K2041" s="7">
        <v>1</v>
      </c>
      <c r="L2041" s="13"/>
      <c r="M2041" s="8"/>
      <c r="N2041" s="13"/>
      <c r="O2041" s="13"/>
      <c r="P2041" s="13"/>
      <c r="Q2041" s="7"/>
      <c r="R2041" s="6"/>
      <c r="S2041" s="5"/>
      <c r="T2041" s="7"/>
      <c r="U2041" s="7"/>
      <c r="V2041" s="5"/>
      <c r="W2041" s="6"/>
      <c r="X2041" s="6"/>
      <c r="Y2041" s="5"/>
      <c r="Z2041" s="6"/>
      <c r="AA2041" s="6"/>
      <c r="AB2041" s="5"/>
      <c r="AC2041" s="6"/>
      <c r="AD2041" s="6"/>
      <c r="AE2041" s="5"/>
      <c r="AF2041" s="6"/>
      <c r="AG2041" s="6"/>
      <c r="AH2041" s="5"/>
      <c r="AI2041" s="6"/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 t="shared" si="37"/>
        <v>EE_CARRACK_ED_RUSSIA</v>
      </c>
      <c r="B2042" s="9" t="s">
        <v>2526</v>
      </c>
      <c r="C2042" s="5" t="s">
        <v>735</v>
      </c>
      <c r="D2042" s="5"/>
      <c r="E2042" s="5" t="s">
        <v>2585</v>
      </c>
      <c r="F2042" s="5" t="s">
        <v>2585</v>
      </c>
      <c r="G2042" s="5"/>
      <c r="H2042" s="5" t="s">
        <v>1975</v>
      </c>
      <c r="I2042" s="5" t="s">
        <v>1982</v>
      </c>
      <c r="J2042" s="6"/>
      <c r="K2042" s="7">
        <v>1</v>
      </c>
      <c r="L2042" s="13"/>
      <c r="M2042" s="8"/>
      <c r="N2042" s="13"/>
      <c r="O2042" s="13"/>
      <c r="P2042" s="13"/>
      <c r="Q2042" s="7"/>
      <c r="R2042" s="6"/>
      <c r="S2042" s="5"/>
      <c r="T2042" s="7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5"/>
      <c r="AM2042" s="5"/>
      <c r="AN2042" s="5"/>
      <c r="AO2042" s="5"/>
      <c r="AP2042" s="5"/>
      <c r="AQ2042" s="5"/>
    </row>
    <row r="2043" spans="1:43" x14ac:dyDescent="0.25">
      <c r="A2043" s="161" t="str">
        <f t="shared" si="37"/>
        <v>EE_CARRACK_ED_ENGLAND</v>
      </c>
      <c r="B2043" s="9" t="s">
        <v>2526</v>
      </c>
      <c r="C2043" s="5" t="s">
        <v>713</v>
      </c>
      <c r="D2043" s="5"/>
      <c r="E2043" s="5" t="s">
        <v>2585</v>
      </c>
      <c r="F2043" s="5" t="s">
        <v>2585</v>
      </c>
      <c r="G2043" s="5"/>
      <c r="H2043" s="5" t="s">
        <v>1976</v>
      </c>
      <c r="I2043" s="5" t="s">
        <v>1982</v>
      </c>
      <c r="J2043" s="6"/>
      <c r="K2043" s="7">
        <v>1</v>
      </c>
      <c r="L2043" s="13"/>
      <c r="M2043" s="8"/>
      <c r="N2043" s="13"/>
      <c r="O2043" s="13"/>
      <c r="P2043" s="13"/>
      <c r="Q2043" s="7"/>
      <c r="R2043" s="6"/>
      <c r="S2043" s="5"/>
      <c r="T2043" s="7"/>
      <c r="U2043" s="7"/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5"/>
      <c r="AM2043" s="5"/>
      <c r="AN2043" s="5"/>
      <c r="AO2043" s="5"/>
      <c r="AP2043" s="5"/>
      <c r="AQ2043" s="5"/>
    </row>
    <row r="2044" spans="1:43" x14ac:dyDescent="0.25">
      <c r="A2044" s="161" t="str">
        <f t="shared" si="37"/>
        <v>EE_CARRACK_ED_FRANCE</v>
      </c>
      <c r="B2044" s="9" t="s">
        <v>2526</v>
      </c>
      <c r="C2044" s="5" t="s">
        <v>715</v>
      </c>
      <c r="D2044" s="5"/>
      <c r="E2044" s="5" t="s">
        <v>2585</v>
      </c>
      <c r="F2044" s="5" t="s">
        <v>2585</v>
      </c>
      <c r="G2044" s="5"/>
      <c r="H2044" s="5" t="s">
        <v>1977</v>
      </c>
      <c r="I2044" s="5" t="s">
        <v>1982</v>
      </c>
      <c r="J2044" s="6"/>
      <c r="K2044" s="7">
        <v>1</v>
      </c>
      <c r="L2044" s="13"/>
      <c r="M2044" s="8"/>
      <c r="N2044" s="13"/>
      <c r="O2044" s="13"/>
      <c r="P2044" s="13"/>
      <c r="Q2044" s="7"/>
      <c r="R2044" s="6"/>
      <c r="S2044" s="5"/>
      <c r="T2044" s="7"/>
      <c r="U2044" s="7"/>
      <c r="V2044" s="5"/>
      <c r="W2044" s="6"/>
      <c r="X2044" s="6"/>
      <c r="Y2044" s="5"/>
      <c r="Z2044" s="6"/>
      <c r="AA2044" s="6"/>
      <c r="AB2044" s="5"/>
      <c r="AC2044" s="6"/>
      <c r="AD2044" s="6"/>
      <c r="AE2044" s="5"/>
      <c r="AF2044" s="6"/>
      <c r="AG2044" s="6"/>
      <c r="AH2044" s="5"/>
      <c r="AI2044" s="6"/>
      <c r="AJ2044" s="6"/>
      <c r="AK2044" s="5"/>
      <c r="AL2044" s="5"/>
      <c r="AM2044" s="5"/>
      <c r="AN2044" s="5"/>
      <c r="AO2044" s="5"/>
      <c r="AP2044" s="5"/>
      <c r="AQ2044" s="5"/>
    </row>
    <row r="2045" spans="1:43" x14ac:dyDescent="0.25">
      <c r="A2045" s="161" t="str">
        <f t="shared" si="37"/>
        <v>EE_CARRACK_ED_ROME</v>
      </c>
      <c r="B2045" s="9" t="s">
        <v>2526</v>
      </c>
      <c r="C2045" s="5" t="s">
        <v>734</v>
      </c>
      <c r="D2045" s="5"/>
      <c r="E2045" s="5" t="s">
        <v>2585</v>
      </c>
      <c r="F2045" s="5" t="s">
        <v>2585</v>
      </c>
      <c r="G2045" s="5"/>
      <c r="H2045" s="5" t="s">
        <v>1981</v>
      </c>
      <c r="I2045" s="5" t="s">
        <v>1982</v>
      </c>
      <c r="J2045" s="6"/>
      <c r="K2045" s="7">
        <v>1</v>
      </c>
      <c r="L2045" s="13"/>
      <c r="M2045" s="8"/>
      <c r="N2045" s="13"/>
      <c r="O2045" s="13"/>
      <c r="P2045" s="13"/>
      <c r="Q2045" s="7"/>
      <c r="R2045" s="6"/>
      <c r="S2045" s="5"/>
      <c r="T2045" s="7"/>
      <c r="U2045" s="7"/>
      <c r="V2045" s="5"/>
      <c r="W2045" s="6"/>
      <c r="X2045" s="6"/>
      <c r="Y2045" s="5"/>
      <c r="Z2045" s="6"/>
      <c r="AA2045" s="6"/>
      <c r="AB2045" s="5"/>
      <c r="AC2045" s="6"/>
      <c r="AD2045" s="6"/>
      <c r="AE2045" s="5"/>
      <c r="AF2045" s="6"/>
      <c r="AG2045" s="6"/>
      <c r="AH2045" s="5"/>
      <c r="AI2045" s="6"/>
      <c r="AJ2045" s="6"/>
      <c r="AK2045" s="5"/>
      <c r="AL2045" s="5"/>
      <c r="AM2045" s="5"/>
      <c r="AN2045" s="5"/>
      <c r="AO2045" s="5"/>
      <c r="AP2045" s="5"/>
      <c r="AQ2045" s="5"/>
    </row>
    <row r="2046" spans="1:43" x14ac:dyDescent="0.25">
      <c r="A2046" s="161" t="str">
        <f t="shared" si="37"/>
        <v>EE_CARRACK_ED_NORTHAF</v>
      </c>
      <c r="B2046" s="9" t="s">
        <v>2526</v>
      </c>
      <c r="C2046" s="5" t="s">
        <v>2009</v>
      </c>
      <c r="D2046" s="5"/>
      <c r="E2046" s="5" t="s">
        <v>2585</v>
      </c>
      <c r="F2046" s="5" t="s">
        <v>2585</v>
      </c>
      <c r="G2046" s="5"/>
      <c r="H2046" s="5" t="s">
        <v>1978</v>
      </c>
      <c r="I2046" s="5" t="s">
        <v>1982</v>
      </c>
      <c r="J2046" s="6"/>
      <c r="K2046" s="7">
        <v>1</v>
      </c>
      <c r="L2046" s="13"/>
      <c r="M2046" s="8"/>
      <c r="N2046" s="13"/>
      <c r="O2046" s="13"/>
      <c r="P2046" s="13"/>
      <c r="Q2046" s="7"/>
      <c r="R2046" s="6"/>
      <c r="S2046" s="5"/>
      <c r="T2046" s="7"/>
      <c r="U2046" s="7"/>
      <c r="V2046" s="5"/>
      <c r="W2046" s="6"/>
      <c r="X2046" s="6"/>
      <c r="Y2046" s="5"/>
      <c r="Z2046" s="6"/>
      <c r="AA2046" s="6"/>
      <c r="AB2046" s="5"/>
      <c r="AC2046" s="6"/>
      <c r="AD2046" s="6"/>
      <c r="AE2046" s="5"/>
      <c r="AF2046" s="6"/>
      <c r="AG2046" s="6"/>
      <c r="AH2046" s="5"/>
      <c r="AI2046" s="6"/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 t="shared" si="37"/>
        <v>EE_CARRACK_ED_SWEDEN</v>
      </c>
      <c r="B2047" s="9" t="s">
        <v>2526</v>
      </c>
      <c r="C2047" s="5" t="s">
        <v>739</v>
      </c>
      <c r="D2047" s="5"/>
      <c r="E2047" s="5" t="s">
        <v>2585</v>
      </c>
      <c r="F2047" s="5" t="s">
        <v>2585</v>
      </c>
      <c r="G2047" s="5"/>
      <c r="H2047" s="5" t="s">
        <v>1980</v>
      </c>
      <c r="I2047" s="5" t="s">
        <v>1982</v>
      </c>
      <c r="J2047" s="6"/>
      <c r="K2047" s="7">
        <v>1</v>
      </c>
      <c r="L2047" s="13"/>
      <c r="M2047" s="8"/>
      <c r="N2047" s="13"/>
      <c r="O2047" s="13"/>
      <c r="P2047" s="13"/>
      <c r="Q2047" s="7"/>
      <c r="R2047" s="6"/>
      <c r="S2047" s="5"/>
      <c r="T2047" s="7"/>
      <c r="U2047" s="7"/>
      <c r="V2047" s="5"/>
      <c r="W2047" s="6"/>
      <c r="X2047" s="6"/>
      <c r="Y2047" s="5"/>
      <c r="Z2047" s="6"/>
      <c r="AA2047" s="6"/>
      <c r="AB2047" s="5"/>
      <c r="AC2047" s="6"/>
      <c r="AD2047" s="6"/>
      <c r="AE2047" s="5"/>
      <c r="AF2047" s="6"/>
      <c r="AG2047" s="6"/>
      <c r="AH2047" s="5"/>
      <c r="AI2047" s="6"/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 t="shared" si="37"/>
        <v>EE_CRUISER</v>
      </c>
      <c r="B2048" s="9" t="s">
        <v>2532</v>
      </c>
      <c r="C2048" s="5"/>
      <c r="D2048" s="5"/>
      <c r="E2048" s="5" t="s">
        <v>2532</v>
      </c>
      <c r="F2048" s="5" t="s">
        <v>2532</v>
      </c>
      <c r="G2048" s="5"/>
      <c r="H2048" s="5" t="s">
        <v>2175</v>
      </c>
      <c r="I2048" s="5" t="s">
        <v>1933</v>
      </c>
      <c r="J2048" s="6"/>
      <c r="K2048" s="7">
        <v>1</v>
      </c>
      <c r="L2048" s="13"/>
      <c r="M2048" s="8"/>
      <c r="N2048" s="13"/>
      <c r="O2048" s="13"/>
      <c r="P2048" s="13"/>
      <c r="Q2048" s="7">
        <v>1</v>
      </c>
      <c r="R2048" s="6">
        <v>0.08</v>
      </c>
      <c r="S2048" s="5"/>
      <c r="T2048" s="7"/>
      <c r="U2048" s="7">
        <v>6.5000000000000002E-2</v>
      </c>
      <c r="V2048" s="5"/>
      <c r="W2048" s="6"/>
      <c r="X2048" s="6"/>
      <c r="Y2048" s="5"/>
      <c r="Z2048" s="6"/>
      <c r="AA2048" s="6"/>
      <c r="AB2048" s="5"/>
      <c r="AC2048" s="6"/>
      <c r="AD2048" s="6"/>
      <c r="AE2048" s="5"/>
      <c r="AF2048" s="6"/>
      <c r="AG2048" s="6"/>
      <c r="AH2048" s="5"/>
      <c r="AI2048" s="6"/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 t="shared" si="37"/>
        <v>EE_CUIRASSIER</v>
      </c>
      <c r="B2049" s="9" t="s">
        <v>2074</v>
      </c>
      <c r="C2049" s="5"/>
      <c r="D2049" s="5"/>
      <c r="E2049" s="5" t="s">
        <v>2074</v>
      </c>
      <c r="F2049" s="5" t="s">
        <v>2074</v>
      </c>
      <c r="G2049" s="5"/>
      <c r="H2049" s="5" t="s">
        <v>339</v>
      </c>
      <c r="I2049" s="5" t="s">
        <v>122</v>
      </c>
      <c r="J2049" s="6"/>
      <c r="K2049" s="7">
        <v>1</v>
      </c>
      <c r="L2049" s="13"/>
      <c r="M2049" s="8"/>
      <c r="N2049" s="13"/>
      <c r="O2049" s="13"/>
      <c r="P2049" s="13"/>
      <c r="Q2049" s="7" t="s">
        <v>1694</v>
      </c>
      <c r="R2049" s="6" t="s">
        <v>1694</v>
      </c>
      <c r="S2049" s="13" t="s">
        <v>1694</v>
      </c>
      <c r="T2049" s="6" t="s">
        <v>1694</v>
      </c>
      <c r="U2049" s="7" t="s">
        <v>1694</v>
      </c>
      <c r="V2049" s="5" t="s">
        <v>1700</v>
      </c>
      <c r="W2049" s="6" t="s">
        <v>3</v>
      </c>
      <c r="X2049" s="6" t="s">
        <v>3</v>
      </c>
      <c r="Y2049" s="5"/>
      <c r="Z2049" s="7">
        <v>1</v>
      </c>
      <c r="AA2049" s="6"/>
      <c r="AB2049" s="5"/>
      <c r="AC2049" s="6"/>
      <c r="AD2049" s="6" t="s">
        <v>3</v>
      </c>
      <c r="AE2049" s="5"/>
      <c r="AF2049" s="7" t="s">
        <v>1694</v>
      </c>
      <c r="AG2049" s="6"/>
      <c r="AH2049" s="5"/>
      <c r="AI2049" s="6"/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 t="shared" si="37"/>
        <v>EE_CUIRASSIER_ED</v>
      </c>
      <c r="B2050" s="9" t="s">
        <v>2074</v>
      </c>
      <c r="C2050" s="5"/>
      <c r="D2050" s="5"/>
      <c r="E2050" s="5" t="s">
        <v>2584</v>
      </c>
      <c r="F2050" s="5" t="s">
        <v>2584</v>
      </c>
      <c r="G2050" s="5"/>
      <c r="H2050" s="5" t="s">
        <v>2076</v>
      </c>
      <c r="I2050" s="5" t="s">
        <v>2075</v>
      </c>
      <c r="J2050" s="6"/>
      <c r="K2050" s="7">
        <v>1</v>
      </c>
      <c r="L2050" s="13"/>
      <c r="M2050" s="8"/>
      <c r="N2050" s="13"/>
      <c r="O2050" s="13"/>
      <c r="P2050" s="13"/>
      <c r="Q2050" s="7" t="s">
        <v>1694</v>
      </c>
      <c r="R2050" s="6" t="s">
        <v>1694</v>
      </c>
      <c r="S2050" s="13" t="s">
        <v>1694</v>
      </c>
      <c r="T2050" s="6" t="s">
        <v>1694</v>
      </c>
      <c r="U2050" s="7" t="s">
        <v>1694</v>
      </c>
      <c r="V2050" s="5" t="s">
        <v>1700</v>
      </c>
      <c r="W2050" s="6" t="s">
        <v>3</v>
      </c>
      <c r="X2050" s="6" t="s">
        <v>3</v>
      </c>
      <c r="Y2050" s="5"/>
      <c r="Z2050" s="7">
        <v>1</v>
      </c>
      <c r="AA2050" s="6"/>
      <c r="AB2050" s="5"/>
      <c r="AC2050" s="6"/>
      <c r="AD2050" s="6" t="s">
        <v>3</v>
      </c>
      <c r="AE2050" s="5"/>
      <c r="AF2050" s="7" t="s">
        <v>1694</v>
      </c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37"/>
        <v>EE_EXPLORER</v>
      </c>
      <c r="B2051" s="9" t="s">
        <v>2528</v>
      </c>
      <c r="C2051" s="5"/>
      <c r="D2051" s="5"/>
      <c r="E2051" s="5" t="s">
        <v>2528</v>
      </c>
      <c r="F2051" s="5" t="s">
        <v>2528</v>
      </c>
      <c r="G2051" s="5" t="s">
        <v>1968</v>
      </c>
      <c r="H2051" s="5" t="s">
        <v>2171</v>
      </c>
      <c r="I2051" s="5" t="s">
        <v>2414</v>
      </c>
      <c r="J2051" s="6"/>
      <c r="K2051" s="7">
        <v>1</v>
      </c>
      <c r="L2051" s="13"/>
      <c r="M2051" s="8"/>
      <c r="N2051" s="13"/>
      <c r="O2051" s="13"/>
      <c r="P2051" s="13"/>
      <c r="Q2051" s="7">
        <v>2</v>
      </c>
      <c r="R2051" s="6" t="s">
        <v>1736</v>
      </c>
      <c r="S2051" s="13" t="s">
        <v>20</v>
      </c>
      <c r="T2051" s="6"/>
      <c r="U2051" s="6">
        <v>0.08</v>
      </c>
      <c r="V2051" s="5"/>
      <c r="W2051" s="6" t="s">
        <v>3</v>
      </c>
      <c r="X2051" s="6" t="s">
        <v>3</v>
      </c>
      <c r="Y2051" s="5"/>
      <c r="Z2051" s="6">
        <v>1</v>
      </c>
      <c r="AA2051" s="6"/>
      <c r="AB2051" s="5"/>
      <c r="AC2051" s="6"/>
      <c r="AD2051" s="6" t="s">
        <v>3</v>
      </c>
      <c r="AE2051" s="5"/>
      <c r="AF2051" s="6">
        <v>1</v>
      </c>
      <c r="AG2051" s="6"/>
      <c r="AH2051" s="5"/>
      <c r="AI2051" s="6">
        <v>1</v>
      </c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si="37"/>
        <v>EE_EXPLORER</v>
      </c>
      <c r="B2052" s="9" t="s">
        <v>2528</v>
      </c>
      <c r="C2052" s="5"/>
      <c r="D2052" s="5"/>
      <c r="E2052" s="5" t="s">
        <v>2528</v>
      </c>
      <c r="F2052" s="5" t="s">
        <v>2528</v>
      </c>
      <c r="G2052" s="5" t="s">
        <v>2168</v>
      </c>
      <c r="H2052" s="5" t="s">
        <v>2172</v>
      </c>
      <c r="I2052" s="5" t="s">
        <v>2414</v>
      </c>
      <c r="J2052" s="6"/>
      <c r="K2052" s="7">
        <v>1</v>
      </c>
      <c r="L2052" s="13"/>
      <c r="M2052" s="8"/>
      <c r="N2052" s="13"/>
      <c r="O2052" s="13"/>
      <c r="P2052" s="13"/>
      <c r="Q2052" s="7">
        <v>1</v>
      </c>
      <c r="R2052" s="6" t="s">
        <v>1736</v>
      </c>
      <c r="S2052" s="13" t="s">
        <v>20</v>
      </c>
      <c r="T2052" s="6"/>
      <c r="U2052" s="6">
        <v>0.08</v>
      </c>
      <c r="V2052" s="5"/>
      <c r="W2052" s="6" t="s">
        <v>3</v>
      </c>
      <c r="X2052" s="6" t="s">
        <v>3</v>
      </c>
      <c r="Y2052" s="5"/>
      <c r="Z2052" s="6">
        <v>0</v>
      </c>
      <c r="AA2052" s="6"/>
      <c r="AB2052" s="5"/>
      <c r="AC2052" s="6"/>
      <c r="AD2052" s="6" t="s">
        <v>3</v>
      </c>
      <c r="AE2052" s="5"/>
      <c r="AF2052" s="6">
        <v>1</v>
      </c>
      <c r="AG2052" s="6"/>
      <c r="AH2052" s="5"/>
      <c r="AI2052" s="6">
        <v>2</v>
      </c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37"/>
        <v>EE_EXPLORER</v>
      </c>
      <c r="B2053" s="9" t="s">
        <v>2528</v>
      </c>
      <c r="C2053" s="5"/>
      <c r="D2053" s="5"/>
      <c r="E2053" s="5" t="s">
        <v>2528</v>
      </c>
      <c r="F2053" s="5" t="s">
        <v>2528</v>
      </c>
      <c r="G2053" s="5" t="s">
        <v>2169</v>
      </c>
      <c r="H2053" s="5" t="s">
        <v>2173</v>
      </c>
      <c r="I2053" s="5" t="s">
        <v>2414</v>
      </c>
      <c r="J2053" s="6"/>
      <c r="K2053" s="7">
        <v>1</v>
      </c>
      <c r="L2053" s="13"/>
      <c r="M2053" s="8"/>
      <c r="N2053" s="13"/>
      <c r="O2053" s="13"/>
      <c r="P2053" s="13"/>
      <c r="Q2053" s="7">
        <v>2</v>
      </c>
      <c r="R2053" s="6" t="s">
        <v>1736</v>
      </c>
      <c r="S2053" s="13" t="s">
        <v>20</v>
      </c>
      <c r="T2053" s="6"/>
      <c r="U2053" s="6">
        <v>0.08</v>
      </c>
      <c r="V2053" s="5"/>
      <c r="W2053" s="6" t="s">
        <v>3</v>
      </c>
      <c r="X2053" s="6" t="s">
        <v>3</v>
      </c>
      <c r="Y2053" s="5"/>
      <c r="Z2053" s="6">
        <v>0</v>
      </c>
      <c r="AA2053" s="6"/>
      <c r="AB2053" s="5"/>
      <c r="AC2053" s="6"/>
      <c r="AD2053" s="6" t="s">
        <v>3</v>
      </c>
      <c r="AE2053" s="5"/>
      <c r="AF2053" s="6">
        <v>0</v>
      </c>
      <c r="AG2053" s="6"/>
      <c r="AH2053" s="5"/>
      <c r="AI2053" s="6">
        <v>1</v>
      </c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37"/>
        <v>EE_EXPLORER</v>
      </c>
      <c r="B2054" s="9" t="s">
        <v>2528</v>
      </c>
      <c r="C2054" s="5"/>
      <c r="D2054" s="5"/>
      <c r="E2054" s="5" t="s">
        <v>2528</v>
      </c>
      <c r="F2054" s="5" t="s">
        <v>2528</v>
      </c>
      <c r="G2054" s="5" t="s">
        <v>2170</v>
      </c>
      <c r="H2054" s="5" t="s">
        <v>2174</v>
      </c>
      <c r="I2054" s="5" t="s">
        <v>2414</v>
      </c>
      <c r="J2054" s="6"/>
      <c r="K2054" s="7">
        <v>1</v>
      </c>
      <c r="L2054" s="13"/>
      <c r="M2054" s="8"/>
      <c r="N2054" s="13"/>
      <c r="O2054" s="13"/>
      <c r="P2054" s="13"/>
      <c r="Q2054" s="7">
        <v>1</v>
      </c>
      <c r="R2054" s="6" t="s">
        <v>1736</v>
      </c>
      <c r="S2054" s="13" t="s">
        <v>20</v>
      </c>
      <c r="T2054" s="6"/>
      <c r="U2054" s="6">
        <v>0.08</v>
      </c>
      <c r="V2054" s="5"/>
      <c r="W2054" s="6" t="s">
        <v>3</v>
      </c>
      <c r="X2054" s="6" t="s">
        <v>3</v>
      </c>
      <c r="Y2054" s="5"/>
      <c r="Z2054" s="6">
        <v>0</v>
      </c>
      <c r="AA2054" s="6"/>
      <c r="AB2054" s="5"/>
      <c r="AC2054" s="6"/>
      <c r="AD2054" s="6" t="s">
        <v>3</v>
      </c>
      <c r="AE2054" s="5"/>
      <c r="AF2054" s="6">
        <v>0</v>
      </c>
      <c r="AG2054" s="6"/>
      <c r="AH2054" s="5"/>
      <c r="AI2054" s="6">
        <v>1</v>
      </c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37"/>
        <v>EE_FIELD_GUN</v>
      </c>
      <c r="B2055" s="9" t="s">
        <v>2066</v>
      </c>
      <c r="C2055" s="5"/>
      <c r="D2055" s="5"/>
      <c r="E2055" s="5" t="s">
        <v>2066</v>
      </c>
      <c r="F2055" s="5" t="s">
        <v>2066</v>
      </c>
      <c r="G2055" s="5"/>
      <c r="H2055" s="5" t="s">
        <v>337</v>
      </c>
      <c r="I2055" s="5" t="s">
        <v>1059</v>
      </c>
      <c r="J2055" s="6"/>
      <c r="K2055" s="7">
        <v>1</v>
      </c>
      <c r="L2055" s="13"/>
      <c r="M2055" s="8"/>
      <c r="N2055" s="13"/>
      <c r="O2055" s="13"/>
      <c r="P2055" s="13"/>
      <c r="Q2055" s="7">
        <v>3</v>
      </c>
      <c r="R2055" s="6" t="s">
        <v>1694</v>
      </c>
      <c r="S2055" s="5" t="s">
        <v>1610</v>
      </c>
      <c r="T2055" s="7"/>
      <c r="U2055" s="7" t="s">
        <v>1736</v>
      </c>
      <c r="V2055" s="5" t="s">
        <v>1696</v>
      </c>
      <c r="W2055" s="6" t="s">
        <v>3</v>
      </c>
      <c r="X2055" s="6" t="s">
        <v>3</v>
      </c>
      <c r="Y2055" s="5"/>
      <c r="Z2055" s="6">
        <v>1</v>
      </c>
      <c r="AA2055" s="6"/>
      <c r="AB2055" s="5"/>
      <c r="AC2055" s="6"/>
      <c r="AD2055" s="6" t="s">
        <v>3</v>
      </c>
      <c r="AE2055" s="5"/>
      <c r="AF2055" s="6">
        <v>3</v>
      </c>
      <c r="AG2055" s="6"/>
      <c r="AH2055" s="5"/>
      <c r="AI2055" s="6">
        <v>7</v>
      </c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 t="shared" si="37"/>
        <v>EE_FIELD_GUN_ED</v>
      </c>
      <c r="B2056" s="9" t="s">
        <v>2066</v>
      </c>
      <c r="C2056" s="5"/>
      <c r="D2056" s="5"/>
      <c r="E2056" s="5" t="s">
        <v>2587</v>
      </c>
      <c r="F2056" s="5" t="s">
        <v>2587</v>
      </c>
      <c r="G2056" s="5"/>
      <c r="H2056" s="5" t="s">
        <v>337</v>
      </c>
      <c r="I2056" s="5" t="s">
        <v>1059</v>
      </c>
      <c r="J2056" s="6"/>
      <c r="K2056" s="7">
        <v>1</v>
      </c>
      <c r="L2056" s="13"/>
      <c r="M2056" s="8"/>
      <c r="N2056" s="13"/>
      <c r="O2056" s="13"/>
      <c r="P2056" s="13"/>
      <c r="Q2056" s="7">
        <v>3</v>
      </c>
      <c r="R2056" s="6" t="s">
        <v>1694</v>
      </c>
      <c r="S2056" s="5" t="s">
        <v>1610</v>
      </c>
      <c r="T2056" s="7"/>
      <c r="U2056" s="7" t="s">
        <v>1736</v>
      </c>
      <c r="V2056" s="5" t="s">
        <v>1696</v>
      </c>
      <c r="W2056" s="6" t="s">
        <v>3</v>
      </c>
      <c r="X2056" s="6" t="s">
        <v>3</v>
      </c>
      <c r="Y2056" s="5"/>
      <c r="Z2056" s="6">
        <v>1</v>
      </c>
      <c r="AA2056" s="6"/>
      <c r="AB2056" s="5"/>
      <c r="AC2056" s="6"/>
      <c r="AD2056" s="6" t="s">
        <v>3</v>
      </c>
      <c r="AE2056" s="5"/>
      <c r="AF2056" s="6">
        <v>3</v>
      </c>
      <c r="AG2056" s="6"/>
      <c r="AH2056" s="5"/>
      <c r="AI2056" s="6">
        <v>7</v>
      </c>
      <c r="AJ2056" s="6"/>
      <c r="AK2056" s="5"/>
      <c r="AL2056" s="5"/>
      <c r="AM2056" s="5"/>
      <c r="AN2056" s="5"/>
      <c r="AO2056" s="5"/>
      <c r="AP2056" s="5"/>
      <c r="AQ2056" s="5"/>
    </row>
    <row r="2057" spans="1:43" x14ac:dyDescent="0.25">
      <c r="A2057" s="161" t="str">
        <f t="shared" si="37"/>
        <v>EE_FIELD_GUN_ED_DEBUG</v>
      </c>
      <c r="B2057" s="9" t="s">
        <v>2066</v>
      </c>
      <c r="C2057" s="5" t="s">
        <v>2602</v>
      </c>
      <c r="D2057" s="5"/>
      <c r="E2057" s="5" t="s">
        <v>2587</v>
      </c>
      <c r="F2057" s="5" t="s">
        <v>2587</v>
      </c>
      <c r="G2057" s="5"/>
      <c r="H2057" s="5" t="s">
        <v>2067</v>
      </c>
      <c r="I2057" s="5" t="s">
        <v>966</v>
      </c>
      <c r="J2057" s="6"/>
      <c r="K2057" s="7">
        <v>1</v>
      </c>
      <c r="L2057" s="13"/>
      <c r="M2057" s="8"/>
      <c r="N2057" s="13"/>
      <c r="O2057" s="13"/>
      <c r="P2057" s="13"/>
      <c r="Q2057" s="7"/>
      <c r="R2057" s="6"/>
      <c r="S2057" s="5"/>
      <c r="T2057" s="7"/>
      <c r="U2057" s="7"/>
      <c r="V2057" s="5"/>
      <c r="W2057" s="6"/>
      <c r="X2057" s="6"/>
      <c r="Y2057" s="5"/>
      <c r="Z2057" s="6"/>
      <c r="AA2057" s="6"/>
      <c r="AB2057" s="5"/>
      <c r="AC2057" s="6"/>
      <c r="AD2057" s="6"/>
      <c r="AE2057" s="5"/>
      <c r="AF2057" s="6"/>
      <c r="AG2057" s="6"/>
      <c r="AH2057" s="5"/>
      <c r="AI2057" s="6"/>
      <c r="AJ2057" s="6"/>
      <c r="AK2057" s="5"/>
      <c r="AL2057" s="5"/>
      <c r="AM2057" s="5"/>
      <c r="AN2057" s="5"/>
      <c r="AO2057" s="5"/>
      <c r="AP2057" s="5"/>
      <c r="AQ2057" s="5"/>
    </row>
    <row r="2058" spans="1:43" x14ac:dyDescent="0.25">
      <c r="A2058" s="161" t="str">
        <f t="shared" si="37"/>
        <v>EE_GALLEON</v>
      </c>
      <c r="B2058" s="9" t="s">
        <v>2529</v>
      </c>
      <c r="C2058" s="5"/>
      <c r="D2058" s="5"/>
      <c r="E2058" s="5" t="s">
        <v>2529</v>
      </c>
      <c r="F2058" s="5" t="s">
        <v>2529</v>
      </c>
      <c r="G2058" s="5"/>
      <c r="H2058" s="5" t="s">
        <v>1657</v>
      </c>
      <c r="I2058" s="5" t="s">
        <v>128</v>
      </c>
      <c r="J2058" s="6"/>
      <c r="K2058" s="7">
        <v>1</v>
      </c>
      <c r="L2058" s="13" t="s">
        <v>1711</v>
      </c>
      <c r="M2058" s="8"/>
      <c r="N2058" s="13" t="s">
        <v>1726</v>
      </c>
      <c r="O2058" s="13"/>
      <c r="P2058" s="13"/>
      <c r="Q2058" s="7">
        <v>1</v>
      </c>
      <c r="R2058" s="6">
        <v>0.16</v>
      </c>
      <c r="S2058" s="13"/>
      <c r="T2058" s="7">
        <v>2</v>
      </c>
      <c r="U2058" s="6">
        <v>0.13</v>
      </c>
      <c r="V2058" s="5" t="s">
        <v>1699</v>
      </c>
      <c r="W2058" s="6"/>
      <c r="X2058" s="6"/>
      <c r="Y2058" s="5"/>
      <c r="Z2058" s="6">
        <v>1</v>
      </c>
      <c r="AA2058" s="6"/>
      <c r="AB2058" s="5"/>
      <c r="AC2058" s="6"/>
      <c r="AD2058" s="6"/>
      <c r="AE2058" s="5"/>
      <c r="AF2058" s="6"/>
      <c r="AG2058" s="6"/>
      <c r="AH2058" s="5"/>
      <c r="AI2058" s="6"/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 t="shared" si="37"/>
        <v>EE_GALLEON_ED</v>
      </c>
      <c r="B2059" s="9" t="s">
        <v>2529</v>
      </c>
      <c r="C2059" s="5"/>
      <c r="D2059" s="5"/>
      <c r="E2059" s="5" t="s">
        <v>2588</v>
      </c>
      <c r="F2059" s="5" t="s">
        <v>2588</v>
      </c>
      <c r="G2059" s="5"/>
      <c r="H2059" s="5" t="s">
        <v>2412</v>
      </c>
      <c r="I2059" s="5" t="s">
        <v>2411</v>
      </c>
      <c r="J2059" s="6"/>
      <c r="K2059" s="7">
        <v>1</v>
      </c>
      <c r="L2059" s="13" t="s">
        <v>1711</v>
      </c>
      <c r="M2059" s="8"/>
      <c r="N2059" s="13" t="s">
        <v>1726</v>
      </c>
      <c r="O2059" s="13"/>
      <c r="P2059" s="13"/>
      <c r="Q2059" s="7">
        <v>1</v>
      </c>
      <c r="R2059" s="6">
        <v>0.16</v>
      </c>
      <c r="S2059" s="13"/>
      <c r="T2059" s="7">
        <v>2</v>
      </c>
      <c r="U2059" s="6">
        <v>0.13</v>
      </c>
      <c r="V2059" s="5" t="s">
        <v>1699</v>
      </c>
      <c r="W2059" s="6"/>
      <c r="X2059" s="6"/>
      <c r="Y2059" s="5"/>
      <c r="Z2059" s="6">
        <v>1</v>
      </c>
      <c r="AA2059" s="6"/>
      <c r="AB2059" s="5"/>
      <c r="AC2059" s="6"/>
      <c r="AD2059" s="6"/>
      <c r="AE2059" s="5"/>
      <c r="AF2059" s="6"/>
      <c r="AG2059" s="6"/>
      <c r="AH2059" s="5"/>
      <c r="AI2059" s="6"/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 t="shared" si="37"/>
        <v>EE_GALLEON_ED_ASIA</v>
      </c>
      <c r="B2060" s="9" t="s">
        <v>2529</v>
      </c>
      <c r="C2060" s="4" t="s">
        <v>693</v>
      </c>
      <c r="E2060" s="5" t="s">
        <v>2588</v>
      </c>
      <c r="F2060" s="5" t="s">
        <v>2588</v>
      </c>
      <c r="H2060" s="4" t="s">
        <v>852</v>
      </c>
      <c r="I2060" s="4" t="s">
        <v>1052</v>
      </c>
      <c r="K2060" s="11">
        <v>1</v>
      </c>
      <c r="R2060" s="11">
        <v>0.15</v>
      </c>
      <c r="U2060" s="11">
        <v>0.115</v>
      </c>
    </row>
    <row r="2061" spans="1:43" x14ac:dyDescent="0.25">
      <c r="A2061" s="161" t="str">
        <f t="shared" si="37"/>
        <v>EE_GALLEON_ED_RUSSIA</v>
      </c>
      <c r="B2061" s="9" t="s">
        <v>2529</v>
      </c>
      <c r="C2061" s="4" t="s">
        <v>735</v>
      </c>
      <c r="E2061" s="5" t="s">
        <v>2588</v>
      </c>
      <c r="F2061" s="5" t="s">
        <v>2588</v>
      </c>
      <c r="H2061" s="4" t="s">
        <v>2410</v>
      </c>
      <c r="I2061" s="4" t="s">
        <v>2411</v>
      </c>
      <c r="K2061" s="11">
        <v>1</v>
      </c>
    </row>
    <row r="2062" spans="1:43" x14ac:dyDescent="0.25">
      <c r="A2062" s="161" t="str">
        <f t="shared" si="37"/>
        <v>EE_GALLEON_ED_ENGLAND</v>
      </c>
      <c r="B2062" s="9" t="s">
        <v>2529</v>
      </c>
      <c r="C2062" s="4" t="s">
        <v>713</v>
      </c>
      <c r="E2062" s="5" t="s">
        <v>2588</v>
      </c>
      <c r="F2062" s="5" t="s">
        <v>2588</v>
      </c>
      <c r="H2062" s="4" t="s">
        <v>2433</v>
      </c>
      <c r="I2062" s="4" t="s">
        <v>2428</v>
      </c>
      <c r="K2062" s="11">
        <v>1</v>
      </c>
    </row>
    <row r="2063" spans="1:43" x14ac:dyDescent="0.25">
      <c r="A2063" s="161" t="str">
        <f t="shared" si="37"/>
        <v>EE_GALLEON_ED_FRANCE</v>
      </c>
      <c r="B2063" s="9" t="s">
        <v>2529</v>
      </c>
      <c r="C2063" s="4" t="s">
        <v>715</v>
      </c>
      <c r="E2063" s="5" t="s">
        <v>2588</v>
      </c>
      <c r="F2063" s="5" t="s">
        <v>2588</v>
      </c>
      <c r="H2063" s="4" t="s">
        <v>2432</v>
      </c>
      <c r="I2063" s="4" t="s">
        <v>2428</v>
      </c>
      <c r="K2063" s="11">
        <v>1</v>
      </c>
    </row>
    <row r="2064" spans="1:43" x14ac:dyDescent="0.25">
      <c r="A2064" s="161" t="str">
        <f t="shared" si="37"/>
        <v>EE_GALLEON_ED_GERMANY</v>
      </c>
      <c r="B2064" s="9" t="s">
        <v>2529</v>
      </c>
      <c r="C2064" s="4" t="s">
        <v>717</v>
      </c>
      <c r="E2064" s="5" t="s">
        <v>2588</v>
      </c>
      <c r="F2064" s="5" t="s">
        <v>2588</v>
      </c>
      <c r="H2064" s="4" t="s">
        <v>2427</v>
      </c>
      <c r="I2064" s="4" t="s">
        <v>2428</v>
      </c>
      <c r="K2064" s="11">
        <v>1</v>
      </c>
    </row>
    <row r="2065" spans="1:35" x14ac:dyDescent="0.25">
      <c r="A2065" s="161" t="str">
        <f t="shared" si="37"/>
        <v>EE_GALLEON_ED_GREECE</v>
      </c>
      <c r="B2065" s="9" t="s">
        <v>2529</v>
      </c>
      <c r="C2065" s="4" t="s">
        <v>718</v>
      </c>
      <c r="E2065" s="5" t="s">
        <v>2588</v>
      </c>
      <c r="F2065" s="5" t="s">
        <v>2588</v>
      </c>
      <c r="H2065" s="4" t="s">
        <v>2429</v>
      </c>
      <c r="I2065" s="4" t="s">
        <v>2428</v>
      </c>
      <c r="K2065" s="11">
        <v>1</v>
      </c>
    </row>
    <row r="2066" spans="1:35" x14ac:dyDescent="0.25">
      <c r="A2066" s="161" t="str">
        <f t="shared" si="37"/>
        <v>EE_GALLEON_ED_PORTUGAL</v>
      </c>
      <c r="B2066" s="9" t="s">
        <v>2529</v>
      </c>
      <c r="C2066" s="4" t="s">
        <v>733</v>
      </c>
      <c r="E2066" s="5" t="s">
        <v>2588</v>
      </c>
      <c r="F2066" s="5" t="s">
        <v>2588</v>
      </c>
      <c r="H2066" s="4" t="s">
        <v>2430</v>
      </c>
      <c r="I2066" s="4" t="s">
        <v>2428</v>
      </c>
      <c r="K2066" s="11">
        <v>1</v>
      </c>
    </row>
    <row r="2067" spans="1:35" x14ac:dyDescent="0.25">
      <c r="A2067" s="161" t="str">
        <f t="shared" si="37"/>
        <v>EE_GALLEON_ED_ROME</v>
      </c>
      <c r="B2067" s="9" t="s">
        <v>2529</v>
      </c>
      <c r="C2067" s="4" t="s">
        <v>734</v>
      </c>
      <c r="E2067" s="5" t="s">
        <v>2588</v>
      </c>
      <c r="F2067" s="5" t="s">
        <v>2588</v>
      </c>
      <c r="H2067" s="4" t="s">
        <v>2431</v>
      </c>
      <c r="I2067" s="4" t="s">
        <v>2428</v>
      </c>
      <c r="K2067" s="11">
        <v>1</v>
      </c>
    </row>
    <row r="2068" spans="1:35" x14ac:dyDescent="0.25">
      <c r="A2068" s="161" t="str">
        <f t="shared" si="37"/>
        <v>EE_GALLEON_ED_SPAIN</v>
      </c>
      <c r="B2068" s="9" t="s">
        <v>2529</v>
      </c>
      <c r="C2068" s="4" t="s">
        <v>738</v>
      </c>
      <c r="E2068" s="5" t="s">
        <v>2588</v>
      </c>
      <c r="F2068" s="5" t="s">
        <v>2588</v>
      </c>
      <c r="H2068" s="4" t="s">
        <v>2407</v>
      </c>
      <c r="I2068" s="4" t="s">
        <v>2411</v>
      </c>
      <c r="K2068" s="11">
        <v>1</v>
      </c>
    </row>
    <row r="2069" spans="1:35" x14ac:dyDescent="0.25">
      <c r="A2069" s="161" t="str">
        <f t="shared" si="37"/>
        <v>EE_GALLEON_ED_NORTHEU</v>
      </c>
      <c r="B2069" s="9" t="s">
        <v>2529</v>
      </c>
      <c r="C2069" s="4" t="s">
        <v>962</v>
      </c>
      <c r="E2069" s="5" t="s">
        <v>2588</v>
      </c>
      <c r="F2069" s="5" t="s">
        <v>2588</v>
      </c>
      <c r="H2069" s="4" t="s">
        <v>2409</v>
      </c>
      <c r="I2069" s="4" t="s">
        <v>2411</v>
      </c>
      <c r="K2069" s="11">
        <v>1</v>
      </c>
    </row>
    <row r="2070" spans="1:35" x14ac:dyDescent="0.25">
      <c r="A2070" s="161" t="str">
        <f t="shared" si="37"/>
        <v>EE_GALLEON_ED_DENMARK</v>
      </c>
      <c r="B2070" s="9" t="s">
        <v>2529</v>
      </c>
      <c r="C2070" s="4" t="s">
        <v>711</v>
      </c>
      <c r="E2070" s="5" t="s">
        <v>2588</v>
      </c>
      <c r="F2070" s="5" t="s">
        <v>2588</v>
      </c>
      <c r="H2070" s="4" t="s">
        <v>2406</v>
      </c>
      <c r="I2070" s="4" t="s">
        <v>2411</v>
      </c>
      <c r="K2070" s="11">
        <v>1</v>
      </c>
    </row>
    <row r="2071" spans="1:35" x14ac:dyDescent="0.25">
      <c r="A2071" s="161" t="str">
        <f t="shared" si="37"/>
        <v>EE_GALLEON_ED_SWEDEN</v>
      </c>
      <c r="B2071" s="9" t="s">
        <v>2529</v>
      </c>
      <c r="C2071" s="4" t="s">
        <v>739</v>
      </c>
      <c r="E2071" s="5" t="s">
        <v>2588</v>
      </c>
      <c r="F2071" s="5" t="s">
        <v>2588</v>
      </c>
      <c r="H2071" s="4" t="s">
        <v>2408</v>
      </c>
      <c r="I2071" s="4" t="s">
        <v>2411</v>
      </c>
      <c r="K2071" s="11">
        <v>1</v>
      </c>
    </row>
    <row r="2072" spans="1:35" x14ac:dyDescent="0.25">
      <c r="A2072" s="161" t="str">
        <f t="shared" si="37"/>
        <v>EE_LINE_INFANTRY</v>
      </c>
      <c r="B2072" s="9" t="s">
        <v>1985</v>
      </c>
      <c r="E2072" s="4" t="s">
        <v>1985</v>
      </c>
      <c r="F2072" s="4" t="s">
        <v>1985</v>
      </c>
      <c r="G2072" s="14"/>
      <c r="H2072" s="4" t="s">
        <v>1988</v>
      </c>
      <c r="I2072" s="4" t="s">
        <v>122</v>
      </c>
      <c r="K2072" s="7">
        <v>1</v>
      </c>
      <c r="Q2072" s="11">
        <v>14</v>
      </c>
      <c r="R2072" s="11" t="s">
        <v>1736</v>
      </c>
      <c r="S2072" s="4" t="s">
        <v>1618</v>
      </c>
      <c r="T2072" s="11">
        <v>19</v>
      </c>
      <c r="U2072" s="11" t="s">
        <v>1736</v>
      </c>
      <c r="W2072" s="11" t="s">
        <v>3</v>
      </c>
      <c r="X2072" s="11" t="s">
        <v>3</v>
      </c>
      <c r="Z2072" s="11">
        <v>1</v>
      </c>
      <c r="AD2072" s="11" t="s">
        <v>3</v>
      </c>
      <c r="AF2072" s="11" t="s">
        <v>1736</v>
      </c>
      <c r="AI2072" s="11" t="s">
        <v>1736</v>
      </c>
    </row>
    <row r="2073" spans="1:35" x14ac:dyDescent="0.25">
      <c r="A2073" s="161" t="str">
        <f t="shared" si="37"/>
        <v>EE_LINE_INFANTRY_ED</v>
      </c>
      <c r="B2073" s="9" t="s">
        <v>1985</v>
      </c>
      <c r="E2073" s="4" t="s">
        <v>2589</v>
      </c>
      <c r="F2073" s="4" t="s">
        <v>2589</v>
      </c>
      <c r="G2073" s="14"/>
      <c r="H2073" s="4" t="s">
        <v>1988</v>
      </c>
      <c r="I2073" s="4" t="s">
        <v>122</v>
      </c>
      <c r="K2073" s="7">
        <v>1</v>
      </c>
      <c r="Q2073" s="11">
        <v>4</v>
      </c>
      <c r="R2073" s="11" t="s">
        <v>1736</v>
      </c>
      <c r="S2073" s="4" t="s">
        <v>1618</v>
      </c>
      <c r="T2073" s="11">
        <v>5</v>
      </c>
      <c r="U2073" s="11" t="s">
        <v>1736</v>
      </c>
      <c r="W2073" s="11" t="s">
        <v>3</v>
      </c>
      <c r="X2073" s="11" t="s">
        <v>3</v>
      </c>
      <c r="Z2073" s="11">
        <v>1</v>
      </c>
      <c r="AD2073" s="11" t="s">
        <v>3</v>
      </c>
      <c r="AF2073" s="11">
        <v>1</v>
      </c>
      <c r="AI2073" s="11">
        <v>2</v>
      </c>
    </row>
    <row r="2074" spans="1:35" x14ac:dyDescent="0.25">
      <c r="A2074" s="161" t="str">
        <f t="shared" si="37"/>
        <v>EE_LINE_INFANTRY_ED</v>
      </c>
      <c r="B2074" s="9" t="s">
        <v>1985</v>
      </c>
      <c r="E2074" s="4" t="s">
        <v>2589</v>
      </c>
      <c r="F2074" s="4" t="s">
        <v>2589</v>
      </c>
      <c r="G2074" s="14" t="s">
        <v>2045</v>
      </c>
      <c r="H2074" s="4" t="s">
        <v>1986</v>
      </c>
      <c r="I2074" s="4" t="s">
        <v>122</v>
      </c>
      <c r="K2074" s="7">
        <v>1</v>
      </c>
      <c r="Q2074" s="11">
        <v>2</v>
      </c>
      <c r="R2074" s="11" t="s">
        <v>1736</v>
      </c>
      <c r="S2074" s="4" t="s">
        <v>1618</v>
      </c>
      <c r="T2074" s="11">
        <v>2</v>
      </c>
      <c r="U2074" s="11" t="s">
        <v>1736</v>
      </c>
      <c r="W2074" s="11" t="s">
        <v>3</v>
      </c>
      <c r="X2074" s="11" t="s">
        <v>3</v>
      </c>
      <c r="Z2074" s="11">
        <v>0</v>
      </c>
      <c r="AD2074" s="11" t="s">
        <v>3</v>
      </c>
      <c r="AF2074" s="11">
        <v>1</v>
      </c>
      <c r="AI2074" s="11">
        <v>1</v>
      </c>
    </row>
    <row r="2075" spans="1:35" x14ac:dyDescent="0.25">
      <c r="A2075" s="161" t="str">
        <f t="shared" si="37"/>
        <v>EE_LINE_INFANTRY_ED</v>
      </c>
      <c r="B2075" s="9" t="s">
        <v>1985</v>
      </c>
      <c r="E2075" s="4" t="s">
        <v>2589</v>
      </c>
      <c r="F2075" s="4" t="s">
        <v>2589</v>
      </c>
      <c r="G2075" s="14" t="s">
        <v>2047</v>
      </c>
      <c r="H2075" s="4" t="s">
        <v>1987</v>
      </c>
      <c r="I2075" s="4" t="s">
        <v>122</v>
      </c>
      <c r="K2075" s="7">
        <v>1</v>
      </c>
      <c r="Q2075" s="11">
        <v>1</v>
      </c>
      <c r="R2075" s="11" t="s">
        <v>1736</v>
      </c>
      <c r="S2075" s="4" t="s">
        <v>1618</v>
      </c>
      <c r="T2075" s="11">
        <v>1</v>
      </c>
      <c r="U2075" s="11" t="s">
        <v>1736</v>
      </c>
      <c r="W2075" s="11" t="s">
        <v>3</v>
      </c>
      <c r="X2075" s="11" t="s">
        <v>3</v>
      </c>
      <c r="Z2075" s="11">
        <v>0</v>
      </c>
      <c r="AD2075" s="11" t="s">
        <v>3</v>
      </c>
      <c r="AF2075" s="11">
        <v>1</v>
      </c>
      <c r="AI2075" s="11">
        <v>1</v>
      </c>
    </row>
    <row r="2076" spans="1:35" x14ac:dyDescent="0.25">
      <c r="A2076" s="161" t="str">
        <f t="shared" si="37"/>
        <v>EE_LINE_INFANTRY_ED</v>
      </c>
      <c r="B2076" s="9" t="s">
        <v>1985</v>
      </c>
      <c r="E2076" s="4" t="s">
        <v>2589</v>
      </c>
      <c r="F2076" s="4" t="s">
        <v>2589</v>
      </c>
      <c r="G2076" s="14"/>
      <c r="H2076" s="4" t="s">
        <v>1988</v>
      </c>
      <c r="I2076" s="4" t="s">
        <v>122</v>
      </c>
      <c r="K2076" s="7">
        <v>1</v>
      </c>
      <c r="Q2076" s="11">
        <v>4</v>
      </c>
      <c r="R2076" s="11" t="s">
        <v>1736</v>
      </c>
      <c r="S2076" s="4" t="s">
        <v>1618</v>
      </c>
      <c r="T2076" s="11">
        <v>6</v>
      </c>
      <c r="U2076" s="11" t="s">
        <v>1736</v>
      </c>
      <c r="W2076" s="11" t="s">
        <v>3</v>
      </c>
      <c r="X2076" s="11" t="s">
        <v>3</v>
      </c>
      <c r="Z2076" s="11">
        <v>0</v>
      </c>
      <c r="AD2076" s="11" t="s">
        <v>3</v>
      </c>
      <c r="AF2076" s="11">
        <v>0</v>
      </c>
      <c r="AI2076" s="11">
        <v>3</v>
      </c>
    </row>
    <row r="2077" spans="1:35" x14ac:dyDescent="0.25">
      <c r="A2077" s="161" t="str">
        <f t="shared" si="37"/>
        <v>EE_LINE_INFANTRY_ED</v>
      </c>
      <c r="B2077" s="9" t="s">
        <v>1985</v>
      </c>
      <c r="E2077" s="4" t="s">
        <v>2589</v>
      </c>
      <c r="F2077" s="4" t="s">
        <v>2589</v>
      </c>
      <c r="G2077" s="14" t="s">
        <v>2045</v>
      </c>
      <c r="H2077" s="4" t="s">
        <v>1986</v>
      </c>
      <c r="I2077" s="4" t="s">
        <v>122</v>
      </c>
      <c r="K2077" s="7">
        <v>1</v>
      </c>
      <c r="Q2077" s="11">
        <v>2</v>
      </c>
      <c r="R2077" s="11" t="s">
        <v>1736</v>
      </c>
      <c r="S2077" s="4" t="s">
        <v>1618</v>
      </c>
      <c r="T2077" s="11">
        <v>3</v>
      </c>
      <c r="U2077" s="11" t="s">
        <v>1736</v>
      </c>
      <c r="W2077" s="11" t="s">
        <v>3</v>
      </c>
      <c r="X2077" s="11" t="s">
        <v>3</v>
      </c>
      <c r="Z2077" s="11">
        <v>0</v>
      </c>
      <c r="AD2077" s="11" t="s">
        <v>3</v>
      </c>
      <c r="AF2077" s="11">
        <v>0</v>
      </c>
      <c r="AI2077" s="11">
        <v>0</v>
      </c>
    </row>
    <row r="2078" spans="1:35" x14ac:dyDescent="0.25">
      <c r="A2078" s="161" t="str">
        <f t="shared" si="37"/>
        <v>EE_LINE_INFANTRY_ED</v>
      </c>
      <c r="B2078" s="9" t="s">
        <v>1985</v>
      </c>
      <c r="E2078" s="4" t="s">
        <v>2589</v>
      </c>
      <c r="F2078" s="4" t="s">
        <v>2589</v>
      </c>
      <c r="G2078" s="14" t="s">
        <v>2047</v>
      </c>
      <c r="H2078" s="4" t="s">
        <v>1987</v>
      </c>
      <c r="I2078" s="4" t="s">
        <v>122</v>
      </c>
      <c r="K2078" s="7">
        <v>1</v>
      </c>
      <c r="Q2078" s="11">
        <v>1</v>
      </c>
      <c r="R2078" s="11" t="s">
        <v>1736</v>
      </c>
      <c r="S2078" s="4" t="s">
        <v>1618</v>
      </c>
      <c r="T2078" s="11">
        <v>2</v>
      </c>
      <c r="U2078" s="11" t="s">
        <v>1736</v>
      </c>
      <c r="W2078" s="11" t="s">
        <v>3</v>
      </c>
      <c r="X2078" s="11" t="s">
        <v>3</v>
      </c>
      <c r="Z2078" s="11">
        <v>0</v>
      </c>
      <c r="AD2078" s="11" t="s">
        <v>3</v>
      </c>
      <c r="AF2078" s="11">
        <v>0</v>
      </c>
      <c r="AI2078" s="11">
        <v>0</v>
      </c>
    </row>
    <row r="2079" spans="1:35" x14ac:dyDescent="0.25">
      <c r="A2079" s="161" t="str">
        <f t="shared" si="37"/>
        <v>EE_LINE_INFANTRY_ED_AUSTRIA</v>
      </c>
      <c r="B2079" s="9" t="s">
        <v>1985</v>
      </c>
      <c r="C2079" s="4" t="s">
        <v>701</v>
      </c>
      <c r="E2079" s="4" t="s">
        <v>2589</v>
      </c>
      <c r="F2079" s="4" t="s">
        <v>2589</v>
      </c>
      <c r="G2079" s="14"/>
      <c r="H2079" s="4" t="s">
        <v>1989</v>
      </c>
      <c r="I2079" s="4" t="s">
        <v>122</v>
      </c>
      <c r="K2079" s="7">
        <v>1</v>
      </c>
      <c r="Q2079" s="11">
        <v>4</v>
      </c>
      <c r="T2079" s="11">
        <v>5</v>
      </c>
      <c r="Z2079" s="11">
        <v>1</v>
      </c>
      <c r="AF2079" s="11">
        <v>1</v>
      </c>
      <c r="AI2079" s="11">
        <v>2</v>
      </c>
    </row>
    <row r="2080" spans="1:35" x14ac:dyDescent="0.25">
      <c r="A2080" s="161" t="str">
        <f t="shared" si="37"/>
        <v>EE_LINE_INFANTRY_ED_AUSTRIA</v>
      </c>
      <c r="B2080" s="9" t="s">
        <v>1985</v>
      </c>
      <c r="C2080" s="4" t="s">
        <v>701</v>
      </c>
      <c r="E2080" s="4" t="s">
        <v>2589</v>
      </c>
      <c r="F2080" s="4" t="s">
        <v>2589</v>
      </c>
      <c r="G2080" s="14" t="s">
        <v>2045</v>
      </c>
      <c r="H2080" s="4" t="s">
        <v>1991</v>
      </c>
      <c r="I2080" s="4" t="s">
        <v>122</v>
      </c>
      <c r="K2080" s="7">
        <v>1</v>
      </c>
      <c r="Q2080" s="11">
        <v>2</v>
      </c>
      <c r="T2080" s="11">
        <v>2</v>
      </c>
      <c r="Z2080" s="11">
        <v>0</v>
      </c>
      <c r="AF2080" s="11">
        <v>1</v>
      </c>
      <c r="AI2080" s="11">
        <v>1</v>
      </c>
    </row>
    <row r="2081" spans="1:43" x14ac:dyDescent="0.25">
      <c r="A2081" s="161" t="str">
        <f t="shared" si="37"/>
        <v>EE_LINE_INFANTRY_ED_AUSTRIA</v>
      </c>
      <c r="B2081" s="9" t="s">
        <v>1985</v>
      </c>
      <c r="C2081" s="4" t="s">
        <v>701</v>
      </c>
      <c r="E2081" s="4" t="s">
        <v>2589</v>
      </c>
      <c r="F2081" s="4" t="s">
        <v>2589</v>
      </c>
      <c r="G2081" s="14" t="s">
        <v>2047</v>
      </c>
      <c r="H2081" s="4" t="s">
        <v>1992</v>
      </c>
      <c r="I2081" s="4" t="s">
        <v>122</v>
      </c>
      <c r="K2081" s="7">
        <v>1</v>
      </c>
      <c r="Q2081" s="11">
        <v>1</v>
      </c>
      <c r="T2081" s="11">
        <v>1</v>
      </c>
      <c r="Z2081" s="11">
        <v>0</v>
      </c>
      <c r="AF2081" s="11">
        <v>1</v>
      </c>
      <c r="AI2081" s="11">
        <v>1</v>
      </c>
    </row>
    <row r="2082" spans="1:43" s="11" customFormat="1" x14ac:dyDescent="0.25">
      <c r="A2082" s="161" t="str">
        <f t="shared" si="37"/>
        <v>EE_LINE_INFANTRY_ED_AUSTRIA</v>
      </c>
      <c r="B2082" s="9" t="s">
        <v>1985</v>
      </c>
      <c r="C2082" s="4" t="s">
        <v>701</v>
      </c>
      <c r="D2082" s="4"/>
      <c r="E2082" s="4" t="s">
        <v>2589</v>
      </c>
      <c r="F2082" s="4" t="s">
        <v>2589</v>
      </c>
      <c r="G2082" s="14"/>
      <c r="H2082" s="4" t="s">
        <v>1989</v>
      </c>
      <c r="I2082" s="4" t="s">
        <v>122</v>
      </c>
      <c r="K2082" s="7">
        <v>1</v>
      </c>
      <c r="L2082" s="4"/>
      <c r="M2082" s="12"/>
      <c r="N2082" s="4"/>
      <c r="O2082" s="4"/>
      <c r="P2082" s="4"/>
      <c r="Q2082" s="11">
        <v>4</v>
      </c>
      <c r="S2082" s="4"/>
      <c r="T2082" s="11">
        <v>6</v>
      </c>
      <c r="V2082" s="4"/>
      <c r="Y2082" s="4"/>
      <c r="Z2082" s="11">
        <v>0</v>
      </c>
      <c r="AB2082" s="4"/>
      <c r="AE2082" s="4"/>
      <c r="AF2082" s="11">
        <v>0</v>
      </c>
      <c r="AH2082" s="4"/>
      <c r="AI2082" s="11">
        <v>3</v>
      </c>
      <c r="AK2082" s="4"/>
      <c r="AL2082" s="4"/>
      <c r="AM2082" s="4"/>
      <c r="AN2082" s="4"/>
      <c r="AO2082" s="4"/>
      <c r="AP2082" s="4"/>
      <c r="AQ2082" s="4"/>
    </row>
    <row r="2083" spans="1:43" s="11" customFormat="1" x14ac:dyDescent="0.25">
      <c r="A2083" s="161" t="str">
        <f t="shared" si="37"/>
        <v>EE_LINE_INFANTRY_ED_AUSTRIA</v>
      </c>
      <c r="B2083" s="9" t="s">
        <v>1985</v>
      </c>
      <c r="C2083" s="4" t="s">
        <v>701</v>
      </c>
      <c r="D2083" s="4"/>
      <c r="E2083" s="4" t="s">
        <v>2589</v>
      </c>
      <c r="F2083" s="4" t="s">
        <v>2589</v>
      </c>
      <c r="G2083" s="14" t="s">
        <v>2045</v>
      </c>
      <c r="H2083" s="4" t="s">
        <v>1991</v>
      </c>
      <c r="I2083" s="4" t="s">
        <v>122</v>
      </c>
      <c r="K2083" s="7">
        <v>1</v>
      </c>
      <c r="L2083" s="4"/>
      <c r="M2083" s="12"/>
      <c r="N2083" s="4"/>
      <c r="O2083" s="4"/>
      <c r="P2083" s="4"/>
      <c r="Q2083" s="11">
        <v>2</v>
      </c>
      <c r="S2083" s="4"/>
      <c r="T2083" s="11">
        <v>3</v>
      </c>
      <c r="V2083" s="4"/>
      <c r="Y2083" s="4"/>
      <c r="Z2083" s="11">
        <v>0</v>
      </c>
      <c r="AB2083" s="4"/>
      <c r="AE2083" s="4"/>
      <c r="AF2083" s="11">
        <v>0</v>
      </c>
      <c r="AH2083" s="4"/>
      <c r="AI2083" s="11">
        <v>0</v>
      </c>
      <c r="AK2083" s="4"/>
      <c r="AL2083" s="4"/>
      <c r="AM2083" s="4"/>
      <c r="AN2083" s="4"/>
      <c r="AO2083" s="4"/>
      <c r="AP2083" s="4"/>
      <c r="AQ2083" s="4"/>
    </row>
    <row r="2084" spans="1:43" s="11" customFormat="1" x14ac:dyDescent="0.25">
      <c r="A2084" s="161" t="str">
        <f t="shared" si="37"/>
        <v>EE_LINE_INFANTRY_ED_AUSTRIA</v>
      </c>
      <c r="B2084" s="9" t="s">
        <v>1985</v>
      </c>
      <c r="C2084" s="4" t="s">
        <v>701</v>
      </c>
      <c r="D2084" s="4"/>
      <c r="E2084" s="4" t="s">
        <v>2589</v>
      </c>
      <c r="F2084" s="4" t="s">
        <v>2589</v>
      </c>
      <c r="G2084" s="14" t="s">
        <v>2047</v>
      </c>
      <c r="H2084" s="4" t="s">
        <v>1992</v>
      </c>
      <c r="I2084" s="4" t="s">
        <v>122</v>
      </c>
      <c r="K2084" s="7">
        <v>1</v>
      </c>
      <c r="L2084" s="4"/>
      <c r="M2084" s="12"/>
      <c r="N2084" s="4"/>
      <c r="O2084" s="4"/>
      <c r="P2084" s="4"/>
      <c r="Q2084" s="11">
        <v>1</v>
      </c>
      <c r="S2084" s="4"/>
      <c r="T2084" s="11">
        <v>2</v>
      </c>
      <c r="V2084" s="4"/>
      <c r="Y2084" s="4"/>
      <c r="Z2084" s="11">
        <v>0</v>
      </c>
      <c r="AB2084" s="4"/>
      <c r="AE2084" s="4"/>
      <c r="AF2084" s="11">
        <v>0</v>
      </c>
      <c r="AH2084" s="4"/>
      <c r="AI2084" s="11">
        <v>0</v>
      </c>
      <c r="AK2084" s="4"/>
      <c r="AL2084" s="4"/>
      <c r="AM2084" s="4"/>
      <c r="AN2084" s="4"/>
      <c r="AO2084" s="4"/>
      <c r="AP2084" s="4"/>
      <c r="AQ2084" s="4"/>
    </row>
    <row r="2085" spans="1:43" s="11" customFormat="1" x14ac:dyDescent="0.25">
      <c r="A2085" s="161" t="str">
        <f t="shared" si="37"/>
        <v>EE_LINE_INFANTRY_ED_DENMARK</v>
      </c>
      <c r="B2085" s="9" t="s">
        <v>1985</v>
      </c>
      <c r="C2085" s="4" t="s">
        <v>711</v>
      </c>
      <c r="D2085" s="4"/>
      <c r="E2085" s="4" t="s">
        <v>2589</v>
      </c>
      <c r="F2085" s="4" t="s">
        <v>2589</v>
      </c>
      <c r="G2085" s="14"/>
      <c r="H2085" s="4" t="s">
        <v>1990</v>
      </c>
      <c r="I2085" s="4" t="s">
        <v>122</v>
      </c>
      <c r="K2085" s="7">
        <v>1</v>
      </c>
      <c r="L2085" s="4"/>
      <c r="M2085" s="12"/>
      <c r="N2085" s="4"/>
      <c r="O2085" s="4"/>
      <c r="P2085" s="4"/>
      <c r="Q2085" s="11">
        <v>14</v>
      </c>
      <c r="S2085" s="4"/>
      <c r="T2085" s="11">
        <v>19</v>
      </c>
      <c r="V2085" s="4"/>
      <c r="Y2085" s="4"/>
      <c r="Z2085" s="11">
        <v>1</v>
      </c>
      <c r="AB2085" s="4"/>
      <c r="AE2085" s="4"/>
      <c r="AF2085" s="11">
        <v>3</v>
      </c>
      <c r="AH2085" s="4"/>
      <c r="AI2085" s="11">
        <v>7</v>
      </c>
      <c r="AK2085" s="4"/>
      <c r="AL2085" s="4"/>
      <c r="AM2085" s="4"/>
      <c r="AN2085" s="4"/>
      <c r="AO2085" s="4"/>
      <c r="AP2085" s="4"/>
      <c r="AQ2085" s="4"/>
    </row>
    <row r="2086" spans="1:43" s="11" customFormat="1" x14ac:dyDescent="0.25">
      <c r="A2086" s="161" t="str">
        <f t="shared" si="37"/>
        <v>EE_LINE_INFANTRY_ED_ENGLAND</v>
      </c>
      <c r="B2086" s="9" t="s">
        <v>1985</v>
      </c>
      <c r="C2086" s="4" t="s">
        <v>713</v>
      </c>
      <c r="D2086" s="4"/>
      <c r="E2086" s="4" t="s">
        <v>2589</v>
      </c>
      <c r="F2086" s="4" t="s">
        <v>2589</v>
      </c>
      <c r="G2086" s="1"/>
      <c r="H2086" s="4" t="s">
        <v>1993</v>
      </c>
      <c r="I2086" s="4" t="s">
        <v>122</v>
      </c>
      <c r="K2086" s="7">
        <v>1</v>
      </c>
      <c r="L2086" s="4"/>
      <c r="M2086" s="12"/>
      <c r="N2086" s="4"/>
      <c r="O2086" s="4"/>
      <c r="P2086" s="4"/>
      <c r="Q2086" s="11">
        <v>4</v>
      </c>
      <c r="S2086" s="4"/>
      <c r="T2086" s="11">
        <v>5</v>
      </c>
      <c r="V2086" s="4"/>
      <c r="Y2086" s="4"/>
      <c r="Z2086" s="11">
        <v>1</v>
      </c>
      <c r="AB2086" s="4"/>
      <c r="AE2086" s="4"/>
      <c r="AF2086" s="11">
        <v>1</v>
      </c>
      <c r="AH2086" s="4"/>
      <c r="AI2086" s="11">
        <v>2</v>
      </c>
      <c r="AK2086" s="4"/>
      <c r="AL2086" s="4"/>
      <c r="AM2086" s="4"/>
      <c r="AN2086" s="4"/>
      <c r="AO2086" s="4"/>
      <c r="AP2086" s="4"/>
      <c r="AQ2086" s="4"/>
    </row>
    <row r="2087" spans="1:43" s="11" customFormat="1" x14ac:dyDescent="0.25">
      <c r="A2087" s="161" t="str">
        <f t="shared" si="37"/>
        <v>EE_LINE_INFANTRY_ED_ENGLAND</v>
      </c>
      <c r="B2087" s="9" t="s">
        <v>1985</v>
      </c>
      <c r="C2087" s="4" t="s">
        <v>713</v>
      </c>
      <c r="D2087" s="4"/>
      <c r="E2087" s="4" t="s">
        <v>2589</v>
      </c>
      <c r="F2087" s="4" t="s">
        <v>2589</v>
      </c>
      <c r="G2087" s="14" t="s">
        <v>2045</v>
      </c>
      <c r="H2087" s="4" t="s">
        <v>2007</v>
      </c>
      <c r="I2087" s="4" t="s">
        <v>122</v>
      </c>
      <c r="K2087" s="7">
        <v>1</v>
      </c>
      <c r="L2087" s="4"/>
      <c r="M2087" s="12"/>
      <c r="N2087" s="4"/>
      <c r="O2087" s="4"/>
      <c r="P2087" s="4"/>
      <c r="Q2087" s="11">
        <v>2</v>
      </c>
      <c r="S2087" s="4"/>
      <c r="T2087" s="11">
        <v>2</v>
      </c>
      <c r="V2087" s="4"/>
      <c r="Y2087" s="4"/>
      <c r="Z2087" s="11">
        <v>0</v>
      </c>
      <c r="AB2087" s="4"/>
      <c r="AE2087" s="4"/>
      <c r="AF2087" s="11">
        <v>1</v>
      </c>
      <c r="AH2087" s="4"/>
      <c r="AI2087" s="11">
        <v>1</v>
      </c>
      <c r="AK2087" s="4"/>
      <c r="AL2087" s="4"/>
      <c r="AM2087" s="4"/>
      <c r="AN2087" s="4"/>
      <c r="AO2087" s="4"/>
      <c r="AP2087" s="4"/>
      <c r="AQ2087" s="4"/>
    </row>
    <row r="2088" spans="1:43" s="11" customFormat="1" x14ac:dyDescent="0.25">
      <c r="A2088" s="161" t="str">
        <f t="shared" si="37"/>
        <v>EE_LINE_INFANTRY_ED_ENGLAND</v>
      </c>
      <c r="B2088" s="9" t="s">
        <v>1985</v>
      </c>
      <c r="C2088" s="4" t="s">
        <v>713</v>
      </c>
      <c r="D2088" s="4"/>
      <c r="E2088" s="4" t="s">
        <v>2589</v>
      </c>
      <c r="F2088" s="4" t="s">
        <v>2589</v>
      </c>
      <c r="G2088" s="14" t="s">
        <v>2047</v>
      </c>
      <c r="H2088" s="4" t="s">
        <v>2008</v>
      </c>
      <c r="I2088" s="4" t="s">
        <v>122</v>
      </c>
      <c r="K2088" s="7">
        <v>1</v>
      </c>
      <c r="L2088" s="4"/>
      <c r="M2088" s="12"/>
      <c r="N2088" s="4"/>
      <c r="O2088" s="4"/>
      <c r="P2088" s="4"/>
      <c r="Q2088" s="11">
        <v>1</v>
      </c>
      <c r="S2088" s="4"/>
      <c r="T2088" s="11">
        <v>1</v>
      </c>
      <c r="V2088" s="4"/>
      <c r="Y2088" s="4"/>
      <c r="Z2088" s="11">
        <v>0</v>
      </c>
      <c r="AB2088" s="4"/>
      <c r="AE2088" s="4"/>
      <c r="AF2088" s="11">
        <v>1</v>
      </c>
      <c r="AH2088" s="4"/>
      <c r="AI2088" s="11">
        <v>1</v>
      </c>
      <c r="AK2088" s="4"/>
      <c r="AL2088" s="4"/>
      <c r="AM2088" s="4"/>
      <c r="AN2088" s="4"/>
      <c r="AO2088" s="4"/>
      <c r="AP2088" s="4"/>
      <c r="AQ2088" s="4"/>
    </row>
    <row r="2089" spans="1:43" s="11" customFormat="1" x14ac:dyDescent="0.25">
      <c r="A2089" s="161" t="str">
        <f t="shared" si="37"/>
        <v>EE_LINE_INFANTRY_ED_ENGLAND</v>
      </c>
      <c r="B2089" s="9" t="s">
        <v>1985</v>
      </c>
      <c r="C2089" s="4" t="s">
        <v>713</v>
      </c>
      <c r="D2089" s="4"/>
      <c r="E2089" s="4" t="s">
        <v>2589</v>
      </c>
      <c r="F2089" s="4" t="s">
        <v>2589</v>
      </c>
      <c r="G2089" s="1"/>
      <c r="H2089" s="4" t="s">
        <v>1993</v>
      </c>
      <c r="I2089" s="4" t="s">
        <v>122</v>
      </c>
      <c r="K2089" s="7">
        <v>1</v>
      </c>
      <c r="L2089" s="4"/>
      <c r="M2089" s="12"/>
      <c r="N2089" s="4"/>
      <c r="O2089" s="4"/>
      <c r="P2089" s="4"/>
      <c r="Q2089" s="11">
        <v>4</v>
      </c>
      <c r="S2089" s="4"/>
      <c r="T2089" s="11">
        <v>6</v>
      </c>
      <c r="V2089" s="4"/>
      <c r="Y2089" s="4"/>
      <c r="Z2089" s="11">
        <v>0</v>
      </c>
      <c r="AB2089" s="4"/>
      <c r="AE2089" s="4"/>
      <c r="AF2089" s="11">
        <v>0</v>
      </c>
      <c r="AH2089" s="4"/>
      <c r="AI2089" s="11">
        <v>3</v>
      </c>
      <c r="AK2089" s="4"/>
      <c r="AL2089" s="4"/>
      <c r="AM2089" s="4"/>
      <c r="AN2089" s="4"/>
      <c r="AO2089" s="4"/>
      <c r="AP2089" s="4"/>
      <c r="AQ2089" s="4"/>
    </row>
    <row r="2090" spans="1:43" s="11" customFormat="1" x14ac:dyDescent="0.25">
      <c r="A2090" s="161" t="str">
        <f t="shared" si="37"/>
        <v>EE_LINE_INFANTRY_ED_ENGLAND</v>
      </c>
      <c r="B2090" s="9" t="s">
        <v>1985</v>
      </c>
      <c r="C2090" s="4" t="s">
        <v>713</v>
      </c>
      <c r="D2090" s="4"/>
      <c r="E2090" s="4" t="s">
        <v>2589</v>
      </c>
      <c r="F2090" s="4" t="s">
        <v>2589</v>
      </c>
      <c r="G2090" s="14" t="s">
        <v>2045</v>
      </c>
      <c r="H2090" s="4" t="s">
        <v>2007</v>
      </c>
      <c r="I2090" s="4" t="s">
        <v>122</v>
      </c>
      <c r="K2090" s="7">
        <v>1</v>
      </c>
      <c r="L2090" s="4"/>
      <c r="M2090" s="12"/>
      <c r="N2090" s="4"/>
      <c r="O2090" s="4"/>
      <c r="P2090" s="4"/>
      <c r="Q2090" s="11">
        <v>2</v>
      </c>
      <c r="S2090" s="4"/>
      <c r="T2090" s="11">
        <v>3</v>
      </c>
      <c r="V2090" s="4"/>
      <c r="Y2090" s="4"/>
      <c r="Z2090" s="11">
        <v>0</v>
      </c>
      <c r="AB2090" s="4"/>
      <c r="AE2090" s="4"/>
      <c r="AF2090" s="11">
        <v>0</v>
      </c>
      <c r="AH2090" s="4"/>
      <c r="AI2090" s="11">
        <v>0</v>
      </c>
      <c r="AK2090" s="4"/>
      <c r="AL2090" s="4"/>
      <c r="AM2090" s="4"/>
      <c r="AN2090" s="4"/>
      <c r="AO2090" s="4"/>
      <c r="AP2090" s="4"/>
      <c r="AQ2090" s="4"/>
    </row>
    <row r="2091" spans="1:43" s="11" customFormat="1" x14ac:dyDescent="0.25">
      <c r="A2091" s="161" t="str">
        <f t="shared" si="37"/>
        <v>EE_LINE_INFANTRY_ED_ENGLAND</v>
      </c>
      <c r="B2091" s="9" t="s">
        <v>1985</v>
      </c>
      <c r="C2091" s="4" t="s">
        <v>713</v>
      </c>
      <c r="D2091" s="4"/>
      <c r="E2091" s="4" t="s">
        <v>2589</v>
      </c>
      <c r="F2091" s="4" t="s">
        <v>2589</v>
      </c>
      <c r="G2091" s="14" t="s">
        <v>2047</v>
      </c>
      <c r="H2091" s="4" t="s">
        <v>2008</v>
      </c>
      <c r="I2091" s="4" t="s">
        <v>122</v>
      </c>
      <c r="K2091" s="7">
        <v>1</v>
      </c>
      <c r="L2091" s="4"/>
      <c r="M2091" s="12"/>
      <c r="N2091" s="4"/>
      <c r="O2091" s="4"/>
      <c r="P2091" s="4"/>
      <c r="Q2091" s="11">
        <v>1</v>
      </c>
      <c r="S2091" s="4"/>
      <c r="T2091" s="11">
        <v>2</v>
      </c>
      <c r="V2091" s="4"/>
      <c r="Y2091" s="4"/>
      <c r="Z2091" s="11">
        <v>0</v>
      </c>
      <c r="AB2091" s="4"/>
      <c r="AE2091" s="4"/>
      <c r="AF2091" s="11">
        <v>0</v>
      </c>
      <c r="AH2091" s="4"/>
      <c r="AI2091" s="11">
        <v>0</v>
      </c>
      <c r="AK2091" s="4"/>
      <c r="AL2091" s="4"/>
      <c r="AM2091" s="4"/>
      <c r="AN2091" s="4"/>
      <c r="AO2091" s="4"/>
      <c r="AP2091" s="4"/>
      <c r="AQ2091" s="4"/>
    </row>
    <row r="2092" spans="1:43" s="11" customFormat="1" x14ac:dyDescent="0.25">
      <c r="A2092" s="161" t="str">
        <f t="shared" si="37"/>
        <v>EE_LINE_INFANTRY_ED_FRANCE</v>
      </c>
      <c r="B2092" s="9" t="s">
        <v>1985</v>
      </c>
      <c r="C2092" s="4" t="s">
        <v>715</v>
      </c>
      <c r="D2092" s="4"/>
      <c r="E2092" s="4" t="s">
        <v>2589</v>
      </c>
      <c r="F2092" s="4" t="s">
        <v>2589</v>
      </c>
      <c r="G2092" s="14"/>
      <c r="H2092" s="4" t="s">
        <v>1994</v>
      </c>
      <c r="I2092" s="4" t="s">
        <v>122</v>
      </c>
      <c r="K2092" s="7">
        <v>1</v>
      </c>
      <c r="L2092" s="4"/>
      <c r="M2092" s="12"/>
      <c r="N2092" s="4"/>
      <c r="O2092" s="4"/>
      <c r="P2092" s="4"/>
      <c r="Q2092" s="11">
        <v>4</v>
      </c>
      <c r="S2092" s="4"/>
      <c r="T2092" s="11">
        <v>5</v>
      </c>
      <c r="V2092" s="4"/>
      <c r="Y2092" s="4"/>
      <c r="Z2092" s="11">
        <v>1</v>
      </c>
      <c r="AB2092" s="4"/>
      <c r="AE2092" s="4"/>
      <c r="AF2092" s="11">
        <v>1</v>
      </c>
      <c r="AH2092" s="4"/>
      <c r="AI2092" s="11">
        <v>2</v>
      </c>
      <c r="AK2092" s="4"/>
      <c r="AL2092" s="4"/>
      <c r="AM2092" s="4"/>
      <c r="AN2092" s="4"/>
      <c r="AO2092" s="4"/>
      <c r="AP2092" s="4"/>
      <c r="AQ2092" s="4"/>
    </row>
    <row r="2093" spans="1:43" s="11" customFormat="1" x14ac:dyDescent="0.25">
      <c r="A2093" s="161" t="str">
        <f t="shared" si="37"/>
        <v>EE_LINE_INFANTRY_ED_FRANCE</v>
      </c>
      <c r="B2093" s="9" t="s">
        <v>1985</v>
      </c>
      <c r="C2093" s="4" t="s">
        <v>715</v>
      </c>
      <c r="D2093" s="4"/>
      <c r="E2093" s="4" t="s">
        <v>2589</v>
      </c>
      <c r="F2093" s="4" t="s">
        <v>2589</v>
      </c>
      <c r="G2093" s="14" t="s">
        <v>2045</v>
      </c>
      <c r="H2093" s="4" t="s">
        <v>2005</v>
      </c>
      <c r="I2093" s="4" t="s">
        <v>122</v>
      </c>
      <c r="K2093" s="7">
        <v>1</v>
      </c>
      <c r="L2093" s="4"/>
      <c r="M2093" s="12"/>
      <c r="N2093" s="4"/>
      <c r="O2093" s="4"/>
      <c r="P2093" s="4"/>
      <c r="Q2093" s="11">
        <v>2</v>
      </c>
      <c r="S2093" s="4"/>
      <c r="T2093" s="11">
        <v>2</v>
      </c>
      <c r="V2093" s="4"/>
      <c r="Y2093" s="4"/>
      <c r="Z2093" s="11">
        <v>0</v>
      </c>
      <c r="AB2093" s="4"/>
      <c r="AE2093" s="4"/>
      <c r="AF2093" s="11">
        <v>1</v>
      </c>
      <c r="AH2093" s="4"/>
      <c r="AI2093" s="11">
        <v>1</v>
      </c>
      <c r="AK2093" s="4"/>
      <c r="AL2093" s="4"/>
      <c r="AM2093" s="4"/>
      <c r="AN2093" s="4"/>
      <c r="AO2093" s="4"/>
      <c r="AP2093" s="4"/>
      <c r="AQ2093" s="4"/>
    </row>
    <row r="2094" spans="1:43" s="11" customFormat="1" x14ac:dyDescent="0.25">
      <c r="A2094" s="161" t="str">
        <f t="shared" si="37"/>
        <v>EE_LINE_INFANTRY_ED_FRANCE</v>
      </c>
      <c r="B2094" s="9" t="s">
        <v>1985</v>
      </c>
      <c r="C2094" s="4" t="s">
        <v>715</v>
      </c>
      <c r="D2094" s="4"/>
      <c r="E2094" s="4" t="s">
        <v>2589</v>
      </c>
      <c r="F2094" s="4" t="s">
        <v>2589</v>
      </c>
      <c r="G2094" s="14" t="s">
        <v>2047</v>
      </c>
      <c r="H2094" s="4" t="s">
        <v>2006</v>
      </c>
      <c r="I2094" s="4" t="s">
        <v>122</v>
      </c>
      <c r="K2094" s="7">
        <v>1</v>
      </c>
      <c r="L2094" s="4"/>
      <c r="M2094" s="12"/>
      <c r="N2094" s="4"/>
      <c r="O2094" s="4"/>
      <c r="P2094" s="4"/>
      <c r="Q2094" s="11">
        <v>1</v>
      </c>
      <c r="S2094" s="4"/>
      <c r="T2094" s="11">
        <v>1</v>
      </c>
      <c r="V2094" s="4"/>
      <c r="Y2094" s="4"/>
      <c r="Z2094" s="11">
        <v>0</v>
      </c>
      <c r="AB2094" s="4"/>
      <c r="AE2094" s="4"/>
      <c r="AF2094" s="11">
        <v>1</v>
      </c>
      <c r="AH2094" s="4"/>
      <c r="AI2094" s="11">
        <v>1</v>
      </c>
      <c r="AK2094" s="4"/>
      <c r="AL2094" s="4"/>
      <c r="AM2094" s="4"/>
      <c r="AN2094" s="4"/>
      <c r="AO2094" s="4"/>
      <c r="AP2094" s="4"/>
      <c r="AQ2094" s="4"/>
    </row>
    <row r="2095" spans="1:43" s="11" customFormat="1" x14ac:dyDescent="0.25">
      <c r="A2095" s="161" t="str">
        <f t="shared" si="37"/>
        <v>EE_LINE_INFANTRY_ED_FRANCE</v>
      </c>
      <c r="B2095" s="9" t="s">
        <v>1985</v>
      </c>
      <c r="C2095" s="4" t="s">
        <v>715</v>
      </c>
      <c r="D2095" s="4"/>
      <c r="E2095" s="4" t="s">
        <v>2589</v>
      </c>
      <c r="F2095" s="4" t="s">
        <v>2589</v>
      </c>
      <c r="G2095" s="14"/>
      <c r="H2095" s="4" t="s">
        <v>1994</v>
      </c>
      <c r="I2095" s="4" t="s">
        <v>122</v>
      </c>
      <c r="K2095" s="7">
        <v>1</v>
      </c>
      <c r="L2095" s="4"/>
      <c r="M2095" s="12"/>
      <c r="N2095" s="4"/>
      <c r="O2095" s="4"/>
      <c r="P2095" s="4"/>
      <c r="Q2095" s="11">
        <v>4</v>
      </c>
      <c r="S2095" s="4"/>
      <c r="T2095" s="11">
        <v>6</v>
      </c>
      <c r="V2095" s="4"/>
      <c r="Y2095" s="4"/>
      <c r="Z2095" s="11">
        <v>0</v>
      </c>
      <c r="AB2095" s="4"/>
      <c r="AE2095" s="4"/>
      <c r="AF2095" s="11">
        <v>0</v>
      </c>
      <c r="AH2095" s="4"/>
      <c r="AI2095" s="11">
        <v>3</v>
      </c>
      <c r="AK2095" s="4"/>
      <c r="AL2095" s="4"/>
      <c r="AM2095" s="4"/>
      <c r="AN2095" s="4"/>
      <c r="AO2095" s="4"/>
      <c r="AP2095" s="4"/>
      <c r="AQ2095" s="4"/>
    </row>
    <row r="2096" spans="1:43" s="11" customFormat="1" x14ac:dyDescent="0.25">
      <c r="A2096" s="161" t="str">
        <f t="shared" si="37"/>
        <v>EE_LINE_INFANTRY_ED_FRANCE</v>
      </c>
      <c r="B2096" s="9" t="s">
        <v>1985</v>
      </c>
      <c r="C2096" s="4" t="s">
        <v>715</v>
      </c>
      <c r="D2096" s="4"/>
      <c r="E2096" s="4" t="s">
        <v>2589</v>
      </c>
      <c r="F2096" s="4" t="s">
        <v>2589</v>
      </c>
      <c r="G2096" s="14" t="s">
        <v>2045</v>
      </c>
      <c r="H2096" s="4" t="s">
        <v>2005</v>
      </c>
      <c r="I2096" s="4" t="s">
        <v>122</v>
      </c>
      <c r="K2096" s="7">
        <v>1</v>
      </c>
      <c r="L2096" s="4"/>
      <c r="M2096" s="12"/>
      <c r="N2096" s="4"/>
      <c r="O2096" s="4"/>
      <c r="P2096" s="4"/>
      <c r="Q2096" s="11">
        <v>2</v>
      </c>
      <c r="S2096" s="4"/>
      <c r="T2096" s="11">
        <v>3</v>
      </c>
      <c r="V2096" s="4"/>
      <c r="Y2096" s="4"/>
      <c r="Z2096" s="11">
        <v>0</v>
      </c>
      <c r="AB2096" s="4"/>
      <c r="AE2096" s="4"/>
      <c r="AF2096" s="11">
        <v>0</v>
      </c>
      <c r="AH2096" s="4"/>
      <c r="AI2096" s="11">
        <v>0</v>
      </c>
      <c r="AK2096" s="4"/>
      <c r="AL2096" s="4"/>
      <c r="AM2096" s="4"/>
      <c r="AN2096" s="4"/>
      <c r="AO2096" s="4"/>
      <c r="AP2096" s="4"/>
      <c r="AQ2096" s="4"/>
    </row>
    <row r="2097" spans="1:43" s="11" customFormat="1" x14ac:dyDescent="0.25">
      <c r="A2097" s="161" t="str">
        <f t="shared" si="37"/>
        <v>EE_LINE_INFANTRY_ED_FRANCE</v>
      </c>
      <c r="B2097" s="9" t="s">
        <v>1985</v>
      </c>
      <c r="C2097" s="4" t="s">
        <v>715</v>
      </c>
      <c r="D2097" s="4"/>
      <c r="E2097" s="4" t="s">
        <v>2589</v>
      </c>
      <c r="F2097" s="4" t="s">
        <v>2589</v>
      </c>
      <c r="G2097" s="14" t="s">
        <v>2047</v>
      </c>
      <c r="H2097" s="4" t="s">
        <v>2006</v>
      </c>
      <c r="I2097" s="4" t="s">
        <v>122</v>
      </c>
      <c r="K2097" s="7">
        <v>1</v>
      </c>
      <c r="L2097" s="4"/>
      <c r="M2097" s="12"/>
      <c r="N2097" s="4"/>
      <c r="O2097" s="4"/>
      <c r="P2097" s="4"/>
      <c r="Q2097" s="11">
        <v>1</v>
      </c>
      <c r="S2097" s="4"/>
      <c r="T2097" s="11">
        <v>2</v>
      </c>
      <c r="V2097" s="4"/>
      <c r="Y2097" s="4"/>
      <c r="Z2097" s="11">
        <v>0</v>
      </c>
      <c r="AB2097" s="4"/>
      <c r="AE2097" s="4"/>
      <c r="AF2097" s="11">
        <v>0</v>
      </c>
      <c r="AH2097" s="4"/>
      <c r="AI2097" s="11">
        <v>0</v>
      </c>
      <c r="AK2097" s="4"/>
      <c r="AL2097" s="4"/>
      <c r="AM2097" s="4"/>
      <c r="AN2097" s="4"/>
      <c r="AO2097" s="4"/>
      <c r="AP2097" s="4"/>
      <c r="AQ2097" s="4"/>
    </row>
    <row r="2098" spans="1:43" s="11" customFormat="1" x14ac:dyDescent="0.25">
      <c r="A2098" s="161" t="str">
        <f t="shared" si="37"/>
        <v>EE_LINE_INFANTRY_ED_GERMANY</v>
      </c>
      <c r="B2098" s="9" t="s">
        <v>1985</v>
      </c>
      <c r="C2098" s="4" t="s">
        <v>717</v>
      </c>
      <c r="D2098" s="4"/>
      <c r="E2098" s="4" t="s">
        <v>2589</v>
      </c>
      <c r="F2098" s="4" t="s">
        <v>2589</v>
      </c>
      <c r="G2098" s="14"/>
      <c r="H2098" s="4" t="s">
        <v>1995</v>
      </c>
      <c r="I2098" s="4" t="s">
        <v>122</v>
      </c>
      <c r="K2098" s="7">
        <v>1</v>
      </c>
      <c r="L2098" s="4"/>
      <c r="M2098" s="12"/>
      <c r="N2098" s="4"/>
      <c r="O2098" s="4"/>
      <c r="P2098" s="4"/>
      <c r="Q2098" s="11">
        <v>4</v>
      </c>
      <c r="S2098" s="4"/>
      <c r="T2098" s="11">
        <v>5</v>
      </c>
      <c r="V2098" s="4"/>
      <c r="Y2098" s="4"/>
      <c r="Z2098" s="11">
        <v>1</v>
      </c>
      <c r="AB2098" s="4"/>
      <c r="AE2098" s="4"/>
      <c r="AF2098" s="11">
        <v>1</v>
      </c>
      <c r="AH2098" s="4"/>
      <c r="AI2098" s="11">
        <v>2</v>
      </c>
      <c r="AK2098" s="4"/>
      <c r="AL2098" s="4"/>
      <c r="AM2098" s="4"/>
      <c r="AN2098" s="4"/>
      <c r="AO2098" s="4"/>
      <c r="AP2098" s="4"/>
      <c r="AQ2098" s="4"/>
    </row>
    <row r="2099" spans="1:43" s="11" customFormat="1" x14ac:dyDescent="0.25">
      <c r="A2099" s="161" t="str">
        <f t="shared" si="37"/>
        <v>EE_LINE_INFANTRY_ED_GERMANY</v>
      </c>
      <c r="B2099" s="9" t="s">
        <v>1985</v>
      </c>
      <c r="C2099" s="4" t="s">
        <v>717</v>
      </c>
      <c r="D2099" s="4"/>
      <c r="E2099" s="4" t="s">
        <v>2589</v>
      </c>
      <c r="F2099" s="4" t="s">
        <v>2589</v>
      </c>
      <c r="G2099" s="14" t="s">
        <v>2045</v>
      </c>
      <c r="H2099" s="4" t="s">
        <v>2003</v>
      </c>
      <c r="I2099" s="4" t="s">
        <v>122</v>
      </c>
      <c r="K2099" s="7">
        <v>1</v>
      </c>
      <c r="L2099" s="4"/>
      <c r="M2099" s="12"/>
      <c r="N2099" s="4"/>
      <c r="O2099" s="4"/>
      <c r="P2099" s="4"/>
      <c r="Q2099" s="11">
        <v>2</v>
      </c>
      <c r="S2099" s="4"/>
      <c r="T2099" s="11">
        <v>2</v>
      </c>
      <c r="V2099" s="4"/>
      <c r="Y2099" s="4"/>
      <c r="Z2099" s="11">
        <v>0</v>
      </c>
      <c r="AB2099" s="4"/>
      <c r="AE2099" s="4"/>
      <c r="AF2099" s="11">
        <v>1</v>
      </c>
      <c r="AH2099" s="4"/>
      <c r="AI2099" s="11">
        <v>1</v>
      </c>
      <c r="AK2099" s="4"/>
      <c r="AL2099" s="4"/>
      <c r="AM2099" s="4"/>
      <c r="AN2099" s="4"/>
      <c r="AO2099" s="4"/>
      <c r="AP2099" s="4"/>
      <c r="AQ2099" s="4"/>
    </row>
    <row r="2100" spans="1:43" s="11" customFormat="1" x14ac:dyDescent="0.25">
      <c r="A2100" s="161" t="str">
        <f t="shared" ref="A2100:A2163" si="38">CONCATENATE(E2100,IF(ISBLANK(C2100),"",CONCATENATE("_",C2100)))</f>
        <v>EE_LINE_INFANTRY_ED_GERMANY</v>
      </c>
      <c r="B2100" s="9" t="s">
        <v>1985</v>
      </c>
      <c r="C2100" s="4" t="s">
        <v>717</v>
      </c>
      <c r="D2100" s="4"/>
      <c r="E2100" s="4" t="s">
        <v>2589</v>
      </c>
      <c r="F2100" s="4" t="s">
        <v>2589</v>
      </c>
      <c r="G2100" s="14" t="s">
        <v>2047</v>
      </c>
      <c r="H2100" s="4" t="s">
        <v>2004</v>
      </c>
      <c r="I2100" s="4" t="s">
        <v>122</v>
      </c>
      <c r="K2100" s="7">
        <v>1</v>
      </c>
      <c r="L2100" s="4"/>
      <c r="M2100" s="12"/>
      <c r="N2100" s="4"/>
      <c r="O2100" s="4"/>
      <c r="P2100" s="4"/>
      <c r="Q2100" s="11">
        <v>1</v>
      </c>
      <c r="S2100" s="4"/>
      <c r="T2100" s="11">
        <v>1</v>
      </c>
      <c r="V2100" s="4"/>
      <c r="Y2100" s="4"/>
      <c r="Z2100" s="11">
        <v>0</v>
      </c>
      <c r="AB2100" s="4"/>
      <c r="AE2100" s="4"/>
      <c r="AF2100" s="11">
        <v>1</v>
      </c>
      <c r="AH2100" s="4"/>
      <c r="AI2100" s="11">
        <v>1</v>
      </c>
      <c r="AK2100" s="4"/>
      <c r="AL2100" s="4"/>
      <c r="AM2100" s="4"/>
      <c r="AN2100" s="4"/>
      <c r="AO2100" s="4"/>
      <c r="AP2100" s="4"/>
      <c r="AQ2100" s="4"/>
    </row>
    <row r="2101" spans="1:43" s="11" customFormat="1" x14ac:dyDescent="0.25">
      <c r="A2101" s="161" t="str">
        <f t="shared" si="38"/>
        <v>EE_LINE_INFANTRY_ED_GERMANY</v>
      </c>
      <c r="B2101" s="9" t="s">
        <v>1985</v>
      </c>
      <c r="C2101" s="4" t="s">
        <v>717</v>
      </c>
      <c r="D2101" s="4"/>
      <c r="E2101" s="4" t="s">
        <v>2589</v>
      </c>
      <c r="F2101" s="4" t="s">
        <v>2589</v>
      </c>
      <c r="G2101" s="14"/>
      <c r="H2101" s="4" t="s">
        <v>1995</v>
      </c>
      <c r="I2101" s="4" t="s">
        <v>122</v>
      </c>
      <c r="K2101" s="7">
        <v>1</v>
      </c>
      <c r="L2101" s="4"/>
      <c r="M2101" s="12"/>
      <c r="N2101" s="4"/>
      <c r="O2101" s="4"/>
      <c r="P2101" s="4"/>
      <c r="Q2101" s="11">
        <v>4</v>
      </c>
      <c r="S2101" s="4"/>
      <c r="T2101" s="11">
        <v>6</v>
      </c>
      <c r="V2101" s="4"/>
      <c r="Y2101" s="4"/>
      <c r="Z2101" s="11">
        <v>0</v>
      </c>
      <c r="AB2101" s="4"/>
      <c r="AE2101" s="4"/>
      <c r="AF2101" s="11">
        <v>0</v>
      </c>
      <c r="AH2101" s="4"/>
      <c r="AI2101" s="11">
        <v>3</v>
      </c>
      <c r="AK2101" s="4"/>
      <c r="AL2101" s="4"/>
      <c r="AM2101" s="4"/>
      <c r="AN2101" s="4"/>
      <c r="AO2101" s="4"/>
      <c r="AP2101" s="4"/>
      <c r="AQ2101" s="4"/>
    </row>
    <row r="2102" spans="1:43" s="11" customFormat="1" x14ac:dyDescent="0.25">
      <c r="A2102" s="161" t="str">
        <f t="shared" si="38"/>
        <v>EE_LINE_INFANTRY_ED_GERMANY</v>
      </c>
      <c r="B2102" s="9" t="s">
        <v>1985</v>
      </c>
      <c r="C2102" s="4" t="s">
        <v>717</v>
      </c>
      <c r="D2102" s="4"/>
      <c r="E2102" s="4" t="s">
        <v>2589</v>
      </c>
      <c r="F2102" s="4" t="s">
        <v>2589</v>
      </c>
      <c r="G2102" s="14" t="s">
        <v>2045</v>
      </c>
      <c r="H2102" s="4" t="s">
        <v>2003</v>
      </c>
      <c r="I2102" s="4" t="s">
        <v>122</v>
      </c>
      <c r="K2102" s="7">
        <v>1</v>
      </c>
      <c r="L2102" s="4"/>
      <c r="M2102" s="12"/>
      <c r="N2102" s="4"/>
      <c r="O2102" s="4"/>
      <c r="P2102" s="4"/>
      <c r="Q2102" s="11">
        <v>2</v>
      </c>
      <c r="S2102" s="4"/>
      <c r="T2102" s="11">
        <v>3</v>
      </c>
      <c r="V2102" s="4"/>
      <c r="Y2102" s="4"/>
      <c r="Z2102" s="11">
        <v>0</v>
      </c>
      <c r="AB2102" s="4"/>
      <c r="AE2102" s="4"/>
      <c r="AF2102" s="11">
        <v>0</v>
      </c>
      <c r="AH2102" s="4"/>
      <c r="AI2102" s="11">
        <v>0</v>
      </c>
      <c r="AK2102" s="4"/>
      <c r="AL2102" s="4"/>
      <c r="AM2102" s="4"/>
      <c r="AN2102" s="4"/>
      <c r="AO2102" s="4"/>
      <c r="AP2102" s="4"/>
      <c r="AQ2102" s="4"/>
    </row>
    <row r="2103" spans="1:43" s="11" customFormat="1" x14ac:dyDescent="0.25">
      <c r="A2103" s="161" t="str">
        <f t="shared" si="38"/>
        <v>EE_LINE_INFANTRY_ED_GERMANY</v>
      </c>
      <c r="B2103" s="9" t="s">
        <v>1985</v>
      </c>
      <c r="C2103" s="4" t="s">
        <v>717</v>
      </c>
      <c r="D2103" s="4"/>
      <c r="E2103" s="4" t="s">
        <v>2589</v>
      </c>
      <c r="F2103" s="4" t="s">
        <v>2589</v>
      </c>
      <c r="G2103" s="14" t="s">
        <v>2047</v>
      </c>
      <c r="H2103" s="4" t="s">
        <v>2004</v>
      </c>
      <c r="I2103" s="4" t="s">
        <v>122</v>
      </c>
      <c r="K2103" s="7">
        <v>1</v>
      </c>
      <c r="L2103" s="4"/>
      <c r="M2103" s="12"/>
      <c r="N2103" s="4"/>
      <c r="O2103" s="4"/>
      <c r="P2103" s="4"/>
      <c r="Q2103" s="11">
        <v>1</v>
      </c>
      <c r="S2103" s="4"/>
      <c r="T2103" s="11">
        <v>2</v>
      </c>
      <c r="V2103" s="4"/>
      <c r="Y2103" s="4"/>
      <c r="Z2103" s="11">
        <v>0</v>
      </c>
      <c r="AB2103" s="4"/>
      <c r="AE2103" s="4"/>
      <c r="AF2103" s="11">
        <v>0</v>
      </c>
      <c r="AH2103" s="4"/>
      <c r="AI2103" s="11">
        <v>0</v>
      </c>
      <c r="AK2103" s="4"/>
      <c r="AL2103" s="4"/>
      <c r="AM2103" s="4"/>
      <c r="AN2103" s="4"/>
      <c r="AO2103" s="4"/>
      <c r="AP2103" s="4"/>
      <c r="AQ2103" s="4"/>
    </row>
    <row r="2104" spans="1:43" s="11" customFormat="1" x14ac:dyDescent="0.25">
      <c r="A2104" s="161" t="str">
        <f t="shared" si="38"/>
        <v>EE_LINE_INFANTRY_ED_NETHERLANDS</v>
      </c>
      <c r="B2104" s="9" t="s">
        <v>1985</v>
      </c>
      <c r="C2104" s="4" t="s">
        <v>730</v>
      </c>
      <c r="D2104" s="4"/>
      <c r="E2104" s="4" t="s">
        <v>2589</v>
      </c>
      <c r="F2104" s="4" t="s">
        <v>2589</v>
      </c>
      <c r="G2104" s="14"/>
      <c r="H2104" s="4" t="s">
        <v>1996</v>
      </c>
      <c r="I2104" s="4" t="s">
        <v>122</v>
      </c>
      <c r="K2104" s="7">
        <v>1</v>
      </c>
      <c r="L2104" s="4"/>
      <c r="M2104" s="12"/>
      <c r="N2104" s="4"/>
      <c r="O2104" s="4"/>
      <c r="P2104" s="4"/>
      <c r="Q2104" s="11">
        <v>4</v>
      </c>
      <c r="S2104" s="4"/>
      <c r="T2104" s="11">
        <v>5</v>
      </c>
      <c r="V2104" s="4"/>
      <c r="Y2104" s="4"/>
      <c r="Z2104" s="11">
        <v>1</v>
      </c>
      <c r="AB2104" s="4"/>
      <c r="AE2104" s="4"/>
      <c r="AF2104" s="11">
        <v>1</v>
      </c>
      <c r="AH2104" s="4"/>
      <c r="AI2104" s="11">
        <v>2</v>
      </c>
      <c r="AK2104" s="4"/>
      <c r="AL2104" s="4"/>
      <c r="AM2104" s="4"/>
      <c r="AN2104" s="4"/>
      <c r="AO2104" s="4"/>
      <c r="AP2104" s="4"/>
      <c r="AQ2104" s="4"/>
    </row>
    <row r="2105" spans="1:43" s="11" customFormat="1" x14ac:dyDescent="0.25">
      <c r="A2105" s="161" t="str">
        <f t="shared" si="38"/>
        <v>EE_LINE_INFANTRY_ED_NETHERLANDS</v>
      </c>
      <c r="B2105" s="9" t="s">
        <v>1985</v>
      </c>
      <c r="C2105" s="4" t="s">
        <v>730</v>
      </c>
      <c r="D2105" s="4"/>
      <c r="E2105" s="4" t="s">
        <v>2589</v>
      </c>
      <c r="F2105" s="4" t="s">
        <v>2589</v>
      </c>
      <c r="G2105" s="14" t="s">
        <v>2045</v>
      </c>
      <c r="H2105" s="4" t="s">
        <v>2001</v>
      </c>
      <c r="I2105" s="4" t="s">
        <v>122</v>
      </c>
      <c r="K2105" s="7">
        <v>1</v>
      </c>
      <c r="L2105" s="4"/>
      <c r="M2105" s="12"/>
      <c r="N2105" s="4"/>
      <c r="O2105" s="4"/>
      <c r="P2105" s="4"/>
      <c r="Q2105" s="11">
        <v>2</v>
      </c>
      <c r="S2105" s="4"/>
      <c r="T2105" s="11">
        <v>2</v>
      </c>
      <c r="V2105" s="4"/>
      <c r="Y2105" s="4"/>
      <c r="Z2105" s="11">
        <v>0</v>
      </c>
      <c r="AB2105" s="4"/>
      <c r="AE2105" s="4"/>
      <c r="AF2105" s="11">
        <v>1</v>
      </c>
      <c r="AH2105" s="4"/>
      <c r="AI2105" s="11">
        <v>1</v>
      </c>
      <c r="AK2105" s="4"/>
      <c r="AL2105" s="4"/>
      <c r="AM2105" s="4"/>
      <c r="AN2105" s="4"/>
      <c r="AO2105" s="4"/>
      <c r="AP2105" s="4"/>
      <c r="AQ2105" s="4"/>
    </row>
    <row r="2106" spans="1:43" s="11" customFormat="1" x14ac:dyDescent="0.25">
      <c r="A2106" s="161" t="str">
        <f t="shared" si="38"/>
        <v>EE_LINE_INFANTRY_ED_NETHERLANDS</v>
      </c>
      <c r="B2106" s="9" t="s">
        <v>1985</v>
      </c>
      <c r="C2106" s="4" t="s">
        <v>730</v>
      </c>
      <c r="D2106" s="4"/>
      <c r="E2106" s="4" t="s">
        <v>2589</v>
      </c>
      <c r="F2106" s="4" t="s">
        <v>2589</v>
      </c>
      <c r="G2106" s="14" t="s">
        <v>2047</v>
      </c>
      <c r="H2106" s="4" t="s">
        <v>2002</v>
      </c>
      <c r="I2106" s="4" t="s">
        <v>122</v>
      </c>
      <c r="K2106" s="7">
        <v>1</v>
      </c>
      <c r="L2106" s="4"/>
      <c r="M2106" s="12"/>
      <c r="N2106" s="4"/>
      <c r="O2106" s="4"/>
      <c r="P2106" s="4"/>
      <c r="Q2106" s="11">
        <v>1</v>
      </c>
      <c r="S2106" s="4"/>
      <c r="T2106" s="11">
        <v>1</v>
      </c>
      <c r="V2106" s="4"/>
      <c r="Y2106" s="4"/>
      <c r="Z2106" s="11">
        <v>0</v>
      </c>
      <c r="AB2106" s="4"/>
      <c r="AE2106" s="4"/>
      <c r="AF2106" s="11">
        <v>1</v>
      </c>
      <c r="AH2106" s="4"/>
      <c r="AI2106" s="11">
        <v>1</v>
      </c>
      <c r="AK2106" s="4"/>
      <c r="AL2106" s="4"/>
      <c r="AM2106" s="4"/>
      <c r="AN2106" s="4"/>
      <c r="AO2106" s="4"/>
      <c r="AP2106" s="4"/>
      <c r="AQ2106" s="4"/>
    </row>
    <row r="2107" spans="1:43" s="11" customFormat="1" x14ac:dyDescent="0.25">
      <c r="A2107" s="161" t="str">
        <f t="shared" si="38"/>
        <v>EE_LINE_INFANTRY_ED_NETHERLANDS</v>
      </c>
      <c r="B2107" s="9" t="s">
        <v>1985</v>
      </c>
      <c r="C2107" s="4" t="s">
        <v>730</v>
      </c>
      <c r="D2107" s="4"/>
      <c r="E2107" s="4" t="s">
        <v>2589</v>
      </c>
      <c r="F2107" s="4" t="s">
        <v>2589</v>
      </c>
      <c r="G2107" s="14"/>
      <c r="H2107" s="4" t="s">
        <v>1996</v>
      </c>
      <c r="I2107" s="4" t="s">
        <v>122</v>
      </c>
      <c r="K2107" s="7">
        <v>1</v>
      </c>
      <c r="L2107" s="4"/>
      <c r="M2107" s="12"/>
      <c r="N2107" s="4"/>
      <c r="O2107" s="4"/>
      <c r="P2107" s="4"/>
      <c r="Q2107" s="11">
        <v>4</v>
      </c>
      <c r="S2107" s="4"/>
      <c r="T2107" s="11">
        <v>6</v>
      </c>
      <c r="V2107" s="4"/>
      <c r="Y2107" s="4"/>
      <c r="Z2107" s="11">
        <v>0</v>
      </c>
      <c r="AB2107" s="4"/>
      <c r="AE2107" s="4"/>
      <c r="AF2107" s="11">
        <v>0</v>
      </c>
      <c r="AH2107" s="4"/>
      <c r="AI2107" s="11">
        <v>3</v>
      </c>
      <c r="AK2107" s="4"/>
      <c r="AL2107" s="4"/>
      <c r="AM2107" s="4"/>
      <c r="AN2107" s="4"/>
      <c r="AO2107" s="4"/>
      <c r="AP2107" s="4"/>
      <c r="AQ2107" s="4"/>
    </row>
    <row r="2108" spans="1:43" s="11" customFormat="1" x14ac:dyDescent="0.25">
      <c r="A2108" s="161" t="str">
        <f t="shared" si="38"/>
        <v>EE_LINE_INFANTRY_ED_NETHERLANDS</v>
      </c>
      <c r="B2108" s="9" t="s">
        <v>1985</v>
      </c>
      <c r="C2108" s="4" t="s">
        <v>730</v>
      </c>
      <c r="D2108" s="4"/>
      <c r="E2108" s="4" t="s">
        <v>2589</v>
      </c>
      <c r="F2108" s="4" t="s">
        <v>2589</v>
      </c>
      <c r="G2108" s="14" t="s">
        <v>2045</v>
      </c>
      <c r="H2108" s="4" t="s">
        <v>2001</v>
      </c>
      <c r="I2108" s="4" t="s">
        <v>122</v>
      </c>
      <c r="K2108" s="7">
        <v>1</v>
      </c>
      <c r="L2108" s="4"/>
      <c r="M2108" s="12"/>
      <c r="N2108" s="4"/>
      <c r="O2108" s="4"/>
      <c r="P2108" s="4"/>
      <c r="Q2108" s="11">
        <v>2</v>
      </c>
      <c r="S2108" s="4"/>
      <c r="T2108" s="11">
        <v>3</v>
      </c>
      <c r="V2108" s="4"/>
      <c r="Y2108" s="4"/>
      <c r="Z2108" s="11">
        <v>0</v>
      </c>
      <c r="AB2108" s="4"/>
      <c r="AE2108" s="4"/>
      <c r="AF2108" s="11">
        <v>0</v>
      </c>
      <c r="AH2108" s="4"/>
      <c r="AI2108" s="11">
        <v>0</v>
      </c>
      <c r="AK2108" s="4"/>
      <c r="AL2108" s="4"/>
      <c r="AM2108" s="4"/>
      <c r="AN2108" s="4"/>
      <c r="AO2108" s="4"/>
      <c r="AP2108" s="4"/>
      <c r="AQ2108" s="4"/>
    </row>
    <row r="2109" spans="1:43" s="11" customFormat="1" x14ac:dyDescent="0.25">
      <c r="A2109" s="161" t="str">
        <f t="shared" si="38"/>
        <v>EE_LINE_INFANTRY_ED_NETHERLANDS</v>
      </c>
      <c r="B2109" s="9" t="s">
        <v>1985</v>
      </c>
      <c r="C2109" s="4" t="s">
        <v>730</v>
      </c>
      <c r="D2109" s="4"/>
      <c r="E2109" s="4" t="s">
        <v>2589</v>
      </c>
      <c r="F2109" s="4" t="s">
        <v>2589</v>
      </c>
      <c r="G2109" s="14" t="s">
        <v>2047</v>
      </c>
      <c r="H2109" s="4" t="s">
        <v>2002</v>
      </c>
      <c r="I2109" s="4" t="s">
        <v>122</v>
      </c>
      <c r="K2109" s="7">
        <v>1</v>
      </c>
      <c r="L2109" s="4"/>
      <c r="M2109" s="12"/>
      <c r="N2109" s="4"/>
      <c r="O2109" s="4"/>
      <c r="P2109" s="4"/>
      <c r="Q2109" s="11">
        <v>1</v>
      </c>
      <c r="S2109" s="4"/>
      <c r="T2109" s="11">
        <v>2</v>
      </c>
      <c r="V2109" s="4"/>
      <c r="Y2109" s="4"/>
      <c r="Z2109" s="11">
        <v>0</v>
      </c>
      <c r="AB2109" s="4"/>
      <c r="AE2109" s="4"/>
      <c r="AF2109" s="11">
        <v>0</v>
      </c>
      <c r="AH2109" s="4"/>
      <c r="AI2109" s="11">
        <v>0</v>
      </c>
      <c r="AK2109" s="4"/>
      <c r="AL2109" s="4"/>
      <c r="AM2109" s="4"/>
      <c r="AN2109" s="4"/>
      <c r="AO2109" s="4"/>
      <c r="AP2109" s="4"/>
      <c r="AQ2109" s="4"/>
    </row>
    <row r="2110" spans="1:43" s="11" customFormat="1" x14ac:dyDescent="0.25">
      <c r="A2110" s="161" t="str">
        <f t="shared" si="38"/>
        <v>EE_LINE_INFANTRY_ED_RUSSIA</v>
      </c>
      <c r="B2110" s="9" t="s">
        <v>1985</v>
      </c>
      <c r="C2110" s="4" t="s">
        <v>735</v>
      </c>
      <c r="D2110" s="4"/>
      <c r="E2110" s="4" t="s">
        <v>2589</v>
      </c>
      <c r="F2110" s="4" t="s">
        <v>2589</v>
      </c>
      <c r="G2110" s="14"/>
      <c r="H2110" s="4" t="s">
        <v>1997</v>
      </c>
      <c r="I2110" s="4" t="s">
        <v>122</v>
      </c>
      <c r="K2110" s="7">
        <v>1</v>
      </c>
      <c r="L2110" s="4"/>
      <c r="M2110" s="12"/>
      <c r="N2110" s="4"/>
      <c r="O2110" s="4"/>
      <c r="P2110" s="4"/>
      <c r="Q2110" s="11">
        <v>4</v>
      </c>
      <c r="S2110" s="4"/>
      <c r="T2110" s="11">
        <v>5</v>
      </c>
      <c r="V2110" s="4"/>
      <c r="Y2110" s="4"/>
      <c r="Z2110" s="11">
        <v>1</v>
      </c>
      <c r="AB2110" s="4"/>
      <c r="AE2110" s="4"/>
      <c r="AF2110" s="11">
        <v>1</v>
      </c>
      <c r="AH2110" s="4"/>
      <c r="AI2110" s="11">
        <v>2</v>
      </c>
      <c r="AK2110" s="4"/>
      <c r="AL2110" s="4"/>
      <c r="AM2110" s="4"/>
      <c r="AN2110" s="4"/>
      <c r="AO2110" s="4"/>
      <c r="AP2110" s="4"/>
      <c r="AQ2110" s="4"/>
    </row>
    <row r="2111" spans="1:43" s="11" customFormat="1" x14ac:dyDescent="0.25">
      <c r="A2111" s="161" t="str">
        <f t="shared" si="38"/>
        <v>EE_LINE_INFANTRY_ED_RUSSIA</v>
      </c>
      <c r="B2111" s="9" t="s">
        <v>1985</v>
      </c>
      <c r="C2111" s="4" t="s">
        <v>735</v>
      </c>
      <c r="D2111" s="4"/>
      <c r="E2111" s="4" t="s">
        <v>2589</v>
      </c>
      <c r="F2111" s="4" t="s">
        <v>2589</v>
      </c>
      <c r="G2111" s="14" t="s">
        <v>2045</v>
      </c>
      <c r="H2111" s="4" t="s">
        <v>1999</v>
      </c>
      <c r="I2111" s="4" t="s">
        <v>122</v>
      </c>
      <c r="K2111" s="7">
        <v>1</v>
      </c>
      <c r="L2111" s="4"/>
      <c r="M2111" s="12"/>
      <c r="N2111" s="4"/>
      <c r="O2111" s="4"/>
      <c r="P2111" s="4"/>
      <c r="Q2111" s="11">
        <v>2</v>
      </c>
      <c r="S2111" s="4"/>
      <c r="T2111" s="11">
        <v>2</v>
      </c>
      <c r="V2111" s="4"/>
      <c r="Y2111" s="4"/>
      <c r="Z2111" s="11">
        <v>0</v>
      </c>
      <c r="AB2111" s="4"/>
      <c r="AE2111" s="4"/>
      <c r="AF2111" s="11">
        <v>1</v>
      </c>
      <c r="AH2111" s="4"/>
      <c r="AI2111" s="11">
        <v>1</v>
      </c>
      <c r="AK2111" s="4"/>
      <c r="AL2111" s="4"/>
      <c r="AM2111" s="4"/>
      <c r="AN2111" s="4"/>
      <c r="AO2111" s="4"/>
      <c r="AP2111" s="4"/>
      <c r="AQ2111" s="4"/>
    </row>
    <row r="2112" spans="1:43" s="11" customFormat="1" x14ac:dyDescent="0.25">
      <c r="A2112" s="161" t="str">
        <f t="shared" si="38"/>
        <v>EE_LINE_INFANTRY_ED_RUSSIA</v>
      </c>
      <c r="B2112" s="9" t="s">
        <v>1985</v>
      </c>
      <c r="C2112" s="4" t="s">
        <v>735</v>
      </c>
      <c r="D2112" s="4"/>
      <c r="E2112" s="4" t="s">
        <v>2589</v>
      </c>
      <c r="F2112" s="4" t="s">
        <v>2589</v>
      </c>
      <c r="G2112" s="14" t="s">
        <v>2047</v>
      </c>
      <c r="H2112" s="4" t="s">
        <v>2000</v>
      </c>
      <c r="I2112" s="4" t="s">
        <v>122</v>
      </c>
      <c r="K2112" s="7">
        <v>1</v>
      </c>
      <c r="L2112" s="4"/>
      <c r="M2112" s="12"/>
      <c r="N2112" s="4"/>
      <c r="O2112" s="4"/>
      <c r="P2112" s="4"/>
      <c r="Q2112" s="11">
        <v>1</v>
      </c>
      <c r="S2112" s="4"/>
      <c r="T2112" s="11">
        <v>1</v>
      </c>
      <c r="V2112" s="4"/>
      <c r="Y2112" s="4"/>
      <c r="Z2112" s="11">
        <v>0</v>
      </c>
      <c r="AB2112" s="4"/>
      <c r="AE2112" s="4"/>
      <c r="AF2112" s="11">
        <v>1</v>
      </c>
      <c r="AH2112" s="4"/>
      <c r="AI2112" s="11">
        <v>1</v>
      </c>
      <c r="AK2112" s="4"/>
      <c r="AL2112" s="4"/>
      <c r="AM2112" s="4"/>
      <c r="AN2112" s="4"/>
      <c r="AO2112" s="4"/>
      <c r="AP2112" s="4"/>
      <c r="AQ2112" s="4"/>
    </row>
    <row r="2113" spans="1:43" s="11" customFormat="1" x14ac:dyDescent="0.25">
      <c r="A2113" s="161" t="str">
        <f t="shared" si="38"/>
        <v>EE_LINE_INFANTRY_ED_RUSSIA</v>
      </c>
      <c r="B2113" s="9" t="s">
        <v>1985</v>
      </c>
      <c r="C2113" s="4" t="s">
        <v>735</v>
      </c>
      <c r="D2113" s="4"/>
      <c r="E2113" s="4" t="s">
        <v>2589</v>
      </c>
      <c r="F2113" s="4" t="s">
        <v>2589</v>
      </c>
      <c r="G2113" s="14"/>
      <c r="H2113" s="4" t="s">
        <v>1997</v>
      </c>
      <c r="I2113" s="4" t="s">
        <v>122</v>
      </c>
      <c r="K2113" s="7">
        <v>1</v>
      </c>
      <c r="L2113" s="4"/>
      <c r="M2113" s="12"/>
      <c r="N2113" s="4"/>
      <c r="O2113" s="4"/>
      <c r="P2113" s="4"/>
      <c r="Q2113" s="11">
        <v>4</v>
      </c>
      <c r="S2113" s="4"/>
      <c r="T2113" s="11">
        <v>6</v>
      </c>
      <c r="V2113" s="4"/>
      <c r="Y2113" s="4"/>
      <c r="Z2113" s="11">
        <v>0</v>
      </c>
      <c r="AB2113" s="4"/>
      <c r="AE2113" s="4"/>
      <c r="AF2113" s="11">
        <v>0</v>
      </c>
      <c r="AH2113" s="4"/>
      <c r="AI2113" s="11">
        <v>3</v>
      </c>
      <c r="AK2113" s="4"/>
      <c r="AL2113" s="4"/>
      <c r="AM2113" s="4"/>
      <c r="AN2113" s="4"/>
      <c r="AO2113" s="4"/>
      <c r="AP2113" s="4"/>
      <c r="AQ2113" s="4"/>
    </row>
    <row r="2114" spans="1:43" x14ac:dyDescent="0.25">
      <c r="A2114" s="161" t="str">
        <f t="shared" si="38"/>
        <v>EE_LINE_INFANTRY_ED_RUSSIA</v>
      </c>
      <c r="B2114" s="9" t="s">
        <v>1985</v>
      </c>
      <c r="C2114" s="4" t="s">
        <v>735</v>
      </c>
      <c r="E2114" s="4" t="s">
        <v>2589</v>
      </c>
      <c r="F2114" s="4" t="s">
        <v>2589</v>
      </c>
      <c r="G2114" s="14" t="s">
        <v>2045</v>
      </c>
      <c r="H2114" s="4" t="s">
        <v>1999</v>
      </c>
      <c r="I2114" s="4" t="s">
        <v>122</v>
      </c>
      <c r="K2114" s="7">
        <v>1</v>
      </c>
      <c r="Q2114" s="11">
        <v>2</v>
      </c>
      <c r="T2114" s="11">
        <v>3</v>
      </c>
      <c r="Z2114" s="11">
        <v>0</v>
      </c>
      <c r="AF2114" s="11">
        <v>0</v>
      </c>
      <c r="AI2114" s="11">
        <v>0</v>
      </c>
    </row>
    <row r="2115" spans="1:43" x14ac:dyDescent="0.25">
      <c r="A2115" s="161" t="str">
        <f t="shared" si="38"/>
        <v>EE_LINE_INFANTRY_ED_RUSSIA</v>
      </c>
      <c r="B2115" s="9" t="s">
        <v>1985</v>
      </c>
      <c r="C2115" s="4" t="s">
        <v>735</v>
      </c>
      <c r="E2115" s="4" t="s">
        <v>2589</v>
      </c>
      <c r="F2115" s="4" t="s">
        <v>2589</v>
      </c>
      <c r="G2115" s="14" t="s">
        <v>2047</v>
      </c>
      <c r="H2115" s="4" t="s">
        <v>2000</v>
      </c>
      <c r="I2115" s="4" t="s">
        <v>122</v>
      </c>
      <c r="K2115" s="7">
        <v>1</v>
      </c>
      <c r="Q2115" s="11">
        <v>1</v>
      </c>
      <c r="T2115" s="11">
        <v>2</v>
      </c>
      <c r="Z2115" s="11">
        <v>0</v>
      </c>
      <c r="AF2115" s="11">
        <v>0</v>
      </c>
      <c r="AI2115" s="11">
        <v>0</v>
      </c>
    </row>
    <row r="2116" spans="1:43" x14ac:dyDescent="0.25">
      <c r="A2116" s="161" t="str">
        <f t="shared" si="38"/>
        <v>EE_LINE_INFANTRY_ED_SPAIN</v>
      </c>
      <c r="B2116" s="9" t="s">
        <v>1985</v>
      </c>
      <c r="C2116" s="4" t="s">
        <v>738</v>
      </c>
      <c r="E2116" s="4" t="s">
        <v>2589</v>
      </c>
      <c r="F2116" s="4" t="s">
        <v>2589</v>
      </c>
      <c r="G2116" s="14"/>
      <c r="H2116" s="4" t="s">
        <v>1998</v>
      </c>
      <c r="I2116" s="4" t="s">
        <v>122</v>
      </c>
      <c r="K2116" s="7">
        <v>1</v>
      </c>
      <c r="Q2116" s="11">
        <v>14</v>
      </c>
      <c r="T2116" s="11">
        <v>19</v>
      </c>
      <c r="Z2116" s="11">
        <v>1</v>
      </c>
      <c r="AF2116" s="11">
        <v>3</v>
      </c>
      <c r="AI2116" s="11">
        <v>7</v>
      </c>
    </row>
    <row r="2117" spans="1:43" x14ac:dyDescent="0.25">
      <c r="A2117" s="161" t="str">
        <f t="shared" si="38"/>
        <v>EE_LINE_INFANTRY_ED_WITTENBERG</v>
      </c>
      <c r="B2117" s="9" t="s">
        <v>1985</v>
      </c>
      <c r="C2117" s="4" t="s">
        <v>1215</v>
      </c>
      <c r="E2117" s="4" t="s">
        <v>2589</v>
      </c>
      <c r="F2117" s="4" t="s">
        <v>2589</v>
      </c>
      <c r="G2117" s="14"/>
      <c r="H2117" s="4" t="s">
        <v>2413</v>
      </c>
      <c r="I2117" s="4" t="s">
        <v>2075</v>
      </c>
      <c r="K2117" s="7">
        <v>1</v>
      </c>
      <c r="Q2117" s="11">
        <v>14</v>
      </c>
      <c r="T2117" s="11">
        <v>19</v>
      </c>
      <c r="Z2117" s="11">
        <v>1</v>
      </c>
      <c r="AF2117" s="11">
        <v>3</v>
      </c>
      <c r="AI2117" s="11">
        <v>7</v>
      </c>
    </row>
    <row r="2118" spans="1:43" x14ac:dyDescent="0.25">
      <c r="A2118" s="161" t="str">
        <f t="shared" si="38"/>
        <v>EE_SHIP_OF_THE_LINE</v>
      </c>
      <c r="B2118" s="9" t="s">
        <v>2530</v>
      </c>
      <c r="E2118" s="4" t="s">
        <v>2530</v>
      </c>
      <c r="F2118" s="4" t="s">
        <v>2530</v>
      </c>
      <c r="G2118" s="14"/>
      <c r="H2118" s="4" t="s">
        <v>2167</v>
      </c>
      <c r="K2118" s="7">
        <v>1</v>
      </c>
      <c r="Q2118" s="7">
        <v>1</v>
      </c>
      <c r="R2118" s="6">
        <v>0.13700000000000001</v>
      </c>
      <c r="S2118" s="13"/>
      <c r="T2118" s="7">
        <v>2</v>
      </c>
      <c r="U2118" s="6">
        <v>0.115</v>
      </c>
      <c r="V2118" s="5" t="s">
        <v>1699</v>
      </c>
      <c r="W2118" s="6"/>
      <c r="X2118" s="6"/>
      <c r="Y2118" s="5"/>
      <c r="Z2118" s="6"/>
      <c r="AA2118" s="6"/>
      <c r="AB2118" s="5"/>
      <c r="AC2118" s="6"/>
      <c r="AD2118" s="6"/>
      <c r="AE2118" s="5"/>
      <c r="AF2118" s="6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38"/>
        <v>EE_SKIRMISHER</v>
      </c>
      <c r="B2119" s="9" t="s">
        <v>2063</v>
      </c>
      <c r="E2119" s="4" t="s">
        <v>2063</v>
      </c>
      <c r="F2119" s="4" t="s">
        <v>2063</v>
      </c>
      <c r="H2119" s="4" t="s">
        <v>1993</v>
      </c>
      <c r="I2119" s="4" t="s">
        <v>122</v>
      </c>
      <c r="K2119" s="7">
        <v>1</v>
      </c>
      <c r="Q2119" s="11">
        <v>14</v>
      </c>
      <c r="R2119" s="11" t="s">
        <v>1736</v>
      </c>
      <c r="S2119" s="4" t="s">
        <v>1619</v>
      </c>
      <c r="T2119" s="11">
        <v>19</v>
      </c>
      <c r="U2119" s="11" t="s">
        <v>1736</v>
      </c>
      <c r="Z2119" s="11">
        <v>1</v>
      </c>
      <c r="AD2119" s="11" t="s">
        <v>3</v>
      </c>
      <c r="AF2119" s="11" t="s">
        <v>1736</v>
      </c>
      <c r="AI2119" s="11" t="s">
        <v>1736</v>
      </c>
    </row>
    <row r="2120" spans="1:43" x14ac:dyDescent="0.25">
      <c r="A2120" s="161" t="str">
        <f t="shared" si="38"/>
        <v>EE_SKIRMISHER_ED</v>
      </c>
      <c r="B2120" s="9" t="s">
        <v>2063</v>
      </c>
      <c r="E2120" s="4" t="s">
        <v>2590</v>
      </c>
      <c r="F2120" s="4" t="s">
        <v>2590</v>
      </c>
      <c r="H2120" s="4" t="s">
        <v>2064</v>
      </c>
      <c r="I2120" s="4" t="s">
        <v>2065</v>
      </c>
      <c r="K2120" s="7">
        <v>1</v>
      </c>
      <c r="Q2120" s="11">
        <v>14</v>
      </c>
      <c r="R2120" s="11" t="s">
        <v>1736</v>
      </c>
      <c r="S2120" s="4" t="s">
        <v>1619</v>
      </c>
      <c r="T2120" s="11">
        <v>19</v>
      </c>
      <c r="U2120" s="11" t="s">
        <v>1736</v>
      </c>
      <c r="Z2120" s="11">
        <v>1</v>
      </c>
      <c r="AD2120" s="11" t="s">
        <v>3</v>
      </c>
      <c r="AF2120" s="11" t="s">
        <v>1736</v>
      </c>
      <c r="AI2120" s="11" t="s">
        <v>1736</v>
      </c>
    </row>
    <row r="2121" spans="1:43" x14ac:dyDescent="0.25">
      <c r="A2121" s="161" t="str">
        <f t="shared" si="38"/>
        <v>EE_SKIRMISHER_ED_AFRI</v>
      </c>
      <c r="B2121" s="9" t="s">
        <v>2063</v>
      </c>
      <c r="C2121" s="4" t="s">
        <v>694</v>
      </c>
      <c r="D2121" s="4" t="s">
        <v>692</v>
      </c>
      <c r="E2121" s="4" t="s">
        <v>2590</v>
      </c>
      <c r="F2121" s="4" t="s">
        <v>2590</v>
      </c>
      <c r="K2121" s="7">
        <v>1</v>
      </c>
    </row>
    <row r="2122" spans="1:43" x14ac:dyDescent="0.25">
      <c r="A2122" s="161" t="str">
        <f t="shared" si="38"/>
        <v>EE_SKIRMISHER_ED_MED</v>
      </c>
      <c r="B2122" s="9" t="s">
        <v>2063</v>
      </c>
      <c r="C2122" s="4" t="s">
        <v>692</v>
      </c>
      <c r="E2122" s="4" t="s">
        <v>2590</v>
      </c>
      <c r="F2122" s="4" t="s">
        <v>2590</v>
      </c>
      <c r="G2122" s="4" t="s">
        <v>2047</v>
      </c>
      <c r="H2122" s="4" t="s">
        <v>2073</v>
      </c>
      <c r="I2122" s="4" t="s">
        <v>2071</v>
      </c>
      <c r="K2122" s="7">
        <v>1</v>
      </c>
      <c r="Q2122" s="11">
        <v>5</v>
      </c>
      <c r="T2122" s="11">
        <v>8</v>
      </c>
      <c r="Z2122" s="11">
        <v>1</v>
      </c>
      <c r="AF2122" s="11">
        <v>1</v>
      </c>
      <c r="AI2122" s="11">
        <v>3</v>
      </c>
    </row>
    <row r="2123" spans="1:43" x14ac:dyDescent="0.25">
      <c r="A2123" s="161" t="str">
        <f t="shared" si="38"/>
        <v>EE_SKIRMISHER_ED_MED</v>
      </c>
      <c r="B2123" s="9" t="s">
        <v>2063</v>
      </c>
      <c r="C2123" s="4" t="s">
        <v>692</v>
      </c>
      <c r="E2123" s="4" t="s">
        <v>2590</v>
      </c>
      <c r="F2123" s="4" t="s">
        <v>2590</v>
      </c>
      <c r="G2123" s="4" t="s">
        <v>2045</v>
      </c>
      <c r="H2123" s="4" t="s">
        <v>2072</v>
      </c>
      <c r="I2123" s="4" t="s">
        <v>2071</v>
      </c>
      <c r="K2123" s="7">
        <v>1</v>
      </c>
      <c r="Q2123" s="11">
        <v>1</v>
      </c>
      <c r="T2123" s="11">
        <v>3</v>
      </c>
      <c r="Z2123" s="11">
        <v>0</v>
      </c>
      <c r="AF2123" s="11">
        <v>1</v>
      </c>
      <c r="AI2123" s="11">
        <v>1</v>
      </c>
    </row>
    <row r="2124" spans="1:43" x14ac:dyDescent="0.25">
      <c r="A2124" s="161" t="str">
        <f t="shared" si="38"/>
        <v>EE_SKIRMISHER_ED_MED</v>
      </c>
      <c r="B2124" s="9" t="s">
        <v>2063</v>
      </c>
      <c r="C2124" s="4" t="s">
        <v>692</v>
      </c>
      <c r="E2124" s="4" t="s">
        <v>2590</v>
      </c>
      <c r="F2124" s="4" t="s">
        <v>2590</v>
      </c>
      <c r="H2124" s="4" t="s">
        <v>2070</v>
      </c>
      <c r="I2124" s="4" t="s">
        <v>2071</v>
      </c>
      <c r="K2124" s="7">
        <v>1</v>
      </c>
      <c r="Q2124" s="11">
        <v>3</v>
      </c>
      <c r="T2124" s="11">
        <v>2</v>
      </c>
      <c r="Z2124" s="11">
        <v>0</v>
      </c>
      <c r="AF2124" s="11">
        <v>1</v>
      </c>
      <c r="AI2124" s="11">
        <v>1</v>
      </c>
    </row>
    <row r="2125" spans="1:43" x14ac:dyDescent="0.25">
      <c r="A2125" s="161" t="str">
        <f t="shared" si="38"/>
        <v>EE_SKIRMISHER_ED_MED</v>
      </c>
      <c r="B2125" s="9" t="s">
        <v>2063</v>
      </c>
      <c r="C2125" s="4" t="s">
        <v>692</v>
      </c>
      <c r="E2125" s="4" t="s">
        <v>2590</v>
      </c>
      <c r="F2125" s="4" t="s">
        <v>2590</v>
      </c>
      <c r="G2125" s="4" t="s">
        <v>2047</v>
      </c>
      <c r="H2125" s="4" t="s">
        <v>2073</v>
      </c>
      <c r="I2125" s="4" t="s">
        <v>2071</v>
      </c>
      <c r="K2125" s="7">
        <v>1</v>
      </c>
      <c r="Q2125" s="11">
        <v>4</v>
      </c>
      <c r="T2125" s="11">
        <v>5</v>
      </c>
      <c r="Z2125" s="11">
        <v>0</v>
      </c>
      <c r="AF2125" s="11">
        <v>0</v>
      </c>
      <c r="AI2125" s="11">
        <v>2</v>
      </c>
    </row>
    <row r="2126" spans="1:43" x14ac:dyDescent="0.25">
      <c r="A2126" s="161" t="str">
        <f t="shared" si="38"/>
        <v>EE_SKIRMISHER_ED_MED</v>
      </c>
      <c r="B2126" s="9" t="s">
        <v>2063</v>
      </c>
      <c r="C2126" s="4" t="s">
        <v>692</v>
      </c>
      <c r="E2126" s="4" t="s">
        <v>2590</v>
      </c>
      <c r="F2126" s="4" t="s">
        <v>2590</v>
      </c>
      <c r="H2126" s="4" t="s">
        <v>2070</v>
      </c>
      <c r="I2126" s="4" t="s">
        <v>2071</v>
      </c>
      <c r="K2126" s="7">
        <v>1</v>
      </c>
      <c r="Q2126" s="11">
        <v>0</v>
      </c>
      <c r="T2126" s="11">
        <v>1</v>
      </c>
      <c r="Z2126" s="11">
        <v>0</v>
      </c>
      <c r="AF2126" s="11">
        <v>0</v>
      </c>
      <c r="AI2126" s="11">
        <v>0</v>
      </c>
    </row>
    <row r="2127" spans="1:43" x14ac:dyDescent="0.25">
      <c r="A2127" s="161" t="str">
        <f t="shared" si="38"/>
        <v>EE_SKIRMISHER_ED_MIDEAST</v>
      </c>
      <c r="B2127" s="9" t="s">
        <v>2063</v>
      </c>
      <c r="C2127" s="4" t="s">
        <v>690</v>
      </c>
      <c r="D2127" s="4" t="s">
        <v>692</v>
      </c>
      <c r="E2127" s="4" t="s">
        <v>2590</v>
      </c>
      <c r="F2127" s="4" t="s">
        <v>2590</v>
      </c>
      <c r="K2127" s="7">
        <v>1</v>
      </c>
    </row>
    <row r="2128" spans="1:43" x14ac:dyDescent="0.25">
      <c r="A2128" s="161" t="str">
        <f t="shared" si="38"/>
        <v>EE_SKIRMISHER_ED_NORTHAF</v>
      </c>
      <c r="B2128" s="9" t="s">
        <v>2063</v>
      </c>
      <c r="C2128" s="4" t="s">
        <v>2009</v>
      </c>
      <c r="D2128" s="4" t="s">
        <v>692</v>
      </c>
      <c r="E2128" s="4" t="s">
        <v>2590</v>
      </c>
      <c r="F2128" s="4" t="s">
        <v>2590</v>
      </c>
      <c r="K2128" s="7">
        <v>1</v>
      </c>
    </row>
    <row r="2129" spans="1:43" x14ac:dyDescent="0.25">
      <c r="A2129" s="161" t="str">
        <f t="shared" si="38"/>
        <v>EE_SKIRMISHER_ED_SOUTHAM</v>
      </c>
      <c r="B2129" s="9" t="s">
        <v>2063</v>
      </c>
      <c r="C2129" s="4" t="s">
        <v>691</v>
      </c>
      <c r="E2129" s="4" t="s">
        <v>2590</v>
      </c>
      <c r="F2129" s="4" t="s">
        <v>2590</v>
      </c>
      <c r="H2129" s="4" t="s">
        <v>2068</v>
      </c>
      <c r="I2129" s="4" t="s">
        <v>2069</v>
      </c>
      <c r="K2129" s="7">
        <v>1</v>
      </c>
      <c r="R2129" s="11">
        <v>0.13500000000000001</v>
      </c>
    </row>
    <row r="2130" spans="1:43" x14ac:dyDescent="0.25">
      <c r="A2130" s="161" t="str">
        <f t="shared" si="38"/>
        <v>EE_UHLAN</v>
      </c>
      <c r="B2130" s="9" t="s">
        <v>2531</v>
      </c>
      <c r="E2130" s="4" t="s">
        <v>2531</v>
      </c>
      <c r="F2130" s="4" t="s">
        <v>2531</v>
      </c>
      <c r="H2130" s="4" t="s">
        <v>380</v>
      </c>
      <c r="I2130" s="4" t="s">
        <v>122</v>
      </c>
      <c r="K2130" s="7">
        <v>1</v>
      </c>
      <c r="Q2130" s="7" t="s">
        <v>1694</v>
      </c>
      <c r="R2130" s="6" t="s">
        <v>1694</v>
      </c>
      <c r="S2130" s="13" t="s">
        <v>1694</v>
      </c>
      <c r="T2130" s="6" t="s">
        <v>1694</v>
      </c>
      <c r="U2130" s="7" t="s">
        <v>1694</v>
      </c>
      <c r="V2130" s="5" t="s">
        <v>1700</v>
      </c>
      <c r="W2130" s="6" t="s">
        <v>3</v>
      </c>
      <c r="X2130" s="6" t="s">
        <v>3</v>
      </c>
      <c r="Y2130" s="5"/>
      <c r="Z2130" s="7">
        <v>1</v>
      </c>
      <c r="AA2130" s="6"/>
      <c r="AB2130" s="5"/>
      <c r="AC2130" s="6"/>
      <c r="AD2130" s="6" t="s">
        <v>3</v>
      </c>
      <c r="AE2130" s="5"/>
      <c r="AF2130" s="7" t="s">
        <v>1694</v>
      </c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 t="shared" si="38"/>
        <v>ARSENAL_SHIP</v>
      </c>
      <c r="B2131" s="9" t="s">
        <v>2513</v>
      </c>
      <c r="E2131" s="4" t="s">
        <v>2445</v>
      </c>
      <c r="F2131" s="4" t="s">
        <v>2445</v>
      </c>
      <c r="H2131" s="4" t="s">
        <v>2480</v>
      </c>
      <c r="I2131" s="4" t="s">
        <v>1933</v>
      </c>
      <c r="K2131" s="7">
        <v>1</v>
      </c>
      <c r="Q2131" s="7">
        <v>1</v>
      </c>
      <c r="R2131" s="6">
        <v>0.11</v>
      </c>
      <c r="S2131" s="13"/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38"/>
        <v>FW_AIRBORNE_FORCES</v>
      </c>
      <c r="B2132" s="9" t="s">
        <v>2464</v>
      </c>
      <c r="E2132" s="4" t="s">
        <v>2464</v>
      </c>
      <c r="F2132" s="4" t="s">
        <v>2464</v>
      </c>
      <c r="H2132" s="4" t="s">
        <v>2502</v>
      </c>
      <c r="I2132" s="4" t="s">
        <v>966</v>
      </c>
      <c r="K2132" s="7">
        <v>1</v>
      </c>
      <c r="Q2132" s="7">
        <v>6</v>
      </c>
      <c r="R2132" s="6" t="s">
        <v>1736</v>
      </c>
      <c r="S2132" s="13" t="s">
        <v>1619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38"/>
        <v>FW_AUTOMATON</v>
      </c>
      <c r="B2133" s="9" t="s">
        <v>2465</v>
      </c>
      <c r="E2133" s="4" t="s">
        <v>2465</v>
      </c>
      <c r="F2133" s="4" t="s">
        <v>2465</v>
      </c>
      <c r="H2133" s="4" t="s">
        <v>2503</v>
      </c>
      <c r="I2133" s="4" t="s">
        <v>2580</v>
      </c>
      <c r="K2133" s="7">
        <v>1</v>
      </c>
      <c r="Q2133" s="7">
        <v>3</v>
      </c>
      <c r="R2133" s="6">
        <v>0.04</v>
      </c>
      <c r="S2133" s="13" t="s">
        <v>1622</v>
      </c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38"/>
        <v>FW_BATTLESUIT</v>
      </c>
      <c r="B2134" s="9" t="s">
        <v>2449</v>
      </c>
      <c r="E2134" s="4" t="s">
        <v>2449</v>
      </c>
      <c r="F2134" s="4" t="s">
        <v>2449</v>
      </c>
      <c r="H2134" s="4" t="s">
        <v>2486</v>
      </c>
      <c r="I2134" s="4" t="s">
        <v>2582</v>
      </c>
      <c r="K2134" s="7">
        <v>1</v>
      </c>
      <c r="Q2134" s="7">
        <v>3</v>
      </c>
      <c r="R2134" s="6">
        <v>0.05</v>
      </c>
      <c r="S2134" s="13" t="s">
        <v>1622</v>
      </c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38"/>
        <v>FW_BIODRONE</v>
      </c>
      <c r="B2135" s="9" t="s">
        <v>2661</v>
      </c>
      <c r="E2135" s="4" t="s">
        <v>2661</v>
      </c>
      <c r="F2135" s="4" t="s">
        <v>2661</v>
      </c>
      <c r="H2135" s="4" t="s">
        <v>2663</v>
      </c>
      <c r="I2135" s="4" t="s">
        <v>1933</v>
      </c>
      <c r="K2135" s="7">
        <v>1</v>
      </c>
      <c r="Q2135" s="7">
        <v>3</v>
      </c>
      <c r="R2135" s="6">
        <v>7.0000000000000007E-2</v>
      </c>
      <c r="S2135" s="13" t="s">
        <v>1620</v>
      </c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38"/>
        <v>FW_BIOINFANTRY</v>
      </c>
      <c r="B2136" s="9" t="s">
        <v>2453</v>
      </c>
      <c r="E2136" s="4" t="s">
        <v>2453</v>
      </c>
      <c r="F2136" s="4" t="s">
        <v>2453</v>
      </c>
      <c r="H2136" s="4" t="s">
        <v>2493</v>
      </c>
      <c r="I2136" s="4" t="s">
        <v>1933</v>
      </c>
      <c r="K2136" s="7">
        <v>1</v>
      </c>
      <c r="Q2136" s="7">
        <v>8</v>
      </c>
      <c r="R2136" s="6" t="s">
        <v>1736</v>
      </c>
      <c r="S2136" s="13" t="s">
        <v>1619</v>
      </c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38"/>
        <v>FW_BIOTROOPER</v>
      </c>
      <c r="B2137" s="9" t="s">
        <v>2454</v>
      </c>
      <c r="E2137" s="4" t="s">
        <v>2454</v>
      </c>
      <c r="F2137" s="4" t="s">
        <v>2454</v>
      </c>
      <c r="H2137" s="4" t="s">
        <v>2494</v>
      </c>
      <c r="I2137" s="4" t="s">
        <v>128</v>
      </c>
      <c r="K2137" s="7">
        <v>1</v>
      </c>
      <c r="Q2137" s="7">
        <v>5</v>
      </c>
      <c r="R2137" s="6" t="s">
        <v>1736</v>
      </c>
      <c r="S2137" s="13" t="s">
        <v>1619</v>
      </c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38"/>
        <v>FW_BIOTROOPER_ED</v>
      </c>
      <c r="B2138" s="9" t="s">
        <v>2454</v>
      </c>
      <c r="E2138" s="4" t="s">
        <v>2603</v>
      </c>
      <c r="F2138" s="4" t="s">
        <v>2603</v>
      </c>
      <c r="H2138" s="4" t="s">
        <v>2494</v>
      </c>
      <c r="I2138" s="4" t="s">
        <v>128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38"/>
        <v>FW_BIOTROOPER_ED_AMER</v>
      </c>
      <c r="B2139" s="9" t="s">
        <v>2454</v>
      </c>
      <c r="C2139" s="4" t="s">
        <v>697</v>
      </c>
      <c r="D2139" s="4" t="s">
        <v>994</v>
      </c>
      <c r="E2139" s="4" t="s">
        <v>2603</v>
      </c>
      <c r="F2139" s="4" t="s">
        <v>2603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38"/>
        <v>FW_BIOTROOPER_ED_ASIA</v>
      </c>
      <c r="B2140" s="9" t="s">
        <v>2454</v>
      </c>
      <c r="C2140" s="4" t="s">
        <v>693</v>
      </c>
      <c r="E2140" s="4" t="s">
        <v>2603</v>
      </c>
      <c r="F2140" s="4" t="s">
        <v>2603</v>
      </c>
      <c r="H2140" s="4" t="s">
        <v>2494</v>
      </c>
      <c r="I2140" s="4" t="s">
        <v>1933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38"/>
        <v>FW_BIOTROOPER_ED_EASTEU</v>
      </c>
      <c r="B2141" s="9" t="s">
        <v>2454</v>
      </c>
      <c r="C2141" s="4" t="s">
        <v>698</v>
      </c>
      <c r="D2141" s="4" t="s">
        <v>689</v>
      </c>
      <c r="E2141" s="4" t="s">
        <v>2603</v>
      </c>
      <c r="F2141" s="4" t="s">
        <v>2603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38"/>
        <v>FW_BIOTROOPER_ED_EURO</v>
      </c>
      <c r="B2142" s="9" t="s">
        <v>2454</v>
      </c>
      <c r="C2142" s="4" t="s">
        <v>689</v>
      </c>
      <c r="E2142" s="4" t="s">
        <v>2603</v>
      </c>
      <c r="F2142" s="4" t="s">
        <v>2603</v>
      </c>
      <c r="H2142" s="4" t="s">
        <v>2494</v>
      </c>
      <c r="I2142" s="4" t="s">
        <v>1933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38"/>
        <v>FW_BIOTROOPER_ED_AMERICA</v>
      </c>
      <c r="B2143" s="9" t="s">
        <v>2454</v>
      </c>
      <c r="C2143" s="4" t="s">
        <v>699</v>
      </c>
      <c r="D2143" s="4" t="s">
        <v>994</v>
      </c>
      <c r="E2143" s="4" t="s">
        <v>2603</v>
      </c>
      <c r="F2143" s="4" t="s">
        <v>2603</v>
      </c>
      <c r="K2143" s="7">
        <v>1</v>
      </c>
      <c r="Q2143" s="7"/>
      <c r="R2143" s="6"/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38"/>
        <v>FW_BIOTROOPER_ED_AUSTRALIA</v>
      </c>
      <c r="B2144" s="9" t="s">
        <v>2454</v>
      </c>
      <c r="C2144" s="4" t="s">
        <v>1302</v>
      </c>
      <c r="D2144" s="4" t="s">
        <v>994</v>
      </c>
      <c r="E2144" s="4" t="s">
        <v>2603</v>
      </c>
      <c r="F2144" s="4" t="s">
        <v>2603</v>
      </c>
      <c r="K2144" s="7">
        <v>1</v>
      </c>
      <c r="Q2144" s="7"/>
      <c r="R2144" s="6"/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38"/>
        <v>FW_BIOTROOPER_ED_CANADA</v>
      </c>
      <c r="B2145" s="9" t="s">
        <v>2454</v>
      </c>
      <c r="C2145" s="4" t="s">
        <v>2207</v>
      </c>
      <c r="D2145" s="4" t="s">
        <v>994</v>
      </c>
      <c r="E2145" s="4" t="s">
        <v>2603</v>
      </c>
      <c r="F2145" s="4" t="s">
        <v>2603</v>
      </c>
      <c r="K2145" s="7">
        <v>1</v>
      </c>
      <c r="Q2145" s="7"/>
      <c r="R2145" s="6"/>
      <c r="S2145" s="13"/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 t="shared" si="38"/>
        <v>FW_BIOTROOPER_ED_MED</v>
      </c>
      <c r="B2146" s="9" t="s">
        <v>2454</v>
      </c>
      <c r="C2146" s="4" t="s">
        <v>692</v>
      </c>
      <c r="D2146" s="4" t="s">
        <v>689</v>
      </c>
      <c r="E2146" s="4" t="s">
        <v>2603</v>
      </c>
      <c r="F2146" s="4" t="s">
        <v>2603</v>
      </c>
      <c r="K2146" s="7">
        <v>1</v>
      </c>
      <c r="Q2146" s="7"/>
      <c r="R2146" s="6"/>
      <c r="S2146" s="13"/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38"/>
        <v>FW_BIOTROOPER_ED_NORTHEU</v>
      </c>
      <c r="B2147" s="9" t="s">
        <v>2454</v>
      </c>
      <c r="C2147" s="4" t="s">
        <v>962</v>
      </c>
      <c r="D2147" s="4" t="s">
        <v>689</v>
      </c>
      <c r="E2147" s="4" t="s">
        <v>2603</v>
      </c>
      <c r="F2147" s="4" t="s">
        <v>2603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38"/>
        <v>FW_BIOTROOPER_ED_OCEAN</v>
      </c>
      <c r="B2148" s="9" t="s">
        <v>2454</v>
      </c>
      <c r="C2148" s="4" t="s">
        <v>994</v>
      </c>
      <c r="E2148" s="4" t="s">
        <v>2603</v>
      </c>
      <c r="F2148" s="4" t="s">
        <v>2603</v>
      </c>
      <c r="H2148" s="4" t="s">
        <v>2494</v>
      </c>
      <c r="I2148" s="4" t="s">
        <v>128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38"/>
        <v>FW_BIOTROOPER_ED_SEASIA</v>
      </c>
      <c r="B2149" s="9" t="s">
        <v>2454</v>
      </c>
      <c r="C2149" s="4" t="s">
        <v>696</v>
      </c>
      <c r="D2149" s="4" t="s">
        <v>693</v>
      </c>
      <c r="E2149" s="4" t="s">
        <v>2603</v>
      </c>
      <c r="F2149" s="4" t="s">
        <v>2603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38"/>
        <v>FW_BIOTROOPER_ED_SOUTHAM</v>
      </c>
      <c r="B2150" s="9" t="s">
        <v>2454</v>
      </c>
      <c r="C2150" s="4" t="s">
        <v>691</v>
      </c>
      <c r="D2150" s="4" t="s">
        <v>994</v>
      </c>
      <c r="E2150" s="4" t="s">
        <v>2603</v>
      </c>
      <c r="F2150" s="4" t="s">
        <v>2603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38"/>
        <v>FW_BIOTROOPER_ED_SOUTHAS</v>
      </c>
      <c r="B2151" s="9" t="s">
        <v>2454</v>
      </c>
      <c r="C2151" s="4" t="s">
        <v>695</v>
      </c>
      <c r="D2151" s="4" t="s">
        <v>693</v>
      </c>
      <c r="E2151" s="4" t="s">
        <v>2603</v>
      </c>
      <c r="F2151" s="4" t="s">
        <v>2603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38"/>
        <v>FW_CHIMERA</v>
      </c>
      <c r="B2152" s="9" t="s">
        <v>2450</v>
      </c>
      <c r="E2152" s="4" t="s">
        <v>2450</v>
      </c>
      <c r="F2152" s="4" t="s">
        <v>2450</v>
      </c>
      <c r="H2152" s="4" t="s">
        <v>2487</v>
      </c>
      <c r="I2152" s="4" t="s">
        <v>128</v>
      </c>
      <c r="K2152" s="7">
        <v>1</v>
      </c>
      <c r="Q2152" s="7">
        <v>6</v>
      </c>
      <c r="R2152" s="6">
        <v>1.5</v>
      </c>
      <c r="S2152" s="13" t="s">
        <v>46</v>
      </c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38"/>
        <v>FW_CRAWLER</v>
      </c>
      <c r="B2153" s="9" t="s">
        <v>2457</v>
      </c>
      <c r="E2153" s="4" t="s">
        <v>2457</v>
      </c>
      <c r="F2153" s="4" t="s">
        <v>2457</v>
      </c>
      <c r="H2153" s="4" t="s">
        <v>2488</v>
      </c>
      <c r="I2153" s="4" t="s">
        <v>128</v>
      </c>
      <c r="K2153" s="7">
        <v>1</v>
      </c>
      <c r="Q2153" s="7">
        <v>1</v>
      </c>
      <c r="R2153" s="6">
        <v>0.1</v>
      </c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38"/>
        <v>FW_CYBERSUB</v>
      </c>
      <c r="B2154" s="9" t="s">
        <v>2443</v>
      </c>
      <c r="E2154" s="4" t="s">
        <v>2443</v>
      </c>
      <c r="F2154" s="4" t="s">
        <v>2443</v>
      </c>
      <c r="H2154" s="4" t="s">
        <v>2478</v>
      </c>
      <c r="I2154" s="4" t="s">
        <v>1933</v>
      </c>
      <c r="K2154" s="7">
        <v>1</v>
      </c>
      <c r="Q2154" s="7">
        <v>1</v>
      </c>
      <c r="R2154" s="6">
        <v>0.16</v>
      </c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38"/>
        <v>FW_CYBORG</v>
      </c>
      <c r="B2155" s="9" t="s">
        <v>2511</v>
      </c>
      <c r="E2155" s="4" t="s">
        <v>2448</v>
      </c>
      <c r="F2155" s="4" t="s">
        <v>2448</v>
      </c>
      <c r="H2155" s="4" t="s">
        <v>2483</v>
      </c>
      <c r="I2155" s="4" t="s">
        <v>1933</v>
      </c>
      <c r="K2155" s="7">
        <v>1</v>
      </c>
      <c r="Q2155" s="7">
        <v>8</v>
      </c>
      <c r="R2155" s="6" t="s">
        <v>1736</v>
      </c>
      <c r="S2155" s="13" t="s">
        <v>1619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38"/>
        <v>FW_CYBORG_ED</v>
      </c>
      <c r="B2156" s="9" t="s">
        <v>2511</v>
      </c>
      <c r="E2156" s="4" t="s">
        <v>2595</v>
      </c>
      <c r="F2156" s="4" t="s">
        <v>2595</v>
      </c>
      <c r="H2156" s="4" t="s">
        <v>2483</v>
      </c>
      <c r="I2156" s="4" t="s">
        <v>1933</v>
      </c>
      <c r="K2156" s="7">
        <v>1</v>
      </c>
      <c r="Q2156" s="7">
        <v>8</v>
      </c>
      <c r="R2156" s="6" t="s">
        <v>1736</v>
      </c>
      <c r="S2156" s="13" t="s">
        <v>1619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38"/>
        <v>FW_CYBORG_ED_AMER</v>
      </c>
      <c r="B2157" s="9" t="s">
        <v>2511</v>
      </c>
      <c r="C2157" s="4" t="s">
        <v>697</v>
      </c>
      <c r="D2157" s="4" t="s">
        <v>994</v>
      </c>
      <c r="E2157" s="4" t="s">
        <v>2595</v>
      </c>
      <c r="F2157" s="4" t="s">
        <v>2595</v>
      </c>
      <c r="K2157" s="7">
        <v>1</v>
      </c>
      <c r="Q2157" s="7"/>
      <c r="R2157" s="6"/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 t="shared" si="38"/>
        <v>FW_CYBORG_ED_ASIA</v>
      </c>
      <c r="B2158" s="9" t="s">
        <v>2511</v>
      </c>
      <c r="C2158" s="4" t="s">
        <v>693</v>
      </c>
      <c r="E2158" s="4" t="s">
        <v>2595</v>
      </c>
      <c r="F2158" s="4" t="s">
        <v>2595</v>
      </c>
      <c r="H2158" s="4" t="s">
        <v>2484</v>
      </c>
      <c r="I2158" s="4" t="s">
        <v>1933</v>
      </c>
      <c r="K2158" s="7">
        <v>1</v>
      </c>
      <c r="Q2158" s="7"/>
      <c r="R2158" s="6"/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38"/>
        <v>FW_CYBORG_ED_EASTEU</v>
      </c>
      <c r="B2159" s="9" t="s">
        <v>2511</v>
      </c>
      <c r="C2159" s="4" t="s">
        <v>698</v>
      </c>
      <c r="D2159" s="4" t="s">
        <v>689</v>
      </c>
      <c r="E2159" s="4" t="s">
        <v>2595</v>
      </c>
      <c r="F2159" s="4" t="s">
        <v>2595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38"/>
        <v>FW_CYBORG_ED_EURO</v>
      </c>
      <c r="B2160" s="9" t="s">
        <v>2511</v>
      </c>
      <c r="C2160" s="4" t="s">
        <v>689</v>
      </c>
      <c r="E2160" s="4" t="s">
        <v>2595</v>
      </c>
      <c r="F2160" s="4" t="s">
        <v>2595</v>
      </c>
      <c r="H2160" s="4" t="s">
        <v>2485</v>
      </c>
      <c r="I2160" s="4" t="s">
        <v>1933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38"/>
        <v>FW_CYBORG_ED_AMERICA</v>
      </c>
      <c r="B2161" s="9" t="s">
        <v>2511</v>
      </c>
      <c r="C2161" s="4" t="s">
        <v>699</v>
      </c>
      <c r="D2161" s="4" t="s">
        <v>994</v>
      </c>
      <c r="E2161" s="4" t="s">
        <v>2595</v>
      </c>
      <c r="F2161" s="4" t="s">
        <v>2595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38"/>
        <v>FW_CYBORG_ED_AUSTRALIA</v>
      </c>
      <c r="B2162" s="9" t="s">
        <v>2511</v>
      </c>
      <c r="C2162" s="4" t="s">
        <v>1302</v>
      </c>
      <c r="D2162" s="4" t="s">
        <v>994</v>
      </c>
      <c r="E2162" s="4" t="s">
        <v>2595</v>
      </c>
      <c r="F2162" s="4" t="s">
        <v>2595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38"/>
        <v>FW_CYBORG_ED_CANADA</v>
      </c>
      <c r="B2163" s="9" t="s">
        <v>2511</v>
      </c>
      <c r="C2163" s="4" t="s">
        <v>2207</v>
      </c>
      <c r="D2163" s="4" t="s">
        <v>994</v>
      </c>
      <c r="E2163" s="4" t="s">
        <v>2595</v>
      </c>
      <c r="F2163" s="4" t="s">
        <v>2595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 t="shared" ref="A2164:A2227" si="39">CONCATENATE(E2164,IF(ISBLANK(C2164),"",CONCATENATE("_",C2164)))</f>
        <v>FW_CYBORG_ED_MED</v>
      </c>
      <c r="B2164" s="9" t="s">
        <v>2511</v>
      </c>
      <c r="C2164" s="4" t="s">
        <v>692</v>
      </c>
      <c r="D2164" s="4" t="s">
        <v>689</v>
      </c>
      <c r="E2164" s="4" t="s">
        <v>2595</v>
      </c>
      <c r="F2164" s="4" t="s">
        <v>2595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 t="shared" si="39"/>
        <v>FW_CYBORG_ED_NORTHEU</v>
      </c>
      <c r="B2165" s="9" t="s">
        <v>2511</v>
      </c>
      <c r="C2165" s="4" t="s">
        <v>962</v>
      </c>
      <c r="D2165" s="4" t="s">
        <v>689</v>
      </c>
      <c r="E2165" s="4" t="s">
        <v>2595</v>
      </c>
      <c r="F2165" s="4" t="s">
        <v>2595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39"/>
        <v>FW_CYBORG_ED_OCEAN</v>
      </c>
      <c r="B2166" s="9" t="s">
        <v>2511</v>
      </c>
      <c r="C2166" s="4" t="s">
        <v>994</v>
      </c>
      <c r="E2166" s="4" t="s">
        <v>2595</v>
      </c>
      <c r="F2166" s="4" t="s">
        <v>2595</v>
      </c>
      <c r="H2166" s="4" t="s">
        <v>2483</v>
      </c>
      <c r="I2166" s="4" t="s">
        <v>1933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39"/>
        <v>FW_CYBORG_ED_SEASIA</v>
      </c>
      <c r="B2167" s="9" t="s">
        <v>2511</v>
      </c>
      <c r="C2167" s="4" t="s">
        <v>696</v>
      </c>
      <c r="D2167" s="4" t="s">
        <v>693</v>
      </c>
      <c r="E2167" s="4" t="s">
        <v>2595</v>
      </c>
      <c r="F2167" s="4" t="s">
        <v>2595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39"/>
        <v>FW_CYBORG_ED_SOUTHAM</v>
      </c>
      <c r="B2168" s="9" t="s">
        <v>2511</v>
      </c>
      <c r="C2168" s="4" t="s">
        <v>691</v>
      </c>
      <c r="D2168" s="4" t="s">
        <v>994</v>
      </c>
      <c r="E2168" s="4" t="s">
        <v>2595</v>
      </c>
      <c r="F2168" s="4" t="s">
        <v>2595</v>
      </c>
      <c r="K2168" s="7">
        <v>1</v>
      </c>
      <c r="Q2168" s="7"/>
      <c r="R2168" s="6"/>
      <c r="S2168" s="13"/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39"/>
        <v>FW_CYBORG_ED_SOUTHAS</v>
      </c>
      <c r="B2169" s="9" t="s">
        <v>2511</v>
      </c>
      <c r="C2169" s="4" t="s">
        <v>695</v>
      </c>
      <c r="D2169" s="4" t="s">
        <v>693</v>
      </c>
      <c r="E2169" s="4" t="s">
        <v>2595</v>
      </c>
      <c r="F2169" s="4" t="s">
        <v>2595</v>
      </c>
      <c r="K2169" s="7">
        <v>1</v>
      </c>
      <c r="Q2169" s="7"/>
      <c r="R2169" s="6"/>
      <c r="S2169" s="13"/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39"/>
        <v>FW_DRONE_FIGHTER_2</v>
      </c>
      <c r="B2170" s="9" t="s">
        <v>2438</v>
      </c>
      <c r="E2170" s="4" t="s">
        <v>2438</v>
      </c>
      <c r="F2170" s="4" t="s">
        <v>2438</v>
      </c>
      <c r="H2170" s="4" t="s">
        <v>2467</v>
      </c>
      <c r="I2170" s="4" t="s">
        <v>1933</v>
      </c>
      <c r="K2170" s="7">
        <v>1</v>
      </c>
      <c r="Q2170" s="7">
        <v>1</v>
      </c>
      <c r="R2170" s="6">
        <v>0.09</v>
      </c>
      <c r="S2170" s="13" t="s">
        <v>1620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39"/>
        <v>FW_DRONE_FIGHTER_2_ED</v>
      </c>
      <c r="B2171" s="9" t="s">
        <v>2438</v>
      </c>
      <c r="E2171" s="4" t="s">
        <v>2604</v>
      </c>
      <c r="F2171" s="4" t="s">
        <v>2604</v>
      </c>
      <c r="H2171" s="4" t="s">
        <v>2467</v>
      </c>
      <c r="I2171" s="4" t="s">
        <v>1933</v>
      </c>
      <c r="K2171" s="7">
        <v>1</v>
      </c>
      <c r="Q2171" s="7"/>
      <c r="R2171" s="6"/>
      <c r="S2171" s="13"/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39"/>
        <v>FW_DRONE_FIGHTER_2_ED_AMER</v>
      </c>
      <c r="B2172" s="9" t="s">
        <v>2438</v>
      </c>
      <c r="C2172" s="4" t="s">
        <v>697</v>
      </c>
      <c r="D2172" s="4" t="s">
        <v>994</v>
      </c>
      <c r="E2172" s="4" t="s">
        <v>2604</v>
      </c>
      <c r="F2172" s="4" t="s">
        <v>2604</v>
      </c>
      <c r="K2172" s="7">
        <v>1</v>
      </c>
      <c r="Q2172" s="7"/>
      <c r="R2172" s="6"/>
      <c r="S2172" s="13"/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39"/>
        <v>FW_DRONE_FIGHTER_2_ED_ASIA</v>
      </c>
      <c r="B2173" s="9" t="s">
        <v>2438</v>
      </c>
      <c r="C2173" s="4" t="s">
        <v>693</v>
      </c>
      <c r="E2173" s="4" t="s">
        <v>2604</v>
      </c>
      <c r="F2173" s="4" t="s">
        <v>2604</v>
      </c>
      <c r="H2173" s="4" t="s">
        <v>2467</v>
      </c>
      <c r="I2173" s="4" t="s">
        <v>1933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 t="shared" si="39"/>
        <v>FW_DRONE_FIGHTER_2_ED_EASTEU</v>
      </c>
      <c r="B2174" s="9" t="s">
        <v>2438</v>
      </c>
      <c r="C2174" s="4" t="s">
        <v>698</v>
      </c>
      <c r="D2174" s="4" t="s">
        <v>689</v>
      </c>
      <c r="E2174" s="4" t="s">
        <v>2604</v>
      </c>
      <c r="F2174" s="4" t="s">
        <v>2604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39"/>
        <v>FW_DRONE_FIGHTER_2_ED_EURO</v>
      </c>
      <c r="B2175" s="9" t="s">
        <v>2438</v>
      </c>
      <c r="C2175" s="4" t="s">
        <v>689</v>
      </c>
      <c r="E2175" s="4" t="s">
        <v>2604</v>
      </c>
      <c r="F2175" s="4" t="s">
        <v>2604</v>
      </c>
      <c r="H2175" s="4" t="s">
        <v>2467</v>
      </c>
      <c r="I2175" s="4" t="s">
        <v>1933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39"/>
        <v>FW_DRONE_FIGHTER_2_ED_AMERICA</v>
      </c>
      <c r="B2176" s="9" t="s">
        <v>2438</v>
      </c>
      <c r="C2176" s="4" t="s">
        <v>699</v>
      </c>
      <c r="D2176" s="4" t="s">
        <v>994</v>
      </c>
      <c r="E2176" s="4" t="s">
        <v>2604</v>
      </c>
      <c r="F2176" s="4" t="s">
        <v>2604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39"/>
        <v>FW_DRONE_FIGHTER_2_ED_AUSTRALIA</v>
      </c>
      <c r="B2177" s="9" t="s">
        <v>2438</v>
      </c>
      <c r="C2177" s="4" t="s">
        <v>1302</v>
      </c>
      <c r="D2177" s="4" t="s">
        <v>994</v>
      </c>
      <c r="E2177" s="4" t="s">
        <v>2604</v>
      </c>
      <c r="F2177" s="4" t="s">
        <v>2604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39"/>
        <v>FW_DRONE_FIGHTER_2_ED_CANADA</v>
      </c>
      <c r="B2178" s="9" t="s">
        <v>2438</v>
      </c>
      <c r="C2178" s="4" t="s">
        <v>2207</v>
      </c>
      <c r="D2178" s="4" t="s">
        <v>994</v>
      </c>
      <c r="E2178" s="4" t="s">
        <v>2604</v>
      </c>
      <c r="F2178" s="4" t="s">
        <v>2604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39"/>
        <v>FW_DRONE_FIGHTER_2_ED_MED</v>
      </c>
      <c r="B2179" s="9" t="s">
        <v>2438</v>
      </c>
      <c r="C2179" s="4" t="s">
        <v>692</v>
      </c>
      <c r="D2179" s="4" t="s">
        <v>689</v>
      </c>
      <c r="E2179" s="4" t="s">
        <v>2604</v>
      </c>
      <c r="F2179" s="4" t="s">
        <v>2604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39"/>
        <v>FW_DRONE_FIGHTER_2_ED_NORTHEU</v>
      </c>
      <c r="B2180" s="9" t="s">
        <v>2438</v>
      </c>
      <c r="C2180" s="4" t="s">
        <v>962</v>
      </c>
      <c r="D2180" s="4" t="s">
        <v>689</v>
      </c>
      <c r="E2180" s="4" t="s">
        <v>2604</v>
      </c>
      <c r="F2180" s="4" t="s">
        <v>2604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39"/>
        <v>FW_DRONE_FIGHTER_2_ED_OCEAN</v>
      </c>
      <c r="B2181" s="9" t="s">
        <v>2438</v>
      </c>
      <c r="C2181" s="4" t="s">
        <v>994</v>
      </c>
      <c r="E2181" s="4" t="s">
        <v>2604</v>
      </c>
      <c r="F2181" s="4" t="s">
        <v>2604</v>
      </c>
      <c r="H2181" s="4" t="s">
        <v>2467</v>
      </c>
      <c r="I2181" s="4" t="s">
        <v>1933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39"/>
        <v>FW_DRONE_FIGHTER_2_ED_SEASIA</v>
      </c>
      <c r="B2182" s="9" t="s">
        <v>2438</v>
      </c>
      <c r="C2182" s="4" t="s">
        <v>696</v>
      </c>
      <c r="D2182" s="4" t="s">
        <v>693</v>
      </c>
      <c r="E2182" s="4" t="s">
        <v>2604</v>
      </c>
      <c r="F2182" s="4" t="s">
        <v>2604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39"/>
        <v>FW_DRONE_FIGHTER_2_ED_SOUTHAM</v>
      </c>
      <c r="B2183" s="9" t="s">
        <v>2438</v>
      </c>
      <c r="C2183" s="4" t="s">
        <v>691</v>
      </c>
      <c r="D2183" s="4" t="s">
        <v>994</v>
      </c>
      <c r="E2183" s="4" t="s">
        <v>2604</v>
      </c>
      <c r="F2183" s="4" t="s">
        <v>2604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39"/>
        <v>FW_DRONE_FIGHTER_2_ED_SOUTHAS</v>
      </c>
      <c r="B2184" s="9" t="s">
        <v>2438</v>
      </c>
      <c r="C2184" s="4" t="s">
        <v>695</v>
      </c>
      <c r="D2184" s="4" t="s">
        <v>693</v>
      </c>
      <c r="E2184" s="4" t="s">
        <v>2604</v>
      </c>
      <c r="F2184" s="4" t="s">
        <v>2604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39"/>
        <v>FW_HOVERTANK</v>
      </c>
      <c r="B2185" s="9" t="s">
        <v>2442</v>
      </c>
      <c r="E2185" s="4" t="s">
        <v>2442</v>
      </c>
      <c r="F2185" s="4" t="s">
        <v>2442</v>
      </c>
      <c r="H2185" s="4" t="s">
        <v>2475</v>
      </c>
      <c r="I2185" s="4" t="s">
        <v>128</v>
      </c>
      <c r="K2185" s="7">
        <v>1</v>
      </c>
      <c r="Q2185" s="7">
        <v>1</v>
      </c>
      <c r="R2185" s="6">
        <v>0.1</v>
      </c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39"/>
        <v>FW_HOVERTANK_ED</v>
      </c>
      <c r="B2186" s="9" t="s">
        <v>2442</v>
      </c>
      <c r="E2186" s="4" t="s">
        <v>2594</v>
      </c>
      <c r="F2186" s="4" t="s">
        <v>2594</v>
      </c>
      <c r="H2186" s="4" t="s">
        <v>2475</v>
      </c>
      <c r="I2186" s="4" t="s">
        <v>128</v>
      </c>
      <c r="K2186" s="7">
        <v>1</v>
      </c>
      <c r="Q2186" s="7">
        <v>1</v>
      </c>
      <c r="R2186" s="6">
        <v>0.1</v>
      </c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39"/>
        <v>FW_HOVERTANK_ED_AMER</v>
      </c>
      <c r="B2187" s="9" t="s">
        <v>2442</v>
      </c>
      <c r="C2187" s="4" t="s">
        <v>697</v>
      </c>
      <c r="D2187" s="4" t="s">
        <v>994</v>
      </c>
      <c r="E2187" s="4" t="s">
        <v>2594</v>
      </c>
      <c r="F2187" s="4" t="s">
        <v>2594</v>
      </c>
      <c r="K2187" s="7">
        <v>1</v>
      </c>
      <c r="Q2187" s="7"/>
      <c r="R2187" s="6"/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39"/>
        <v>FW_HOVERTANK_ED_ASIA</v>
      </c>
      <c r="B2188" s="9" t="s">
        <v>2442</v>
      </c>
      <c r="C2188" s="4" t="s">
        <v>693</v>
      </c>
      <c r="E2188" s="4" t="s">
        <v>2594</v>
      </c>
      <c r="F2188" s="4" t="s">
        <v>2594</v>
      </c>
      <c r="H2188" s="4" t="s">
        <v>2476</v>
      </c>
      <c r="I2188" s="4" t="s">
        <v>128</v>
      </c>
      <c r="K2188" s="7">
        <v>1</v>
      </c>
      <c r="Q2188" s="7"/>
      <c r="R2188" s="6"/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39"/>
        <v>FW_HOVERTANK_ED_AMERICA</v>
      </c>
      <c r="B2189" s="9" t="s">
        <v>2442</v>
      </c>
      <c r="C2189" s="4" t="s">
        <v>699</v>
      </c>
      <c r="D2189" s="4" t="s">
        <v>994</v>
      </c>
      <c r="E2189" s="4" t="s">
        <v>2594</v>
      </c>
      <c r="F2189" s="4" t="s">
        <v>2594</v>
      </c>
      <c r="K2189" s="7">
        <v>1</v>
      </c>
      <c r="Q2189" s="7"/>
      <c r="R2189" s="6"/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 t="shared" si="39"/>
        <v>FW_HOVERTANK_ED_AUSTRALIA</v>
      </c>
      <c r="B2190" s="9" t="s">
        <v>2442</v>
      </c>
      <c r="C2190" s="4" t="s">
        <v>1302</v>
      </c>
      <c r="D2190" s="4" t="s">
        <v>994</v>
      </c>
      <c r="E2190" s="4" t="s">
        <v>2594</v>
      </c>
      <c r="F2190" s="4" t="s">
        <v>2594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 t="shared" si="39"/>
        <v>FW_HOVERTANK_ED_CANADA</v>
      </c>
      <c r="B2191" s="9" t="s">
        <v>2442</v>
      </c>
      <c r="C2191" s="4" t="s">
        <v>2207</v>
      </c>
      <c r="D2191" s="4" t="s">
        <v>994</v>
      </c>
      <c r="E2191" s="4" t="s">
        <v>2594</v>
      </c>
      <c r="F2191" s="4" t="s">
        <v>2594</v>
      </c>
      <c r="K2191" s="7">
        <v>1</v>
      </c>
      <c r="Q2191" s="7"/>
      <c r="R2191" s="6"/>
      <c r="S2191" s="13"/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 t="shared" si="39"/>
        <v>FW_HOVERTANK_ED_OCEAN</v>
      </c>
      <c r="B2192" s="9" t="s">
        <v>2442</v>
      </c>
      <c r="C2192" s="4" t="s">
        <v>994</v>
      </c>
      <c r="E2192" s="4" t="s">
        <v>2594</v>
      </c>
      <c r="F2192" s="4" t="s">
        <v>2594</v>
      </c>
      <c r="H2192" s="4" t="s">
        <v>2477</v>
      </c>
      <c r="I2192" s="4" t="s">
        <v>128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 t="shared" si="39"/>
        <v>FW_HOVERTANK_ED_SEASIA</v>
      </c>
      <c r="B2193" s="9" t="s">
        <v>2442</v>
      </c>
      <c r="C2193" s="4" t="s">
        <v>696</v>
      </c>
      <c r="D2193" s="4" t="s">
        <v>693</v>
      </c>
      <c r="E2193" s="4" t="s">
        <v>2594</v>
      </c>
      <c r="F2193" s="4" t="s">
        <v>2594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 t="shared" si="39"/>
        <v>FW_HOVERTANK_ED_SOUTHAM</v>
      </c>
      <c r="B2194" s="9" t="s">
        <v>2442</v>
      </c>
      <c r="C2194" s="4" t="s">
        <v>691</v>
      </c>
      <c r="D2194" s="4" t="s">
        <v>994</v>
      </c>
      <c r="E2194" s="4" t="s">
        <v>2594</v>
      </c>
      <c r="F2194" s="4" t="s">
        <v>2594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 t="shared" si="39"/>
        <v>FW_HOVERTANK_ED_SOUTHAS</v>
      </c>
      <c r="B2195" s="9" t="s">
        <v>2442</v>
      </c>
      <c r="C2195" s="4" t="s">
        <v>695</v>
      </c>
      <c r="D2195" s="4" t="s">
        <v>693</v>
      </c>
      <c r="E2195" s="4" t="s">
        <v>2594</v>
      </c>
      <c r="F2195" s="4" t="s">
        <v>2594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 t="shared" si="39"/>
        <v>FW_HYBRID_DRONE</v>
      </c>
      <c r="B2196" s="9" t="s">
        <v>2437</v>
      </c>
      <c r="E2196" s="4" t="s">
        <v>2437</v>
      </c>
      <c r="F2196" s="4" t="s">
        <v>2437</v>
      </c>
      <c r="H2196" s="4" t="s">
        <v>2466</v>
      </c>
      <c r="I2196" s="4" t="s">
        <v>1933</v>
      </c>
      <c r="K2196" s="7">
        <v>1</v>
      </c>
      <c r="Q2196" s="7">
        <v>1</v>
      </c>
      <c r="R2196" s="6">
        <v>0.09</v>
      </c>
      <c r="S2196" s="13" t="s">
        <v>1620</v>
      </c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 t="shared" si="39"/>
        <v>FW_HYBRID_DRONE_ED</v>
      </c>
      <c r="B2197" s="9" t="s">
        <v>2437</v>
      </c>
      <c r="E2197" s="4" t="s">
        <v>2605</v>
      </c>
      <c r="F2197" s="4" t="s">
        <v>2605</v>
      </c>
      <c r="H2197" s="4" t="s">
        <v>2466</v>
      </c>
      <c r="I2197" s="4" t="s">
        <v>1933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 t="shared" si="39"/>
        <v>FW_HYBRID_DRONE_ED_AMER</v>
      </c>
      <c r="B2198" s="9" t="s">
        <v>2437</v>
      </c>
      <c r="C2198" s="4" t="s">
        <v>697</v>
      </c>
      <c r="D2198" s="4" t="s">
        <v>994</v>
      </c>
      <c r="E2198" s="4" t="s">
        <v>2605</v>
      </c>
      <c r="F2198" s="4" t="s">
        <v>2605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 t="shared" si="39"/>
        <v>FW_HYBRID_DRONE_ED_ASIA</v>
      </c>
      <c r="B2199" s="9" t="s">
        <v>2437</v>
      </c>
      <c r="C2199" s="4" t="s">
        <v>693</v>
      </c>
      <c r="E2199" s="4" t="s">
        <v>2605</v>
      </c>
      <c r="F2199" s="4" t="s">
        <v>2605</v>
      </c>
      <c r="H2199" s="4" t="s">
        <v>2466</v>
      </c>
      <c r="I2199" s="4" t="s">
        <v>1933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 t="shared" si="39"/>
        <v>FW_HYBRID_DRONE_ED_EASTEU</v>
      </c>
      <c r="B2200" s="9" t="s">
        <v>2437</v>
      </c>
      <c r="C2200" s="4" t="s">
        <v>698</v>
      </c>
      <c r="D2200" s="4" t="s">
        <v>689</v>
      </c>
      <c r="E2200" s="4" t="s">
        <v>2605</v>
      </c>
      <c r="F2200" s="4" t="s">
        <v>2605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 t="shared" si="39"/>
        <v>FW_HYBRID_DRONE_ED_EURO</v>
      </c>
      <c r="B2201" s="9" t="s">
        <v>2437</v>
      </c>
      <c r="C2201" s="4" t="s">
        <v>689</v>
      </c>
      <c r="E2201" s="4" t="s">
        <v>2605</v>
      </c>
      <c r="F2201" s="4" t="s">
        <v>2605</v>
      </c>
      <c r="H2201" s="4" t="s">
        <v>2466</v>
      </c>
      <c r="I2201" s="4" t="s">
        <v>1933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 t="shared" si="39"/>
        <v>FW_HYBRID_DRONE_ED_AMERICA</v>
      </c>
      <c r="B2202" s="9" t="s">
        <v>2437</v>
      </c>
      <c r="C2202" s="4" t="s">
        <v>699</v>
      </c>
      <c r="D2202" s="4" t="s">
        <v>994</v>
      </c>
      <c r="E2202" s="4" t="s">
        <v>2605</v>
      </c>
      <c r="F2202" s="4" t="s">
        <v>2605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 t="shared" si="39"/>
        <v>FW_HYBRID_DRONE_ED_AUSTRALIA</v>
      </c>
      <c r="B2203" s="9" t="s">
        <v>2437</v>
      </c>
      <c r="C2203" s="4" t="s">
        <v>1302</v>
      </c>
      <c r="D2203" s="4" t="s">
        <v>994</v>
      </c>
      <c r="E2203" s="4" t="s">
        <v>2605</v>
      </c>
      <c r="F2203" s="4" t="s">
        <v>2605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 t="shared" si="39"/>
        <v>FW_HYBRID_DRONE_ED_CANADA</v>
      </c>
      <c r="B2204" s="9" t="s">
        <v>2437</v>
      </c>
      <c r="C2204" s="4" t="s">
        <v>2207</v>
      </c>
      <c r="D2204" s="4" t="s">
        <v>994</v>
      </c>
      <c r="E2204" s="4" t="s">
        <v>2605</v>
      </c>
      <c r="F2204" s="4" t="s">
        <v>2605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 t="shared" si="39"/>
        <v>FW_HYBRID_DRONE_ED_MED</v>
      </c>
      <c r="B2205" s="9" t="s">
        <v>2437</v>
      </c>
      <c r="C2205" s="4" t="s">
        <v>692</v>
      </c>
      <c r="D2205" s="4" t="s">
        <v>689</v>
      </c>
      <c r="E2205" s="4" t="s">
        <v>2605</v>
      </c>
      <c r="F2205" s="4" t="s">
        <v>2605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 t="shared" si="39"/>
        <v>FW_HYBRID_DRONE_ED_NORTHEU</v>
      </c>
      <c r="B2206" s="9" t="s">
        <v>2437</v>
      </c>
      <c r="C2206" s="4" t="s">
        <v>962</v>
      </c>
      <c r="D2206" s="4" t="s">
        <v>689</v>
      </c>
      <c r="E2206" s="4" t="s">
        <v>2605</v>
      </c>
      <c r="F2206" s="4" t="s">
        <v>2605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 t="shared" si="39"/>
        <v>FW_HYBRID_DRONE_ED_OCEAN</v>
      </c>
      <c r="B2207" s="9" t="s">
        <v>2437</v>
      </c>
      <c r="C2207" s="4" t="s">
        <v>994</v>
      </c>
      <c r="E2207" s="4" t="s">
        <v>2605</v>
      </c>
      <c r="F2207" s="4" t="s">
        <v>2605</v>
      </c>
      <c r="H2207" s="4" t="s">
        <v>2466</v>
      </c>
      <c r="I2207" s="4" t="s">
        <v>1933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 t="shared" si="39"/>
        <v>FW_HYBRID_DRONE_ED_SEASIA</v>
      </c>
      <c r="B2208" s="9" t="s">
        <v>2437</v>
      </c>
      <c r="C2208" s="4" t="s">
        <v>696</v>
      </c>
      <c r="D2208" s="4" t="s">
        <v>693</v>
      </c>
      <c r="E2208" s="4" t="s">
        <v>2605</v>
      </c>
      <c r="F2208" s="4" t="s">
        <v>2605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 t="shared" si="39"/>
        <v>FW_HYBRID_DRONE_ED_SOUTHAM</v>
      </c>
      <c r="B2209" s="9" t="s">
        <v>2437</v>
      </c>
      <c r="C2209" s="4" t="s">
        <v>691</v>
      </c>
      <c r="D2209" s="4" t="s">
        <v>994</v>
      </c>
      <c r="E2209" s="4" t="s">
        <v>2605</v>
      </c>
      <c r="F2209" s="4" t="s">
        <v>2605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 t="shared" si="39"/>
        <v>FW_HYBRID_DRONE_ED_SOUTHAS</v>
      </c>
      <c r="B2210" s="9" t="s">
        <v>2437</v>
      </c>
      <c r="C2210" s="4" t="s">
        <v>695</v>
      </c>
      <c r="D2210" s="4" t="s">
        <v>693</v>
      </c>
      <c r="E2210" s="4" t="s">
        <v>2605</v>
      </c>
      <c r="F2210" s="4" t="s">
        <v>2605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 t="shared" si="39"/>
        <v>FW_HYDRA</v>
      </c>
      <c r="B2211" s="9" t="s">
        <v>2451</v>
      </c>
      <c r="E2211" s="4" t="s">
        <v>2451</v>
      </c>
      <c r="F2211" s="4" t="s">
        <v>2451</v>
      </c>
      <c r="H2211" s="4" t="s">
        <v>2489</v>
      </c>
      <c r="I2211" s="4" t="s">
        <v>1933</v>
      </c>
      <c r="K2211" s="7">
        <v>1</v>
      </c>
      <c r="Q2211" s="7">
        <v>1</v>
      </c>
      <c r="R2211" s="6">
        <v>6</v>
      </c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 t="shared" si="39"/>
        <v>GUIDED_MISSILE_ED</v>
      </c>
      <c r="B2212" s="9" t="s">
        <v>2662</v>
      </c>
      <c r="E2212" s="4" t="s">
        <v>2700</v>
      </c>
      <c r="F2212" s="4" t="s">
        <v>2701</v>
      </c>
      <c r="I2212" s="4" t="s">
        <v>128</v>
      </c>
      <c r="K2212" s="7">
        <v>1</v>
      </c>
      <c r="L2212" s="4" t="s">
        <v>1710</v>
      </c>
      <c r="N2212" s="4" t="s">
        <v>1724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 t="shared" si="39"/>
        <v>FW_MECH_ARTILLERY</v>
      </c>
      <c r="B2213" s="9" t="s">
        <v>2456</v>
      </c>
      <c r="E2213" s="4" t="s">
        <v>2456</v>
      </c>
      <c r="F2213" s="4" t="s">
        <v>2456</v>
      </c>
      <c r="H2213" s="4" t="s">
        <v>2496</v>
      </c>
      <c r="I2213" s="4" t="s">
        <v>1933</v>
      </c>
      <c r="K2213" s="7">
        <v>1</v>
      </c>
      <c r="Q2213" s="7">
        <v>2</v>
      </c>
      <c r="R2213" s="6">
        <v>0.09</v>
      </c>
      <c r="S2213" s="13" t="s">
        <v>1612</v>
      </c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 t="shared" si="39"/>
        <v>FW_MISSILE_DESTROYER</v>
      </c>
      <c r="B2214" s="9" t="s">
        <v>2447</v>
      </c>
      <c r="E2214" s="4" t="s">
        <v>2447</v>
      </c>
      <c r="F2214" s="4" t="s">
        <v>2447</v>
      </c>
      <c r="H2214" s="4" t="s">
        <v>2482</v>
      </c>
      <c r="I2214" s="4" t="s">
        <v>2579</v>
      </c>
      <c r="K2214" s="7">
        <v>1</v>
      </c>
      <c r="Q2214" s="7">
        <v>1</v>
      </c>
      <c r="R2214" s="6">
        <v>0.09</v>
      </c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5"/>
      <c r="AM2214" s="5"/>
      <c r="AN2214" s="5"/>
      <c r="AO2214" s="5"/>
      <c r="AP2214" s="5"/>
      <c r="AQ2214" s="5"/>
    </row>
    <row r="2215" spans="1:43" x14ac:dyDescent="0.25">
      <c r="A2215" s="161" t="str">
        <f t="shared" si="39"/>
        <v>FW_MUTANT</v>
      </c>
      <c r="B2215" s="9" t="s">
        <v>2512</v>
      </c>
      <c r="E2215" s="4" t="s">
        <v>2434</v>
      </c>
      <c r="F2215" s="4" t="s">
        <v>2434</v>
      </c>
      <c r="H2215" s="4" t="s">
        <v>2435</v>
      </c>
      <c r="I2215" s="4" t="s">
        <v>2509</v>
      </c>
      <c r="K2215" s="7">
        <v>1</v>
      </c>
      <c r="Q2215" s="7">
        <v>6</v>
      </c>
      <c r="R2215" s="6">
        <v>0.16</v>
      </c>
      <c r="S2215" s="13" t="s">
        <v>1619</v>
      </c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5"/>
      <c r="AM2215" s="5"/>
      <c r="AN2215" s="5"/>
      <c r="AO2215" s="5"/>
      <c r="AP2215" s="5"/>
      <c r="AQ2215" s="5"/>
    </row>
    <row r="2216" spans="1:43" x14ac:dyDescent="0.25">
      <c r="A2216" s="161" t="str">
        <f t="shared" si="39"/>
        <v>FW_NANOHIVE</v>
      </c>
      <c r="B2216" s="9" t="s">
        <v>2458</v>
      </c>
      <c r="E2216" s="4" t="s">
        <v>2458</v>
      </c>
      <c r="F2216" s="4" t="s">
        <v>2458</v>
      </c>
      <c r="H2216" s="4" t="s">
        <v>2490</v>
      </c>
      <c r="I2216" s="4" t="s">
        <v>2581</v>
      </c>
      <c r="K2216" s="7">
        <v>1</v>
      </c>
      <c r="Q2216" s="7">
        <v>3</v>
      </c>
      <c r="R2216" s="6">
        <v>0.05</v>
      </c>
      <c r="S2216" s="13" t="s">
        <v>1610</v>
      </c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5"/>
      <c r="AM2216" s="5"/>
      <c r="AN2216" s="5"/>
      <c r="AO2216" s="5"/>
      <c r="AP2216" s="5"/>
      <c r="AQ2216" s="5"/>
    </row>
    <row r="2217" spans="1:43" x14ac:dyDescent="0.25">
      <c r="A2217" s="161" t="str">
        <f t="shared" si="39"/>
        <v>FW_NANOHIVE_ED</v>
      </c>
      <c r="B2217" s="9" t="s">
        <v>2458</v>
      </c>
      <c r="E2217" s="4" t="s">
        <v>2606</v>
      </c>
      <c r="F2217" s="4" t="s">
        <v>2606</v>
      </c>
      <c r="H2217" s="4" t="s">
        <v>2490</v>
      </c>
      <c r="I2217" s="4" t="s">
        <v>2581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 t="shared" si="39"/>
        <v>FW_NANOHIVE_ED_AMER</v>
      </c>
      <c r="B2218" s="9" t="s">
        <v>2458</v>
      </c>
      <c r="C2218" s="4" t="s">
        <v>697</v>
      </c>
      <c r="D2218" s="4" t="s">
        <v>994</v>
      </c>
      <c r="E2218" s="4" t="s">
        <v>2606</v>
      </c>
      <c r="F2218" s="4" t="s">
        <v>2606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 t="shared" si="39"/>
        <v>FW_NANOHIVE_ED_EASTEU</v>
      </c>
      <c r="B2219" s="9" t="s">
        <v>2458</v>
      </c>
      <c r="C2219" s="4" t="s">
        <v>698</v>
      </c>
      <c r="D2219" s="4" t="s">
        <v>689</v>
      </c>
      <c r="E2219" s="4" t="s">
        <v>2606</v>
      </c>
      <c r="F2219" s="4" t="s">
        <v>2606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 t="shared" si="39"/>
        <v>FW_NANOHIVE_ED_EURO</v>
      </c>
      <c r="B2220" s="9" t="s">
        <v>2458</v>
      </c>
      <c r="C2220" s="4" t="s">
        <v>689</v>
      </c>
      <c r="E2220" s="4" t="s">
        <v>2606</v>
      </c>
      <c r="F2220" s="4" t="s">
        <v>2606</v>
      </c>
      <c r="H2220" s="4" t="s">
        <v>2607</v>
      </c>
      <c r="I2220" s="4" t="s">
        <v>1933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 t="shared" si="39"/>
        <v>FW_NANOHIVE_ED_AMERICA</v>
      </c>
      <c r="B2221" s="9" t="s">
        <v>2458</v>
      </c>
      <c r="C2221" s="4" t="s">
        <v>699</v>
      </c>
      <c r="D2221" s="4" t="s">
        <v>994</v>
      </c>
      <c r="E2221" s="4" t="s">
        <v>2606</v>
      </c>
      <c r="F2221" s="4" t="s">
        <v>2606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5"/>
      <c r="AM2221" s="5"/>
      <c r="AN2221" s="5"/>
      <c r="AO2221" s="5"/>
      <c r="AP2221" s="5"/>
      <c r="AQ2221" s="5"/>
    </row>
    <row r="2222" spans="1:43" x14ac:dyDescent="0.25">
      <c r="A2222" s="161" t="str">
        <f t="shared" si="39"/>
        <v>FW_NANOHIVE_ED_AUSTRALIA</v>
      </c>
      <c r="B2222" s="9" t="s">
        <v>2458</v>
      </c>
      <c r="C2222" s="4" t="s">
        <v>1302</v>
      </c>
      <c r="D2222" s="4" t="s">
        <v>994</v>
      </c>
      <c r="E2222" s="4" t="s">
        <v>2606</v>
      </c>
      <c r="F2222" s="4" t="s">
        <v>2606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5"/>
      <c r="AM2222" s="5"/>
      <c r="AN2222" s="5"/>
      <c r="AO2222" s="5"/>
      <c r="AP2222" s="5"/>
      <c r="AQ2222" s="5"/>
    </row>
    <row r="2223" spans="1:43" x14ac:dyDescent="0.25">
      <c r="A2223" s="161" t="str">
        <f t="shared" si="39"/>
        <v>FW_NANOHIVE_ED_MED</v>
      </c>
      <c r="B2223" s="9" t="s">
        <v>2458</v>
      </c>
      <c r="C2223" s="4" t="s">
        <v>692</v>
      </c>
      <c r="D2223" s="4" t="s">
        <v>689</v>
      </c>
      <c r="E2223" s="4" t="s">
        <v>2606</v>
      </c>
      <c r="F2223" s="4" t="s">
        <v>2606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5"/>
      <c r="AM2223" s="5"/>
      <c r="AN2223" s="5"/>
      <c r="AO2223" s="5"/>
      <c r="AP2223" s="5"/>
      <c r="AQ2223" s="5"/>
    </row>
    <row r="2224" spans="1:43" x14ac:dyDescent="0.25">
      <c r="A2224" s="161" t="str">
        <f t="shared" si="39"/>
        <v>FW_NANOHIVE_ED_NORTHEU</v>
      </c>
      <c r="B2224" s="9" t="s">
        <v>2458</v>
      </c>
      <c r="C2224" s="4" t="s">
        <v>962</v>
      </c>
      <c r="D2224" s="4" t="s">
        <v>689</v>
      </c>
      <c r="E2224" s="4" t="s">
        <v>2606</v>
      </c>
      <c r="F2224" s="4" t="s">
        <v>2606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5"/>
      <c r="AM2224" s="5"/>
      <c r="AN2224" s="5"/>
      <c r="AO2224" s="5"/>
      <c r="AP2224" s="5"/>
      <c r="AQ2224" s="5"/>
    </row>
    <row r="2225" spans="1:43" x14ac:dyDescent="0.25">
      <c r="A2225" s="161" t="str">
        <f t="shared" si="39"/>
        <v>FW_NANOHIVE_ED_OCEAN</v>
      </c>
      <c r="B2225" s="9" t="s">
        <v>2458</v>
      </c>
      <c r="C2225" s="4" t="s">
        <v>994</v>
      </c>
      <c r="E2225" s="4" t="s">
        <v>2606</v>
      </c>
      <c r="F2225" s="4" t="s">
        <v>2606</v>
      </c>
      <c r="H2225" s="4" t="s">
        <v>2608</v>
      </c>
      <c r="I2225" s="4" t="s">
        <v>1933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5"/>
      <c r="AM2225" s="5"/>
      <c r="AN2225" s="5"/>
      <c r="AO2225" s="5"/>
      <c r="AP2225" s="5"/>
      <c r="AQ2225" s="5"/>
    </row>
    <row r="2226" spans="1:43" x14ac:dyDescent="0.25">
      <c r="A2226" s="161" t="str">
        <f t="shared" si="39"/>
        <v>FW_NANOHIVE_ED_SOUTHAM</v>
      </c>
      <c r="B2226" s="9" t="s">
        <v>2458</v>
      </c>
      <c r="C2226" s="4" t="s">
        <v>691</v>
      </c>
      <c r="D2226" s="4" t="s">
        <v>994</v>
      </c>
      <c r="E2226" s="4" t="s">
        <v>2606</v>
      </c>
      <c r="F2226" s="4" t="s">
        <v>2606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5"/>
      <c r="AM2226" s="5"/>
      <c r="AN2226" s="5"/>
      <c r="AO2226" s="5"/>
      <c r="AP2226" s="5"/>
      <c r="AQ2226" s="5"/>
    </row>
    <row r="2227" spans="1:43" x14ac:dyDescent="0.25">
      <c r="A2227" s="161" t="str">
        <f t="shared" si="39"/>
        <v>FW_NEODESTROYER</v>
      </c>
      <c r="B2227" s="9" t="s">
        <v>2444</v>
      </c>
      <c r="E2227" s="4" t="s">
        <v>2444</v>
      </c>
      <c r="F2227" s="4" t="s">
        <v>2444</v>
      </c>
      <c r="H2227" s="4" t="s">
        <v>2479</v>
      </c>
      <c r="I2227" s="4" t="s">
        <v>1933</v>
      </c>
      <c r="K2227" s="7">
        <v>1</v>
      </c>
      <c r="Q2227" s="7">
        <v>1</v>
      </c>
      <c r="R2227" s="6">
        <v>0.11</v>
      </c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5"/>
      <c r="AM2227" s="5"/>
      <c r="AN2227" s="5"/>
      <c r="AO2227" s="5"/>
      <c r="AP2227" s="5"/>
      <c r="AQ2227" s="5"/>
    </row>
    <row r="2228" spans="1:43" x14ac:dyDescent="0.25">
      <c r="A2228" s="161" t="str">
        <f t="shared" ref="A2228:A2291" si="40">CONCATENATE(E2228,IF(ISBLANK(C2228),"",CONCATENATE("_",C2228)))</f>
        <v>FW_NEXUS</v>
      </c>
      <c r="B2228" s="9" t="s">
        <v>2459</v>
      </c>
      <c r="E2228" s="4" t="s">
        <v>2459</v>
      </c>
      <c r="F2228" s="4" t="s">
        <v>2459</v>
      </c>
      <c r="H2228" s="4" t="s">
        <v>2491</v>
      </c>
      <c r="I2228" s="4" t="s">
        <v>1933</v>
      </c>
      <c r="K2228" s="7">
        <v>1</v>
      </c>
      <c r="Q2228" s="7">
        <v>1</v>
      </c>
      <c r="R2228" s="6">
        <v>0.15</v>
      </c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5"/>
      <c r="AM2228" s="5"/>
      <c r="AN2228" s="5"/>
      <c r="AO2228" s="5"/>
      <c r="AP2228" s="5"/>
      <c r="AQ2228" s="5"/>
    </row>
    <row r="2229" spans="1:43" x14ac:dyDescent="0.25">
      <c r="A2229" s="161" t="str">
        <f t="shared" si="40"/>
        <v>FW_RAILGUN_TANK</v>
      </c>
      <c r="B2229" s="9" t="s">
        <v>2440</v>
      </c>
      <c r="E2229" s="4" t="s">
        <v>2440</v>
      </c>
      <c r="F2229" s="4" t="s">
        <v>2440</v>
      </c>
      <c r="H2229" s="4" t="s">
        <v>2469</v>
      </c>
      <c r="I2229" s="4" t="s">
        <v>1933</v>
      </c>
      <c r="K2229" s="7">
        <v>1</v>
      </c>
      <c r="Q2229" s="7">
        <v>2</v>
      </c>
      <c r="R2229" s="6">
        <v>0.1</v>
      </c>
      <c r="S2229" s="13" t="s">
        <v>1622</v>
      </c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5"/>
      <c r="AM2229" s="5"/>
      <c r="AN2229" s="5"/>
      <c r="AO2229" s="5"/>
      <c r="AP2229" s="5"/>
      <c r="AQ2229" s="5"/>
    </row>
    <row r="2230" spans="1:43" x14ac:dyDescent="0.25">
      <c r="A2230" s="161" t="str">
        <f t="shared" si="40"/>
        <v>FW_RAILGUN_TANK_ED</v>
      </c>
      <c r="B2230" s="9" t="s">
        <v>2440</v>
      </c>
      <c r="E2230" s="4" t="s">
        <v>2593</v>
      </c>
      <c r="F2230" s="4" t="s">
        <v>2593</v>
      </c>
      <c r="H2230" s="4" t="s">
        <v>2469</v>
      </c>
      <c r="I2230" s="4" t="s">
        <v>1933</v>
      </c>
      <c r="K2230" s="7">
        <v>1</v>
      </c>
      <c r="Q2230" s="7">
        <v>2</v>
      </c>
      <c r="R2230" s="6">
        <v>0.1</v>
      </c>
      <c r="S2230" s="13" t="s">
        <v>1622</v>
      </c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5"/>
      <c r="AM2230" s="5"/>
      <c r="AN2230" s="5"/>
      <c r="AO2230" s="5"/>
      <c r="AP2230" s="5"/>
      <c r="AQ2230" s="5"/>
    </row>
    <row r="2231" spans="1:43" x14ac:dyDescent="0.25">
      <c r="A2231" s="161" t="str">
        <f t="shared" si="40"/>
        <v>FW_RAILGUN_TANK_ED_AMER</v>
      </c>
      <c r="B2231" s="9" t="s">
        <v>2440</v>
      </c>
      <c r="C2231" s="4" t="s">
        <v>697</v>
      </c>
      <c r="D2231" s="4" t="s">
        <v>994</v>
      </c>
      <c r="E2231" s="4" t="s">
        <v>2593</v>
      </c>
      <c r="F2231" s="4" t="s">
        <v>2593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5"/>
      <c r="AM2231" s="5"/>
      <c r="AN2231" s="5"/>
      <c r="AO2231" s="5"/>
      <c r="AP2231" s="5"/>
      <c r="AQ2231" s="5"/>
    </row>
    <row r="2232" spans="1:43" x14ac:dyDescent="0.25">
      <c r="A2232" s="161" t="str">
        <f t="shared" si="40"/>
        <v>FW_RAILGUN_TANK_ED_ASIA</v>
      </c>
      <c r="B2232" s="9" t="s">
        <v>2440</v>
      </c>
      <c r="C2232" s="4" t="s">
        <v>693</v>
      </c>
      <c r="E2232" s="4" t="s">
        <v>2593</v>
      </c>
      <c r="F2232" s="4" t="s">
        <v>2593</v>
      </c>
      <c r="H2232" s="4" t="s">
        <v>2470</v>
      </c>
      <c r="I2232" s="4" t="s">
        <v>1933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5"/>
      <c r="AM2232" s="5"/>
      <c r="AN2232" s="5"/>
      <c r="AO2232" s="5"/>
      <c r="AP2232" s="5"/>
      <c r="AQ2232" s="5"/>
    </row>
    <row r="2233" spans="1:43" x14ac:dyDescent="0.25">
      <c r="A2233" s="161" t="str">
        <f t="shared" si="40"/>
        <v>FW_RAILGUN_TANK_ED_AMERICA</v>
      </c>
      <c r="B2233" s="9" t="s">
        <v>2440</v>
      </c>
      <c r="C2233" s="4" t="s">
        <v>699</v>
      </c>
      <c r="D2233" s="4" t="s">
        <v>994</v>
      </c>
      <c r="E2233" s="4" t="s">
        <v>2593</v>
      </c>
      <c r="F2233" s="4" t="s">
        <v>2593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5"/>
      <c r="AM2233" s="5"/>
      <c r="AN2233" s="5"/>
      <c r="AO2233" s="5"/>
      <c r="AP2233" s="5"/>
      <c r="AQ2233" s="5"/>
    </row>
    <row r="2234" spans="1:43" x14ac:dyDescent="0.25">
      <c r="A2234" s="161" t="str">
        <f t="shared" si="40"/>
        <v>FW_RAILGUN_TANK_ED_AUSTRALIA</v>
      </c>
      <c r="B2234" s="9" t="s">
        <v>2440</v>
      </c>
      <c r="C2234" s="4" t="s">
        <v>1302</v>
      </c>
      <c r="D2234" s="4" t="s">
        <v>994</v>
      </c>
      <c r="E2234" s="4" t="s">
        <v>2593</v>
      </c>
      <c r="F2234" s="4" t="s">
        <v>2593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5"/>
      <c r="AM2234" s="5"/>
      <c r="AN2234" s="5"/>
      <c r="AO2234" s="5"/>
      <c r="AP2234" s="5"/>
      <c r="AQ2234" s="5"/>
    </row>
    <row r="2235" spans="1:43" x14ac:dyDescent="0.25">
      <c r="A2235" s="161" t="str">
        <f t="shared" si="40"/>
        <v>FW_RAILGUN_TANK_ED_OCEAN</v>
      </c>
      <c r="B2235" s="9" t="s">
        <v>2440</v>
      </c>
      <c r="C2235" s="4" t="s">
        <v>994</v>
      </c>
      <c r="E2235" s="4" t="s">
        <v>2593</v>
      </c>
      <c r="F2235" s="4" t="s">
        <v>2593</v>
      </c>
      <c r="H2235" s="4" t="s">
        <v>2471</v>
      </c>
      <c r="I2235" s="4" t="s">
        <v>1933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5"/>
      <c r="AM2235" s="5"/>
      <c r="AN2235" s="5"/>
      <c r="AO2235" s="5"/>
      <c r="AP2235" s="5"/>
      <c r="AQ2235" s="5"/>
    </row>
    <row r="2236" spans="1:43" x14ac:dyDescent="0.25">
      <c r="A2236" s="161" t="str">
        <f t="shared" si="40"/>
        <v>FW_RAILGUN_TANK_ED_SEASIA</v>
      </c>
      <c r="B2236" s="9" t="s">
        <v>2440</v>
      </c>
      <c r="C2236" s="4" t="s">
        <v>696</v>
      </c>
      <c r="D2236" s="4" t="s">
        <v>693</v>
      </c>
      <c r="E2236" s="4" t="s">
        <v>2593</v>
      </c>
      <c r="F2236" s="4" t="s">
        <v>2593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5"/>
      <c r="AM2236" s="5"/>
      <c r="AN2236" s="5"/>
      <c r="AO2236" s="5"/>
      <c r="AP2236" s="5"/>
      <c r="AQ2236" s="5"/>
    </row>
    <row r="2237" spans="1:43" x14ac:dyDescent="0.25">
      <c r="A2237" s="161" t="str">
        <f t="shared" si="40"/>
        <v>FW_RAILGUN_TANK_ED_SOUTHAM</v>
      </c>
      <c r="B2237" s="9" t="s">
        <v>2440</v>
      </c>
      <c r="C2237" s="4" t="s">
        <v>691</v>
      </c>
      <c r="D2237" s="4" t="s">
        <v>994</v>
      </c>
      <c r="E2237" s="4" t="s">
        <v>2593</v>
      </c>
      <c r="F2237" s="4" t="s">
        <v>2593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5"/>
      <c r="AM2237" s="5"/>
      <c r="AN2237" s="5"/>
      <c r="AO2237" s="5"/>
      <c r="AP2237" s="5"/>
      <c r="AQ2237" s="5"/>
    </row>
    <row r="2238" spans="1:43" x14ac:dyDescent="0.25">
      <c r="A2238" s="161" t="str">
        <f t="shared" si="40"/>
        <v>FW_RAILGUN_TANK_ED_SOUTHAS</v>
      </c>
      <c r="B2238" s="9" t="s">
        <v>2440</v>
      </c>
      <c r="C2238" s="4" t="s">
        <v>695</v>
      </c>
      <c r="D2238" s="4" t="s">
        <v>693</v>
      </c>
      <c r="E2238" s="4" t="s">
        <v>2593</v>
      </c>
      <c r="F2238" s="4" t="s">
        <v>2593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5"/>
      <c r="AM2238" s="5"/>
      <c r="AN2238" s="5"/>
      <c r="AO2238" s="5"/>
      <c r="AP2238" s="5"/>
      <c r="AQ2238" s="5"/>
    </row>
    <row r="2239" spans="1:43" x14ac:dyDescent="0.25">
      <c r="A2239" s="161" t="str">
        <f t="shared" si="40"/>
        <v>FW_ROBOT_INFANTRY</v>
      </c>
      <c r="B2239" s="9" t="s">
        <v>2455</v>
      </c>
      <c r="E2239" s="4" t="s">
        <v>2455</v>
      </c>
      <c r="F2239" s="4" t="s">
        <v>2455</v>
      </c>
      <c r="H2239" s="4" t="s">
        <v>2495</v>
      </c>
      <c r="I2239" s="4" t="s">
        <v>1933</v>
      </c>
      <c r="K2239" s="7">
        <v>1</v>
      </c>
      <c r="Q2239" s="7">
        <v>8</v>
      </c>
      <c r="R2239" s="6" t="s">
        <v>1736</v>
      </c>
      <c r="S2239" s="13" t="s">
        <v>1619</v>
      </c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5"/>
      <c r="AM2239" s="5"/>
      <c r="AN2239" s="5"/>
      <c r="AO2239" s="5"/>
      <c r="AP2239" s="5"/>
      <c r="AQ2239" s="5"/>
    </row>
    <row r="2240" spans="1:43" x14ac:dyDescent="0.25">
      <c r="A2240" s="161" t="str">
        <f t="shared" si="40"/>
        <v>FW_SUBORBITAL_BOMBER</v>
      </c>
      <c r="B2240" s="9" t="s">
        <v>2439</v>
      </c>
      <c r="E2240" s="4" t="s">
        <v>2439</v>
      </c>
      <c r="F2240" s="4" t="s">
        <v>2439</v>
      </c>
      <c r="H2240" s="4" t="s">
        <v>2468</v>
      </c>
      <c r="I2240" s="4" t="s">
        <v>1933</v>
      </c>
      <c r="K2240" s="7">
        <v>1</v>
      </c>
      <c r="Q2240" s="7">
        <v>1</v>
      </c>
      <c r="R2240" s="6">
        <v>0.11</v>
      </c>
      <c r="S2240" s="13" t="s">
        <v>1614</v>
      </c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5"/>
      <c r="AM2240" s="5"/>
      <c r="AN2240" s="5"/>
      <c r="AO2240" s="5"/>
      <c r="AP2240" s="5"/>
      <c r="AQ2240" s="5"/>
    </row>
    <row r="2241" spans="1:43" x14ac:dyDescent="0.25">
      <c r="A2241" s="161" t="str">
        <f t="shared" si="40"/>
        <v>FW_SUPERCARRIER</v>
      </c>
      <c r="B2241" s="9" t="s">
        <v>2446</v>
      </c>
      <c r="E2241" s="4" t="s">
        <v>2446</v>
      </c>
      <c r="F2241" s="4" t="s">
        <v>2446</v>
      </c>
      <c r="H2241" s="4" t="s">
        <v>2481</v>
      </c>
      <c r="I2241" s="4" t="s">
        <v>2504</v>
      </c>
      <c r="K2241" s="7">
        <v>1</v>
      </c>
      <c r="Q2241" s="7">
        <v>1</v>
      </c>
      <c r="R2241" s="6" t="s">
        <v>1694</v>
      </c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5"/>
      <c r="AM2241" s="5"/>
      <c r="AN2241" s="5"/>
      <c r="AO2241" s="5"/>
      <c r="AP2241" s="5"/>
      <c r="AQ2241" s="5"/>
    </row>
    <row r="2242" spans="1:43" x14ac:dyDescent="0.25">
      <c r="A2242" s="161" t="str">
        <f t="shared" si="40"/>
        <v>FW_SUPERCARRIER_ED</v>
      </c>
      <c r="B2242" s="9" t="s">
        <v>2446</v>
      </c>
      <c r="E2242" s="4" t="s">
        <v>2592</v>
      </c>
      <c r="F2242" s="4" t="s">
        <v>2592</v>
      </c>
      <c r="H2242" s="4" t="s">
        <v>2481</v>
      </c>
      <c r="I2242" s="4" t="s">
        <v>2504</v>
      </c>
      <c r="K2242" s="7">
        <v>1</v>
      </c>
      <c r="Q2242" s="7">
        <v>1</v>
      </c>
      <c r="R2242" s="6" t="s">
        <v>1694</v>
      </c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5"/>
      <c r="AM2242" s="5"/>
      <c r="AN2242" s="5"/>
      <c r="AO2242" s="5"/>
      <c r="AP2242" s="5"/>
      <c r="AQ2242" s="5"/>
    </row>
    <row r="2243" spans="1:43" x14ac:dyDescent="0.25">
      <c r="A2243" s="161" t="str">
        <f t="shared" si="40"/>
        <v>FW_SUPERCARRIER_ED_AMER</v>
      </c>
      <c r="B2243" s="9" t="s">
        <v>2446</v>
      </c>
      <c r="C2243" s="4" t="s">
        <v>697</v>
      </c>
      <c r="D2243" s="4" t="s">
        <v>699</v>
      </c>
      <c r="E2243" s="4" t="s">
        <v>2592</v>
      </c>
      <c r="F2243" s="4" t="s">
        <v>2592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5"/>
      <c r="AM2243" s="5"/>
      <c r="AN2243" s="5"/>
      <c r="AO2243" s="5"/>
      <c r="AP2243" s="5"/>
      <c r="AQ2243" s="5"/>
    </row>
    <row r="2244" spans="1:43" x14ac:dyDescent="0.25">
      <c r="A2244" s="161" t="str">
        <f t="shared" si="40"/>
        <v>FW_SUPERCARRIER_ED_AMERICA</v>
      </c>
      <c r="B2244" s="9" t="s">
        <v>2446</v>
      </c>
      <c r="C2244" s="4" t="s">
        <v>699</v>
      </c>
      <c r="E2244" s="4" t="s">
        <v>2592</v>
      </c>
      <c r="F2244" s="4" t="s">
        <v>2592</v>
      </c>
      <c r="H2244" s="4" t="s">
        <v>2506</v>
      </c>
      <c r="I2244" s="4" t="s">
        <v>966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0"/>
        <v>FW_SUPERCARRIER_ED_AUSTRALIA</v>
      </c>
      <c r="B2245" s="9" t="s">
        <v>2446</v>
      </c>
      <c r="C2245" s="4" t="s">
        <v>1302</v>
      </c>
      <c r="D2245" s="4" t="s">
        <v>713</v>
      </c>
      <c r="E2245" s="4" t="s">
        <v>2592</v>
      </c>
      <c r="F2245" s="4" t="s">
        <v>2592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0"/>
        <v>FW_SUPERCARRIER_ED_CANADA</v>
      </c>
      <c r="B2246" s="9" t="s">
        <v>2446</v>
      </c>
      <c r="C2246" s="4" t="s">
        <v>2207</v>
      </c>
      <c r="D2246" s="4" t="s">
        <v>713</v>
      </c>
      <c r="E2246" s="4" t="s">
        <v>2592</v>
      </c>
      <c r="F2246" s="4" t="s">
        <v>2592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0"/>
        <v>FW_SUPERCARRIER_ED_CELTS</v>
      </c>
      <c r="B2247" s="9" t="s">
        <v>2446</v>
      </c>
      <c r="C2247" s="4" t="s">
        <v>709</v>
      </c>
      <c r="D2247" s="4" t="s">
        <v>713</v>
      </c>
      <c r="E2247" s="4" t="s">
        <v>2592</v>
      </c>
      <c r="F2247" s="4" t="s">
        <v>2592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0"/>
        <v>FW_SUPERCARRIER_ED_ENGLAND</v>
      </c>
      <c r="B2248" s="9" t="s">
        <v>2446</v>
      </c>
      <c r="C2248" s="4" t="s">
        <v>713</v>
      </c>
      <c r="E2248" s="4" t="s">
        <v>2592</v>
      </c>
      <c r="F2248" s="4" t="s">
        <v>2592</v>
      </c>
      <c r="H2248" s="4" t="s">
        <v>2505</v>
      </c>
      <c r="I2248" s="4" t="s">
        <v>2504</v>
      </c>
      <c r="K2248" s="7">
        <v>1</v>
      </c>
      <c r="Q2248" s="7"/>
      <c r="R2248" s="6"/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0"/>
        <v>FW_SUPERCARRIER_ED_LEVANT</v>
      </c>
      <c r="B2249" s="9" t="s">
        <v>2446</v>
      </c>
      <c r="C2249" s="4" t="s">
        <v>724</v>
      </c>
      <c r="D2249" s="4" t="s">
        <v>699</v>
      </c>
      <c r="E2249" s="4" t="s">
        <v>2592</v>
      </c>
      <c r="F2249" s="4" t="s">
        <v>2592</v>
      </c>
      <c r="K2249" s="7">
        <v>1</v>
      </c>
      <c r="Q2249" s="7"/>
      <c r="R2249" s="6"/>
      <c r="S2249" s="13"/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0"/>
        <v>FW_SUPERCARRIER_ED_OCEAN</v>
      </c>
      <c r="B2250" s="9" t="s">
        <v>2446</v>
      </c>
      <c r="C2250" s="4" t="s">
        <v>994</v>
      </c>
      <c r="D2250" s="4" t="s">
        <v>699</v>
      </c>
      <c r="E2250" s="4" t="s">
        <v>2592</v>
      </c>
      <c r="F2250" s="4" t="s">
        <v>2592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0"/>
        <v>FW_SUPERCARRIER_ED_SOUTHAM</v>
      </c>
      <c r="B2251" s="9" t="s">
        <v>2446</v>
      </c>
      <c r="C2251" s="4" t="s">
        <v>691</v>
      </c>
      <c r="D2251" s="4" t="s">
        <v>699</v>
      </c>
      <c r="E2251" s="4" t="s">
        <v>2592</v>
      </c>
      <c r="F2251" s="4" t="s">
        <v>2592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5"/>
      <c r="AM2251" s="5"/>
      <c r="AN2251" s="5"/>
      <c r="AO2251" s="5"/>
      <c r="AP2251" s="5"/>
      <c r="AQ2251" s="5"/>
    </row>
    <row r="2252" spans="1:43" x14ac:dyDescent="0.25">
      <c r="A2252" s="161" t="str">
        <f t="shared" si="40"/>
        <v>FW_TREX</v>
      </c>
      <c r="B2252" s="9" t="s">
        <v>2460</v>
      </c>
      <c r="E2252" s="4" t="s">
        <v>2460</v>
      </c>
      <c r="F2252" s="4" t="s">
        <v>2460</v>
      </c>
      <c r="H2252" s="4" t="s">
        <v>2497</v>
      </c>
      <c r="I2252" s="4" t="s">
        <v>2508</v>
      </c>
      <c r="K2252" s="7">
        <v>1</v>
      </c>
      <c r="Q2252" s="7">
        <v>1</v>
      </c>
      <c r="R2252" s="6">
        <v>0.08</v>
      </c>
      <c r="S2252" s="13" t="s">
        <v>1617</v>
      </c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5"/>
      <c r="AM2252" s="5"/>
      <c r="AN2252" s="5"/>
      <c r="AO2252" s="5"/>
      <c r="AP2252" s="5"/>
      <c r="AQ2252" s="5"/>
    </row>
    <row r="2253" spans="1:43" x14ac:dyDescent="0.25">
      <c r="A2253" s="161" t="str">
        <f t="shared" si="40"/>
        <v>FW_TRICERATOPS</v>
      </c>
      <c r="B2253" s="9" t="s">
        <v>2461</v>
      </c>
      <c r="E2253" s="4" t="s">
        <v>2461</v>
      </c>
      <c r="F2253" s="4" t="s">
        <v>2461</v>
      </c>
      <c r="H2253" s="4" t="s">
        <v>2498</v>
      </c>
      <c r="I2253" s="4" t="s">
        <v>2508</v>
      </c>
      <c r="K2253" s="7">
        <v>1</v>
      </c>
      <c r="Q2253" s="7">
        <v>1</v>
      </c>
      <c r="R2253" s="6">
        <v>0.1</v>
      </c>
      <c r="S2253" s="13" t="s">
        <v>1617</v>
      </c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5"/>
      <c r="AM2253" s="5"/>
      <c r="AN2253" s="5"/>
      <c r="AO2253" s="5"/>
      <c r="AP2253" s="5"/>
      <c r="AQ2253" s="5"/>
    </row>
    <row r="2254" spans="1:43" x14ac:dyDescent="0.25">
      <c r="A2254" s="161" t="str">
        <f t="shared" si="40"/>
        <v>FW_TRICERATOPS</v>
      </c>
      <c r="B2254" s="9" t="s">
        <v>2461</v>
      </c>
      <c r="E2254" s="4" t="s">
        <v>2461</v>
      </c>
      <c r="F2254" s="4" t="s">
        <v>2461</v>
      </c>
      <c r="G2254" s="4" t="s">
        <v>2045</v>
      </c>
      <c r="H2254" s="4" t="s">
        <v>2500</v>
      </c>
      <c r="I2254" s="4" t="s">
        <v>2508</v>
      </c>
      <c r="K2254" s="7">
        <v>1</v>
      </c>
      <c r="Q2254" s="7">
        <v>1</v>
      </c>
      <c r="R2254" s="6">
        <v>0.1</v>
      </c>
      <c r="S2254" s="13" t="s">
        <v>1617</v>
      </c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5"/>
      <c r="AM2254" s="5"/>
      <c r="AN2254" s="5"/>
      <c r="AO2254" s="5"/>
      <c r="AP2254" s="5"/>
      <c r="AQ2254" s="5"/>
    </row>
    <row r="2255" spans="1:43" x14ac:dyDescent="0.25">
      <c r="A2255" s="161" t="str">
        <f t="shared" si="40"/>
        <v>FW_VELOCIRAPTOR</v>
      </c>
      <c r="B2255" s="9" t="s">
        <v>2517</v>
      </c>
      <c r="E2255" s="4" t="s">
        <v>2462</v>
      </c>
      <c r="F2255" s="4" t="s">
        <v>2462</v>
      </c>
      <c r="H2255" s="4" t="s">
        <v>2499</v>
      </c>
      <c r="I2255" s="4" t="s">
        <v>2508</v>
      </c>
      <c r="K2255" s="7">
        <v>1</v>
      </c>
      <c r="Q2255" s="7">
        <v>2</v>
      </c>
      <c r="R2255" s="6">
        <v>0.23</v>
      </c>
      <c r="S2255" s="13" t="s">
        <v>1694</v>
      </c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5"/>
      <c r="AM2255" s="5"/>
      <c r="AN2255" s="5"/>
      <c r="AO2255" s="5"/>
      <c r="AP2255" s="5"/>
      <c r="AQ2255" s="5"/>
    </row>
    <row r="2256" spans="1:43" x14ac:dyDescent="0.25">
      <c r="A2256" s="161" t="str">
        <f t="shared" si="40"/>
        <v>FW_VELOCIRAPTOR</v>
      </c>
      <c r="B2256" s="9" t="s">
        <v>2517</v>
      </c>
      <c r="E2256" s="4" t="s">
        <v>2462</v>
      </c>
      <c r="F2256" s="4" t="s">
        <v>2462</v>
      </c>
      <c r="G2256" s="4" t="s">
        <v>2045</v>
      </c>
      <c r="H2256" s="4" t="s">
        <v>2501</v>
      </c>
      <c r="I2256" s="4" t="s">
        <v>2508</v>
      </c>
      <c r="K2256" s="7">
        <v>1</v>
      </c>
      <c r="Q2256" s="7">
        <v>3</v>
      </c>
      <c r="R2256" s="6">
        <v>0.23</v>
      </c>
      <c r="S2256" s="13" t="s">
        <v>1694</v>
      </c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5"/>
      <c r="AM2256" s="5"/>
      <c r="AN2256" s="5"/>
      <c r="AO2256" s="5"/>
      <c r="AP2256" s="5"/>
      <c r="AQ2256" s="5"/>
    </row>
    <row r="2257" spans="1:43" x14ac:dyDescent="0.25">
      <c r="A2257" s="161" t="str">
        <f t="shared" si="40"/>
        <v>FW_VERTOL</v>
      </c>
      <c r="B2257" s="9" t="s">
        <v>2441</v>
      </c>
      <c r="E2257" s="4" t="s">
        <v>2441</v>
      </c>
      <c r="F2257" s="4" t="s">
        <v>2441</v>
      </c>
      <c r="H2257" s="4" t="s">
        <v>2472</v>
      </c>
      <c r="I2257" s="4" t="s">
        <v>1933</v>
      </c>
      <c r="K2257" s="7">
        <v>1</v>
      </c>
      <c r="Q2257" s="7">
        <v>1</v>
      </c>
      <c r="R2257" s="6">
        <v>0.1</v>
      </c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5"/>
      <c r="AM2257" s="5"/>
      <c r="AN2257" s="5"/>
      <c r="AO2257" s="5"/>
      <c r="AP2257" s="5"/>
      <c r="AQ2257" s="5"/>
    </row>
    <row r="2258" spans="1:43" x14ac:dyDescent="0.25">
      <c r="A2258" s="161" t="str">
        <f t="shared" si="40"/>
        <v>FW_VERTOL_ED</v>
      </c>
      <c r="B2258" s="9" t="s">
        <v>2441</v>
      </c>
      <c r="E2258" s="4" t="s">
        <v>2591</v>
      </c>
      <c r="F2258" s="4" t="s">
        <v>2591</v>
      </c>
      <c r="H2258" s="4" t="s">
        <v>2472</v>
      </c>
      <c r="I2258" s="4" t="s">
        <v>1933</v>
      </c>
      <c r="K2258" s="7">
        <v>1</v>
      </c>
      <c r="Q2258" s="7">
        <v>1</v>
      </c>
      <c r="R2258" s="6">
        <v>0.1</v>
      </c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5"/>
      <c r="AM2258" s="5"/>
      <c r="AN2258" s="5"/>
      <c r="AO2258" s="5"/>
      <c r="AP2258" s="5"/>
      <c r="AQ2258" s="5"/>
    </row>
    <row r="2259" spans="1:43" x14ac:dyDescent="0.25">
      <c r="A2259" s="161" t="str">
        <f t="shared" si="40"/>
        <v>FW_VERTOL_ED_AMER</v>
      </c>
      <c r="B2259" s="9" t="s">
        <v>2441</v>
      </c>
      <c r="C2259" s="4" t="s">
        <v>697</v>
      </c>
      <c r="D2259" s="4" t="s">
        <v>994</v>
      </c>
      <c r="E2259" s="4" t="s">
        <v>2591</v>
      </c>
      <c r="F2259" s="4" t="s">
        <v>2591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5"/>
      <c r="AM2259" s="5"/>
      <c r="AN2259" s="5"/>
      <c r="AO2259" s="5"/>
      <c r="AP2259" s="5"/>
      <c r="AQ2259" s="5"/>
    </row>
    <row r="2260" spans="1:43" x14ac:dyDescent="0.25">
      <c r="A2260" s="161" t="str">
        <f t="shared" si="40"/>
        <v>FW_VERTOL_ED_ASIA</v>
      </c>
      <c r="B2260" s="9" t="s">
        <v>2441</v>
      </c>
      <c r="C2260" s="4" t="s">
        <v>693</v>
      </c>
      <c r="E2260" s="4" t="s">
        <v>2591</v>
      </c>
      <c r="F2260" s="4" t="s">
        <v>2591</v>
      </c>
      <c r="H2260" s="4" t="s">
        <v>2473</v>
      </c>
      <c r="I2260" s="4" t="s">
        <v>1933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5"/>
      <c r="AM2260" s="5"/>
      <c r="AN2260" s="5"/>
      <c r="AO2260" s="5"/>
      <c r="AP2260" s="5"/>
      <c r="AQ2260" s="5"/>
    </row>
    <row r="2261" spans="1:43" x14ac:dyDescent="0.25">
      <c r="A2261" s="161" t="str">
        <f t="shared" si="40"/>
        <v>FW_VERTOL_ED_AMERICA</v>
      </c>
      <c r="B2261" s="9" t="s">
        <v>2441</v>
      </c>
      <c r="C2261" s="4" t="s">
        <v>699</v>
      </c>
      <c r="D2261" s="4" t="s">
        <v>994</v>
      </c>
      <c r="E2261" s="4" t="s">
        <v>2591</v>
      </c>
      <c r="F2261" s="4" t="s">
        <v>2591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5"/>
      <c r="AM2261" s="5"/>
      <c r="AN2261" s="5"/>
      <c r="AO2261" s="5"/>
      <c r="AP2261" s="5"/>
      <c r="AQ2261" s="5"/>
    </row>
    <row r="2262" spans="1:43" x14ac:dyDescent="0.25">
      <c r="A2262" s="161" t="str">
        <f t="shared" si="40"/>
        <v>FW_VERTOL_ED_AUSTRALIA</v>
      </c>
      <c r="B2262" s="9" t="s">
        <v>2441</v>
      </c>
      <c r="C2262" s="4" t="s">
        <v>1302</v>
      </c>
      <c r="D2262" s="4" t="s">
        <v>994</v>
      </c>
      <c r="E2262" s="4" t="s">
        <v>2591</v>
      </c>
      <c r="F2262" s="4" t="s">
        <v>2591</v>
      </c>
      <c r="K2262" s="7">
        <v>1</v>
      </c>
      <c r="Q2262" s="7"/>
      <c r="R2262" s="6"/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5"/>
      <c r="AM2262" s="5"/>
      <c r="AN2262" s="5"/>
      <c r="AO2262" s="5"/>
      <c r="AP2262" s="5"/>
      <c r="AQ2262" s="5"/>
    </row>
    <row r="2263" spans="1:43" x14ac:dyDescent="0.25">
      <c r="A2263" s="161" t="str">
        <f t="shared" si="40"/>
        <v>FW_VERTOL_ED_OCEAN</v>
      </c>
      <c r="B2263" s="9" t="s">
        <v>2441</v>
      </c>
      <c r="C2263" s="4" t="s">
        <v>994</v>
      </c>
      <c r="E2263" s="4" t="s">
        <v>2591</v>
      </c>
      <c r="F2263" s="4" t="s">
        <v>2591</v>
      </c>
      <c r="H2263" s="4" t="s">
        <v>2474</v>
      </c>
      <c r="I2263" s="4" t="s">
        <v>1933</v>
      </c>
      <c r="K2263" s="7">
        <v>1</v>
      </c>
      <c r="Q2263" s="7"/>
      <c r="R2263" s="6"/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5"/>
      <c r="AM2263" s="5"/>
      <c r="AN2263" s="5"/>
      <c r="AO2263" s="5"/>
      <c r="AP2263" s="5"/>
      <c r="AQ2263" s="5"/>
    </row>
    <row r="2264" spans="1:43" x14ac:dyDescent="0.25">
      <c r="A2264" s="161" t="str">
        <f t="shared" si="40"/>
        <v>FW_VERTOL_ED_SEASIA</v>
      </c>
      <c r="B2264" s="9" t="s">
        <v>2441</v>
      </c>
      <c r="C2264" s="4" t="s">
        <v>696</v>
      </c>
      <c r="D2264" s="4" t="s">
        <v>693</v>
      </c>
      <c r="E2264" s="4" t="s">
        <v>2591</v>
      </c>
      <c r="F2264" s="4" t="s">
        <v>2591</v>
      </c>
      <c r="K2264" s="7">
        <v>1</v>
      </c>
      <c r="Q2264" s="7"/>
      <c r="R2264" s="6"/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5"/>
      <c r="AM2264" s="5"/>
      <c r="AN2264" s="5"/>
      <c r="AO2264" s="5"/>
      <c r="AP2264" s="5"/>
      <c r="AQ2264" s="5"/>
    </row>
    <row r="2265" spans="1:43" x14ac:dyDescent="0.25">
      <c r="A2265" s="161" t="str">
        <f t="shared" si="40"/>
        <v>FW_VERTOL_ED_SOUTHAM</v>
      </c>
      <c r="B2265" s="9" t="s">
        <v>2441</v>
      </c>
      <c r="C2265" s="4" t="s">
        <v>691</v>
      </c>
      <c r="D2265" s="4" t="s">
        <v>994</v>
      </c>
      <c r="E2265" s="4" t="s">
        <v>2591</v>
      </c>
      <c r="F2265" s="4" t="s">
        <v>2591</v>
      </c>
      <c r="K2265" s="7">
        <v>1</v>
      </c>
      <c r="Q2265" s="7"/>
      <c r="R2265" s="6"/>
      <c r="S2265" s="13"/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5"/>
      <c r="AM2265" s="5"/>
      <c r="AN2265" s="5"/>
      <c r="AO2265" s="5"/>
      <c r="AP2265" s="5"/>
      <c r="AQ2265" s="5"/>
    </row>
    <row r="2266" spans="1:43" x14ac:dyDescent="0.25">
      <c r="A2266" s="161" t="str">
        <f t="shared" si="40"/>
        <v>FW_VERTOL_ED_SOUTHAS</v>
      </c>
      <c r="B2266" s="9" t="s">
        <v>2441</v>
      </c>
      <c r="C2266" s="4" t="s">
        <v>695</v>
      </c>
      <c r="D2266" s="4" t="s">
        <v>693</v>
      </c>
      <c r="E2266" s="4" t="s">
        <v>2591</v>
      </c>
      <c r="F2266" s="4" t="s">
        <v>2591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5"/>
      <c r="AM2266" s="5"/>
      <c r="AN2266" s="5"/>
      <c r="AO2266" s="5"/>
      <c r="AP2266" s="5"/>
      <c r="AQ2266" s="5"/>
    </row>
    <row r="2267" spans="1:43" x14ac:dyDescent="0.25">
      <c r="A2267" s="161" t="str">
        <f t="shared" si="40"/>
        <v>SCORPION_GREEN</v>
      </c>
      <c r="B2267" s="9" t="s">
        <v>2515</v>
      </c>
      <c r="E2267" s="4" t="s">
        <v>2452</v>
      </c>
      <c r="F2267" s="4" t="s">
        <v>2452</v>
      </c>
      <c r="H2267" s="4" t="s">
        <v>2492</v>
      </c>
      <c r="I2267" s="4" t="s">
        <v>2510</v>
      </c>
      <c r="K2267" s="7">
        <v>1</v>
      </c>
      <c r="Q2267" s="7">
        <v>6</v>
      </c>
      <c r="R2267" s="6">
        <v>0.2</v>
      </c>
      <c r="S2267" s="13" t="s">
        <v>46</v>
      </c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5"/>
      <c r="AM2267" s="5"/>
      <c r="AN2267" s="5"/>
      <c r="AO2267" s="5"/>
      <c r="AP2267" s="5"/>
      <c r="AQ2267" s="5"/>
    </row>
    <row r="2268" spans="1:43" x14ac:dyDescent="0.25">
      <c r="A2268" s="161" t="str">
        <f t="shared" si="40"/>
        <v>SEAL_TEAM</v>
      </c>
      <c r="B2268" s="9" t="s">
        <v>2516</v>
      </c>
      <c r="E2268" s="4" t="s">
        <v>2463</v>
      </c>
      <c r="F2268" s="4" t="s">
        <v>2463</v>
      </c>
      <c r="H2268" s="4" t="s">
        <v>304</v>
      </c>
      <c r="I2268" s="4" t="s">
        <v>1057</v>
      </c>
      <c r="K2268" s="7">
        <v>1</v>
      </c>
      <c r="Q2268" s="7">
        <v>6</v>
      </c>
      <c r="R2268" s="6" t="s">
        <v>1736</v>
      </c>
      <c r="S2268" s="13" t="s">
        <v>1613</v>
      </c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5"/>
      <c r="AM2268" s="5"/>
      <c r="AN2268" s="5"/>
      <c r="AO2268" s="5"/>
      <c r="AP2268" s="5"/>
      <c r="AQ2268" s="5"/>
    </row>
    <row r="2269" spans="1:43" x14ac:dyDescent="0.25">
      <c r="A2269" s="161" t="str">
        <f t="shared" si="40"/>
        <v>UAV</v>
      </c>
      <c r="B2269" s="9" t="s">
        <v>2514</v>
      </c>
      <c r="E2269" s="4" t="s">
        <v>2436</v>
      </c>
      <c r="F2269" s="4" t="s">
        <v>2436</v>
      </c>
      <c r="H2269" s="4" t="s">
        <v>2436</v>
      </c>
      <c r="I2269" s="4" t="s">
        <v>2507</v>
      </c>
      <c r="K2269" s="7">
        <v>1</v>
      </c>
      <c r="Q2269" s="7">
        <v>1</v>
      </c>
      <c r="R2269" s="6">
        <v>0.09</v>
      </c>
      <c r="S2269" s="13" t="s">
        <v>1620</v>
      </c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5"/>
      <c r="AM2269" s="5"/>
      <c r="AN2269" s="5"/>
      <c r="AO2269" s="5"/>
      <c r="AP2269" s="5"/>
      <c r="AQ2269" s="5"/>
    </row>
    <row r="2270" spans="1:43" x14ac:dyDescent="0.25">
      <c r="A2270" s="161" t="str">
        <f t="shared" si="40"/>
        <v>ARMORED_CAR</v>
      </c>
      <c r="B2270" s="9" t="s">
        <v>745</v>
      </c>
      <c r="E2270" s="4" t="s">
        <v>2627</v>
      </c>
      <c r="F2270" s="4" t="s">
        <v>2627</v>
      </c>
      <c r="H2270" s="4" t="s">
        <v>2227</v>
      </c>
      <c r="I2270" s="4" t="s">
        <v>120</v>
      </c>
      <c r="K2270" s="7">
        <v>1</v>
      </c>
      <c r="Q2270" s="7">
        <v>2</v>
      </c>
      <c r="R2270" s="6">
        <v>0.11</v>
      </c>
      <c r="S2270" s="13" t="s">
        <v>1622</v>
      </c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5"/>
      <c r="AM2270" s="5"/>
      <c r="AN2270" s="5"/>
      <c r="AO2270" s="5"/>
      <c r="AP2270" s="5"/>
      <c r="AQ2270" s="5"/>
    </row>
    <row r="2271" spans="1:43" x14ac:dyDescent="0.25">
      <c r="A2271" s="161" t="str">
        <f t="shared" si="40"/>
        <v>ARMORED_CAR_ED</v>
      </c>
      <c r="B2271" s="9" t="s">
        <v>745</v>
      </c>
      <c r="C2271" s="5"/>
      <c r="D2271" s="5"/>
      <c r="E2271" s="5" t="s">
        <v>2628</v>
      </c>
      <c r="F2271" s="5" t="s">
        <v>2628</v>
      </c>
      <c r="G2271" s="5"/>
      <c r="H2271" s="5" t="s">
        <v>2612</v>
      </c>
      <c r="I2271" s="5" t="s">
        <v>102</v>
      </c>
      <c r="J2271" s="6"/>
      <c r="K2271" s="6">
        <v>1</v>
      </c>
      <c r="L2271" s="13" t="s">
        <v>1708</v>
      </c>
      <c r="M2271" s="8"/>
      <c r="N2271" s="5"/>
      <c r="O2271" s="5"/>
      <c r="P2271" s="5"/>
      <c r="Q2271" s="7">
        <v>2</v>
      </c>
      <c r="R2271" s="6" t="s">
        <v>1694</v>
      </c>
      <c r="S2271" s="13" t="s">
        <v>1622</v>
      </c>
      <c r="T2271" s="6"/>
      <c r="U2271" s="6"/>
      <c r="V2271" s="5"/>
      <c r="W2271" s="6" t="s">
        <v>3</v>
      </c>
      <c r="X2271" s="6" t="s">
        <v>3</v>
      </c>
      <c r="Y2271" s="5"/>
      <c r="Z2271" s="7">
        <v>1</v>
      </c>
      <c r="AA2271" s="6"/>
      <c r="AB2271" s="5"/>
      <c r="AC2271" s="6"/>
      <c r="AD2271" s="6" t="s">
        <v>3</v>
      </c>
      <c r="AE2271" s="5"/>
      <c r="AF2271" s="6"/>
      <c r="AG2271" s="6"/>
      <c r="AH2271" s="5"/>
      <c r="AI2271" s="6"/>
      <c r="AJ2271" s="6"/>
      <c r="AK2271" s="5"/>
      <c r="AL2271" s="5"/>
      <c r="AM2271" s="5"/>
      <c r="AN2271" s="5"/>
      <c r="AO2271" s="5"/>
      <c r="AP2271" s="5"/>
      <c r="AQ2271" s="5"/>
    </row>
    <row r="2272" spans="1:43" x14ac:dyDescent="0.25">
      <c r="A2272" s="161" t="str">
        <f t="shared" si="40"/>
        <v>ARMORED_CAR_ED_AFRI</v>
      </c>
      <c r="B2272" s="9" t="s">
        <v>745</v>
      </c>
      <c r="C2272" s="4" t="s">
        <v>694</v>
      </c>
      <c r="D2272" s="4" t="s">
        <v>690</v>
      </c>
      <c r="E2272" s="4" t="s">
        <v>2628</v>
      </c>
      <c r="F2272" s="4" t="s">
        <v>2628</v>
      </c>
      <c r="K2272" s="11">
        <v>1</v>
      </c>
      <c r="Q2272" s="9"/>
      <c r="T2272" s="9"/>
      <c r="W2272" s="9"/>
      <c r="AF2272" s="9"/>
      <c r="AI2272" s="9"/>
    </row>
    <row r="2273" spans="1:35" x14ac:dyDescent="0.25">
      <c r="A2273" s="161" t="str">
        <f t="shared" si="40"/>
        <v>ARMORED_CAR_ED_ZULU</v>
      </c>
      <c r="B2273" s="9" t="s">
        <v>745</v>
      </c>
      <c r="C2273" s="4" t="s">
        <v>742</v>
      </c>
      <c r="D2273" s="4" t="s">
        <v>713</v>
      </c>
      <c r="E2273" s="4" t="s">
        <v>2628</v>
      </c>
      <c r="F2273" s="4" t="s">
        <v>2628</v>
      </c>
      <c r="K2273" s="11">
        <v>1</v>
      </c>
      <c r="Q2273" s="9"/>
      <c r="T2273" s="9"/>
      <c r="W2273" s="9"/>
      <c r="AF2273" s="9"/>
      <c r="AI2273" s="9"/>
    </row>
    <row r="2274" spans="1:35" x14ac:dyDescent="0.25">
      <c r="A2274" s="161" t="str">
        <f t="shared" si="40"/>
        <v>ARMORED_CAR_ED_AMER</v>
      </c>
      <c r="B2274" s="9" t="s">
        <v>745</v>
      </c>
      <c r="C2274" s="4" t="s">
        <v>697</v>
      </c>
      <c r="D2274" s="4" t="s">
        <v>699</v>
      </c>
      <c r="E2274" s="4" t="s">
        <v>2628</v>
      </c>
      <c r="F2274" s="4" t="s">
        <v>2628</v>
      </c>
      <c r="K2274" s="11">
        <v>1</v>
      </c>
      <c r="Q2274" s="9"/>
      <c r="T2274" s="9"/>
      <c r="W2274" s="9"/>
      <c r="AF2274" s="9"/>
      <c r="AI2274" s="9"/>
    </row>
    <row r="2275" spans="1:35" x14ac:dyDescent="0.25">
      <c r="A2275" s="161" t="str">
        <f t="shared" si="40"/>
        <v>ARMORED_CAR_ED_CHINA</v>
      </c>
      <c r="B2275" s="9" t="s">
        <v>745</v>
      </c>
      <c r="C2275" s="4" t="s">
        <v>710</v>
      </c>
      <c r="E2275" s="4" t="s">
        <v>2628</v>
      </c>
      <c r="F2275" s="4" t="s">
        <v>2628</v>
      </c>
      <c r="G2275" s="14" t="s">
        <v>132</v>
      </c>
      <c r="H2275" s="4" t="s">
        <v>2625</v>
      </c>
      <c r="I2275" s="4" t="s">
        <v>102</v>
      </c>
      <c r="K2275" s="11">
        <v>1</v>
      </c>
    </row>
    <row r="2276" spans="1:35" x14ac:dyDescent="0.25">
      <c r="A2276" s="161" t="str">
        <f t="shared" si="40"/>
        <v>ARMORED_CAR_ED_JAPAN</v>
      </c>
      <c r="B2276" s="9" t="s">
        <v>745</v>
      </c>
      <c r="C2276" s="4" t="s">
        <v>722</v>
      </c>
      <c r="E2276" s="4" t="s">
        <v>2628</v>
      </c>
      <c r="F2276" s="4" t="s">
        <v>2628</v>
      </c>
      <c r="G2276" s="14" t="s">
        <v>132</v>
      </c>
      <c r="H2276" s="4" t="s">
        <v>2619</v>
      </c>
      <c r="I2276" s="4" t="s">
        <v>102</v>
      </c>
      <c r="K2276" s="11">
        <v>1</v>
      </c>
    </row>
    <row r="2277" spans="1:35" x14ac:dyDescent="0.25">
      <c r="A2277" s="161" t="str">
        <f t="shared" si="40"/>
        <v>ARMORED_CAR_ED_KOREA</v>
      </c>
      <c r="B2277" s="9" t="s">
        <v>745</v>
      </c>
      <c r="C2277" s="4" t="s">
        <v>723</v>
      </c>
      <c r="D2277" s="4" t="s">
        <v>722</v>
      </c>
      <c r="E2277" s="4" t="s">
        <v>2628</v>
      </c>
      <c r="F2277" s="4" t="s">
        <v>2628</v>
      </c>
      <c r="G2277" s="14"/>
      <c r="K2277" s="11">
        <v>1</v>
      </c>
    </row>
    <row r="2278" spans="1:35" x14ac:dyDescent="0.25">
      <c r="A2278" s="161" t="str">
        <f t="shared" si="40"/>
        <v>ARMORED_CAR_ED_HUNS</v>
      </c>
      <c r="B2278" s="9" t="s">
        <v>745</v>
      </c>
      <c r="C2278" s="4" t="s">
        <v>904</v>
      </c>
      <c r="E2278" s="4" t="s">
        <v>2628</v>
      </c>
      <c r="F2278" s="4" t="s">
        <v>2628</v>
      </c>
      <c r="H2278" s="4" t="s">
        <v>2620</v>
      </c>
      <c r="I2278" s="4" t="s">
        <v>102</v>
      </c>
      <c r="K2278" s="11">
        <v>1</v>
      </c>
    </row>
    <row r="2279" spans="1:35" x14ac:dyDescent="0.25">
      <c r="A2279" s="161" t="str">
        <f t="shared" si="40"/>
        <v>ARMORED_CAR_ED_EASTEU</v>
      </c>
      <c r="B2279" s="9" t="s">
        <v>745</v>
      </c>
      <c r="C2279" s="4" t="s">
        <v>698</v>
      </c>
      <c r="E2279" s="4" t="s">
        <v>2628</v>
      </c>
      <c r="F2279" s="4" t="s">
        <v>2628</v>
      </c>
      <c r="H2279" s="4" t="s">
        <v>2615</v>
      </c>
      <c r="I2279" s="4" t="s">
        <v>102</v>
      </c>
      <c r="K2279" s="11">
        <v>1</v>
      </c>
    </row>
    <row r="2280" spans="1:35" x14ac:dyDescent="0.25">
      <c r="A2280" s="161" t="str">
        <f t="shared" si="40"/>
        <v>ARMORED_CAR_ED_POLAND</v>
      </c>
      <c r="B2280" s="9" t="s">
        <v>745</v>
      </c>
      <c r="C2280" s="4" t="s">
        <v>732</v>
      </c>
      <c r="E2280" s="4" t="s">
        <v>2628</v>
      </c>
      <c r="F2280" s="4" t="s">
        <v>2628</v>
      </c>
      <c r="G2280" s="14" t="s">
        <v>132</v>
      </c>
      <c r="H2280" s="4" t="s">
        <v>2617</v>
      </c>
      <c r="I2280" s="4" t="s">
        <v>102</v>
      </c>
      <c r="K2280" s="11">
        <v>1</v>
      </c>
    </row>
    <row r="2281" spans="1:35" x14ac:dyDescent="0.25">
      <c r="A2281" s="161" t="str">
        <f t="shared" si="40"/>
        <v>ARMORED_CAR_ED_RUSSIA</v>
      </c>
      <c r="B2281" s="9" t="s">
        <v>745</v>
      </c>
      <c r="C2281" s="4" t="s">
        <v>735</v>
      </c>
      <c r="D2281" s="4" t="s">
        <v>698</v>
      </c>
      <c r="E2281" s="4" t="s">
        <v>2628</v>
      </c>
      <c r="F2281" s="4" t="s">
        <v>2628</v>
      </c>
      <c r="G2281" s="14" t="s">
        <v>132</v>
      </c>
      <c r="K2281" s="11">
        <v>1</v>
      </c>
    </row>
    <row r="2282" spans="1:35" x14ac:dyDescent="0.25">
      <c r="A2282" s="161" t="str">
        <f t="shared" si="40"/>
        <v>ARMORED_CAR_ED_AMERICA</v>
      </c>
      <c r="B2282" s="9" t="s">
        <v>745</v>
      </c>
      <c r="C2282" s="4" t="s">
        <v>699</v>
      </c>
      <c r="E2282" s="4" t="s">
        <v>2628</v>
      </c>
      <c r="F2282" s="4" t="s">
        <v>2628</v>
      </c>
      <c r="G2282" s="14"/>
      <c r="H2282" s="4" t="s">
        <v>2626</v>
      </c>
      <c r="I2282" s="4" t="s">
        <v>102</v>
      </c>
      <c r="K2282" s="11">
        <v>1</v>
      </c>
    </row>
    <row r="2283" spans="1:35" x14ac:dyDescent="0.25">
      <c r="A2283" s="161" t="str">
        <f t="shared" si="40"/>
        <v>ARMORED_CAR_ED_AUSTRALIA</v>
      </c>
      <c r="B2283" s="9" t="s">
        <v>745</v>
      </c>
      <c r="C2283" s="4" t="s">
        <v>1302</v>
      </c>
      <c r="D2283" s="4" t="s">
        <v>713</v>
      </c>
      <c r="E2283" s="4" t="s">
        <v>2628</v>
      </c>
      <c r="F2283" s="4" t="s">
        <v>2628</v>
      </c>
      <c r="G2283" s="14"/>
      <c r="K2283" s="11">
        <v>1</v>
      </c>
    </row>
    <row r="2284" spans="1:35" x14ac:dyDescent="0.25">
      <c r="A2284" s="161" t="str">
        <f t="shared" si="40"/>
        <v>ARMORED_CAR_ED_AUSTRIA</v>
      </c>
      <c r="B2284" s="9" t="s">
        <v>745</v>
      </c>
      <c r="C2284" s="4" t="s">
        <v>701</v>
      </c>
      <c r="D2284" s="4" t="s">
        <v>717</v>
      </c>
      <c r="E2284" s="4" t="s">
        <v>2628</v>
      </c>
      <c r="F2284" s="4" t="s">
        <v>2628</v>
      </c>
      <c r="G2284" s="14"/>
      <c r="K2284" s="11">
        <v>1</v>
      </c>
    </row>
    <row r="2285" spans="1:35" x14ac:dyDescent="0.25">
      <c r="A2285" s="161" t="str">
        <f t="shared" si="40"/>
        <v>ARMORED_CAR_ED_CANADA</v>
      </c>
      <c r="B2285" s="9" t="s">
        <v>745</v>
      </c>
      <c r="C2285" s="4" t="s">
        <v>2207</v>
      </c>
      <c r="D2285" s="4" t="s">
        <v>713</v>
      </c>
      <c r="E2285" s="4" t="s">
        <v>2628</v>
      </c>
      <c r="F2285" s="4" t="s">
        <v>2628</v>
      </c>
      <c r="G2285" s="14"/>
      <c r="K2285" s="11">
        <v>1</v>
      </c>
    </row>
    <row r="2286" spans="1:35" x14ac:dyDescent="0.25">
      <c r="A2286" s="161" t="str">
        <f t="shared" si="40"/>
        <v>ARMORED_CAR_ED_CELTS</v>
      </c>
      <c r="B2286" s="9" t="s">
        <v>745</v>
      </c>
      <c r="C2286" s="4" t="s">
        <v>709</v>
      </c>
      <c r="D2286" s="4" t="s">
        <v>713</v>
      </c>
      <c r="E2286" s="4" t="s">
        <v>2628</v>
      </c>
      <c r="F2286" s="4" t="s">
        <v>2628</v>
      </c>
      <c r="G2286" s="14"/>
      <c r="K2286" s="11">
        <v>1</v>
      </c>
    </row>
    <row r="2287" spans="1:35" x14ac:dyDescent="0.25">
      <c r="A2287" s="161" t="str">
        <f t="shared" si="40"/>
        <v>ARMORED_CAR_ED_ENGLAND</v>
      </c>
      <c r="B2287" s="9" t="s">
        <v>745</v>
      </c>
      <c r="C2287" s="4" t="s">
        <v>713</v>
      </c>
      <c r="E2287" s="4" t="s">
        <v>2628</v>
      </c>
      <c r="F2287" s="4" t="s">
        <v>2628</v>
      </c>
      <c r="G2287" s="14" t="s">
        <v>132</v>
      </c>
      <c r="H2287" s="4" t="s">
        <v>2624</v>
      </c>
      <c r="I2287" s="4" t="s">
        <v>102</v>
      </c>
      <c r="K2287" s="11">
        <v>1</v>
      </c>
    </row>
    <row r="2288" spans="1:35" x14ac:dyDescent="0.25">
      <c r="A2288" s="161" t="str">
        <f t="shared" si="40"/>
        <v>ARMORED_CAR_ED_FRANCE</v>
      </c>
      <c r="B2288" s="9" t="s">
        <v>745</v>
      </c>
      <c r="C2288" s="4" t="s">
        <v>715</v>
      </c>
      <c r="E2288" s="4" t="s">
        <v>2628</v>
      </c>
      <c r="F2288" s="4" t="s">
        <v>2628</v>
      </c>
      <c r="G2288" s="14" t="s">
        <v>132</v>
      </c>
      <c r="H2288" s="4" t="s">
        <v>2623</v>
      </c>
      <c r="I2288" s="4" t="s">
        <v>102</v>
      </c>
      <c r="K2288" s="11">
        <v>1</v>
      </c>
    </row>
    <row r="2289" spans="1:26" x14ac:dyDescent="0.25">
      <c r="A2289" s="161" t="str">
        <f t="shared" si="40"/>
        <v>ARMORED_CAR_ED_GERMANY</v>
      </c>
      <c r="B2289" s="9" t="s">
        <v>745</v>
      </c>
      <c r="C2289" s="4" t="s">
        <v>717</v>
      </c>
      <c r="E2289" s="4" t="s">
        <v>2628</v>
      </c>
      <c r="F2289" s="4" t="s">
        <v>2628</v>
      </c>
      <c r="G2289" s="14" t="s">
        <v>132</v>
      </c>
      <c r="H2289" s="4" t="s">
        <v>2622</v>
      </c>
      <c r="I2289" s="4" t="s">
        <v>102</v>
      </c>
      <c r="K2289" s="11">
        <v>1</v>
      </c>
    </row>
    <row r="2290" spans="1:26" x14ac:dyDescent="0.25">
      <c r="A2290" s="161" t="str">
        <f t="shared" si="40"/>
        <v>ARMORED_CAR_ED_MIDEAST</v>
      </c>
      <c r="B2290" s="9" t="s">
        <v>745</v>
      </c>
      <c r="C2290" s="4" t="s">
        <v>690</v>
      </c>
      <c r="E2290" s="4" t="s">
        <v>2628</v>
      </c>
      <c r="F2290" s="4" t="s">
        <v>2628</v>
      </c>
      <c r="G2290" s="14"/>
      <c r="H2290" s="4" t="s">
        <v>2629</v>
      </c>
      <c r="I2290" s="4" t="s">
        <v>102</v>
      </c>
      <c r="K2290" s="11">
        <v>1</v>
      </c>
    </row>
    <row r="2291" spans="1:26" x14ac:dyDescent="0.25">
      <c r="A2291" s="161" t="str">
        <f t="shared" si="40"/>
        <v>ARMORED_CAR_ED_NETHERLANDS</v>
      </c>
      <c r="B2291" s="9" t="s">
        <v>745</v>
      </c>
      <c r="C2291" s="4" t="s">
        <v>730</v>
      </c>
      <c r="E2291" s="4" t="s">
        <v>2628</v>
      </c>
      <c r="F2291" s="4" t="s">
        <v>2628</v>
      </c>
      <c r="G2291" s="14" t="s">
        <v>132</v>
      </c>
      <c r="H2291" s="4" t="s">
        <v>2618</v>
      </c>
      <c r="I2291" s="4" t="s">
        <v>102</v>
      </c>
      <c r="K2291" s="11">
        <v>1</v>
      </c>
    </row>
    <row r="2292" spans="1:26" x14ac:dyDescent="0.25">
      <c r="A2292" s="161" t="str">
        <f t="shared" ref="A2292:A2335" si="41">CONCATENATE(E2292,IF(ISBLANK(C2292),"",CONCATENATE("_",C2292)))</f>
        <v>ARMORED_CAR_ED_MED</v>
      </c>
      <c r="B2292" s="9" t="s">
        <v>745</v>
      </c>
      <c r="C2292" s="4" t="s">
        <v>692</v>
      </c>
      <c r="E2292" s="4" t="s">
        <v>2628</v>
      </c>
      <c r="F2292" s="4" t="s">
        <v>2628</v>
      </c>
      <c r="G2292" s="14"/>
      <c r="H2292" s="4" t="s">
        <v>2621</v>
      </c>
      <c r="I2292" s="4" t="s">
        <v>102</v>
      </c>
      <c r="K2292" s="11">
        <v>1</v>
      </c>
    </row>
    <row r="2293" spans="1:26" x14ac:dyDescent="0.25">
      <c r="A2293" s="161" t="str">
        <f t="shared" si="41"/>
        <v>ARMORED_CAR_ED_GREECE</v>
      </c>
      <c r="B2293" s="9" t="s">
        <v>745</v>
      </c>
      <c r="C2293" s="4" t="s">
        <v>718</v>
      </c>
      <c r="D2293" s="4" t="s">
        <v>692</v>
      </c>
      <c r="E2293" s="4" t="s">
        <v>2628</v>
      </c>
      <c r="F2293" s="4" t="s">
        <v>2628</v>
      </c>
      <c r="G2293" s="14"/>
      <c r="K2293" s="11">
        <v>1</v>
      </c>
    </row>
    <row r="2294" spans="1:26" x14ac:dyDescent="0.25">
      <c r="A2294" s="161" t="str">
        <f t="shared" si="41"/>
        <v>ARMORED_CAR_ED_ROME</v>
      </c>
      <c r="B2294" s="9" t="s">
        <v>745</v>
      </c>
      <c r="C2294" s="4" t="s">
        <v>734</v>
      </c>
      <c r="E2294" s="4" t="s">
        <v>2628</v>
      </c>
      <c r="F2294" s="4" t="s">
        <v>2628</v>
      </c>
      <c r="G2294" s="14" t="s">
        <v>132</v>
      </c>
      <c r="H2294" s="4" t="s">
        <v>2616</v>
      </c>
      <c r="I2294" s="4" t="s">
        <v>102</v>
      </c>
      <c r="K2294" s="11">
        <v>1</v>
      </c>
    </row>
    <row r="2295" spans="1:26" x14ac:dyDescent="0.25">
      <c r="A2295" s="161" t="str">
        <f t="shared" si="41"/>
        <v>ARMORED_CAR_ED_SPAIN</v>
      </c>
      <c r="B2295" s="9" t="s">
        <v>745</v>
      </c>
      <c r="C2295" s="4" t="s">
        <v>738</v>
      </c>
      <c r="E2295" s="4" t="s">
        <v>2628</v>
      </c>
      <c r="F2295" s="4" t="s">
        <v>2628</v>
      </c>
      <c r="G2295" s="14" t="s">
        <v>132</v>
      </c>
      <c r="H2295" s="4" t="s">
        <v>2614</v>
      </c>
      <c r="I2295" s="4" t="s">
        <v>102</v>
      </c>
      <c r="K2295" s="11">
        <v>1</v>
      </c>
    </row>
    <row r="2296" spans="1:26" x14ac:dyDescent="0.25">
      <c r="A2296" s="161" t="str">
        <f t="shared" si="41"/>
        <v>ARMORED_CAR_ED_NORTHAF</v>
      </c>
      <c r="B2296" s="9" t="s">
        <v>745</v>
      </c>
      <c r="C2296" s="4" t="s">
        <v>2009</v>
      </c>
      <c r="D2296" s="4" t="s">
        <v>690</v>
      </c>
      <c r="E2296" s="4" t="s">
        <v>2628</v>
      </c>
      <c r="F2296" s="4" t="s">
        <v>2628</v>
      </c>
      <c r="G2296" s="14"/>
      <c r="K2296" s="11">
        <v>1</v>
      </c>
    </row>
    <row r="2297" spans="1:26" x14ac:dyDescent="0.25">
      <c r="A2297" s="161" t="str">
        <f t="shared" si="41"/>
        <v>ARMORED_CAR_ED_SWEDEN</v>
      </c>
      <c r="B2297" s="9" t="s">
        <v>745</v>
      </c>
      <c r="C2297" s="4" t="s">
        <v>739</v>
      </c>
      <c r="E2297" s="4" t="s">
        <v>2628</v>
      </c>
      <c r="F2297" s="4" t="s">
        <v>2628</v>
      </c>
      <c r="G2297" s="14" t="s">
        <v>132</v>
      </c>
      <c r="H2297" s="4" t="s">
        <v>2613</v>
      </c>
      <c r="I2297" s="4" t="s">
        <v>102</v>
      </c>
      <c r="K2297" s="11">
        <v>1</v>
      </c>
    </row>
    <row r="2298" spans="1:26" x14ac:dyDescent="0.25">
      <c r="A2298" s="161" t="str">
        <f t="shared" si="41"/>
        <v>ARMORED_CAR_ED_OCEAN</v>
      </c>
      <c r="B2298" s="9" t="s">
        <v>745</v>
      </c>
      <c r="C2298" s="4" t="s">
        <v>994</v>
      </c>
      <c r="D2298" s="4" t="s">
        <v>690</v>
      </c>
      <c r="E2298" s="4" t="s">
        <v>2628</v>
      </c>
      <c r="F2298" s="4" t="s">
        <v>2628</v>
      </c>
      <c r="K2298" s="11">
        <v>1</v>
      </c>
    </row>
    <row r="2299" spans="1:26" x14ac:dyDescent="0.25">
      <c r="A2299" s="161" t="str">
        <f t="shared" si="41"/>
        <v>ARMORED_CAR_ED_SAHUL</v>
      </c>
      <c r="B2299" s="9" t="s">
        <v>745</v>
      </c>
      <c r="C2299" s="4" t="s">
        <v>1787</v>
      </c>
      <c r="D2299" s="4" t="s">
        <v>730</v>
      </c>
      <c r="E2299" s="4" t="s">
        <v>2628</v>
      </c>
      <c r="F2299" s="4" t="s">
        <v>2628</v>
      </c>
      <c r="K2299" s="11">
        <v>1</v>
      </c>
    </row>
    <row r="2300" spans="1:26" x14ac:dyDescent="0.25">
      <c r="A2300" s="161" t="str">
        <f t="shared" si="41"/>
        <v>ARMORED_CAR_ED_SOUTHAM</v>
      </c>
      <c r="B2300" s="9" t="s">
        <v>745</v>
      </c>
      <c r="C2300" s="4" t="s">
        <v>691</v>
      </c>
      <c r="D2300" s="4" t="s">
        <v>734</v>
      </c>
      <c r="E2300" s="4" t="s">
        <v>2628</v>
      </c>
      <c r="F2300" s="4" t="s">
        <v>2628</v>
      </c>
      <c r="K2300" s="11">
        <v>1</v>
      </c>
    </row>
    <row r="2301" spans="1:26" x14ac:dyDescent="0.25">
      <c r="A2301" s="161" t="str">
        <f t="shared" si="41"/>
        <v>COLONIST</v>
      </c>
      <c r="B2301" s="9" t="s">
        <v>2639</v>
      </c>
      <c r="E2301" s="4" t="s">
        <v>2639</v>
      </c>
      <c r="F2301" s="4" t="s">
        <v>2648</v>
      </c>
      <c r="I2301" s="4" t="s">
        <v>1933</v>
      </c>
      <c r="K2301" s="11">
        <v>1</v>
      </c>
      <c r="S2301" s="4" t="s">
        <v>1622</v>
      </c>
      <c r="Z2301" s="11">
        <v>1</v>
      </c>
    </row>
    <row r="2302" spans="1:26" x14ac:dyDescent="0.25">
      <c r="A2302" s="161" t="str">
        <f t="shared" si="41"/>
        <v>COLONIST</v>
      </c>
      <c r="B2302" s="9" t="s">
        <v>2639</v>
      </c>
      <c r="E2302" s="4" t="s">
        <v>2639</v>
      </c>
      <c r="F2302" s="4" t="s">
        <v>2649</v>
      </c>
      <c r="I2302" s="4" t="s">
        <v>1933</v>
      </c>
      <c r="K2302" s="11">
        <v>1</v>
      </c>
      <c r="S2302" s="4" t="s">
        <v>1622</v>
      </c>
      <c r="Z2302" s="11">
        <v>0</v>
      </c>
    </row>
    <row r="2303" spans="1:26" x14ac:dyDescent="0.25">
      <c r="A2303" s="161" t="str">
        <f t="shared" si="41"/>
        <v>COLONIST</v>
      </c>
      <c r="B2303" s="9" t="s">
        <v>2639</v>
      </c>
      <c r="E2303" s="4" t="s">
        <v>2639</v>
      </c>
      <c r="F2303" s="4" t="s">
        <v>2650</v>
      </c>
      <c r="I2303" s="4" t="s">
        <v>1933</v>
      </c>
      <c r="K2303" s="11">
        <v>1</v>
      </c>
      <c r="S2303" s="4" t="s">
        <v>1622</v>
      </c>
      <c r="Z2303" s="11">
        <v>0</v>
      </c>
    </row>
    <row r="2304" spans="1:26" x14ac:dyDescent="0.25">
      <c r="A2304" s="161" t="str">
        <f t="shared" si="41"/>
        <v>CORVETTE</v>
      </c>
      <c r="B2304" s="9" t="s">
        <v>1364</v>
      </c>
      <c r="E2304" s="4" t="s">
        <v>2632</v>
      </c>
      <c r="F2304" s="4" t="s">
        <v>2632</v>
      </c>
      <c r="H2304" s="4" t="s">
        <v>31</v>
      </c>
      <c r="I2304" s="4" t="s">
        <v>128</v>
      </c>
      <c r="K2304" s="11">
        <v>1</v>
      </c>
      <c r="Q2304" s="11">
        <v>1</v>
      </c>
      <c r="R2304" s="11" t="s">
        <v>1736</v>
      </c>
      <c r="T2304" s="11">
        <v>2</v>
      </c>
      <c r="U2304" s="11">
        <v>0.115</v>
      </c>
      <c r="V2304" s="4" t="s">
        <v>1699</v>
      </c>
    </row>
    <row r="2305" spans="1:35" x14ac:dyDescent="0.25">
      <c r="A2305" s="161" t="str">
        <f t="shared" si="41"/>
        <v>CUIRASSIER</v>
      </c>
      <c r="B2305" s="9" t="s">
        <v>2633</v>
      </c>
      <c r="E2305" s="4" t="s">
        <v>2633</v>
      </c>
      <c r="F2305" s="4" t="s">
        <v>2633</v>
      </c>
      <c r="H2305" s="4" t="s">
        <v>2163</v>
      </c>
      <c r="I2305" s="4" t="s">
        <v>1811</v>
      </c>
      <c r="K2305" s="11">
        <v>1</v>
      </c>
      <c r="Q2305" s="11" t="s">
        <v>1694</v>
      </c>
      <c r="R2305" s="11" t="s">
        <v>1694</v>
      </c>
      <c r="S2305" s="4" t="s">
        <v>1694</v>
      </c>
      <c r="Z2305" s="11">
        <v>1</v>
      </c>
    </row>
    <row r="2306" spans="1:35" x14ac:dyDescent="0.25">
      <c r="A2306" s="161" t="str">
        <f t="shared" si="41"/>
        <v>CRUISER</v>
      </c>
      <c r="B2306" s="9" t="s">
        <v>2630</v>
      </c>
      <c r="E2306" s="4" t="s">
        <v>2630</v>
      </c>
      <c r="F2306" s="4" t="s">
        <v>2630</v>
      </c>
      <c r="H2306" s="4" t="s">
        <v>2175</v>
      </c>
      <c r="I2306" s="4" t="s">
        <v>1933</v>
      </c>
      <c r="K2306" s="11">
        <v>1</v>
      </c>
      <c r="Q2306" s="11">
        <v>1</v>
      </c>
      <c r="R2306" s="11">
        <v>0.09</v>
      </c>
      <c r="U2306" s="11">
        <v>0.105</v>
      </c>
    </row>
    <row r="2307" spans="1:35" x14ac:dyDescent="0.25">
      <c r="A2307" s="161" t="str">
        <f t="shared" si="41"/>
        <v>EXPLORER_CBP</v>
      </c>
      <c r="B2307" s="9" t="s">
        <v>1338</v>
      </c>
      <c r="E2307" s="4" t="s">
        <v>2640</v>
      </c>
      <c r="F2307" s="4" t="s">
        <v>2652</v>
      </c>
      <c r="G2307" s="4" t="s">
        <v>1968</v>
      </c>
      <c r="H2307" s="4" t="s">
        <v>2070</v>
      </c>
      <c r="I2307" s="4" t="s">
        <v>2071</v>
      </c>
      <c r="K2307" s="11">
        <v>1</v>
      </c>
      <c r="Q2307" s="11">
        <v>1</v>
      </c>
      <c r="T2307" s="11">
        <v>1</v>
      </c>
      <c r="Z2307" s="11">
        <v>0</v>
      </c>
      <c r="AF2307" s="11">
        <v>1</v>
      </c>
      <c r="AI2307" s="11">
        <v>1</v>
      </c>
    </row>
    <row r="2308" spans="1:35" x14ac:dyDescent="0.25">
      <c r="A2308" s="161" t="str">
        <f t="shared" si="41"/>
        <v>EXPLORER_CBP</v>
      </c>
      <c r="B2308" s="9" t="s">
        <v>1338</v>
      </c>
      <c r="E2308" s="4" t="s">
        <v>2640</v>
      </c>
      <c r="F2308" s="4" t="s">
        <v>2652</v>
      </c>
      <c r="G2308" s="4" t="s">
        <v>2168</v>
      </c>
      <c r="H2308" s="4" t="s">
        <v>2072</v>
      </c>
      <c r="I2308" s="4" t="s">
        <v>2071</v>
      </c>
      <c r="K2308" s="11">
        <v>1</v>
      </c>
      <c r="Q2308" s="11">
        <v>1</v>
      </c>
      <c r="T2308" s="11">
        <v>1</v>
      </c>
      <c r="Z2308" s="11">
        <v>0</v>
      </c>
      <c r="AF2308" s="11">
        <v>1</v>
      </c>
      <c r="AI2308" s="11">
        <v>1</v>
      </c>
    </row>
    <row r="2309" spans="1:35" x14ac:dyDescent="0.25">
      <c r="A2309" s="161" t="str">
        <f t="shared" si="41"/>
        <v>EXPLORER_CBP</v>
      </c>
      <c r="B2309" s="9" t="s">
        <v>1338</v>
      </c>
      <c r="E2309" s="4" t="s">
        <v>2640</v>
      </c>
      <c r="F2309" s="4" t="s">
        <v>2652</v>
      </c>
      <c r="G2309" s="4" t="s">
        <v>2169</v>
      </c>
      <c r="H2309" s="4" t="s">
        <v>2073</v>
      </c>
      <c r="I2309" s="4" t="s">
        <v>2071</v>
      </c>
      <c r="K2309" s="11">
        <v>1</v>
      </c>
      <c r="Q2309" s="11">
        <v>1</v>
      </c>
      <c r="T2309" s="11">
        <v>1</v>
      </c>
      <c r="Z2309" s="11">
        <v>1</v>
      </c>
      <c r="AF2309" s="11">
        <v>1</v>
      </c>
      <c r="AI2309" s="11">
        <v>2</v>
      </c>
    </row>
    <row r="2310" spans="1:35" x14ac:dyDescent="0.25">
      <c r="A2310" s="161" t="str">
        <f t="shared" si="41"/>
        <v>EXPLORER_CBP</v>
      </c>
      <c r="B2310" s="9" t="s">
        <v>1338</v>
      </c>
      <c r="E2310" s="4" t="s">
        <v>2640</v>
      </c>
      <c r="F2310" s="4" t="s">
        <v>2652</v>
      </c>
      <c r="G2310" s="4" t="s">
        <v>1968</v>
      </c>
      <c r="H2310" s="4" t="s">
        <v>2070</v>
      </c>
      <c r="I2310" s="4" t="s">
        <v>2071</v>
      </c>
      <c r="K2310" s="11">
        <v>1</v>
      </c>
      <c r="Q2310" s="11">
        <v>1</v>
      </c>
      <c r="T2310" s="11">
        <v>1</v>
      </c>
      <c r="Z2310" s="11">
        <v>0</v>
      </c>
      <c r="AF2310" s="11">
        <v>0</v>
      </c>
      <c r="AI2310" s="11">
        <v>1</v>
      </c>
    </row>
    <row r="2311" spans="1:35" x14ac:dyDescent="0.25">
      <c r="A2311" s="161" t="str">
        <f t="shared" si="41"/>
        <v>EXPLORER_CBP</v>
      </c>
      <c r="B2311" s="9" t="s">
        <v>1338</v>
      </c>
      <c r="E2311" s="4" t="s">
        <v>2640</v>
      </c>
      <c r="F2311" s="4" t="s">
        <v>2652</v>
      </c>
      <c r="G2311" s="4" t="s">
        <v>2168</v>
      </c>
      <c r="H2311" s="4" t="s">
        <v>2072</v>
      </c>
      <c r="I2311" s="4" t="s">
        <v>2071</v>
      </c>
      <c r="K2311" s="11">
        <v>1</v>
      </c>
      <c r="Q2311" s="11">
        <v>1</v>
      </c>
      <c r="T2311" s="11">
        <v>1</v>
      </c>
      <c r="Z2311" s="11">
        <v>0</v>
      </c>
      <c r="AF2311" s="11">
        <v>0</v>
      </c>
      <c r="AI2311" s="11">
        <v>0</v>
      </c>
    </row>
    <row r="2312" spans="1:35" x14ac:dyDescent="0.25">
      <c r="A2312" s="161" t="str">
        <f t="shared" si="41"/>
        <v>EXPLORER_CBP</v>
      </c>
      <c r="B2312" s="9" t="s">
        <v>1338</v>
      </c>
      <c r="E2312" s="4" t="s">
        <v>2640</v>
      </c>
      <c r="F2312" s="4" t="s">
        <v>2652</v>
      </c>
      <c r="G2312" s="4" t="s">
        <v>2169</v>
      </c>
      <c r="H2312" s="4" t="s">
        <v>2073</v>
      </c>
      <c r="I2312" s="4" t="s">
        <v>2071</v>
      </c>
      <c r="K2312" s="11">
        <v>1</v>
      </c>
      <c r="Q2312" s="11">
        <v>1</v>
      </c>
      <c r="T2312" s="11">
        <v>1</v>
      </c>
      <c r="Z2312" s="11">
        <v>0</v>
      </c>
      <c r="AF2312" s="11">
        <v>0</v>
      </c>
      <c r="AI2312" s="11">
        <v>0</v>
      </c>
    </row>
    <row r="2313" spans="1:35" x14ac:dyDescent="0.25">
      <c r="A2313" s="161" t="str">
        <f t="shared" si="41"/>
        <v>FIELD_GUN</v>
      </c>
      <c r="B2313" s="9" t="s">
        <v>2634</v>
      </c>
      <c r="E2313" s="4" t="s">
        <v>2634</v>
      </c>
      <c r="F2313" s="4" t="s">
        <v>2634</v>
      </c>
      <c r="H2313" s="4" t="s">
        <v>2643</v>
      </c>
      <c r="I2313" s="4" t="s">
        <v>1933</v>
      </c>
      <c r="K2313" s="11">
        <v>1</v>
      </c>
      <c r="Q2313" s="11">
        <v>3</v>
      </c>
      <c r="R2313" s="11" t="s">
        <v>1694</v>
      </c>
      <c r="S2313" s="4" t="s">
        <v>1622</v>
      </c>
      <c r="Z2313" s="11">
        <v>1</v>
      </c>
    </row>
    <row r="2314" spans="1:35" x14ac:dyDescent="0.25">
      <c r="A2314" s="161" t="str">
        <f t="shared" si="41"/>
        <v>GUERILLA</v>
      </c>
      <c r="B2314" s="9" t="s">
        <v>2636</v>
      </c>
      <c r="E2314" s="4" t="s">
        <v>2636</v>
      </c>
      <c r="F2314" s="4" t="s">
        <v>2636</v>
      </c>
      <c r="H2314" s="4" t="s">
        <v>494</v>
      </c>
      <c r="I2314" s="4" t="s">
        <v>122</v>
      </c>
      <c r="K2314" s="11">
        <v>1</v>
      </c>
      <c r="Q2314" s="11" t="s">
        <v>1736</v>
      </c>
      <c r="R2314" s="11" t="s">
        <v>1736</v>
      </c>
      <c r="S2314" s="4" t="s">
        <v>1619</v>
      </c>
      <c r="T2314" s="11">
        <v>18</v>
      </c>
      <c r="U2314" s="11" t="s">
        <v>1736</v>
      </c>
      <c r="W2314" s="11" t="s">
        <v>3</v>
      </c>
      <c r="X2314" s="11" t="s">
        <v>3</v>
      </c>
      <c r="Z2314" s="11">
        <v>1</v>
      </c>
      <c r="AD2314" s="11" t="s">
        <v>3</v>
      </c>
      <c r="AF2314" s="11" t="s">
        <v>1736</v>
      </c>
      <c r="AI2314" s="11" t="s">
        <v>1736</v>
      </c>
    </row>
    <row r="2315" spans="1:35" x14ac:dyDescent="0.25">
      <c r="A2315" s="161" t="str">
        <f t="shared" si="41"/>
        <v>HEAVY_SKIRMISH</v>
      </c>
      <c r="B2315" s="9" t="s">
        <v>2645</v>
      </c>
      <c r="E2315" s="4" t="s">
        <v>2635</v>
      </c>
      <c r="F2315" s="4" t="s">
        <v>2635</v>
      </c>
      <c r="H2315" s="4" t="s">
        <v>2642</v>
      </c>
      <c r="I2315" s="4" t="s">
        <v>102</v>
      </c>
      <c r="K2315" s="11">
        <v>1</v>
      </c>
      <c r="Q2315" s="11" t="s">
        <v>1694</v>
      </c>
      <c r="R2315" s="11" t="s">
        <v>1694</v>
      </c>
      <c r="S2315" s="4" t="s">
        <v>1694</v>
      </c>
      <c r="Z2315" s="11">
        <v>1</v>
      </c>
    </row>
    <row r="2316" spans="1:35" x14ac:dyDescent="0.25">
      <c r="A2316" s="161" t="str">
        <f t="shared" si="41"/>
        <v>MERC</v>
      </c>
      <c r="B2316" s="9" t="s">
        <v>2636</v>
      </c>
      <c r="E2316" s="4" t="s">
        <v>2637</v>
      </c>
      <c r="F2316" s="4" t="s">
        <v>2638</v>
      </c>
      <c r="H2316" s="4" t="s">
        <v>1945</v>
      </c>
      <c r="I2316" s="4" t="s">
        <v>1249</v>
      </c>
      <c r="K2316" s="11">
        <v>1</v>
      </c>
      <c r="Q2316" s="11" t="s">
        <v>1736</v>
      </c>
      <c r="R2316" s="11" t="s">
        <v>1736</v>
      </c>
      <c r="S2316" s="4" t="s">
        <v>1619</v>
      </c>
      <c r="T2316" s="11">
        <v>18</v>
      </c>
      <c r="U2316" s="11" t="s">
        <v>1736</v>
      </c>
      <c r="W2316" s="11" t="s">
        <v>3</v>
      </c>
      <c r="X2316" s="11" t="s">
        <v>3</v>
      </c>
      <c r="Z2316" s="11">
        <v>0</v>
      </c>
      <c r="AD2316" s="11" t="s">
        <v>3</v>
      </c>
      <c r="AF2316" s="11" t="s">
        <v>1736</v>
      </c>
      <c r="AI2316" s="11" t="s">
        <v>1736</v>
      </c>
    </row>
    <row r="2317" spans="1:35" x14ac:dyDescent="0.25">
      <c r="A2317" s="161" t="str">
        <f t="shared" si="41"/>
        <v>PIONEER</v>
      </c>
      <c r="B2317" s="9" t="s">
        <v>2641</v>
      </c>
      <c r="E2317" s="4" t="s">
        <v>2641</v>
      </c>
      <c r="F2317" s="4" t="s">
        <v>2641</v>
      </c>
      <c r="G2317" s="4" t="s">
        <v>1968</v>
      </c>
      <c r="H2317" s="4" t="s">
        <v>1433</v>
      </c>
      <c r="I2317" s="4" t="s">
        <v>128</v>
      </c>
      <c r="K2317" s="11">
        <v>1</v>
      </c>
      <c r="L2317" s="4" t="s">
        <v>1707</v>
      </c>
      <c r="Q2317" s="11">
        <v>1</v>
      </c>
      <c r="R2317" s="11" t="s">
        <v>1694</v>
      </c>
      <c r="S2317" s="4" t="s">
        <v>1609</v>
      </c>
      <c r="U2317" s="11" t="s">
        <v>1736</v>
      </c>
      <c r="X2317" s="11" t="s">
        <v>3</v>
      </c>
      <c r="Z2317" s="11">
        <v>0</v>
      </c>
      <c r="AD2317" s="11" t="s">
        <v>3</v>
      </c>
      <c r="AF2317" s="11">
        <v>0</v>
      </c>
    </row>
    <row r="2318" spans="1:35" x14ac:dyDescent="0.25">
      <c r="A2318" s="161" t="str">
        <f t="shared" si="41"/>
        <v>PIONEER</v>
      </c>
      <c r="B2318" s="9" t="s">
        <v>2641</v>
      </c>
      <c r="E2318" s="4" t="s">
        <v>2641</v>
      </c>
      <c r="F2318" s="4" t="s">
        <v>2641</v>
      </c>
      <c r="G2318" s="4" t="s">
        <v>2168</v>
      </c>
      <c r="H2318" s="4" t="s">
        <v>1434</v>
      </c>
      <c r="I2318" s="4" t="s">
        <v>128</v>
      </c>
      <c r="K2318" s="11">
        <v>1</v>
      </c>
      <c r="L2318" s="4" t="s">
        <v>1707</v>
      </c>
      <c r="Q2318" s="11">
        <v>1</v>
      </c>
      <c r="R2318" s="11" t="s">
        <v>1694</v>
      </c>
      <c r="S2318" s="4" t="s">
        <v>1609</v>
      </c>
      <c r="U2318" s="11" t="s">
        <v>1736</v>
      </c>
      <c r="X2318" s="11" t="s">
        <v>3</v>
      </c>
      <c r="Z2318" s="11">
        <v>0</v>
      </c>
      <c r="AD2318" s="11" t="s">
        <v>3</v>
      </c>
      <c r="AF2318" s="11">
        <v>0</v>
      </c>
    </row>
    <row r="2319" spans="1:35" x14ac:dyDescent="0.25">
      <c r="A2319" s="161" t="str">
        <f t="shared" si="41"/>
        <v>PIONEER</v>
      </c>
      <c r="B2319" s="9" t="s">
        <v>2641</v>
      </c>
      <c r="E2319" s="4" t="s">
        <v>2641</v>
      </c>
      <c r="F2319" s="4" t="s">
        <v>2641</v>
      </c>
      <c r="G2319" s="4" t="s">
        <v>2169</v>
      </c>
      <c r="H2319" s="4" t="s">
        <v>1433</v>
      </c>
      <c r="I2319" s="4" t="s">
        <v>128</v>
      </c>
      <c r="K2319" s="11">
        <v>1</v>
      </c>
      <c r="Q2319" s="11">
        <v>1</v>
      </c>
      <c r="R2319" s="11" t="s">
        <v>1694</v>
      </c>
      <c r="S2319" s="4" t="s">
        <v>1609</v>
      </c>
      <c r="U2319" s="11" t="s">
        <v>1736</v>
      </c>
      <c r="X2319" s="11" t="s">
        <v>3</v>
      </c>
      <c r="Z2319" s="11">
        <v>0</v>
      </c>
    </row>
    <row r="2320" spans="1:35" x14ac:dyDescent="0.25">
      <c r="A2320" s="161" t="str">
        <f t="shared" si="41"/>
        <v>PIONEER</v>
      </c>
      <c r="B2320" s="9" t="s">
        <v>2641</v>
      </c>
      <c r="E2320" s="4" t="s">
        <v>2641</v>
      </c>
      <c r="F2320" s="4" t="s">
        <v>2641</v>
      </c>
      <c r="G2320" s="4" t="s">
        <v>2170</v>
      </c>
      <c r="H2320" s="4" t="s">
        <v>1084</v>
      </c>
      <c r="I2320" s="4" t="s">
        <v>128</v>
      </c>
      <c r="K2320" s="11">
        <v>1</v>
      </c>
      <c r="Q2320" s="11">
        <v>1</v>
      </c>
      <c r="R2320" s="11" t="s">
        <v>1694</v>
      </c>
      <c r="S2320" s="4" t="s">
        <v>1609</v>
      </c>
      <c r="U2320" s="11" t="s">
        <v>1694</v>
      </c>
      <c r="X2320" s="11" t="s">
        <v>3</v>
      </c>
      <c r="Z2320" s="11">
        <v>1</v>
      </c>
    </row>
    <row r="2321" spans="1:43" x14ac:dyDescent="0.25">
      <c r="A2321" s="161" t="str">
        <f t="shared" si="41"/>
        <v>PIONEER</v>
      </c>
      <c r="B2321" s="9" t="s">
        <v>2641</v>
      </c>
      <c r="E2321" s="4" t="s">
        <v>2641</v>
      </c>
      <c r="F2321" s="4" t="s">
        <v>2641</v>
      </c>
      <c r="G2321" s="4" t="s">
        <v>2656</v>
      </c>
      <c r="H2321" s="4" t="s">
        <v>1477</v>
      </c>
      <c r="I2321" s="4" t="s">
        <v>128</v>
      </c>
      <c r="K2321" s="11">
        <v>1</v>
      </c>
      <c r="L2321" s="4" t="s">
        <v>1709</v>
      </c>
      <c r="Q2321" s="11">
        <v>1</v>
      </c>
      <c r="R2321" s="11" t="s">
        <v>1694</v>
      </c>
      <c r="S2321" s="4" t="s">
        <v>1609</v>
      </c>
      <c r="U2321" s="11" t="s">
        <v>1736</v>
      </c>
      <c r="X2321" s="11" t="s">
        <v>3</v>
      </c>
      <c r="Z2321" s="11">
        <v>0</v>
      </c>
      <c r="AD2321" s="11" t="s">
        <v>3</v>
      </c>
      <c r="AF2321" s="11">
        <v>1</v>
      </c>
    </row>
    <row r="2322" spans="1:43" x14ac:dyDescent="0.25">
      <c r="A2322" s="161" t="str">
        <f t="shared" si="41"/>
        <v>PIONEER</v>
      </c>
      <c r="B2322" s="9" t="s">
        <v>2641</v>
      </c>
      <c r="E2322" s="4" t="s">
        <v>2641</v>
      </c>
      <c r="F2322" s="4" t="s">
        <v>2641</v>
      </c>
      <c r="G2322" s="4" t="s">
        <v>2659</v>
      </c>
      <c r="H2322" s="1" t="s">
        <v>1415</v>
      </c>
      <c r="I2322" s="1" t="s">
        <v>128</v>
      </c>
      <c r="J2322" s="1"/>
      <c r="K2322" s="9">
        <v>1</v>
      </c>
      <c r="L2322" s="1" t="s">
        <v>1707</v>
      </c>
      <c r="M2322" s="1"/>
      <c r="N2322" s="1"/>
      <c r="O2322" s="1"/>
      <c r="P2322" s="1"/>
      <c r="Q2322" s="1">
        <v>1</v>
      </c>
      <c r="R2322" s="1">
        <v>0.11799999999999999</v>
      </c>
      <c r="S2322" s="1" t="s">
        <v>1609</v>
      </c>
      <c r="T2322" s="9"/>
      <c r="U2322" s="1" t="s">
        <v>1694</v>
      </c>
      <c r="V2322" s="1"/>
      <c r="W2322" s="1"/>
      <c r="X2322" s="1" t="s">
        <v>3</v>
      </c>
      <c r="Y2322" s="1"/>
      <c r="Z2322" s="1">
        <v>0</v>
      </c>
      <c r="AA2322" s="1"/>
      <c r="AB2322" s="1"/>
      <c r="AC2322" s="1"/>
      <c r="AD2322" s="1" t="s">
        <v>3</v>
      </c>
      <c r="AE2322" s="1"/>
      <c r="AF2322" s="1">
        <v>1</v>
      </c>
      <c r="AG2322" s="1"/>
      <c r="AH2322" s="1"/>
      <c r="AI2322" s="1"/>
      <c r="AJ2322" s="1"/>
      <c r="AK2322" s="1"/>
      <c r="AL2322" s="1"/>
    </row>
    <row r="2323" spans="1:43" x14ac:dyDescent="0.25">
      <c r="A2323" s="161" t="str">
        <f t="shared" si="41"/>
        <v>PIONEER</v>
      </c>
      <c r="B2323" s="9" t="s">
        <v>2641</v>
      </c>
      <c r="E2323" s="4" t="s">
        <v>2641</v>
      </c>
      <c r="F2323" s="4" t="s">
        <v>2641</v>
      </c>
      <c r="G2323" s="4" t="s">
        <v>2657</v>
      </c>
      <c r="H2323" s="4" t="s">
        <v>1416</v>
      </c>
      <c r="I2323" s="4" t="s">
        <v>128</v>
      </c>
      <c r="K2323" s="11">
        <v>1</v>
      </c>
      <c r="L2323" s="4" t="s">
        <v>1707</v>
      </c>
      <c r="Q2323" s="11">
        <v>1</v>
      </c>
      <c r="R2323" s="11">
        <v>0.11799999999999999</v>
      </c>
      <c r="S2323" s="4" t="s">
        <v>1609</v>
      </c>
      <c r="U2323" s="11" t="s">
        <v>1694</v>
      </c>
      <c r="X2323" s="11" t="s">
        <v>3</v>
      </c>
      <c r="Z2323" s="11">
        <v>0</v>
      </c>
      <c r="AD2323" s="11" t="s">
        <v>3</v>
      </c>
      <c r="AF2323" s="11">
        <v>0</v>
      </c>
    </row>
    <row r="2324" spans="1:43" x14ac:dyDescent="0.25">
      <c r="A2324" s="161" t="str">
        <f t="shared" si="41"/>
        <v>PIONEER</v>
      </c>
      <c r="B2324" s="9" t="s">
        <v>2641</v>
      </c>
      <c r="E2324" s="4" t="s">
        <v>2641</v>
      </c>
      <c r="F2324" s="4" t="s">
        <v>2641</v>
      </c>
      <c r="G2324" s="4" t="s">
        <v>2658</v>
      </c>
      <c r="H2324" s="4" t="s">
        <v>1478</v>
      </c>
      <c r="I2324" s="4" t="s">
        <v>128</v>
      </c>
      <c r="K2324" s="11">
        <v>1</v>
      </c>
      <c r="L2324" s="4" t="s">
        <v>1709</v>
      </c>
      <c r="Q2324" s="11">
        <v>1</v>
      </c>
      <c r="R2324" s="11" t="s">
        <v>1694</v>
      </c>
      <c r="S2324" s="4" t="s">
        <v>1609</v>
      </c>
      <c r="U2324" s="11" t="s">
        <v>1736</v>
      </c>
      <c r="X2324" s="11" t="s">
        <v>3</v>
      </c>
      <c r="Z2324" s="11">
        <v>0</v>
      </c>
      <c r="AD2324" s="11" t="s">
        <v>3</v>
      </c>
      <c r="AF2324" s="11">
        <v>0</v>
      </c>
    </row>
    <row r="2325" spans="1:43" x14ac:dyDescent="0.25">
      <c r="A2325" s="161" t="str">
        <f t="shared" si="41"/>
        <v>VOLLEY_GUN</v>
      </c>
      <c r="B2325" s="9" t="s">
        <v>2631</v>
      </c>
      <c r="E2325" s="4" t="s">
        <v>2631</v>
      </c>
      <c r="F2325" s="4" t="s">
        <v>2631</v>
      </c>
      <c r="H2325" s="4" t="s">
        <v>2644</v>
      </c>
      <c r="I2325" s="4" t="s">
        <v>1933</v>
      </c>
      <c r="K2325" s="11">
        <v>1</v>
      </c>
      <c r="Q2325" s="11">
        <v>3</v>
      </c>
      <c r="R2325" s="11" t="s">
        <v>1694</v>
      </c>
      <c r="S2325" s="4" t="s">
        <v>1610</v>
      </c>
      <c r="Z2325" s="11">
        <v>1</v>
      </c>
    </row>
    <row r="2326" spans="1:43" x14ac:dyDescent="0.25">
      <c r="A2326" s="161" t="str">
        <f t="shared" si="41"/>
        <v>SMOKEY_STEAM_AIRSHIP_LEVEL_1</v>
      </c>
      <c r="B2326" s="9" t="s">
        <v>2646</v>
      </c>
      <c r="E2326" s="4" t="s">
        <v>1375</v>
      </c>
      <c r="F2326" s="4" t="s">
        <v>1378</v>
      </c>
      <c r="H2326" s="4" t="s">
        <v>1520</v>
      </c>
      <c r="I2326" s="4" t="s">
        <v>128</v>
      </c>
      <c r="K2326" s="11">
        <v>1</v>
      </c>
      <c r="L2326" s="4" t="s">
        <v>1708</v>
      </c>
      <c r="N2326" s="4" t="s">
        <v>1725</v>
      </c>
      <c r="Q2326" s="11">
        <v>2</v>
      </c>
      <c r="R2326" s="11">
        <v>0.21</v>
      </c>
      <c r="S2326" s="4" t="s">
        <v>1620</v>
      </c>
      <c r="W2326" s="11" t="s">
        <v>3</v>
      </c>
      <c r="X2326" s="11" t="s">
        <v>3</v>
      </c>
      <c r="Z2326" s="11">
        <v>1</v>
      </c>
      <c r="AD2326" s="11" t="s">
        <v>3</v>
      </c>
    </row>
    <row r="2327" spans="1:43" x14ac:dyDescent="0.25">
      <c r="A2327" s="161" t="str">
        <f t="shared" si="41"/>
        <v>ZEPPELIN_ED</v>
      </c>
      <c r="B2327" s="9" t="s">
        <v>2646</v>
      </c>
      <c r="E2327" s="4" t="s">
        <v>2647</v>
      </c>
      <c r="F2327" s="4" t="s">
        <v>2647</v>
      </c>
      <c r="H2327" s="4" t="s">
        <v>2651</v>
      </c>
      <c r="I2327" s="4" t="s">
        <v>1933</v>
      </c>
      <c r="K2327" s="11">
        <v>1</v>
      </c>
      <c r="Q2327" s="11">
        <v>2</v>
      </c>
      <c r="Z2327" s="11">
        <v>1</v>
      </c>
    </row>
    <row r="2328" spans="1:43" x14ac:dyDescent="0.25">
      <c r="A2328" s="161" t="str">
        <f t="shared" si="41"/>
        <v>EMISSARY</v>
      </c>
      <c r="B2328" s="9" t="s">
        <v>2596</v>
      </c>
      <c r="E2328" s="4" t="s">
        <v>2596</v>
      </c>
      <c r="F2328" s="4" t="s">
        <v>2596</v>
      </c>
      <c r="H2328" s="4" t="s">
        <v>1509</v>
      </c>
      <c r="I2328" s="4" t="s">
        <v>128</v>
      </c>
      <c r="K2328" s="7">
        <v>1</v>
      </c>
      <c r="Q2328" s="7">
        <v>1</v>
      </c>
      <c r="R2328" s="6">
        <v>0.15</v>
      </c>
      <c r="S2328" s="13" t="s">
        <v>1619</v>
      </c>
      <c r="T2328" s="6"/>
      <c r="U2328" s="7"/>
      <c r="V2328" s="5"/>
      <c r="W2328" s="6"/>
      <c r="X2328" s="6" t="s">
        <v>3</v>
      </c>
      <c r="Y2328" s="5"/>
      <c r="Z2328" s="7"/>
      <c r="AA2328" s="6"/>
      <c r="AB2328" s="5"/>
      <c r="AC2328" s="6"/>
      <c r="AD2328" s="6" t="s">
        <v>3</v>
      </c>
      <c r="AE2328" s="5"/>
      <c r="AF2328" s="7"/>
      <c r="AG2328" s="6"/>
      <c r="AH2328" s="5"/>
      <c r="AI2328" s="6"/>
      <c r="AJ2328" s="6"/>
      <c r="AK2328" s="5"/>
      <c r="AL2328" s="5"/>
      <c r="AM2328" s="5"/>
      <c r="AN2328" s="5"/>
      <c r="AO2328" s="5"/>
      <c r="AP2328" s="5"/>
      <c r="AQ2328" s="5"/>
    </row>
    <row r="2329" spans="1:43" x14ac:dyDescent="0.25">
      <c r="A2329" s="161" t="str">
        <f t="shared" si="41"/>
        <v>ENVOY</v>
      </c>
      <c r="B2329" s="9" t="s">
        <v>2597</v>
      </c>
      <c r="E2329" s="4" t="s">
        <v>2597</v>
      </c>
      <c r="F2329" s="4" t="s">
        <v>2597</v>
      </c>
      <c r="H2329" s="4" t="s">
        <v>1492</v>
      </c>
      <c r="I2329" s="4" t="s">
        <v>128</v>
      </c>
      <c r="K2329" s="7">
        <v>1</v>
      </c>
      <c r="Q2329" s="7">
        <v>1</v>
      </c>
      <c r="R2329" s="6" t="s">
        <v>1736</v>
      </c>
      <c r="S2329" s="13" t="s">
        <v>1619</v>
      </c>
      <c r="T2329" s="6"/>
      <c r="U2329" s="7" t="s">
        <v>1736</v>
      </c>
      <c r="V2329" s="5"/>
      <c r="W2329" s="6"/>
      <c r="X2329" s="6" t="s">
        <v>3</v>
      </c>
      <c r="Y2329" s="5"/>
      <c r="Z2329" s="7"/>
      <c r="AA2329" s="6"/>
      <c r="AB2329" s="5"/>
      <c r="AC2329" s="6"/>
      <c r="AD2329" s="6" t="s">
        <v>3</v>
      </c>
      <c r="AE2329" s="5"/>
      <c r="AF2329" s="7"/>
      <c r="AG2329" s="6"/>
      <c r="AH2329" s="5"/>
      <c r="AI2329" s="6"/>
      <c r="AJ2329" s="6"/>
      <c r="AK2329" s="5"/>
      <c r="AL2329" s="5"/>
      <c r="AM2329" s="5"/>
      <c r="AN2329" s="5"/>
      <c r="AO2329" s="5"/>
      <c r="AP2329" s="5"/>
      <c r="AQ2329" s="5"/>
    </row>
    <row r="2330" spans="1:43" x14ac:dyDescent="0.25">
      <c r="A2330" s="161" t="str">
        <f t="shared" si="41"/>
        <v>DIPLOMAT</v>
      </c>
      <c r="B2330" s="9" t="s">
        <v>2598</v>
      </c>
      <c r="E2330" s="4" t="s">
        <v>2598</v>
      </c>
      <c r="F2330" s="4" t="s">
        <v>2598</v>
      </c>
      <c r="H2330" s="4" t="s">
        <v>1433</v>
      </c>
      <c r="I2330" s="4" t="s">
        <v>128</v>
      </c>
      <c r="K2330" s="7">
        <v>1</v>
      </c>
      <c r="Q2330" s="7">
        <v>1</v>
      </c>
      <c r="R2330" s="6" t="s">
        <v>1694</v>
      </c>
      <c r="S2330" s="13" t="s">
        <v>1619</v>
      </c>
      <c r="T2330" s="6"/>
      <c r="U2330" s="7" t="s">
        <v>1736</v>
      </c>
      <c r="V2330" s="5"/>
      <c r="W2330" s="6"/>
      <c r="X2330" s="6" t="s">
        <v>3</v>
      </c>
      <c r="Y2330" s="5"/>
      <c r="Z2330" s="7"/>
      <c r="AA2330" s="6"/>
      <c r="AB2330" s="5"/>
      <c r="AC2330" s="6"/>
      <c r="AD2330" s="6" t="s">
        <v>3</v>
      </c>
      <c r="AE2330" s="5"/>
      <c r="AF2330" s="7"/>
      <c r="AG2330" s="6"/>
      <c r="AH2330" s="5"/>
      <c r="AI2330" s="6"/>
      <c r="AJ2330" s="6"/>
      <c r="AK2330" s="5"/>
      <c r="AL2330" s="5"/>
      <c r="AM2330" s="5"/>
      <c r="AN2330" s="5"/>
      <c r="AO2330" s="5"/>
      <c r="AP2330" s="5"/>
      <c r="AQ2330" s="5"/>
    </row>
    <row r="2331" spans="1:43" x14ac:dyDescent="0.25">
      <c r="A2331" s="161" t="str">
        <f t="shared" si="41"/>
        <v>AMBASSADOR</v>
      </c>
      <c r="B2331" s="9" t="s">
        <v>2599</v>
      </c>
      <c r="E2331" s="4" t="s">
        <v>2599</v>
      </c>
      <c r="F2331" s="4" t="s">
        <v>2599</v>
      </c>
      <c r="H2331" s="4" t="s">
        <v>1395</v>
      </c>
      <c r="I2331" s="4" t="s">
        <v>128</v>
      </c>
      <c r="K2331" s="7">
        <v>1</v>
      </c>
      <c r="Q2331" s="7">
        <v>1</v>
      </c>
      <c r="R2331" s="6" t="s">
        <v>1694</v>
      </c>
      <c r="S2331" s="13" t="s">
        <v>1619</v>
      </c>
      <c r="T2331" s="6"/>
      <c r="U2331" s="7" t="s">
        <v>1736</v>
      </c>
      <c r="V2331" s="5"/>
      <c r="W2331" s="6"/>
      <c r="X2331" s="6" t="s">
        <v>3</v>
      </c>
      <c r="Y2331" s="5"/>
      <c r="Z2331" s="7"/>
      <c r="AA2331" s="6"/>
      <c r="AB2331" s="5"/>
      <c r="AC2331" s="6"/>
      <c r="AD2331" s="6" t="s">
        <v>3</v>
      </c>
      <c r="AE2331" s="5"/>
      <c r="AF2331" s="7"/>
      <c r="AG2331" s="6"/>
      <c r="AH2331" s="5"/>
      <c r="AI2331" s="6"/>
      <c r="AJ2331" s="6"/>
      <c r="AK2331" s="5"/>
      <c r="AL2331" s="5"/>
      <c r="AM2331" s="5"/>
      <c r="AN2331" s="5"/>
      <c r="AO2331" s="5"/>
      <c r="AP2331" s="5"/>
      <c r="AQ2331" s="5"/>
    </row>
    <row r="2332" spans="1:43" x14ac:dyDescent="0.25">
      <c r="A2332" s="161" t="str">
        <f t="shared" si="41"/>
        <v>GREAT_DIPLOMAT</v>
      </c>
      <c r="B2332" s="9" t="s">
        <v>2653</v>
      </c>
      <c r="E2332" s="4" t="s">
        <v>2653</v>
      </c>
      <c r="F2332" s="4" t="s">
        <v>2653</v>
      </c>
      <c r="H2332" s="4" t="s">
        <v>1091</v>
      </c>
      <c r="I2332" s="4" t="s">
        <v>128</v>
      </c>
      <c r="K2332" s="7">
        <v>1</v>
      </c>
      <c r="L2332" s="4" t="s">
        <v>1707</v>
      </c>
      <c r="Q2332" s="7">
        <v>1</v>
      </c>
      <c r="R2332" s="6" t="s">
        <v>1694</v>
      </c>
      <c r="S2332" s="13" t="s">
        <v>1619</v>
      </c>
      <c r="T2332" s="6"/>
      <c r="U2332" s="7" t="s">
        <v>1736</v>
      </c>
      <c r="V2332" s="5"/>
      <c r="W2332" s="6"/>
      <c r="X2332" s="6" t="s">
        <v>3</v>
      </c>
      <c r="Y2332" s="5"/>
      <c r="Z2332" s="7"/>
      <c r="AA2332" s="6"/>
      <c r="AB2332" s="5"/>
      <c r="AC2332" s="6"/>
      <c r="AD2332" s="6" t="s">
        <v>3</v>
      </c>
      <c r="AE2332" s="5"/>
      <c r="AF2332" s="7"/>
      <c r="AG2332" s="6"/>
      <c r="AH2332" s="5"/>
      <c r="AI2332" s="6"/>
      <c r="AJ2332" s="6"/>
      <c r="AK2332" s="5"/>
      <c r="AL2332" s="5"/>
      <c r="AM2332" s="5"/>
      <c r="AN2332" s="5"/>
      <c r="AO2332" s="5"/>
      <c r="AP2332" s="5"/>
      <c r="AQ2332" s="5"/>
    </row>
    <row r="2333" spans="1:43" x14ac:dyDescent="0.25">
      <c r="A2333" s="161" t="str">
        <f t="shared" si="41"/>
        <v>GREAT_DIPLOMAT_RENAISSANCE</v>
      </c>
      <c r="B2333" s="9" t="s">
        <v>2653</v>
      </c>
      <c r="E2333" s="4" t="s">
        <v>2654</v>
      </c>
      <c r="F2333" s="4" t="s">
        <v>2654</v>
      </c>
      <c r="H2333" s="4" t="s">
        <v>1433</v>
      </c>
      <c r="I2333" s="4" t="s">
        <v>128</v>
      </c>
      <c r="K2333" s="7">
        <v>1</v>
      </c>
      <c r="L2333" s="4" t="s">
        <v>1707</v>
      </c>
      <c r="Q2333" s="7">
        <v>1</v>
      </c>
      <c r="R2333" s="6" t="s">
        <v>1694</v>
      </c>
      <c r="S2333" s="13" t="s">
        <v>1619</v>
      </c>
      <c r="T2333" s="6"/>
      <c r="U2333" s="7" t="s">
        <v>1736</v>
      </c>
      <c r="V2333" s="5"/>
      <c r="W2333" s="6"/>
      <c r="X2333" s="6" t="s">
        <v>3</v>
      </c>
      <c r="Y2333" s="5"/>
      <c r="Z2333" s="7"/>
      <c r="AA2333" s="6"/>
      <c r="AB2333" s="5"/>
      <c r="AC2333" s="6"/>
      <c r="AD2333" s="6" t="s">
        <v>3</v>
      </c>
      <c r="AE2333" s="5"/>
      <c r="AF2333" s="7"/>
      <c r="AG2333" s="6"/>
      <c r="AH2333" s="5"/>
      <c r="AI2333" s="6"/>
      <c r="AJ2333" s="6"/>
      <c r="AK2333" s="5"/>
      <c r="AL2333" s="5"/>
      <c r="AM2333" s="5"/>
      <c r="AN2333" s="5"/>
      <c r="AO2333" s="5"/>
      <c r="AP2333" s="5"/>
      <c r="AQ2333" s="5"/>
    </row>
    <row r="2334" spans="1:43" x14ac:dyDescent="0.25">
      <c r="A2334" s="161" t="str">
        <f t="shared" si="41"/>
        <v>GREAT_DIPLOMAT_MODERN</v>
      </c>
      <c r="B2334" s="9" t="s">
        <v>2653</v>
      </c>
      <c r="E2334" s="4" t="s">
        <v>2655</v>
      </c>
      <c r="F2334" s="4" t="s">
        <v>2655</v>
      </c>
      <c r="H2334" s="4" t="s">
        <v>1446</v>
      </c>
      <c r="I2334" s="4" t="s">
        <v>128</v>
      </c>
      <c r="K2334" s="7">
        <v>1</v>
      </c>
      <c r="L2334" s="4" t="s">
        <v>1709</v>
      </c>
      <c r="Q2334" s="7">
        <v>1</v>
      </c>
      <c r="R2334" s="6" t="s">
        <v>1694</v>
      </c>
      <c r="S2334" s="13" t="s">
        <v>1619</v>
      </c>
      <c r="T2334" s="6"/>
      <c r="U2334" s="7" t="s">
        <v>1736</v>
      </c>
      <c r="V2334" s="5"/>
      <c r="W2334" s="6"/>
      <c r="X2334" s="6" t="s">
        <v>3</v>
      </c>
      <c r="Y2334" s="5"/>
      <c r="Z2334" s="7"/>
      <c r="AA2334" s="6"/>
      <c r="AB2334" s="5"/>
      <c r="AC2334" s="6"/>
      <c r="AD2334" s="6" t="s">
        <v>3</v>
      </c>
      <c r="AE2334" s="5"/>
      <c r="AF2334" s="7"/>
      <c r="AG2334" s="6"/>
      <c r="AH2334" s="5"/>
      <c r="AI2334" s="6"/>
      <c r="AJ2334" s="6"/>
      <c r="AK2334" s="5"/>
      <c r="AL2334" s="5"/>
      <c r="AM2334" s="5"/>
      <c r="AN2334" s="5"/>
      <c r="AO2334" s="5"/>
      <c r="AP2334" s="5"/>
      <c r="AQ2334" s="5"/>
    </row>
    <row r="2335" spans="1:43" x14ac:dyDescent="0.25">
      <c r="A2335" s="161" t="str">
        <f t="shared" si="41"/>
        <v>SWORDSMAN_GOTHS</v>
      </c>
      <c r="B2335" s="9" t="s">
        <v>104</v>
      </c>
      <c r="C2335" s="4" t="s">
        <v>2242</v>
      </c>
      <c r="E2335" s="4" t="s">
        <v>104</v>
      </c>
      <c r="F2335" s="4" t="s">
        <v>104</v>
      </c>
      <c r="H2335" s="5" t="s">
        <v>1441</v>
      </c>
      <c r="I2335" s="5" t="s">
        <v>128</v>
      </c>
      <c r="J2335" s="6"/>
      <c r="K2335" s="6">
        <v>1</v>
      </c>
      <c r="L2335" s="13" t="s">
        <v>1707</v>
      </c>
      <c r="M2335" s="8"/>
      <c r="N2335" s="5"/>
      <c r="O2335" s="5"/>
      <c r="P2335" s="5"/>
      <c r="Q2335" s="7">
        <v>10</v>
      </c>
      <c r="R2335" s="6" t="s">
        <v>1736</v>
      </c>
      <c r="S2335" s="13" t="s">
        <v>1619</v>
      </c>
      <c r="T2335" s="7" t="s">
        <v>1736</v>
      </c>
      <c r="U2335" s="7" t="s">
        <v>1736</v>
      </c>
      <c r="V2335" s="5"/>
      <c r="W2335" s="6" t="s">
        <v>3</v>
      </c>
      <c r="X2335" s="6" t="s">
        <v>3</v>
      </c>
      <c r="Y2335" s="5"/>
      <c r="Z2335" s="6">
        <v>1</v>
      </c>
      <c r="AA2335" s="6"/>
      <c r="AB2335" s="5"/>
      <c r="AC2335" s="6"/>
      <c r="AD2335" s="6" t="s">
        <v>3</v>
      </c>
      <c r="AE2335" s="5"/>
      <c r="AF2335" s="7" t="s">
        <v>1736</v>
      </c>
      <c r="AG2335" s="6"/>
      <c r="AH2335" s="5"/>
      <c r="AI2335" s="7">
        <v>6</v>
      </c>
      <c r="AJ2335" s="6"/>
      <c r="AK2335" s="5"/>
      <c r="AL2335" s="5"/>
      <c r="AM2335" s="5"/>
      <c r="AN2335" s="5"/>
      <c r="AO2335" s="5"/>
      <c r="AP2335" s="5"/>
      <c r="AQ2335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1918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2251</v>
      </c>
      <c r="I1" s="159" t="s">
        <v>2254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1918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2251</v>
      </c>
      <c r="I5" s="159" t="s">
        <v>2254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2009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2009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1919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2009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2009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2232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2275</v>
      </c>
      <c r="I124" s="3" t="s">
        <v>2256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2009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2272</v>
      </c>
      <c r="I130" t="s">
        <v>2256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2233</v>
      </c>
      <c r="B134" s="3">
        <v>0</v>
      </c>
      <c r="C134" s="3">
        <v>1</v>
      </c>
      <c r="D134" s="3" t="s">
        <v>1302</v>
      </c>
      <c r="H134"/>
      <c r="I134" t="s">
        <v>2255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2228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2255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2255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2234</v>
      </c>
      <c r="B137" s="3">
        <v>1</v>
      </c>
      <c r="C137" s="3">
        <v>1</v>
      </c>
      <c r="D137" s="3" t="s">
        <v>2207</v>
      </c>
      <c r="H137" t="s">
        <v>2249</v>
      </c>
      <c r="I137" t="s">
        <v>2255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2271</v>
      </c>
      <c r="I141" t="s">
        <v>2256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2244</v>
      </c>
      <c r="B143" s="3">
        <v>0</v>
      </c>
      <c r="C143" s="3">
        <v>1</v>
      </c>
      <c r="D143" s="3" t="s">
        <v>704</v>
      </c>
      <c r="H143" t="s">
        <v>2266</v>
      </c>
      <c r="I143" t="s">
        <v>2256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2245</v>
      </c>
      <c r="B145" s="3">
        <v>0</v>
      </c>
      <c r="C145" s="3">
        <v>1</v>
      </c>
      <c r="D145" s="3" t="s">
        <v>692</v>
      </c>
      <c r="H145" t="s">
        <v>2274</v>
      </c>
      <c r="I145" t="s">
        <v>2256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2243</v>
      </c>
      <c r="B146" s="3">
        <v>0</v>
      </c>
      <c r="C146" s="3">
        <v>1</v>
      </c>
      <c r="D146" s="3" t="s">
        <v>2242</v>
      </c>
      <c r="E146" s="3" t="s">
        <v>962</v>
      </c>
      <c r="H146" t="s">
        <v>2266</v>
      </c>
      <c r="I146" t="s">
        <v>2256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2273</v>
      </c>
      <c r="I149" t="s">
        <v>2256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2270</v>
      </c>
      <c r="I150" t="s">
        <v>2256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2263</v>
      </c>
      <c r="I151" t="s">
        <v>2256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2263</v>
      </c>
      <c r="I155" t="s">
        <v>2256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2248</v>
      </c>
      <c r="B156" s="3">
        <v>0</v>
      </c>
      <c r="C156" s="3">
        <v>1</v>
      </c>
      <c r="D156" s="3" t="s">
        <v>717</v>
      </c>
      <c r="H156"/>
      <c r="I156" t="s">
        <v>2261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2264</v>
      </c>
      <c r="I163" s="3" t="s">
        <v>2255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2272</v>
      </c>
      <c r="I168" t="s">
        <v>2256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2267</v>
      </c>
      <c r="I173" t="s">
        <v>2256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2271</v>
      </c>
      <c r="I183" t="s">
        <v>2256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2231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2009</v>
      </c>
      <c r="H186" t="s">
        <v>2270</v>
      </c>
      <c r="I186" t="s">
        <v>2256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2269</v>
      </c>
      <c r="I187" t="s">
        <v>2256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2257</v>
      </c>
      <c r="I192" t="s">
        <v>2256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2268</v>
      </c>
      <c r="I193" t="s">
        <v>2256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2250</v>
      </c>
      <c r="I196" t="s">
        <v>2256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2250</v>
      </c>
      <c r="I201" s="3" t="s">
        <v>2256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2267</v>
      </c>
      <c r="I205" t="s">
        <v>2256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2266</v>
      </c>
      <c r="I207" t="s">
        <v>2256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2252</v>
      </c>
      <c r="I208" t="s">
        <v>2256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2240</v>
      </c>
      <c r="B210" s="3">
        <v>0</v>
      </c>
      <c r="C210" s="3">
        <v>1</v>
      </c>
      <c r="D210" s="3" t="s">
        <v>2242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2239</v>
      </c>
      <c r="B211" s="3">
        <v>0</v>
      </c>
      <c r="C211" s="3">
        <v>1</v>
      </c>
      <c r="D211" s="3" t="s">
        <v>2242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2257</v>
      </c>
      <c r="I213" t="s">
        <v>2256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2258</v>
      </c>
      <c r="B214" s="3">
        <v>0</v>
      </c>
      <c r="C214" s="3">
        <v>1</v>
      </c>
      <c r="D214" s="3" t="s">
        <v>918</v>
      </c>
      <c r="H214" t="s">
        <v>2259</v>
      </c>
      <c r="I214" t="s">
        <v>2260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2229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2265</v>
      </c>
      <c r="I219" s="3" t="s">
        <v>2255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2253</v>
      </c>
      <c r="I220" s="3" t="s">
        <v>2256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2241</v>
      </c>
      <c r="B222" s="3">
        <v>0</v>
      </c>
      <c r="C222" s="3">
        <v>1</v>
      </c>
      <c r="D222" s="3" t="s">
        <v>2242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2009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2020</v>
      </c>
      <c r="B1" s="159" t="s">
        <v>1918</v>
      </c>
      <c r="C1" s="159" t="s">
        <v>2022</v>
      </c>
      <c r="D1" s="159" t="s">
        <v>1967</v>
      </c>
      <c r="E1" s="159" t="s">
        <v>2021</v>
      </c>
      <c r="F1" s="159" t="s">
        <v>2251</v>
      </c>
      <c r="G1" s="159" t="s">
        <v>2254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2032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2033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2034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2024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2025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2397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2396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2023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2026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2027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2028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2398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2399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2400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2029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2030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2031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2391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2085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2285</v>
      </c>
      <c r="G104" s="156" t="s">
        <v>2284</v>
      </c>
    </row>
    <row r="105" spans="1:7" x14ac:dyDescent="0.25">
      <c r="A105" s="154" t="s">
        <v>2086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2285</v>
      </c>
      <c r="G105" s="156" t="s">
        <v>2284</v>
      </c>
    </row>
    <row r="106" spans="1:7" x14ac:dyDescent="0.25">
      <c r="A106" s="154" t="s">
        <v>2087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2285</v>
      </c>
      <c r="G106" s="156" t="s">
        <v>2284</v>
      </c>
    </row>
    <row r="107" spans="1:7" x14ac:dyDescent="0.25">
      <c r="A107" s="154" t="s">
        <v>2103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2285</v>
      </c>
      <c r="G107" s="156" t="s">
        <v>2284</v>
      </c>
    </row>
    <row r="108" spans="1:7" x14ac:dyDescent="0.25">
      <c r="A108" s="154" t="s">
        <v>2088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2285</v>
      </c>
      <c r="G108" s="156" t="s">
        <v>2284</v>
      </c>
    </row>
    <row r="109" spans="1:7" x14ac:dyDescent="0.25">
      <c r="A109" s="154" t="s">
        <v>2089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2285</v>
      </c>
      <c r="G109" s="156" t="s">
        <v>2284</v>
      </c>
    </row>
    <row r="110" spans="1:7" x14ac:dyDescent="0.25">
      <c r="A110" s="154" t="s">
        <v>2395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2394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2164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2393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2102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2104</v>
      </c>
      <c r="G114" s="156" t="s">
        <v>2283</v>
      </c>
    </row>
    <row r="115" spans="1:7" x14ac:dyDescent="0.25">
      <c r="A115" s="154" t="s">
        <v>2105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2104</v>
      </c>
      <c r="G115" s="156" t="s">
        <v>2283</v>
      </c>
    </row>
    <row r="116" spans="1:7" x14ac:dyDescent="0.25">
      <c r="A116" s="154" t="s">
        <v>2101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2104</v>
      </c>
      <c r="G116" s="156" t="s">
        <v>2283</v>
      </c>
    </row>
    <row r="117" spans="1:7" x14ac:dyDescent="0.25">
      <c r="A117" s="154" t="s">
        <v>2106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2104</v>
      </c>
      <c r="G117" s="156" t="s">
        <v>2283</v>
      </c>
    </row>
    <row r="118" spans="1:7" x14ac:dyDescent="0.25">
      <c r="A118" s="154" t="s">
        <v>2100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2104</v>
      </c>
      <c r="G118" s="156" t="s">
        <v>2283</v>
      </c>
    </row>
    <row r="119" spans="1:7" x14ac:dyDescent="0.25">
      <c r="A119" s="154" t="s">
        <v>2107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2104</v>
      </c>
      <c r="G119" s="156" t="s">
        <v>2283</v>
      </c>
    </row>
    <row r="120" spans="1:7" x14ac:dyDescent="0.25">
      <c r="A120" s="154" t="s">
        <v>2108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2104</v>
      </c>
      <c r="G120" s="156" t="s">
        <v>2283</v>
      </c>
    </row>
    <row r="121" spans="1:7" x14ac:dyDescent="0.25">
      <c r="A121" s="154" t="s">
        <v>2019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2104</v>
      </c>
      <c r="G121" s="156" t="s">
        <v>2283</v>
      </c>
    </row>
    <row r="122" spans="1:7" x14ac:dyDescent="0.25">
      <c r="A122" s="154" t="s">
        <v>2109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2104</v>
      </c>
      <c r="G122" s="156" t="s">
        <v>2283</v>
      </c>
    </row>
    <row r="123" spans="1:7" x14ac:dyDescent="0.25">
      <c r="A123" s="154" t="s">
        <v>2099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2104</v>
      </c>
      <c r="G123" s="156" t="s">
        <v>2283</v>
      </c>
    </row>
    <row r="124" spans="1:7" x14ac:dyDescent="0.25">
      <c r="A124" s="154" t="s">
        <v>2110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2104</v>
      </c>
      <c r="G124" s="156" t="s">
        <v>2283</v>
      </c>
    </row>
    <row r="125" spans="1:7" x14ac:dyDescent="0.25">
      <c r="A125" s="154" t="s">
        <v>2111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2104</v>
      </c>
      <c r="G125" s="156" t="s">
        <v>2283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5"/>
  <sheetViews>
    <sheetView topLeftCell="A82" workbookViewId="0">
      <selection activeCell="A105" sqref="A105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2289</v>
      </c>
      <c r="B1" s="162" t="s">
        <v>2296</v>
      </c>
      <c r="C1" s="162" t="s">
        <v>1102</v>
      </c>
      <c r="D1" s="162" t="s">
        <v>2295</v>
      </c>
    </row>
    <row r="2" spans="1:4" x14ac:dyDescent="0.25">
      <c r="B2" s="162"/>
      <c r="C2" s="162"/>
      <c r="D2" s="162"/>
    </row>
    <row r="3" spans="1:4" x14ac:dyDescent="0.25">
      <c r="B3" s="162" t="s">
        <v>2290</v>
      </c>
    </row>
    <row r="4" spans="1:4" x14ac:dyDescent="0.25">
      <c r="B4" t="s">
        <v>2291</v>
      </c>
    </row>
    <row r="5" spans="1:4" x14ac:dyDescent="0.25">
      <c r="B5" s="163" t="s">
        <v>2389</v>
      </c>
    </row>
    <row r="6" spans="1:4" x14ac:dyDescent="0.25">
      <c r="B6" s="162"/>
    </row>
    <row r="7" spans="1:4" x14ac:dyDescent="0.25">
      <c r="B7" s="162" t="s">
        <v>2189</v>
      </c>
    </row>
    <row r="8" spans="1:4" x14ac:dyDescent="0.25">
      <c r="A8" t="s">
        <v>2308</v>
      </c>
      <c r="B8" t="s">
        <v>2186</v>
      </c>
      <c r="C8" t="s">
        <v>2204</v>
      </c>
      <c r="D8" t="s">
        <v>2294</v>
      </c>
    </row>
    <row r="10" spans="1:4" x14ac:dyDescent="0.25">
      <c r="B10" s="162" t="s">
        <v>2286</v>
      </c>
    </row>
    <row r="11" spans="1:4" x14ac:dyDescent="0.25">
      <c r="A11" t="s">
        <v>2307</v>
      </c>
      <c r="B11" t="s">
        <v>2304</v>
      </c>
      <c r="C11" t="s">
        <v>1789</v>
      </c>
      <c r="D11" s="168" t="s">
        <v>2309</v>
      </c>
    </row>
    <row r="12" spans="1:4" x14ac:dyDescent="0.25">
      <c r="A12" t="s">
        <v>2307</v>
      </c>
      <c r="B12" t="s">
        <v>2282</v>
      </c>
      <c r="C12" t="s">
        <v>666</v>
      </c>
      <c r="D12" s="168" t="s">
        <v>2418</v>
      </c>
    </row>
    <row r="14" spans="1:4" x14ac:dyDescent="0.25">
      <c r="B14" s="162" t="s">
        <v>2415</v>
      </c>
    </row>
    <row r="15" spans="1:4" x14ac:dyDescent="0.25">
      <c r="A15" t="s">
        <v>1826</v>
      </c>
      <c r="B15" t="s">
        <v>2416</v>
      </c>
    </row>
    <row r="16" spans="1:4" x14ac:dyDescent="0.25">
      <c r="A16" t="s">
        <v>2426</v>
      </c>
      <c r="B16" t="s">
        <v>2419</v>
      </c>
      <c r="D16" t="s">
        <v>2417</v>
      </c>
    </row>
    <row r="18" spans="1:4" x14ac:dyDescent="0.25">
      <c r="B18" s="162" t="s">
        <v>2185</v>
      </c>
    </row>
    <row r="19" spans="1:4" x14ac:dyDescent="0.25">
      <c r="A19" t="s">
        <v>1826</v>
      </c>
      <c r="B19" t="s">
        <v>2299</v>
      </c>
    </row>
    <row r="20" spans="1:4" x14ac:dyDescent="0.25">
      <c r="A20" t="s">
        <v>1826</v>
      </c>
      <c r="B20" t="s">
        <v>2300</v>
      </c>
    </row>
    <row r="21" spans="1:4" x14ac:dyDescent="0.25">
      <c r="A21" t="s">
        <v>1826</v>
      </c>
      <c r="B21" t="s">
        <v>2301</v>
      </c>
    </row>
    <row r="22" spans="1:4" x14ac:dyDescent="0.25">
      <c r="A22" t="s">
        <v>1826</v>
      </c>
      <c r="B22" t="s">
        <v>2302</v>
      </c>
    </row>
    <row r="23" spans="1:4" x14ac:dyDescent="0.25">
      <c r="A23" t="s">
        <v>1826</v>
      </c>
      <c r="B23" t="s">
        <v>2423</v>
      </c>
    </row>
    <row r="24" spans="1:4" x14ac:dyDescent="0.25">
      <c r="A24" t="s">
        <v>1826</v>
      </c>
      <c r="B24" t="s">
        <v>2422</v>
      </c>
    </row>
    <row r="25" spans="1:4" x14ac:dyDescent="0.25">
      <c r="A25" t="s">
        <v>1826</v>
      </c>
      <c r="B25" t="s">
        <v>2424</v>
      </c>
    </row>
    <row r="26" spans="1:4" x14ac:dyDescent="0.25">
      <c r="A26" t="s">
        <v>1826</v>
      </c>
      <c r="B26" t="s">
        <v>2425</v>
      </c>
    </row>
    <row r="27" spans="1:4" x14ac:dyDescent="0.25">
      <c r="A27" t="s">
        <v>1826</v>
      </c>
      <c r="B27" t="s">
        <v>2421</v>
      </c>
    </row>
    <row r="28" spans="1:4" x14ac:dyDescent="0.25">
      <c r="A28" t="s">
        <v>1826</v>
      </c>
      <c r="B28" t="s">
        <v>2420</v>
      </c>
    </row>
    <row r="29" spans="1:4" x14ac:dyDescent="0.25">
      <c r="A29" t="s">
        <v>1826</v>
      </c>
      <c r="B29" t="s">
        <v>2303</v>
      </c>
    </row>
    <row r="30" spans="1:4" x14ac:dyDescent="0.25">
      <c r="A30" t="s">
        <v>1826</v>
      </c>
      <c r="B30" t="s">
        <v>2237</v>
      </c>
    </row>
    <row r="31" spans="1:4" x14ac:dyDescent="0.25">
      <c r="A31" t="s">
        <v>1826</v>
      </c>
      <c r="B31" t="s">
        <v>2278</v>
      </c>
    </row>
    <row r="32" spans="1:4" x14ac:dyDescent="0.25">
      <c r="D32" s="168"/>
    </row>
    <row r="33" spans="1:4" x14ac:dyDescent="0.25">
      <c r="B33" s="162" t="s">
        <v>2188</v>
      </c>
    </row>
    <row r="34" spans="1:4" x14ac:dyDescent="0.25">
      <c r="B34" t="s">
        <v>2203</v>
      </c>
    </row>
    <row r="36" spans="1:4" x14ac:dyDescent="0.25">
      <c r="B36" s="162" t="s">
        <v>2187</v>
      </c>
    </row>
    <row r="37" spans="1:4" x14ac:dyDescent="0.25">
      <c r="B37" t="s">
        <v>2281</v>
      </c>
    </row>
    <row r="39" spans="1:4" x14ac:dyDescent="0.25">
      <c r="B39" s="162" t="s">
        <v>2178</v>
      </c>
    </row>
    <row r="40" spans="1:4" x14ac:dyDescent="0.25">
      <c r="B40" t="s">
        <v>2281</v>
      </c>
    </row>
    <row r="42" spans="1:4" x14ac:dyDescent="0.25">
      <c r="B42" s="162" t="s">
        <v>2293</v>
      </c>
    </row>
    <row r="43" spans="1:4" x14ac:dyDescent="0.25">
      <c r="A43" t="s">
        <v>2306</v>
      </c>
      <c r="B43" s="163" t="s">
        <v>2276</v>
      </c>
      <c r="D43" t="s">
        <v>2183</v>
      </c>
    </row>
    <row r="44" spans="1:4" x14ac:dyDescent="0.25">
      <c r="A44" t="s">
        <v>2306</v>
      </c>
      <c r="B44" s="163" t="s">
        <v>2314</v>
      </c>
      <c r="D44" t="s">
        <v>2183</v>
      </c>
    </row>
    <row r="45" spans="1:4" x14ac:dyDescent="0.25">
      <c r="A45" t="s">
        <v>2306</v>
      </c>
      <c r="B45" s="163" t="s">
        <v>2279</v>
      </c>
      <c r="D45" t="s">
        <v>2183</v>
      </c>
    </row>
    <row r="46" spans="1:4" x14ac:dyDescent="0.25">
      <c r="A46" t="s">
        <v>2306</v>
      </c>
      <c r="B46" s="163" t="s">
        <v>2280</v>
      </c>
      <c r="D46" t="s">
        <v>2183</v>
      </c>
    </row>
    <row r="47" spans="1:4" x14ac:dyDescent="0.25">
      <c r="A47" t="s">
        <v>2306</v>
      </c>
      <c r="B47" t="s">
        <v>2182</v>
      </c>
      <c r="C47" t="s">
        <v>501</v>
      </c>
      <c r="D47" t="s">
        <v>2184</v>
      </c>
    </row>
    <row r="48" spans="1:4" x14ac:dyDescent="0.25">
      <c r="A48" t="s">
        <v>2306</v>
      </c>
      <c r="B48" t="s">
        <v>2190</v>
      </c>
      <c r="C48" t="s">
        <v>283</v>
      </c>
      <c r="D48" t="s">
        <v>2183</v>
      </c>
    </row>
    <row r="49" spans="1:4" x14ac:dyDescent="0.25">
      <c r="A49" t="s">
        <v>2306</v>
      </c>
      <c r="B49" t="s">
        <v>2191</v>
      </c>
      <c r="C49" t="s">
        <v>593</v>
      </c>
      <c r="D49" t="s">
        <v>2183</v>
      </c>
    </row>
    <row r="50" spans="1:4" x14ac:dyDescent="0.25">
      <c r="A50" t="s">
        <v>2306</v>
      </c>
      <c r="B50" t="s">
        <v>2193</v>
      </c>
      <c r="C50" t="s">
        <v>164</v>
      </c>
      <c r="D50" t="s">
        <v>2183</v>
      </c>
    </row>
    <row r="51" spans="1:4" x14ac:dyDescent="0.25">
      <c r="A51" t="s">
        <v>2306</v>
      </c>
      <c r="B51" t="s">
        <v>2277</v>
      </c>
      <c r="D51" t="s">
        <v>2183</v>
      </c>
    </row>
    <row r="52" spans="1:4" x14ac:dyDescent="0.25">
      <c r="A52" t="s">
        <v>2306</v>
      </c>
      <c r="B52" t="s">
        <v>2192</v>
      </c>
      <c r="C52" t="s">
        <v>864</v>
      </c>
      <c r="D52" t="s">
        <v>2183</v>
      </c>
    </row>
    <row r="53" spans="1:4" x14ac:dyDescent="0.25">
      <c r="A53" t="s">
        <v>2306</v>
      </c>
      <c r="B53" t="s">
        <v>2194</v>
      </c>
      <c r="C53" t="s">
        <v>450</v>
      </c>
      <c r="D53" t="s">
        <v>2183</v>
      </c>
    </row>
    <row r="54" spans="1:4" x14ac:dyDescent="0.25">
      <c r="A54" t="s">
        <v>2306</v>
      </c>
      <c r="B54" t="s">
        <v>2195</v>
      </c>
      <c r="C54" t="s">
        <v>407</v>
      </c>
      <c r="D54" t="s">
        <v>2183</v>
      </c>
    </row>
    <row r="55" spans="1:4" x14ac:dyDescent="0.25">
      <c r="A55" t="s">
        <v>2306</v>
      </c>
      <c r="B55" t="s">
        <v>2197</v>
      </c>
      <c r="C55" t="s">
        <v>2198</v>
      </c>
      <c r="D55" t="s">
        <v>2183</v>
      </c>
    </row>
    <row r="56" spans="1:4" x14ac:dyDescent="0.25">
      <c r="A56" t="s">
        <v>2306</v>
      </c>
      <c r="B56" t="s">
        <v>2292</v>
      </c>
    </row>
    <row r="57" spans="1:4" x14ac:dyDescent="0.25">
      <c r="A57" t="s">
        <v>1826</v>
      </c>
      <c r="B57" t="s">
        <v>2305</v>
      </c>
    </row>
    <row r="59" spans="1:4" x14ac:dyDescent="0.25">
      <c r="B59" s="162" t="s">
        <v>2288</v>
      </c>
    </row>
    <row r="60" spans="1:4" x14ac:dyDescent="0.25">
      <c r="A60" t="s">
        <v>0</v>
      </c>
      <c r="B60" s="163" t="s">
        <v>2196</v>
      </c>
      <c r="C60" t="s">
        <v>2014</v>
      </c>
    </row>
    <row r="61" spans="1:4" x14ac:dyDescent="0.25">
      <c r="A61" t="s">
        <v>0</v>
      </c>
      <c r="B61" s="163" t="s">
        <v>2199</v>
      </c>
      <c r="C61" t="s">
        <v>2081</v>
      </c>
      <c r="D61" t="s">
        <v>2417</v>
      </c>
    </row>
    <row r="62" spans="1:4" x14ac:dyDescent="0.25">
      <c r="A62" t="s">
        <v>0</v>
      </c>
      <c r="B62" s="163" t="s">
        <v>2200</v>
      </c>
      <c r="C62" t="s">
        <v>2095</v>
      </c>
    </row>
    <row r="63" spans="1:4" x14ac:dyDescent="0.25">
      <c r="A63" t="s">
        <v>0</v>
      </c>
      <c r="B63" s="163" t="s">
        <v>2201</v>
      </c>
      <c r="C63" t="s">
        <v>2080</v>
      </c>
    </row>
    <row r="64" spans="1:4" x14ac:dyDescent="0.25">
      <c r="A64" t="s">
        <v>0</v>
      </c>
      <c r="B64" s="163" t="s">
        <v>2202</v>
      </c>
      <c r="C64" t="s">
        <v>2112</v>
      </c>
    </row>
    <row r="65" spans="1:3" x14ac:dyDescent="0.25">
      <c r="A65" t="s">
        <v>0</v>
      </c>
      <c r="B65" s="163" t="s">
        <v>1324</v>
      </c>
      <c r="C65" t="s">
        <v>2205</v>
      </c>
    </row>
    <row r="66" spans="1:3" x14ac:dyDescent="0.25">
      <c r="A66" t="s">
        <v>0</v>
      </c>
      <c r="B66" s="163" t="s">
        <v>1970</v>
      </c>
      <c r="C66" t="s">
        <v>1972</v>
      </c>
    </row>
    <row r="67" spans="1:3" x14ac:dyDescent="0.25">
      <c r="A67" t="s">
        <v>2297</v>
      </c>
      <c r="B67" s="163" t="s">
        <v>2298</v>
      </c>
    </row>
    <row r="68" spans="1:3" x14ac:dyDescent="0.25">
      <c r="B68" s="163"/>
    </row>
    <row r="69" spans="1:3" x14ac:dyDescent="0.25">
      <c r="B69" s="162" t="s">
        <v>2287</v>
      </c>
    </row>
    <row r="70" spans="1:3" x14ac:dyDescent="0.25">
      <c r="A70" t="s">
        <v>0</v>
      </c>
      <c r="B70" t="s">
        <v>2126</v>
      </c>
      <c r="C70" t="s">
        <v>2090</v>
      </c>
    </row>
    <row r="71" spans="1:3" x14ac:dyDescent="0.25">
      <c r="A71" t="s">
        <v>0</v>
      </c>
      <c r="B71" t="s">
        <v>2177</v>
      </c>
      <c r="C71" t="s">
        <v>1791</v>
      </c>
    </row>
    <row r="72" spans="1:3" x14ac:dyDescent="0.25">
      <c r="A72" t="s">
        <v>0</v>
      </c>
      <c r="B72" t="s">
        <v>2127</v>
      </c>
      <c r="C72" t="s">
        <v>2092</v>
      </c>
    </row>
    <row r="73" spans="1:3" x14ac:dyDescent="0.25">
      <c r="A73" t="s">
        <v>0</v>
      </c>
      <c r="B73" t="s">
        <v>2128</v>
      </c>
      <c r="C73" t="s">
        <v>2152</v>
      </c>
    </row>
    <row r="74" spans="1:3" x14ac:dyDescent="0.25">
      <c r="A74" t="s">
        <v>0</v>
      </c>
      <c r="B74" t="s">
        <v>2083</v>
      </c>
      <c r="C74" t="s">
        <v>2122</v>
      </c>
    </row>
    <row r="75" spans="1:3" x14ac:dyDescent="0.25">
      <c r="A75" t="s">
        <v>0</v>
      </c>
      <c r="B75" t="s">
        <v>2129</v>
      </c>
      <c r="C75" t="s">
        <v>2091</v>
      </c>
    </row>
    <row r="76" spans="1:3" x14ac:dyDescent="0.25">
      <c r="A76" t="s">
        <v>0</v>
      </c>
      <c r="B76" t="s">
        <v>2130</v>
      </c>
      <c r="C76" t="s">
        <v>2088</v>
      </c>
    </row>
    <row r="77" spans="1:3" x14ac:dyDescent="0.25">
      <c r="A77" t="s">
        <v>0</v>
      </c>
      <c r="B77" t="s">
        <v>2131</v>
      </c>
      <c r="C77" t="s">
        <v>2088</v>
      </c>
    </row>
    <row r="78" spans="1:3" x14ac:dyDescent="0.25">
      <c r="A78" t="s">
        <v>0</v>
      </c>
      <c r="B78" t="s">
        <v>2132</v>
      </c>
      <c r="C78" t="s">
        <v>2153</v>
      </c>
    </row>
    <row r="79" spans="1:3" x14ac:dyDescent="0.25">
      <c r="A79" t="s">
        <v>0</v>
      </c>
      <c r="B79" t="s">
        <v>2133</v>
      </c>
      <c r="C79" t="s">
        <v>1979</v>
      </c>
    </row>
    <row r="80" spans="1:3" x14ac:dyDescent="0.25">
      <c r="A80" t="s">
        <v>0</v>
      </c>
      <c r="B80" t="s">
        <v>2134</v>
      </c>
      <c r="C80" t="s">
        <v>1975</v>
      </c>
    </row>
    <row r="81" spans="1:3" x14ac:dyDescent="0.25">
      <c r="A81" t="s">
        <v>0</v>
      </c>
      <c r="B81" t="s">
        <v>2135</v>
      </c>
      <c r="C81" t="s">
        <v>1976</v>
      </c>
    </row>
    <row r="82" spans="1:3" x14ac:dyDescent="0.25">
      <c r="A82" t="s">
        <v>0</v>
      </c>
      <c r="B82" t="s">
        <v>2136</v>
      </c>
      <c r="C82" t="s">
        <v>1977</v>
      </c>
    </row>
    <row r="83" spans="1:3" x14ac:dyDescent="0.25">
      <c r="A83" t="s">
        <v>0</v>
      </c>
      <c r="B83" t="s">
        <v>2137</v>
      </c>
      <c r="C83" t="s">
        <v>1981</v>
      </c>
    </row>
    <row r="84" spans="1:3" x14ac:dyDescent="0.25">
      <c r="A84" t="s">
        <v>0</v>
      </c>
      <c r="B84" t="s">
        <v>2138</v>
      </c>
      <c r="C84" t="s">
        <v>1978</v>
      </c>
    </row>
    <row r="85" spans="1:3" x14ac:dyDescent="0.25">
      <c r="A85" t="s">
        <v>0</v>
      </c>
      <c r="B85" t="s">
        <v>2139</v>
      </c>
      <c r="C85" t="s">
        <v>1980</v>
      </c>
    </row>
    <row r="86" spans="1:3" x14ac:dyDescent="0.25">
      <c r="A86" t="s">
        <v>0</v>
      </c>
      <c r="B86" t="s">
        <v>2074</v>
      </c>
      <c r="C86" t="s">
        <v>2076</v>
      </c>
    </row>
    <row r="87" spans="1:3" x14ac:dyDescent="0.25">
      <c r="A87" t="s">
        <v>0</v>
      </c>
      <c r="B87" t="s">
        <v>2066</v>
      </c>
      <c r="C87" t="s">
        <v>337</v>
      </c>
    </row>
    <row r="88" spans="1:3" x14ac:dyDescent="0.25">
      <c r="A88" t="s">
        <v>0</v>
      </c>
      <c r="B88" t="s">
        <v>2140</v>
      </c>
      <c r="C88" t="s">
        <v>2067</v>
      </c>
    </row>
    <row r="89" spans="1:3" x14ac:dyDescent="0.25">
      <c r="A89" t="s">
        <v>0</v>
      </c>
      <c r="B89" t="s">
        <v>1985</v>
      </c>
      <c r="C89" t="s">
        <v>2154</v>
      </c>
    </row>
    <row r="90" spans="1:3" x14ac:dyDescent="0.25">
      <c r="A90" t="s">
        <v>0</v>
      </c>
      <c r="B90" t="s">
        <v>2141</v>
      </c>
      <c r="C90" t="s">
        <v>2155</v>
      </c>
    </row>
    <row r="91" spans="1:3" x14ac:dyDescent="0.25">
      <c r="A91" t="s">
        <v>0</v>
      </c>
      <c r="B91" t="s">
        <v>2142</v>
      </c>
      <c r="C91" t="s">
        <v>1990</v>
      </c>
    </row>
    <row r="92" spans="1:3" x14ac:dyDescent="0.25">
      <c r="A92" t="s">
        <v>0</v>
      </c>
      <c r="B92" t="s">
        <v>2143</v>
      </c>
      <c r="C92" t="s">
        <v>2156</v>
      </c>
    </row>
    <row r="93" spans="1:3" x14ac:dyDescent="0.25">
      <c r="A93" t="s">
        <v>0</v>
      </c>
      <c r="B93" t="s">
        <v>2144</v>
      </c>
      <c r="C93" t="s">
        <v>2157</v>
      </c>
    </row>
    <row r="94" spans="1:3" x14ac:dyDescent="0.25">
      <c r="A94" t="s">
        <v>0</v>
      </c>
      <c r="B94" t="s">
        <v>2145</v>
      </c>
      <c r="C94" t="s">
        <v>2158</v>
      </c>
    </row>
    <row r="95" spans="1:3" x14ac:dyDescent="0.25">
      <c r="A95" t="s">
        <v>0</v>
      </c>
      <c r="B95" t="s">
        <v>2146</v>
      </c>
      <c r="C95" t="s">
        <v>2159</v>
      </c>
    </row>
    <row r="96" spans="1:3" x14ac:dyDescent="0.25">
      <c r="A96" t="s">
        <v>0</v>
      </c>
      <c r="B96" t="s">
        <v>2147</v>
      </c>
      <c r="C96" t="s">
        <v>2160</v>
      </c>
    </row>
    <row r="97" spans="1:3" x14ac:dyDescent="0.25">
      <c r="A97" t="s">
        <v>0</v>
      </c>
      <c r="B97" t="s">
        <v>2148</v>
      </c>
      <c r="C97" t="s">
        <v>1998</v>
      </c>
    </row>
    <row r="98" spans="1:3" x14ac:dyDescent="0.25">
      <c r="A98" t="s">
        <v>0</v>
      </c>
      <c r="B98" t="s">
        <v>2149</v>
      </c>
      <c r="C98" t="s">
        <v>1998</v>
      </c>
    </row>
    <row r="99" spans="1:3" x14ac:dyDescent="0.25">
      <c r="A99" t="s">
        <v>0</v>
      </c>
      <c r="B99" t="s">
        <v>2063</v>
      </c>
      <c r="C99" t="s">
        <v>2064</v>
      </c>
    </row>
    <row r="100" spans="1:3" x14ac:dyDescent="0.25">
      <c r="A100" t="s">
        <v>0</v>
      </c>
      <c r="B100" t="s">
        <v>2150</v>
      </c>
      <c r="C100" t="s">
        <v>2161</v>
      </c>
    </row>
    <row r="101" spans="1:3" x14ac:dyDescent="0.25">
      <c r="A101" t="s">
        <v>0</v>
      </c>
      <c r="B101" t="s">
        <v>2151</v>
      </c>
      <c r="C101" t="s">
        <v>2068</v>
      </c>
    </row>
    <row r="103" spans="1:3" x14ac:dyDescent="0.25">
      <c r="B103" t="s">
        <v>2660</v>
      </c>
    </row>
    <row r="104" spans="1:3" x14ac:dyDescent="0.25">
      <c r="A104" t="s">
        <v>2308</v>
      </c>
      <c r="B104" t="s">
        <v>2665</v>
      </c>
    </row>
    <row r="105" spans="1:3" x14ac:dyDescent="0.25">
      <c r="B105" t="s">
        <v>2664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2017-05-06T08:29:06Z</dcterms:modified>
</cp:coreProperties>
</file>