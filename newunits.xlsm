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nuss\Documents\GitHub\Civ5-EthnicDiversity\"/>
    </mc:Choice>
  </mc:AlternateContent>
  <bookViews>
    <workbookView xWindow="1860" yWindow="0" windowWidth="20490" windowHeight="8235" tabRatio="540"/>
  </bookViews>
  <sheets>
    <sheet name="Road to 100%" sheetId="3" r:id="rId1"/>
    <sheet name="Unit List" sheetId="2" r:id="rId2"/>
    <sheet name="Style List" sheetId="4" r:id="rId3"/>
    <sheet name="Unit Types" sheetId="6" r:id="rId4"/>
    <sheet name="Notes" sheetId="7" r:id="rId5"/>
  </sheets>
  <functionGroups builtInGroupCount="18"/>
  <calcPr calcId="162913"/>
</workbook>
</file>

<file path=xl/calcChain.xml><?xml version="1.0" encoding="utf-8"?>
<calcChain xmlns="http://schemas.openxmlformats.org/spreadsheetml/2006/main">
  <c r="A1844" i="2" l="1"/>
  <c r="A1843" i="2"/>
  <c r="A1845" i="2"/>
  <c r="A304" i="2" l="1"/>
  <c r="A138" i="2" l="1"/>
  <c r="A1920" i="2"/>
  <c r="A1919" i="2"/>
  <c r="A1918" i="2"/>
  <c r="A1917" i="2"/>
  <c r="A1916" i="2"/>
  <c r="A1915" i="2"/>
  <c r="A1914" i="2"/>
  <c r="A1913" i="2"/>
  <c r="A1912" i="2"/>
  <c r="A1911" i="2"/>
  <c r="A1910" i="2"/>
  <c r="A1909" i="2"/>
  <c r="A1908" i="2"/>
  <c r="A1907" i="2"/>
  <c r="A1906" i="2"/>
  <c r="A1905" i="2"/>
  <c r="A1904" i="2"/>
  <c r="A1903" i="2"/>
  <c r="A1902" i="2"/>
  <c r="A1901" i="2"/>
  <c r="A1900" i="2"/>
  <c r="A1899" i="2"/>
  <c r="A1898" i="2"/>
  <c r="A1897" i="2"/>
  <c r="A1896" i="2"/>
  <c r="A1895" i="2"/>
  <c r="A1894" i="2"/>
  <c r="A1893" i="2"/>
  <c r="A1892" i="2"/>
  <c r="A1891" i="2"/>
  <c r="A1890" i="2"/>
  <c r="A1889" i="2"/>
  <c r="A1888" i="2"/>
  <c r="A1887" i="2"/>
  <c r="A1886" i="2"/>
  <c r="A1885" i="2"/>
  <c r="A1884" i="2"/>
  <c r="A1883" i="2"/>
  <c r="A1882" i="2"/>
  <c r="A1881" i="2"/>
  <c r="A1880" i="2"/>
  <c r="A1879" i="2"/>
  <c r="A1878" i="2"/>
  <c r="A1877" i="2"/>
  <c r="A1876" i="2"/>
  <c r="A1875" i="2"/>
  <c r="A1874" i="2"/>
  <c r="A1873" i="2"/>
  <c r="A1872" i="2"/>
  <c r="A1871" i="2"/>
  <c r="A1870" i="2"/>
  <c r="A1869" i="2"/>
  <c r="A1868" i="2"/>
  <c r="A1867" i="2"/>
  <c r="A1866" i="2"/>
  <c r="A1865" i="2"/>
  <c r="A1864" i="2"/>
  <c r="A1863" i="2"/>
  <c r="A1862" i="2"/>
  <c r="A1861" i="2"/>
  <c r="A1860" i="2"/>
  <c r="A1859" i="2"/>
  <c r="A1858" i="2"/>
  <c r="A1857" i="2"/>
  <c r="A1856" i="2"/>
  <c r="A1855" i="2"/>
  <c r="A1854" i="2"/>
  <c r="A1853" i="2"/>
  <c r="A1852" i="2"/>
  <c r="A1851" i="2"/>
  <c r="A1850" i="2"/>
  <c r="A1849" i="2"/>
  <c r="A1848" i="2"/>
  <c r="A1847" i="2"/>
  <c r="A1846" i="2"/>
  <c r="A1842" i="2"/>
  <c r="A1841" i="2"/>
  <c r="A1840" i="2"/>
  <c r="A1839" i="2"/>
  <c r="A1838" i="2"/>
  <c r="A1837" i="2"/>
  <c r="A1836" i="2"/>
  <c r="A1835" i="2"/>
  <c r="A1834" i="2"/>
  <c r="A1833" i="2"/>
  <c r="A1832" i="2"/>
  <c r="A1831" i="2"/>
  <c r="A1830" i="2"/>
  <c r="A1829" i="2"/>
  <c r="A1828" i="2"/>
  <c r="A1827" i="2"/>
  <c r="A1826" i="2"/>
  <c r="A1825" i="2"/>
  <c r="A1824" i="2"/>
  <c r="A1823" i="2"/>
  <c r="A1822" i="2"/>
  <c r="A1821" i="2"/>
  <c r="A1820" i="2"/>
  <c r="A1819" i="2"/>
  <c r="A1818" i="2"/>
  <c r="A1817" i="2"/>
  <c r="A1816" i="2"/>
  <c r="A1815" i="2"/>
  <c r="A495" i="2" l="1"/>
  <c r="A1763" i="2" l="1"/>
  <c r="A1726" i="2"/>
  <c r="A1723" i="2"/>
  <c r="A1710" i="2"/>
  <c r="A1709" i="2"/>
  <c r="A1588" i="2"/>
  <c r="A1474" i="2"/>
  <c r="A1472" i="2"/>
  <c r="A1086" i="2"/>
  <c r="A1085" i="2"/>
  <c r="A328" i="2"/>
  <c r="A453" i="2"/>
  <c r="A1022" i="2"/>
  <c r="A1021" i="2"/>
  <c r="A1020" i="2"/>
  <c r="A955" i="2"/>
  <c r="A954" i="2"/>
  <c r="A953" i="2"/>
  <c r="A952" i="2"/>
  <c r="A714" i="2"/>
  <c r="A696" i="2"/>
  <c r="A693" i="2"/>
  <c r="A695" i="2"/>
  <c r="A580" i="2"/>
  <c r="A481" i="2"/>
  <c r="A479" i="2"/>
  <c r="A256" i="2"/>
  <c r="A255" i="2"/>
  <c r="A274" i="2"/>
  <c r="A276" i="2"/>
  <c r="A329" i="2"/>
  <c r="A327" i="2"/>
  <c r="A454" i="2"/>
  <c r="A452" i="2"/>
  <c r="A1762" i="2"/>
  <c r="A1712" i="2"/>
  <c r="A1711" i="2"/>
  <c r="A1731" i="2"/>
  <c r="A1734" i="2"/>
  <c r="A1725" i="2"/>
  <c r="A214" i="2" l="1"/>
  <c r="A729" i="2"/>
  <c r="A956" i="2"/>
  <c r="A1796" i="2"/>
  <c r="A1795" i="2"/>
  <c r="A1794" i="2"/>
  <c r="A1793" i="2"/>
  <c r="A1810" i="2"/>
  <c r="A1809" i="2"/>
  <c r="A1807" i="2"/>
  <c r="A1808" i="2"/>
  <c r="A1774" i="2"/>
  <c r="A716" i="2"/>
  <c r="A1766" i="2"/>
  <c r="A1590" i="2"/>
  <c r="A1769" i="2"/>
  <c r="A1210" i="2" l="1"/>
  <c r="A1211" i="2"/>
  <c r="A1214" i="2"/>
  <c r="A1213" i="2"/>
  <c r="A1212" i="2"/>
  <c r="A1209" i="2"/>
  <c r="A123" i="2"/>
  <c r="A147" i="2"/>
  <c r="A748" i="2" l="1"/>
  <c r="A94" i="2"/>
  <c r="A93" i="2"/>
  <c r="A343" i="2" l="1"/>
  <c r="A158" i="2"/>
  <c r="A555" i="2"/>
  <c r="A554" i="2"/>
  <c r="A553" i="2"/>
  <c r="A556" i="2"/>
  <c r="A557" i="2"/>
  <c r="A558" i="2"/>
  <c r="A683" i="2"/>
  <c r="A682" i="2"/>
  <c r="A681" i="2"/>
  <c r="A680" i="2"/>
  <c r="A679" i="2"/>
  <c r="A678" i="2"/>
  <c r="A677" i="2"/>
  <c r="A676" i="2"/>
  <c r="A675" i="2"/>
  <c r="A674" i="2"/>
  <c r="A673" i="2"/>
  <c r="A672" i="2"/>
  <c r="A671" i="2"/>
  <c r="A670" i="2"/>
  <c r="A669" i="2"/>
  <c r="A668" i="2"/>
  <c r="A1093" i="2"/>
  <c r="A1092" i="2"/>
  <c r="A1091" i="2"/>
  <c r="A1094" i="2"/>
  <c r="A1095" i="2"/>
  <c r="A1161" i="2"/>
  <c r="A1160" i="2"/>
  <c r="A1159" i="2"/>
  <c r="A1158" i="2"/>
  <c r="A350" i="2"/>
  <c r="A349" i="2"/>
  <c r="A52" i="2"/>
  <c r="A810" i="2"/>
  <c r="A297" i="2"/>
  <c r="A296" i="2"/>
  <c r="A295" i="2"/>
  <c r="A294" i="2"/>
  <c r="A1517" i="2"/>
  <c r="A749" i="2"/>
  <c r="A156" i="2"/>
  <c r="A992" i="2"/>
  <c r="A155" i="2"/>
  <c r="A1516" i="2"/>
  <c r="A1515" i="2"/>
  <c r="A157" i="2"/>
  <c r="A315" i="2" l="1"/>
  <c r="A317" i="2"/>
  <c r="A1059" i="2" l="1"/>
  <c r="A809" i="2"/>
  <c r="A1556" i="2"/>
  <c r="A1555" i="2"/>
  <c r="A1554" i="2"/>
  <c r="A1553" i="2"/>
  <c r="A1552" i="2"/>
  <c r="A1551" i="2"/>
  <c r="A1370" i="2"/>
  <c r="A609" i="2"/>
  <c r="A608" i="2"/>
  <c r="A607" i="2"/>
  <c r="A1788" i="2"/>
  <c r="A1787" i="2"/>
  <c r="A1363" i="2"/>
  <c r="A1369" i="2"/>
  <c r="A1359" i="2"/>
  <c r="A1358" i="2"/>
  <c r="A1364" i="2"/>
  <c r="A1362" i="2"/>
  <c r="A1371" i="2"/>
  <c r="A306" i="2" l="1"/>
  <c r="A308" i="2"/>
  <c r="A309" i="2"/>
  <c r="A310" i="2"/>
  <c r="A316" i="2"/>
  <c r="A318" i="2"/>
  <c r="A1000" i="2"/>
  <c r="A999" i="2"/>
  <c r="A998" i="2"/>
  <c r="A997" i="2"/>
  <c r="A996" i="2"/>
  <c r="A995" i="2"/>
  <c r="A994" i="2"/>
  <c r="A993" i="2"/>
  <c r="A990" i="2"/>
  <c r="A991" i="2"/>
  <c r="A989" i="2"/>
  <c r="A533" i="2"/>
  <c r="A736" i="2"/>
  <c r="A177" i="2"/>
  <c r="A353" i="2"/>
  <c r="A821" i="2"/>
  <c r="A820" i="2"/>
  <c r="A819" i="2"/>
  <c r="A818" i="2"/>
  <c r="A817" i="2"/>
  <c r="A816" i="2"/>
  <c r="A345" i="2"/>
  <c r="A406" i="2"/>
  <c r="A1198" i="2"/>
  <c r="A606" i="2"/>
  <c r="A313" i="2"/>
  <c r="A770" i="2"/>
  <c r="A314" i="2"/>
  <c r="A319" i="2"/>
  <c r="A311" i="2"/>
  <c r="A307" i="2"/>
  <c r="A312" i="2"/>
  <c r="A1510" i="2"/>
  <c r="A1509" i="2"/>
  <c r="A1508" i="2"/>
  <c r="A1507" i="2"/>
  <c r="A1506" i="2"/>
  <c r="A935" i="2"/>
  <c r="A477" i="2"/>
  <c r="A474" i="2"/>
  <c r="A269" i="2"/>
  <c r="A1060" i="2"/>
  <c r="A1058" i="2"/>
  <c r="A1605" i="2"/>
  <c r="A1006" i="2" l="1"/>
  <c r="A1003" i="2"/>
  <c r="A939" i="2"/>
  <c r="A934" i="2"/>
  <c r="A266" i="2"/>
  <c r="A1741" i="2"/>
  <c r="A1584" i="2"/>
  <c r="A1580" i="2"/>
  <c r="A1465" i="2"/>
  <c r="A1468" i="2"/>
  <c r="A1081" i="2"/>
  <c r="A1082" i="2"/>
  <c r="A573" i="2"/>
  <c r="A576" i="2"/>
  <c r="A564" i="2"/>
  <c r="A563" i="2"/>
  <c r="A711" i="2"/>
  <c r="A574" i="2"/>
  <c r="A706" i="2"/>
  <c r="A710" i="2"/>
  <c r="A324" i="2"/>
  <c r="A322" i="2"/>
  <c r="A253" i="2"/>
  <c r="A250" i="2"/>
  <c r="A448" i="2"/>
  <c r="A446" i="2"/>
  <c r="A973" i="2"/>
  <c r="A974" i="2"/>
  <c r="A975" i="2"/>
  <c r="A1368" i="2"/>
  <c r="A132" i="2"/>
  <c r="A1735" i="2"/>
  <c r="A685" i="2"/>
  <c r="A691" i="2"/>
  <c r="A688" i="2"/>
  <c r="A689" i="2"/>
  <c r="A703" i="2"/>
  <c r="A686" i="2"/>
  <c r="A701" i="2"/>
  <c r="A687" i="2"/>
  <c r="A692" i="2"/>
  <c r="A694" i="2"/>
  <c r="A697" i="2"/>
  <c r="A698" i="2"/>
  <c r="A699" i="2"/>
  <c r="A690" i="2"/>
  <c r="A700" i="2"/>
  <c r="A702" i="2"/>
  <c r="A1736" i="2"/>
  <c r="A1718" i="2"/>
  <c r="A1733" i="2"/>
  <c r="A1716" i="2"/>
  <c r="A1732" i="2"/>
  <c r="A191" i="2" l="1"/>
  <c r="A321" i="2"/>
  <c r="A1464" i="2"/>
  <c r="A1754" i="2"/>
  <c r="A1714" i="2"/>
  <c r="A1483" i="2"/>
  <c r="A1089" i="2"/>
  <c r="A1080" i="2"/>
  <c r="A1036" i="2"/>
  <c r="A1011" i="2"/>
  <c r="A946" i="2"/>
  <c r="A964" i="2"/>
  <c r="A730" i="2"/>
  <c r="A705" i="2"/>
  <c r="A595" i="2"/>
  <c r="A570" i="2"/>
  <c r="A445" i="2"/>
  <c r="A463" i="2"/>
  <c r="A336" i="2"/>
  <c r="A287" i="2"/>
  <c r="A265" i="2"/>
  <c r="A262" i="2"/>
  <c r="A249" i="2"/>
  <c r="A257" i="2"/>
  <c r="A277" i="2"/>
  <c r="A330" i="2"/>
  <c r="A455" i="2"/>
  <c r="A482" i="2"/>
  <c r="A581" i="2"/>
  <c r="A717" i="2"/>
  <c r="A1087" i="2"/>
  <c r="A1591" i="2"/>
  <c r="A1475" i="2"/>
  <c r="A1023" i="2"/>
  <c r="A936" i="2"/>
  <c r="A1798" i="2"/>
  <c r="A1767" i="2"/>
  <c r="A1727" i="2"/>
  <c r="A1745" i="2"/>
  <c r="A200" i="2"/>
  <c r="A198" i="2"/>
  <c r="A1430" i="2" l="1"/>
  <c r="A1429" i="2"/>
  <c r="A1428" i="2"/>
  <c r="A1427" i="2"/>
  <c r="A1426" i="2"/>
  <c r="A1425" i="2"/>
  <c r="A1189" i="2"/>
  <c r="A1188" i="2"/>
  <c r="A1187" i="2"/>
  <c r="A1186" i="2"/>
  <c r="A1185" i="2"/>
  <c r="A146" i="2"/>
  <c r="A209" i="2"/>
  <c r="A208" i="2"/>
  <c r="A1367" i="2"/>
  <c r="A1504" i="2"/>
  <c r="A1499" i="2"/>
  <c r="A1498" i="2"/>
  <c r="A1493" i="2"/>
  <c r="A1496" i="2"/>
  <c r="A1497" i="2"/>
  <c r="A1568" i="2"/>
  <c r="A1567" i="2"/>
  <c r="A1570" i="2"/>
  <c r="A1569" i="2"/>
  <c r="A1565" i="2"/>
  <c r="A657" i="2"/>
  <c r="A665" i="2"/>
  <c r="A656" i="2"/>
  <c r="A604" i="2"/>
  <c r="A603" i="2"/>
  <c r="A602" i="2"/>
  <c r="A659" i="2"/>
  <c r="A660" i="2"/>
  <c r="A596" i="2"/>
  <c r="A140" i="2"/>
  <c r="A1559" i="2"/>
  <c r="A1373" i="2"/>
  <c r="A129" i="2"/>
  <c r="A130" i="2"/>
  <c r="A24" i="2" l="1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133" i="2"/>
  <c r="A75" i="2"/>
  <c r="A1511" i="2"/>
  <c r="A1512" i="2"/>
  <c r="A1513" i="2"/>
  <c r="A1514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423" i="2"/>
  <c r="A121" i="2"/>
  <c r="A122" i="2"/>
  <c r="A124" i="2"/>
  <c r="A125" i="2"/>
  <c r="A126" i="2"/>
  <c r="A127" i="2"/>
  <c r="A128" i="2"/>
  <c r="A131" i="2"/>
  <c r="A134" i="2"/>
  <c r="A135" i="2"/>
  <c r="A136" i="2"/>
  <c r="A137" i="2"/>
  <c r="A139" i="2"/>
  <c r="A141" i="2"/>
  <c r="A142" i="2"/>
  <c r="A144" i="2"/>
  <c r="A145" i="2"/>
  <c r="A148" i="2"/>
  <c r="A149" i="2"/>
  <c r="A150" i="2"/>
  <c r="A151" i="2"/>
  <c r="A152" i="2"/>
  <c r="A153" i="2"/>
  <c r="A154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2" i="2"/>
  <c r="A193" i="2"/>
  <c r="A194" i="2"/>
  <c r="A195" i="2"/>
  <c r="A196" i="2"/>
  <c r="A197" i="2"/>
  <c r="A199" i="2"/>
  <c r="A201" i="2"/>
  <c r="A202" i="2"/>
  <c r="A203" i="2"/>
  <c r="A204" i="2"/>
  <c r="A205" i="2"/>
  <c r="A206" i="2"/>
  <c r="A207" i="2"/>
  <c r="A210" i="2"/>
  <c r="A211" i="2"/>
  <c r="A212" i="2"/>
  <c r="A213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51" i="2"/>
  <c r="A252" i="2"/>
  <c r="A254" i="2"/>
  <c r="A258" i="2"/>
  <c r="A259" i="2"/>
  <c r="A260" i="2"/>
  <c r="A261" i="2"/>
  <c r="A263" i="2"/>
  <c r="A264" i="2"/>
  <c r="A267" i="2"/>
  <c r="A268" i="2"/>
  <c r="A270" i="2"/>
  <c r="A271" i="2"/>
  <c r="A272" i="2"/>
  <c r="A273" i="2"/>
  <c r="A275" i="2"/>
  <c r="A278" i="2"/>
  <c r="A279" i="2"/>
  <c r="A280" i="2"/>
  <c r="A281" i="2"/>
  <c r="A282" i="2"/>
  <c r="A283" i="2"/>
  <c r="A284" i="2"/>
  <c r="A285" i="2"/>
  <c r="A286" i="2"/>
  <c r="A288" i="2"/>
  <c r="A289" i="2"/>
  <c r="A290" i="2"/>
  <c r="A291" i="2"/>
  <c r="A292" i="2"/>
  <c r="A293" i="2"/>
  <c r="A298" i="2"/>
  <c r="A299" i="2"/>
  <c r="A300" i="2"/>
  <c r="A301" i="2"/>
  <c r="A302" i="2"/>
  <c r="A303" i="2"/>
  <c r="A305" i="2"/>
  <c r="A320" i="2"/>
  <c r="A323" i="2"/>
  <c r="A325" i="2"/>
  <c r="A326" i="2"/>
  <c r="A331" i="2"/>
  <c r="A332" i="2"/>
  <c r="A333" i="2"/>
  <c r="A334" i="2"/>
  <c r="A335" i="2"/>
  <c r="A337" i="2"/>
  <c r="A338" i="2"/>
  <c r="A339" i="2"/>
  <c r="A340" i="2"/>
  <c r="A341" i="2"/>
  <c r="A342" i="2"/>
  <c r="A344" i="2"/>
  <c r="A346" i="2"/>
  <c r="A347" i="2"/>
  <c r="A348" i="2"/>
  <c r="A351" i="2"/>
  <c r="A352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5" i="2"/>
  <c r="A434" i="2"/>
  <c r="A436" i="2"/>
  <c r="A437" i="2"/>
  <c r="A438" i="2"/>
  <c r="A439" i="2"/>
  <c r="A440" i="2"/>
  <c r="A441" i="2"/>
  <c r="A442" i="2"/>
  <c r="A443" i="2"/>
  <c r="A444" i="2"/>
  <c r="A447" i="2"/>
  <c r="A449" i="2"/>
  <c r="A450" i="2"/>
  <c r="A451" i="2"/>
  <c r="A456" i="2"/>
  <c r="A457" i="2"/>
  <c r="A458" i="2"/>
  <c r="A459" i="2"/>
  <c r="A460" i="2"/>
  <c r="A461" i="2"/>
  <c r="A462" i="2"/>
  <c r="A464" i="2"/>
  <c r="A465" i="2"/>
  <c r="A466" i="2"/>
  <c r="A467" i="2"/>
  <c r="A468" i="2"/>
  <c r="A469" i="2"/>
  <c r="A470" i="2"/>
  <c r="A471" i="2"/>
  <c r="A472" i="2"/>
  <c r="A473" i="2"/>
  <c r="A475" i="2"/>
  <c r="A476" i="2"/>
  <c r="A478" i="2"/>
  <c r="A480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9" i="2"/>
  <c r="A560" i="2"/>
  <c r="A561" i="2"/>
  <c r="A562" i="2"/>
  <c r="A565" i="2"/>
  <c r="A566" i="2"/>
  <c r="A567" i="2"/>
  <c r="A568" i="2"/>
  <c r="A569" i="2"/>
  <c r="A571" i="2"/>
  <c r="A572" i="2"/>
  <c r="A575" i="2"/>
  <c r="A577" i="2"/>
  <c r="A578" i="2"/>
  <c r="A579" i="2"/>
  <c r="A582" i="2"/>
  <c r="A583" i="2"/>
  <c r="A584" i="2"/>
  <c r="A585" i="2"/>
  <c r="A593" i="2"/>
  <c r="A586" i="2"/>
  <c r="A587" i="2"/>
  <c r="A588" i="2"/>
  <c r="A589" i="2"/>
  <c r="A590" i="2"/>
  <c r="A591" i="2"/>
  <c r="A592" i="2"/>
  <c r="A594" i="2"/>
  <c r="A597" i="2"/>
  <c r="A598" i="2"/>
  <c r="A599" i="2"/>
  <c r="A600" i="2"/>
  <c r="A601" i="2"/>
  <c r="A605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1781" i="2"/>
  <c r="A1782" i="2"/>
  <c r="A1783" i="2"/>
  <c r="A1784" i="2"/>
  <c r="A1785" i="2"/>
  <c r="A1786" i="2"/>
  <c r="A1789" i="2"/>
  <c r="A1790" i="2"/>
  <c r="A1791" i="2"/>
  <c r="A1792" i="2"/>
  <c r="A1797" i="2"/>
  <c r="A1799" i="2"/>
  <c r="A1800" i="2"/>
  <c r="A1801" i="2"/>
  <c r="A1802" i="2"/>
  <c r="A1803" i="2"/>
  <c r="A1804" i="2"/>
  <c r="A1805" i="2"/>
  <c r="A1806" i="2"/>
  <c r="A1811" i="2"/>
  <c r="A1812" i="2"/>
  <c r="A652" i="2"/>
  <c r="A653" i="2"/>
  <c r="A654" i="2"/>
  <c r="A655" i="2"/>
  <c r="A658" i="2"/>
  <c r="A661" i="2"/>
  <c r="A662" i="2"/>
  <c r="A663" i="2"/>
  <c r="A664" i="2"/>
  <c r="A666" i="2"/>
  <c r="A667" i="2"/>
  <c r="A684" i="2"/>
  <c r="A704" i="2"/>
  <c r="A707" i="2"/>
  <c r="A708" i="2"/>
  <c r="A709" i="2"/>
  <c r="A712" i="2"/>
  <c r="A713" i="2"/>
  <c r="A715" i="2"/>
  <c r="A718" i="2"/>
  <c r="A719" i="2"/>
  <c r="A720" i="2"/>
  <c r="A721" i="2"/>
  <c r="A722" i="2"/>
  <c r="A723" i="2"/>
  <c r="A724" i="2"/>
  <c r="A725" i="2"/>
  <c r="A726" i="2"/>
  <c r="A727" i="2"/>
  <c r="A728" i="2"/>
  <c r="A731" i="2"/>
  <c r="A732" i="2"/>
  <c r="A733" i="2"/>
  <c r="A734" i="2"/>
  <c r="A735" i="2"/>
  <c r="A737" i="2"/>
  <c r="A738" i="2"/>
  <c r="A739" i="2"/>
  <c r="A740" i="2"/>
  <c r="A741" i="2"/>
  <c r="A742" i="2"/>
  <c r="A743" i="2"/>
  <c r="A744" i="2"/>
  <c r="A745" i="2"/>
  <c r="A746" i="2"/>
  <c r="A747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909" i="2"/>
  <c r="A815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8" i="2"/>
  <c r="A907" i="2"/>
  <c r="A910" i="2"/>
  <c r="A911" i="2"/>
  <c r="A912" i="2"/>
  <c r="A913" i="2"/>
  <c r="A914" i="2"/>
  <c r="A915" i="2"/>
  <c r="A916" i="2"/>
  <c r="A917" i="2"/>
  <c r="A918" i="2"/>
  <c r="A919" i="2"/>
  <c r="A920" i="2"/>
  <c r="A143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7" i="2"/>
  <c r="A938" i="2"/>
  <c r="A940" i="2"/>
  <c r="A941" i="2"/>
  <c r="A942" i="2"/>
  <c r="A943" i="2"/>
  <c r="A944" i="2"/>
  <c r="A945" i="2"/>
  <c r="A947" i="2"/>
  <c r="A948" i="2"/>
  <c r="A949" i="2"/>
  <c r="A950" i="2"/>
  <c r="A951" i="2"/>
  <c r="A957" i="2"/>
  <c r="A963" i="2"/>
  <c r="A958" i="2"/>
  <c r="A959" i="2"/>
  <c r="A960" i="2"/>
  <c r="A961" i="2"/>
  <c r="A962" i="2"/>
  <c r="A965" i="2"/>
  <c r="A966" i="2"/>
  <c r="A967" i="2"/>
  <c r="A968" i="2"/>
  <c r="A969" i="2"/>
  <c r="A970" i="2"/>
  <c r="A971" i="2"/>
  <c r="A972" i="2"/>
  <c r="A976" i="2"/>
  <c r="A977" i="2"/>
  <c r="A978" i="2"/>
  <c r="A980" i="2"/>
  <c r="A981" i="2"/>
  <c r="A982" i="2"/>
  <c r="A983" i="2"/>
  <c r="A984" i="2"/>
  <c r="A985" i="2"/>
  <c r="A986" i="2"/>
  <c r="A987" i="2"/>
  <c r="A988" i="2"/>
  <c r="A1001" i="2"/>
  <c r="A1002" i="2"/>
  <c r="A1004" i="2"/>
  <c r="A1005" i="2"/>
  <c r="A1007" i="2"/>
  <c r="A1008" i="2"/>
  <c r="A1009" i="2"/>
  <c r="A1010" i="2"/>
  <c r="A1012" i="2"/>
  <c r="A1013" i="2"/>
  <c r="A1014" i="2"/>
  <c r="A1015" i="2"/>
  <c r="A1016" i="2"/>
  <c r="A1017" i="2"/>
  <c r="A1018" i="2"/>
  <c r="A1019" i="2"/>
  <c r="A1024" i="2"/>
  <c r="A1025" i="2"/>
  <c r="A1026" i="2"/>
  <c r="A1027" i="2"/>
  <c r="A1035" i="2"/>
  <c r="A1028" i="2"/>
  <c r="A1029" i="2"/>
  <c r="A1030" i="2"/>
  <c r="A1031" i="2"/>
  <c r="A1032" i="2"/>
  <c r="A1033" i="2"/>
  <c r="A1034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62" i="2"/>
  <c r="A1064" i="2"/>
  <c r="A1063" i="2"/>
  <c r="A1061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3" i="2"/>
  <c r="A1084" i="2"/>
  <c r="A1088" i="2"/>
  <c r="A1090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90" i="2"/>
  <c r="A1191" i="2"/>
  <c r="A1192" i="2"/>
  <c r="A1193" i="2"/>
  <c r="A1194" i="2"/>
  <c r="A1195" i="2"/>
  <c r="A1196" i="2"/>
  <c r="A1197" i="2"/>
  <c r="A1199" i="2"/>
  <c r="A1200" i="2"/>
  <c r="A1201" i="2"/>
  <c r="A1202" i="2"/>
  <c r="A1203" i="2"/>
  <c r="A1204" i="2"/>
  <c r="A1205" i="2"/>
  <c r="A1206" i="2"/>
  <c r="A1207" i="2"/>
  <c r="A1208" i="2"/>
  <c r="A1322" i="2"/>
  <c r="A1323" i="2"/>
  <c r="A1324" i="2"/>
  <c r="A1325" i="2"/>
  <c r="A1326" i="2"/>
  <c r="A1327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979" i="2"/>
  <c r="A1353" i="2"/>
  <c r="A1354" i="2"/>
  <c r="A1355" i="2"/>
  <c r="A1356" i="2"/>
  <c r="A1357" i="2"/>
  <c r="A1360" i="2"/>
  <c r="A1361" i="2"/>
  <c r="A1365" i="2"/>
  <c r="A1366" i="2"/>
  <c r="A1372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4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6" i="2"/>
  <c r="A1467" i="2"/>
  <c r="A1469" i="2"/>
  <c r="A1470" i="2"/>
  <c r="A1471" i="2"/>
  <c r="A1473" i="2"/>
  <c r="A1476" i="2"/>
  <c r="A1477" i="2"/>
  <c r="A1478" i="2"/>
  <c r="A1479" i="2"/>
  <c r="A1480" i="2"/>
  <c r="A1481" i="2"/>
  <c r="A1482" i="2"/>
  <c r="A1484" i="2"/>
  <c r="A1485" i="2"/>
  <c r="A1486" i="2"/>
  <c r="A1487" i="2"/>
  <c r="A1488" i="2"/>
  <c r="A1489" i="2"/>
  <c r="A1490" i="2"/>
  <c r="A1491" i="2"/>
  <c r="A1492" i="2"/>
  <c r="A1494" i="2"/>
  <c r="A1495" i="2"/>
  <c r="A1500" i="2"/>
  <c r="A1501" i="2"/>
  <c r="A1502" i="2"/>
  <c r="A1503" i="2"/>
  <c r="A1505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7" i="2"/>
  <c r="A1558" i="2"/>
  <c r="A1560" i="2"/>
  <c r="A1561" i="2"/>
  <c r="A1562" i="2"/>
  <c r="A1563" i="2"/>
  <c r="A1564" i="2"/>
  <c r="A1566" i="2"/>
  <c r="A1571" i="2"/>
  <c r="A1572" i="2"/>
  <c r="A1573" i="2"/>
  <c r="A1574" i="2"/>
  <c r="A1575" i="2"/>
  <c r="A1576" i="2"/>
  <c r="A1577" i="2"/>
  <c r="A1578" i="2"/>
  <c r="A1579" i="2"/>
  <c r="A1581" i="2"/>
  <c r="A1582" i="2"/>
  <c r="A1583" i="2"/>
  <c r="A1585" i="2"/>
  <c r="A1586" i="2"/>
  <c r="A1587" i="2"/>
  <c r="A1589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13" i="2"/>
  <c r="A1715" i="2"/>
  <c r="A1717" i="2"/>
  <c r="A1719" i="2"/>
  <c r="A1720" i="2"/>
  <c r="A1721" i="2"/>
  <c r="A1722" i="2"/>
  <c r="A1724" i="2"/>
  <c r="A1728" i="2"/>
  <c r="A1729" i="2"/>
  <c r="A1730" i="2"/>
  <c r="A1737" i="2"/>
  <c r="A1738" i="2"/>
  <c r="A1739" i="2"/>
  <c r="A1740" i="2"/>
  <c r="A1742" i="2"/>
  <c r="A1743" i="2"/>
  <c r="A1744" i="2"/>
  <c r="A1746" i="2"/>
  <c r="A1747" i="2"/>
  <c r="A1748" i="2"/>
  <c r="A1749" i="2"/>
  <c r="A1750" i="2"/>
  <c r="A1751" i="2"/>
  <c r="A1752" i="2"/>
  <c r="A1753" i="2"/>
  <c r="A1755" i="2"/>
  <c r="A1756" i="2"/>
  <c r="A1757" i="2"/>
  <c r="A1758" i="2"/>
  <c r="A1759" i="2"/>
  <c r="A1760" i="2"/>
  <c r="A1761" i="2"/>
  <c r="A1764" i="2"/>
  <c r="A1765" i="2"/>
  <c r="A1768" i="2"/>
  <c r="A1770" i="2"/>
  <c r="A1771" i="2"/>
  <c r="A1772" i="2"/>
  <c r="A1773" i="2"/>
  <c r="A1775" i="2"/>
  <c r="A1776" i="2"/>
  <c r="A1777" i="2"/>
  <c r="A1778" i="2"/>
  <c r="A1779" i="2"/>
  <c r="A1780" i="2"/>
  <c r="A1813" i="2"/>
  <c r="A1814" i="2"/>
  <c r="A14" i="2"/>
  <c r="A15" i="2"/>
  <c r="A16" i="2"/>
  <c r="A17" i="2"/>
  <c r="A18" i="2"/>
  <c r="A19" i="2"/>
  <c r="A20" i="2"/>
  <c r="A21" i="2"/>
  <c r="A22" i="2"/>
  <c r="A23" i="2"/>
  <c r="BE104" i="3" l="1"/>
  <c r="BF104" i="3" s="1"/>
  <c r="BE100" i="3"/>
  <c r="BF100" i="3" s="1"/>
  <c r="BE96" i="3"/>
  <c r="BE92" i="3"/>
  <c r="BE88" i="3"/>
  <c r="BF88" i="3" s="1"/>
  <c r="BE84" i="3"/>
  <c r="BF84" i="3" s="1"/>
  <c r="BE80" i="3"/>
  <c r="BA104" i="3"/>
  <c r="BC104" i="3" s="1"/>
  <c r="BA100" i="3"/>
  <c r="BC100" i="3" s="1"/>
  <c r="BA96" i="3"/>
  <c r="BC96" i="3" s="1"/>
  <c r="BA92" i="3"/>
  <c r="BC92" i="3" s="1"/>
  <c r="BA88" i="3"/>
  <c r="BC88" i="3" s="1"/>
  <c r="BA84" i="3"/>
  <c r="BC84" i="3" s="1"/>
  <c r="BA80" i="3"/>
  <c r="BC80" i="3" s="1"/>
  <c r="AX101" i="3"/>
  <c r="AX97" i="3"/>
  <c r="AX93" i="3"/>
  <c r="AX89" i="3"/>
  <c r="AY89" i="3" s="1"/>
  <c r="AX85" i="3"/>
  <c r="AX81" i="3"/>
  <c r="AU102" i="3"/>
  <c r="AW102" i="3" s="1"/>
  <c r="AU98" i="3"/>
  <c r="AW98" i="3" s="1"/>
  <c r="AU94" i="3"/>
  <c r="AW94" i="3" s="1"/>
  <c r="AU90" i="3"/>
  <c r="AW90" i="3" s="1"/>
  <c r="AU86" i="3"/>
  <c r="AW86" i="3" s="1"/>
  <c r="AU82" i="3"/>
  <c r="AW82" i="3" s="1"/>
  <c r="BF96" i="3"/>
  <c r="BF92" i="3"/>
  <c r="BF80" i="3"/>
  <c r="BE103" i="3"/>
  <c r="BF103" i="3" s="1"/>
  <c r="BE99" i="3"/>
  <c r="BF99" i="3" s="1"/>
  <c r="BE95" i="3"/>
  <c r="BF95" i="3" s="1"/>
  <c r="BE91" i="3"/>
  <c r="BE87" i="3"/>
  <c r="BF87" i="3" s="1"/>
  <c r="BE83" i="3"/>
  <c r="BF83" i="3" s="1"/>
  <c r="BE79" i="3"/>
  <c r="BB104" i="3"/>
  <c r="BB92" i="3"/>
  <c r="BB88" i="3"/>
  <c r="BA103" i="3"/>
  <c r="BB103" i="3" s="1"/>
  <c r="BA99" i="3"/>
  <c r="BB99" i="3" s="1"/>
  <c r="BA95" i="3"/>
  <c r="BB95" i="3" s="1"/>
  <c r="BA91" i="3"/>
  <c r="BB91" i="3" s="1"/>
  <c r="BA87" i="3"/>
  <c r="BB87" i="3" s="1"/>
  <c r="BA83" i="3"/>
  <c r="BB83" i="3" s="1"/>
  <c r="BA79" i="3"/>
  <c r="BB79" i="3" s="1"/>
  <c r="AZ101" i="3"/>
  <c r="AZ97" i="3"/>
  <c r="AZ93" i="3"/>
  <c r="AZ89" i="3"/>
  <c r="AZ85" i="3"/>
  <c r="AZ81" i="3"/>
  <c r="AX104" i="3"/>
  <c r="AY104" i="3" s="1"/>
  <c r="AX100" i="3"/>
  <c r="AY100" i="3" s="1"/>
  <c r="AX96" i="3"/>
  <c r="AY96" i="3" s="1"/>
  <c r="AX92" i="3"/>
  <c r="AY92" i="3" s="1"/>
  <c r="AX88" i="3"/>
  <c r="AY88" i="3" s="1"/>
  <c r="AX84" i="3"/>
  <c r="AY84" i="3" s="1"/>
  <c r="AX80" i="3"/>
  <c r="AY80" i="3" s="1"/>
  <c r="AV94" i="3"/>
  <c r="AV90" i="3"/>
  <c r="AU101" i="3"/>
  <c r="AW101" i="3" s="1"/>
  <c r="AU97" i="3"/>
  <c r="AU93" i="3"/>
  <c r="AW93" i="3" s="1"/>
  <c r="AU89" i="3"/>
  <c r="AU85" i="3"/>
  <c r="AW85" i="3" s="1"/>
  <c r="AU81" i="3"/>
  <c r="AW81" i="3" s="1"/>
  <c r="BF91" i="3"/>
  <c r="BF79" i="3"/>
  <c r="BE102" i="3"/>
  <c r="BF102" i="3" s="1"/>
  <c r="BE98" i="3"/>
  <c r="BE94" i="3"/>
  <c r="BE90" i="3"/>
  <c r="BF90" i="3" s="1"/>
  <c r="BE86" i="3"/>
  <c r="BF86" i="3" s="1"/>
  <c r="BE82" i="3"/>
  <c r="BE78" i="3"/>
  <c r="BD103" i="3"/>
  <c r="BD91" i="3"/>
  <c r="BD87" i="3"/>
  <c r="BD83" i="3"/>
  <c r="BA102" i="3"/>
  <c r="BD102" i="3" s="1"/>
  <c r="BA98" i="3"/>
  <c r="BC98" i="3" s="1"/>
  <c r="BA94" i="3"/>
  <c r="BD94" i="3" s="1"/>
  <c r="BA90" i="3"/>
  <c r="BD90" i="3" s="1"/>
  <c r="BA86" i="3"/>
  <c r="BD86" i="3" s="1"/>
  <c r="BA82" i="3"/>
  <c r="BC82" i="3" s="1"/>
  <c r="BA78" i="3"/>
  <c r="BD78" i="3" s="1"/>
  <c r="AY101" i="3"/>
  <c r="AY97" i="3"/>
  <c r="AY93" i="3"/>
  <c r="AY85" i="3"/>
  <c r="AY81" i="3"/>
  <c r="AX103" i="3"/>
  <c r="AZ103" i="3" s="1"/>
  <c r="AX99" i="3"/>
  <c r="AZ99" i="3" s="1"/>
  <c r="AX95" i="3"/>
  <c r="AZ95" i="3" s="1"/>
  <c r="AX91" i="3"/>
  <c r="AZ91" i="3" s="1"/>
  <c r="AX87" i="3"/>
  <c r="AZ87" i="3" s="1"/>
  <c r="AX83" i="3"/>
  <c r="AZ83" i="3" s="1"/>
  <c r="AX79" i="3"/>
  <c r="AZ79" i="3" s="1"/>
  <c r="AW97" i="3"/>
  <c r="AW89" i="3"/>
  <c r="AU104" i="3"/>
  <c r="AW104" i="3" s="1"/>
  <c r="AU100" i="3"/>
  <c r="AV100" i="3" s="1"/>
  <c r="AU96" i="3"/>
  <c r="AW96" i="3" s="1"/>
  <c r="AU92" i="3"/>
  <c r="AV92" i="3" s="1"/>
  <c r="AU88" i="3"/>
  <c r="AW88" i="3" s="1"/>
  <c r="AU84" i="3"/>
  <c r="AV84" i="3" s="1"/>
  <c r="AU80" i="3"/>
  <c r="AW80" i="3" s="1"/>
  <c r="BF98" i="3"/>
  <c r="BF94" i="3"/>
  <c r="BF82" i="3"/>
  <c r="BF78" i="3"/>
  <c r="BE101" i="3"/>
  <c r="BF101" i="3" s="1"/>
  <c r="BE97" i="3"/>
  <c r="BF97" i="3" s="1"/>
  <c r="BE93" i="3"/>
  <c r="BF93" i="3" s="1"/>
  <c r="BE89" i="3"/>
  <c r="BF89" i="3" s="1"/>
  <c r="BE85" i="3"/>
  <c r="BF85" i="3" s="1"/>
  <c r="BE81" i="3"/>
  <c r="BF81" i="3" s="1"/>
  <c r="BD104" i="3"/>
  <c r="BC103" i="3"/>
  <c r="BB102" i="3"/>
  <c r="BD100" i="3"/>
  <c r="BC99" i="3"/>
  <c r="BC95" i="3"/>
  <c r="BB94" i="3"/>
  <c r="BD92" i="3"/>
  <c r="BC91" i="3"/>
  <c r="BD88" i="3"/>
  <c r="BC87" i="3"/>
  <c r="BD84" i="3"/>
  <c r="BC83" i="3"/>
  <c r="BC79" i="3"/>
  <c r="BB78" i="3"/>
  <c r="BA101" i="3"/>
  <c r="BD101" i="3" s="1"/>
  <c r="BA97" i="3"/>
  <c r="BC97" i="3" s="1"/>
  <c r="BA93" i="3"/>
  <c r="BB93" i="3" s="1"/>
  <c r="BA89" i="3"/>
  <c r="BD89" i="3" s="1"/>
  <c r="BA85" i="3"/>
  <c r="BD85" i="3" s="1"/>
  <c r="BA81" i="3"/>
  <c r="BC81" i="3" s="1"/>
  <c r="AZ104" i="3"/>
  <c r="AZ96" i="3"/>
  <c r="AZ92" i="3"/>
  <c r="AZ88" i="3"/>
  <c r="AZ80" i="3"/>
  <c r="AX102" i="3"/>
  <c r="AZ102" i="3" s="1"/>
  <c r="AX98" i="3"/>
  <c r="AY98" i="3" s="1"/>
  <c r="AX94" i="3"/>
  <c r="AZ94" i="3" s="1"/>
  <c r="AX90" i="3"/>
  <c r="AY90" i="3" s="1"/>
  <c r="AX86" i="3"/>
  <c r="AZ86" i="3" s="1"/>
  <c r="AX82" i="3"/>
  <c r="AY82" i="3" s="1"/>
  <c r="AX78" i="3"/>
  <c r="AZ78" i="3" s="1"/>
  <c r="AV97" i="3"/>
  <c r="AV93" i="3"/>
  <c r="AV89" i="3"/>
  <c r="AV81" i="3"/>
  <c r="AU103" i="3"/>
  <c r="AV103" i="3" s="1"/>
  <c r="AU99" i="3"/>
  <c r="AW99" i="3" s="1"/>
  <c r="AU95" i="3"/>
  <c r="AV95" i="3" s="1"/>
  <c r="AU91" i="3"/>
  <c r="AW91" i="3" s="1"/>
  <c r="AU87" i="3"/>
  <c r="AV87" i="3" s="1"/>
  <c r="AU83" i="3"/>
  <c r="AW83" i="3" s="1"/>
  <c r="AU79" i="3"/>
  <c r="AV79" i="3" s="1"/>
  <c r="AU78" i="3"/>
  <c r="AW78" i="3" s="1"/>
  <c r="AP104" i="3"/>
  <c r="AT104" i="3" s="1"/>
  <c r="AP100" i="3"/>
  <c r="AQ100" i="3" s="1"/>
  <c r="AP96" i="3"/>
  <c r="AQ96" i="3" s="1"/>
  <c r="AP92" i="3"/>
  <c r="AQ92" i="3" s="1"/>
  <c r="AP88" i="3"/>
  <c r="AQ88" i="3" s="1"/>
  <c r="AP84" i="3"/>
  <c r="AT84" i="3" s="1"/>
  <c r="AP80" i="3"/>
  <c r="AT80" i="3" s="1"/>
  <c r="AN102" i="3"/>
  <c r="AN98" i="3"/>
  <c r="AO98" i="3" s="1"/>
  <c r="AN94" i="3"/>
  <c r="AO94" i="3" s="1"/>
  <c r="AN90" i="3"/>
  <c r="AO90" i="3" s="1"/>
  <c r="AN86" i="3"/>
  <c r="AN82" i="3"/>
  <c r="AO82" i="3" s="1"/>
  <c r="AN78" i="3"/>
  <c r="AO78" i="3" s="1"/>
  <c r="AT92" i="3"/>
  <c r="AP103" i="3"/>
  <c r="AS103" i="3" s="1"/>
  <c r="AP99" i="3"/>
  <c r="AQ99" i="3" s="1"/>
  <c r="AP95" i="3"/>
  <c r="AQ95" i="3" s="1"/>
  <c r="AP91" i="3"/>
  <c r="AQ91" i="3" s="1"/>
  <c r="AP87" i="3"/>
  <c r="AS87" i="3" s="1"/>
  <c r="AP83" i="3"/>
  <c r="AS83" i="3" s="1"/>
  <c r="AP79" i="3"/>
  <c r="AS79" i="3" s="1"/>
  <c r="AO102" i="3"/>
  <c r="AO86" i="3"/>
  <c r="AN101" i="3"/>
  <c r="AO101" i="3" s="1"/>
  <c r="AN97" i="3"/>
  <c r="AO97" i="3" s="1"/>
  <c r="AN93" i="3"/>
  <c r="AO93" i="3" s="1"/>
  <c r="AN89" i="3"/>
  <c r="AO89" i="3" s="1"/>
  <c r="AN85" i="3"/>
  <c r="AO85" i="3" s="1"/>
  <c r="AN81" i="3"/>
  <c r="AO81" i="3" s="1"/>
  <c r="AS92" i="3"/>
  <c r="AR87" i="3"/>
  <c r="AP102" i="3"/>
  <c r="AT102" i="3" s="1"/>
  <c r="AP98" i="3"/>
  <c r="AS98" i="3" s="1"/>
  <c r="AP94" i="3"/>
  <c r="AS94" i="3" s="1"/>
  <c r="AP90" i="3"/>
  <c r="AS90" i="3" s="1"/>
  <c r="AP86" i="3"/>
  <c r="AT86" i="3" s="1"/>
  <c r="AP82" i="3"/>
  <c r="AT82" i="3" s="1"/>
  <c r="AP78" i="3"/>
  <c r="AT78" i="3" s="1"/>
  <c r="AN104" i="3"/>
  <c r="AO104" i="3" s="1"/>
  <c r="AN100" i="3"/>
  <c r="AN96" i="3"/>
  <c r="AO96" i="3" s="1"/>
  <c r="AN92" i="3"/>
  <c r="AO92" i="3" s="1"/>
  <c r="AN88" i="3"/>
  <c r="AO88" i="3" s="1"/>
  <c r="AN84" i="3"/>
  <c r="AO84" i="3" s="1"/>
  <c r="AN80" i="3"/>
  <c r="AO80" i="3" s="1"/>
  <c r="G83" i="3"/>
  <c r="AR99" i="3"/>
  <c r="AR96" i="3"/>
  <c r="AR92" i="3"/>
  <c r="AQ80" i="3"/>
  <c r="AP101" i="3"/>
  <c r="AT101" i="3" s="1"/>
  <c r="AP97" i="3"/>
  <c r="AS97" i="3" s="1"/>
  <c r="AP93" i="3"/>
  <c r="AS93" i="3" s="1"/>
  <c r="AP89" i="3"/>
  <c r="AS89" i="3" s="1"/>
  <c r="AP85" i="3"/>
  <c r="AT85" i="3" s="1"/>
  <c r="AP81" i="3"/>
  <c r="AT81" i="3" s="1"/>
  <c r="AO100" i="3"/>
  <c r="AN103" i="3"/>
  <c r="AO103" i="3" s="1"/>
  <c r="AN99" i="3"/>
  <c r="AO99" i="3" s="1"/>
  <c r="AN95" i="3"/>
  <c r="AO95" i="3" s="1"/>
  <c r="AN91" i="3"/>
  <c r="AO91" i="3" s="1"/>
  <c r="AN87" i="3"/>
  <c r="AO87" i="3" s="1"/>
  <c r="AN83" i="3"/>
  <c r="AO83" i="3" s="1"/>
  <c r="AN79" i="3"/>
  <c r="AO79" i="3" s="1"/>
  <c r="F83" i="3"/>
  <c r="I83" i="3"/>
  <c r="AK102" i="3"/>
  <c r="AM102" i="3" s="1"/>
  <c r="AK98" i="3"/>
  <c r="AM98" i="3" s="1"/>
  <c r="AK94" i="3"/>
  <c r="AM94" i="3" s="1"/>
  <c r="AK90" i="3"/>
  <c r="AM90" i="3" s="1"/>
  <c r="AK86" i="3"/>
  <c r="AM86" i="3" s="1"/>
  <c r="AK82" i="3"/>
  <c r="AM82" i="3" s="1"/>
  <c r="AK78" i="3"/>
  <c r="AM78" i="3" s="1"/>
  <c r="AG102" i="3"/>
  <c r="AI102" i="3" s="1"/>
  <c r="AG98" i="3"/>
  <c r="AI98" i="3" s="1"/>
  <c r="AG94" i="3"/>
  <c r="AI94" i="3" s="1"/>
  <c r="AG90" i="3"/>
  <c r="AI90" i="3" s="1"/>
  <c r="AG86" i="3"/>
  <c r="AI86" i="3" s="1"/>
  <c r="AG82" i="3"/>
  <c r="AI82" i="3" s="1"/>
  <c r="AG78" i="3"/>
  <c r="AI78" i="3" s="1"/>
  <c r="AD103" i="3"/>
  <c r="AE103" i="3" s="1"/>
  <c r="AD99" i="3"/>
  <c r="AE99" i="3" s="1"/>
  <c r="AD95" i="3"/>
  <c r="AE95" i="3" s="1"/>
  <c r="AD91" i="3"/>
  <c r="AE91" i="3" s="1"/>
  <c r="AD87" i="3"/>
  <c r="AE87" i="3" s="1"/>
  <c r="AD83" i="3"/>
  <c r="AE83" i="3" s="1"/>
  <c r="AD79" i="3"/>
  <c r="AE79" i="3" s="1"/>
  <c r="H83" i="3"/>
  <c r="AK101" i="3"/>
  <c r="AM101" i="3" s="1"/>
  <c r="AK97" i="3"/>
  <c r="AM97" i="3" s="1"/>
  <c r="AK93" i="3"/>
  <c r="AM93" i="3" s="1"/>
  <c r="AK89" i="3"/>
  <c r="AM89" i="3" s="1"/>
  <c r="AK85" i="3"/>
  <c r="AM85" i="3" s="1"/>
  <c r="AK81" i="3"/>
  <c r="AM81" i="3" s="1"/>
  <c r="AG101" i="3"/>
  <c r="AH101" i="3" s="1"/>
  <c r="AG97" i="3"/>
  <c r="AH97" i="3" s="1"/>
  <c r="AG93" i="3"/>
  <c r="AH93" i="3" s="1"/>
  <c r="AG89" i="3"/>
  <c r="AH89" i="3" s="1"/>
  <c r="AG85" i="3"/>
  <c r="AH85" i="3" s="1"/>
  <c r="AG81" i="3"/>
  <c r="AH81" i="3" s="1"/>
  <c r="AD102" i="3"/>
  <c r="AF102" i="3" s="1"/>
  <c r="AD98" i="3"/>
  <c r="AF98" i="3" s="1"/>
  <c r="AD94" i="3"/>
  <c r="AF94" i="3" s="1"/>
  <c r="AD90" i="3"/>
  <c r="AF90" i="3" s="1"/>
  <c r="AD86" i="3"/>
  <c r="AF86" i="3" s="1"/>
  <c r="AD82" i="3"/>
  <c r="AF82" i="3" s="1"/>
  <c r="AD78" i="3"/>
  <c r="AF78" i="3" s="1"/>
  <c r="AM83" i="3"/>
  <c r="AK104" i="3"/>
  <c r="AL104" i="3" s="1"/>
  <c r="AK100" i="3"/>
  <c r="AM100" i="3" s="1"/>
  <c r="AK96" i="3"/>
  <c r="AL96" i="3" s="1"/>
  <c r="AK92" i="3"/>
  <c r="AM92" i="3" s="1"/>
  <c r="AK88" i="3"/>
  <c r="AL88" i="3" s="1"/>
  <c r="AK84" i="3"/>
  <c r="AM84" i="3" s="1"/>
  <c r="AK80" i="3"/>
  <c r="AL80" i="3" s="1"/>
  <c r="AG104" i="3"/>
  <c r="AJ104" i="3" s="1"/>
  <c r="AG100" i="3"/>
  <c r="AI100" i="3" s="1"/>
  <c r="AG96" i="3"/>
  <c r="AJ96" i="3" s="1"/>
  <c r="AG92" i="3"/>
  <c r="AJ92" i="3" s="1"/>
  <c r="AG88" i="3"/>
  <c r="AJ88" i="3" s="1"/>
  <c r="AG84" i="3"/>
  <c r="AI84" i="3" s="1"/>
  <c r="AG80" i="3"/>
  <c r="AJ80" i="3" s="1"/>
  <c r="AD101" i="3"/>
  <c r="AE101" i="3" s="1"/>
  <c r="AD97" i="3"/>
  <c r="AE97" i="3" s="1"/>
  <c r="AD93" i="3"/>
  <c r="AE93" i="3" s="1"/>
  <c r="AD89" i="3"/>
  <c r="AE89" i="3" s="1"/>
  <c r="AD85" i="3"/>
  <c r="AE85" i="3" s="1"/>
  <c r="AD81" i="3"/>
  <c r="AE81" i="3" s="1"/>
  <c r="AL101" i="3"/>
  <c r="AL89" i="3"/>
  <c r="AL85" i="3"/>
  <c r="AK103" i="3"/>
  <c r="AM103" i="3" s="1"/>
  <c r="AK99" i="3"/>
  <c r="AL99" i="3" s="1"/>
  <c r="AK95" i="3"/>
  <c r="AM95" i="3" s="1"/>
  <c r="AK91" i="3"/>
  <c r="AL91" i="3" s="1"/>
  <c r="AK87" i="3"/>
  <c r="AM87" i="3" s="1"/>
  <c r="AK83" i="3"/>
  <c r="AL83" i="3" s="1"/>
  <c r="AK79" i="3"/>
  <c r="AM79" i="3" s="1"/>
  <c r="AJ102" i="3"/>
  <c r="AI101" i="3"/>
  <c r="AJ98" i="3"/>
  <c r="AJ94" i="3"/>
  <c r="AI93" i="3"/>
  <c r="AI85" i="3"/>
  <c r="AJ82" i="3"/>
  <c r="AG103" i="3"/>
  <c r="AJ103" i="3" s="1"/>
  <c r="AG99" i="3"/>
  <c r="AI99" i="3" s="1"/>
  <c r="AG95" i="3"/>
  <c r="AH95" i="3" s="1"/>
  <c r="AG91" i="3"/>
  <c r="AJ91" i="3" s="1"/>
  <c r="AG87" i="3"/>
  <c r="AJ87" i="3" s="1"/>
  <c r="AG83" i="3"/>
  <c r="AI83" i="3" s="1"/>
  <c r="AG79" i="3"/>
  <c r="AH79" i="3" s="1"/>
  <c r="AF95" i="3"/>
  <c r="AF91" i="3"/>
  <c r="AF83" i="3"/>
  <c r="AF79" i="3"/>
  <c r="AD104" i="3"/>
  <c r="AE104" i="3" s="1"/>
  <c r="AD100" i="3"/>
  <c r="AF100" i="3" s="1"/>
  <c r="AD96" i="3"/>
  <c r="AE96" i="3" s="1"/>
  <c r="AD92" i="3"/>
  <c r="AF92" i="3" s="1"/>
  <c r="AD88" i="3"/>
  <c r="AE88" i="3" s="1"/>
  <c r="AD84" i="3"/>
  <c r="AF84" i="3" s="1"/>
  <c r="AD80" i="3"/>
  <c r="AE80" i="3" s="1"/>
  <c r="X104" i="3"/>
  <c r="AC104" i="3" s="1"/>
  <c r="X100" i="3"/>
  <c r="AC100" i="3" s="1"/>
  <c r="X96" i="3"/>
  <c r="Z96" i="3" s="1"/>
  <c r="X92" i="3"/>
  <c r="Z92" i="3" s="1"/>
  <c r="X88" i="3"/>
  <c r="Z88" i="3" s="1"/>
  <c r="X84" i="3"/>
  <c r="Z84" i="3" s="1"/>
  <c r="X80" i="3"/>
  <c r="Z80" i="3" s="1"/>
  <c r="X103" i="3"/>
  <c r="Y103" i="3" s="1"/>
  <c r="X99" i="3"/>
  <c r="Z99" i="3" s="1"/>
  <c r="X95" i="3"/>
  <c r="AA95" i="3" s="1"/>
  <c r="X91" i="3"/>
  <c r="AA91" i="3" s="1"/>
  <c r="X87" i="3"/>
  <c r="AA87" i="3" s="1"/>
  <c r="X83" i="3"/>
  <c r="Z83" i="3" s="1"/>
  <c r="X79" i="3"/>
  <c r="AA79" i="3" s="1"/>
  <c r="P102" i="3"/>
  <c r="T102" i="3" s="1"/>
  <c r="P98" i="3"/>
  <c r="T98" i="3" s="1"/>
  <c r="P94" i="3"/>
  <c r="R94" i="3" s="1"/>
  <c r="P90" i="3"/>
  <c r="W90" i="3" s="1"/>
  <c r="P86" i="3"/>
  <c r="W86" i="3" s="1"/>
  <c r="AB103" i="3"/>
  <c r="Y99" i="3"/>
  <c r="X102" i="3"/>
  <c r="AC102" i="3" s="1"/>
  <c r="X98" i="3"/>
  <c r="Y98" i="3" s="1"/>
  <c r="X94" i="3"/>
  <c r="Y94" i="3" s="1"/>
  <c r="X90" i="3"/>
  <c r="Z90" i="3" s="1"/>
  <c r="X86" i="3"/>
  <c r="AA86" i="3" s="1"/>
  <c r="X82" i="3"/>
  <c r="Z82" i="3" s="1"/>
  <c r="X78" i="3"/>
  <c r="Y78" i="3" s="1"/>
  <c r="V83" i="3"/>
  <c r="P101" i="3"/>
  <c r="U101" i="3" s="1"/>
  <c r="AB91" i="3"/>
  <c r="AA88" i="3"/>
  <c r="X101" i="3"/>
  <c r="AC101" i="3" s="1"/>
  <c r="X97" i="3"/>
  <c r="Z97" i="3" s="1"/>
  <c r="X93" i="3"/>
  <c r="X89" i="3"/>
  <c r="X85" i="3"/>
  <c r="Z85" i="3" s="1"/>
  <c r="X81" i="3"/>
  <c r="Z81" i="3" s="1"/>
  <c r="U102" i="3"/>
  <c r="U87" i="3"/>
  <c r="U83" i="3"/>
  <c r="P104" i="3"/>
  <c r="W104" i="3" s="1"/>
  <c r="P100" i="3"/>
  <c r="P96" i="3"/>
  <c r="P92" i="3"/>
  <c r="W92" i="3" s="1"/>
  <c r="P88" i="3"/>
  <c r="V88" i="3" s="1"/>
  <c r="P84" i="3"/>
  <c r="W84" i="3" s="1"/>
  <c r="P103" i="3"/>
  <c r="P93" i="3"/>
  <c r="W93" i="3" s="1"/>
  <c r="P85" i="3"/>
  <c r="T85" i="3" s="1"/>
  <c r="P80" i="3"/>
  <c r="S80" i="3" s="1"/>
  <c r="M101" i="3"/>
  <c r="M97" i="3"/>
  <c r="N97" i="3" s="1"/>
  <c r="M93" i="3"/>
  <c r="N93" i="3" s="1"/>
  <c r="M89" i="3"/>
  <c r="M85" i="3"/>
  <c r="M81" i="3"/>
  <c r="O81" i="3" s="1"/>
  <c r="J102" i="3"/>
  <c r="L102" i="3" s="1"/>
  <c r="J98" i="3"/>
  <c r="L98" i="3" s="1"/>
  <c r="J94" i="3"/>
  <c r="L94" i="3" s="1"/>
  <c r="J90" i="3"/>
  <c r="L90" i="3" s="1"/>
  <c r="J86" i="3"/>
  <c r="L86" i="3" s="1"/>
  <c r="J82" i="3"/>
  <c r="L82" i="3" s="1"/>
  <c r="J78" i="3"/>
  <c r="L78" i="3" s="1"/>
  <c r="B101" i="3"/>
  <c r="B97" i="3"/>
  <c r="B93" i="3"/>
  <c r="B89" i="3"/>
  <c r="B85" i="3"/>
  <c r="B81" i="3"/>
  <c r="BE75" i="3"/>
  <c r="BA74" i="3"/>
  <c r="AU76" i="3"/>
  <c r="AP75" i="3"/>
  <c r="AN74" i="3"/>
  <c r="AO74" i="3" s="1"/>
  <c r="AG76" i="3"/>
  <c r="AD75" i="3"/>
  <c r="AF75" i="3" s="1"/>
  <c r="X74" i="3"/>
  <c r="M76" i="3"/>
  <c r="J75" i="3"/>
  <c r="B76" i="3"/>
  <c r="BE72" i="3"/>
  <c r="AP72" i="3"/>
  <c r="AD72" i="3"/>
  <c r="J72" i="3"/>
  <c r="AX71" i="3"/>
  <c r="AK71" i="3"/>
  <c r="P71" i="3"/>
  <c r="BE70" i="3"/>
  <c r="AP70" i="3"/>
  <c r="AD70" i="3"/>
  <c r="J70" i="3"/>
  <c r="AX69" i="3"/>
  <c r="AK69" i="3"/>
  <c r="P69" i="3"/>
  <c r="AP68" i="3"/>
  <c r="AT68" i="3" s="1"/>
  <c r="AG68" i="3"/>
  <c r="AI68" i="3" s="1"/>
  <c r="X67" i="3"/>
  <c r="BE65" i="3"/>
  <c r="AP65" i="3"/>
  <c r="X65" i="3"/>
  <c r="BA64" i="3"/>
  <c r="AN64" i="3"/>
  <c r="X64" i="3"/>
  <c r="B64" i="3"/>
  <c r="AX62" i="3"/>
  <c r="AG62" i="3"/>
  <c r="B62" i="3"/>
  <c r="AU61" i="3"/>
  <c r="AD61" i="3"/>
  <c r="AG60" i="3"/>
  <c r="AX59" i="3"/>
  <c r="AZ59" i="3" s="1"/>
  <c r="AG59" i="3"/>
  <c r="E59" i="3"/>
  <c r="AN58" i="3"/>
  <c r="AO58" i="3" s="1"/>
  <c r="AD58" i="3"/>
  <c r="E58" i="3"/>
  <c r="AN57" i="3"/>
  <c r="BA56" i="3"/>
  <c r="AN56" i="3"/>
  <c r="P56" i="3"/>
  <c r="AN55" i="3"/>
  <c r="AC55" i="3"/>
  <c r="AX54" i="3"/>
  <c r="AG54" i="3"/>
  <c r="B54" i="3"/>
  <c r="AU53" i="3"/>
  <c r="AD53" i="3"/>
  <c r="BE52" i="3"/>
  <c r="BF52" i="3" s="1"/>
  <c r="AU52" i="3"/>
  <c r="AG52" i="3"/>
  <c r="AJ52" i="3" s="1"/>
  <c r="E52" i="3"/>
  <c r="BA51" i="3"/>
  <c r="AN51" i="3"/>
  <c r="X51" i="3"/>
  <c r="BA50" i="3"/>
  <c r="AP50" i="3"/>
  <c r="X50" i="3"/>
  <c r="BE49" i="3"/>
  <c r="AP49" i="3"/>
  <c r="X49" i="3"/>
  <c r="BE48" i="3"/>
  <c r="BF48" i="3" s="1"/>
  <c r="AU48" i="3"/>
  <c r="AW48" i="3" s="1"/>
  <c r="Y48" i="3"/>
  <c r="BA47" i="3"/>
  <c r="BD47" i="3" s="1"/>
  <c r="AG47" i="3"/>
  <c r="AJ47" i="3" s="1"/>
  <c r="BA46" i="3"/>
  <c r="AN46" i="3"/>
  <c r="P46" i="3"/>
  <c r="AP45" i="3"/>
  <c r="AT45" i="3" s="1"/>
  <c r="AD45" i="3"/>
  <c r="P99" i="3"/>
  <c r="S99" i="3" s="1"/>
  <c r="P91" i="3"/>
  <c r="V91" i="3" s="1"/>
  <c r="P83" i="3"/>
  <c r="P79" i="3"/>
  <c r="R79" i="3" s="1"/>
  <c r="O101" i="3"/>
  <c r="O97" i="3"/>
  <c r="O93" i="3"/>
  <c r="O89" i="3"/>
  <c r="O85" i="3"/>
  <c r="O83" i="3"/>
  <c r="M104" i="3"/>
  <c r="N104" i="3" s="1"/>
  <c r="M100" i="3"/>
  <c r="N100" i="3" s="1"/>
  <c r="M96" i="3"/>
  <c r="N96" i="3" s="1"/>
  <c r="M92" i="3"/>
  <c r="N92" i="3" s="1"/>
  <c r="M88" i="3"/>
  <c r="N88" i="3" s="1"/>
  <c r="M84" i="3"/>
  <c r="N84" i="3" s="1"/>
  <c r="M80" i="3"/>
  <c r="N80" i="3" s="1"/>
  <c r="K94" i="3"/>
  <c r="K78" i="3"/>
  <c r="J101" i="3"/>
  <c r="K101" i="3" s="1"/>
  <c r="J97" i="3"/>
  <c r="J93" i="3"/>
  <c r="K93" i="3" s="1"/>
  <c r="J89" i="3"/>
  <c r="L89" i="3" s="1"/>
  <c r="J85" i="3"/>
  <c r="K85" i="3" s="1"/>
  <c r="J81" i="3"/>
  <c r="B104" i="3"/>
  <c r="I104" i="3" s="1"/>
  <c r="B100" i="3"/>
  <c r="B96" i="3"/>
  <c r="B92" i="3"/>
  <c r="B88" i="3"/>
  <c r="B84" i="3"/>
  <c r="B79" i="3"/>
  <c r="BE74" i="3"/>
  <c r="AX76" i="3"/>
  <c r="AU75" i="3"/>
  <c r="AP74" i="3"/>
  <c r="AK76" i="3"/>
  <c r="AG75" i="3"/>
  <c r="AD74" i="3"/>
  <c r="P76" i="3"/>
  <c r="M75" i="3"/>
  <c r="J74" i="3"/>
  <c r="BA72" i="3"/>
  <c r="AN72" i="3"/>
  <c r="X72" i="3"/>
  <c r="B72" i="3"/>
  <c r="AU71" i="3"/>
  <c r="AG71" i="3"/>
  <c r="M71" i="3"/>
  <c r="BA70" i="3"/>
  <c r="AN70" i="3"/>
  <c r="X70" i="3"/>
  <c r="B70" i="3"/>
  <c r="AU69" i="3"/>
  <c r="AG69" i="3"/>
  <c r="M69" i="3"/>
  <c r="BE68" i="3"/>
  <c r="BF68" i="3" s="1"/>
  <c r="BA68" i="3"/>
  <c r="BB68" i="3" s="1"/>
  <c r="AU68" i="3"/>
  <c r="AV68" i="3" s="1"/>
  <c r="AD68" i="3"/>
  <c r="X68" i="3"/>
  <c r="AB68" i="3" s="1"/>
  <c r="AN67" i="3"/>
  <c r="AO67" i="3" s="1"/>
  <c r="P67" i="3"/>
  <c r="BA65" i="3"/>
  <c r="AN65" i="3"/>
  <c r="P65" i="3"/>
  <c r="AX64" i="3"/>
  <c r="AK64" i="3"/>
  <c r="P64" i="3"/>
  <c r="M63" i="3"/>
  <c r="AU62" i="3"/>
  <c r="AD62" i="3"/>
  <c r="BE61" i="3"/>
  <c r="AP61" i="3"/>
  <c r="X61" i="3"/>
  <c r="BE60" i="3"/>
  <c r="BF60" i="3" s="1"/>
  <c r="AU60" i="3"/>
  <c r="AV60" i="3" s="1"/>
  <c r="AD60" i="3"/>
  <c r="B60" i="3"/>
  <c r="AU59" i="3"/>
  <c r="AD59" i="3"/>
  <c r="B59" i="3"/>
  <c r="AX58" i="3"/>
  <c r="AY58" i="3" s="1"/>
  <c r="AL58" i="3"/>
  <c r="X58" i="3"/>
  <c r="Z58" i="3" s="1"/>
  <c r="P58" i="3"/>
  <c r="T58" i="3" s="1"/>
  <c r="B58" i="3"/>
  <c r="AX57" i="3"/>
  <c r="AY57" i="3" s="1"/>
  <c r="AG57" i="3"/>
  <c r="E57" i="3"/>
  <c r="AX56" i="3"/>
  <c r="AG56" i="3"/>
  <c r="B56" i="3"/>
  <c r="AX55" i="3"/>
  <c r="AY55" i="3" s="1"/>
  <c r="B55" i="3"/>
  <c r="AU54" i="3"/>
  <c r="AD54" i="3"/>
  <c r="BE53" i="3"/>
  <c r="AP53" i="3"/>
  <c r="X53" i="3"/>
  <c r="BA52" i="3"/>
  <c r="BC52" i="3" s="1"/>
  <c r="AP52" i="3"/>
  <c r="AD52" i="3"/>
  <c r="AF52" i="3" s="1"/>
  <c r="B52" i="3"/>
  <c r="AX51" i="3"/>
  <c r="AG51" i="3"/>
  <c r="AJ51" i="3" s="1"/>
  <c r="B51" i="3"/>
  <c r="AN50" i="3"/>
  <c r="P50" i="3"/>
  <c r="BA49" i="3"/>
  <c r="AN49" i="3"/>
  <c r="P49" i="3"/>
  <c r="BA48" i="3"/>
  <c r="AP48" i="3"/>
  <c r="AG48" i="3"/>
  <c r="AJ48" i="3" s="1"/>
  <c r="X48" i="3"/>
  <c r="P48" i="3"/>
  <c r="Q48" i="3" s="1"/>
  <c r="AX47" i="3"/>
  <c r="AD47" i="3"/>
  <c r="AE47" i="3" s="1"/>
  <c r="AX46" i="3"/>
  <c r="AG46" i="3"/>
  <c r="B46" i="3"/>
  <c r="AX45" i="3"/>
  <c r="AZ45" i="3" s="1"/>
  <c r="AN45" i="3"/>
  <c r="P97" i="3"/>
  <c r="S97" i="3" s="1"/>
  <c r="P89" i="3"/>
  <c r="P82" i="3"/>
  <c r="T82" i="3" s="1"/>
  <c r="P78" i="3"/>
  <c r="U78" i="3" s="1"/>
  <c r="N101" i="3"/>
  <c r="N89" i="3"/>
  <c r="N85" i="3"/>
  <c r="N83" i="3"/>
  <c r="N81" i="3"/>
  <c r="M103" i="3"/>
  <c r="O103" i="3" s="1"/>
  <c r="M99" i="3"/>
  <c r="N99" i="3" s="1"/>
  <c r="M95" i="3"/>
  <c r="O95" i="3" s="1"/>
  <c r="M91" i="3"/>
  <c r="N91" i="3" s="1"/>
  <c r="M87" i="3"/>
  <c r="O87" i="3" s="1"/>
  <c r="M83" i="3"/>
  <c r="M79" i="3"/>
  <c r="O79" i="3" s="1"/>
  <c r="L97" i="3"/>
  <c r="L93" i="3"/>
  <c r="L85" i="3"/>
  <c r="L83" i="3"/>
  <c r="L81" i="3"/>
  <c r="J104" i="3"/>
  <c r="K104" i="3" s="1"/>
  <c r="J100" i="3"/>
  <c r="L100" i="3" s="1"/>
  <c r="J96" i="3"/>
  <c r="K96" i="3" s="1"/>
  <c r="J92" i="3"/>
  <c r="L92" i="3" s="1"/>
  <c r="J88" i="3"/>
  <c r="K88" i="3" s="1"/>
  <c r="J84" i="3"/>
  <c r="L84" i="3" s="1"/>
  <c r="J80" i="3"/>
  <c r="K80" i="3" s="1"/>
  <c r="B103" i="3"/>
  <c r="B99" i="3"/>
  <c r="B95" i="3"/>
  <c r="B91" i="3"/>
  <c r="B87" i="3"/>
  <c r="B83" i="3"/>
  <c r="B78" i="3"/>
  <c r="BA76" i="3"/>
  <c r="AX75" i="3"/>
  <c r="AU74" i="3"/>
  <c r="AN76" i="3"/>
  <c r="AK75" i="3"/>
  <c r="AG74" i="3"/>
  <c r="X76" i="3"/>
  <c r="P75" i="3"/>
  <c r="M74" i="3"/>
  <c r="B80" i="3"/>
  <c r="B74" i="3"/>
  <c r="AX72" i="3"/>
  <c r="AK72" i="3"/>
  <c r="P72" i="3"/>
  <c r="BE71" i="3"/>
  <c r="AP71" i="3"/>
  <c r="AD71" i="3"/>
  <c r="J71" i="3"/>
  <c r="AX70" i="3"/>
  <c r="AK70" i="3"/>
  <c r="P70" i="3"/>
  <c r="BE69" i="3"/>
  <c r="AP69" i="3"/>
  <c r="AD69" i="3"/>
  <c r="AF69" i="3" s="1"/>
  <c r="J69" i="3"/>
  <c r="AS68" i="3"/>
  <c r="AN68" i="3"/>
  <c r="AO68" i="3" s="1"/>
  <c r="AC68" i="3"/>
  <c r="P68" i="3"/>
  <c r="T68" i="3" s="1"/>
  <c r="AG67" i="3"/>
  <c r="B67" i="3"/>
  <c r="P66" i="3"/>
  <c r="AX65" i="3"/>
  <c r="AG65" i="3"/>
  <c r="B65" i="3"/>
  <c r="AU64" i="3"/>
  <c r="AG64" i="3"/>
  <c r="M64" i="3"/>
  <c r="BE62" i="3"/>
  <c r="AP62" i="3"/>
  <c r="X62" i="3"/>
  <c r="BA61" i="3"/>
  <c r="AN61" i="3"/>
  <c r="P61" i="3"/>
  <c r="BA60" i="3"/>
  <c r="AP60" i="3"/>
  <c r="X60" i="3"/>
  <c r="BE59" i="3"/>
  <c r="BF59" i="3" s="1"/>
  <c r="AP59" i="3"/>
  <c r="X59" i="3"/>
  <c r="BE58" i="3"/>
  <c r="AU58" i="3"/>
  <c r="AK58" i="3"/>
  <c r="BE57" i="3"/>
  <c r="BF57" i="3" s="1"/>
  <c r="AU57" i="3"/>
  <c r="AD57" i="3"/>
  <c r="B57" i="3"/>
  <c r="AU56" i="3"/>
  <c r="AD56" i="3"/>
  <c r="BE55" i="3"/>
  <c r="AU55" i="3"/>
  <c r="AG55" i="3"/>
  <c r="AJ55" i="3" s="1"/>
  <c r="BE54" i="3"/>
  <c r="AP54" i="3"/>
  <c r="X54" i="3"/>
  <c r="BA53" i="3"/>
  <c r="AN53" i="3"/>
  <c r="P53" i="3"/>
  <c r="AN52" i="3"/>
  <c r="X52" i="3"/>
  <c r="AB52" i="3" s="1"/>
  <c r="BE51" i="3"/>
  <c r="AU51" i="3"/>
  <c r="AW51" i="3" s="1"/>
  <c r="AD51" i="3"/>
  <c r="P51" i="3"/>
  <c r="W51" i="3" s="1"/>
  <c r="AX50" i="3"/>
  <c r="AZ50" i="3" s="1"/>
  <c r="AG50" i="3"/>
  <c r="E50" i="3"/>
  <c r="AX49" i="3"/>
  <c r="AG49" i="3"/>
  <c r="D49" i="3"/>
  <c r="AN48" i="3"/>
  <c r="AD48" i="3"/>
  <c r="B48" i="3"/>
  <c r="AP47" i="3"/>
  <c r="AT47" i="3" s="1"/>
  <c r="AC47" i="3"/>
  <c r="I47" i="3"/>
  <c r="B47" i="3"/>
  <c r="H47" i="3" s="1"/>
  <c r="AU46" i="3"/>
  <c r="AD46" i="3"/>
  <c r="BE45" i="3"/>
  <c r="BF45" i="3" s="1"/>
  <c r="AU45" i="3"/>
  <c r="AW45" i="3" s="1"/>
  <c r="P95" i="3"/>
  <c r="P87" i="3"/>
  <c r="Q87" i="3" s="1"/>
  <c r="P81" i="3"/>
  <c r="W81" i="3" s="1"/>
  <c r="O104" i="3"/>
  <c r="O100" i="3"/>
  <c r="O96" i="3"/>
  <c r="O92" i="3"/>
  <c r="O88" i="3"/>
  <c r="O84" i="3"/>
  <c r="M102" i="3"/>
  <c r="N102" i="3" s="1"/>
  <c r="M98" i="3"/>
  <c r="O98" i="3" s="1"/>
  <c r="M94" i="3"/>
  <c r="N94" i="3" s="1"/>
  <c r="M90" i="3"/>
  <c r="O90" i="3" s="1"/>
  <c r="M86" i="3"/>
  <c r="N86" i="3" s="1"/>
  <c r="M82" i="3"/>
  <c r="O82" i="3" s="1"/>
  <c r="M78" i="3"/>
  <c r="N78" i="3" s="1"/>
  <c r="K97" i="3"/>
  <c r="K89" i="3"/>
  <c r="K81" i="3"/>
  <c r="J103" i="3"/>
  <c r="L103" i="3" s="1"/>
  <c r="J99" i="3"/>
  <c r="L99" i="3" s="1"/>
  <c r="J95" i="3"/>
  <c r="L95" i="3" s="1"/>
  <c r="J91" i="3"/>
  <c r="L91" i="3" s="1"/>
  <c r="J87" i="3"/>
  <c r="L87" i="3" s="1"/>
  <c r="J83" i="3"/>
  <c r="K83" i="3" s="1"/>
  <c r="J79" i="3"/>
  <c r="L79" i="3" s="1"/>
  <c r="B102" i="3"/>
  <c r="B98" i="3"/>
  <c r="B94" i="3"/>
  <c r="B90" i="3"/>
  <c r="B86" i="3"/>
  <c r="B82" i="3"/>
  <c r="BE76" i="3"/>
  <c r="BA75" i="3"/>
  <c r="AX74" i="3"/>
  <c r="AP76" i="3"/>
  <c r="AN75" i="3"/>
  <c r="AK74" i="3"/>
  <c r="AD76" i="3"/>
  <c r="X75" i="3"/>
  <c r="P74" i="3"/>
  <c r="J76" i="3"/>
  <c r="B75" i="3"/>
  <c r="D75" i="3" s="1"/>
  <c r="M73" i="3"/>
  <c r="AU72" i="3"/>
  <c r="AG72" i="3"/>
  <c r="M72" i="3"/>
  <c r="BA71" i="3"/>
  <c r="AN71" i="3"/>
  <c r="X71" i="3"/>
  <c r="B71" i="3"/>
  <c r="AU70" i="3"/>
  <c r="AG70" i="3"/>
  <c r="M70" i="3"/>
  <c r="BA69" i="3"/>
  <c r="AN69" i="3"/>
  <c r="X69" i="3"/>
  <c r="B69" i="3"/>
  <c r="BC68" i="3"/>
  <c r="AX68" i="3"/>
  <c r="AY68" i="3" s="1"/>
  <c r="AQ68" i="3"/>
  <c r="AK68" i="3"/>
  <c r="AM68" i="3" s="1"/>
  <c r="AA68" i="3"/>
  <c r="B68" i="3"/>
  <c r="F68" i="3" s="1"/>
  <c r="AD67" i="3"/>
  <c r="B66" i="3"/>
  <c r="AU65" i="3"/>
  <c r="AD65" i="3"/>
  <c r="AE65" i="3" s="1"/>
  <c r="BE64" i="3"/>
  <c r="AP64" i="3"/>
  <c r="AD64" i="3"/>
  <c r="J64" i="3"/>
  <c r="BA62" i="3"/>
  <c r="AN62" i="3"/>
  <c r="P62" i="3"/>
  <c r="AX61" i="3"/>
  <c r="AG61" i="3"/>
  <c r="B61" i="3"/>
  <c r="AX60" i="3"/>
  <c r="AN60" i="3"/>
  <c r="AO60" i="3" s="1"/>
  <c r="P60" i="3"/>
  <c r="BA59" i="3"/>
  <c r="AN59" i="3"/>
  <c r="P59" i="3"/>
  <c r="BA58" i="3"/>
  <c r="AP58" i="3"/>
  <c r="AG58" i="3"/>
  <c r="S58" i="3"/>
  <c r="M58" i="3"/>
  <c r="N58" i="3" s="1"/>
  <c r="BA57" i="3"/>
  <c r="AP57" i="3"/>
  <c r="X57" i="3"/>
  <c r="P57" i="3"/>
  <c r="T57" i="3" s="1"/>
  <c r="BE56" i="3"/>
  <c r="AP56" i="3"/>
  <c r="X56" i="3"/>
  <c r="BA55" i="3"/>
  <c r="AP55" i="3"/>
  <c r="AD55" i="3"/>
  <c r="P55" i="3"/>
  <c r="Q55" i="3" s="1"/>
  <c r="BA54" i="3"/>
  <c r="AN54" i="3"/>
  <c r="P54" i="3"/>
  <c r="AX53" i="3"/>
  <c r="AG53" i="3"/>
  <c r="B53" i="3"/>
  <c r="AX52" i="3"/>
  <c r="AZ52" i="3" s="1"/>
  <c r="AI52" i="3"/>
  <c r="P52" i="3"/>
  <c r="BD51" i="3"/>
  <c r="AP51" i="3"/>
  <c r="Z51" i="3"/>
  <c r="BE50" i="3"/>
  <c r="BF50" i="3" s="1"/>
  <c r="AU50" i="3"/>
  <c r="AD50" i="3"/>
  <c r="AF50" i="3" s="1"/>
  <c r="B50" i="3"/>
  <c r="AU49" i="3"/>
  <c r="AD49" i="3"/>
  <c r="B49" i="3"/>
  <c r="AX48" i="3"/>
  <c r="AZ48" i="3" s="1"/>
  <c r="Z48" i="3"/>
  <c r="R48" i="3"/>
  <c r="BE47" i="3"/>
  <c r="BF47" i="3" s="1"/>
  <c r="AU47" i="3"/>
  <c r="AV47" i="3" s="1"/>
  <c r="AN47" i="3"/>
  <c r="G47" i="3"/>
  <c r="BE46" i="3"/>
  <c r="AP46" i="3"/>
  <c r="X46" i="3"/>
  <c r="BA45" i="3"/>
  <c r="AS45" i="3"/>
  <c r="AG45" i="3"/>
  <c r="AJ45" i="3" s="1"/>
  <c r="P45" i="3"/>
  <c r="BE44" i="3"/>
  <c r="AN44" i="3"/>
  <c r="AG44" i="3"/>
  <c r="X44" i="3"/>
  <c r="Z44" i="3" s="1"/>
  <c r="B44" i="3"/>
  <c r="AX43" i="3"/>
  <c r="AZ43" i="3" s="1"/>
  <c r="AR43" i="3"/>
  <c r="AD43" i="3"/>
  <c r="AX42" i="3"/>
  <c r="AZ42" i="3" s="1"/>
  <c r="AG42" i="3"/>
  <c r="E42" i="3"/>
  <c r="AX41" i="3"/>
  <c r="AK41" i="3"/>
  <c r="P41" i="3"/>
  <c r="BE40" i="3"/>
  <c r="AP40" i="3"/>
  <c r="AD40" i="3"/>
  <c r="D40" i="3"/>
  <c r="BA39" i="3"/>
  <c r="AU39" i="3"/>
  <c r="AK39" i="3"/>
  <c r="AL39" i="3" s="1"/>
  <c r="AD39" i="3"/>
  <c r="AE39" i="3" s="1"/>
  <c r="BE38" i="3"/>
  <c r="AX38" i="3"/>
  <c r="AG38" i="3"/>
  <c r="BE37" i="3"/>
  <c r="AD37" i="3"/>
  <c r="AX36" i="3"/>
  <c r="AZ36" i="3" s="1"/>
  <c r="AN36" i="3"/>
  <c r="AO36" i="3" s="1"/>
  <c r="M36" i="3"/>
  <c r="N36" i="3" s="1"/>
  <c r="B36" i="3"/>
  <c r="I36" i="3" s="1"/>
  <c r="AU35" i="3"/>
  <c r="AD35" i="3"/>
  <c r="AX34" i="3"/>
  <c r="AZ34" i="3" s="1"/>
  <c r="P34" i="3"/>
  <c r="E34" i="3"/>
  <c r="AX33" i="3"/>
  <c r="AG33" i="3"/>
  <c r="B33" i="3"/>
  <c r="BA32" i="3"/>
  <c r="AP32" i="3"/>
  <c r="AI32" i="3"/>
  <c r="Y32" i="3"/>
  <c r="AX31" i="3"/>
  <c r="X31" i="3"/>
  <c r="AB31" i="3" s="1"/>
  <c r="BE30" i="3"/>
  <c r="AX30" i="3"/>
  <c r="AN30" i="3"/>
  <c r="AO30" i="3" s="1"/>
  <c r="AP29" i="3"/>
  <c r="X29" i="3"/>
  <c r="E29" i="3"/>
  <c r="AX28" i="3"/>
  <c r="AG28" i="3"/>
  <c r="BE27" i="3"/>
  <c r="BF27" i="3" s="1"/>
  <c r="AX27" i="3"/>
  <c r="AN27" i="3"/>
  <c r="AG27" i="3"/>
  <c r="X27" i="3"/>
  <c r="BE26" i="3"/>
  <c r="BF26" i="3" s="1"/>
  <c r="AD26" i="3"/>
  <c r="E26" i="3"/>
  <c r="AX25" i="3"/>
  <c r="AK25" i="3"/>
  <c r="P25" i="3"/>
  <c r="D25" i="3"/>
  <c r="AX24" i="3"/>
  <c r="AG24" i="3"/>
  <c r="B24" i="3"/>
  <c r="AU23" i="3"/>
  <c r="AD23" i="3"/>
  <c r="AF23" i="3" s="1"/>
  <c r="BE22" i="3"/>
  <c r="AP22" i="3"/>
  <c r="X22" i="3"/>
  <c r="BE21" i="3"/>
  <c r="BF21" i="3" s="1"/>
  <c r="BA21" i="3"/>
  <c r="BD21" i="3" s="1"/>
  <c r="AU21" i="3"/>
  <c r="AG21" i="3"/>
  <c r="AJ21" i="3" s="1"/>
  <c r="B21" i="3"/>
  <c r="AU20" i="3"/>
  <c r="AG20" i="3"/>
  <c r="E20" i="3"/>
  <c r="BA19" i="3"/>
  <c r="AD19" i="3"/>
  <c r="AE19" i="3" s="1"/>
  <c r="BE18" i="3"/>
  <c r="AX18" i="3"/>
  <c r="AZ18" i="3" s="1"/>
  <c r="AN18" i="3"/>
  <c r="X18" i="3"/>
  <c r="Z18" i="3" s="1"/>
  <c r="BE17" i="3"/>
  <c r="B17" i="3"/>
  <c r="AU16" i="3"/>
  <c r="B16" i="3"/>
  <c r="AU15" i="3"/>
  <c r="AD15" i="3"/>
  <c r="AX14" i="3"/>
  <c r="AZ14" i="3" s="1"/>
  <c r="AP14" i="3"/>
  <c r="AT14" i="3" s="1"/>
  <c r="X14" i="3"/>
  <c r="BE13" i="3"/>
  <c r="AP13" i="3"/>
  <c r="X13" i="3"/>
  <c r="BA12" i="3"/>
  <c r="AN12" i="3"/>
  <c r="P12" i="3"/>
  <c r="BA11" i="3"/>
  <c r="AD11" i="3"/>
  <c r="B11" i="3"/>
  <c r="AU10" i="3"/>
  <c r="AD10" i="3"/>
  <c r="AX9" i="3"/>
  <c r="AZ9" i="3" s="1"/>
  <c r="AP9" i="3"/>
  <c r="AT9" i="3" s="1"/>
  <c r="X9" i="3"/>
  <c r="BE8" i="3"/>
  <c r="AP8" i="3"/>
  <c r="X8" i="3"/>
  <c r="BA7" i="3"/>
  <c r="AN7" i="3"/>
  <c r="P7" i="3"/>
  <c r="BE6" i="3"/>
  <c r="BF6" i="3" s="1"/>
  <c r="AX6" i="3"/>
  <c r="AY6" i="3" s="1"/>
  <c r="AP6" i="3"/>
  <c r="AG6" i="3"/>
  <c r="AJ6" i="3" s="1"/>
  <c r="AX5" i="3"/>
  <c r="X45" i="3"/>
  <c r="Z45" i="3" s="1"/>
  <c r="BA44" i="3"/>
  <c r="AU44" i="3"/>
  <c r="AV44" i="3" s="1"/>
  <c r="AD44" i="3"/>
  <c r="P44" i="3"/>
  <c r="R44" i="3" s="1"/>
  <c r="BE43" i="3"/>
  <c r="BF43" i="3" s="1"/>
  <c r="AP43" i="3"/>
  <c r="AT43" i="3" s="1"/>
  <c r="X43" i="3"/>
  <c r="BE42" i="3"/>
  <c r="BF42" i="3" s="1"/>
  <c r="AU42" i="3"/>
  <c r="AD42" i="3"/>
  <c r="B42" i="3"/>
  <c r="AU41" i="3"/>
  <c r="AG41" i="3"/>
  <c r="M41" i="3"/>
  <c r="BA40" i="3"/>
  <c r="AN40" i="3"/>
  <c r="X40" i="3"/>
  <c r="B40" i="3"/>
  <c r="AP39" i="3"/>
  <c r="AS39" i="3" s="1"/>
  <c r="E39" i="3"/>
  <c r="AU38" i="3"/>
  <c r="AD38" i="3"/>
  <c r="X38" i="3"/>
  <c r="AB38" i="3" s="1"/>
  <c r="BA37" i="3"/>
  <c r="AP37" i="3"/>
  <c r="AT37" i="3" s="1"/>
  <c r="X37" i="3"/>
  <c r="B37" i="3"/>
  <c r="F36" i="3"/>
  <c r="BE35" i="3"/>
  <c r="AP35" i="3"/>
  <c r="X35" i="3"/>
  <c r="BE34" i="3"/>
  <c r="BF34" i="3" s="1"/>
  <c r="B34" i="3"/>
  <c r="AU33" i="3"/>
  <c r="AD33" i="3"/>
  <c r="AG32" i="3"/>
  <c r="AJ32" i="3" s="1"/>
  <c r="X32" i="3"/>
  <c r="B32" i="3"/>
  <c r="AU31" i="3"/>
  <c r="AK31" i="3"/>
  <c r="AL31" i="3" s="1"/>
  <c r="P31" i="3"/>
  <c r="BD30" i="3"/>
  <c r="X30" i="3"/>
  <c r="Z30" i="3" s="1"/>
  <c r="B30" i="3"/>
  <c r="BA29" i="3"/>
  <c r="BD29" i="3" s="1"/>
  <c r="AN29" i="3"/>
  <c r="AO29" i="3" s="1"/>
  <c r="P29" i="3"/>
  <c r="B29" i="3"/>
  <c r="AU28" i="3"/>
  <c r="AD28" i="3"/>
  <c r="P28" i="3"/>
  <c r="T28" i="3" s="1"/>
  <c r="BD27" i="3"/>
  <c r="AU27" i="3"/>
  <c r="AW27" i="3" s="1"/>
  <c r="AD27" i="3"/>
  <c r="AN26" i="3"/>
  <c r="AO26" i="3" s="1"/>
  <c r="B26" i="3"/>
  <c r="AU25" i="3"/>
  <c r="AG25" i="3"/>
  <c r="B25" i="3"/>
  <c r="AU24" i="3"/>
  <c r="AD24" i="3"/>
  <c r="BE23" i="3"/>
  <c r="AP23" i="3"/>
  <c r="X23" i="3"/>
  <c r="BA22" i="3"/>
  <c r="AN22" i="3"/>
  <c r="P22" i="3"/>
  <c r="AP21" i="3"/>
  <c r="AD21" i="3"/>
  <c r="X21" i="3"/>
  <c r="AC21" i="3" s="1"/>
  <c r="BE20" i="3"/>
  <c r="BF20" i="3" s="1"/>
  <c r="AD20" i="3"/>
  <c r="B20" i="3"/>
  <c r="AP19" i="3"/>
  <c r="AS19" i="3" s="1"/>
  <c r="AI19" i="3"/>
  <c r="V19" i="3"/>
  <c r="BA18" i="3"/>
  <c r="AG18" i="3"/>
  <c r="AJ18" i="3" s="1"/>
  <c r="BA17" i="3"/>
  <c r="AP17" i="3"/>
  <c r="AT17" i="3" s="1"/>
  <c r="AD17" i="3"/>
  <c r="AE17" i="3" s="1"/>
  <c r="BE16" i="3"/>
  <c r="AP16" i="3"/>
  <c r="AD16" i="3"/>
  <c r="AE16" i="3" s="1"/>
  <c r="BE15" i="3"/>
  <c r="AP15" i="3"/>
  <c r="X15" i="3"/>
  <c r="BE14" i="3"/>
  <c r="BF14" i="3" s="1"/>
  <c r="AU14" i="3"/>
  <c r="AN14" i="3"/>
  <c r="P14" i="3"/>
  <c r="BA13" i="3"/>
  <c r="AN13" i="3"/>
  <c r="P13" i="3"/>
  <c r="AX12" i="3"/>
  <c r="AG12" i="3"/>
  <c r="B12" i="3"/>
  <c r="AP11" i="3"/>
  <c r="AT11" i="3" s="1"/>
  <c r="X11" i="3"/>
  <c r="BE10" i="3"/>
  <c r="AP10" i="3"/>
  <c r="X10" i="3"/>
  <c r="BE9" i="3"/>
  <c r="BF9" i="3" s="1"/>
  <c r="AU9" i="3"/>
  <c r="AN9" i="3"/>
  <c r="P9" i="3"/>
  <c r="BA8" i="3"/>
  <c r="AN8" i="3"/>
  <c r="P8" i="3"/>
  <c r="AX7" i="3"/>
  <c r="AG7" i="3"/>
  <c r="BA6" i="3"/>
  <c r="AN6" i="3"/>
  <c r="AD6" i="3"/>
  <c r="AE6" i="3" s="1"/>
  <c r="V6" i="3"/>
  <c r="B6" i="3"/>
  <c r="AU5" i="3"/>
  <c r="AD5" i="3"/>
  <c r="AF5" i="3" s="1"/>
  <c r="BE4" i="3"/>
  <c r="AP4" i="3"/>
  <c r="X4" i="3"/>
  <c r="B45" i="3"/>
  <c r="AP44" i="3"/>
  <c r="V44" i="3"/>
  <c r="BA43" i="3"/>
  <c r="BC43" i="3" s="1"/>
  <c r="AU43" i="3"/>
  <c r="AV43" i="3" s="1"/>
  <c r="AN43" i="3"/>
  <c r="AO43" i="3" s="1"/>
  <c r="P43" i="3"/>
  <c r="BA42" i="3"/>
  <c r="AP42" i="3"/>
  <c r="X42" i="3"/>
  <c r="BE41" i="3"/>
  <c r="AP41" i="3"/>
  <c r="AD41" i="3"/>
  <c r="J41" i="3"/>
  <c r="AX40" i="3"/>
  <c r="P40" i="3"/>
  <c r="AX39" i="3"/>
  <c r="AZ39" i="3" s="1"/>
  <c r="AN39" i="3"/>
  <c r="AG39" i="3"/>
  <c r="AJ39" i="3" s="1"/>
  <c r="X39" i="3"/>
  <c r="Z39" i="3" s="1"/>
  <c r="D39" i="3"/>
  <c r="AP38" i="3"/>
  <c r="P38" i="3"/>
  <c r="AX37" i="3"/>
  <c r="AN37" i="3"/>
  <c r="P37" i="3"/>
  <c r="BE36" i="3"/>
  <c r="BF36" i="3" s="1"/>
  <c r="AU36" i="3"/>
  <c r="AW36" i="3" s="1"/>
  <c r="AG36" i="3"/>
  <c r="AJ36" i="3" s="1"/>
  <c r="X36" i="3"/>
  <c r="Z36" i="3" s="1"/>
  <c r="E36" i="3"/>
  <c r="BA35" i="3"/>
  <c r="AN35" i="3"/>
  <c r="P35" i="3"/>
  <c r="AP34" i="3"/>
  <c r="AT34" i="3" s="1"/>
  <c r="AK34" i="3"/>
  <c r="AL34" i="3" s="1"/>
  <c r="AG34" i="3"/>
  <c r="AH34" i="3" s="1"/>
  <c r="BE33" i="3"/>
  <c r="AP33" i="3"/>
  <c r="X33" i="3"/>
  <c r="BE32" i="3"/>
  <c r="BF32" i="3" s="1"/>
  <c r="AX32" i="3"/>
  <c r="AZ32" i="3" s="1"/>
  <c r="AN32" i="3"/>
  <c r="AO32" i="3" s="1"/>
  <c r="AD32" i="3"/>
  <c r="AE32" i="3" s="1"/>
  <c r="BE31" i="3"/>
  <c r="AP31" i="3"/>
  <c r="AG31" i="3"/>
  <c r="B31" i="3"/>
  <c r="BA30" i="3"/>
  <c r="AU30" i="3"/>
  <c r="AV30" i="3" s="1"/>
  <c r="AG30" i="3"/>
  <c r="AJ30" i="3" s="1"/>
  <c r="P30" i="3"/>
  <c r="AX29" i="3"/>
  <c r="AZ29" i="3" s="1"/>
  <c r="AG29" i="3"/>
  <c r="BE28" i="3"/>
  <c r="AP28" i="3"/>
  <c r="X28" i="3"/>
  <c r="B28" i="3"/>
  <c r="BA27" i="3"/>
  <c r="AP27" i="3"/>
  <c r="AJ27" i="3"/>
  <c r="Z27" i="3"/>
  <c r="AX26" i="3"/>
  <c r="AY26" i="3" s="1"/>
  <c r="AG26" i="3"/>
  <c r="AJ26" i="3" s="1"/>
  <c r="X26" i="3"/>
  <c r="AC26" i="3" s="1"/>
  <c r="BE25" i="3"/>
  <c r="AP25" i="3"/>
  <c r="AD25" i="3"/>
  <c r="BE24" i="3"/>
  <c r="AP24" i="3"/>
  <c r="X24" i="3"/>
  <c r="BA23" i="3"/>
  <c r="AN23" i="3"/>
  <c r="P23" i="3"/>
  <c r="AX22" i="3"/>
  <c r="AG22" i="3"/>
  <c r="B22" i="3"/>
  <c r="BC21" i="3"/>
  <c r="AN21" i="3"/>
  <c r="P21" i="3"/>
  <c r="BA20" i="3"/>
  <c r="AP20" i="3"/>
  <c r="AT20" i="3" s="1"/>
  <c r="X20" i="3"/>
  <c r="AX19" i="3"/>
  <c r="AZ19" i="3" s="1"/>
  <c r="AN19" i="3"/>
  <c r="AO19" i="3" s="1"/>
  <c r="Y19" i="3"/>
  <c r="B19" i="3"/>
  <c r="AU18" i="3"/>
  <c r="AW18" i="3" s="1"/>
  <c r="AD18" i="3"/>
  <c r="V18" i="3"/>
  <c r="P18" i="3"/>
  <c r="W18" i="3" s="1"/>
  <c r="AX17" i="3"/>
  <c r="AZ17" i="3" s="1"/>
  <c r="AN17" i="3"/>
  <c r="X17" i="3"/>
  <c r="BA16" i="3"/>
  <c r="AN16" i="3"/>
  <c r="BA15" i="3"/>
  <c r="AN15" i="3"/>
  <c r="P15" i="3"/>
  <c r="BA14" i="3"/>
  <c r="AS14" i="3"/>
  <c r="AG14" i="3"/>
  <c r="E14" i="3"/>
  <c r="AX13" i="3"/>
  <c r="AG13" i="3"/>
  <c r="B13" i="3"/>
  <c r="AU12" i="3"/>
  <c r="AD12" i="3"/>
  <c r="AF12" i="3" s="1"/>
  <c r="AX11" i="3"/>
  <c r="AZ11" i="3" s="1"/>
  <c r="AN11" i="3"/>
  <c r="P11" i="3"/>
  <c r="BA10" i="3"/>
  <c r="AN10" i="3"/>
  <c r="P10" i="3"/>
  <c r="BA9" i="3"/>
  <c r="AS9" i="3"/>
  <c r="AG9" i="3"/>
  <c r="E9" i="3"/>
  <c r="AX8" i="3"/>
  <c r="AG8" i="3"/>
  <c r="B8" i="3"/>
  <c r="AU7" i="3"/>
  <c r="AD7" i="3"/>
  <c r="AZ6" i="3"/>
  <c r="BE5" i="3"/>
  <c r="BF44" i="3"/>
  <c r="AX44" i="3"/>
  <c r="AZ44" i="3" s="1"/>
  <c r="AO44" i="3"/>
  <c r="AH44" i="3"/>
  <c r="Y44" i="3"/>
  <c r="AY43" i="3"/>
  <c r="AS43" i="3"/>
  <c r="AG43" i="3"/>
  <c r="B43" i="3"/>
  <c r="AN42" i="3"/>
  <c r="P42" i="3"/>
  <c r="BA41" i="3"/>
  <c r="AN41" i="3"/>
  <c r="X41" i="3"/>
  <c r="B41" i="3"/>
  <c r="AU40" i="3"/>
  <c r="AG40" i="3"/>
  <c r="AJ40" i="3" s="1"/>
  <c r="N40" i="3"/>
  <c r="BE39" i="3"/>
  <c r="BF39" i="3" s="1"/>
  <c r="AV39" i="3"/>
  <c r="P39" i="3"/>
  <c r="B39" i="3"/>
  <c r="BA38" i="3"/>
  <c r="BC38" i="3" s="1"/>
  <c r="AN38" i="3"/>
  <c r="AA38" i="3"/>
  <c r="B38" i="3"/>
  <c r="AU37" i="3"/>
  <c r="AG37" i="3"/>
  <c r="BA36" i="3"/>
  <c r="AP36" i="3"/>
  <c r="AR36" i="3" s="1"/>
  <c r="AD36" i="3"/>
  <c r="AE36" i="3" s="1"/>
  <c r="P36" i="3"/>
  <c r="D36" i="3"/>
  <c r="AX35" i="3"/>
  <c r="AG35" i="3"/>
  <c r="B35" i="3"/>
  <c r="BA34" i="3"/>
  <c r="BD34" i="3" s="1"/>
  <c r="AN34" i="3"/>
  <c r="AD34" i="3"/>
  <c r="X34" i="3"/>
  <c r="AB34" i="3" s="1"/>
  <c r="BA33" i="3"/>
  <c r="AN33" i="3"/>
  <c r="P33" i="3"/>
  <c r="BD32" i="3"/>
  <c r="AU32" i="3"/>
  <c r="AW32" i="3" s="1"/>
  <c r="Z32" i="3"/>
  <c r="P32" i="3"/>
  <c r="Q32" i="3" s="1"/>
  <c r="BA31" i="3"/>
  <c r="AN31" i="3"/>
  <c r="AD31" i="3"/>
  <c r="AE31" i="3" s="1"/>
  <c r="Y31" i="3"/>
  <c r="BF30" i="3"/>
  <c r="AZ30" i="3"/>
  <c r="AP30" i="3"/>
  <c r="AD30" i="3"/>
  <c r="BE29" i="3"/>
  <c r="BF29" i="3" s="1"/>
  <c r="AU29" i="3"/>
  <c r="AD29" i="3"/>
  <c r="AF29" i="3" s="1"/>
  <c r="BA28" i="3"/>
  <c r="AN28" i="3"/>
  <c r="AZ27" i="3"/>
  <c r="AO27" i="3"/>
  <c r="AI27" i="3"/>
  <c r="Y27" i="3"/>
  <c r="P27" i="3"/>
  <c r="T27" i="3" s="1"/>
  <c r="B27" i="3"/>
  <c r="BA26" i="3"/>
  <c r="BC26" i="3" s="1"/>
  <c r="AU26" i="3"/>
  <c r="AP26" i="3"/>
  <c r="AS26" i="3" s="1"/>
  <c r="AE26" i="3"/>
  <c r="P26" i="3"/>
  <c r="BA25" i="3"/>
  <c r="AN25" i="3"/>
  <c r="X25" i="3"/>
  <c r="J25" i="3"/>
  <c r="BA24" i="3"/>
  <c r="AN24" i="3"/>
  <c r="P24" i="3"/>
  <c r="AX23" i="3"/>
  <c r="AG23" i="3"/>
  <c r="B23" i="3"/>
  <c r="AU22" i="3"/>
  <c r="AD22" i="3"/>
  <c r="AE22" i="3" s="1"/>
  <c r="BB21" i="3"/>
  <c r="AX21" i="3"/>
  <c r="AY21" i="3" s="1"/>
  <c r="AH21" i="3"/>
  <c r="E21" i="3"/>
  <c r="AX20" i="3"/>
  <c r="AZ20" i="3" s="1"/>
  <c r="AN20" i="3"/>
  <c r="P20" i="3"/>
  <c r="BE19" i="3"/>
  <c r="BF19" i="3" s="1"/>
  <c r="AU19" i="3"/>
  <c r="AW19" i="3" s="1"/>
  <c r="AG19" i="3"/>
  <c r="AJ19" i="3" s="1"/>
  <c r="X19" i="3"/>
  <c r="Z19" i="3" s="1"/>
  <c r="P19" i="3"/>
  <c r="T19" i="3" s="1"/>
  <c r="BF18" i="3"/>
  <c r="AY18" i="3"/>
  <c r="AP18" i="3"/>
  <c r="AI18" i="3"/>
  <c r="Y18" i="3"/>
  <c r="O18" i="3"/>
  <c r="B18" i="3"/>
  <c r="AU17" i="3"/>
  <c r="AG17" i="3"/>
  <c r="P17" i="3"/>
  <c r="AX16" i="3"/>
  <c r="AG16" i="3"/>
  <c r="P16" i="3"/>
  <c r="AX15" i="3"/>
  <c r="AG15" i="3"/>
  <c r="B15" i="3"/>
  <c r="AQ14" i="3"/>
  <c r="AD14" i="3"/>
  <c r="AE14" i="3" s="1"/>
  <c r="B14" i="3"/>
  <c r="AU13" i="3"/>
  <c r="AD13" i="3"/>
  <c r="AF13" i="3" s="1"/>
  <c r="BE12" i="3"/>
  <c r="AP12" i="3"/>
  <c r="X12" i="3"/>
  <c r="BE11" i="3"/>
  <c r="BF11" i="3" s="1"/>
  <c r="AU11" i="3"/>
  <c r="AG11" i="3"/>
  <c r="E11" i="3"/>
  <c r="AX10" i="3"/>
  <c r="AG10" i="3"/>
  <c r="B10" i="3"/>
  <c r="AY9" i="3"/>
  <c r="AD9" i="3"/>
  <c r="AF9" i="3" s="1"/>
  <c r="B9" i="3"/>
  <c r="AU8" i="3"/>
  <c r="AD8" i="3"/>
  <c r="AF8" i="3" s="1"/>
  <c r="BE7" i="3"/>
  <c r="AP7" i="3"/>
  <c r="X7" i="3"/>
  <c r="B7" i="3"/>
  <c r="AU6" i="3"/>
  <c r="AW6" i="3" s="1"/>
  <c r="X6" i="3"/>
  <c r="Z6" i="3" s="1"/>
  <c r="P6" i="3"/>
  <c r="T6" i="3" s="1"/>
  <c r="BA5" i="3"/>
  <c r="AN5" i="3"/>
  <c r="P5" i="3"/>
  <c r="AX4" i="3"/>
  <c r="AG4" i="3"/>
  <c r="B4" i="3"/>
  <c r="D6" i="3"/>
  <c r="AG5" i="3"/>
  <c r="AU4" i="3"/>
  <c r="X5" i="3"/>
  <c r="AN4" i="3"/>
  <c r="B5" i="3"/>
  <c r="AD4" i="3"/>
  <c r="AF4" i="3" s="1"/>
  <c r="AP5" i="3"/>
  <c r="AQ5" i="3" s="1"/>
  <c r="BA4" i="3"/>
  <c r="BC4" i="3" s="1"/>
  <c r="P4" i="3"/>
  <c r="AH36" i="3"/>
  <c r="BD43" i="3"/>
  <c r="BD52" i="3"/>
  <c r="W58" i="3"/>
  <c r="R68" i="3"/>
  <c r="AR68" i="3"/>
  <c r="AV27" i="3"/>
  <c r="AV48" i="3"/>
  <c r="AR47" i="3"/>
  <c r="R57" i="3"/>
  <c r="AA58" i="3"/>
  <c r="V68" i="3"/>
  <c r="G36" i="3"/>
  <c r="AS17" i="3"/>
  <c r="S28" i="3"/>
  <c r="T51" i="3"/>
  <c r="AY59" i="3"/>
  <c r="AA34" i="3"/>
  <c r="AI45" i="3"/>
  <c r="AH68" i="3"/>
  <c r="AQ37" i="3"/>
  <c r="W57" i="3"/>
  <c r="D68" i="3"/>
  <c r="Z68" i="3"/>
  <c r="AI21" i="3"/>
  <c r="AY29" i="3"/>
  <c r="AY36" i="3"/>
  <c r="BB52" i="3"/>
  <c r="Z38" i="3"/>
  <c r="AH52" i="3"/>
  <c r="R58" i="3"/>
  <c r="AB58" i="3"/>
  <c r="AI26" i="3"/>
  <c r="BC29" i="3"/>
  <c r="AY34" i="3"/>
  <c r="AS37" i="3"/>
  <c r="AV45" i="3"/>
  <c r="Y58" i="3"/>
  <c r="AL68" i="3"/>
  <c r="AR39" i="3"/>
  <c r="AC58" i="3"/>
  <c r="M68" i="3"/>
  <c r="O68" i="3" s="1"/>
  <c r="M67" i="3"/>
  <c r="M66" i="3"/>
  <c r="M65" i="3"/>
  <c r="AF55" i="3"/>
  <c r="AF56" i="3"/>
  <c r="AF40" i="3"/>
  <c r="AF25" i="3"/>
  <c r="AE59" i="3"/>
  <c r="AF24" i="3"/>
  <c r="AE58" i="3"/>
  <c r="AF42" i="3"/>
  <c r="AF27" i="3"/>
  <c r="AE11" i="3"/>
  <c r="AE71" i="3"/>
  <c r="AF53" i="3"/>
  <c r="AF37" i="3"/>
  <c r="AF30" i="3"/>
  <c r="AE76" i="3"/>
  <c r="AF26" i="3"/>
  <c r="AF70" i="3"/>
  <c r="AF21" i="3"/>
  <c r="AE74" i="3"/>
  <c r="AF51" i="3"/>
  <c r="AE35" i="3"/>
  <c r="AE20" i="3"/>
  <c r="AE72" i="3"/>
  <c r="AF54" i="3"/>
  <c r="AF38" i="3"/>
  <c r="AE7" i="3"/>
  <c r="AF35" i="3"/>
  <c r="AE67" i="3"/>
  <c r="AF49" i="3"/>
  <c r="AF33" i="3"/>
  <c r="AF18" i="3"/>
  <c r="AF46" i="3"/>
  <c r="AF57" i="3"/>
  <c r="AE10" i="3"/>
  <c r="AF66" i="3"/>
  <c r="AF48" i="3"/>
  <c r="AF68" i="3"/>
  <c r="AF34" i="3"/>
  <c r="AF62" i="3"/>
  <c r="AF45" i="3"/>
  <c r="AF61" i="3"/>
  <c r="AF44" i="3"/>
  <c r="AF28" i="3"/>
  <c r="AE43" i="3"/>
  <c r="AF60" i="3"/>
  <c r="AE64" i="3"/>
  <c r="AE15" i="3"/>
  <c r="AF41" i="3"/>
  <c r="M5" i="3"/>
  <c r="M9" i="3"/>
  <c r="M13" i="3"/>
  <c r="M17" i="3"/>
  <c r="M21" i="3"/>
  <c r="M25" i="3"/>
  <c r="N25" i="3" s="1"/>
  <c r="J6" i="3"/>
  <c r="L6" i="3" s="1"/>
  <c r="J10" i="3"/>
  <c r="J14" i="3"/>
  <c r="J18" i="3"/>
  <c r="K18" i="3" s="1"/>
  <c r="M6" i="3"/>
  <c r="N6" i="3" s="1"/>
  <c r="M10" i="3"/>
  <c r="M14" i="3"/>
  <c r="M18" i="3"/>
  <c r="N18" i="3" s="1"/>
  <c r="M22" i="3"/>
  <c r="M26" i="3"/>
  <c r="J7" i="3"/>
  <c r="J11" i="3"/>
  <c r="J15" i="3"/>
  <c r="M7" i="3"/>
  <c r="N7" i="3" s="1"/>
  <c r="M11" i="3"/>
  <c r="M15" i="3"/>
  <c r="M19" i="3"/>
  <c r="M23" i="3"/>
  <c r="J4" i="3"/>
  <c r="J8" i="3"/>
  <c r="J12" i="3"/>
  <c r="J16" i="3"/>
  <c r="M16" i="3"/>
  <c r="J5" i="3"/>
  <c r="J13" i="3"/>
  <c r="M4" i="3"/>
  <c r="M8" i="3"/>
  <c r="M12" i="3"/>
  <c r="M20" i="3"/>
  <c r="M24" i="3"/>
  <c r="J9" i="3"/>
  <c r="J17" i="3"/>
  <c r="BE67" i="3"/>
  <c r="BF67" i="3" s="1"/>
  <c r="AP67" i="3"/>
  <c r="AS67" i="3" s="1"/>
  <c r="BE66" i="3"/>
  <c r="BF66" i="3" s="1"/>
  <c r="AP66" i="3"/>
  <c r="AR66" i="3" s="1"/>
  <c r="X66" i="3"/>
  <c r="Y66" i="3" s="1"/>
  <c r="J61" i="3"/>
  <c r="AK59" i="3"/>
  <c r="M59" i="3"/>
  <c r="J56" i="3"/>
  <c r="AK55" i="3"/>
  <c r="AM55" i="3" s="1"/>
  <c r="M55" i="3"/>
  <c r="N55" i="3" s="1"/>
  <c r="J52" i="3"/>
  <c r="AK51" i="3"/>
  <c r="M51" i="3"/>
  <c r="J48" i="3"/>
  <c r="K48" i="3" s="1"/>
  <c r="AK47" i="3"/>
  <c r="M47" i="3"/>
  <c r="BA67" i="3"/>
  <c r="BB67" i="3" s="1"/>
  <c r="BA66" i="3"/>
  <c r="BB66" i="3" s="1"/>
  <c r="AN66" i="3"/>
  <c r="AO66" i="3" s="1"/>
  <c r="J59" i="3"/>
  <c r="J55" i="3"/>
  <c r="AK54" i="3"/>
  <c r="AX67" i="3"/>
  <c r="AZ67" i="3" s="1"/>
  <c r="J67" i="3"/>
  <c r="AK66" i="3"/>
  <c r="AM66" i="3" s="1"/>
  <c r="J65" i="3"/>
  <c r="M62" i="3"/>
  <c r="J58" i="3"/>
  <c r="AK57" i="3"/>
  <c r="M53" i="3"/>
  <c r="J51" i="3"/>
  <c r="L51" i="3" s="1"/>
  <c r="AK49" i="3"/>
  <c r="J49" i="3"/>
  <c r="J46" i="3"/>
  <c r="AK45" i="3"/>
  <c r="AM45" i="3" s="1"/>
  <c r="M45" i="3"/>
  <c r="J42" i="3"/>
  <c r="AC39" i="3"/>
  <c r="J38" i="3"/>
  <c r="AK37" i="3"/>
  <c r="M37" i="3"/>
  <c r="N37" i="3" s="1"/>
  <c r="AU34" i="3"/>
  <c r="AV34" i="3" s="1"/>
  <c r="J34" i="3"/>
  <c r="L34" i="3" s="1"/>
  <c r="AK33" i="3"/>
  <c r="M33" i="3"/>
  <c r="J30" i="3"/>
  <c r="K30" i="3" s="1"/>
  <c r="AK29" i="3"/>
  <c r="M29" i="3"/>
  <c r="J27" i="3"/>
  <c r="K27" i="3" s="1"/>
  <c r="AK26" i="3"/>
  <c r="J23" i="3"/>
  <c r="AK22" i="3"/>
  <c r="J19" i="3"/>
  <c r="L19" i="3" s="1"/>
  <c r="AK18" i="3"/>
  <c r="AL18" i="3" s="1"/>
  <c r="X16" i="3"/>
  <c r="Z16" i="3" s="1"/>
  <c r="AK14" i="3"/>
  <c r="AK10" i="3"/>
  <c r="AU67" i="3"/>
  <c r="AW67" i="3" s="1"/>
  <c r="AG66" i="3"/>
  <c r="AI66" i="3" s="1"/>
  <c r="J62" i="3"/>
  <c r="AK61" i="3"/>
  <c r="M56" i="3"/>
  <c r="AK53" i="3"/>
  <c r="J53" i="3"/>
  <c r="M50" i="3"/>
  <c r="M48" i="3"/>
  <c r="O48" i="3" s="1"/>
  <c r="X47" i="3"/>
  <c r="AA47" i="3" s="1"/>
  <c r="J45" i="3"/>
  <c r="AK44" i="3"/>
  <c r="AL44" i="3" s="1"/>
  <c r="M44" i="3"/>
  <c r="N44" i="3" s="1"/>
  <c r="AK67" i="3"/>
  <c r="J66" i="3"/>
  <c r="AK62" i="3"/>
  <c r="X55" i="3"/>
  <c r="Z55" i="3" s="1"/>
  <c r="M54" i="3"/>
  <c r="J50" i="3"/>
  <c r="AK48" i="3"/>
  <c r="AM48" i="3" s="1"/>
  <c r="M43" i="3"/>
  <c r="J39" i="3"/>
  <c r="M34" i="3"/>
  <c r="N34" i="3" s="1"/>
  <c r="AK32" i="3"/>
  <c r="J32" i="3"/>
  <c r="L32" i="3" s="1"/>
  <c r="AK30" i="3"/>
  <c r="AL30" i="3" s="1"/>
  <c r="M60" i="3"/>
  <c r="N60" i="3" s="1"/>
  <c r="AC27" i="3"/>
  <c r="J26" i="3"/>
  <c r="AK24" i="3"/>
  <c r="J24" i="3"/>
  <c r="AC18" i="3"/>
  <c r="AK13" i="3"/>
  <c r="AK12" i="3"/>
  <c r="AK11" i="3"/>
  <c r="AK5" i="3"/>
  <c r="AL5" i="3" s="1"/>
  <c r="G5" i="3"/>
  <c r="M61" i="3"/>
  <c r="AK56" i="3"/>
  <c r="J54" i="3"/>
  <c r="AK52" i="3"/>
  <c r="M49" i="3"/>
  <c r="AC44" i="3"/>
  <c r="J43" i="3"/>
  <c r="M38" i="3"/>
  <c r="AK36" i="3"/>
  <c r="M31" i="3"/>
  <c r="AC30" i="3"/>
  <c r="AK60" i="3"/>
  <c r="AK21" i="3"/>
  <c r="AK9" i="3"/>
  <c r="AK6" i="3"/>
  <c r="AL6" i="3" s="1"/>
  <c r="J68" i="3"/>
  <c r="L68" i="3" s="1"/>
  <c r="AX66" i="3"/>
  <c r="AZ66" i="3" s="1"/>
  <c r="M57" i="3"/>
  <c r="N57" i="3" s="1"/>
  <c r="AC51" i="3"/>
  <c r="AK50" i="3"/>
  <c r="P47" i="3"/>
  <c r="T47" i="3" s="1"/>
  <c r="AK43" i="3"/>
  <c r="J40" i="3"/>
  <c r="AK38" i="3"/>
  <c r="J33" i="3"/>
  <c r="AC32" i="3"/>
  <c r="M46" i="3"/>
  <c r="AK42" i="3"/>
  <c r="M40" i="3"/>
  <c r="J36" i="3"/>
  <c r="J29" i="3"/>
  <c r="L29" i="3" s="1"/>
  <c r="J60" i="3"/>
  <c r="J21" i="3"/>
  <c r="AK19" i="3"/>
  <c r="AL19" i="3" s="1"/>
  <c r="AK65" i="3"/>
  <c r="M52" i="3"/>
  <c r="AC45" i="3"/>
  <c r="J44" i="3"/>
  <c r="AK40" i="3"/>
  <c r="M35" i="3"/>
  <c r="J57" i="3"/>
  <c r="AK46" i="3"/>
  <c r="AC36" i="3"/>
  <c r="J28" i="3"/>
  <c r="AK27" i="3"/>
  <c r="AL27" i="3" s="1"/>
  <c r="J20" i="3"/>
  <c r="AK17" i="3"/>
  <c r="AK16" i="3"/>
  <c r="AK15" i="3"/>
  <c r="AK20" i="3"/>
  <c r="AK23" i="3"/>
  <c r="M39" i="3"/>
  <c r="N39" i="3" s="1"/>
  <c r="J31" i="3"/>
  <c r="M27" i="3"/>
  <c r="N27" i="3" s="1"/>
  <c r="AK28" i="3"/>
  <c r="J22" i="3"/>
  <c r="C11" i="3"/>
  <c r="AK8" i="3"/>
  <c r="AK4" i="3"/>
  <c r="M42" i="3"/>
  <c r="J35" i="3"/>
  <c r="M28" i="3"/>
  <c r="AU66" i="3"/>
  <c r="AW66" i="3" s="1"/>
  <c r="J37" i="3"/>
  <c r="AK35" i="3"/>
  <c r="M32" i="3"/>
  <c r="M30" i="3"/>
  <c r="AC29" i="3"/>
  <c r="J47" i="3"/>
  <c r="L47" i="3" s="1"/>
  <c r="AC19" i="3"/>
  <c r="AK7" i="3"/>
  <c r="S48" i="3"/>
  <c r="BK2" i="3"/>
  <c r="AE102" i="3" l="1"/>
  <c r="AJ93" i="3"/>
  <c r="U68" i="3"/>
  <c r="AF99" i="3"/>
  <c r="AJ101" i="3"/>
  <c r="AQ84" i="3"/>
  <c r="AR84" i="3"/>
  <c r="Q102" i="3"/>
  <c r="V102" i="3"/>
  <c r="AB80" i="3"/>
  <c r="AE78" i="3"/>
  <c r="AQ79" i="3"/>
  <c r="AL102" i="3"/>
  <c r="AS84" i="3"/>
  <c r="AQ36" i="3"/>
  <c r="AS36" i="3"/>
  <c r="AQ9" i="3"/>
  <c r="AY42" i="3"/>
  <c r="K102" i="3"/>
  <c r="AA100" i="3"/>
  <c r="AI97" i="3"/>
  <c r="AQ87" i="3"/>
  <c r="AR100" i="3"/>
  <c r="Z31" i="3"/>
  <c r="AF81" i="3"/>
  <c r="AF97" i="3"/>
  <c r="AH92" i="3"/>
  <c r="AE86" i="3"/>
  <c r="AH78" i="3"/>
  <c r="AL82" i="3"/>
  <c r="AR103" i="3"/>
  <c r="AS100" i="3"/>
  <c r="AT100" i="3"/>
  <c r="AJ78" i="3"/>
  <c r="AH94" i="3"/>
  <c r="AH30" i="3"/>
  <c r="L101" i="3"/>
  <c r="AB99" i="3"/>
  <c r="Y79" i="3"/>
  <c r="AL86" i="3"/>
  <c r="T18" i="3"/>
  <c r="AC38" i="3"/>
  <c r="K86" i="3"/>
  <c r="AC86" i="3"/>
  <c r="AQ83" i="3"/>
  <c r="AS99" i="3"/>
  <c r="AL98" i="3"/>
  <c r="AQ86" i="3"/>
  <c r="BB90" i="3"/>
  <c r="AV102" i="3"/>
  <c r="BB100" i="3"/>
  <c r="Y91" i="3"/>
  <c r="AF89" i="3"/>
  <c r="AV86" i="3"/>
  <c r="BB84" i="3"/>
  <c r="AC78" i="3"/>
  <c r="Q86" i="3"/>
  <c r="BD99" i="3"/>
  <c r="AT36" i="3"/>
  <c r="AA80" i="3"/>
  <c r="Q90" i="3"/>
  <c r="AC83" i="3"/>
  <c r="AE94" i="3"/>
  <c r="AR79" i="3"/>
  <c r="AS20" i="3"/>
  <c r="K90" i="3"/>
  <c r="T90" i="3"/>
  <c r="AB83" i="3"/>
  <c r="AB95" i="3"/>
  <c r="U94" i="3"/>
  <c r="AC80" i="3"/>
  <c r="AR95" i="3"/>
  <c r="AS95" i="3"/>
  <c r="AS80" i="3"/>
  <c r="BB86" i="3"/>
  <c r="T94" i="3"/>
  <c r="AA96" i="3"/>
  <c r="AB96" i="3"/>
  <c r="Y96" i="3"/>
  <c r="AS88" i="3"/>
  <c r="BD68" i="3"/>
  <c r="AL81" i="3"/>
  <c r="AR90" i="3"/>
  <c r="AB79" i="3"/>
  <c r="AC88" i="3"/>
  <c r="AJ86" i="3"/>
  <c r="AH102" i="3"/>
  <c r="AS96" i="3"/>
  <c r="AT96" i="3"/>
  <c r="V58" i="3"/>
  <c r="K82" i="3"/>
  <c r="K98" i="3"/>
  <c r="Y82" i="3"/>
  <c r="Y90" i="3"/>
  <c r="AC79" i="3"/>
  <c r="AC95" i="3"/>
  <c r="Y80" i="3"/>
  <c r="Y100" i="3"/>
  <c r="AF93" i="3"/>
  <c r="AL97" i="3"/>
  <c r="AH86" i="3"/>
  <c r="AQ82" i="3"/>
  <c r="AR80" i="3"/>
  <c r="T86" i="3"/>
  <c r="AC82" i="3"/>
  <c r="U86" i="3"/>
  <c r="R102" i="3"/>
  <c r="Y83" i="3"/>
  <c r="AC91" i="3"/>
  <c r="AJ89" i="3"/>
  <c r="AA31" i="3"/>
  <c r="AA84" i="3"/>
  <c r="AC90" i="3"/>
  <c r="AC98" i="3"/>
  <c r="Q94" i="3"/>
  <c r="AB84" i="3"/>
  <c r="AF101" i="3"/>
  <c r="AE98" i="3"/>
  <c r="AF85" i="3"/>
  <c r="AH80" i="3"/>
  <c r="AI89" i="3"/>
  <c r="AH96" i="3"/>
  <c r="AE82" i="3"/>
  <c r="AJ85" i="3"/>
  <c r="AR98" i="3"/>
  <c r="H68" i="3"/>
  <c r="Q51" i="3"/>
  <c r="Z21" i="3"/>
  <c r="AA21" i="3"/>
  <c r="U98" i="3"/>
  <c r="AA92" i="3"/>
  <c r="R98" i="3"/>
  <c r="AB92" i="3"/>
  <c r="AH100" i="3"/>
  <c r="AJ81" i="3"/>
  <c r="AJ97" i="3"/>
  <c r="AL94" i="3"/>
  <c r="AT88" i="3"/>
  <c r="AR104" i="3"/>
  <c r="AV85" i="3"/>
  <c r="AV101" i="3"/>
  <c r="BB82" i="3"/>
  <c r="BB98" i="3"/>
  <c r="BD79" i="3"/>
  <c r="BD95" i="3"/>
  <c r="AV19" i="3"/>
  <c r="AV32" i="3"/>
  <c r="AY14" i="3"/>
  <c r="R28" i="3"/>
  <c r="AJ34" i="3"/>
  <c r="AA52" i="3"/>
  <c r="O80" i="3"/>
  <c r="O94" i="3"/>
  <c r="W48" i="3"/>
  <c r="T101" i="3"/>
  <c r="Y86" i="3"/>
  <c r="AC94" i="3"/>
  <c r="U90" i="3"/>
  <c r="V98" i="3"/>
  <c r="Y87" i="3"/>
  <c r="Y95" i="3"/>
  <c r="AB100" i="3"/>
  <c r="Y84" i="3"/>
  <c r="AC96" i="3"/>
  <c r="AF87" i="3"/>
  <c r="AF103" i="3"/>
  <c r="AH84" i="3"/>
  <c r="AJ90" i="3"/>
  <c r="AL93" i="3"/>
  <c r="AE90" i="3"/>
  <c r="AH82" i="3"/>
  <c r="AH98" i="3"/>
  <c r="AL78" i="3"/>
  <c r="AQ78" i="3"/>
  <c r="AR88" i="3"/>
  <c r="AR94" i="3"/>
  <c r="AQ104" i="3"/>
  <c r="AZ84" i="3"/>
  <c r="AZ100" i="3"/>
  <c r="BB80" i="3"/>
  <c r="BB96" i="3"/>
  <c r="AF36" i="3"/>
  <c r="AJ68" i="3"/>
  <c r="BB43" i="3"/>
  <c r="BC34" i="3"/>
  <c r="AS34" i="3"/>
  <c r="T44" i="3"/>
  <c r="Q98" i="3"/>
  <c r="AB87" i="3"/>
  <c r="AA103" i="3"/>
  <c r="Y92" i="3"/>
  <c r="AI81" i="3"/>
  <c r="AH90" i="3"/>
  <c r="AR91" i="3"/>
  <c r="AR83" i="3"/>
  <c r="AS91" i="3"/>
  <c r="BD80" i="3"/>
  <c r="BD96" i="3"/>
  <c r="AV82" i="3"/>
  <c r="AV98" i="3"/>
  <c r="AC31" i="3"/>
  <c r="AC87" i="3"/>
  <c r="AC92" i="3"/>
  <c r="AL90" i="3"/>
  <c r="AR78" i="3"/>
  <c r="R19" i="3"/>
  <c r="AY20" i="3"/>
  <c r="R6" i="3"/>
  <c r="K79" i="3"/>
  <c r="AB88" i="3"/>
  <c r="AH88" i="3"/>
  <c r="AH104" i="3"/>
  <c r="K95" i="3"/>
  <c r="O102" i="3"/>
  <c r="N79" i="3"/>
  <c r="AC99" i="3"/>
  <c r="R90" i="3"/>
  <c r="Y88" i="3"/>
  <c r="AL103" i="3"/>
  <c r="K87" i="3"/>
  <c r="Z86" i="3"/>
  <c r="AL95" i="3"/>
  <c r="W6" i="3"/>
  <c r="O86" i="3"/>
  <c r="W68" i="3"/>
  <c r="N95" i="3"/>
  <c r="AL87" i="3"/>
  <c r="K103" i="3"/>
  <c r="O78" i="3"/>
  <c r="AC84" i="3"/>
  <c r="Z104" i="3"/>
  <c r="AL79" i="3"/>
  <c r="K6" i="3"/>
  <c r="AB16" i="3"/>
  <c r="K29" i="3"/>
  <c r="L30" i="3"/>
  <c r="O37" i="3"/>
  <c r="AM6" i="3"/>
  <c r="Y16" i="3"/>
  <c r="AQ26" i="3"/>
  <c r="Q27" i="3"/>
  <c r="BB34" i="3"/>
  <c r="O44" i="3"/>
  <c r="AY11" i="3"/>
  <c r="K19" i="3"/>
  <c r="AQ20" i="3"/>
  <c r="O25" i="3"/>
  <c r="Z26" i="3"/>
  <c r="BD26" i="3"/>
  <c r="AQ34" i="3"/>
  <c r="AI36" i="3"/>
  <c r="AW43" i="3"/>
  <c r="AA16" i="3"/>
  <c r="R18" i="3"/>
  <c r="Y21" i="3"/>
  <c r="AT26" i="3"/>
  <c r="AI34" i="3"/>
  <c r="Y38" i="3"/>
  <c r="Q44" i="3"/>
  <c r="AW44" i="3"/>
  <c r="U47" i="3"/>
  <c r="D86" i="3"/>
  <c r="F86" i="3"/>
  <c r="I86" i="3"/>
  <c r="C86" i="3"/>
  <c r="H86" i="3"/>
  <c r="E86" i="3"/>
  <c r="G86" i="3"/>
  <c r="C102" i="3"/>
  <c r="H102" i="3"/>
  <c r="F102" i="3"/>
  <c r="I102" i="3"/>
  <c r="D102" i="3"/>
  <c r="E102" i="3"/>
  <c r="G102" i="3"/>
  <c r="T95" i="3"/>
  <c r="W95" i="3"/>
  <c r="S95" i="3"/>
  <c r="R47" i="3"/>
  <c r="AW47" i="3"/>
  <c r="W55" i="3"/>
  <c r="AJ66" i="3"/>
  <c r="BC67" i="3"/>
  <c r="E83" i="3"/>
  <c r="D83" i="3"/>
  <c r="C83" i="3"/>
  <c r="H99" i="3"/>
  <c r="D99" i="3"/>
  <c r="I99" i="3"/>
  <c r="G99" i="3"/>
  <c r="E99" i="3"/>
  <c r="C99" i="3"/>
  <c r="F99" i="3"/>
  <c r="R89" i="3"/>
  <c r="U89" i="3"/>
  <c r="Q89" i="3"/>
  <c r="V89" i="3"/>
  <c r="K47" i="3"/>
  <c r="AQ47" i="3"/>
  <c r="S57" i="3"/>
  <c r="AC66" i="3"/>
  <c r="BC66" i="3"/>
  <c r="AY67" i="3"/>
  <c r="Q68" i="3"/>
  <c r="G79" i="3"/>
  <c r="D79" i="3"/>
  <c r="C79" i="3"/>
  <c r="F79" i="3"/>
  <c r="I79" i="3"/>
  <c r="E79" i="3"/>
  <c r="H79" i="3"/>
  <c r="F96" i="3"/>
  <c r="D96" i="3"/>
  <c r="G96" i="3"/>
  <c r="I96" i="3"/>
  <c r="C96" i="3"/>
  <c r="E96" i="3"/>
  <c r="H96" i="3"/>
  <c r="K84" i="3"/>
  <c r="K92" i="3"/>
  <c r="K100" i="3"/>
  <c r="O91" i="3"/>
  <c r="O99" i="3"/>
  <c r="T83" i="3"/>
  <c r="W83" i="3"/>
  <c r="S83" i="3"/>
  <c r="Z47" i="3"/>
  <c r="L48" i="3"/>
  <c r="K51" i="3"/>
  <c r="AZ57" i="3"/>
  <c r="AS66" i="3"/>
  <c r="G68" i="3"/>
  <c r="G89" i="3"/>
  <c r="E89" i="3"/>
  <c r="H89" i="3"/>
  <c r="C89" i="3"/>
  <c r="D89" i="3"/>
  <c r="F89" i="3"/>
  <c r="I89" i="3"/>
  <c r="L80" i="3"/>
  <c r="L88" i="3"/>
  <c r="L96" i="3"/>
  <c r="L104" i="3"/>
  <c r="Q103" i="3"/>
  <c r="T103" i="3"/>
  <c r="U103" i="3"/>
  <c r="Q96" i="3"/>
  <c r="T96" i="3"/>
  <c r="U96" i="3"/>
  <c r="Q79" i="3"/>
  <c r="S81" i="3"/>
  <c r="W85" i="3"/>
  <c r="R88" i="3"/>
  <c r="V92" i="3"/>
  <c r="Q95" i="3"/>
  <c r="V99" i="3"/>
  <c r="S104" i="3"/>
  <c r="Y89" i="3"/>
  <c r="AB89" i="3"/>
  <c r="AA89" i="3"/>
  <c r="AC89" i="3"/>
  <c r="Q78" i="3"/>
  <c r="U82" i="3"/>
  <c r="R87" i="3"/>
  <c r="T89" i="3"/>
  <c r="S96" i="3"/>
  <c r="Q101" i="3"/>
  <c r="S103" i="3"/>
  <c r="AA85" i="3"/>
  <c r="AM19" i="3"/>
  <c r="K34" i="3"/>
  <c r="AV6" i="3"/>
  <c r="AC16" i="3"/>
  <c r="AH19" i="3"/>
  <c r="AY44" i="3"/>
  <c r="O7" i="3"/>
  <c r="L18" i="3"/>
  <c r="AM18" i="3"/>
  <c r="AZ21" i="3"/>
  <c r="L27" i="3"/>
  <c r="Z34" i="3"/>
  <c r="AW34" i="3"/>
  <c r="AV36" i="3"/>
  <c r="BD38" i="3"/>
  <c r="AM44" i="3"/>
  <c r="AS11" i="3"/>
  <c r="AR17" i="3"/>
  <c r="AZ26" i="3"/>
  <c r="Q28" i="3"/>
  <c r="AM34" i="3"/>
  <c r="AB36" i="3"/>
  <c r="N48" i="3"/>
  <c r="AT66" i="3"/>
  <c r="AQ67" i="3"/>
  <c r="I68" i="3"/>
  <c r="G90" i="3"/>
  <c r="C90" i="3"/>
  <c r="H90" i="3"/>
  <c r="F90" i="3"/>
  <c r="I90" i="3"/>
  <c r="D90" i="3"/>
  <c r="E90" i="3"/>
  <c r="V47" i="3"/>
  <c r="AY52" i="3"/>
  <c r="AQ66" i="3"/>
  <c r="C68" i="3"/>
  <c r="C80" i="3"/>
  <c r="F80" i="3"/>
  <c r="I80" i="3"/>
  <c r="H80" i="3"/>
  <c r="E80" i="3"/>
  <c r="D80" i="3"/>
  <c r="G80" i="3"/>
  <c r="C87" i="3"/>
  <c r="F87" i="3"/>
  <c r="D87" i="3"/>
  <c r="I87" i="3"/>
  <c r="H87" i="3"/>
  <c r="G87" i="3"/>
  <c r="E87" i="3"/>
  <c r="E103" i="3"/>
  <c r="C103" i="3"/>
  <c r="F103" i="3"/>
  <c r="H103" i="3"/>
  <c r="D103" i="3"/>
  <c r="I103" i="3"/>
  <c r="G103" i="3"/>
  <c r="N87" i="3"/>
  <c r="N103" i="3"/>
  <c r="V97" i="3"/>
  <c r="R97" i="3"/>
  <c r="U97" i="3"/>
  <c r="Q97" i="3"/>
  <c r="S47" i="3"/>
  <c r="AY50" i="3"/>
  <c r="AL66" i="3"/>
  <c r="BD67" i="3"/>
  <c r="H84" i="3"/>
  <c r="D84" i="3"/>
  <c r="G84" i="3"/>
  <c r="E84" i="3"/>
  <c r="C84" i="3"/>
  <c r="I84" i="3"/>
  <c r="F84" i="3"/>
  <c r="H100" i="3"/>
  <c r="F100" i="3"/>
  <c r="D100" i="3"/>
  <c r="G100" i="3"/>
  <c r="I100" i="3"/>
  <c r="C100" i="3"/>
  <c r="E100" i="3"/>
  <c r="T91" i="3"/>
  <c r="W91" i="3"/>
  <c r="S91" i="3"/>
  <c r="D47" i="3"/>
  <c r="Z52" i="3"/>
  <c r="AZ55" i="3"/>
  <c r="AZ58" i="3"/>
  <c r="Z66" i="3"/>
  <c r="AY66" i="3"/>
  <c r="AT67" i="3"/>
  <c r="N68" i="3"/>
  <c r="I93" i="3"/>
  <c r="G93" i="3"/>
  <c r="E93" i="3"/>
  <c r="H93" i="3"/>
  <c r="C93" i="3"/>
  <c r="D93" i="3"/>
  <c r="F93" i="3"/>
  <c r="N82" i="3"/>
  <c r="N90" i="3"/>
  <c r="N98" i="3"/>
  <c r="Q80" i="3"/>
  <c r="T80" i="3"/>
  <c r="U80" i="3"/>
  <c r="U84" i="3"/>
  <c r="Q84" i="3"/>
  <c r="T84" i="3"/>
  <c r="V100" i="3"/>
  <c r="R100" i="3"/>
  <c r="U100" i="3"/>
  <c r="Q100" i="3"/>
  <c r="U79" i="3"/>
  <c r="R84" i="3"/>
  <c r="Q91" i="3"/>
  <c r="S93" i="3"/>
  <c r="U95" i="3"/>
  <c r="S100" i="3"/>
  <c r="AA93" i="3"/>
  <c r="AC93" i="3"/>
  <c r="Y93" i="3"/>
  <c r="AB93" i="3"/>
  <c r="W80" i="3"/>
  <c r="R83" i="3"/>
  <c r="V87" i="3"/>
  <c r="S92" i="3"/>
  <c r="W96" i="3"/>
  <c r="W103" i="3"/>
  <c r="Q18" i="3"/>
  <c r="AV18" i="3"/>
  <c r="AY39" i="3"/>
  <c r="O6" i="3"/>
  <c r="AH18" i="3"/>
  <c r="AR34" i="3"/>
  <c r="AR37" i="3"/>
  <c r="AA66" i="3"/>
  <c r="AV67" i="3"/>
  <c r="D94" i="3"/>
  <c r="E94" i="3"/>
  <c r="G94" i="3"/>
  <c r="C94" i="3"/>
  <c r="H94" i="3"/>
  <c r="F94" i="3"/>
  <c r="I94" i="3"/>
  <c r="K91" i="3"/>
  <c r="K99" i="3"/>
  <c r="V81" i="3"/>
  <c r="R81" i="3"/>
  <c r="U81" i="3"/>
  <c r="Q81" i="3"/>
  <c r="AV66" i="3"/>
  <c r="AR67" i="3"/>
  <c r="K68" i="3"/>
  <c r="I91" i="3"/>
  <c r="G91" i="3"/>
  <c r="E91" i="3"/>
  <c r="C91" i="3"/>
  <c r="F91" i="3"/>
  <c r="H91" i="3"/>
  <c r="D91" i="3"/>
  <c r="R78" i="3"/>
  <c r="W78" i="3"/>
  <c r="S78" i="3"/>
  <c r="V78" i="3"/>
  <c r="W47" i="3"/>
  <c r="E68" i="3"/>
  <c r="H88" i="3"/>
  <c r="D88" i="3"/>
  <c r="G88" i="3"/>
  <c r="F88" i="3"/>
  <c r="I88" i="3"/>
  <c r="C88" i="3"/>
  <c r="E88" i="3"/>
  <c r="E104" i="3"/>
  <c r="H104" i="3"/>
  <c r="F104" i="3"/>
  <c r="D104" i="3"/>
  <c r="G104" i="3"/>
  <c r="C104" i="3"/>
  <c r="U99" i="3"/>
  <c r="Q99" i="3"/>
  <c r="T99" i="3"/>
  <c r="AS47" i="3"/>
  <c r="V57" i="3"/>
  <c r="Q58" i="3"/>
  <c r="AH66" i="3"/>
  <c r="BD66" i="3"/>
  <c r="S68" i="3"/>
  <c r="AW68" i="3"/>
  <c r="I81" i="3"/>
  <c r="F81" i="3"/>
  <c r="E81" i="3"/>
  <c r="H81" i="3"/>
  <c r="D81" i="3"/>
  <c r="G81" i="3"/>
  <c r="C81" i="3"/>
  <c r="F97" i="3"/>
  <c r="I97" i="3"/>
  <c r="G97" i="3"/>
  <c r="E97" i="3"/>
  <c r="H97" i="3"/>
  <c r="C97" i="3"/>
  <c r="D97" i="3"/>
  <c r="Q85" i="3"/>
  <c r="V85" i="3"/>
  <c r="R85" i="3"/>
  <c r="U85" i="3"/>
  <c r="U88" i="3"/>
  <c r="Q88" i="3"/>
  <c r="T88" i="3"/>
  <c r="T104" i="3"/>
  <c r="V104" i="3"/>
  <c r="R104" i="3"/>
  <c r="U104" i="3"/>
  <c r="Q104" i="3"/>
  <c r="R80" i="3"/>
  <c r="V84" i="3"/>
  <c r="S89" i="3"/>
  <c r="U91" i="3"/>
  <c r="R96" i="3"/>
  <c r="W100" i="3"/>
  <c r="R103" i="3"/>
  <c r="AA81" i="3"/>
  <c r="AC81" i="3"/>
  <c r="Y81" i="3"/>
  <c r="AB81" i="3"/>
  <c r="AA97" i="3"/>
  <c r="AC97" i="3"/>
  <c r="Y97" i="3"/>
  <c r="AB97" i="3"/>
  <c r="Z89" i="3"/>
  <c r="T81" i="3"/>
  <c r="S88" i="3"/>
  <c r="R95" i="3"/>
  <c r="T97" i="3"/>
  <c r="W99" i="3"/>
  <c r="Z78" i="3"/>
  <c r="AB78" i="3"/>
  <c r="AA78" i="3"/>
  <c r="Z94" i="3"/>
  <c r="AB94" i="3"/>
  <c r="AA94" i="3"/>
  <c r="Q6" i="3"/>
  <c r="Q19" i="3"/>
  <c r="Y34" i="3"/>
  <c r="BB38" i="3"/>
  <c r="AI40" i="3"/>
  <c r="W44" i="3"/>
  <c r="W19" i="3"/>
  <c r="BB29" i="3"/>
  <c r="AC34" i="3"/>
  <c r="Q47" i="3"/>
  <c r="F82" i="3"/>
  <c r="I82" i="3"/>
  <c r="G82" i="3"/>
  <c r="E82" i="3"/>
  <c r="D82" i="3"/>
  <c r="H82" i="3"/>
  <c r="C82" i="3"/>
  <c r="H98" i="3"/>
  <c r="F98" i="3"/>
  <c r="I98" i="3"/>
  <c r="D98" i="3"/>
  <c r="E98" i="3"/>
  <c r="G98" i="3"/>
  <c r="C98" i="3"/>
  <c r="S87" i="3"/>
  <c r="T87" i="3"/>
  <c r="W87" i="3"/>
  <c r="AC52" i="3"/>
  <c r="Q57" i="3"/>
  <c r="O58" i="3"/>
  <c r="AB66" i="3"/>
  <c r="D78" i="3"/>
  <c r="G78" i="3"/>
  <c r="F78" i="3"/>
  <c r="I78" i="3"/>
  <c r="C78" i="3"/>
  <c r="E78" i="3"/>
  <c r="H78" i="3"/>
  <c r="D95" i="3"/>
  <c r="I95" i="3"/>
  <c r="G95" i="3"/>
  <c r="E95" i="3"/>
  <c r="C95" i="3"/>
  <c r="F95" i="3"/>
  <c r="H95" i="3"/>
  <c r="S82" i="3"/>
  <c r="V82" i="3"/>
  <c r="R82" i="3"/>
  <c r="W82" i="3"/>
  <c r="C47" i="3"/>
  <c r="R51" i="3"/>
  <c r="Y52" i="3"/>
  <c r="I92" i="3"/>
  <c r="C92" i="3"/>
  <c r="E92" i="3"/>
  <c r="H92" i="3"/>
  <c r="F92" i="3"/>
  <c r="D92" i="3"/>
  <c r="G92" i="3"/>
  <c r="T79" i="3"/>
  <c r="W79" i="3"/>
  <c r="S79" i="3"/>
  <c r="Y68" i="3"/>
  <c r="D85" i="3"/>
  <c r="F85" i="3"/>
  <c r="C85" i="3"/>
  <c r="I85" i="3"/>
  <c r="G85" i="3"/>
  <c r="E85" i="3"/>
  <c r="H85" i="3"/>
  <c r="C101" i="3"/>
  <c r="D101" i="3"/>
  <c r="F101" i="3"/>
  <c r="I101" i="3"/>
  <c r="G101" i="3"/>
  <c r="E101" i="3"/>
  <c r="H101" i="3"/>
  <c r="V93" i="3"/>
  <c r="R93" i="3"/>
  <c r="U93" i="3"/>
  <c r="Q93" i="3"/>
  <c r="U92" i="3"/>
  <c r="Q92" i="3"/>
  <c r="T92" i="3"/>
  <c r="T78" i="3"/>
  <c r="V80" i="3"/>
  <c r="Q83" i="3"/>
  <c r="S85" i="3"/>
  <c r="W89" i="3"/>
  <c r="R92" i="3"/>
  <c r="V96" i="3"/>
  <c r="R99" i="3"/>
  <c r="V103" i="3"/>
  <c r="AC85" i="3"/>
  <c r="Y85" i="3"/>
  <c r="AB85" i="3"/>
  <c r="AB101" i="3"/>
  <c r="Z101" i="3"/>
  <c r="AA101" i="3"/>
  <c r="Y101" i="3"/>
  <c r="Z93" i="3"/>
  <c r="R101" i="3"/>
  <c r="W101" i="3"/>
  <c r="S101" i="3"/>
  <c r="V101" i="3"/>
  <c r="V79" i="3"/>
  <c r="Q82" i="3"/>
  <c r="S84" i="3"/>
  <c r="W88" i="3"/>
  <c r="R91" i="3"/>
  <c r="T93" i="3"/>
  <c r="V95" i="3"/>
  <c r="T100" i="3"/>
  <c r="AB82" i="3"/>
  <c r="AA82" i="3"/>
  <c r="AB98" i="3"/>
  <c r="AA98" i="3"/>
  <c r="Z98" i="3"/>
  <c r="Y102" i="3"/>
  <c r="V94" i="3"/>
  <c r="Z87" i="3"/>
  <c r="AA90" i="3"/>
  <c r="S94" i="3"/>
  <c r="AA83" i="3"/>
  <c r="AB86" i="3"/>
  <c r="AA99" i="3"/>
  <c r="AA104" i="3"/>
  <c r="AC103" i="3"/>
  <c r="AA102" i="3"/>
  <c r="AI80" i="3"/>
  <c r="AH91" i="3"/>
  <c r="AI96" i="3"/>
  <c r="AM91" i="3"/>
  <c r="AM99" i="3"/>
  <c r="AF80" i="3"/>
  <c r="AF88" i="3"/>
  <c r="AF96" i="3"/>
  <c r="AF104" i="3"/>
  <c r="AI79" i="3"/>
  <c r="AJ84" i="3"/>
  <c r="AI95" i="3"/>
  <c r="AJ100" i="3"/>
  <c r="AJ83" i="3"/>
  <c r="AJ99" i="3"/>
  <c r="AM80" i="3"/>
  <c r="AM88" i="3"/>
  <c r="AM96" i="3"/>
  <c r="AM104" i="3"/>
  <c r="AS81" i="3"/>
  <c r="AS85" i="3"/>
  <c r="AT89" i="3"/>
  <c r="AT93" i="3"/>
  <c r="AT97" i="3"/>
  <c r="AR102" i="3"/>
  <c r="AT79" i="3"/>
  <c r="AT83" i="3"/>
  <c r="AS104" i="3"/>
  <c r="AW79" i="3"/>
  <c r="AW87" i="3"/>
  <c r="AW95" i="3"/>
  <c r="AW103" i="3"/>
  <c r="AY79" i="3"/>
  <c r="AY87" i="3"/>
  <c r="AY95" i="3"/>
  <c r="AY103" i="3"/>
  <c r="BC78" i="3"/>
  <c r="BB89" i="3"/>
  <c r="BC94" i="3"/>
  <c r="AT103" i="3"/>
  <c r="AV78" i="3"/>
  <c r="BD82" i="3"/>
  <c r="BC93" i="3"/>
  <c r="BD98" i="3"/>
  <c r="AW84" i="3"/>
  <c r="AW92" i="3"/>
  <c r="AW100" i="3"/>
  <c r="BD81" i="3"/>
  <c r="BD97" i="3"/>
  <c r="R86" i="3"/>
  <c r="V90" i="3"/>
  <c r="S102" i="3"/>
  <c r="Z91" i="3"/>
  <c r="S90" i="3"/>
  <c r="W94" i="3"/>
  <c r="AB90" i="3"/>
  <c r="Z100" i="3"/>
  <c r="AB104" i="3"/>
  <c r="Z103" i="3"/>
  <c r="AE84" i="3"/>
  <c r="AE92" i="3"/>
  <c r="AE100" i="3"/>
  <c r="AH87" i="3"/>
  <c r="AI92" i="3"/>
  <c r="AH103" i="3"/>
  <c r="AI91" i="3"/>
  <c r="AL84" i="3"/>
  <c r="AL92" i="3"/>
  <c r="AL100" i="3"/>
  <c r="AJ79" i="3"/>
  <c r="AJ95" i="3"/>
  <c r="AQ81" i="3"/>
  <c r="AQ85" i="3"/>
  <c r="AR89" i="3"/>
  <c r="AR93" i="3"/>
  <c r="AR97" i="3"/>
  <c r="AR101" i="3"/>
  <c r="AS78" i="3"/>
  <c r="AS82" i="3"/>
  <c r="AS86" i="3"/>
  <c r="AT90" i="3"/>
  <c r="AT94" i="3"/>
  <c r="AT98" i="3"/>
  <c r="AQ89" i="3"/>
  <c r="AQ93" i="3"/>
  <c r="AQ97" i="3"/>
  <c r="AQ101" i="3"/>
  <c r="AV83" i="3"/>
  <c r="AV91" i="3"/>
  <c r="AV99" i="3"/>
  <c r="AZ82" i="3"/>
  <c r="AZ90" i="3"/>
  <c r="AZ98" i="3"/>
  <c r="AS101" i="3"/>
  <c r="BB85" i="3"/>
  <c r="BC90" i="3"/>
  <c r="BB101" i="3"/>
  <c r="AV80" i="3"/>
  <c r="AV88" i="3"/>
  <c r="AV96" i="3"/>
  <c r="AV104" i="3"/>
  <c r="BC89" i="3"/>
  <c r="AY78" i="3"/>
  <c r="AY86" i="3"/>
  <c r="AY94" i="3"/>
  <c r="AY102" i="3"/>
  <c r="BD93" i="3"/>
  <c r="V86" i="3"/>
  <c r="S98" i="3"/>
  <c r="W102" i="3"/>
  <c r="Z79" i="3"/>
  <c r="Z95" i="3"/>
  <c r="AB102" i="3"/>
  <c r="S86" i="3"/>
  <c r="Z102" i="3"/>
  <c r="Y104" i="3"/>
  <c r="AH83" i="3"/>
  <c r="AI88" i="3"/>
  <c r="AH99" i="3"/>
  <c r="AI104" i="3"/>
  <c r="AI87" i="3"/>
  <c r="AI103" i="3"/>
  <c r="AR81" i="3"/>
  <c r="AR85" i="3"/>
  <c r="AQ102" i="3"/>
  <c r="AT91" i="3"/>
  <c r="AT95" i="3"/>
  <c r="AT99" i="3"/>
  <c r="AQ90" i="3"/>
  <c r="AQ94" i="3"/>
  <c r="AQ98" i="3"/>
  <c r="AQ103" i="3"/>
  <c r="AS102" i="3"/>
  <c r="AY83" i="3"/>
  <c r="AY91" i="3"/>
  <c r="AY99" i="3"/>
  <c r="BB81" i="3"/>
  <c r="BC86" i="3"/>
  <c r="BB97" i="3"/>
  <c r="BC102" i="3"/>
  <c r="BC85" i="3"/>
  <c r="BC101" i="3"/>
  <c r="W98" i="3"/>
  <c r="AR82" i="3"/>
  <c r="AR86" i="3"/>
  <c r="AF11" i="3"/>
  <c r="AE48" i="3"/>
  <c r="D11" i="3"/>
  <c r="AE44" i="3"/>
  <c r="AC6" i="3"/>
  <c r="AE55" i="3"/>
  <c r="AE51" i="3"/>
  <c r="AF59" i="3"/>
  <c r="AF58" i="3"/>
  <c r="AE56" i="3"/>
  <c r="AF39" i="3"/>
  <c r="AE9" i="3"/>
  <c r="AE53" i="3"/>
  <c r="AF71" i="3"/>
  <c r="AF72" i="3"/>
  <c r="AE75" i="3"/>
  <c r="AE24" i="3"/>
  <c r="AE25" i="3"/>
  <c r="AE8" i="3"/>
  <c r="AF22" i="3"/>
  <c r="AE37" i="3"/>
  <c r="AF7" i="3"/>
  <c r="AF6" i="3"/>
  <c r="AE68" i="3"/>
  <c r="AF76" i="3"/>
  <c r="AE18" i="3"/>
  <c r="AE57" i="3"/>
  <c r="AF67" i="3"/>
  <c r="AE38" i="3"/>
  <c r="AE13" i="3"/>
  <c r="AE23" i="3"/>
  <c r="AE21" i="3"/>
  <c r="AE62" i="3"/>
  <c r="AF74" i="3"/>
  <c r="AE50" i="3"/>
  <c r="AE70" i="3"/>
  <c r="AE5" i="3"/>
  <c r="AE30" i="3"/>
  <c r="AE33" i="3"/>
  <c r="AE52" i="3"/>
  <c r="AF10" i="3"/>
  <c r="AE49" i="3"/>
  <c r="AF20" i="3"/>
  <c r="AF14" i="3"/>
  <c r="AF15" i="3"/>
  <c r="AE45" i="3"/>
  <c r="AE41" i="3"/>
  <c r="AF32" i="3"/>
  <c r="AE40" i="3"/>
  <c r="AE29" i="3"/>
  <c r="AE42" i="3"/>
  <c r="AF19" i="3"/>
  <c r="AE66" i="3"/>
  <c r="AF65" i="3"/>
  <c r="AF47" i="3"/>
  <c r="AE12" i="3"/>
  <c r="AE34" i="3"/>
  <c r="AE60" i="3"/>
  <c r="AE69" i="3"/>
  <c r="AF31" i="3"/>
  <c r="AF17" i="3"/>
  <c r="AE46" i="3"/>
  <c r="AE28" i="3"/>
  <c r="AE61" i="3"/>
  <c r="AF43" i="3"/>
  <c r="AF64" i="3"/>
  <c r="AE4" i="3"/>
  <c r="V5" i="3"/>
  <c r="AC13" i="3"/>
  <c r="AC50" i="3"/>
  <c r="AC61" i="3"/>
  <c r="AC62" i="3"/>
  <c r="AC67" i="3"/>
  <c r="AC71" i="3"/>
  <c r="AC76" i="3"/>
  <c r="AC40" i="3"/>
  <c r="AC60" i="3"/>
  <c r="AC9" i="3"/>
  <c r="AC14" i="3"/>
  <c r="AC22" i="3"/>
  <c r="AC25" i="3"/>
  <c r="AC42" i="3"/>
  <c r="AC12" i="3"/>
  <c r="AC49" i="3"/>
  <c r="AC70" i="3"/>
  <c r="AC75" i="3"/>
  <c r="AC17" i="3"/>
  <c r="AC20" i="3"/>
  <c r="AC24" i="3"/>
  <c r="AC43" i="3"/>
  <c r="AC5" i="3"/>
  <c r="AC10" i="3"/>
  <c r="AC23" i="3"/>
  <c r="AC4" i="3"/>
  <c r="AC7" i="3"/>
  <c r="AC41" i="3"/>
  <c r="AC46" i="3"/>
  <c r="AC54" i="3"/>
  <c r="AC35" i="3"/>
  <c r="AC59" i="3"/>
  <c r="AC53" i="3"/>
  <c r="AC65" i="3"/>
  <c r="AC69" i="3"/>
  <c r="AC74" i="3"/>
  <c r="AC11" i="3"/>
  <c r="AC8" i="3"/>
  <c r="AC15" i="3"/>
  <c r="AC28" i="3"/>
  <c r="AC37" i="3"/>
  <c r="AC33" i="3"/>
  <c r="AC56" i="3"/>
  <c r="AC57" i="3"/>
  <c r="AC64" i="3"/>
  <c r="AC72" i="3"/>
  <c r="H5" i="3"/>
  <c r="F5" i="3"/>
  <c r="O5" i="3"/>
  <c r="U5" i="3"/>
  <c r="AR5" i="3"/>
  <c r="S30" i="3"/>
  <c r="O52" i="3"/>
  <c r="N21" i="3"/>
  <c r="U58" i="3"/>
  <c r="S54" i="3"/>
  <c r="V38" i="3"/>
  <c r="R30" i="3"/>
  <c r="U27" i="3"/>
  <c r="U11" i="3"/>
  <c r="AA44" i="3"/>
  <c r="AB21" i="3"/>
  <c r="AH27" i="3"/>
  <c r="K26" i="3"/>
  <c r="N59" i="3"/>
  <c r="N43" i="3"/>
  <c r="O31" i="3"/>
  <c r="U57" i="3"/>
  <c r="U14" i="3"/>
  <c r="AH26" i="3"/>
  <c r="K21" i="3"/>
  <c r="N50" i="3"/>
  <c r="N30" i="3"/>
  <c r="U75" i="3"/>
  <c r="V48" i="3"/>
  <c r="Q40" i="3"/>
  <c r="U9" i="3"/>
  <c r="AB11" i="3"/>
  <c r="AH40" i="3"/>
  <c r="AH32" i="3"/>
  <c r="K59" i="3"/>
  <c r="K55" i="3"/>
  <c r="K43" i="3"/>
  <c r="K31" i="3"/>
  <c r="O57" i="3"/>
  <c r="N29" i="3"/>
  <c r="Y26" i="3"/>
  <c r="AH6" i="3"/>
  <c r="AL51" i="3"/>
  <c r="AM16" i="3"/>
  <c r="AO76" i="3"/>
  <c r="AO71" i="3"/>
  <c r="AO62" i="3"/>
  <c r="AO57" i="3"/>
  <c r="AO53" i="3"/>
  <c r="AO49" i="3"/>
  <c r="AO45" i="3"/>
  <c r="AO41" i="3"/>
  <c r="AO37" i="3"/>
  <c r="AO33" i="3"/>
  <c r="AO22" i="3"/>
  <c r="AO18" i="3"/>
  <c r="AO14" i="3"/>
  <c r="AO10" i="3"/>
  <c r="AO6" i="3"/>
  <c r="AQ59" i="3"/>
  <c r="AT51" i="3"/>
  <c r="AQ43" i="3"/>
  <c r="AQ39" i="3"/>
  <c r="AR31" i="3"/>
  <c r="AR20" i="3"/>
  <c r="AZ51" i="3"/>
  <c r="AY47" i="3"/>
  <c r="AO75" i="3"/>
  <c r="AO70" i="3"/>
  <c r="AO61" i="3"/>
  <c r="AO56" i="3"/>
  <c r="AO52" i="3"/>
  <c r="AO48" i="3"/>
  <c r="AO40" i="3"/>
  <c r="AO28" i="3"/>
  <c r="AO25" i="3"/>
  <c r="AO21" i="3"/>
  <c r="AO13" i="3"/>
  <c r="AO9" i="3"/>
  <c r="AO5" i="3"/>
  <c r="AR58" i="3"/>
  <c r="AR50" i="3"/>
  <c r="AR27" i="3"/>
  <c r="AO69" i="3"/>
  <c r="AO65" i="3"/>
  <c r="AO59" i="3"/>
  <c r="AO55" i="3"/>
  <c r="AO51" i="3"/>
  <c r="AO47" i="3"/>
  <c r="AO39" i="3"/>
  <c r="AO35" i="3"/>
  <c r="AO31" i="3"/>
  <c r="AO24" i="3"/>
  <c r="AO20" i="3"/>
  <c r="AO16" i="3"/>
  <c r="AO12" i="3"/>
  <c r="AO8" i="3"/>
  <c r="AQ45" i="3"/>
  <c r="AS29" i="3"/>
  <c r="AR26" i="3"/>
  <c r="AR14" i="3"/>
  <c r="AL40" i="3"/>
  <c r="AM17" i="3"/>
  <c r="AO72" i="3"/>
  <c r="AO64" i="3"/>
  <c r="AO54" i="3"/>
  <c r="AO50" i="3"/>
  <c r="AO46" i="3"/>
  <c r="AO42" i="3"/>
  <c r="AO38" i="3"/>
  <c r="AO34" i="3"/>
  <c r="AO23" i="3"/>
  <c r="AO15" i="3"/>
  <c r="AO11" i="3"/>
  <c r="AO7" i="3"/>
  <c r="AQ21" i="3"/>
  <c r="AR9" i="3"/>
  <c r="BB26" i="3"/>
  <c r="BB6" i="3"/>
  <c r="BF69" i="3"/>
  <c r="BF65" i="3"/>
  <c r="BF51" i="3"/>
  <c r="BF35" i="3"/>
  <c r="BF31" i="3"/>
  <c r="BF24" i="3"/>
  <c r="BF16" i="3"/>
  <c r="BF12" i="3"/>
  <c r="BF8" i="3"/>
  <c r="BF4" i="3"/>
  <c r="E67" i="3"/>
  <c r="H49" i="3"/>
  <c r="F18" i="3"/>
  <c r="BC44" i="3"/>
  <c r="BF72" i="3"/>
  <c r="BF64" i="3"/>
  <c r="BF58" i="3"/>
  <c r="BF54" i="3"/>
  <c r="BF46" i="3"/>
  <c r="BF38" i="3"/>
  <c r="BF23" i="3"/>
  <c r="BF15" i="3"/>
  <c r="BF7" i="3"/>
  <c r="AO4" i="3"/>
  <c r="E66" i="3"/>
  <c r="I52" i="3"/>
  <c r="H36" i="3"/>
  <c r="H25" i="3"/>
  <c r="G21" i="3"/>
  <c r="F9" i="3"/>
  <c r="AY16" i="3"/>
  <c r="BC51" i="3"/>
  <c r="BC47" i="3"/>
  <c r="BC39" i="3"/>
  <c r="BF76" i="3"/>
  <c r="BF71" i="3"/>
  <c r="BF62" i="3"/>
  <c r="BF53" i="3"/>
  <c r="BF49" i="3"/>
  <c r="BF41" i="3"/>
  <c r="BF37" i="3"/>
  <c r="BF33" i="3"/>
  <c r="BF22" i="3"/>
  <c r="BF10" i="3"/>
  <c r="H59" i="3"/>
  <c r="C51" i="3"/>
  <c r="F47" i="3"/>
  <c r="F39" i="3"/>
  <c r="H16" i="3"/>
  <c r="G12" i="3"/>
  <c r="BF75" i="3"/>
  <c r="BF70" i="3"/>
  <c r="BF61" i="3"/>
  <c r="BF56" i="3"/>
  <c r="BF40" i="3"/>
  <c r="BF28" i="3"/>
  <c r="BF25" i="3"/>
  <c r="BF17" i="3"/>
  <c r="BF13" i="3"/>
  <c r="BF5" i="3"/>
  <c r="C50" i="3"/>
  <c r="C42" i="3"/>
  <c r="G38" i="3"/>
  <c r="F34" i="3"/>
  <c r="N5" i="3" l="1"/>
  <c r="G19" i="3"/>
  <c r="H19" i="3"/>
  <c r="AY27" i="3"/>
  <c r="AL45" i="3"/>
  <c r="H11" i="3"/>
  <c r="I11" i="3"/>
  <c r="G27" i="3"/>
  <c r="H27" i="3"/>
  <c r="F27" i="3"/>
  <c r="F58" i="3"/>
  <c r="G58" i="3"/>
  <c r="D58" i="3"/>
  <c r="E43" i="3"/>
  <c r="H43" i="3"/>
  <c r="I43" i="3"/>
  <c r="D43" i="3"/>
  <c r="F43" i="3"/>
  <c r="C43" i="3"/>
  <c r="G43" i="3"/>
  <c r="C44" i="3"/>
  <c r="G44" i="3"/>
  <c r="H44" i="3"/>
  <c r="F44" i="3"/>
  <c r="G26" i="3"/>
  <c r="F26" i="3"/>
  <c r="H57" i="3"/>
  <c r="G57" i="3"/>
  <c r="D57" i="3"/>
  <c r="F57" i="3"/>
  <c r="C57" i="3"/>
  <c r="BB18" i="3"/>
  <c r="BC18" i="3"/>
  <c r="BD18" i="3"/>
  <c r="AZ40" i="3"/>
  <c r="AY40" i="3"/>
  <c r="AS44" i="3"/>
  <c r="AQ44" i="3"/>
  <c r="AT44" i="3"/>
  <c r="AR44" i="3"/>
  <c r="AL32" i="3"/>
  <c r="AM32" i="3"/>
  <c r="AY45" i="3"/>
  <c r="AW39" i="3"/>
  <c r="AR18" i="3"/>
  <c r="AS18" i="3"/>
  <c r="AT18" i="3"/>
  <c r="AQ18" i="3"/>
  <c r="AQ30" i="3"/>
  <c r="AR30" i="3"/>
  <c r="AS30" i="3"/>
  <c r="AV29" i="3"/>
  <c r="AW29" i="3"/>
  <c r="AM43" i="3"/>
  <c r="AL43" i="3"/>
  <c r="AH51" i="3"/>
  <c r="AA29" i="3"/>
  <c r="AB29" i="3"/>
  <c r="AA45" i="3"/>
  <c r="Y45" i="3"/>
  <c r="AB45" i="3"/>
  <c r="R39" i="3"/>
  <c r="U39" i="3"/>
  <c r="V55" i="3"/>
  <c r="R55" i="3"/>
  <c r="S55" i="3"/>
  <c r="U55" i="3"/>
  <c r="T55" i="3"/>
  <c r="K20" i="3"/>
  <c r="L20" i="3"/>
  <c r="AA19" i="3"/>
  <c r="U44" i="3"/>
  <c r="N19" i="3"/>
  <c r="O19" i="3"/>
  <c r="L75" i="3"/>
  <c r="K75" i="3"/>
  <c r="U6" i="3"/>
  <c r="O60" i="3"/>
  <c r="AA36" i="3"/>
  <c r="O40" i="3"/>
  <c r="L21" i="3"/>
  <c r="G39" i="3"/>
  <c r="AT39" i="3"/>
  <c r="I18" i="3"/>
  <c r="H39" i="3"/>
  <c r="O59" i="3"/>
  <c r="T75" i="3"/>
  <c r="AB19" i="3"/>
  <c r="C52" i="3"/>
  <c r="L55" i="3"/>
  <c r="F11" i="3"/>
  <c r="AI51" i="3"/>
  <c r="AM51" i="3"/>
  <c r="H26" i="3"/>
  <c r="AB6" i="3"/>
  <c r="L59" i="3"/>
  <c r="G11" i="3"/>
  <c r="H9" i="3"/>
  <c r="V27" i="3"/>
  <c r="H20" i="3"/>
  <c r="I20" i="3"/>
  <c r="F51" i="3"/>
  <c r="H51" i="3"/>
  <c r="G51" i="3"/>
  <c r="F21" i="3"/>
  <c r="I21" i="3"/>
  <c r="H21" i="3"/>
  <c r="D21" i="3"/>
  <c r="C21" i="3"/>
  <c r="H18" i="3"/>
  <c r="G18" i="3"/>
  <c r="AL29" i="3"/>
  <c r="AM29" i="3"/>
  <c r="AM11" i="3"/>
  <c r="AL11" i="3"/>
  <c r="E60" i="3"/>
  <c r="F60" i="3"/>
  <c r="D60" i="3"/>
  <c r="H60" i="3"/>
  <c r="F59" i="3"/>
  <c r="D59" i="3"/>
  <c r="C59" i="3"/>
  <c r="G59" i="3"/>
  <c r="BD55" i="3"/>
  <c r="BC55" i="3"/>
  <c r="H30" i="3"/>
  <c r="F30" i="3"/>
  <c r="BC27" i="3"/>
  <c r="BB27" i="3"/>
  <c r="G31" i="3"/>
  <c r="H31" i="3"/>
  <c r="I32" i="3"/>
  <c r="F32" i="3"/>
  <c r="D32" i="3"/>
  <c r="H32" i="3"/>
  <c r="G32" i="3"/>
  <c r="D48" i="3"/>
  <c r="I48" i="3"/>
  <c r="F48" i="3"/>
  <c r="G48" i="3"/>
  <c r="H48" i="3"/>
  <c r="AY19" i="3"/>
  <c r="F14" i="3"/>
  <c r="C14" i="3"/>
  <c r="G14" i="3"/>
  <c r="C29" i="3"/>
  <c r="H29" i="3"/>
  <c r="I45" i="3"/>
  <c r="E45" i="3"/>
  <c r="C45" i="3"/>
  <c r="G45" i="3"/>
  <c r="AQ32" i="3"/>
  <c r="AT32" i="3"/>
  <c r="AQ48" i="3"/>
  <c r="AR48" i="3"/>
  <c r="AS48" i="3"/>
  <c r="AL21" i="3"/>
  <c r="AM21" i="3"/>
  <c r="AM52" i="3"/>
  <c r="AL52" i="3"/>
  <c r="AW60" i="3"/>
  <c r="AR6" i="3"/>
  <c r="AT6" i="3"/>
  <c r="AM57" i="3"/>
  <c r="AL57" i="3"/>
  <c r="AY30" i="3"/>
  <c r="AT19" i="3"/>
  <c r="AR19" i="3"/>
  <c r="AQ60" i="3"/>
  <c r="AR60" i="3"/>
  <c r="AI39" i="3"/>
  <c r="AH39" i="3"/>
  <c r="AH55" i="3"/>
  <c r="AI55" i="3"/>
  <c r="AB18" i="3"/>
  <c r="R60" i="3"/>
  <c r="S60" i="3"/>
  <c r="U60" i="3"/>
  <c r="V60" i="3"/>
  <c r="R43" i="3"/>
  <c r="V43" i="3"/>
  <c r="S43" i="3"/>
  <c r="R59" i="3"/>
  <c r="V59" i="3"/>
  <c r="S59" i="3"/>
  <c r="Q59" i="3"/>
  <c r="U59" i="3"/>
  <c r="U32" i="3"/>
  <c r="S32" i="3"/>
  <c r="T32" i="3"/>
  <c r="T48" i="3"/>
  <c r="U48" i="3"/>
  <c r="R26" i="3"/>
  <c r="V26" i="3"/>
  <c r="U26" i="3"/>
  <c r="S26" i="3"/>
  <c r="S19" i="3"/>
  <c r="R50" i="3"/>
  <c r="S50" i="3"/>
  <c r="U50" i="3"/>
  <c r="H14" i="3"/>
  <c r="C20" i="3"/>
  <c r="C19" i="3"/>
  <c r="S44" i="3"/>
  <c r="G30" i="3"/>
  <c r="O39" i="3"/>
  <c r="C32" i="3"/>
  <c r="AR45" i="3"/>
  <c r="O55" i="3"/>
  <c r="I39" i="3"/>
  <c r="U30" i="3"/>
  <c r="F45" i="3"/>
  <c r="G20" i="3"/>
  <c r="O36" i="3"/>
  <c r="S39" i="3"/>
  <c r="AT48" i="3"/>
  <c r="C36" i="3"/>
  <c r="U19" i="3"/>
  <c r="AI44" i="3"/>
  <c r="C48" i="3"/>
  <c r="L43" i="3"/>
  <c r="D52" i="3"/>
  <c r="F52" i="3"/>
  <c r="G52" i="3"/>
  <c r="AY48" i="3"/>
  <c r="AQ57" i="3"/>
  <c r="AR57" i="3"/>
  <c r="AM27" i="3"/>
  <c r="O26" i="3"/>
  <c r="N26" i="3"/>
  <c r="K60" i="3"/>
  <c r="L60" i="3"/>
  <c r="AI48" i="3"/>
  <c r="AH48" i="3"/>
  <c r="AB27" i="3"/>
  <c r="AA27" i="3"/>
  <c r="R21" i="3"/>
  <c r="V21" i="3"/>
  <c r="Q21" i="3"/>
  <c r="S21" i="3"/>
  <c r="U36" i="3"/>
  <c r="V52" i="3"/>
  <c r="U52" i="3"/>
  <c r="O27" i="3"/>
  <c r="N42" i="3"/>
  <c r="O42" i="3"/>
  <c r="AA51" i="3"/>
  <c r="Y51" i="3"/>
  <c r="R29" i="3"/>
  <c r="V29" i="3"/>
  <c r="S29" i="3"/>
  <c r="U29" i="3"/>
  <c r="T29" i="3"/>
  <c r="R45" i="3"/>
  <c r="S45" i="3"/>
  <c r="V45" i="3"/>
  <c r="O20" i="3"/>
  <c r="N20" i="3"/>
  <c r="N51" i="3"/>
  <c r="O51" i="3"/>
  <c r="AB44" i="3"/>
  <c r="O32" i="3"/>
  <c r="N32" i="3"/>
  <c r="K50" i="3"/>
  <c r="L50" i="3"/>
  <c r="F12" i="3"/>
  <c r="AL55" i="3"/>
  <c r="I26" i="3"/>
  <c r="L26" i="3"/>
  <c r="D29" i="3"/>
  <c r="O29" i="3"/>
  <c r="D45" i="3"/>
  <c r="U21" i="3"/>
  <c r="C60" i="3"/>
  <c r="AR59" i="3"/>
  <c r="C39" i="3"/>
  <c r="AB51" i="3"/>
  <c r="F29" i="3"/>
  <c r="O30" i="3"/>
  <c r="I60" i="3"/>
  <c r="AR29" i="3"/>
  <c r="E32" i="3"/>
  <c r="O50" i="3"/>
  <c r="F42" i="3"/>
  <c r="AQ6" i="3"/>
  <c r="F50" i="3"/>
  <c r="I50" i="3"/>
  <c r="D50" i="3"/>
  <c r="H50" i="3"/>
  <c r="BB30" i="3"/>
  <c r="BC30" i="3"/>
  <c r="BD44" i="3"/>
  <c r="BB44" i="3"/>
  <c r="AY17" i="3"/>
  <c r="AR52" i="3"/>
  <c r="AQ52" i="3"/>
  <c r="AM58" i="3"/>
  <c r="BB19" i="3"/>
  <c r="BD19" i="3"/>
  <c r="BC19" i="3"/>
  <c r="C55" i="3"/>
  <c r="G55" i="3"/>
  <c r="F55" i="3"/>
  <c r="I55" i="3"/>
  <c r="E55" i="3"/>
  <c r="D55" i="3"/>
  <c r="BB51" i="3"/>
  <c r="G9" i="3"/>
  <c r="C9" i="3"/>
  <c r="F40" i="3"/>
  <c r="H40" i="3"/>
  <c r="F75" i="3"/>
  <c r="H75" i="3"/>
  <c r="G75" i="3"/>
  <c r="BC32" i="3"/>
  <c r="BB32" i="3"/>
  <c r="BC48" i="3"/>
  <c r="BD48" i="3"/>
  <c r="BB48" i="3"/>
  <c r="H6" i="3"/>
  <c r="F6" i="3"/>
  <c r="G6" i="3"/>
  <c r="BB45" i="3"/>
  <c r="BC45" i="3"/>
  <c r="BD45" i="3"/>
  <c r="AR11" i="3"/>
  <c r="AQ11" i="3"/>
  <c r="AQ27" i="3"/>
  <c r="AT27" i="3"/>
  <c r="AS27" i="3"/>
  <c r="AM30" i="3"/>
  <c r="AR51" i="3"/>
  <c r="AS51" i="3"/>
  <c r="AQ51" i="3"/>
  <c r="AM39" i="3"/>
  <c r="AH47" i="3"/>
  <c r="AI47" i="3"/>
  <c r="AB26" i="3"/>
  <c r="AA26" i="3"/>
  <c r="R20" i="3"/>
  <c r="S20" i="3"/>
  <c r="U20" i="3"/>
  <c r="V51" i="3"/>
  <c r="N45" i="3"/>
  <c r="O45" i="3"/>
  <c r="AB30" i="3"/>
  <c r="AA30" i="3"/>
  <c r="R75" i="3"/>
  <c r="V75" i="3"/>
  <c r="S75" i="3"/>
  <c r="K52" i="3"/>
  <c r="L52" i="3"/>
  <c r="Y39" i="3"/>
  <c r="AA39" i="3"/>
  <c r="AB39" i="3"/>
  <c r="S18" i="3"/>
  <c r="U18" i="3"/>
  <c r="AA32" i="3"/>
  <c r="AB32" i="3"/>
  <c r="AA48" i="3"/>
  <c r="AB48" i="3"/>
  <c r="R11" i="3"/>
  <c r="V11" i="3"/>
  <c r="S11" i="3"/>
  <c r="I31" i="3"/>
  <c r="AY32" i="3"/>
  <c r="G50" i="3"/>
  <c r="S6" i="3"/>
  <c r="Y36" i="3"/>
  <c r="H58" i="3"/>
  <c r="F20" i="3"/>
  <c r="G16" i="3"/>
  <c r="U43" i="3"/>
  <c r="C26" i="3"/>
  <c r="H55" i="3"/>
  <c r="AS32" i="3"/>
  <c r="S51" i="3"/>
  <c r="AA18" i="3"/>
  <c r="G29" i="3"/>
  <c r="O43" i="3"/>
  <c r="C58" i="3"/>
  <c r="V32" i="3"/>
  <c r="AS6" i="3"/>
  <c r="D26" i="3"/>
  <c r="N52" i="3"/>
  <c r="R32" i="3"/>
  <c r="G60" i="3"/>
  <c r="O21" i="3"/>
  <c r="H45" i="3"/>
  <c r="AL16" i="3"/>
  <c r="BD46" i="3"/>
  <c r="BC46" i="3"/>
  <c r="BB46" i="3"/>
  <c r="AI4" i="3"/>
  <c r="AJ4" i="3"/>
  <c r="AV4" i="3"/>
  <c r="AW4" i="3"/>
  <c r="BB11" i="3"/>
  <c r="BD11" i="3"/>
  <c r="BC11" i="3"/>
  <c r="BD42" i="3"/>
  <c r="BC42" i="3"/>
  <c r="BB42" i="3"/>
  <c r="BC61" i="3"/>
  <c r="BB61" i="3"/>
  <c r="BD61" i="3"/>
  <c r="AY23" i="3"/>
  <c r="AZ23" i="3"/>
  <c r="AZ4" i="3"/>
  <c r="AY4" i="3"/>
  <c r="BC12" i="3"/>
  <c r="BB12" i="3"/>
  <c r="BD12" i="3"/>
  <c r="BD60" i="3"/>
  <c r="BC60" i="3"/>
  <c r="BB60" i="3"/>
  <c r="BD62" i="3"/>
  <c r="BC62" i="3"/>
  <c r="BB62" i="3"/>
  <c r="AZ24" i="3"/>
  <c r="AY24" i="3"/>
  <c r="BD9" i="3"/>
  <c r="BC9" i="3"/>
  <c r="BB9" i="3"/>
  <c r="BB25" i="3"/>
  <c r="BD25" i="3"/>
  <c r="BC25" i="3"/>
  <c r="BB40" i="3"/>
  <c r="BD40" i="3"/>
  <c r="BC40" i="3"/>
  <c r="BC56" i="3"/>
  <c r="BB56" i="3"/>
  <c r="BD56" i="3"/>
  <c r="AB4" i="3"/>
  <c r="AA4" i="3"/>
  <c r="Z4" i="3"/>
  <c r="BC22" i="3"/>
  <c r="BD22" i="3"/>
  <c r="BB22" i="3"/>
  <c r="BC37" i="3"/>
  <c r="BB37" i="3"/>
  <c r="BD37" i="3"/>
  <c r="BC53" i="3"/>
  <c r="BB53" i="3"/>
  <c r="BD53" i="3"/>
  <c r="AZ12" i="3"/>
  <c r="AY12" i="3"/>
  <c r="AZ13" i="3"/>
  <c r="AY13" i="3"/>
  <c r="AY28" i="3"/>
  <c r="AZ28" i="3"/>
  <c r="AZ61" i="3"/>
  <c r="AY61" i="3"/>
  <c r="AW7" i="3"/>
  <c r="AV7" i="3"/>
  <c r="AW23" i="3"/>
  <c r="AV23" i="3"/>
  <c r="AW38" i="3"/>
  <c r="AV38" i="3"/>
  <c r="AV54" i="3"/>
  <c r="AW54" i="3"/>
  <c r="AV72" i="3"/>
  <c r="AW72" i="3"/>
  <c r="AQ17" i="3"/>
  <c r="AM5" i="3"/>
  <c r="AM36" i="3"/>
  <c r="AL36" i="3"/>
  <c r="AL70" i="3"/>
  <c r="AM70" i="3"/>
  <c r="AH15" i="3"/>
  <c r="AJ15" i="3"/>
  <c r="AI15" i="3"/>
  <c r="BB74" i="3"/>
  <c r="BD74" i="3"/>
  <c r="BC74" i="3"/>
  <c r="AZ33" i="3"/>
  <c r="AY33" i="3"/>
  <c r="AZ49" i="3"/>
  <c r="AY49" i="3"/>
  <c r="AV12" i="3"/>
  <c r="AW12" i="3"/>
  <c r="AW59" i="3"/>
  <c r="AV59" i="3"/>
  <c r="AR22" i="3"/>
  <c r="AQ22" i="3"/>
  <c r="AT22" i="3"/>
  <c r="AS22" i="3"/>
  <c r="AR53" i="3"/>
  <c r="AQ53" i="3"/>
  <c r="AT53" i="3"/>
  <c r="AQ71" i="3"/>
  <c r="AT71" i="3"/>
  <c r="AS71" i="3"/>
  <c r="AR71" i="3"/>
  <c r="AL10" i="3"/>
  <c r="AM10" i="3"/>
  <c r="AM26" i="3"/>
  <c r="AL26" i="3"/>
  <c r="AM41" i="3"/>
  <c r="AL41" i="3"/>
  <c r="AM76" i="3"/>
  <c r="AL76" i="3"/>
  <c r="AY46" i="3"/>
  <c r="AZ46" i="3"/>
  <c r="AZ64" i="3"/>
  <c r="AY64" i="3"/>
  <c r="AW9" i="3"/>
  <c r="AV9" i="3"/>
  <c r="AW25" i="3"/>
  <c r="AV25" i="3"/>
  <c r="AW40" i="3"/>
  <c r="AV40" i="3"/>
  <c r="AV56" i="3"/>
  <c r="AW56" i="3"/>
  <c r="AW75" i="3"/>
  <c r="AV75" i="3"/>
  <c r="AT50" i="3"/>
  <c r="AS50" i="3"/>
  <c r="AQ50" i="3"/>
  <c r="AM7" i="3"/>
  <c r="AL7" i="3"/>
  <c r="AM23" i="3"/>
  <c r="AL23" i="3"/>
  <c r="AM38" i="3"/>
  <c r="AL38" i="3"/>
  <c r="AL54" i="3"/>
  <c r="AM54" i="3"/>
  <c r="AL72" i="3"/>
  <c r="AM72" i="3"/>
  <c r="AY74" i="3"/>
  <c r="AZ74" i="3"/>
  <c r="AW33" i="3"/>
  <c r="AV33" i="3"/>
  <c r="AW49" i="3"/>
  <c r="AV49" i="3"/>
  <c r="AS12" i="3"/>
  <c r="AR12" i="3"/>
  <c r="AQ12" i="3"/>
  <c r="AT12" i="3"/>
  <c r="AT60" i="3"/>
  <c r="AS60" i="3"/>
  <c r="AT59" i="3"/>
  <c r="AS59" i="3"/>
  <c r="AM47" i="3"/>
  <c r="AL47" i="3"/>
  <c r="AM65" i="3"/>
  <c r="AL65" i="3"/>
  <c r="AJ10" i="3"/>
  <c r="AI10" i="3"/>
  <c r="AH10" i="3"/>
  <c r="AI24" i="3"/>
  <c r="AH24" i="3"/>
  <c r="AJ24" i="3"/>
  <c r="AH74" i="3"/>
  <c r="AJ74" i="3"/>
  <c r="AI74" i="3"/>
  <c r="Y33" i="3"/>
  <c r="AA33" i="3"/>
  <c r="Z33" i="3"/>
  <c r="AB33" i="3"/>
  <c r="Z49" i="3"/>
  <c r="Y49" i="3"/>
  <c r="AB49" i="3"/>
  <c r="AA49" i="3"/>
  <c r="Z67" i="3"/>
  <c r="Y67" i="3"/>
  <c r="AB67" i="3"/>
  <c r="AA67" i="3"/>
  <c r="R12" i="3"/>
  <c r="S12" i="3"/>
  <c r="AJ28" i="3"/>
  <c r="AI28" i="3"/>
  <c r="AH28" i="3"/>
  <c r="AI61" i="3"/>
  <c r="AH61" i="3"/>
  <c r="AJ61" i="3"/>
  <c r="AB7" i="3"/>
  <c r="AA7" i="3"/>
  <c r="Z7" i="3"/>
  <c r="Y7" i="3"/>
  <c r="Z23" i="3"/>
  <c r="AB23" i="3"/>
  <c r="AA23" i="3"/>
  <c r="Y23" i="3"/>
  <c r="AB54" i="3"/>
  <c r="AA54" i="3"/>
  <c r="Z54" i="3"/>
  <c r="Y54" i="3"/>
  <c r="AB72" i="3"/>
  <c r="AA72" i="3"/>
  <c r="Z72" i="3"/>
  <c r="Y72" i="3"/>
  <c r="R17" i="3"/>
  <c r="S17" i="3"/>
  <c r="R66" i="3"/>
  <c r="S66" i="3"/>
  <c r="AJ22" i="3"/>
  <c r="AI22" i="3"/>
  <c r="AH22" i="3"/>
  <c r="AH37" i="3"/>
  <c r="AJ37" i="3"/>
  <c r="AI37" i="3"/>
  <c r="AJ53" i="3"/>
  <c r="AI53" i="3"/>
  <c r="AH53" i="3"/>
  <c r="AJ71" i="3"/>
  <c r="AI71" i="3"/>
  <c r="AH71" i="3"/>
  <c r="Y47" i="3"/>
  <c r="AB47" i="3"/>
  <c r="Z65" i="3"/>
  <c r="Y65" i="3"/>
  <c r="AB65" i="3"/>
  <c r="AA65" i="3"/>
  <c r="R10" i="3"/>
  <c r="S10" i="3"/>
  <c r="R41" i="3"/>
  <c r="S41" i="3"/>
  <c r="R76" i="3"/>
  <c r="S76" i="3"/>
  <c r="AJ46" i="3"/>
  <c r="AI46" i="3"/>
  <c r="AH46" i="3"/>
  <c r="AJ64" i="3"/>
  <c r="AI64" i="3"/>
  <c r="AH64" i="3"/>
  <c r="AB9" i="3"/>
  <c r="AA9" i="3"/>
  <c r="Z9" i="3"/>
  <c r="Y9" i="3"/>
  <c r="Z25" i="3"/>
  <c r="AB25" i="3"/>
  <c r="AA25" i="3"/>
  <c r="Y25" i="3"/>
  <c r="AA40" i="3"/>
  <c r="Z40" i="3"/>
  <c r="Y40" i="3"/>
  <c r="AB40" i="3"/>
  <c r="AB56" i="3"/>
  <c r="AA56" i="3"/>
  <c r="Z56" i="3"/>
  <c r="Y56" i="3"/>
  <c r="AB75" i="3"/>
  <c r="AA75" i="3"/>
  <c r="Z75" i="3"/>
  <c r="Y75" i="3"/>
  <c r="R34" i="3"/>
  <c r="S34" i="3"/>
  <c r="BB16" i="3"/>
  <c r="BD16" i="3"/>
  <c r="BC16" i="3"/>
  <c r="BD31" i="3"/>
  <c r="BC31" i="3"/>
  <c r="BB31" i="3"/>
  <c r="BB47" i="3"/>
  <c r="BD71" i="3"/>
  <c r="BC71" i="3"/>
  <c r="BB71" i="3"/>
  <c r="BD4" i="3"/>
  <c r="BB4" i="3"/>
  <c r="BB13" i="3"/>
  <c r="BD13" i="3"/>
  <c r="BC13" i="3"/>
  <c r="BB28" i="3"/>
  <c r="BD28" i="3"/>
  <c r="BC28" i="3"/>
  <c r="AQ4" i="3"/>
  <c r="AT4" i="3"/>
  <c r="AS4" i="3"/>
  <c r="AR4" i="3"/>
  <c r="BD10" i="3"/>
  <c r="BC10" i="3"/>
  <c r="BB10" i="3"/>
  <c r="BC41" i="3"/>
  <c r="BB41" i="3"/>
  <c r="BD41" i="3"/>
  <c r="BD57" i="3"/>
  <c r="BC57" i="3"/>
  <c r="BB57" i="3"/>
  <c r="BD72" i="3"/>
  <c r="BC72" i="3"/>
  <c r="BB72" i="3"/>
  <c r="AW11" i="3"/>
  <c r="AV11" i="3"/>
  <c r="AW42" i="3"/>
  <c r="AV42" i="3"/>
  <c r="AV58" i="3"/>
  <c r="AW58" i="3"/>
  <c r="AS5" i="3"/>
  <c r="AT5" i="3"/>
  <c r="AT21" i="3"/>
  <c r="AS21" i="3"/>
  <c r="AT52" i="3"/>
  <c r="AS52" i="3"/>
  <c r="AQ70" i="3"/>
  <c r="AT70" i="3"/>
  <c r="AS70" i="3"/>
  <c r="AR70" i="3"/>
  <c r="AM9" i="3"/>
  <c r="AL9" i="3"/>
  <c r="AM25" i="3"/>
  <c r="AL25" i="3"/>
  <c r="AL56" i="3"/>
  <c r="AM56" i="3"/>
  <c r="AL75" i="3"/>
  <c r="AM75" i="3"/>
  <c r="BB59" i="3"/>
  <c r="BD59" i="3"/>
  <c r="BC59" i="3"/>
  <c r="AZ22" i="3"/>
  <c r="AY22" i="3"/>
  <c r="AZ37" i="3"/>
  <c r="AY37" i="3"/>
  <c r="AY53" i="3"/>
  <c r="AZ53" i="3"/>
  <c r="AY71" i="3"/>
  <c r="AZ71" i="3"/>
  <c r="AV16" i="3"/>
  <c r="AW16" i="3"/>
  <c r="AW31" i="3"/>
  <c r="AV31" i="3"/>
  <c r="AW65" i="3"/>
  <c r="AV65" i="3"/>
  <c r="AS10" i="3"/>
  <c r="AR10" i="3"/>
  <c r="AQ10" i="3"/>
  <c r="AT10" i="3"/>
  <c r="AT41" i="3"/>
  <c r="AS41" i="3"/>
  <c r="AR41" i="3"/>
  <c r="AQ41" i="3"/>
  <c r="AT57" i="3"/>
  <c r="AS57" i="3"/>
  <c r="AQ76" i="3"/>
  <c r="AT76" i="3"/>
  <c r="AS76" i="3"/>
  <c r="AR76" i="3"/>
  <c r="AL14" i="3"/>
  <c r="AM14" i="3"/>
  <c r="AM62" i="3"/>
  <c r="AL62" i="3"/>
  <c r="AI8" i="3"/>
  <c r="AH8" i="3"/>
  <c r="AJ8" i="3"/>
  <c r="AZ68" i="3"/>
  <c r="AW13" i="3"/>
  <c r="AV13" i="3"/>
  <c r="AW28" i="3"/>
  <c r="AV28" i="3"/>
  <c r="AV61" i="3"/>
  <c r="AW61" i="3"/>
  <c r="AS7" i="3"/>
  <c r="AR7" i="3"/>
  <c r="AQ7" i="3"/>
  <c r="AT7" i="3"/>
  <c r="AR23" i="3"/>
  <c r="AQ23" i="3"/>
  <c r="AT23" i="3"/>
  <c r="AS23" i="3"/>
  <c r="AT38" i="3"/>
  <c r="AS38" i="3"/>
  <c r="AR38" i="3"/>
  <c r="AQ38" i="3"/>
  <c r="AQ54" i="3"/>
  <c r="AT54" i="3"/>
  <c r="AS54" i="3"/>
  <c r="AR54" i="3"/>
  <c r="AQ72" i="3"/>
  <c r="AT72" i="3"/>
  <c r="AS72" i="3"/>
  <c r="AR72" i="3"/>
  <c r="AM42" i="3"/>
  <c r="AL42" i="3"/>
  <c r="AJ5" i="3"/>
  <c r="AI5" i="3"/>
  <c r="AH5" i="3"/>
  <c r="AZ60" i="3"/>
  <c r="AY60" i="3"/>
  <c r="AV22" i="3"/>
  <c r="AW22" i="3"/>
  <c r="AW37" i="3"/>
  <c r="AV37" i="3"/>
  <c r="AW53" i="3"/>
  <c r="AV53" i="3"/>
  <c r="AW71" i="3"/>
  <c r="AV71" i="3"/>
  <c r="AT16" i="3"/>
  <c r="AS16" i="3"/>
  <c r="AR16" i="3"/>
  <c r="AQ16" i="3"/>
  <c r="AS31" i="3"/>
  <c r="AQ31" i="3"/>
  <c r="AT31" i="3"/>
  <c r="AQ65" i="3"/>
  <c r="AT65" i="3"/>
  <c r="AS65" i="3"/>
  <c r="AR65" i="3"/>
  <c r="AM20" i="3"/>
  <c r="AL20" i="3"/>
  <c r="AM35" i="3"/>
  <c r="AL35" i="3"/>
  <c r="AM69" i="3"/>
  <c r="AL69" i="3"/>
  <c r="AJ14" i="3"/>
  <c r="AI14" i="3"/>
  <c r="AH14" i="3"/>
  <c r="AI60" i="3"/>
  <c r="AH60" i="3"/>
  <c r="AJ60" i="3"/>
  <c r="AJ43" i="3"/>
  <c r="AI43" i="3"/>
  <c r="AH43" i="3"/>
  <c r="AH59" i="3"/>
  <c r="AJ59" i="3"/>
  <c r="AI59" i="3"/>
  <c r="Y6" i="3"/>
  <c r="AB22" i="3"/>
  <c r="Z22" i="3"/>
  <c r="Y22" i="3"/>
  <c r="AA22" i="3"/>
  <c r="Y37" i="3"/>
  <c r="AB37" i="3"/>
  <c r="AA37" i="3"/>
  <c r="Z37" i="3"/>
  <c r="Z53" i="3"/>
  <c r="Y53" i="3"/>
  <c r="AB53" i="3"/>
  <c r="AA53" i="3"/>
  <c r="Z71" i="3"/>
  <c r="Y71" i="3"/>
  <c r="AB71" i="3"/>
  <c r="AA71" i="3"/>
  <c r="R16" i="3"/>
  <c r="S16" i="3"/>
  <c r="R31" i="3"/>
  <c r="S31" i="3"/>
  <c r="R65" i="3"/>
  <c r="S65" i="3"/>
  <c r="AJ17" i="3"/>
  <c r="AI17" i="3"/>
  <c r="AH17" i="3"/>
  <c r="AA11" i="3"/>
  <c r="Y11" i="3"/>
  <c r="Z11" i="3"/>
  <c r="AA42" i="3"/>
  <c r="Z42" i="3"/>
  <c r="Y42" i="3"/>
  <c r="AB42" i="3"/>
  <c r="R5" i="3"/>
  <c r="S5" i="3"/>
  <c r="R36" i="3"/>
  <c r="S36" i="3"/>
  <c r="S52" i="3"/>
  <c r="R52" i="3"/>
  <c r="R70" i="3"/>
  <c r="S70" i="3"/>
  <c r="AH41" i="3"/>
  <c r="AJ41" i="3"/>
  <c r="AI41" i="3"/>
  <c r="AJ57" i="3"/>
  <c r="AI57" i="3"/>
  <c r="AH57" i="3"/>
  <c r="AJ76" i="3"/>
  <c r="AI76" i="3"/>
  <c r="AH76" i="3"/>
  <c r="AB20" i="3"/>
  <c r="Z20" i="3"/>
  <c r="Y20" i="3"/>
  <c r="AA20" i="3"/>
  <c r="Y35" i="3"/>
  <c r="AA35" i="3"/>
  <c r="Z35" i="3"/>
  <c r="AB35" i="3"/>
  <c r="Z69" i="3"/>
  <c r="Y69" i="3"/>
  <c r="AB69" i="3"/>
  <c r="AA69" i="3"/>
  <c r="R14" i="3"/>
  <c r="S14" i="3"/>
  <c r="R62" i="3"/>
  <c r="S62" i="3"/>
  <c r="AJ50" i="3"/>
  <c r="AI50" i="3"/>
  <c r="AH50" i="3"/>
  <c r="AA13" i="3"/>
  <c r="Y13" i="3"/>
  <c r="AB13" i="3"/>
  <c r="Z13" i="3"/>
  <c r="Z28" i="3"/>
  <c r="AB28" i="3"/>
  <c r="AA28" i="3"/>
  <c r="Y28" i="3"/>
  <c r="AB61" i="3"/>
  <c r="AA61" i="3"/>
  <c r="Z61" i="3"/>
  <c r="Y61" i="3"/>
  <c r="R7" i="3"/>
  <c r="S7" i="3"/>
  <c r="R23" i="3"/>
  <c r="S23" i="3"/>
  <c r="R38" i="3"/>
  <c r="S38" i="3"/>
  <c r="R72" i="3"/>
  <c r="S72" i="3"/>
  <c r="BD15" i="3"/>
  <c r="BC15" i="3"/>
  <c r="BB15" i="3"/>
  <c r="BD50" i="3"/>
  <c r="BC50" i="3"/>
  <c r="BB50" i="3"/>
  <c r="AZ7" i="3"/>
  <c r="AY7" i="3"/>
  <c r="BC20" i="3"/>
  <c r="BD20" i="3"/>
  <c r="BB20" i="3"/>
  <c r="BD35" i="3"/>
  <c r="BC35" i="3"/>
  <c r="BB35" i="3"/>
  <c r="AZ8" i="3"/>
  <c r="AY8" i="3"/>
  <c r="BB17" i="3"/>
  <c r="BD17" i="3"/>
  <c r="BC17" i="3"/>
  <c r="BC75" i="3"/>
  <c r="BB75" i="3"/>
  <c r="BD75" i="3"/>
  <c r="BC14" i="3"/>
  <c r="BB14" i="3"/>
  <c r="BD14" i="3"/>
  <c r="BD58" i="3"/>
  <c r="BC58" i="3"/>
  <c r="BB58" i="3"/>
  <c r="AZ5" i="3"/>
  <c r="AY5" i="3"/>
  <c r="AZ70" i="3"/>
  <c r="AY70" i="3"/>
  <c r="AW15" i="3"/>
  <c r="AV15" i="3"/>
  <c r="AW46" i="3"/>
  <c r="AV46" i="3"/>
  <c r="AV64" i="3"/>
  <c r="AW64" i="3"/>
  <c r="AR25" i="3"/>
  <c r="AQ25" i="3"/>
  <c r="AT25" i="3"/>
  <c r="AS25" i="3"/>
  <c r="AT40" i="3"/>
  <c r="AS40" i="3"/>
  <c r="AR40" i="3"/>
  <c r="AQ40" i="3"/>
  <c r="AQ56" i="3"/>
  <c r="AT56" i="3"/>
  <c r="AS56" i="3"/>
  <c r="AR56" i="3"/>
  <c r="AQ75" i="3"/>
  <c r="AT75" i="3"/>
  <c r="AS75" i="3"/>
  <c r="AR75" i="3"/>
  <c r="AM13" i="3"/>
  <c r="AL13" i="3"/>
  <c r="AM28" i="3"/>
  <c r="AL28" i="3"/>
  <c r="AL61" i="3"/>
  <c r="AM61" i="3"/>
  <c r="AH7" i="3"/>
  <c r="AJ7" i="3"/>
  <c r="AI7" i="3"/>
  <c r="BB65" i="3"/>
  <c r="BD65" i="3"/>
  <c r="BC65" i="3"/>
  <c r="AZ10" i="3"/>
  <c r="AY10" i="3"/>
  <c r="AZ41" i="3"/>
  <c r="AY41" i="3"/>
  <c r="AY76" i="3"/>
  <c r="AZ76" i="3"/>
  <c r="AV20" i="3"/>
  <c r="AW20" i="3"/>
  <c r="AW35" i="3"/>
  <c r="AV35" i="3"/>
  <c r="AW69" i="3"/>
  <c r="AV69" i="3"/>
  <c r="AQ29" i="3"/>
  <c r="AT29" i="3"/>
  <c r="AQ62" i="3"/>
  <c r="AT62" i="3"/>
  <c r="AS62" i="3"/>
  <c r="AR62" i="3"/>
  <c r="AM33" i="3"/>
  <c r="AL33" i="3"/>
  <c r="AM49" i="3"/>
  <c r="AL49" i="3"/>
  <c r="AM67" i="3"/>
  <c r="AL67" i="3"/>
  <c r="AI12" i="3"/>
  <c r="AH12" i="3"/>
  <c r="AJ12" i="3"/>
  <c r="AY38" i="3"/>
  <c r="AZ38" i="3"/>
  <c r="AZ54" i="3"/>
  <c r="AY54" i="3"/>
  <c r="AZ72" i="3"/>
  <c r="AY72" i="3"/>
  <c r="AW17" i="3"/>
  <c r="AV17" i="3"/>
  <c r="AT42" i="3"/>
  <c r="AS42" i="3"/>
  <c r="AR42" i="3"/>
  <c r="AQ42" i="3"/>
  <c r="AQ58" i="3"/>
  <c r="AT58" i="3"/>
  <c r="AS58" i="3"/>
  <c r="AM15" i="3"/>
  <c r="AL15" i="3"/>
  <c r="AM46" i="3"/>
  <c r="AL46" i="3"/>
  <c r="AL64" i="3"/>
  <c r="AM64" i="3"/>
  <c r="AJ9" i="3"/>
  <c r="AI9" i="3"/>
  <c r="AH9" i="3"/>
  <c r="AZ31" i="3"/>
  <c r="AY31" i="3"/>
  <c r="AY65" i="3"/>
  <c r="AZ65" i="3"/>
  <c r="AV10" i="3"/>
  <c r="AW10" i="3"/>
  <c r="AV26" i="3"/>
  <c r="AW26" i="3"/>
  <c r="AW41" i="3"/>
  <c r="AV41" i="3"/>
  <c r="AW57" i="3"/>
  <c r="AV57" i="3"/>
  <c r="AV76" i="3"/>
  <c r="AW76" i="3"/>
  <c r="AT35" i="3"/>
  <c r="AS35" i="3"/>
  <c r="AR35" i="3"/>
  <c r="AQ35" i="3"/>
  <c r="AQ69" i="3"/>
  <c r="AT69" i="3"/>
  <c r="AS69" i="3"/>
  <c r="AR69" i="3"/>
  <c r="AL8" i="3"/>
  <c r="AM8" i="3"/>
  <c r="AM24" i="3"/>
  <c r="AL24" i="3"/>
  <c r="AM74" i="3"/>
  <c r="AL74" i="3"/>
  <c r="AI16" i="3"/>
  <c r="AH16" i="3"/>
  <c r="AJ16" i="3"/>
  <c r="AJ31" i="3"/>
  <c r="AI31" i="3"/>
  <c r="AH31" i="3"/>
  <c r="AH65" i="3"/>
  <c r="AJ65" i="3"/>
  <c r="AI65" i="3"/>
  <c r="Y10" i="3"/>
  <c r="AA10" i="3"/>
  <c r="Z10" i="3"/>
  <c r="AB10" i="3"/>
  <c r="Y41" i="3"/>
  <c r="AB41" i="3"/>
  <c r="AA41" i="3"/>
  <c r="Z41" i="3"/>
  <c r="Z57" i="3"/>
  <c r="Y57" i="3"/>
  <c r="AB57" i="3"/>
  <c r="AA57" i="3"/>
  <c r="Z76" i="3"/>
  <c r="Y76" i="3"/>
  <c r="AB76" i="3"/>
  <c r="AA76" i="3"/>
  <c r="R35" i="3"/>
  <c r="S35" i="3"/>
  <c r="R69" i="3"/>
  <c r="S69" i="3"/>
  <c r="AI70" i="3"/>
  <c r="AH70" i="3"/>
  <c r="AJ70" i="3"/>
  <c r="AB15" i="3"/>
  <c r="Y15" i="3"/>
  <c r="AA15" i="3"/>
  <c r="AA46" i="3"/>
  <c r="Z46" i="3"/>
  <c r="Y46" i="3"/>
  <c r="AB46" i="3"/>
  <c r="AB64" i="3"/>
  <c r="AA64" i="3"/>
  <c r="Z64" i="3"/>
  <c r="Y64" i="3"/>
  <c r="R9" i="3"/>
  <c r="S9" i="3"/>
  <c r="R25" i="3"/>
  <c r="S25" i="3"/>
  <c r="R40" i="3"/>
  <c r="S40" i="3"/>
  <c r="R56" i="3"/>
  <c r="S56" i="3"/>
  <c r="AJ29" i="3"/>
  <c r="AI29" i="3"/>
  <c r="AH29" i="3"/>
  <c r="AJ62" i="3"/>
  <c r="AI62" i="3"/>
  <c r="AH62" i="3"/>
  <c r="Z8" i="3"/>
  <c r="Y8" i="3"/>
  <c r="AB8" i="3"/>
  <c r="AA8" i="3"/>
  <c r="AB24" i="3"/>
  <c r="Z24" i="3"/>
  <c r="Y24" i="3"/>
  <c r="AA24" i="3"/>
  <c r="Y55" i="3"/>
  <c r="AB55" i="3"/>
  <c r="AA55" i="3"/>
  <c r="Z74" i="3"/>
  <c r="Y74" i="3"/>
  <c r="AB74" i="3"/>
  <c r="AA74" i="3"/>
  <c r="R33" i="3"/>
  <c r="S33" i="3"/>
  <c r="R49" i="3"/>
  <c r="S49" i="3"/>
  <c r="R67" i="3"/>
  <c r="S67" i="3"/>
  <c r="AH23" i="3"/>
  <c r="AJ23" i="3"/>
  <c r="AI23" i="3"/>
  <c r="AI38" i="3"/>
  <c r="AH38" i="3"/>
  <c r="AJ38" i="3"/>
  <c r="AJ54" i="3"/>
  <c r="AI54" i="3"/>
  <c r="AH54" i="3"/>
  <c r="AJ72" i="3"/>
  <c r="AI72" i="3"/>
  <c r="AH72" i="3"/>
  <c r="Y17" i="3"/>
  <c r="AA17" i="3"/>
  <c r="Z17" i="3"/>
  <c r="R42" i="3"/>
  <c r="S42" i="3"/>
  <c r="BC70" i="3"/>
  <c r="BB70" i="3"/>
  <c r="BD70" i="3"/>
  <c r="BB7" i="3"/>
  <c r="BD7" i="3"/>
  <c r="BC7" i="3"/>
  <c r="BD23" i="3"/>
  <c r="BB23" i="3"/>
  <c r="BC23" i="3"/>
  <c r="BD54" i="3"/>
  <c r="BC54" i="3"/>
  <c r="BB54" i="3"/>
  <c r="AZ15" i="3"/>
  <c r="AY15" i="3"/>
  <c r="AM4" i="3"/>
  <c r="AL4" i="3"/>
  <c r="BC8" i="3"/>
  <c r="BB8" i="3"/>
  <c r="BD8" i="3"/>
  <c r="BC24" i="3"/>
  <c r="BD24" i="3"/>
  <c r="BB24" i="3"/>
  <c r="BD39" i="3"/>
  <c r="BB39" i="3"/>
  <c r="R4" i="3"/>
  <c r="S4" i="3"/>
  <c r="BB5" i="3"/>
  <c r="BD5" i="3"/>
  <c r="BC5" i="3"/>
  <c r="BB36" i="3"/>
  <c r="BD36" i="3"/>
  <c r="BC36" i="3"/>
  <c r="BC33" i="3"/>
  <c r="BB33" i="3"/>
  <c r="BD33" i="3"/>
  <c r="BC49" i="3"/>
  <c r="BB49" i="3"/>
  <c r="BD49" i="3"/>
  <c r="BD76" i="3"/>
  <c r="BC76" i="3"/>
  <c r="BB76" i="3"/>
  <c r="BD64" i="3"/>
  <c r="BC64" i="3"/>
  <c r="BB64" i="3"/>
  <c r="AY25" i="3"/>
  <c r="AZ25" i="3"/>
  <c r="AZ56" i="3"/>
  <c r="AY56" i="3"/>
  <c r="AZ75" i="3"/>
  <c r="AY75" i="3"/>
  <c r="AW50" i="3"/>
  <c r="AV50" i="3"/>
  <c r="AT13" i="3"/>
  <c r="AR13" i="3"/>
  <c r="AQ13" i="3"/>
  <c r="AR28" i="3"/>
  <c r="AQ28" i="3"/>
  <c r="AT28" i="3"/>
  <c r="AS28" i="3"/>
  <c r="AQ61" i="3"/>
  <c r="AT61" i="3"/>
  <c r="AS61" i="3"/>
  <c r="AR61" i="3"/>
  <c r="AH11" i="3"/>
  <c r="AJ11" i="3"/>
  <c r="AI11" i="3"/>
  <c r="BB69" i="3"/>
  <c r="BD69" i="3"/>
  <c r="BC69" i="3"/>
  <c r="AY62" i="3"/>
  <c r="AZ62" i="3"/>
  <c r="AV8" i="3"/>
  <c r="AW8" i="3"/>
  <c r="AV24" i="3"/>
  <c r="AW24" i="3"/>
  <c r="AW55" i="3"/>
  <c r="AV55" i="3"/>
  <c r="AV74" i="3"/>
  <c r="AW74" i="3"/>
  <c r="AT33" i="3"/>
  <c r="AS33" i="3"/>
  <c r="AR33" i="3"/>
  <c r="AQ33" i="3"/>
  <c r="AT49" i="3"/>
  <c r="AS49" i="3"/>
  <c r="AR49" i="3"/>
  <c r="AQ49" i="3"/>
  <c r="AM22" i="3"/>
  <c r="AL22" i="3"/>
  <c r="AM37" i="3"/>
  <c r="AL37" i="3"/>
  <c r="AM53" i="3"/>
  <c r="AL53" i="3"/>
  <c r="AM71" i="3"/>
  <c r="AL71" i="3"/>
  <c r="AW5" i="3"/>
  <c r="AV5" i="3"/>
  <c r="AW21" i="3"/>
  <c r="AV21" i="3"/>
  <c r="AV52" i="3"/>
  <c r="AW52" i="3"/>
  <c r="AV70" i="3"/>
  <c r="AW70" i="3"/>
  <c r="AT15" i="3"/>
  <c r="AS15" i="3"/>
  <c r="AR15" i="3"/>
  <c r="AQ15" i="3"/>
  <c r="AT46" i="3"/>
  <c r="AS46" i="3"/>
  <c r="AR46" i="3"/>
  <c r="AQ46" i="3"/>
  <c r="AQ64" i="3"/>
  <c r="AT64" i="3"/>
  <c r="AS64" i="3"/>
  <c r="AR64" i="3"/>
  <c r="AL50" i="3"/>
  <c r="AM50" i="3"/>
  <c r="AJ13" i="3"/>
  <c r="AI13" i="3"/>
  <c r="AH13" i="3"/>
  <c r="AZ35" i="3"/>
  <c r="AY35" i="3"/>
  <c r="AY69" i="3"/>
  <c r="AZ69" i="3"/>
  <c r="AV14" i="3"/>
  <c r="AW14" i="3"/>
  <c r="AW62" i="3"/>
  <c r="AV62" i="3"/>
  <c r="AS8" i="3"/>
  <c r="AR8" i="3"/>
  <c r="AQ8" i="3"/>
  <c r="AT8" i="3"/>
  <c r="AR24" i="3"/>
  <c r="AQ24" i="3"/>
  <c r="AT24" i="3"/>
  <c r="AS24" i="3"/>
  <c r="AQ55" i="3"/>
  <c r="AT55" i="3"/>
  <c r="AS55" i="3"/>
  <c r="AR55" i="3"/>
  <c r="AQ74" i="3"/>
  <c r="AT74" i="3"/>
  <c r="AS74" i="3"/>
  <c r="AR74" i="3"/>
  <c r="AL12" i="3"/>
  <c r="AM12" i="3"/>
  <c r="AM60" i="3"/>
  <c r="AL60" i="3"/>
  <c r="AM59" i="3"/>
  <c r="AL59" i="3"/>
  <c r="AI6" i="3"/>
  <c r="AI20" i="3"/>
  <c r="AH20" i="3"/>
  <c r="AJ20" i="3"/>
  <c r="AJ35" i="3"/>
  <c r="AI35" i="3"/>
  <c r="AH35" i="3"/>
  <c r="AH69" i="3"/>
  <c r="AJ69" i="3"/>
  <c r="AI69" i="3"/>
  <c r="Y14" i="3"/>
  <c r="AA14" i="3"/>
  <c r="Z14" i="3"/>
  <c r="AB14" i="3"/>
  <c r="Z29" i="3"/>
  <c r="Y29" i="3"/>
  <c r="Z62" i="3"/>
  <c r="Y62" i="3"/>
  <c r="AB62" i="3"/>
  <c r="AA62" i="3"/>
  <c r="R8" i="3"/>
  <c r="S8" i="3"/>
  <c r="R24" i="3"/>
  <c r="S24" i="3"/>
  <c r="R74" i="3"/>
  <c r="S74" i="3"/>
  <c r="AJ25" i="3"/>
  <c r="AI25" i="3"/>
  <c r="AH25" i="3"/>
  <c r="AI56" i="3"/>
  <c r="AH56" i="3"/>
  <c r="AJ56" i="3"/>
  <c r="AI75" i="3"/>
  <c r="AH75" i="3"/>
  <c r="AJ75" i="3"/>
  <c r="AB50" i="3"/>
  <c r="AA50" i="3"/>
  <c r="Z50" i="3"/>
  <c r="Y50" i="3"/>
  <c r="R13" i="3"/>
  <c r="S13" i="3"/>
  <c r="R61" i="3"/>
  <c r="S61" i="3"/>
  <c r="AH33" i="3"/>
  <c r="AJ33" i="3"/>
  <c r="AI33" i="3"/>
  <c r="AJ49" i="3"/>
  <c r="AI49" i="3"/>
  <c r="AH49" i="3"/>
  <c r="AJ67" i="3"/>
  <c r="AI67" i="3"/>
  <c r="AH67" i="3"/>
  <c r="Y12" i="3"/>
  <c r="AA12" i="3"/>
  <c r="AB12" i="3"/>
  <c r="Z12" i="3"/>
  <c r="AB60" i="3"/>
  <c r="Z60" i="3"/>
  <c r="Y60" i="3"/>
  <c r="AA60" i="3"/>
  <c r="Y43" i="3"/>
  <c r="AB43" i="3"/>
  <c r="AA43" i="3"/>
  <c r="Z43" i="3"/>
  <c r="Z59" i="3"/>
  <c r="Y59" i="3"/>
  <c r="AB59" i="3"/>
  <c r="AA59" i="3"/>
  <c r="R22" i="3"/>
  <c r="S22" i="3"/>
  <c r="R37" i="3"/>
  <c r="S37" i="3"/>
  <c r="R53" i="3"/>
  <c r="S53" i="3"/>
  <c r="R71" i="3"/>
  <c r="S71" i="3"/>
  <c r="AI42" i="3"/>
  <c r="AH42" i="3"/>
  <c r="AJ42" i="3"/>
  <c r="AJ58" i="3"/>
  <c r="AI58" i="3"/>
  <c r="AH58" i="3"/>
  <c r="AA5" i="3"/>
  <c r="Z5" i="3"/>
  <c r="Y5" i="3"/>
  <c r="AB5" i="3"/>
  <c r="AB70" i="3"/>
  <c r="AA70" i="3"/>
  <c r="Z70" i="3"/>
  <c r="Y70" i="3"/>
  <c r="R15" i="3"/>
  <c r="S15" i="3"/>
  <c r="R46" i="3"/>
  <c r="S46" i="3"/>
  <c r="R64" i="3"/>
  <c r="S64" i="3"/>
  <c r="I19" i="3"/>
  <c r="E19" i="3"/>
  <c r="D19" i="3"/>
  <c r="I34" i="3"/>
  <c r="H34" i="3"/>
  <c r="D34" i="3"/>
  <c r="G34" i="3"/>
  <c r="C34" i="3"/>
  <c r="I12" i="3"/>
  <c r="E12" i="3"/>
  <c r="H12" i="3"/>
  <c r="D12" i="3"/>
  <c r="C12" i="3"/>
  <c r="I59" i="3"/>
  <c r="D9" i="3"/>
  <c r="I9" i="3"/>
  <c r="G25" i="3"/>
  <c r="C25" i="3"/>
  <c r="F25" i="3"/>
  <c r="I25" i="3"/>
  <c r="E25" i="3"/>
  <c r="E40" i="3"/>
  <c r="I40" i="3"/>
  <c r="H56" i="3"/>
  <c r="D56" i="3"/>
  <c r="F56" i="3"/>
  <c r="I56" i="3"/>
  <c r="G56" i="3"/>
  <c r="E56" i="3"/>
  <c r="C56" i="3"/>
  <c r="I75" i="3"/>
  <c r="E75" i="3"/>
  <c r="C75" i="3"/>
  <c r="D14" i="3"/>
  <c r="I14" i="3"/>
  <c r="I29" i="3"/>
  <c r="E62" i="3"/>
  <c r="H62" i="3"/>
  <c r="D62" i="3"/>
  <c r="G62" i="3"/>
  <c r="C62" i="3"/>
  <c r="F62" i="3"/>
  <c r="Y4" i="3"/>
  <c r="T12" i="3"/>
  <c r="W12" i="3"/>
  <c r="Q12" i="3"/>
  <c r="V12" i="3"/>
  <c r="U12" i="3"/>
  <c r="T60" i="3"/>
  <c r="W60" i="3"/>
  <c r="T43" i="3"/>
  <c r="W43" i="3"/>
  <c r="Q43" i="3"/>
  <c r="T59" i="3"/>
  <c r="W59" i="3"/>
  <c r="N22" i="3"/>
  <c r="O22" i="3"/>
  <c r="O53" i="3"/>
  <c r="N53" i="3"/>
  <c r="K24" i="3"/>
  <c r="L24" i="3"/>
  <c r="L39" i="3"/>
  <c r="K39" i="3"/>
  <c r="L74" i="3"/>
  <c r="T17" i="3"/>
  <c r="V17" i="3"/>
  <c r="U17" i="3"/>
  <c r="W17" i="3"/>
  <c r="Q17" i="3"/>
  <c r="W32" i="3"/>
  <c r="T66" i="3"/>
  <c r="W66" i="3"/>
  <c r="V66" i="3"/>
  <c r="Q66" i="3"/>
  <c r="U66" i="3"/>
  <c r="O23" i="3"/>
  <c r="N23" i="3"/>
  <c r="O38" i="3"/>
  <c r="N38" i="3"/>
  <c r="O54" i="3"/>
  <c r="N54" i="3"/>
  <c r="L28" i="3"/>
  <c r="K28" i="3"/>
  <c r="K44" i="3"/>
  <c r="L44" i="3"/>
  <c r="L61" i="3"/>
  <c r="K61" i="3"/>
  <c r="T10" i="3"/>
  <c r="V10" i="3"/>
  <c r="U10" i="3"/>
  <c r="W10" i="3"/>
  <c r="Q10" i="3"/>
  <c r="W26" i="3"/>
  <c r="Q26" i="3"/>
  <c r="T26" i="3"/>
  <c r="T41" i="3"/>
  <c r="W41" i="3"/>
  <c r="V41" i="3"/>
  <c r="Q41" i="3"/>
  <c r="U41" i="3"/>
  <c r="V76" i="3"/>
  <c r="Q76" i="3"/>
  <c r="U76" i="3"/>
  <c r="T76" i="3"/>
  <c r="W76" i="3"/>
  <c r="O47" i="3"/>
  <c r="N47" i="3"/>
  <c r="K22" i="3"/>
  <c r="L22" i="3"/>
  <c r="L37" i="3"/>
  <c r="K37" i="3"/>
  <c r="K53" i="3"/>
  <c r="L53" i="3"/>
  <c r="L71" i="3"/>
  <c r="K71" i="3"/>
  <c r="T34" i="3"/>
  <c r="W34" i="3"/>
  <c r="V34" i="3"/>
  <c r="U34" i="3"/>
  <c r="Q34" i="3"/>
  <c r="V50" i="3"/>
  <c r="Q50" i="3"/>
  <c r="T50" i="3"/>
  <c r="W50" i="3"/>
  <c r="O28" i="3"/>
  <c r="N28" i="3"/>
  <c r="O61" i="3"/>
  <c r="N61" i="3"/>
  <c r="L46" i="3"/>
  <c r="K46" i="3"/>
  <c r="K64" i="3"/>
  <c r="L64" i="3"/>
  <c r="F7" i="3"/>
  <c r="I7" i="3"/>
  <c r="E7" i="3"/>
  <c r="H7" i="3"/>
  <c r="D7" i="3"/>
  <c r="G7" i="3"/>
  <c r="C7" i="3"/>
  <c r="F23" i="3"/>
  <c r="I23" i="3"/>
  <c r="E23" i="3"/>
  <c r="H23" i="3"/>
  <c r="D23" i="3"/>
  <c r="G23" i="3"/>
  <c r="C23" i="3"/>
  <c r="F38" i="3"/>
  <c r="I38" i="3"/>
  <c r="E38" i="3"/>
  <c r="H38" i="3"/>
  <c r="D38" i="3"/>
  <c r="C38" i="3"/>
  <c r="F54" i="3"/>
  <c r="H54" i="3"/>
  <c r="D54" i="3"/>
  <c r="E54" i="3"/>
  <c r="C54" i="3"/>
  <c r="I54" i="3"/>
  <c r="G54" i="3"/>
  <c r="G72" i="3"/>
  <c r="C72" i="3"/>
  <c r="F72" i="3"/>
  <c r="I72" i="3"/>
  <c r="E72" i="3"/>
  <c r="H72" i="3"/>
  <c r="D72" i="3"/>
  <c r="I16" i="3"/>
  <c r="E16" i="3"/>
  <c r="C16" i="3"/>
  <c r="F16" i="3"/>
  <c r="N16" i="3"/>
  <c r="C31" i="3"/>
  <c r="F31" i="3"/>
  <c r="E31" i="3"/>
  <c r="D31" i="3"/>
  <c r="E47" i="3"/>
  <c r="H65" i="3"/>
  <c r="D65" i="3"/>
  <c r="G65" i="3"/>
  <c r="C65" i="3"/>
  <c r="F65" i="3"/>
  <c r="I65" i="3"/>
  <c r="E65" i="3"/>
  <c r="I13" i="3"/>
  <c r="E13" i="3"/>
  <c r="H13" i="3"/>
  <c r="D13" i="3"/>
  <c r="G13" i="3"/>
  <c r="C13" i="3"/>
  <c r="F13" i="3"/>
  <c r="H28" i="3"/>
  <c r="D28" i="3"/>
  <c r="G28" i="3"/>
  <c r="C28" i="3"/>
  <c r="F28" i="3"/>
  <c r="I28" i="3"/>
  <c r="E28" i="3"/>
  <c r="D44" i="3"/>
  <c r="I44" i="3"/>
  <c r="E44" i="3"/>
  <c r="H61" i="3"/>
  <c r="D61" i="3"/>
  <c r="G61" i="3"/>
  <c r="C61" i="3"/>
  <c r="F61" i="3"/>
  <c r="E61" i="3"/>
  <c r="I61" i="3"/>
  <c r="W4" i="3"/>
  <c r="V4" i="3"/>
  <c r="Q4" i="3"/>
  <c r="U4" i="3"/>
  <c r="T4" i="3"/>
  <c r="C18" i="3"/>
  <c r="D18" i="3"/>
  <c r="E18" i="3"/>
  <c r="I33" i="3"/>
  <c r="E33" i="3"/>
  <c r="H33" i="3"/>
  <c r="D33" i="3"/>
  <c r="G33" i="3"/>
  <c r="C33" i="3"/>
  <c r="F33" i="3"/>
  <c r="F49" i="3"/>
  <c r="G49" i="3"/>
  <c r="E49" i="3"/>
  <c r="I49" i="3"/>
  <c r="C49" i="3"/>
  <c r="F67" i="3"/>
  <c r="I67" i="3"/>
  <c r="H67" i="3"/>
  <c r="D67" i="3"/>
  <c r="G67" i="3"/>
  <c r="C67" i="3"/>
  <c r="V16" i="3"/>
  <c r="Q16" i="3"/>
  <c r="W16" i="3"/>
  <c r="U16" i="3"/>
  <c r="T16" i="3"/>
  <c r="V31" i="3"/>
  <c r="Q31" i="3"/>
  <c r="U31" i="3"/>
  <c r="W31" i="3"/>
  <c r="T31" i="3"/>
  <c r="V65" i="3"/>
  <c r="Q65" i="3"/>
  <c r="U65" i="3"/>
  <c r="T65" i="3"/>
  <c r="W65" i="3"/>
  <c r="O41" i="3"/>
  <c r="N41" i="3"/>
  <c r="T5" i="3"/>
  <c r="W5" i="3"/>
  <c r="Q5" i="3"/>
  <c r="T21" i="3"/>
  <c r="W21" i="3"/>
  <c r="T36" i="3"/>
  <c r="W36" i="3"/>
  <c r="Q36" i="3"/>
  <c r="V36" i="3"/>
  <c r="W52" i="3"/>
  <c r="Q52" i="3"/>
  <c r="T52" i="3"/>
  <c r="T70" i="3"/>
  <c r="W70" i="3"/>
  <c r="V70" i="3"/>
  <c r="Q70" i="3"/>
  <c r="U70" i="3"/>
  <c r="L66" i="3"/>
  <c r="K66" i="3"/>
  <c r="W14" i="3"/>
  <c r="V14" i="3"/>
  <c r="Q14" i="3"/>
  <c r="T14" i="3"/>
  <c r="Q29" i="3"/>
  <c r="W29" i="3"/>
  <c r="T45" i="3"/>
  <c r="W45" i="3"/>
  <c r="Q45" i="3"/>
  <c r="U45" i="3"/>
  <c r="V62" i="3"/>
  <c r="Q62" i="3"/>
  <c r="U62" i="3"/>
  <c r="T62" i="3"/>
  <c r="W62" i="3"/>
  <c r="O35" i="3"/>
  <c r="N35" i="3"/>
  <c r="L41" i="3"/>
  <c r="K41" i="3"/>
  <c r="K57" i="3"/>
  <c r="L57" i="3"/>
  <c r="L76" i="3"/>
  <c r="K76" i="3"/>
  <c r="U7" i="3"/>
  <c r="T7" i="3"/>
  <c r="W7" i="3"/>
  <c r="V7" i="3"/>
  <c r="Q7" i="3"/>
  <c r="T23" i="3"/>
  <c r="V23" i="3"/>
  <c r="U23" i="3"/>
  <c r="Q23" i="3"/>
  <c r="U38" i="3"/>
  <c r="T38" i="3"/>
  <c r="W38" i="3"/>
  <c r="Q38" i="3"/>
  <c r="T54" i="3"/>
  <c r="W54" i="3"/>
  <c r="Q54" i="3"/>
  <c r="V54" i="3"/>
  <c r="U54" i="3"/>
  <c r="T72" i="3"/>
  <c r="W72" i="3"/>
  <c r="V72" i="3"/>
  <c r="Q72" i="3"/>
  <c r="U72" i="3"/>
  <c r="I27" i="3"/>
  <c r="E27" i="3"/>
  <c r="D27" i="3"/>
  <c r="C27" i="3"/>
  <c r="H42" i="3"/>
  <c r="D42" i="3"/>
  <c r="I42" i="3"/>
  <c r="G42" i="3"/>
  <c r="I58" i="3"/>
  <c r="AH4" i="3"/>
  <c r="I4" i="3"/>
  <c r="E4" i="3"/>
  <c r="D4" i="3"/>
  <c r="G4" i="3"/>
  <c r="C4" i="3"/>
  <c r="F4" i="3"/>
  <c r="H4" i="3"/>
  <c r="D20" i="3"/>
  <c r="G35" i="3"/>
  <c r="C35" i="3"/>
  <c r="F35" i="3"/>
  <c r="I35" i="3"/>
  <c r="E35" i="3"/>
  <c r="H35" i="3"/>
  <c r="D35" i="3"/>
  <c r="D51" i="3"/>
  <c r="I51" i="3"/>
  <c r="E51" i="3"/>
  <c r="H69" i="3"/>
  <c r="D69" i="3"/>
  <c r="G69" i="3"/>
  <c r="C69" i="3"/>
  <c r="F69" i="3"/>
  <c r="I69" i="3"/>
  <c r="E69" i="3"/>
  <c r="H17" i="3"/>
  <c r="D17" i="3"/>
  <c r="G17" i="3"/>
  <c r="C17" i="3"/>
  <c r="I17" i="3"/>
  <c r="E17" i="3"/>
  <c r="F17" i="3"/>
  <c r="I66" i="3"/>
  <c r="H66" i="3"/>
  <c r="D66" i="3"/>
  <c r="G66" i="3"/>
  <c r="C66" i="3"/>
  <c r="F66" i="3"/>
  <c r="C6" i="3"/>
  <c r="I6" i="3"/>
  <c r="E6" i="3"/>
  <c r="I22" i="3"/>
  <c r="D22" i="3"/>
  <c r="H22" i="3"/>
  <c r="C22" i="3"/>
  <c r="G22" i="3"/>
  <c r="E22" i="3"/>
  <c r="I37" i="3"/>
  <c r="E37" i="3"/>
  <c r="H37" i="3"/>
  <c r="D37" i="3"/>
  <c r="G37" i="3"/>
  <c r="C37" i="3"/>
  <c r="F37" i="3"/>
  <c r="I53" i="3"/>
  <c r="E53" i="3"/>
  <c r="G53" i="3"/>
  <c r="C53" i="3"/>
  <c r="D53" i="3"/>
  <c r="H53" i="3"/>
  <c r="F53" i="3"/>
  <c r="F71" i="3"/>
  <c r="I71" i="3"/>
  <c r="E71" i="3"/>
  <c r="H71" i="3"/>
  <c r="D71" i="3"/>
  <c r="G71" i="3"/>
  <c r="C71" i="3"/>
  <c r="V20" i="3"/>
  <c r="Q20" i="3"/>
  <c r="T20" i="3"/>
  <c r="W20" i="3"/>
  <c r="V35" i="3"/>
  <c r="Q35" i="3"/>
  <c r="U35" i="3"/>
  <c r="W35" i="3"/>
  <c r="T35" i="3"/>
  <c r="V69" i="3"/>
  <c r="Q69" i="3"/>
  <c r="U69" i="3"/>
  <c r="T69" i="3"/>
  <c r="W69" i="3"/>
  <c r="O62" i="3"/>
  <c r="N62" i="3"/>
  <c r="L65" i="3"/>
  <c r="K65" i="3"/>
  <c r="V9" i="3"/>
  <c r="Q9" i="3"/>
  <c r="W9" i="3"/>
  <c r="T9" i="3"/>
  <c r="U25" i="3"/>
  <c r="T25" i="3"/>
  <c r="V25" i="3"/>
  <c r="Q25" i="3"/>
  <c r="W25" i="3"/>
  <c r="U40" i="3"/>
  <c r="T40" i="3"/>
  <c r="W40" i="3"/>
  <c r="T56" i="3"/>
  <c r="W56" i="3"/>
  <c r="V56" i="3"/>
  <c r="Q56" i="3"/>
  <c r="U56" i="3"/>
  <c r="W75" i="3"/>
  <c r="Q75" i="3"/>
  <c r="O46" i="3"/>
  <c r="N46" i="3"/>
  <c r="K36" i="3"/>
  <c r="L36" i="3"/>
  <c r="L70" i="3"/>
  <c r="K70" i="3"/>
  <c r="V33" i="3"/>
  <c r="Q33" i="3"/>
  <c r="U33" i="3"/>
  <c r="T33" i="3"/>
  <c r="W33" i="3"/>
  <c r="T49" i="3"/>
  <c r="W49" i="3"/>
  <c r="V49" i="3"/>
  <c r="Q49" i="3"/>
  <c r="U49" i="3"/>
  <c r="V67" i="3"/>
  <c r="Q67" i="3"/>
  <c r="U67" i="3"/>
  <c r="T67" i="3"/>
  <c r="W67" i="3"/>
  <c r="N24" i="3"/>
  <c r="O24" i="3"/>
  <c r="K62" i="3"/>
  <c r="L62" i="3"/>
  <c r="Q11" i="3"/>
  <c r="T11" i="3"/>
  <c r="W11" i="3"/>
  <c r="W27" i="3"/>
  <c r="V42" i="3"/>
  <c r="Q42" i="3"/>
  <c r="U42" i="3"/>
  <c r="T42" i="3"/>
  <c r="W42" i="3"/>
  <c r="L23" i="3"/>
  <c r="K23" i="3"/>
  <c r="K38" i="3"/>
  <c r="L38" i="3"/>
  <c r="L54" i="3"/>
  <c r="K54" i="3"/>
  <c r="K72" i="3"/>
  <c r="L72" i="3"/>
  <c r="I15" i="3"/>
  <c r="E15" i="3"/>
  <c r="H15" i="3"/>
  <c r="D15" i="3"/>
  <c r="C15" i="3"/>
  <c r="G15" i="3"/>
  <c r="F15" i="3"/>
  <c r="I30" i="3"/>
  <c r="E30" i="3"/>
  <c r="D30" i="3"/>
  <c r="C30" i="3"/>
  <c r="H46" i="3"/>
  <c r="D46" i="3"/>
  <c r="F46" i="3"/>
  <c r="G46" i="3"/>
  <c r="E46" i="3"/>
  <c r="C46" i="3"/>
  <c r="I46" i="3"/>
  <c r="G64" i="3"/>
  <c r="C64" i="3"/>
  <c r="F64" i="3"/>
  <c r="I64" i="3"/>
  <c r="E64" i="3"/>
  <c r="H64" i="3"/>
  <c r="D64" i="3"/>
  <c r="I8" i="3"/>
  <c r="E8" i="3"/>
  <c r="H8" i="3"/>
  <c r="D8" i="3"/>
  <c r="G8" i="3"/>
  <c r="C8" i="3"/>
  <c r="F8" i="3"/>
  <c r="G24" i="3"/>
  <c r="C24" i="3"/>
  <c r="F24" i="3"/>
  <c r="I24" i="3"/>
  <c r="E24" i="3"/>
  <c r="H24" i="3"/>
  <c r="D24" i="3"/>
  <c r="H74" i="3"/>
  <c r="D74" i="3"/>
  <c r="G74" i="3"/>
  <c r="C74" i="3"/>
  <c r="F74" i="3"/>
  <c r="I74" i="3"/>
  <c r="E74" i="3"/>
  <c r="D5" i="3"/>
  <c r="C5" i="3"/>
  <c r="L5" i="3"/>
  <c r="I5" i="3"/>
  <c r="E5" i="3"/>
  <c r="I70" i="3"/>
  <c r="E70" i="3"/>
  <c r="H70" i="3"/>
  <c r="D70" i="3"/>
  <c r="G70" i="3"/>
  <c r="C70" i="3"/>
  <c r="F70" i="3"/>
  <c r="G10" i="3"/>
  <c r="C10" i="3"/>
  <c r="F10" i="3"/>
  <c r="I10" i="3"/>
  <c r="E10" i="3"/>
  <c r="H10" i="3"/>
  <c r="D10" i="3"/>
  <c r="G41" i="3"/>
  <c r="C41" i="3"/>
  <c r="I41" i="3"/>
  <c r="E41" i="3"/>
  <c r="F41" i="3"/>
  <c r="D41" i="3"/>
  <c r="H41" i="3"/>
  <c r="I57" i="3"/>
  <c r="F76" i="3"/>
  <c r="I76" i="3"/>
  <c r="E76" i="3"/>
  <c r="H76" i="3"/>
  <c r="D76" i="3"/>
  <c r="G76" i="3"/>
  <c r="C76" i="3"/>
  <c r="W8" i="3"/>
  <c r="V8" i="3"/>
  <c r="Q8" i="3"/>
  <c r="U8" i="3"/>
  <c r="T8" i="3"/>
  <c r="W24" i="3"/>
  <c r="V24" i="3"/>
  <c r="Q24" i="3"/>
  <c r="T24" i="3"/>
  <c r="U24" i="3"/>
  <c r="W39" i="3"/>
  <c r="V39" i="3"/>
  <c r="Q39" i="3"/>
  <c r="T39" i="3"/>
  <c r="V74" i="3"/>
  <c r="Q74" i="3"/>
  <c r="U74" i="3"/>
  <c r="T74" i="3"/>
  <c r="W74" i="3"/>
  <c r="O33" i="3"/>
  <c r="N33" i="3"/>
  <c r="O49" i="3"/>
  <c r="N49" i="3"/>
  <c r="L35" i="3"/>
  <c r="K35" i="3"/>
  <c r="L69" i="3"/>
  <c r="K69" i="3"/>
  <c r="W13" i="3"/>
  <c r="Q13" i="3"/>
  <c r="V13" i="3"/>
  <c r="U13" i="3"/>
  <c r="W28" i="3"/>
  <c r="V28" i="3"/>
  <c r="U28" i="3"/>
  <c r="T61" i="3"/>
  <c r="W61" i="3"/>
  <c r="V61" i="3"/>
  <c r="Q61" i="3"/>
  <c r="U61" i="3"/>
  <c r="O34" i="3"/>
  <c r="L25" i="3"/>
  <c r="K25" i="3"/>
  <c r="K40" i="3"/>
  <c r="L40" i="3"/>
  <c r="L56" i="3"/>
  <c r="K56" i="3"/>
  <c r="V22" i="3"/>
  <c r="Q22" i="3"/>
  <c r="U22" i="3"/>
  <c r="W22" i="3"/>
  <c r="T22" i="3"/>
  <c r="W37" i="3"/>
  <c r="V37" i="3"/>
  <c r="Q37" i="3"/>
  <c r="U37" i="3"/>
  <c r="T37" i="3"/>
  <c r="U53" i="3"/>
  <c r="T53" i="3"/>
  <c r="W53" i="3"/>
  <c r="V53" i="3"/>
  <c r="Q53" i="3"/>
  <c r="V71" i="3"/>
  <c r="Q71" i="3"/>
  <c r="U71" i="3"/>
  <c r="T71" i="3"/>
  <c r="W71" i="3"/>
  <c r="L33" i="3"/>
  <c r="K33" i="3"/>
  <c r="K49" i="3"/>
  <c r="L49" i="3"/>
  <c r="L67" i="3"/>
  <c r="K67" i="3"/>
  <c r="W15" i="3"/>
  <c r="V15" i="3"/>
  <c r="T15" i="3"/>
  <c r="Q15" i="3"/>
  <c r="W30" i="3"/>
  <c r="Q30" i="3"/>
  <c r="T30" i="3"/>
  <c r="V46" i="3"/>
  <c r="Q46" i="3"/>
  <c r="U46" i="3"/>
  <c r="T46" i="3"/>
  <c r="W46" i="3"/>
  <c r="T64" i="3"/>
  <c r="W64" i="3"/>
  <c r="V64" i="3"/>
  <c r="Q64" i="3"/>
  <c r="U64" i="3"/>
  <c r="O56" i="3"/>
  <c r="N56" i="3"/>
  <c r="K42" i="3"/>
  <c r="L42" i="3"/>
  <c r="L58" i="3"/>
  <c r="K58" i="3"/>
  <c r="N11" i="3" l="1"/>
  <c r="O11" i="3"/>
  <c r="K14" i="3"/>
  <c r="L14" i="3"/>
  <c r="N75" i="3"/>
  <c r="O75" i="3"/>
  <c r="N14" i="3"/>
  <c r="O14" i="3"/>
  <c r="N9" i="3"/>
  <c r="O9" i="3"/>
  <c r="K11" i="3"/>
  <c r="L11" i="3"/>
  <c r="O10" i="3"/>
  <c r="N10" i="3"/>
  <c r="K5" i="3"/>
  <c r="O70" i="3"/>
  <c r="N70" i="3"/>
  <c r="O66" i="3"/>
  <c r="N66" i="3"/>
  <c r="L7" i="3"/>
  <c r="K7" i="3"/>
  <c r="O74" i="3"/>
  <c r="N74" i="3"/>
  <c r="L9" i="3"/>
  <c r="K9" i="3"/>
  <c r="O69" i="3"/>
  <c r="N69" i="3"/>
  <c r="K10" i="3"/>
  <c r="L10" i="3"/>
  <c r="O15" i="3"/>
  <c r="N15" i="3"/>
  <c r="O65" i="3"/>
  <c r="N65" i="3"/>
  <c r="L17" i="3"/>
  <c r="K17" i="3"/>
  <c r="O76" i="3"/>
  <c r="N76" i="3"/>
  <c r="O13" i="3"/>
  <c r="N13" i="3"/>
  <c r="K16" i="3"/>
  <c r="L16" i="3"/>
  <c r="O67" i="3"/>
  <c r="N67" i="3"/>
  <c r="O8" i="3"/>
  <c r="N8" i="3"/>
  <c r="O4" i="3"/>
  <c r="N4" i="3"/>
  <c r="L13" i="3"/>
  <c r="K13" i="3"/>
  <c r="O64" i="3"/>
  <c r="N64" i="3"/>
  <c r="O71" i="3"/>
  <c r="N71" i="3"/>
  <c r="O12" i="3"/>
  <c r="N12" i="3"/>
  <c r="K8" i="3"/>
  <c r="L8" i="3"/>
  <c r="L15" i="3"/>
  <c r="K15" i="3"/>
  <c r="O72" i="3"/>
  <c r="N72" i="3"/>
  <c r="O17" i="3"/>
  <c r="N17" i="3"/>
  <c r="K4" i="3"/>
  <c r="L4" i="3"/>
  <c r="K12" i="3"/>
  <c r="L12" i="3"/>
  <c r="BJ2" i="3" l="1"/>
  <c r="BI2" i="3"/>
  <c r="BK3" i="3" l="1"/>
  <c r="BI3" i="3"/>
</calcChain>
</file>

<file path=xl/comments1.xml><?xml version="1.0" encoding="utf-8"?>
<comments xmlns="http://schemas.openxmlformats.org/spreadsheetml/2006/main">
  <authors>
    <author>Eric Nussbaum</author>
    <author>R.E.D. Modpack</author>
    <author>Nutty</author>
  </authors>
  <commentList>
    <comment ref="D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F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G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H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L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O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U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L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R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D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F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G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H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L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N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O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U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V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L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Q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R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Archer_England</t>
        </r>
      </text>
    </comment>
    <comment ref="F6" authorId="1" shapeId="0">
      <text>
        <r>
          <rPr>
            <sz val="9"/>
            <color indexed="81"/>
            <rFont val="Tahoma"/>
            <family val="2"/>
          </rPr>
          <t>Archer_England</t>
        </r>
      </text>
    </comment>
    <comment ref="G6" authorId="1" shapeId="0">
      <text>
        <r>
          <rPr>
            <sz val="9"/>
            <color indexed="81"/>
            <rFont val="Tahoma"/>
            <family val="2"/>
          </rPr>
          <t>Archer_France</t>
        </r>
      </text>
    </comment>
    <comment ref="H6" authorId="1" shapeId="0">
      <text>
        <r>
          <rPr>
            <sz val="9"/>
            <color indexed="81"/>
            <rFont val="Tahoma"/>
            <family val="2"/>
          </rPr>
          <t>Archer_German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 xml:space="preserve">civ5netar1 </t>
        </r>
        <r>
          <rPr>
            <sz val="9"/>
            <color indexed="81"/>
            <rFont val="Tahoma"/>
            <family val="2"/>
          </rPr>
          <t>(model used for Composite Bowman in R.E.D.)</t>
        </r>
      </text>
    </comment>
    <comment ref="J6" authorId="1" shapeId="0">
      <text>
        <r>
          <rPr>
            <sz val="9"/>
            <color indexed="81"/>
            <rFont val="Tahoma"/>
            <family val="2"/>
          </rPr>
          <t>Archer_Viking</t>
        </r>
      </text>
    </comment>
    <comment ref="M6" authorId="1" shapeId="0">
      <text>
        <r>
          <rPr>
            <sz val="9"/>
            <color indexed="81"/>
            <rFont val="Tahoma"/>
            <family val="2"/>
          </rPr>
          <t>Archer_Russia</t>
        </r>
      </text>
    </comment>
    <comment ref="P6" authorId="1" shapeId="0">
      <text>
        <r>
          <rPr>
            <sz val="9"/>
            <color indexed="81"/>
            <rFont val="Tahoma"/>
            <family val="2"/>
          </rPr>
          <t>Archer_Spain</t>
        </r>
      </text>
    </comment>
    <comment ref="S6" authorId="1" shapeId="0">
      <text>
        <r>
          <rPr>
            <sz val="9"/>
            <color indexed="81"/>
            <rFont val="Tahoma"/>
            <family val="2"/>
          </rPr>
          <t>Archer_Greece</t>
        </r>
      </text>
    </comment>
    <comment ref="U6" authorId="1" shapeId="0">
      <text>
        <r>
          <rPr>
            <sz val="9"/>
            <color indexed="81"/>
            <rFont val="Tahoma"/>
            <family val="2"/>
          </rPr>
          <t>Archer_Rome</t>
        </r>
      </text>
    </comment>
    <comment ref="X6" authorId="1" shapeId="0">
      <text>
        <r>
          <rPr>
            <sz val="9"/>
            <color indexed="81"/>
            <rFont val="Tahoma"/>
            <family val="2"/>
          </rPr>
          <t>Archer_Babylon</t>
        </r>
      </text>
    </comment>
    <comment ref="Y6" authorId="1" shapeId="0">
      <text>
        <r>
          <rPr>
            <sz val="9"/>
            <color indexed="81"/>
            <rFont val="Tahoma"/>
            <family val="2"/>
          </rPr>
          <t>Archer_Arabia</t>
        </r>
      </text>
    </comment>
    <comment ref="AA6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Bowman</t>
        </r>
      </text>
    </comment>
    <comment ref="AB6" authorId="1" shapeId="0">
      <text>
        <r>
          <rPr>
            <sz val="9"/>
            <color indexed="81"/>
            <rFont val="Tahoma"/>
            <family val="2"/>
          </rPr>
          <t>Archer_Egypt</t>
        </r>
      </text>
    </comment>
    <comment ref="AC6" authorId="1" shapeId="0">
      <text>
        <r>
          <rPr>
            <sz val="9"/>
            <color indexed="81"/>
            <rFont val="Tahoma"/>
            <family val="2"/>
          </rPr>
          <t>Archer_Persia</t>
        </r>
      </text>
    </comment>
    <comment ref="AG6" authorId="1" shapeId="0">
      <text>
        <r>
          <rPr>
            <sz val="9"/>
            <color indexed="81"/>
            <rFont val="Tahoma"/>
            <family val="2"/>
          </rPr>
          <t>EthiopiaArcher2</t>
        </r>
      </text>
    </comment>
    <comment ref="AH6" authorId="1" shapeId="0">
      <text>
        <r>
          <rPr>
            <sz val="9"/>
            <color indexed="81"/>
            <rFont val="Tahoma"/>
            <family val="2"/>
          </rPr>
          <t>EthiopiaArcher</t>
        </r>
      </text>
    </comment>
    <comment ref="AI6" authorId="1" shapeId="0">
      <text>
        <r>
          <rPr>
            <sz val="9"/>
            <color indexed="81"/>
            <rFont val="Tahoma"/>
            <family val="2"/>
          </rPr>
          <t>SonghaiArcher</t>
        </r>
      </text>
    </comment>
    <comment ref="AK6" authorId="1" shapeId="0">
      <text>
        <r>
          <rPr>
            <sz val="9"/>
            <color indexed="81"/>
            <rFont val="Tahoma"/>
            <family val="2"/>
          </rPr>
          <t>Archer_Turkey</t>
        </r>
      </text>
    </comment>
    <comment ref="AO6" authorId="1" shapeId="0">
      <text>
        <r>
          <rPr>
            <sz val="9"/>
            <color indexed="81"/>
            <rFont val="Tahoma"/>
            <family val="2"/>
          </rPr>
          <t>Archer_India</t>
        </r>
      </text>
    </comment>
    <comment ref="AP6" authorId="1" shapeId="0">
      <text>
        <r>
          <rPr>
            <sz val="9"/>
            <color indexed="81"/>
            <rFont val="Tahoma"/>
            <family val="2"/>
          </rPr>
          <t>Archer_Korea</t>
        </r>
      </text>
    </comment>
    <comment ref="AQ6" authorId="1" shapeId="0">
      <text>
        <r>
          <rPr>
            <sz val="9"/>
            <color indexed="81"/>
            <rFont val="Tahoma"/>
            <family val="2"/>
          </rPr>
          <t>Archer_China</t>
        </r>
      </text>
    </comment>
    <comment ref="AR6" authorId="1" shapeId="0">
      <text>
        <r>
          <rPr>
            <sz val="9"/>
            <color indexed="81"/>
            <rFont val="Tahoma"/>
            <family val="2"/>
          </rPr>
          <t>Archer_Japan</t>
        </r>
      </text>
    </comment>
    <comment ref="AS6" authorId="1" shapeId="0">
      <text>
        <r>
          <rPr>
            <sz val="9"/>
            <color indexed="81"/>
            <rFont val="Tahoma"/>
            <family val="2"/>
          </rPr>
          <t>Composite_Bowman_Korea</t>
        </r>
      </text>
    </comment>
    <comment ref="AT6" authorId="1" shapeId="0">
      <text>
        <r>
          <rPr>
            <sz val="9"/>
            <color indexed="81"/>
            <rFont val="Tahoma"/>
            <family val="2"/>
          </rPr>
          <t>Archer_Mongol</t>
        </r>
      </text>
    </comment>
    <comment ref="AX6" authorId="1" shapeId="0">
      <text>
        <r>
          <rPr>
            <sz val="9"/>
            <color indexed="81"/>
            <rFont val="Tahoma"/>
            <family val="2"/>
          </rPr>
          <t>civ5_iroar1</t>
        </r>
      </text>
    </comment>
    <comment ref="BA6" authorId="1" shapeId="0">
      <text>
        <r>
          <rPr>
            <sz val="9"/>
            <color indexed="81"/>
            <rFont val="Tahoma"/>
            <family val="2"/>
          </rPr>
          <t>chimu_archer</t>
        </r>
      </text>
    </comment>
    <comment ref="BB6" authorId="1" shapeId="0">
      <text>
        <r>
          <rPr>
            <sz val="9"/>
            <color indexed="81"/>
            <rFont val="Tahoma"/>
            <family val="2"/>
          </rPr>
          <t>Archer_Aztec</t>
        </r>
      </text>
    </comment>
    <comment ref="BC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Slinger</t>
        </r>
      </text>
    </comment>
    <comment ref="BD6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Atlatlist</t>
        </r>
      </text>
    </comment>
    <comment ref="G7" authorId="1" shapeId="0">
      <text>
        <r>
          <rPr>
            <sz val="9"/>
            <color indexed="81"/>
            <rFont val="Tahoma"/>
            <family val="2"/>
          </rPr>
          <t>French155mm</t>
        </r>
      </text>
    </comment>
    <comment ref="M7" authorId="1" shapeId="0">
      <text>
        <r>
          <rPr>
            <sz val="9"/>
            <color indexed="81"/>
            <rFont val="Tahoma"/>
            <family val="2"/>
          </rPr>
          <t>ML-20</t>
        </r>
      </text>
    </comment>
    <comment ref="O7" authorId="1" shapeId="0">
      <text>
        <r>
          <rPr>
            <sz val="9"/>
            <color indexed="81"/>
            <rFont val="Tahoma"/>
            <family val="2"/>
          </rPr>
          <t>ML-20</t>
        </r>
      </text>
    </comment>
    <comment ref="C9" authorId="1" shapeId="0">
      <text>
        <r>
          <rPr>
            <sz val="9"/>
            <color indexed="81"/>
            <rFont val="Tahoma"/>
            <family val="2"/>
          </rPr>
          <t>Iowa_Class</t>
        </r>
      </text>
    </comment>
    <comment ref="F9" authorId="1" shapeId="0">
      <text>
        <r>
          <rPr>
            <sz val="9"/>
            <color indexed="81"/>
            <rFont val="Tahoma"/>
            <family val="2"/>
          </rPr>
          <t>King_George_V_Class</t>
        </r>
      </text>
    </comment>
    <comment ref="G9" authorId="1" shapeId="0">
      <text>
        <r>
          <rPr>
            <sz val="9"/>
            <color indexed="81"/>
            <rFont val="Tahoma"/>
            <family val="2"/>
          </rPr>
          <t>Richelieu_Class</t>
        </r>
      </text>
    </comment>
    <comment ref="H9" authorId="1" shapeId="0">
      <text>
        <r>
          <rPr>
            <sz val="9"/>
            <color indexed="81"/>
            <rFont val="Tahoma"/>
            <family val="2"/>
          </rPr>
          <t>Bismark_Class</t>
        </r>
      </text>
    </comment>
    <comment ref="M9" authorId="1" shapeId="0">
      <text>
        <r>
          <rPr>
            <sz val="9"/>
            <color indexed="81"/>
            <rFont val="Tahoma"/>
            <family val="2"/>
          </rPr>
          <t>Sovetsky_Soyuz_Class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Danae_Class</t>
        </r>
        <r>
          <rPr>
            <sz val="9"/>
            <color indexed="81"/>
            <rFont val="Tahoma"/>
            <family val="2"/>
          </rPr>
          <t xml:space="preserve"> (cruiser)</t>
        </r>
      </text>
    </comment>
    <comment ref="O9" authorId="2" shapeId="0">
      <text>
        <r>
          <rPr>
            <sz val="9"/>
            <color indexed="81"/>
            <rFont val="Tahoma"/>
            <family val="2"/>
          </rPr>
          <t>Sovetsky_Soyuz_Class</t>
        </r>
      </text>
    </comment>
    <comment ref="U9" authorId="1" shapeId="0">
      <text>
        <r>
          <rPr>
            <sz val="9"/>
            <color indexed="81"/>
            <rFont val="Tahoma"/>
            <family val="2"/>
          </rPr>
          <t>Littorio_Class</t>
        </r>
      </text>
    </comment>
    <comment ref="AR9" authorId="1" shapeId="0">
      <text>
        <r>
          <rPr>
            <sz val="9"/>
            <color indexed="81"/>
            <rFont val="Tahoma"/>
            <family val="2"/>
          </rPr>
          <t>Yamato_Class</t>
        </r>
      </text>
    </comment>
    <comment ref="C11" authorId="1" shapeId="0">
      <text>
        <r>
          <rPr>
            <sz val="9"/>
            <color indexed="81"/>
            <rFont val="Tahoma"/>
            <family val="2"/>
          </rPr>
          <t>B-25_Mitchell</t>
        </r>
      </text>
    </comment>
    <comment ref="D11" authorId="1" shapeId="0">
      <text>
        <r>
          <rPr>
            <sz val="9"/>
            <color indexed="81"/>
            <rFont val="Tahoma"/>
            <family val="2"/>
          </rPr>
          <t>Junkers_Ju-88</t>
        </r>
      </text>
    </comment>
    <comment ref="F11" authorId="1" shapeId="0">
      <text>
        <r>
          <rPr>
            <sz val="9"/>
            <color indexed="81"/>
            <rFont val="Tahoma"/>
            <family val="2"/>
          </rPr>
          <t>Vickers_Wellington</t>
        </r>
      </text>
    </comment>
    <comment ref="G11" authorId="1" shapeId="0">
      <text>
        <r>
          <rPr>
            <sz val="9"/>
            <color indexed="81"/>
            <rFont val="Tahoma"/>
            <family val="2"/>
          </rPr>
          <t>Amiot_350</t>
        </r>
      </text>
    </comment>
    <comment ref="H11" authorId="1" shapeId="0">
      <text>
        <r>
          <rPr>
            <sz val="9"/>
            <color indexed="81"/>
            <rFont val="Tahoma"/>
            <family val="2"/>
          </rPr>
          <t>Heinkel_He-111</t>
        </r>
      </text>
    </comment>
    <comment ref="I11" authorId="1" shapeId="0">
      <text>
        <r>
          <rPr>
            <sz val="9"/>
            <color indexed="81"/>
            <rFont val="Tahoma"/>
            <family val="2"/>
          </rPr>
          <t>Fokker_T.V</t>
        </r>
      </text>
    </comment>
    <comment ref="L11" authorId="1" shapeId="0">
      <text>
        <r>
          <rPr>
            <sz val="9"/>
            <color indexed="81"/>
            <rFont val="Tahoma"/>
            <family val="2"/>
          </rPr>
          <t>SAAB_B18</t>
        </r>
      </text>
    </comment>
    <comment ref="M11" authorId="1" shapeId="0">
      <text>
        <r>
          <rPr>
            <sz val="9"/>
            <color indexed="81"/>
            <rFont val="Tahoma"/>
            <family val="2"/>
          </rPr>
          <t>Petlyakov_Pe-8</t>
        </r>
      </text>
    </comment>
    <comment ref="N11" authorId="1" shapeId="0">
      <text>
        <r>
          <rPr>
            <sz val="9"/>
            <color indexed="81"/>
            <rFont val="Tahoma"/>
            <family val="2"/>
          </rPr>
          <t>PZL_P.37_Los</t>
        </r>
      </text>
    </comment>
    <comment ref="O11" authorId="2" shapeId="0">
      <text>
        <r>
          <rPr>
            <sz val="9"/>
            <color indexed="81"/>
            <rFont val="Tahoma"/>
            <family val="2"/>
          </rPr>
          <t>Petlyakov_Pe-8</t>
        </r>
      </text>
    </comment>
    <comment ref="S11" authorId="1" shapeId="0">
      <text>
        <r>
          <rPr>
            <sz val="9"/>
            <color indexed="81"/>
            <rFont val="Tahoma"/>
            <family val="2"/>
          </rPr>
          <t>Bomber_Blenheim</t>
        </r>
      </text>
    </comment>
    <comment ref="U11" authorId="1" shapeId="0">
      <text>
        <r>
          <rPr>
            <sz val="9"/>
            <color indexed="81"/>
            <rFont val="Tahoma"/>
            <family val="2"/>
          </rPr>
          <t>SM.79_Sparviero</t>
        </r>
      </text>
    </comment>
    <comment ref="V11" authorId="1" shapeId="0">
      <text>
        <r>
          <rPr>
            <sz val="9"/>
            <color indexed="81"/>
            <rFont val="Tahoma"/>
            <family val="2"/>
          </rPr>
          <t>Heinkel_He-111_Spain</t>
        </r>
      </text>
    </comment>
    <comment ref="AB11" authorId="1" shapeId="0">
      <text>
        <r>
          <rPr>
            <sz val="9"/>
            <color indexed="81"/>
            <rFont val="Tahoma"/>
            <family val="2"/>
          </rPr>
          <t>Bomber_B-24_Egypt</t>
        </r>
      </text>
    </comment>
    <comment ref="AL11" authorId="1" shapeId="0">
      <text>
        <r>
          <rPr>
            <sz val="9"/>
            <color indexed="81"/>
            <rFont val="Tahoma"/>
            <family val="2"/>
          </rPr>
          <t>Junkers_Ju-88_Hungary</t>
        </r>
      </text>
    </comment>
    <comment ref="AP11" authorId="1" shapeId="0">
      <text>
        <r>
          <rPr>
            <sz val="9"/>
            <color indexed="81"/>
            <rFont val="Tahoma"/>
            <family val="2"/>
          </rPr>
          <t>Mitsubishi_G4M_Betty</t>
        </r>
      </text>
    </comment>
    <comment ref="AQ11" authorId="1" shapeId="0">
      <text>
        <r>
          <rPr>
            <sz val="9"/>
            <color indexed="81"/>
            <rFont val="Tahoma"/>
            <family val="2"/>
          </rPr>
          <t>B-25_Mitchell_China</t>
        </r>
      </text>
    </comment>
    <comment ref="AR11" authorId="2" shapeId="0">
      <text>
        <r>
          <rPr>
            <sz val="9"/>
            <color indexed="81"/>
            <rFont val="Tahoma"/>
            <family val="2"/>
          </rPr>
          <t>Mitsubishi_G4M_Betty</t>
        </r>
      </text>
    </comment>
    <comment ref="F12" authorId="1" shapeId="0">
      <text>
        <r>
          <rPr>
            <sz val="9"/>
            <color indexed="81"/>
            <rFont val="Tahoma"/>
            <family val="2"/>
          </rPr>
          <t>24_Pounder</t>
        </r>
      </text>
    </comment>
    <comment ref="G12" authorId="1" shapeId="0">
      <text>
        <r>
          <rPr>
            <sz val="9"/>
            <color indexed="81"/>
            <rFont val="Tahoma"/>
            <family val="2"/>
          </rPr>
          <t>NapoleonCannon</t>
        </r>
      </text>
    </comment>
    <comment ref="AM12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 xml:space="preserve">bombardTurk </t>
        </r>
        <r>
          <rPr>
            <sz val="9"/>
            <color indexed="81"/>
            <rFont val="Tahoma"/>
            <family val="2"/>
          </rPr>
          <t>(bombard, not cannon)</t>
        </r>
      </text>
    </comment>
    <comment ref="T13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Nau</t>
        </r>
      </text>
    </comment>
    <comment ref="AS13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Turtle Ship</t>
        </r>
      </text>
    </comment>
    <comment ref="C14" authorId="1" shapeId="0">
      <text>
        <r>
          <rPr>
            <sz val="9"/>
            <color indexed="81"/>
            <rFont val="Tahoma"/>
            <family val="2"/>
          </rPr>
          <t>Essex_Class</t>
        </r>
      </text>
    </comment>
    <comment ref="F14" authorId="1" shapeId="0">
      <text>
        <r>
          <rPr>
            <sz val="9"/>
            <color indexed="81"/>
            <rFont val="Tahoma"/>
            <family val="2"/>
          </rPr>
          <t>Illustrious_Class</t>
        </r>
      </text>
    </comment>
    <comment ref="G14" authorId="1" shapeId="0">
      <text>
        <r>
          <rPr>
            <sz val="9"/>
            <color indexed="81"/>
            <rFont val="Tahoma"/>
            <family val="2"/>
          </rPr>
          <t>Joffre_Class</t>
        </r>
      </text>
    </comment>
    <comment ref="H14" authorId="1" shapeId="0">
      <text>
        <r>
          <rPr>
            <sz val="9"/>
            <color indexed="81"/>
            <rFont val="Tahoma"/>
            <family val="2"/>
          </rPr>
          <t>Graf_Zeppelin_Class</t>
        </r>
      </text>
    </comment>
    <comment ref="L14" authorId="1" shapeId="0">
      <text>
        <r>
          <rPr>
            <sz val="9"/>
            <color indexed="81"/>
            <rFont val="Tahoma"/>
            <family val="2"/>
          </rPr>
          <t>Implacable_Class</t>
        </r>
      </text>
    </comment>
    <comment ref="M14" authorId="1" shapeId="0">
      <text>
        <r>
          <rPr>
            <sz val="9"/>
            <color indexed="81"/>
            <rFont val="Tahoma"/>
            <family val="2"/>
          </rPr>
          <t>Project_71</t>
        </r>
      </text>
    </comment>
    <comment ref="O14" authorId="2" shapeId="0">
      <text>
        <r>
          <rPr>
            <sz val="9"/>
            <color indexed="81"/>
            <rFont val="Tahoma"/>
            <family val="2"/>
          </rPr>
          <t>Project_71</t>
        </r>
      </text>
    </comment>
    <comment ref="U14" authorId="1" shapeId="0">
      <text>
        <r>
          <rPr>
            <sz val="9"/>
            <color indexed="81"/>
            <rFont val="Tahoma"/>
            <family val="2"/>
          </rPr>
          <t>Aquila_Class</t>
        </r>
      </text>
    </comment>
    <comment ref="AR14" authorId="1" shapeId="0">
      <text>
        <r>
          <rPr>
            <sz val="9"/>
            <color indexed="81"/>
            <rFont val="Tahoma"/>
            <family val="2"/>
          </rPr>
          <t>Shokaku_Class</t>
        </r>
      </text>
    </comment>
    <comment ref="U15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Ballista</t>
        </r>
      </text>
    </comment>
    <comment ref="Z15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Siege Tower</t>
        </r>
      </text>
    </comment>
    <comment ref="D1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Hussar</t>
        </r>
      </text>
    </comment>
    <comment ref="G16" authorId="1" shapeId="0">
      <text>
        <r>
          <rPr>
            <sz val="9"/>
            <color indexed="81"/>
            <rFont val="Tahoma"/>
            <family val="2"/>
          </rPr>
          <t>freca1</t>
        </r>
      </text>
    </comment>
    <comment ref="H16" authorId="1" shapeId="0">
      <text>
        <r>
          <rPr>
            <sz val="9"/>
            <color indexed="81"/>
            <rFont val="Tahoma"/>
            <family val="2"/>
          </rPr>
          <t>gerca1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Cossack</t>
        </r>
      </text>
    </comment>
    <comment ref="X16" authorId="1" shapeId="0">
      <text>
        <r>
          <rPr>
            <sz val="9"/>
            <color indexed="81"/>
            <rFont val="Tahoma"/>
            <family val="2"/>
          </rPr>
          <t>u_dervish_maara_weyn</t>
        </r>
      </text>
    </comment>
    <comment ref="AF1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Berber Cavalry</t>
        </r>
      </text>
    </comment>
    <comment ref="AL16" authorId="1" shapeId="0">
      <text>
        <r>
          <rPr>
            <sz val="9"/>
            <color indexed="81"/>
            <rFont val="Tahoma"/>
            <family val="2"/>
          </rPr>
          <t>hunhu1</t>
        </r>
      </text>
    </comment>
    <comment ref="AZ1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Comanche Riders</t>
        </r>
      </text>
    </comment>
    <comment ref="AB1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War Chariot</t>
        </r>
      </text>
    </comment>
    <comment ref="AG17" authorId="1" shapeId="0">
      <text>
        <r>
          <rPr>
            <sz val="9"/>
            <color indexed="81"/>
            <rFont val="Tahoma"/>
            <family val="2"/>
          </rPr>
          <t>SonghaiChariotArcher</t>
        </r>
      </text>
    </comment>
    <comment ref="AL1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Horse Archer</t>
        </r>
      </text>
    </comment>
    <comment ref="AO1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War Elephant</t>
        </r>
      </text>
    </comment>
    <comment ref="AP17" authorId="1" shapeId="0">
      <text>
        <r>
          <rPr>
            <sz val="9"/>
            <color indexed="81"/>
            <rFont val="Tahoma"/>
            <family val="2"/>
          </rPr>
          <t>HorseArcher_Mongol</t>
        </r>
      </text>
    </comment>
    <comment ref="AX17" authorId="1" shapeId="0">
      <text>
        <r>
          <rPr>
            <sz val="9"/>
            <color indexed="81"/>
            <rFont val="Tahoma"/>
            <family val="2"/>
          </rPr>
          <t>civ5_iroha1</t>
        </r>
      </text>
    </comment>
    <comment ref="AY17" authorId="1" shapeId="0">
      <text>
        <r>
          <rPr>
            <sz val="9"/>
            <color indexed="81"/>
            <rFont val="Tahoma"/>
            <family val="2"/>
          </rPr>
          <t>civ5_iroha1</t>
        </r>
      </text>
    </comment>
    <comment ref="BH17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Hand-Axe Barbarian</t>
        </r>
      </text>
    </comment>
    <comment ref="C18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Composite_Bowman_England</t>
        </r>
      </text>
    </comment>
    <comment ref="D18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Composite_Bowman_German</t>
        </r>
      </text>
    </comment>
    <comment ref="F18" authorId="1" shapeId="0">
      <text>
        <r>
          <rPr>
            <sz val="9"/>
            <color indexed="81"/>
            <rFont val="Tahoma"/>
            <family val="2"/>
          </rPr>
          <t>Composite_Bowman_England</t>
        </r>
      </text>
    </comment>
    <comment ref="G18" authorId="1" shapeId="0">
      <text>
        <r>
          <rPr>
            <sz val="9"/>
            <color indexed="81"/>
            <rFont val="Tahoma"/>
            <family val="2"/>
          </rPr>
          <t>Composite_Bowman_France</t>
        </r>
      </text>
    </comment>
    <comment ref="H18" authorId="1" shapeId="0">
      <text>
        <r>
          <rPr>
            <sz val="9"/>
            <color indexed="81"/>
            <rFont val="Tahoma"/>
            <family val="2"/>
          </rPr>
          <t>Composite_Bowman_German</t>
        </r>
      </text>
    </comment>
    <comment ref="I18" authorId="1" shapeId="0">
      <text>
        <r>
          <rPr>
            <sz val="9"/>
            <color indexed="81"/>
            <rFont val="Tahoma"/>
            <family val="2"/>
          </rPr>
          <t>civ5netar1</t>
        </r>
      </text>
    </comment>
    <comment ref="J18" authorId="1" shapeId="0">
      <text>
        <r>
          <rPr>
            <sz val="9"/>
            <color indexed="81"/>
            <rFont val="Tahoma"/>
            <family val="2"/>
          </rPr>
          <t>Composite_Bowman_Viking</t>
        </r>
      </text>
    </comment>
    <comment ref="M18" authorId="1" shapeId="0">
      <text>
        <r>
          <rPr>
            <sz val="9"/>
            <color indexed="81"/>
            <rFont val="Tahoma"/>
            <family val="2"/>
          </rPr>
          <t>Composite_Bowman_Russia</t>
        </r>
      </text>
    </comment>
    <comment ref="P18" authorId="1" shapeId="0">
      <text>
        <r>
          <rPr>
            <sz val="9"/>
            <color indexed="81"/>
            <rFont val="Tahoma"/>
            <family val="2"/>
          </rPr>
          <t>Composite_Bowman_Spain</t>
        </r>
      </text>
    </comment>
    <comment ref="S18" authorId="1" shapeId="0">
      <text>
        <r>
          <rPr>
            <sz val="9"/>
            <color indexed="81"/>
            <rFont val="Tahoma"/>
            <family val="2"/>
          </rPr>
          <t>Composite_Bowman_Greek</t>
        </r>
      </text>
    </comment>
    <comment ref="U18" authorId="1" shapeId="0">
      <text>
        <r>
          <rPr>
            <sz val="9"/>
            <color indexed="81"/>
            <rFont val="Tahoma"/>
            <family val="2"/>
          </rPr>
          <t>Composite_Bowman_Rome</t>
        </r>
      </text>
    </comment>
    <comment ref="X18" authorId="1" shapeId="0">
      <text>
        <r>
          <rPr>
            <sz val="9"/>
            <color indexed="81"/>
            <rFont val="Tahoma"/>
            <family val="2"/>
          </rPr>
          <t>Composite_Bowman_Arabia</t>
        </r>
      </text>
    </comment>
    <comment ref="AA18" authorId="1" shapeId="0">
      <text>
        <r>
          <rPr>
            <sz val="9"/>
            <color indexed="81"/>
            <rFont val="Tahoma"/>
            <family val="2"/>
          </rPr>
          <t>Composite_Bowman_Babylon</t>
        </r>
      </text>
    </comment>
    <comment ref="AB18" authorId="1" shapeId="0">
      <text>
        <r>
          <rPr>
            <sz val="9"/>
            <color indexed="81"/>
            <rFont val="Tahoma"/>
            <family val="2"/>
          </rPr>
          <t>Longbowman_Egypt</t>
        </r>
      </text>
    </comment>
    <comment ref="AC18" authorId="1" shapeId="0">
      <text>
        <r>
          <rPr>
            <sz val="9"/>
            <color indexed="81"/>
            <rFont val="Tahoma"/>
            <family val="2"/>
          </rPr>
          <t>Composite_Bowman_Persia</t>
        </r>
      </text>
    </comment>
    <comment ref="AG18" authorId="1" shapeId="0">
      <text>
        <r>
          <rPr>
            <sz val="9"/>
            <color indexed="81"/>
            <rFont val="Tahoma"/>
            <family val="2"/>
          </rPr>
          <t>EthiopiaCompBow</t>
        </r>
      </text>
    </comment>
    <comment ref="AI18" authorId="1" shapeId="0">
      <text>
        <r>
          <rPr>
            <sz val="9"/>
            <color indexed="81"/>
            <rFont val="Tahoma"/>
            <family val="2"/>
          </rPr>
          <t>SonghaiCompbow</t>
        </r>
      </text>
    </comment>
    <comment ref="AK18" authorId="1" shapeId="0">
      <text>
        <r>
          <rPr>
            <sz val="9"/>
            <color indexed="81"/>
            <rFont val="Tahoma"/>
            <family val="2"/>
          </rPr>
          <t>Composite_Bowman_Turkey</t>
        </r>
      </text>
    </comment>
    <comment ref="AO18" authorId="1" shapeId="0">
      <text>
        <r>
          <rPr>
            <sz val="9"/>
            <color indexed="81"/>
            <rFont val="Tahoma"/>
            <family val="2"/>
          </rPr>
          <t>Composite_Bowman_India</t>
        </r>
      </text>
    </comment>
    <comment ref="AP18" authorId="1" shapeId="0">
      <text>
        <r>
          <rPr>
            <sz val="9"/>
            <color indexed="81"/>
            <rFont val="Tahoma"/>
            <family val="2"/>
          </rPr>
          <t>Composite_Bowman_China</t>
        </r>
      </text>
    </comment>
    <comment ref="AQ18" authorId="1" shapeId="0">
      <text>
        <r>
          <rPr>
            <sz val="9"/>
            <color indexed="81"/>
            <rFont val="Tahoma"/>
            <family val="2"/>
          </rPr>
          <t>Composite_Bowman_China_v2</t>
        </r>
      </text>
    </comment>
    <comment ref="AR18" authorId="1" shapeId="0">
      <text>
        <r>
          <rPr>
            <sz val="9"/>
            <color indexed="81"/>
            <rFont val="Tahoma"/>
            <family val="2"/>
          </rPr>
          <t>Composite_Bowman_Japan</t>
        </r>
      </text>
    </comment>
    <comment ref="AS18" authorId="1" shapeId="0">
      <text>
        <r>
          <rPr>
            <sz val="9"/>
            <color indexed="81"/>
            <rFont val="Tahoma"/>
            <family val="2"/>
          </rPr>
          <t>Longbowman_Korea</t>
        </r>
      </text>
    </comment>
    <comment ref="AT18" authorId="1" shapeId="0">
      <text>
        <r>
          <rPr>
            <sz val="9"/>
            <color indexed="81"/>
            <rFont val="Tahoma"/>
            <family val="2"/>
          </rPr>
          <t>Composite_Bowman_Mongol</t>
        </r>
      </text>
    </comment>
    <comment ref="AX18" authorId="1" shapeId="0">
      <text>
        <r>
          <rPr>
            <sz val="9"/>
            <color indexed="81"/>
            <rFont val="Tahoma"/>
            <family val="2"/>
          </rPr>
          <t>civ5_iroco1</t>
        </r>
      </text>
    </comment>
    <comment ref="BA18" authorId="1" shapeId="0">
      <text>
        <r>
          <rPr>
            <sz val="9"/>
            <color indexed="81"/>
            <rFont val="Tahoma"/>
            <family val="2"/>
          </rPr>
          <t>Composite_Bowman_Aztec</t>
        </r>
      </text>
    </comment>
    <comment ref="BC18" authorId="1" shapeId="0">
      <text>
        <r>
          <rPr>
            <sz val="9"/>
            <color indexed="81"/>
            <rFont val="Tahoma"/>
            <family val="2"/>
          </rPr>
          <t>Composite_Bowman_Inca</t>
        </r>
      </text>
    </comment>
    <comment ref="BD18" authorId="1" shapeId="0">
      <text>
        <r>
          <rPr>
            <sz val="9"/>
            <color indexed="81"/>
            <rFont val="Tahoma"/>
            <family val="2"/>
          </rPr>
          <t>Composite_Bowman_Maya</t>
        </r>
      </text>
    </comment>
    <comment ref="C19" authorId="1" shapeId="0">
      <text>
        <r>
          <rPr>
            <sz val="9"/>
            <color indexed="81"/>
            <rFont val="Tahoma"/>
            <family val="2"/>
          </rPr>
          <t>Longbowman_American</t>
        </r>
      </text>
    </comment>
    <comment ref="D19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Longbowman_Teutonic</t>
        </r>
      </text>
    </comment>
    <comment ref="F19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Longbowman</t>
        </r>
      </text>
    </comment>
    <comment ref="G19" authorId="1" shapeId="0">
      <text>
        <r>
          <rPr>
            <sz val="9"/>
            <color indexed="81"/>
            <rFont val="Tahoma"/>
            <family val="2"/>
          </rPr>
          <t>Longbowman_France</t>
        </r>
      </text>
    </comment>
    <comment ref="H19" authorId="1" shapeId="0">
      <text>
        <r>
          <rPr>
            <sz val="9"/>
            <color indexed="81"/>
            <rFont val="Tahoma"/>
            <family val="2"/>
          </rPr>
          <t>Crossbowman_German</t>
        </r>
      </text>
    </comment>
    <comment ref="J19" authorId="1" shapeId="0">
      <text>
        <r>
          <rPr>
            <sz val="9"/>
            <color indexed="81"/>
            <rFont val="Tahoma"/>
            <family val="2"/>
          </rPr>
          <t>Crossbowman_Viking</t>
        </r>
      </text>
    </comment>
    <comment ref="O19" authorId="1" shapeId="0">
      <text>
        <r>
          <rPr>
            <sz val="9"/>
            <color indexed="81"/>
            <rFont val="Tahoma"/>
            <family val="2"/>
          </rPr>
          <t>Crossbowman_Russia</t>
        </r>
      </text>
    </comment>
    <comment ref="P19" authorId="1" shapeId="0">
      <text>
        <r>
          <rPr>
            <sz val="9"/>
            <color indexed="81"/>
            <rFont val="Tahoma"/>
            <family val="2"/>
          </rPr>
          <t>Crossbowman_Spain</t>
        </r>
      </text>
    </comment>
    <comment ref="S19" authorId="1" shapeId="0">
      <text>
        <r>
          <rPr>
            <sz val="9"/>
            <color indexed="81"/>
            <rFont val="Tahoma"/>
            <family val="2"/>
          </rPr>
          <t>Longbowman_Greece</t>
        </r>
      </text>
    </comment>
    <comment ref="U19" authorId="1" shapeId="0">
      <text>
        <r>
          <rPr>
            <sz val="9"/>
            <color indexed="81"/>
            <rFont val="Tahoma"/>
            <family val="2"/>
          </rPr>
          <t>Crossbowman_Rome</t>
        </r>
      </text>
    </comment>
    <comment ref="X19" authorId="1" shapeId="0">
      <text>
        <r>
          <rPr>
            <sz val="9"/>
            <color indexed="81"/>
            <rFont val="Tahoma"/>
            <family val="2"/>
          </rPr>
          <t>Longbowman_Arabia</t>
        </r>
      </text>
    </comment>
    <comment ref="AA19" authorId="1" shapeId="0">
      <text>
        <r>
          <rPr>
            <sz val="9"/>
            <color indexed="81"/>
            <rFont val="Tahoma"/>
            <family val="2"/>
          </rPr>
          <t>Longbowman_Babylon</t>
        </r>
      </text>
    </comment>
    <comment ref="AB19" authorId="1" shapeId="0">
      <text>
        <r>
          <rPr>
            <sz val="9"/>
            <color indexed="81"/>
            <rFont val="Tahoma"/>
            <family val="2"/>
          </rPr>
          <t>Composite_Bowman_Egypt</t>
        </r>
      </text>
    </comment>
    <comment ref="AC19" authorId="1" shapeId="0">
      <text>
        <r>
          <rPr>
            <sz val="9"/>
            <color indexed="81"/>
            <rFont val="Tahoma"/>
            <family val="2"/>
          </rPr>
          <t>Longbowman_Persia</t>
        </r>
      </text>
    </comment>
    <comment ref="AD19" authorId="1" shapeId="0">
      <text>
        <r>
          <rPr>
            <sz val="9"/>
            <color indexed="81"/>
            <rFont val="Tahoma"/>
            <family val="2"/>
          </rPr>
          <t>Berber_Crossbowman</t>
        </r>
      </text>
    </comment>
    <comment ref="AF19" authorId="1" shapeId="0">
      <text>
        <r>
          <rPr>
            <sz val="9"/>
            <color indexed="81"/>
            <rFont val="Tahoma"/>
            <family val="2"/>
          </rPr>
          <t>Berber_Crossbowman</t>
        </r>
      </text>
    </comment>
    <comment ref="AG19" authorId="1" shapeId="0">
      <text>
        <r>
          <rPr>
            <sz val="9"/>
            <color indexed="81"/>
            <rFont val="Tahoma"/>
            <family val="2"/>
          </rPr>
          <t>EthiopiaCrossbow</t>
        </r>
      </text>
    </comment>
    <comment ref="AI19" authorId="1" shapeId="0">
      <text>
        <r>
          <rPr>
            <sz val="9"/>
            <color indexed="81"/>
            <rFont val="Tahoma"/>
            <family val="2"/>
          </rPr>
          <t>SonghaiLongbowman</t>
        </r>
      </text>
    </comment>
    <comment ref="AK19" authorId="1" shapeId="0">
      <text>
        <r>
          <rPr>
            <sz val="9"/>
            <color indexed="81"/>
            <rFont val="Tahoma"/>
            <family val="2"/>
          </rPr>
          <t>Crossbowman_Turkey</t>
        </r>
      </text>
    </comment>
    <comment ref="AN19" authorId="1" shapeId="0">
      <text>
        <r>
          <rPr>
            <sz val="9"/>
            <color indexed="81"/>
            <rFont val="Tahoma"/>
            <family val="2"/>
          </rPr>
          <t>Longbowman_India</t>
        </r>
      </text>
    </comment>
    <comment ref="AP19" authorId="1" shapeId="0">
      <text>
        <r>
          <rPr>
            <sz val="9"/>
            <color indexed="81"/>
            <rFont val="Tahoma"/>
            <family val="2"/>
          </rPr>
          <t>Crossbowman_China</t>
        </r>
      </text>
    </comment>
    <comment ref="AQ19" authorId="2" shapeId="0">
      <text>
        <r>
          <rPr>
            <sz val="9"/>
            <color indexed="81"/>
            <rFont val="Tahoma"/>
            <family val="2"/>
          </rPr>
          <t>unique Chu-Ko-Nu</t>
        </r>
      </text>
    </comment>
    <comment ref="AR19" authorId="1" shapeId="0">
      <text>
        <r>
          <rPr>
            <sz val="9"/>
            <color indexed="81"/>
            <rFont val="Tahoma"/>
            <family val="2"/>
          </rPr>
          <t>Longbowman_Japan</t>
        </r>
      </text>
    </comment>
    <comment ref="AT19" authorId="1" shapeId="0">
      <text>
        <r>
          <rPr>
            <sz val="9"/>
            <color indexed="81"/>
            <rFont val="Tahoma"/>
            <family val="2"/>
          </rPr>
          <t>Longbowman_Mongol</t>
        </r>
      </text>
    </comment>
    <comment ref="AX19" authorId="1" shapeId="0">
      <text>
        <r>
          <rPr>
            <sz val="9"/>
            <color indexed="81"/>
            <rFont val="Tahoma"/>
            <family val="2"/>
          </rPr>
          <t>civ5_irolb4</t>
        </r>
      </text>
    </comment>
    <comment ref="AY19" authorId="1" shapeId="0">
      <text>
        <r>
          <rPr>
            <sz val="9"/>
            <color indexed="81"/>
            <rFont val="Tahoma"/>
            <family val="2"/>
          </rPr>
          <t>civ5_irolb1</t>
        </r>
      </text>
    </comment>
    <comment ref="BA19" authorId="1" shapeId="0">
      <text>
        <r>
          <rPr>
            <sz val="9"/>
            <color indexed="81"/>
            <rFont val="Tahoma"/>
            <family val="2"/>
          </rPr>
          <t>Longbowman_Aztec</t>
        </r>
      </text>
    </comment>
    <comment ref="BC19" authorId="1" shapeId="0">
      <text>
        <r>
          <rPr>
            <sz val="9"/>
            <color indexed="81"/>
            <rFont val="Tahoma"/>
            <family val="2"/>
          </rPr>
          <t>Longbowman_Inca</t>
        </r>
      </text>
    </comment>
    <comment ref="BD19" authorId="1" shapeId="0">
      <text>
        <r>
          <rPr>
            <sz val="9"/>
            <color indexed="81"/>
            <rFont val="Tahoma"/>
            <family val="2"/>
          </rPr>
          <t>Longbowman_Maya</t>
        </r>
      </text>
    </comment>
    <comment ref="C20" authorId="1" shapeId="0">
      <text>
        <r>
          <rPr>
            <sz val="9"/>
            <color indexed="81"/>
            <rFont val="Tahoma"/>
            <family val="2"/>
          </rPr>
          <t>Fletcher_Class</t>
        </r>
      </text>
    </comment>
    <comment ref="F20" authorId="1" shapeId="0">
      <text>
        <r>
          <rPr>
            <sz val="9"/>
            <color indexed="81"/>
            <rFont val="Tahoma"/>
            <family val="2"/>
          </rPr>
          <t>Triba_Class</t>
        </r>
      </text>
    </comment>
    <comment ref="G20" authorId="1" shapeId="0">
      <text>
        <r>
          <rPr>
            <sz val="9"/>
            <color indexed="81"/>
            <rFont val="Tahoma"/>
            <family val="2"/>
          </rPr>
          <t>Fantasque_Class</t>
        </r>
      </text>
    </comment>
    <comment ref="H20" authorId="1" shapeId="0">
      <text>
        <r>
          <rPr>
            <sz val="9"/>
            <color indexed="81"/>
            <rFont val="Tahoma"/>
            <family val="2"/>
          </rPr>
          <t>Z23_Class</t>
        </r>
      </text>
    </comment>
    <comment ref="I20" authorId="1" shapeId="0">
      <text>
        <r>
          <rPr>
            <sz val="9"/>
            <color indexed="81"/>
            <rFont val="Tahoma"/>
            <family val="2"/>
          </rPr>
          <t>Admiralen_Class</t>
        </r>
      </text>
    </comment>
    <comment ref="L20" authorId="1" shapeId="0">
      <text>
        <r>
          <rPr>
            <sz val="9"/>
            <color indexed="81"/>
            <rFont val="Tahoma"/>
            <family val="2"/>
          </rPr>
          <t>Goteborg_Class</t>
        </r>
      </text>
    </comment>
    <comment ref="M20" authorId="1" shapeId="0">
      <text>
        <r>
          <rPr>
            <sz val="9"/>
            <color indexed="81"/>
            <rFont val="Tahoma"/>
            <family val="2"/>
          </rPr>
          <t>Gnevny_Class</t>
        </r>
      </text>
    </comment>
    <comment ref="N20" authorId="1" shapeId="0">
      <text>
        <r>
          <rPr>
            <sz val="9"/>
            <color indexed="81"/>
            <rFont val="Tahoma"/>
            <family val="2"/>
          </rPr>
          <t>Grom_Class</t>
        </r>
      </text>
    </comment>
    <comment ref="O20" authorId="2" shapeId="0">
      <text>
        <r>
          <rPr>
            <sz val="9"/>
            <color indexed="81"/>
            <rFont val="Tahoma"/>
            <family val="2"/>
          </rPr>
          <t>Gnevny_Class</t>
        </r>
      </text>
    </comment>
    <comment ref="S20" authorId="1" shapeId="0">
      <text>
        <r>
          <rPr>
            <sz val="9"/>
            <color indexed="81"/>
            <rFont val="Tahoma"/>
            <family val="2"/>
          </rPr>
          <t>Vasilefs_Georgios_Class</t>
        </r>
      </text>
    </comment>
    <comment ref="U20" authorId="1" shapeId="0">
      <text>
        <r>
          <rPr>
            <sz val="9"/>
            <color indexed="81"/>
            <rFont val="Tahoma"/>
            <family val="2"/>
          </rPr>
          <t>Soldati_Class</t>
        </r>
      </text>
    </comment>
    <comment ref="AR20" authorId="1" shapeId="0">
      <text>
        <r>
          <rPr>
            <sz val="9"/>
            <color indexed="81"/>
            <rFont val="Tahoma"/>
            <family val="2"/>
          </rPr>
          <t>Kagero_Class</t>
        </r>
      </text>
    </comment>
    <comment ref="C21" authorId="1" shapeId="0">
      <text>
        <r>
          <rPr>
            <sz val="9"/>
            <color indexed="81"/>
            <rFont val="Tahoma"/>
            <family val="2"/>
          </rPr>
          <t>P-51_Mustang</t>
        </r>
      </text>
    </comment>
    <comment ref="D21" authorId="1" shapeId="0">
      <text>
        <r>
          <rPr>
            <sz val="9"/>
            <color indexed="81"/>
            <rFont val="Tahoma"/>
            <family val="2"/>
          </rPr>
          <t>Messerschmitt_Bf-109F</t>
        </r>
      </text>
    </comment>
    <comment ref="F21" authorId="1" shapeId="0">
      <text>
        <r>
          <rPr>
            <sz val="9"/>
            <color indexed="81"/>
            <rFont val="Tahoma"/>
            <family val="2"/>
          </rPr>
          <t>Supermarine_Spitfire_MK_V</t>
        </r>
      </text>
    </comment>
    <comment ref="G21" authorId="1" shapeId="0">
      <text>
        <r>
          <rPr>
            <sz val="9"/>
            <color indexed="81"/>
            <rFont val="Tahoma"/>
            <family val="2"/>
          </rPr>
          <t>Dewoitine_D.520</t>
        </r>
      </text>
    </comment>
    <comment ref="H21" authorId="1" shapeId="0">
      <text>
        <r>
          <rPr>
            <sz val="9"/>
            <color indexed="81"/>
            <rFont val="Tahoma"/>
            <family val="2"/>
          </rPr>
          <t>Focke-Wulf_Fw-190</t>
        </r>
      </text>
    </comment>
    <comment ref="I21" authorId="1" shapeId="0">
      <text>
        <r>
          <rPr>
            <sz val="9"/>
            <color indexed="81"/>
            <rFont val="Tahoma"/>
            <family val="2"/>
          </rPr>
          <t>Fokker_D.XXI</t>
        </r>
      </text>
    </comment>
    <comment ref="L21" authorId="1" shapeId="0">
      <text>
        <r>
          <rPr>
            <sz val="9"/>
            <color indexed="81"/>
            <rFont val="Tahoma"/>
            <family val="2"/>
          </rPr>
          <t>FFVS_J22</t>
        </r>
      </text>
    </comment>
    <comment ref="M21" authorId="1" shapeId="0">
      <text>
        <r>
          <rPr>
            <sz val="9"/>
            <color indexed="81"/>
            <rFont val="Tahoma"/>
            <family val="2"/>
          </rPr>
          <t>Yakovlev_Yak-9</t>
        </r>
      </text>
    </comment>
    <comment ref="N21" authorId="1" shapeId="0">
      <text>
        <r>
          <rPr>
            <sz val="9"/>
            <color indexed="81"/>
            <rFont val="Tahoma"/>
            <family val="2"/>
          </rPr>
          <t>PZL_P.50_Jastrzab</t>
        </r>
      </text>
    </comment>
    <comment ref="O21" authorId="2" shapeId="0">
      <text>
        <r>
          <rPr>
            <sz val="9"/>
            <color indexed="81"/>
            <rFont val="Tahoma"/>
            <family val="2"/>
          </rPr>
          <t>Yakovlev_Yak-9</t>
        </r>
      </text>
    </comment>
    <comment ref="Q21" authorId="1" shapeId="0">
      <text>
        <r>
          <rPr>
            <sz val="9"/>
            <color indexed="81"/>
            <rFont val="Tahoma"/>
            <family val="2"/>
          </rPr>
          <t>P40Brazil</t>
        </r>
      </text>
    </comment>
    <comment ref="S21" authorId="1" shapeId="0">
      <text>
        <r>
          <rPr>
            <sz val="9"/>
            <color indexed="81"/>
            <rFont val="Tahoma"/>
            <family val="2"/>
          </rPr>
          <t>Fighter_Spitfire_MK5c</t>
        </r>
      </text>
    </comment>
    <comment ref="U21" authorId="1" shapeId="0">
      <text>
        <r>
          <rPr>
            <sz val="9"/>
            <color indexed="81"/>
            <rFont val="Tahoma"/>
            <family val="2"/>
          </rPr>
          <t>Fiat_G.55_Centauro</t>
        </r>
      </text>
    </comment>
    <comment ref="V21" authorId="1" shapeId="0">
      <text>
        <r>
          <rPr>
            <sz val="9"/>
            <color indexed="81"/>
            <rFont val="Tahoma"/>
            <family val="2"/>
          </rPr>
          <t>Fighter_Bf-109J</t>
        </r>
      </text>
    </comment>
    <comment ref="X21" authorId="1" shapeId="0">
      <text>
        <r>
          <rPr>
            <sz val="9"/>
            <color indexed="81"/>
            <rFont val="Tahoma"/>
            <family val="2"/>
          </rPr>
          <t>Fighter_Default</t>
        </r>
      </text>
    </comment>
    <comment ref="AB21" authorId="1" shapeId="0">
      <text>
        <r>
          <rPr>
            <sz val="9"/>
            <color indexed="81"/>
            <rFont val="Tahoma"/>
            <family val="2"/>
          </rPr>
          <t>P40Egypt</t>
        </r>
      </text>
    </comment>
    <comment ref="AL21" authorId="1" shapeId="0">
      <text>
        <r>
          <rPr>
            <sz val="9"/>
            <color indexed="81"/>
            <rFont val="Tahoma"/>
            <family val="2"/>
          </rPr>
          <t>Me_Bf-109_Hungary</t>
        </r>
      </text>
    </comment>
    <comment ref="AM21" authorId="1" shapeId="0">
      <text>
        <r>
          <rPr>
            <sz val="9"/>
            <color indexed="81"/>
            <rFont val="Tahoma"/>
            <family val="2"/>
          </rPr>
          <t>P40Turkey</t>
        </r>
      </text>
    </comment>
    <comment ref="AQ21" authorId="1" shapeId="0">
      <text>
        <r>
          <rPr>
            <sz val="9"/>
            <color indexed="81"/>
            <rFont val="Tahoma"/>
            <family val="2"/>
          </rPr>
          <t>P-40_Warhawk_China</t>
        </r>
      </text>
    </comment>
    <comment ref="AR2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Zero</t>
        </r>
      </text>
    </comment>
    <comment ref="F22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Ship of the Line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Great Galleass</t>
        </r>
      </text>
    </comment>
    <comment ref="H25" authorId="1" shapeId="0">
      <text>
        <r>
          <rPr>
            <sz val="9"/>
            <color indexed="81"/>
            <rFont val="Tahoma"/>
            <family val="2"/>
          </rPr>
          <t>V1_Rocket</t>
        </r>
      </text>
    </comment>
    <comment ref="C26" authorId="1" shapeId="0">
      <text>
        <r>
          <rPr>
            <sz val="9"/>
            <color indexed="81"/>
            <rFont val="Tahoma"/>
            <family val="2"/>
          </rPr>
          <t>AH64USA</t>
        </r>
      </text>
    </comment>
    <comment ref="D26" authorId="1" shapeId="0">
      <text>
        <r>
          <rPr>
            <sz val="9"/>
            <color indexed="81"/>
            <rFont val="Tahoma"/>
            <family val="2"/>
          </rPr>
          <t>tiger_austria</t>
        </r>
      </text>
    </comment>
    <comment ref="F26" authorId="1" shapeId="0">
      <text>
        <r>
          <rPr>
            <sz val="9"/>
            <color indexed="81"/>
            <rFont val="Tahoma"/>
            <family val="2"/>
          </rPr>
          <t>AH64Britain</t>
        </r>
      </text>
    </comment>
    <comment ref="G26" authorId="1" shapeId="0">
      <text>
        <r>
          <rPr>
            <sz val="9"/>
            <color indexed="81"/>
            <rFont val="Tahoma"/>
            <family val="2"/>
          </rPr>
          <t>tiger_france</t>
        </r>
      </text>
    </comment>
    <comment ref="H26" authorId="1" shapeId="0">
      <text>
        <r>
          <rPr>
            <sz val="9"/>
            <color indexed="81"/>
            <rFont val="Tahoma"/>
            <family val="2"/>
          </rPr>
          <t>tiger_germany</t>
        </r>
      </text>
    </comment>
    <comment ref="I26" authorId="1" shapeId="0">
      <text>
        <r>
          <rPr>
            <sz val="9"/>
            <color indexed="81"/>
            <rFont val="Tahoma"/>
            <family val="2"/>
          </rPr>
          <t>tiger_netherlands</t>
        </r>
      </text>
    </comment>
    <comment ref="L26" authorId="1" shapeId="0">
      <text>
        <r>
          <rPr>
            <sz val="9"/>
            <color indexed="81"/>
            <rFont val="Tahoma"/>
            <family val="2"/>
          </rPr>
          <t>tiger_sweden</t>
        </r>
      </text>
    </comment>
    <comment ref="M26" authorId="1" shapeId="0">
      <text>
        <r>
          <rPr>
            <sz val="9"/>
            <color indexed="81"/>
            <rFont val="Tahoma"/>
            <family val="2"/>
          </rPr>
          <t>Mi8PlainTeamColor</t>
        </r>
      </text>
    </comment>
    <comment ref="N26" authorId="1" shapeId="0">
      <text>
        <r>
          <rPr>
            <sz val="9"/>
            <color indexed="81"/>
            <rFont val="Tahoma"/>
            <family val="2"/>
          </rPr>
          <t>Mi8Poland</t>
        </r>
      </text>
    </comment>
    <comment ref="O26" authorId="1" shapeId="0">
      <text>
        <r>
          <rPr>
            <sz val="9"/>
            <color indexed="81"/>
            <rFont val="Tahoma"/>
            <family val="2"/>
          </rPr>
          <t>Mi8Russia</t>
        </r>
      </text>
    </comment>
    <comment ref="S26" authorId="1" shapeId="0">
      <text>
        <r>
          <rPr>
            <sz val="9"/>
            <color indexed="81"/>
            <rFont val="Tahoma"/>
            <family val="2"/>
          </rPr>
          <t>AH64Greece</t>
        </r>
      </text>
    </comment>
    <comment ref="U26" authorId="1" shapeId="0">
      <text>
        <r>
          <rPr>
            <sz val="9"/>
            <color indexed="81"/>
            <rFont val="Tahoma"/>
            <family val="2"/>
          </rPr>
          <t>mangusta</t>
        </r>
      </text>
    </comment>
    <comment ref="V26" authorId="1" shapeId="0">
      <text>
        <r>
          <rPr>
            <sz val="9"/>
            <color indexed="81"/>
            <rFont val="Tahoma"/>
            <family val="2"/>
          </rPr>
          <t>tiger_spain</t>
        </r>
      </text>
    </comment>
    <comment ref="X26" authorId="1" shapeId="0">
      <text>
        <r>
          <rPr>
            <sz val="9"/>
            <color indexed="81"/>
            <rFont val="Tahoma"/>
            <family val="2"/>
          </rPr>
          <t>Mi8DesertTeamColor</t>
        </r>
      </text>
    </comment>
    <comment ref="Y26" authorId="1" shapeId="0">
      <text>
        <r>
          <rPr>
            <sz val="9"/>
            <color indexed="81"/>
            <rFont val="Tahoma"/>
            <family val="2"/>
          </rPr>
          <t>AH64PlainTeamColor</t>
        </r>
      </text>
    </comment>
    <comment ref="AA26" authorId="1" shapeId="0">
      <text>
        <r>
          <rPr>
            <sz val="9"/>
            <color indexed="81"/>
            <rFont val="Tahoma"/>
            <family val="2"/>
          </rPr>
          <t>Mi8Iraq</t>
        </r>
      </text>
    </comment>
    <comment ref="AB26" authorId="1" shapeId="0">
      <text>
        <r>
          <rPr>
            <sz val="9"/>
            <color indexed="81"/>
            <rFont val="Tahoma"/>
            <family val="2"/>
          </rPr>
          <t>Mi8Egypt</t>
        </r>
      </text>
    </comment>
    <comment ref="AH26" authorId="1" shapeId="0">
      <text>
        <r>
          <rPr>
            <sz val="9"/>
            <color indexed="81"/>
            <rFont val="Tahoma"/>
            <family val="2"/>
          </rPr>
          <t>Mi8Ethiopia</t>
        </r>
      </text>
    </comment>
    <comment ref="AN26" authorId="1" shapeId="0">
      <text>
        <r>
          <rPr>
            <sz val="9"/>
            <color indexed="81"/>
            <rFont val="Tahoma"/>
            <family val="2"/>
          </rPr>
          <t>Mi8India</t>
        </r>
      </text>
    </comment>
    <comment ref="AP26" authorId="2" shapeId="0">
      <text>
        <r>
          <rPr>
            <sz val="9"/>
            <color indexed="81"/>
            <rFont val="Tahoma"/>
            <family val="2"/>
          </rPr>
          <t>Mi8PlainTeamColor</t>
        </r>
      </text>
    </comment>
    <comment ref="AR26" authorId="1" shapeId="0">
      <text>
        <r>
          <rPr>
            <sz val="9"/>
            <color indexed="81"/>
            <rFont val="Tahoma"/>
            <family val="2"/>
          </rPr>
          <t>AH64Japan</t>
        </r>
      </text>
    </comment>
    <comment ref="BB26" authorId="1" shapeId="0">
      <text>
        <r>
          <rPr>
            <sz val="9"/>
            <color indexed="81"/>
            <rFont val="Tahoma"/>
            <family val="2"/>
          </rPr>
          <t>Mi8Mexico</t>
        </r>
      </text>
    </comment>
    <comment ref="C27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Horseman_England</t>
        </r>
      </text>
    </comment>
    <comment ref="D27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Horseman_German</t>
        </r>
      </text>
    </comment>
    <comment ref="F27" authorId="1" shapeId="0">
      <text>
        <r>
          <rPr>
            <sz val="9"/>
            <color indexed="81"/>
            <rFont val="Tahoma"/>
            <family val="2"/>
          </rPr>
          <t>Horseman_England</t>
        </r>
      </text>
    </comment>
    <comment ref="G27" authorId="1" shapeId="0">
      <text>
        <r>
          <rPr>
            <sz val="9"/>
            <color indexed="81"/>
            <rFont val="Tahoma"/>
            <family val="2"/>
          </rPr>
          <t>Horseman_France</t>
        </r>
      </text>
    </comment>
    <comment ref="H27" authorId="1" shapeId="0">
      <text>
        <r>
          <rPr>
            <sz val="9"/>
            <color indexed="81"/>
            <rFont val="Tahoma"/>
            <family val="2"/>
          </rPr>
          <t>Horseman_German</t>
        </r>
      </text>
    </comment>
    <comment ref="J27" authorId="1" shapeId="0">
      <text>
        <r>
          <rPr>
            <sz val="9"/>
            <color indexed="81"/>
            <rFont val="Tahoma"/>
            <family val="2"/>
          </rPr>
          <t>Horseman_Viking</t>
        </r>
      </text>
    </comment>
    <comment ref="M27" authorId="1" shapeId="0">
      <text>
        <r>
          <rPr>
            <sz val="9"/>
            <color indexed="81"/>
            <rFont val="Tahoma"/>
            <family val="2"/>
          </rPr>
          <t>Horseman_Russia</t>
        </r>
      </text>
    </comment>
    <comment ref="O27" authorId="1" shapeId="0">
      <text>
        <r>
          <rPr>
            <sz val="9"/>
            <color indexed="81"/>
            <rFont val="Tahoma"/>
            <family val="2"/>
          </rPr>
          <t>Horseman_Russia</t>
        </r>
      </text>
    </comment>
    <comment ref="P27" authorId="1" shapeId="0">
      <text>
        <r>
          <rPr>
            <sz val="9"/>
            <color indexed="81"/>
            <rFont val="Tahoma"/>
            <family val="2"/>
          </rPr>
          <t>U_Greek_CompanionCavalry</t>
        </r>
      </text>
    </comment>
    <comment ref="R2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Cataphract</t>
        </r>
      </text>
    </comment>
    <comment ref="S2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Companion Cavalry</t>
        </r>
      </text>
    </comment>
    <comment ref="U27" authorId="1" shapeId="0">
      <text>
        <r>
          <rPr>
            <sz val="9"/>
            <color indexed="81"/>
            <rFont val="Tahoma"/>
            <family val="2"/>
          </rPr>
          <t>Horseman_Rome</t>
        </r>
      </text>
    </comment>
    <comment ref="V27" authorId="1" shapeId="0">
      <text>
        <r>
          <rPr>
            <sz val="9"/>
            <color indexed="81"/>
            <rFont val="Tahoma"/>
            <family val="2"/>
          </rPr>
          <t>Horseman_Spain</t>
        </r>
      </text>
    </comment>
    <comment ref="X27" authorId="1" shapeId="0">
      <text>
        <r>
          <rPr>
            <sz val="9"/>
            <color indexed="81"/>
            <rFont val="Tahoma"/>
            <family val="2"/>
          </rPr>
          <t>Horseman_Arabia</t>
        </r>
      </text>
    </comment>
    <comment ref="AA27" authorId="1" shapeId="0">
      <text>
        <r>
          <rPr>
            <sz val="9"/>
            <color indexed="81"/>
            <rFont val="Tahoma"/>
            <family val="2"/>
          </rPr>
          <t>Horseman_Babylon</t>
        </r>
      </text>
    </comment>
    <comment ref="AB27" authorId="1" shapeId="0">
      <text>
        <r>
          <rPr>
            <sz val="9"/>
            <color indexed="81"/>
            <rFont val="Tahoma"/>
            <family val="2"/>
          </rPr>
          <t>Horseman_Egypt</t>
        </r>
      </text>
    </comment>
    <comment ref="AC27" authorId="1" shapeId="0">
      <text>
        <r>
          <rPr>
            <sz val="9"/>
            <color indexed="81"/>
            <rFont val="Tahoma"/>
            <family val="2"/>
          </rPr>
          <t>Horseman_Persia</t>
        </r>
      </text>
    </comment>
    <comment ref="AE2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African Forest Elephant</t>
        </r>
      </text>
    </comment>
    <comment ref="AG27" authorId="1" shapeId="0">
      <text>
        <r>
          <rPr>
            <sz val="9"/>
            <color indexed="81"/>
            <rFont val="Tahoma"/>
            <family val="2"/>
          </rPr>
          <t>EthiopiaHorseman</t>
        </r>
      </text>
    </comment>
    <comment ref="AH27" authorId="1" shapeId="0">
      <text>
        <r>
          <rPr>
            <sz val="9"/>
            <color indexed="81"/>
            <rFont val="Tahoma"/>
            <family val="2"/>
          </rPr>
          <t>EthiopiaMedHorseman</t>
        </r>
      </text>
    </comment>
    <comment ref="AI27" authorId="1" shapeId="0">
      <text>
        <r>
          <rPr>
            <sz val="9"/>
            <color indexed="81"/>
            <rFont val="Tahoma"/>
            <family val="2"/>
          </rPr>
          <t>SonghaiMedHorseman</t>
        </r>
      </text>
    </comment>
    <comment ref="AK27" authorId="1" shapeId="0">
      <text>
        <r>
          <rPr>
            <sz val="9"/>
            <color indexed="81"/>
            <rFont val="Tahoma"/>
            <family val="2"/>
          </rPr>
          <t>u_cuman_chabani</t>
        </r>
      </text>
    </comment>
    <comment ref="AM27" authorId="1" shapeId="0">
      <text>
        <r>
          <rPr>
            <sz val="9"/>
            <color indexed="81"/>
            <rFont val="Tahoma"/>
            <family val="2"/>
          </rPr>
          <t>Horseman_Turkey</t>
        </r>
      </text>
    </comment>
    <comment ref="AN27" authorId="1" shapeId="0">
      <text>
        <r>
          <rPr>
            <sz val="9"/>
            <color indexed="81"/>
            <rFont val="Tahoma"/>
            <family val="2"/>
          </rPr>
          <t>Horseman_India</t>
        </r>
      </text>
    </comment>
    <comment ref="AP27" authorId="1" shapeId="0">
      <text>
        <r>
          <rPr>
            <sz val="9"/>
            <color indexed="81"/>
            <rFont val="Tahoma"/>
            <family val="2"/>
          </rPr>
          <t>Horseman_China</t>
        </r>
      </text>
    </comment>
    <comment ref="AQ27" authorId="1" shapeId="0">
      <text>
        <r>
          <rPr>
            <sz val="9"/>
            <color indexed="81"/>
            <rFont val="Tahoma"/>
            <family val="2"/>
          </rPr>
          <t>Horseman_China_v2</t>
        </r>
      </text>
    </comment>
    <comment ref="AR27" authorId="1" shapeId="0">
      <text>
        <r>
          <rPr>
            <sz val="9"/>
            <color indexed="81"/>
            <rFont val="Tahoma"/>
            <family val="2"/>
          </rPr>
          <t>Horseman_Japan</t>
        </r>
      </text>
    </comment>
    <comment ref="AS27" authorId="1" shapeId="0">
      <text>
        <r>
          <rPr>
            <sz val="9"/>
            <color indexed="81"/>
            <rFont val="Tahoma"/>
            <family val="2"/>
          </rPr>
          <t>Horseman_Korea</t>
        </r>
      </text>
    </comment>
    <comment ref="AT27" authorId="1" shapeId="0">
      <text>
        <r>
          <rPr>
            <sz val="9"/>
            <color indexed="81"/>
            <rFont val="Tahoma"/>
            <family val="2"/>
          </rPr>
          <t>Horseman_Mongol</t>
        </r>
      </text>
    </comment>
    <comment ref="AX27" authorId="1" shapeId="0">
      <text>
        <r>
          <rPr>
            <sz val="9"/>
            <color indexed="81"/>
            <rFont val="Tahoma"/>
            <family val="2"/>
          </rPr>
          <t>civ5_irohm5</t>
        </r>
      </text>
    </comment>
    <comment ref="AY27" authorId="1" shapeId="0">
      <text>
        <r>
          <rPr>
            <sz val="9"/>
            <color indexed="81"/>
            <rFont val="Tahoma"/>
            <family val="2"/>
          </rPr>
          <t>civ5_irohm1</t>
        </r>
      </text>
    </comment>
    <comment ref="BA27" authorId="1" shapeId="0">
      <text>
        <r>
          <rPr>
            <sz val="9"/>
            <color indexed="81"/>
            <rFont val="Tahoma"/>
            <family val="2"/>
          </rPr>
          <t>Horseman_Maya</t>
        </r>
      </text>
    </comment>
    <comment ref="BB27" authorId="1" shapeId="0">
      <text>
        <r>
          <rPr>
            <sz val="9"/>
            <color indexed="81"/>
            <rFont val="Tahoma"/>
            <family val="2"/>
          </rPr>
          <t>Horseman_Aztec</t>
        </r>
      </text>
    </comment>
    <comment ref="BC27" authorId="1" shapeId="0">
      <text>
        <r>
          <rPr>
            <sz val="9"/>
            <color indexed="81"/>
            <rFont val="Tahoma"/>
            <family val="2"/>
          </rPr>
          <t>Horseman_Inca</t>
        </r>
      </text>
    </comment>
    <comment ref="B28" authorId="1" shapeId="0">
      <text>
        <r>
          <rPr>
            <sz val="9"/>
            <color indexed="81"/>
            <rFont val="Tahoma"/>
            <family val="2"/>
          </rPr>
          <t>Majestic_BB</t>
        </r>
      </text>
    </comment>
    <comment ref="C28" authorId="1" shapeId="0">
      <text>
        <r>
          <rPr>
            <sz val="9"/>
            <color indexed="81"/>
            <rFont val="Tahoma"/>
            <family val="2"/>
          </rPr>
          <t>Connecticut_BB</t>
        </r>
      </text>
    </comment>
    <comment ref="D28" authorId="1" shapeId="0">
      <text>
        <r>
          <rPr>
            <sz val="9"/>
            <color indexed="81"/>
            <rFont val="Tahoma"/>
            <family val="2"/>
          </rPr>
          <t>erzherzog_karl_bb</t>
        </r>
      </text>
    </comment>
    <comment ref="F28" authorId="2" shapeId="0">
      <text>
        <r>
          <rPr>
            <sz val="9"/>
            <color indexed="81"/>
            <rFont val="Tahoma"/>
            <family val="2"/>
          </rPr>
          <t>EU: IroncladCA</t>
        </r>
      </text>
    </comment>
    <comment ref="G28" authorId="1" shapeId="0">
      <text>
        <r>
          <rPr>
            <sz val="9"/>
            <color indexed="81"/>
            <rFont val="Tahoma"/>
            <family val="2"/>
          </rPr>
          <t>Republique_BB</t>
        </r>
      </text>
    </comment>
    <comment ref="H28" authorId="1" shapeId="0">
      <text>
        <r>
          <rPr>
            <sz val="9"/>
            <color indexed="81"/>
            <rFont val="Tahoma"/>
            <family val="2"/>
          </rPr>
          <t>Braunschweig_BB</t>
        </r>
      </text>
    </comment>
    <comment ref="M28" authorId="1" shapeId="0">
      <text>
        <r>
          <rPr>
            <sz val="9"/>
            <color indexed="81"/>
            <rFont val="Tahoma"/>
            <family val="2"/>
          </rPr>
          <t>Potemkin_BB</t>
        </r>
      </text>
    </comment>
    <comment ref="P28" authorId="1" shapeId="0">
      <text>
        <r>
          <rPr>
            <sz val="9"/>
            <color indexed="81"/>
            <rFont val="Tahoma"/>
            <family val="2"/>
          </rPr>
          <t>Pelayo_bb</t>
        </r>
      </text>
    </comment>
    <comment ref="U28" authorId="1" shapeId="0">
      <text>
        <r>
          <rPr>
            <sz val="9"/>
            <color indexed="81"/>
            <rFont val="Tahoma"/>
            <family val="2"/>
          </rPr>
          <t>re_umberto_bb</t>
        </r>
      </text>
    </comment>
    <comment ref="AP28" authorId="1" shapeId="0">
      <text>
        <r>
          <rPr>
            <sz val="9"/>
            <color indexed="81"/>
            <rFont val="Tahoma"/>
            <family val="2"/>
          </rPr>
          <t>Mikasa_BB</t>
        </r>
      </text>
    </comment>
    <comment ref="C29" authorId="1" shapeId="0">
      <text>
        <r>
          <rPr>
            <sz val="9"/>
            <color indexed="81"/>
            <rFont val="Tahoma"/>
            <family val="2"/>
          </rPr>
          <t>F15</t>
        </r>
      </text>
    </comment>
    <comment ref="D29" authorId="1" shapeId="0">
      <text>
        <r>
          <rPr>
            <sz val="9"/>
            <color indexed="81"/>
            <rFont val="Tahoma"/>
            <family val="2"/>
          </rPr>
          <t>EurofighterAustria</t>
        </r>
      </text>
    </comment>
    <comment ref="F29" authorId="1" shapeId="0">
      <text>
        <r>
          <rPr>
            <sz val="9"/>
            <color indexed="81"/>
            <rFont val="Tahoma"/>
            <family val="2"/>
          </rPr>
          <t>EurofighterUK</t>
        </r>
      </text>
    </comment>
    <comment ref="G29" authorId="1" shapeId="0">
      <text>
        <r>
          <rPr>
            <sz val="9"/>
            <color indexed="81"/>
            <rFont val="Tahoma"/>
            <family val="2"/>
          </rPr>
          <t>Rafale</t>
        </r>
      </text>
    </comment>
    <comment ref="H29" authorId="1" shapeId="0">
      <text>
        <r>
          <rPr>
            <sz val="9"/>
            <color indexed="81"/>
            <rFont val="Tahoma"/>
            <family val="2"/>
          </rPr>
          <t>EurofighterGermany</t>
        </r>
      </text>
    </comment>
    <comment ref="J29" authorId="1" shapeId="0">
      <text>
        <r>
          <rPr>
            <sz val="9"/>
            <color indexed="81"/>
            <rFont val="Tahoma"/>
            <family val="2"/>
          </rPr>
          <t>draken</t>
        </r>
      </text>
    </comment>
    <comment ref="M29" authorId="1" shapeId="0">
      <text>
        <r>
          <rPr>
            <sz val="9"/>
            <color indexed="81"/>
            <rFont val="Tahoma"/>
            <family val="2"/>
          </rPr>
          <t>MiG29Soviet</t>
        </r>
      </text>
    </comment>
    <comment ref="O29" authorId="1" shapeId="0">
      <text>
        <r>
          <rPr>
            <sz val="9"/>
            <color indexed="81"/>
            <rFont val="Tahoma"/>
            <family val="2"/>
          </rPr>
          <t>MiG29Russia</t>
        </r>
      </text>
    </comment>
    <comment ref="S29" authorId="1" shapeId="0">
      <text>
        <r>
          <rPr>
            <sz val="9"/>
            <color indexed="81"/>
            <rFont val="Tahoma"/>
            <family val="2"/>
          </rPr>
          <t>F4Greece</t>
        </r>
      </text>
    </comment>
    <comment ref="T29" authorId="1" shapeId="0">
      <text>
        <r>
          <rPr>
            <sz val="9"/>
            <color indexed="81"/>
            <rFont val="Tahoma"/>
            <family val="2"/>
          </rPr>
          <t>A-7Portugal</t>
        </r>
      </text>
    </comment>
    <comment ref="U29" authorId="1" shapeId="0">
      <text>
        <r>
          <rPr>
            <sz val="9"/>
            <color indexed="81"/>
            <rFont val="Tahoma"/>
            <family val="2"/>
          </rPr>
          <t>EurofighterItaly</t>
        </r>
      </text>
    </comment>
    <comment ref="V29" authorId="1" shapeId="0">
      <text>
        <r>
          <rPr>
            <sz val="9"/>
            <color indexed="81"/>
            <rFont val="Tahoma"/>
            <family val="2"/>
          </rPr>
          <t>EurofighterSpain</t>
        </r>
      </text>
    </comment>
    <comment ref="AA29" authorId="1" shapeId="0">
      <text>
        <r>
          <rPr>
            <sz val="9"/>
            <color indexed="81"/>
            <rFont val="Tahoma"/>
            <family val="2"/>
          </rPr>
          <t>MiG29Iraq</t>
        </r>
      </text>
    </comment>
    <comment ref="AB29" authorId="1" shapeId="0">
      <text>
        <r>
          <rPr>
            <sz val="9"/>
            <color indexed="81"/>
            <rFont val="Tahoma"/>
            <family val="2"/>
          </rPr>
          <t>F4Egypt</t>
        </r>
      </text>
    </comment>
    <comment ref="AC29" authorId="1" shapeId="0">
      <text>
        <r>
          <rPr>
            <sz val="9"/>
            <color indexed="81"/>
            <rFont val="Tahoma"/>
            <family val="2"/>
          </rPr>
          <t>MiG29Iran</t>
        </r>
      </text>
    </comment>
    <comment ref="AM29" authorId="1" shapeId="0">
      <text>
        <r>
          <rPr>
            <sz val="9"/>
            <color indexed="81"/>
            <rFont val="Tahoma"/>
            <family val="2"/>
          </rPr>
          <t>F4Turkey</t>
        </r>
      </text>
    </comment>
    <comment ref="AN29" authorId="1" shapeId="0">
      <text>
        <r>
          <rPr>
            <sz val="9"/>
            <color indexed="81"/>
            <rFont val="Tahoma"/>
            <family val="2"/>
          </rPr>
          <t>MiG29India</t>
        </r>
      </text>
    </comment>
    <comment ref="AR29" authorId="1" shapeId="0">
      <text>
        <r>
          <rPr>
            <sz val="9"/>
            <color indexed="81"/>
            <rFont val="Tahoma"/>
            <family val="2"/>
          </rPr>
          <t>F4Japan</t>
        </r>
      </text>
    </comment>
    <comment ref="AS29" authorId="1" shapeId="0">
      <text>
        <r>
          <rPr>
            <sz val="9"/>
            <color indexed="81"/>
            <rFont val="Tahoma"/>
            <family val="2"/>
          </rPr>
          <t>F4DKorea</t>
        </r>
      </text>
    </comment>
    <comment ref="AW29" authorId="1" shapeId="0">
      <text>
        <r>
          <rPr>
            <sz val="9"/>
            <color indexed="81"/>
            <rFont val="Tahoma"/>
            <family val="2"/>
          </rPr>
          <t>A-7</t>
        </r>
      </text>
    </comment>
    <comment ref="BA29" authorId="1" shapeId="0">
      <text>
        <r>
          <rPr>
            <sz val="9"/>
            <color indexed="81"/>
            <rFont val="Tahoma"/>
            <family val="2"/>
          </rPr>
          <t>MiG29Peru</t>
        </r>
      </text>
    </comment>
    <comment ref="BC29" authorId="1" shapeId="0">
      <text>
        <r>
          <rPr>
            <sz val="9"/>
            <color indexed="81"/>
            <rFont val="Tahoma"/>
            <family val="2"/>
          </rPr>
          <t>MiG29Peru</t>
        </r>
      </text>
    </comment>
    <comment ref="D30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Knight_Teutonic</t>
        </r>
      </text>
    </comment>
    <comment ref="F30" authorId="1" shapeId="0">
      <text>
        <r>
          <rPr>
            <sz val="9"/>
            <color indexed="81"/>
            <rFont val="Tahoma"/>
            <family val="2"/>
          </rPr>
          <t>Knight_England</t>
        </r>
      </text>
    </comment>
    <comment ref="G30" authorId="1" shapeId="0">
      <text>
        <r>
          <rPr>
            <sz val="9"/>
            <color indexed="81"/>
            <rFont val="Tahoma"/>
            <family val="2"/>
          </rPr>
          <t>french_knight</t>
        </r>
      </text>
    </comment>
    <comment ref="H30" authorId="1" shapeId="0">
      <text>
        <r>
          <rPr>
            <sz val="9"/>
            <color indexed="81"/>
            <rFont val="Tahoma"/>
            <family val="2"/>
          </rPr>
          <t>Knight_German</t>
        </r>
      </text>
    </comment>
    <comment ref="J30" authorId="1" shapeId="0">
      <text>
        <r>
          <rPr>
            <sz val="9"/>
            <color indexed="81"/>
            <rFont val="Tahoma"/>
            <family val="2"/>
          </rPr>
          <t>Knight_Viking</t>
        </r>
      </text>
    </comment>
    <comment ref="M30" authorId="1" shapeId="0">
      <text>
        <r>
          <rPr>
            <sz val="9"/>
            <color indexed="81"/>
            <rFont val="Tahoma"/>
            <family val="2"/>
          </rPr>
          <t>russian_knight</t>
        </r>
      </text>
    </comment>
    <comment ref="O30" authorId="1" shapeId="0">
      <text>
        <r>
          <rPr>
            <sz val="9"/>
            <color indexed="81"/>
            <rFont val="Tahoma"/>
            <family val="2"/>
          </rPr>
          <t>Knight_Russia</t>
        </r>
      </text>
    </comment>
    <comment ref="S30" authorId="1" shapeId="0">
      <text>
        <r>
          <rPr>
            <sz val="9"/>
            <color indexed="81"/>
            <rFont val="Tahoma"/>
            <family val="2"/>
          </rPr>
          <t>Knight_Greece</t>
        </r>
      </text>
    </comment>
    <comment ref="U30" authorId="1" shapeId="0">
      <text>
        <r>
          <rPr>
            <sz val="9"/>
            <color indexed="81"/>
            <rFont val="Tahoma"/>
            <family val="2"/>
          </rPr>
          <t>italian_knight</t>
        </r>
      </text>
    </comment>
    <comment ref="V30" authorId="1" shapeId="0">
      <text>
        <r>
          <rPr>
            <sz val="9"/>
            <color indexed="81"/>
            <rFont val="Tahoma"/>
            <family val="2"/>
          </rPr>
          <t>Knight_Spain</t>
        </r>
      </text>
    </comment>
    <comment ref="X30" authorId="1" shapeId="0">
      <text>
        <r>
          <rPr>
            <sz val="9"/>
            <color indexed="81"/>
            <rFont val="Tahoma"/>
            <family val="2"/>
          </rPr>
          <t>Knight_Arabia</t>
        </r>
      </text>
    </comment>
    <comment ref="Y30" authorId="2" shapeId="0">
      <text>
        <r>
          <rPr>
            <sz val="9"/>
            <color indexed="81"/>
            <rFont val="Tahoma"/>
            <family val="2"/>
          </rPr>
          <t>unique Camel Archer</t>
        </r>
      </text>
    </comment>
    <comment ref="AA30" authorId="1" shapeId="0">
      <text>
        <r>
          <rPr>
            <sz val="9"/>
            <color indexed="81"/>
            <rFont val="Tahoma"/>
            <family val="2"/>
          </rPr>
          <t>Knight_Babylon</t>
        </r>
      </text>
    </comment>
    <comment ref="AB30" authorId="1" shapeId="0">
      <text>
        <r>
          <rPr>
            <sz val="9"/>
            <color indexed="81"/>
            <rFont val="Tahoma"/>
            <family val="2"/>
          </rPr>
          <t>Knight_Egypt</t>
        </r>
      </text>
    </comment>
    <comment ref="AC30" authorId="1" shapeId="0">
      <text>
        <r>
          <rPr>
            <sz val="9"/>
            <color indexed="81"/>
            <rFont val="Tahoma"/>
            <family val="2"/>
          </rPr>
          <t>Knight_Persia</t>
        </r>
      </text>
    </comment>
    <comment ref="AG30" authorId="1" shapeId="0">
      <text>
        <r>
          <rPr>
            <sz val="9"/>
            <color indexed="81"/>
            <rFont val="Tahoma"/>
            <family val="2"/>
          </rPr>
          <t>EthiopiaKnight</t>
        </r>
      </text>
    </comment>
    <comment ref="AI30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Mandekalu Cavalry</t>
        </r>
      </text>
    </comment>
    <comment ref="AK30" authorId="1" shapeId="0">
      <text>
        <r>
          <rPr>
            <sz val="9"/>
            <color indexed="81"/>
            <rFont val="Tahoma"/>
            <family val="2"/>
          </rPr>
          <t>u_cuman_mamluk</t>
        </r>
      </text>
    </comment>
    <comment ref="AM30" authorId="1" shapeId="0">
      <text>
        <r>
          <rPr>
            <sz val="9"/>
            <color indexed="81"/>
            <rFont val="Tahoma"/>
            <family val="2"/>
          </rPr>
          <t>Knight_Turkey</t>
        </r>
      </text>
    </comment>
    <comment ref="AN30" authorId="1" shapeId="0">
      <text>
        <r>
          <rPr>
            <sz val="9"/>
            <color indexed="81"/>
            <rFont val="Tahoma"/>
            <family val="2"/>
          </rPr>
          <t>Knight_India</t>
        </r>
      </text>
    </comment>
    <comment ref="AP30" authorId="1" shapeId="0">
      <text>
        <r>
          <rPr>
            <sz val="9"/>
            <color indexed="81"/>
            <rFont val="Tahoma"/>
            <family val="2"/>
          </rPr>
          <t>Knight_Mongol</t>
        </r>
      </text>
    </comment>
    <comment ref="AQ30" authorId="1" shapeId="0">
      <text>
        <r>
          <rPr>
            <sz val="9"/>
            <color indexed="81"/>
            <rFont val="Tahoma"/>
            <family val="2"/>
          </rPr>
          <t>Knight_China</t>
        </r>
      </text>
    </comment>
    <comment ref="AR30" authorId="1" shapeId="0">
      <text>
        <r>
          <rPr>
            <sz val="9"/>
            <color indexed="81"/>
            <rFont val="Tahoma"/>
            <family val="2"/>
          </rPr>
          <t>Knight_Japan</t>
        </r>
      </text>
    </comment>
    <comment ref="AS30" authorId="1" shapeId="0">
      <text>
        <r>
          <rPr>
            <sz val="9"/>
            <color indexed="81"/>
            <rFont val="Tahoma"/>
            <family val="2"/>
          </rPr>
          <t>Knight_Korea</t>
        </r>
      </text>
    </comment>
    <comment ref="AT30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Horse Archer</t>
        </r>
      </text>
    </comment>
    <comment ref="AU30" authorId="1" shapeId="0">
      <text>
        <r>
          <rPr>
            <sz val="9"/>
            <color indexed="81"/>
            <rFont val="Tahoma"/>
            <family val="2"/>
          </rPr>
          <t>Armored_Cavalry</t>
        </r>
      </text>
    </comment>
    <comment ref="AW30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Naresuan's Elephant</t>
        </r>
      </text>
    </comment>
    <comment ref="AX30" authorId="1" shapeId="0">
      <text>
        <r>
          <rPr>
            <sz val="9"/>
            <color indexed="81"/>
            <rFont val="Tahoma"/>
            <family val="2"/>
          </rPr>
          <t>Sioux_Knight</t>
        </r>
      </text>
    </comment>
    <comment ref="AY30" authorId="1" shapeId="0">
      <text>
        <r>
          <rPr>
            <sz val="9"/>
            <color indexed="81"/>
            <rFont val="Tahoma"/>
            <family val="2"/>
          </rPr>
          <t>civ5_irokn1</t>
        </r>
      </text>
    </comment>
    <comment ref="BA30" authorId="1" shapeId="0">
      <text>
        <r>
          <rPr>
            <sz val="9"/>
            <color indexed="81"/>
            <rFont val="Tahoma"/>
            <family val="2"/>
          </rPr>
          <t>Knight_Maya</t>
        </r>
      </text>
    </comment>
    <comment ref="BB30" authorId="1" shapeId="0">
      <text>
        <r>
          <rPr>
            <sz val="9"/>
            <color indexed="81"/>
            <rFont val="Tahoma"/>
            <family val="2"/>
          </rPr>
          <t>Knight_Aztec</t>
        </r>
      </text>
    </comment>
    <comment ref="BC30" authorId="1" shapeId="0">
      <text>
        <r>
          <rPr>
            <sz val="9"/>
            <color indexed="81"/>
            <rFont val="Tahoma"/>
            <family val="2"/>
          </rPr>
          <t>Knight_Inca</t>
        </r>
      </text>
    </comment>
    <comment ref="G31" authorId="1" shapeId="0">
      <text>
        <r>
          <rPr>
            <sz val="9"/>
            <color indexed="81"/>
            <rFont val="Tahoma"/>
            <family val="2"/>
          </rPr>
          <t>frelr1</t>
        </r>
      </text>
    </comment>
    <comment ref="H31" authorId="1" shapeId="0">
      <text>
        <r>
          <rPr>
            <sz val="9"/>
            <color indexed="81"/>
            <rFont val="Tahoma"/>
            <family val="2"/>
          </rPr>
          <t>gerlr1</t>
        </r>
      </text>
    </comment>
    <comment ref="I31" authorId="1" shapeId="0">
      <text>
        <r>
          <rPr>
            <sz val="9"/>
            <color indexed="81"/>
            <rFont val="Tahoma"/>
            <family val="2"/>
          </rPr>
          <t>dutlr1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Hakkapeliitta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Winged Hussar</t>
        </r>
      </text>
    </comment>
    <comment ref="X31" authorId="1" shapeId="0">
      <text>
        <r>
          <rPr>
            <sz val="9"/>
            <color indexed="81"/>
            <rFont val="Tahoma"/>
            <family val="2"/>
          </rPr>
          <t>Qizilbash</t>
        </r>
      </text>
    </comment>
    <comment ref="AM3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Sipahi</t>
        </r>
      </text>
    </comment>
    <comment ref="AR31" authorId="1" shapeId="0">
      <text>
        <r>
          <rPr>
            <sz val="9"/>
            <color indexed="81"/>
            <rFont val="Tahoma"/>
            <family val="2"/>
          </rPr>
          <t>Akazonae_Japan</t>
        </r>
      </text>
    </comment>
    <comment ref="C32" authorId="1" shapeId="0">
      <text>
        <r>
          <rPr>
            <sz val="9"/>
            <color indexed="81"/>
            <rFont val="Tahoma"/>
            <family val="2"/>
          </rPr>
          <t>usa_longsw7</t>
        </r>
      </text>
    </comment>
    <comment ref="D32" authorId="1" shapeId="0">
      <text>
        <r>
          <rPr>
            <sz val="9"/>
            <color indexed="81"/>
            <rFont val="Tahoma"/>
            <family val="2"/>
          </rPr>
          <t>austria_longsw2</t>
        </r>
      </text>
    </comment>
    <comment ref="E32" authorId="1" shapeId="0">
      <text>
        <r>
          <rPr>
            <sz val="9"/>
            <color indexed="81"/>
            <rFont val="Tahoma"/>
            <family val="2"/>
          </rPr>
          <t>ireland_longsw6</t>
        </r>
      </text>
    </comment>
    <comment ref="F32" authorId="1" shapeId="0">
      <text>
        <r>
          <rPr>
            <sz val="9"/>
            <color indexed="81"/>
            <rFont val="Tahoma"/>
            <family val="2"/>
          </rPr>
          <t>Longswordsman_England</t>
        </r>
      </text>
    </comment>
    <comment ref="G32" authorId="1" shapeId="0">
      <text>
        <r>
          <rPr>
            <sz val="9"/>
            <color indexed="81"/>
            <rFont val="Tahoma"/>
            <family val="2"/>
          </rPr>
          <t>frals_templar</t>
        </r>
      </text>
    </comment>
    <comment ref="H32" authorId="1" shapeId="0">
      <text>
        <r>
          <rPr>
            <sz val="9"/>
            <color indexed="81"/>
            <rFont val="Tahoma"/>
            <family val="2"/>
          </rPr>
          <t>Longswordsman_German</t>
        </r>
      </text>
    </comment>
    <comment ref="J32" authorId="1" shapeId="0">
      <text>
        <r>
          <rPr>
            <sz val="9"/>
            <color indexed="81"/>
            <rFont val="Tahoma"/>
            <family val="2"/>
          </rPr>
          <t>Longswordsman_Viking</t>
        </r>
      </text>
    </comment>
    <comment ref="K32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Berserker</t>
        </r>
      </text>
    </comment>
    <comment ref="N32" authorId="1" shapeId="0">
      <text>
        <r>
          <rPr>
            <sz val="9"/>
            <color indexed="81"/>
            <rFont val="Tahoma"/>
            <family val="2"/>
          </rPr>
          <t>poland_longsw1</t>
        </r>
      </text>
    </comment>
    <comment ref="O32" authorId="1" shapeId="0">
      <text>
        <r>
          <rPr>
            <sz val="9"/>
            <color indexed="81"/>
            <rFont val="Tahoma"/>
            <family val="2"/>
          </rPr>
          <t>Longswordsman_Russia</t>
        </r>
      </text>
    </comment>
    <comment ref="P32" authorId="1" shapeId="0">
      <text>
        <r>
          <rPr>
            <sz val="9"/>
            <color indexed="81"/>
            <rFont val="Tahoma"/>
            <family val="2"/>
          </rPr>
          <t>spain_longsw6</t>
        </r>
      </text>
    </comment>
    <comment ref="R32" authorId="1" shapeId="0">
      <text>
        <r>
          <rPr>
            <sz val="9"/>
            <color indexed="81"/>
            <rFont val="Tahoma"/>
            <family val="2"/>
          </rPr>
          <t>byzantium_longsw1</t>
        </r>
      </text>
    </comment>
    <comment ref="S32" authorId="1" shapeId="0">
      <text>
        <r>
          <rPr>
            <sz val="9"/>
            <color indexed="81"/>
            <rFont val="Tahoma"/>
            <family val="2"/>
          </rPr>
          <t>Longswordsman_Greece</t>
        </r>
      </text>
    </comment>
    <comment ref="T32" authorId="1" shapeId="0">
      <text>
        <r>
          <rPr>
            <sz val="9"/>
            <color indexed="81"/>
            <rFont val="Tahoma"/>
            <family val="2"/>
          </rPr>
          <t>portugal_longsw8</t>
        </r>
      </text>
    </comment>
    <comment ref="U32" authorId="1" shapeId="0">
      <text>
        <r>
          <rPr>
            <sz val="9"/>
            <color indexed="81"/>
            <rFont val="Tahoma"/>
            <family val="2"/>
          </rPr>
          <t>Longswordsman_Rome</t>
        </r>
      </text>
    </comment>
    <comment ref="V32" authorId="1" shapeId="0">
      <text>
        <r>
          <rPr>
            <sz val="9"/>
            <color indexed="81"/>
            <rFont val="Tahoma"/>
            <family val="2"/>
          </rPr>
          <t>spain_longsw2</t>
        </r>
      </text>
    </comment>
    <comment ref="X32" authorId="1" shapeId="0">
      <text>
        <r>
          <rPr>
            <sz val="9"/>
            <color indexed="81"/>
            <rFont val="Tahoma"/>
            <family val="2"/>
          </rPr>
          <t>Longswordsman_Arabia</t>
        </r>
      </text>
    </comment>
    <comment ref="AA32" authorId="1" shapeId="0">
      <text>
        <r>
          <rPr>
            <sz val="9"/>
            <color indexed="81"/>
            <rFont val="Tahoma"/>
            <family val="2"/>
          </rPr>
          <t>Longswordsman_Babylon</t>
        </r>
      </text>
    </comment>
    <comment ref="AB32" authorId="1" shapeId="0">
      <text>
        <r>
          <rPr>
            <sz val="9"/>
            <color indexed="81"/>
            <rFont val="Tahoma"/>
            <family val="2"/>
          </rPr>
          <t>Longswordsman_Egypt</t>
        </r>
      </text>
    </comment>
    <comment ref="AC32" authorId="1" shapeId="0">
      <text>
        <r>
          <rPr>
            <sz val="9"/>
            <color indexed="81"/>
            <rFont val="Tahoma"/>
            <family val="2"/>
          </rPr>
          <t>Longswordsman_Persia</t>
        </r>
      </text>
    </comment>
    <comment ref="AD32" authorId="1" shapeId="0">
      <text>
        <r>
          <rPr>
            <sz val="9"/>
            <color indexed="81"/>
            <rFont val="Tahoma"/>
            <family val="2"/>
          </rPr>
          <t>SudanSwordsman</t>
        </r>
      </text>
    </comment>
    <comment ref="AF32" authorId="1" shapeId="0">
      <text>
        <r>
          <rPr>
            <sz val="9"/>
            <color indexed="81"/>
            <rFont val="Tahoma"/>
            <family val="2"/>
          </rPr>
          <t>Berber_H_Inf</t>
        </r>
      </text>
    </comment>
    <comment ref="AG32" authorId="1" shapeId="0">
      <text>
        <r>
          <rPr>
            <sz val="9"/>
            <color indexed="81"/>
            <rFont val="Tahoma"/>
            <family val="2"/>
          </rPr>
          <t>SonghaiMedSwordsman</t>
        </r>
      </text>
    </comment>
    <comment ref="AH32" authorId="1" shapeId="0">
      <text>
        <r>
          <rPr>
            <sz val="9"/>
            <color indexed="81"/>
            <rFont val="Tahoma"/>
            <family val="2"/>
          </rPr>
          <t>EthiopiaMedSwordsman</t>
        </r>
      </text>
    </comment>
    <comment ref="AI32" authorId="1" shapeId="0">
      <text>
        <r>
          <rPr>
            <sz val="9"/>
            <color indexed="81"/>
            <rFont val="Tahoma"/>
            <family val="2"/>
          </rPr>
          <t>SonghaiLongsword</t>
        </r>
      </text>
    </comment>
    <comment ref="AK32" authorId="1" shapeId="0">
      <text>
        <r>
          <rPr>
            <sz val="9"/>
            <color indexed="81"/>
            <rFont val="Tahoma"/>
            <family val="2"/>
          </rPr>
          <t>Longswordsman_Turkey</t>
        </r>
      </text>
    </comment>
    <comment ref="AL32" authorId="1" shapeId="0">
      <text>
        <r>
          <rPr>
            <sz val="9"/>
            <color indexed="81"/>
            <rFont val="Tahoma"/>
            <family val="2"/>
          </rPr>
          <t>hungary_longsw3</t>
        </r>
      </text>
    </comment>
    <comment ref="AM32" authorId="1" shapeId="0">
      <text>
        <r>
          <rPr>
            <sz val="9"/>
            <color indexed="81"/>
            <rFont val="Tahoma"/>
            <family val="2"/>
          </rPr>
          <t>Longswordsman_Turkey</t>
        </r>
      </text>
    </comment>
    <comment ref="AN32" authorId="1" shapeId="0">
      <text>
        <r>
          <rPr>
            <sz val="9"/>
            <color indexed="81"/>
            <rFont val="Tahoma"/>
            <family val="2"/>
          </rPr>
          <t>Longswordsman_India</t>
        </r>
      </text>
    </comment>
    <comment ref="AP32" authorId="1" shapeId="0">
      <text>
        <r>
          <rPr>
            <sz val="9"/>
            <color indexed="81"/>
            <rFont val="Tahoma"/>
            <family val="2"/>
          </rPr>
          <t>Longswordsman_China</t>
        </r>
      </text>
    </comment>
    <comment ref="AQ32" authorId="1" shapeId="0">
      <text>
        <r>
          <rPr>
            <sz val="9"/>
            <color indexed="81"/>
            <rFont val="Tahoma"/>
            <family val="2"/>
          </rPr>
          <t>Longswordsman_China</t>
        </r>
      </text>
    </comment>
    <comment ref="AR32" authorId="1" shapeId="0">
      <text>
        <r>
          <rPr>
            <sz val="9"/>
            <color indexed="81"/>
            <rFont val="Tahoma"/>
            <family val="2"/>
          </rPr>
          <t>NoDachiSamurai_Japan</t>
        </r>
      </text>
    </comment>
    <comment ref="AS32" authorId="1" shapeId="0">
      <text>
        <r>
          <rPr>
            <sz val="9"/>
            <color indexed="81"/>
            <rFont val="Tahoma"/>
            <family val="2"/>
          </rPr>
          <t>Longswordsman_Korea</t>
        </r>
      </text>
    </comment>
    <comment ref="AT32" authorId="1" shapeId="0">
      <text>
        <r>
          <rPr>
            <sz val="9"/>
            <color indexed="81"/>
            <rFont val="Tahoma"/>
            <family val="2"/>
          </rPr>
          <t>Longswordsman_Mongol</t>
        </r>
      </text>
    </comment>
    <comment ref="AX32" authorId="1" shapeId="0">
      <text>
        <r>
          <rPr>
            <sz val="9"/>
            <color indexed="81"/>
            <rFont val="Tahoma"/>
            <family val="2"/>
          </rPr>
          <t>civ5_irols4</t>
        </r>
      </text>
    </comment>
    <comment ref="AY32" authorId="1" shapeId="0">
      <text>
        <r>
          <rPr>
            <sz val="9"/>
            <color indexed="81"/>
            <rFont val="Tahoma"/>
            <family val="2"/>
          </rPr>
          <t>civ5_irols1</t>
        </r>
      </text>
    </comment>
    <comment ref="BA32" authorId="1" shapeId="0">
      <text>
        <r>
          <rPr>
            <sz val="9"/>
            <color indexed="81"/>
            <rFont val="Tahoma"/>
            <family val="2"/>
          </rPr>
          <t>Longswordsman_Maya</t>
        </r>
      </text>
    </comment>
    <comment ref="BB32" authorId="1" shapeId="0">
      <text>
        <r>
          <rPr>
            <sz val="9"/>
            <color indexed="81"/>
            <rFont val="Tahoma"/>
            <family val="2"/>
          </rPr>
          <t>Longswordsman_Aztec</t>
        </r>
      </text>
    </comment>
    <comment ref="BC32" authorId="1" shapeId="0">
      <text>
        <r>
          <rPr>
            <sz val="9"/>
            <color indexed="81"/>
            <rFont val="Tahoma"/>
            <family val="2"/>
          </rPr>
          <t>Longswordsman_Inca</t>
        </r>
      </text>
    </comment>
    <comment ref="F34" authorId="1" shapeId="0">
      <text>
        <r>
          <rPr>
            <sz val="9"/>
            <color indexed="81"/>
            <rFont val="Tahoma"/>
            <family val="2"/>
          </rPr>
          <t>RM_Commando</t>
        </r>
      </text>
    </comment>
    <comment ref="H34" authorId="0" shapeId="0">
      <text>
        <r>
          <rPr>
            <b/>
            <sz val="9"/>
            <color indexed="81"/>
            <rFont val="Tahoma"/>
            <family val="2"/>
          </rPr>
          <t>germa_mp44</t>
        </r>
        <r>
          <rPr>
            <sz val="9"/>
            <color indexed="81"/>
            <rFont val="Tahoma"/>
            <family val="2"/>
          </rPr>
          <t xml:space="preserve"> (animation issue--units lie flat on their backs)</t>
        </r>
      </text>
    </comment>
    <comment ref="J34" authorId="1" shapeId="0">
      <text>
        <r>
          <rPr>
            <sz val="9"/>
            <color indexed="81"/>
            <rFont val="Tahoma"/>
            <family val="2"/>
          </rPr>
          <t>EuropeanSF</t>
        </r>
      </text>
    </comment>
    <comment ref="M34" authorId="1" shapeId="0">
      <text>
        <r>
          <rPr>
            <sz val="9"/>
            <color indexed="81"/>
            <rFont val="Tahoma"/>
            <family val="2"/>
          </rPr>
          <t>RussianSF</t>
        </r>
      </text>
    </comment>
    <comment ref="X34" authorId="1" shapeId="0">
      <text>
        <r>
          <rPr>
            <sz val="9"/>
            <color indexed="81"/>
            <rFont val="Tahoma"/>
            <family val="2"/>
          </rPr>
          <t>Terrorist</t>
        </r>
      </text>
    </comment>
    <comment ref="AG34" authorId="1" shapeId="0">
      <text>
        <r>
          <rPr>
            <sz val="9"/>
            <color indexed="81"/>
            <rFont val="Tahoma"/>
            <family val="2"/>
          </rPr>
          <t>Civ5_AfricanSF_v2</t>
        </r>
      </text>
    </comment>
    <comment ref="AP34" authorId="1" shapeId="0">
      <text>
        <r>
          <rPr>
            <sz val="9"/>
            <color indexed="81"/>
            <rFont val="Tahoma"/>
            <family val="2"/>
          </rPr>
          <t>AsianSF</t>
        </r>
      </text>
    </comment>
    <comment ref="AU34" authorId="1" shapeId="0">
      <text>
        <r>
          <rPr>
            <sz val="9"/>
            <color indexed="81"/>
            <rFont val="Tahoma"/>
            <family val="2"/>
          </rPr>
          <t>vietcong</t>
        </r>
      </text>
    </comment>
    <comment ref="BA34" authorId="1" shapeId="0">
      <text>
        <r>
          <rPr>
            <sz val="9"/>
            <color indexed="81"/>
            <rFont val="Tahoma"/>
            <family val="2"/>
          </rPr>
          <t>SthAmericanSF</t>
        </r>
      </text>
    </comment>
    <comment ref="B36" authorId="1" shapeId="0">
      <text>
        <r>
          <rPr>
            <sz val="9"/>
            <color indexed="81"/>
            <rFont val="Tahoma"/>
            <family val="2"/>
          </rPr>
          <t>Civ5_Bradley</t>
        </r>
      </text>
    </comment>
    <comment ref="C36" authorId="1" shapeId="0">
      <text>
        <r>
          <rPr>
            <sz val="9"/>
            <color indexed="81"/>
            <rFont val="Tahoma"/>
            <family val="2"/>
          </rPr>
          <t>Civ5_Bradley_Camo</t>
        </r>
      </text>
    </comment>
    <comment ref="F36" authorId="1" shapeId="0">
      <text>
        <r>
          <rPr>
            <sz val="9"/>
            <color indexed="81"/>
            <rFont val="Tahoma"/>
            <family val="2"/>
          </rPr>
          <t>FV510Warrior</t>
        </r>
      </text>
    </comment>
    <comment ref="H36" authorId="1" shapeId="0">
      <text>
        <r>
          <rPr>
            <sz val="9"/>
            <color indexed="81"/>
            <rFont val="Tahoma"/>
            <family val="2"/>
          </rPr>
          <t>Marder</t>
        </r>
      </text>
    </comment>
    <comment ref="M36" authorId="1" shapeId="0">
      <text>
        <r>
          <rPr>
            <sz val="9"/>
            <color indexed="81"/>
            <rFont val="Tahoma"/>
            <family val="2"/>
          </rPr>
          <t>BMP2GreenTeam</t>
        </r>
      </text>
    </comment>
    <comment ref="O36" authorId="1" shapeId="0">
      <text>
        <r>
          <rPr>
            <sz val="9"/>
            <color indexed="81"/>
            <rFont val="Tahoma"/>
            <family val="2"/>
          </rPr>
          <t>BMP2Russia</t>
        </r>
      </text>
    </comment>
    <comment ref="U36" authorId="1" shapeId="0">
      <text>
        <r>
          <rPr>
            <sz val="9"/>
            <color indexed="81"/>
            <rFont val="Tahoma"/>
            <family val="2"/>
          </rPr>
          <t>dardo</t>
        </r>
      </text>
    </comment>
    <comment ref="X36" authorId="1" shapeId="0">
      <text>
        <r>
          <rPr>
            <sz val="9"/>
            <color indexed="81"/>
            <rFont val="Tahoma"/>
            <family val="2"/>
          </rPr>
          <t>BMP2DesertTeam</t>
        </r>
      </text>
    </comment>
    <comment ref="Y36" authorId="1" shapeId="0">
      <text>
        <r>
          <rPr>
            <sz val="9"/>
            <color indexed="81"/>
            <rFont val="Tahoma"/>
            <family val="2"/>
          </rPr>
          <t>Civ5_Bradley_Desert</t>
        </r>
      </text>
    </comment>
    <comment ref="AA36" authorId="1" shapeId="0">
      <text>
        <r>
          <rPr>
            <sz val="9"/>
            <color indexed="81"/>
            <rFont val="Tahoma"/>
            <family val="2"/>
          </rPr>
          <t>BMP2Iraq</t>
        </r>
      </text>
    </comment>
    <comment ref="AC36" authorId="1" shapeId="0">
      <text>
        <r>
          <rPr>
            <sz val="9"/>
            <color indexed="81"/>
            <rFont val="Tahoma"/>
            <family val="2"/>
          </rPr>
          <t>BMP2Iran</t>
        </r>
      </text>
    </comment>
    <comment ref="AD36" authorId="1" shapeId="0">
      <text>
        <r>
          <rPr>
            <sz val="9"/>
            <color indexed="81"/>
            <rFont val="Tahoma"/>
            <family val="2"/>
          </rPr>
          <t>BMP2Algeria</t>
        </r>
      </text>
    </comment>
    <comment ref="AE36" authorId="1" shapeId="0">
      <text>
        <r>
          <rPr>
            <sz val="9"/>
            <color indexed="81"/>
            <rFont val="Tahoma"/>
            <family val="2"/>
          </rPr>
          <t>BMP2Algeria</t>
        </r>
      </text>
    </comment>
    <comment ref="AN36" authorId="1" shapeId="0">
      <text>
        <r>
          <rPr>
            <sz val="9"/>
            <color indexed="81"/>
            <rFont val="Tahoma"/>
            <family val="2"/>
          </rPr>
          <t>BMP2India</t>
        </r>
      </text>
    </comment>
    <comment ref="AP36" authorId="2" shapeId="0">
      <text>
        <r>
          <rPr>
            <sz val="9"/>
            <color indexed="81"/>
            <rFont val="Tahoma"/>
            <family val="2"/>
          </rPr>
          <t>BMP2GreenTeam</t>
        </r>
      </text>
    </comment>
    <comment ref="C37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ArleighBurke</t>
        </r>
        <r>
          <rPr>
            <sz val="9"/>
            <color indexed="81"/>
            <rFont val="Tahoma"/>
            <family val="2"/>
          </rPr>
          <t xml:space="preserve"> (destroyer)</t>
        </r>
      </text>
    </comment>
    <comment ref="M37" authorId="1" shapeId="0">
      <text>
        <r>
          <rPr>
            <sz val="9"/>
            <color indexed="81"/>
            <rFont val="Tahoma"/>
            <family val="2"/>
          </rPr>
          <t>kirov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BPK1155</t>
        </r>
        <r>
          <rPr>
            <sz val="9"/>
            <color indexed="81"/>
            <rFont val="Tahoma"/>
            <family val="2"/>
          </rPr>
          <t xml:space="preserve"> (destroyer)</t>
        </r>
      </text>
    </comment>
    <comment ref="G38" authorId="1" shapeId="0">
      <text>
        <r>
          <rPr>
            <sz val="9"/>
            <color indexed="81"/>
            <rFont val="Tahoma"/>
            <family val="2"/>
          </rPr>
          <t>RolandFrance</t>
        </r>
      </text>
    </comment>
    <comment ref="V38" authorId="1" shapeId="0">
      <text>
        <r>
          <rPr>
            <sz val="9"/>
            <color indexed="81"/>
            <rFont val="Tahoma"/>
            <family val="2"/>
          </rPr>
          <t>RolandSpain</t>
        </r>
      </text>
    </comment>
    <comment ref="X38" authorId="1" shapeId="0">
      <text>
        <r>
          <rPr>
            <sz val="9"/>
            <color indexed="81"/>
            <rFont val="Tahoma"/>
            <family val="2"/>
          </rPr>
          <t>RolandTanTeamColor</t>
        </r>
      </text>
    </comment>
    <comment ref="C39" authorId="1" shapeId="0">
      <text>
        <r>
          <rPr>
            <sz val="9"/>
            <color indexed="81"/>
            <rFont val="Tahoma"/>
            <family val="2"/>
          </rPr>
          <t>M1Abrams</t>
        </r>
      </text>
    </comment>
    <comment ref="F39" authorId="1" shapeId="0">
      <text>
        <r>
          <rPr>
            <sz val="9"/>
            <color indexed="81"/>
            <rFont val="Tahoma"/>
            <family val="2"/>
          </rPr>
          <t>ChallengerII</t>
        </r>
      </text>
    </comment>
    <comment ref="G39" authorId="1" shapeId="0">
      <text>
        <r>
          <rPr>
            <sz val="9"/>
            <color indexed="81"/>
            <rFont val="Tahoma"/>
            <family val="2"/>
          </rPr>
          <t>Leclerc</t>
        </r>
      </text>
    </comment>
    <comment ref="H39" authorId="1" shapeId="0">
      <text>
        <r>
          <rPr>
            <sz val="9"/>
            <color indexed="81"/>
            <rFont val="Tahoma"/>
            <family val="2"/>
          </rPr>
          <t>Leopard2</t>
        </r>
      </text>
    </comment>
    <comment ref="I39" authorId="1" shapeId="0">
      <text>
        <r>
          <rPr>
            <sz val="9"/>
            <color indexed="81"/>
            <rFont val="Tahoma"/>
            <family val="2"/>
          </rPr>
          <t>Leopard1_Netherlands</t>
        </r>
      </text>
    </comment>
    <comment ref="M39" authorId="1" shapeId="0">
      <text>
        <r>
          <rPr>
            <sz val="9"/>
            <color indexed="81"/>
            <rFont val="Tahoma"/>
            <family val="2"/>
          </rPr>
          <t>T72_USSR</t>
        </r>
      </text>
    </comment>
    <comment ref="O39" authorId="1" shapeId="0">
      <text>
        <r>
          <rPr>
            <sz val="9"/>
            <color indexed="81"/>
            <rFont val="Tahoma"/>
            <family val="2"/>
          </rPr>
          <t>T90</t>
        </r>
      </text>
    </comment>
    <comment ref="S39" authorId="1" shapeId="0">
      <text>
        <r>
          <rPr>
            <sz val="9"/>
            <color indexed="81"/>
            <rFont val="Tahoma"/>
            <family val="2"/>
          </rPr>
          <t>Leopard1_Greece</t>
        </r>
      </text>
    </comment>
    <comment ref="U39" authorId="1" shapeId="0">
      <text>
        <r>
          <rPr>
            <sz val="9"/>
            <color indexed="81"/>
            <rFont val="Tahoma"/>
            <family val="2"/>
          </rPr>
          <t>Ariete</t>
        </r>
      </text>
    </comment>
    <comment ref="X39" authorId="1" shapeId="0">
      <text>
        <r>
          <rPr>
            <sz val="9"/>
            <color indexed="81"/>
            <rFont val="Tahoma"/>
            <family val="2"/>
          </rPr>
          <t>T72</t>
        </r>
      </text>
    </comment>
    <comment ref="Y39" authorId="1" shapeId="0">
      <text>
        <r>
          <rPr>
            <sz val="9"/>
            <color indexed="81"/>
            <rFont val="Tahoma"/>
            <family val="2"/>
          </rPr>
          <t>ChallengerII_Desert</t>
        </r>
      </text>
    </comment>
    <comment ref="AA39" authorId="1" shapeId="0">
      <text>
        <r>
          <rPr>
            <sz val="9"/>
            <color indexed="81"/>
            <rFont val="Tahoma"/>
            <family val="2"/>
          </rPr>
          <t>T72_Iraq</t>
        </r>
      </text>
    </comment>
    <comment ref="AB39" authorId="1" shapeId="0">
      <text>
        <r>
          <rPr>
            <sz val="9"/>
            <color indexed="81"/>
            <rFont val="Tahoma"/>
            <family val="2"/>
          </rPr>
          <t>T55Egypt</t>
        </r>
      </text>
    </comment>
    <comment ref="AC39" authorId="1" shapeId="0">
      <text>
        <r>
          <rPr>
            <sz val="9"/>
            <color indexed="81"/>
            <rFont val="Tahoma"/>
            <family val="2"/>
          </rPr>
          <t>T72_Iran</t>
        </r>
      </text>
    </comment>
    <comment ref="AD39" authorId="1" shapeId="0">
      <text>
        <r>
          <rPr>
            <sz val="9"/>
            <color indexed="81"/>
            <rFont val="Tahoma"/>
            <family val="2"/>
          </rPr>
          <t>T72_Algeria</t>
        </r>
      </text>
    </comment>
    <comment ref="AE39" authorId="1" shapeId="0">
      <text>
        <r>
          <rPr>
            <sz val="9"/>
            <color indexed="81"/>
            <rFont val="Tahoma"/>
            <family val="2"/>
          </rPr>
          <t>T72_Algeria</t>
        </r>
      </text>
    </comment>
    <comment ref="AG39" authorId="1" shapeId="0">
      <text>
        <r>
          <rPr>
            <sz val="9"/>
            <color indexed="81"/>
            <rFont val="Tahoma"/>
            <family val="2"/>
          </rPr>
          <t>T55TanTC</t>
        </r>
      </text>
    </comment>
    <comment ref="AH39" authorId="1" shapeId="0">
      <text>
        <r>
          <rPr>
            <sz val="9"/>
            <color indexed="81"/>
            <rFont val="Tahoma"/>
            <family val="2"/>
          </rPr>
          <t>T55Ethiopia</t>
        </r>
      </text>
    </comment>
    <comment ref="AI39" authorId="1" shapeId="0">
      <text>
        <r>
          <rPr>
            <sz val="9"/>
            <color indexed="81"/>
            <rFont val="Tahoma"/>
            <family val="2"/>
          </rPr>
          <t>T55Mali</t>
        </r>
      </text>
    </comment>
    <comment ref="AM39" authorId="1" shapeId="0">
      <text>
        <r>
          <rPr>
            <sz val="9"/>
            <color indexed="81"/>
            <rFont val="Tahoma"/>
            <family val="2"/>
          </rPr>
          <t>Leopard1_Turkey</t>
        </r>
      </text>
    </comment>
    <comment ref="AO39" authorId="1" shapeId="0">
      <text>
        <r>
          <rPr>
            <sz val="9"/>
            <color indexed="81"/>
            <rFont val="Tahoma"/>
            <family val="2"/>
          </rPr>
          <t>T72_India</t>
        </r>
      </text>
    </comment>
    <comment ref="AQ39" authorId="1" shapeId="0">
      <text>
        <r>
          <rPr>
            <sz val="9"/>
            <color indexed="81"/>
            <rFont val="Tahoma"/>
            <family val="2"/>
          </rPr>
          <t>T55China</t>
        </r>
      </text>
    </comment>
    <comment ref="AT39" authorId="1" shapeId="0">
      <text>
        <r>
          <rPr>
            <sz val="9"/>
            <color indexed="81"/>
            <rFont val="Tahoma"/>
            <family val="2"/>
          </rPr>
          <t>T55Mongolia</t>
        </r>
      </text>
    </comment>
    <comment ref="AW39" authorId="1" shapeId="0">
      <text>
        <r>
          <rPr>
            <sz val="9"/>
            <color indexed="81"/>
            <rFont val="Tahoma"/>
            <family val="2"/>
          </rPr>
          <t>Armor_T-55</t>
        </r>
      </text>
    </comment>
    <comment ref="BC39" authorId="1" shapeId="0">
      <text>
        <r>
          <rPr>
            <sz val="9"/>
            <color indexed="81"/>
            <rFont val="Tahoma"/>
            <family val="2"/>
          </rPr>
          <t>T55Peru</t>
        </r>
      </text>
    </comment>
    <comment ref="C40" authorId="1" shapeId="0">
      <text>
        <r>
          <rPr>
            <sz val="9"/>
            <color indexed="81"/>
            <rFont val="Tahoma"/>
            <family val="2"/>
          </rPr>
          <t>continental_inf</t>
        </r>
      </text>
    </comment>
    <comment ref="F40" authorId="1" shapeId="0">
      <text>
        <r>
          <rPr>
            <sz val="9"/>
            <color indexed="81"/>
            <rFont val="Tahoma"/>
            <family val="2"/>
          </rPr>
          <t>redcoat</t>
        </r>
      </text>
    </comment>
    <comment ref="G40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Musketeer</t>
        </r>
      </text>
    </comment>
    <comment ref="H40" authorId="1" shapeId="0">
      <text>
        <r>
          <rPr>
            <sz val="9"/>
            <color indexed="81"/>
            <rFont val="Tahoma"/>
            <family val="2"/>
          </rPr>
          <t>musketman_ger</t>
        </r>
      </text>
    </comment>
    <comment ref="I40" authorId="1" shapeId="0">
      <text>
        <r>
          <rPr>
            <sz val="9"/>
            <color indexed="81"/>
            <rFont val="Tahoma"/>
            <family val="2"/>
          </rPr>
          <t>Arquebusier</t>
        </r>
      </text>
    </comment>
    <comment ref="M40" authorId="2" shapeId="0">
      <text>
        <r>
          <rPr>
            <sz val="9"/>
            <color indexed="81"/>
            <rFont val="Tahoma"/>
            <family val="2"/>
          </rPr>
          <t>Arquebusier</t>
        </r>
      </text>
    </comment>
    <comment ref="N40" authorId="1" shapeId="0">
      <text>
        <r>
          <rPr>
            <sz val="9"/>
            <color indexed="81"/>
            <rFont val="Tahoma"/>
            <family val="2"/>
          </rPr>
          <t>Polish_Chosen</t>
        </r>
      </text>
    </comment>
    <comment ref="O40" authorId="1" shapeId="0">
      <text>
        <r>
          <rPr>
            <sz val="9"/>
            <color indexed="81"/>
            <rFont val="Tahoma"/>
            <family val="2"/>
          </rPr>
          <t>Streltsy_Black_Coat</t>
        </r>
      </text>
    </comment>
    <comment ref="Q40" authorId="1" shapeId="0">
      <text>
        <r>
          <rPr>
            <sz val="9"/>
            <color indexed="81"/>
            <rFont val="Tahoma"/>
            <family val="2"/>
          </rPr>
          <t>BrazilPretosForros</t>
        </r>
      </text>
    </comment>
    <comment ref="V40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Tercio</t>
        </r>
      </text>
    </comment>
    <comment ref="AG40" authorId="1" shapeId="0">
      <text>
        <r>
          <rPr>
            <sz val="9"/>
            <color indexed="81"/>
            <rFont val="Tahoma"/>
            <family val="2"/>
          </rPr>
          <t>EthiopianOromo3</t>
        </r>
      </text>
    </comment>
    <comment ref="AH40" authorId="1" shapeId="0">
      <text>
        <r>
          <rPr>
            <sz val="9"/>
            <color indexed="81"/>
            <rFont val="Tahoma"/>
            <family val="2"/>
          </rPr>
          <t>EthiopianOromo</t>
        </r>
      </text>
    </comment>
    <comment ref="AM40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Janissary</t>
        </r>
      </text>
    </comment>
    <comment ref="AX40" authorId="1" shapeId="0">
      <text>
        <r>
          <rPr>
            <sz val="9"/>
            <color indexed="81"/>
            <rFont val="Tahoma"/>
            <family val="2"/>
          </rPr>
          <t>CL_Ogichidaa</t>
        </r>
      </text>
    </comment>
    <comment ref="AY40" authorId="1" shapeId="0">
      <text>
        <r>
          <rPr>
            <sz val="9"/>
            <color indexed="81"/>
            <rFont val="Tahoma"/>
            <family val="2"/>
          </rPr>
          <t>civ5_iromu1</t>
        </r>
      </text>
    </comment>
    <comment ref="AZ40" authorId="1" shapeId="0">
      <text>
        <r>
          <rPr>
            <sz val="9"/>
            <color indexed="81"/>
            <rFont val="Tahoma"/>
            <family val="2"/>
          </rPr>
          <t>native_rifleman</t>
        </r>
      </text>
    </comment>
    <comment ref="C42" authorId="1" shapeId="0">
      <text>
        <r>
          <rPr>
            <sz val="9"/>
            <color indexed="81"/>
            <rFont val="Tahoma"/>
            <family val="2"/>
          </rPr>
          <t>losangeles</t>
        </r>
      </text>
    </comment>
    <comment ref="F42" authorId="1" shapeId="0">
      <text>
        <r>
          <rPr>
            <sz val="9"/>
            <color indexed="81"/>
            <rFont val="Tahoma"/>
            <family val="2"/>
          </rPr>
          <t>astute</t>
        </r>
      </text>
    </comment>
    <comment ref="M42" authorId="1" shapeId="0">
      <text>
        <r>
          <rPr>
            <sz val="9"/>
            <color indexed="81"/>
            <rFont val="Tahoma"/>
            <family val="2"/>
          </rPr>
          <t>akula</t>
        </r>
      </text>
    </comment>
    <comment ref="O42" authorId="2" shapeId="0">
      <text>
        <r>
          <rPr>
            <sz val="9"/>
            <color indexed="81"/>
            <rFont val="Tahoma"/>
            <family val="2"/>
          </rPr>
          <t>akula</t>
        </r>
      </text>
    </comment>
    <comment ref="C43" authorId="1" shapeId="0">
      <text>
        <r>
          <rPr>
            <sz val="9"/>
            <color indexed="81"/>
            <rFont val="Tahoma"/>
            <family val="2"/>
          </rPr>
          <t>Paratrooper_USA_MG</t>
        </r>
      </text>
    </comment>
    <comment ref="D43" authorId="1" shapeId="0">
      <text>
        <r>
          <rPr>
            <sz val="9"/>
            <color indexed="81"/>
            <rFont val="Tahoma"/>
            <family val="2"/>
          </rPr>
          <t>Paratrooper_German_MG_v2</t>
        </r>
      </text>
    </comment>
    <comment ref="F43" authorId="1" shapeId="0">
      <text>
        <r>
          <rPr>
            <sz val="9"/>
            <color indexed="81"/>
            <rFont val="Tahoma"/>
            <family val="2"/>
          </rPr>
          <t>Paratrooper_UK_MG</t>
        </r>
      </text>
    </comment>
    <comment ref="G43" authorId="1" shapeId="0">
      <text>
        <r>
          <rPr>
            <sz val="9"/>
            <color indexed="81"/>
            <rFont val="Tahoma"/>
            <family val="2"/>
          </rPr>
          <t>Paratrooper_France_MG</t>
        </r>
      </text>
    </comment>
    <comment ref="H43" authorId="1" shapeId="0">
      <text>
        <r>
          <rPr>
            <sz val="9"/>
            <color indexed="81"/>
            <rFont val="Tahoma"/>
            <family val="2"/>
          </rPr>
          <t>Paratrooper_German_MG</t>
        </r>
      </text>
    </comment>
    <comment ref="I43" authorId="1" shapeId="0">
      <text>
        <r>
          <rPr>
            <sz val="9"/>
            <color indexed="81"/>
            <rFont val="Tahoma"/>
            <family val="2"/>
          </rPr>
          <t>Paratrooper_Dutch_MG</t>
        </r>
      </text>
    </comment>
    <comment ref="J43" authorId="1" shapeId="0">
      <text>
        <r>
          <rPr>
            <sz val="9"/>
            <color indexed="81"/>
            <rFont val="Tahoma"/>
            <family val="2"/>
          </rPr>
          <t>Paratrooper_Sweden_MG</t>
        </r>
      </text>
    </comment>
    <comment ref="L43" authorId="1" shapeId="0">
      <text>
        <r>
          <rPr>
            <sz val="9"/>
            <color indexed="81"/>
            <rFont val="Tahoma"/>
            <family val="2"/>
          </rPr>
          <t>Paratrooper_Sweden_MG</t>
        </r>
      </text>
    </comment>
    <comment ref="M43" authorId="1" shapeId="0">
      <text>
        <r>
          <rPr>
            <sz val="9"/>
            <color indexed="81"/>
            <rFont val="Tahoma"/>
            <family val="2"/>
          </rPr>
          <t>Paratrooper_Poland_MG</t>
        </r>
      </text>
    </comment>
    <comment ref="N43" authorId="1" shapeId="0">
      <text>
        <r>
          <rPr>
            <sz val="9"/>
            <color indexed="81"/>
            <rFont val="Tahoma"/>
            <family val="2"/>
          </rPr>
          <t>Paratrooper_Poland_MG</t>
        </r>
      </text>
    </comment>
    <comment ref="O43" authorId="1" shapeId="0">
      <text>
        <r>
          <rPr>
            <sz val="9"/>
            <color indexed="81"/>
            <rFont val="Tahoma"/>
            <family val="2"/>
          </rPr>
          <t>Paratrooper_Russia_MG</t>
        </r>
      </text>
    </comment>
    <comment ref="S43" authorId="1" shapeId="0">
      <text>
        <r>
          <rPr>
            <sz val="9"/>
            <color indexed="81"/>
            <rFont val="Tahoma"/>
            <family val="2"/>
          </rPr>
          <t>Paratrooper_Greece_MG</t>
        </r>
      </text>
    </comment>
    <comment ref="U43" authorId="1" shapeId="0">
      <text>
        <r>
          <rPr>
            <sz val="9"/>
            <color indexed="81"/>
            <rFont val="Tahoma"/>
            <family val="2"/>
          </rPr>
          <t>Paratrooper_Italy_MG</t>
        </r>
      </text>
    </comment>
    <comment ref="V43" authorId="1" shapeId="0">
      <text>
        <r>
          <rPr>
            <sz val="9"/>
            <color indexed="81"/>
            <rFont val="Tahoma"/>
            <family val="2"/>
          </rPr>
          <t>Paratrooper_Spain_MG</t>
        </r>
      </text>
    </comment>
    <comment ref="AL43" authorId="1" shapeId="0">
      <text>
        <r>
          <rPr>
            <sz val="9"/>
            <color indexed="81"/>
            <rFont val="Tahoma"/>
            <family val="2"/>
          </rPr>
          <t>Paratrooper_Hungary_MG</t>
        </r>
      </text>
    </comment>
    <comment ref="AP43" authorId="1" shapeId="0">
      <text>
        <r>
          <rPr>
            <sz val="9"/>
            <color indexed="81"/>
            <rFont val="Tahoma"/>
            <family val="2"/>
          </rPr>
          <t>Paratrooper_Japan_MG</t>
        </r>
      </text>
    </comment>
    <comment ref="AQ43" authorId="1" shapeId="0">
      <text>
        <r>
          <rPr>
            <sz val="9"/>
            <color indexed="81"/>
            <rFont val="Tahoma"/>
            <family val="2"/>
          </rPr>
          <t>Paratrooper_China_MG</t>
        </r>
      </text>
    </comment>
    <comment ref="BE43" authorId="1" shapeId="0">
      <text>
        <r>
          <rPr>
            <sz val="9"/>
            <color indexed="81"/>
            <rFont val="Tahoma"/>
            <family val="2"/>
          </rPr>
          <t>Paratrooper_Generic_MG</t>
        </r>
      </text>
    </comment>
    <comment ref="C44" authorId="1" shapeId="0">
      <text>
        <r>
          <rPr>
            <sz val="9"/>
            <color indexed="81"/>
            <rFont val="Tahoma"/>
            <family val="2"/>
          </rPr>
          <t>Pikeman_American</t>
        </r>
      </text>
    </comment>
    <comment ref="D44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Pikeman_German</t>
        </r>
      </text>
    </comment>
    <comment ref="F44" authorId="1" shapeId="0">
      <text>
        <r>
          <rPr>
            <sz val="9"/>
            <color indexed="81"/>
            <rFont val="Tahoma"/>
            <family val="2"/>
          </rPr>
          <t>Pikeman_England</t>
        </r>
      </text>
    </comment>
    <comment ref="G44" authorId="1" shapeId="0">
      <text>
        <r>
          <rPr>
            <sz val="9"/>
            <color indexed="81"/>
            <rFont val="Tahoma"/>
            <family val="2"/>
          </rPr>
          <t>Pikeman_France</t>
        </r>
      </text>
    </comment>
    <comment ref="H44" authorId="1" shapeId="0">
      <text>
        <r>
          <rPr>
            <sz val="9"/>
            <color indexed="81"/>
            <rFont val="Tahoma"/>
            <family val="2"/>
          </rPr>
          <t>Pikeman_German</t>
        </r>
      </text>
    </comment>
    <comment ref="J44" authorId="1" shapeId="0">
      <text>
        <r>
          <rPr>
            <sz val="9"/>
            <color indexed="81"/>
            <rFont val="Tahoma"/>
            <family val="2"/>
          </rPr>
          <t>Pikeman_Viking</t>
        </r>
      </text>
    </comment>
    <comment ref="M44" authorId="1" shapeId="0">
      <text>
        <r>
          <rPr>
            <sz val="9"/>
            <color indexed="81"/>
            <rFont val="Tahoma"/>
            <family val="2"/>
          </rPr>
          <t>Pikeman_Russia</t>
        </r>
      </text>
    </comment>
    <comment ref="P44" authorId="1" shapeId="0">
      <text>
        <r>
          <rPr>
            <sz val="9"/>
            <color indexed="81"/>
            <rFont val="Tahoma"/>
            <family val="2"/>
          </rPr>
          <t>Pikeman_Spain</t>
        </r>
      </text>
    </comment>
    <comment ref="S44" authorId="1" shapeId="0">
      <text>
        <r>
          <rPr>
            <sz val="9"/>
            <color indexed="81"/>
            <rFont val="Tahoma"/>
            <family val="2"/>
          </rPr>
          <t>Pikeman_Greece</t>
        </r>
      </text>
    </comment>
    <comment ref="U44" authorId="1" shapeId="0">
      <text>
        <r>
          <rPr>
            <sz val="9"/>
            <color indexed="81"/>
            <rFont val="Tahoma"/>
            <family val="2"/>
          </rPr>
          <t>Pikeman_Rome</t>
        </r>
      </text>
    </comment>
    <comment ref="X44" authorId="1" shapeId="0">
      <text>
        <r>
          <rPr>
            <sz val="9"/>
            <color indexed="81"/>
            <rFont val="Tahoma"/>
            <family val="2"/>
          </rPr>
          <t>Pikeman_Arabia</t>
        </r>
      </text>
    </comment>
    <comment ref="AA44" authorId="1" shapeId="0">
      <text>
        <r>
          <rPr>
            <sz val="9"/>
            <color indexed="81"/>
            <rFont val="Tahoma"/>
            <family val="2"/>
          </rPr>
          <t>Pikeman_Babylon</t>
        </r>
      </text>
    </comment>
    <comment ref="AB44" authorId="1" shapeId="0">
      <text>
        <r>
          <rPr>
            <sz val="9"/>
            <color indexed="81"/>
            <rFont val="Tahoma"/>
            <family val="2"/>
          </rPr>
          <t>Pikeman_Egypt</t>
        </r>
      </text>
    </comment>
    <comment ref="AC44" authorId="1" shapeId="0">
      <text>
        <r>
          <rPr>
            <sz val="9"/>
            <color indexed="81"/>
            <rFont val="Tahoma"/>
            <family val="2"/>
          </rPr>
          <t>Pikeman_Persia</t>
        </r>
      </text>
    </comment>
    <comment ref="AD44" authorId="1" shapeId="0">
      <text>
        <r>
          <rPr>
            <sz val="9"/>
            <color indexed="81"/>
            <rFont val="Tahoma"/>
            <family val="2"/>
          </rPr>
          <t>SonghaiPikeman</t>
        </r>
      </text>
    </comment>
    <comment ref="AE44" authorId="1" shapeId="0">
      <text>
        <r>
          <rPr>
            <sz val="9"/>
            <color indexed="81"/>
            <rFont val="Tahoma"/>
            <family val="2"/>
          </rPr>
          <t>CarthageSpearman</t>
        </r>
      </text>
    </comment>
    <comment ref="AG44" authorId="1" shapeId="0">
      <text>
        <r>
          <rPr>
            <sz val="9"/>
            <color indexed="81"/>
            <rFont val="Tahoma"/>
            <family val="2"/>
          </rPr>
          <t>EthiopianPikeman</t>
        </r>
      </text>
    </comment>
    <comment ref="AI44" authorId="1" shapeId="0">
      <text>
        <r>
          <rPr>
            <sz val="9"/>
            <color indexed="81"/>
            <rFont val="Tahoma"/>
            <family val="2"/>
          </rPr>
          <t>SonghaiPikeman2</t>
        </r>
      </text>
    </comment>
    <comment ref="AJ44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Impi</t>
        </r>
      </text>
    </comment>
    <comment ref="AK44" authorId="1" shapeId="0">
      <text>
        <r>
          <rPr>
            <sz val="9"/>
            <color indexed="81"/>
            <rFont val="Tahoma"/>
            <family val="2"/>
          </rPr>
          <t>Pikeman_Turkey</t>
        </r>
      </text>
    </comment>
    <comment ref="AN44" authorId="1" shapeId="0">
      <text>
        <r>
          <rPr>
            <sz val="9"/>
            <color indexed="81"/>
            <rFont val="Tahoma"/>
            <family val="2"/>
          </rPr>
          <t>Pikeman_India</t>
        </r>
      </text>
    </comment>
    <comment ref="AP44" authorId="1" shapeId="0">
      <text>
        <r>
          <rPr>
            <sz val="9"/>
            <color indexed="81"/>
            <rFont val="Tahoma"/>
            <family val="2"/>
          </rPr>
          <t>Halberdier_China</t>
        </r>
      </text>
    </comment>
    <comment ref="AQ44" authorId="1" shapeId="0">
      <text>
        <r>
          <rPr>
            <sz val="9"/>
            <color indexed="81"/>
            <rFont val="Tahoma"/>
            <family val="2"/>
          </rPr>
          <t>Pikeman_China</t>
        </r>
      </text>
    </comment>
    <comment ref="AR44" authorId="1" shapeId="0">
      <text>
        <r>
          <rPr>
            <sz val="9"/>
            <color indexed="81"/>
            <rFont val="Tahoma"/>
            <family val="2"/>
          </rPr>
          <t>Pikeman_Japan</t>
        </r>
      </text>
    </comment>
    <comment ref="AS44" authorId="1" shapeId="0">
      <text>
        <r>
          <rPr>
            <sz val="9"/>
            <color indexed="81"/>
            <rFont val="Tahoma"/>
            <family val="2"/>
          </rPr>
          <t>Pikeman_Korea</t>
        </r>
      </text>
    </comment>
    <comment ref="AT44" authorId="1" shapeId="0">
      <text>
        <r>
          <rPr>
            <sz val="9"/>
            <color indexed="81"/>
            <rFont val="Tahoma"/>
            <family val="2"/>
          </rPr>
          <t>Pikeman_Mongol</t>
        </r>
      </text>
    </comment>
    <comment ref="AU44" authorId="1" shapeId="0">
      <text>
        <r>
          <rPr>
            <sz val="9"/>
            <color indexed="81"/>
            <rFont val="Tahoma"/>
            <family val="2"/>
          </rPr>
          <t>u_malaysian_silat</t>
        </r>
      </text>
    </comment>
    <comment ref="AX44" authorId="1" shapeId="0">
      <text>
        <r>
          <rPr>
            <sz val="9"/>
            <color indexed="81"/>
            <rFont val="Tahoma"/>
            <family val="2"/>
          </rPr>
          <t>civ5_iropi1</t>
        </r>
      </text>
    </comment>
    <comment ref="BA44" authorId="1" shapeId="0">
      <text>
        <r>
          <rPr>
            <sz val="9"/>
            <color indexed="81"/>
            <rFont val="Tahoma"/>
            <family val="2"/>
          </rPr>
          <t>chimu_pikeman</t>
        </r>
      </text>
    </comment>
    <comment ref="BB44" authorId="1" shapeId="0">
      <text>
        <r>
          <rPr>
            <sz val="9"/>
            <color indexed="81"/>
            <rFont val="Tahoma"/>
            <family val="2"/>
          </rPr>
          <t>Pikeman_Aztec</t>
        </r>
      </text>
    </comment>
    <comment ref="BC44" authorId="1" shapeId="0">
      <text>
        <r>
          <rPr>
            <sz val="9"/>
            <color indexed="81"/>
            <rFont val="Tahoma"/>
            <family val="2"/>
          </rPr>
          <t>Pikeman_Inca</t>
        </r>
      </text>
    </comment>
    <comment ref="BD44" authorId="1" shapeId="0">
      <text>
        <r>
          <rPr>
            <sz val="9"/>
            <color indexed="81"/>
            <rFont val="Tahoma"/>
            <family val="2"/>
          </rPr>
          <t>Pikeman_Maya</t>
        </r>
      </text>
    </comment>
    <comment ref="C45" authorId="1" shapeId="0">
      <text>
        <r>
          <rPr>
            <sz val="9"/>
            <color indexed="81"/>
            <rFont val="Tahoma"/>
            <family val="2"/>
          </rPr>
          <t>civ5_usarm</t>
        </r>
      </text>
    </comment>
    <comment ref="D45" authorId="1" shapeId="0">
      <text>
        <r>
          <rPr>
            <sz val="9"/>
            <color indexed="81"/>
            <rFont val="Tahoma"/>
            <family val="2"/>
          </rPr>
          <t>civ5_ausrm1</t>
        </r>
      </text>
    </comment>
    <comment ref="E45" authorId="1" shapeId="0">
      <text>
        <r>
          <rPr>
            <sz val="9"/>
            <color indexed="81"/>
            <rFont val="Tahoma"/>
            <family val="2"/>
          </rPr>
          <t>celrm1</t>
        </r>
      </text>
    </comment>
    <comment ref="F45" authorId="1" shapeId="0">
      <text>
        <r>
          <rPr>
            <sz val="9"/>
            <color indexed="81"/>
            <rFont val="Tahoma"/>
            <family val="2"/>
          </rPr>
          <t>civ5_engrm1</t>
        </r>
      </text>
    </comment>
    <comment ref="G45" authorId="1" shapeId="0">
      <text>
        <r>
          <rPr>
            <sz val="9"/>
            <color indexed="81"/>
            <rFont val="Tahoma"/>
            <family val="2"/>
          </rPr>
          <t>civ5_frerm</t>
        </r>
      </text>
    </comment>
    <comment ref="H45" authorId="1" shapeId="0">
      <text>
        <r>
          <rPr>
            <sz val="9"/>
            <color indexed="81"/>
            <rFont val="Tahoma"/>
            <family val="2"/>
          </rPr>
          <t>civ5_gerrm</t>
        </r>
      </text>
    </comment>
    <comment ref="I45" authorId="1" shapeId="0">
      <text>
        <r>
          <rPr>
            <sz val="9"/>
            <color indexed="81"/>
            <rFont val="Tahoma"/>
            <family val="2"/>
          </rPr>
          <t>civ5_dutrm1</t>
        </r>
      </text>
    </comment>
    <comment ref="J45" authorId="1" shapeId="0">
      <text>
        <r>
          <rPr>
            <sz val="9"/>
            <color indexed="81"/>
            <rFont val="Tahoma"/>
            <family val="2"/>
          </rPr>
          <t>civ5_danrm1</t>
        </r>
      </text>
    </comment>
    <comment ref="K45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Ski Infantry</t>
        </r>
      </text>
    </comment>
    <comment ref="L45" authorId="1" shapeId="0">
      <text>
        <r>
          <rPr>
            <sz val="9"/>
            <color indexed="81"/>
            <rFont val="Tahoma"/>
            <family val="2"/>
          </rPr>
          <t>civ5_swerm1</t>
        </r>
      </text>
    </comment>
    <comment ref="O45" authorId="1" shapeId="0">
      <text>
        <r>
          <rPr>
            <sz val="9"/>
            <color indexed="81"/>
            <rFont val="Tahoma"/>
            <family val="2"/>
          </rPr>
          <t>civ5_rusrm</t>
        </r>
      </text>
    </comment>
    <comment ref="S45" authorId="1" shapeId="0">
      <text>
        <r>
          <rPr>
            <sz val="9"/>
            <color indexed="81"/>
            <rFont val="Tahoma"/>
            <family val="2"/>
          </rPr>
          <t>civ5_grerm1</t>
        </r>
      </text>
    </comment>
    <comment ref="V45" authorId="1" shapeId="0">
      <text>
        <r>
          <rPr>
            <sz val="9"/>
            <color indexed="81"/>
            <rFont val="Tahoma"/>
            <family val="2"/>
          </rPr>
          <t>civ5_sparm1</t>
        </r>
      </text>
    </comment>
    <comment ref="X45" authorId="1" shapeId="0">
      <text>
        <r>
          <rPr>
            <sz val="9"/>
            <color indexed="81"/>
            <rFont val="Tahoma"/>
            <family val="2"/>
          </rPr>
          <t>civ5_ararm_tc</t>
        </r>
      </text>
    </comment>
    <comment ref="Y45" authorId="1" shapeId="0">
      <text>
        <r>
          <rPr>
            <sz val="9"/>
            <color indexed="81"/>
            <rFont val="Tahoma"/>
            <family val="2"/>
          </rPr>
          <t>ararm1</t>
        </r>
      </text>
    </comment>
    <comment ref="AA45" authorId="1" shapeId="0">
      <text>
        <r>
          <rPr>
            <sz val="9"/>
            <color indexed="81"/>
            <rFont val="Tahoma"/>
            <family val="2"/>
          </rPr>
          <t>babrm1</t>
        </r>
      </text>
    </comment>
    <comment ref="AB45" authorId="1" shapeId="0">
      <text>
        <r>
          <rPr>
            <sz val="9"/>
            <color indexed="81"/>
            <rFont val="Tahoma"/>
            <family val="2"/>
          </rPr>
          <t>civ5_egyrm</t>
        </r>
      </text>
    </comment>
    <comment ref="AC45" authorId="1" shapeId="0">
      <text>
        <r>
          <rPr>
            <sz val="9"/>
            <color indexed="81"/>
            <rFont val="Tahoma"/>
            <family val="2"/>
          </rPr>
          <t>civ5_perrm</t>
        </r>
      </text>
    </comment>
    <comment ref="AD45" authorId="1" shapeId="0">
      <text>
        <r>
          <rPr>
            <sz val="9"/>
            <color indexed="81"/>
            <rFont val="Tahoma"/>
            <family val="2"/>
          </rPr>
          <t>babrm7</t>
        </r>
      </text>
    </comment>
    <comment ref="AE45" authorId="1" shapeId="0">
      <text>
        <r>
          <rPr>
            <sz val="9"/>
            <color indexed="81"/>
            <rFont val="Tahoma"/>
            <family val="2"/>
          </rPr>
          <t>babrm4</t>
        </r>
      </text>
    </comment>
    <comment ref="AG45" authorId="1" shapeId="0">
      <text>
        <r>
          <rPr>
            <sz val="9"/>
            <color indexed="81"/>
            <rFont val="Tahoma"/>
            <family val="2"/>
          </rPr>
          <t>babrm4</t>
        </r>
      </text>
    </comment>
    <comment ref="AH45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Mehal Sefari</t>
        </r>
      </text>
    </comment>
    <comment ref="AK45" authorId="1" shapeId="0">
      <text>
        <r>
          <rPr>
            <sz val="9"/>
            <color indexed="81"/>
            <rFont val="Tahoma"/>
            <family val="2"/>
          </rPr>
          <t>civ5_ottrm</t>
        </r>
      </text>
    </comment>
    <comment ref="AL45" authorId="1" shapeId="0">
      <text>
        <r>
          <rPr>
            <sz val="9"/>
            <color indexed="81"/>
            <rFont val="Tahoma"/>
            <family val="2"/>
          </rPr>
          <t>hunrm1</t>
        </r>
      </text>
    </comment>
    <comment ref="AO45" authorId="1" shapeId="0">
      <text>
        <r>
          <rPr>
            <sz val="9"/>
            <color indexed="81"/>
            <rFont val="Tahoma"/>
            <family val="2"/>
          </rPr>
          <t>civ5_indrm1</t>
        </r>
      </text>
    </comment>
    <comment ref="AP45" authorId="1" shapeId="0">
      <text>
        <r>
          <rPr>
            <sz val="9"/>
            <color indexed="81"/>
            <rFont val="Tahoma"/>
            <family val="2"/>
          </rPr>
          <t>civ5_monrm1</t>
        </r>
      </text>
    </comment>
    <comment ref="AQ45" authorId="1" shapeId="0">
      <text>
        <r>
          <rPr>
            <sz val="9"/>
            <color indexed="81"/>
            <rFont val="Tahoma"/>
            <family val="2"/>
          </rPr>
          <t>civ5_chirm1</t>
        </r>
      </text>
    </comment>
    <comment ref="AR45" authorId="1" shapeId="0">
      <text>
        <r>
          <rPr>
            <sz val="9"/>
            <color indexed="81"/>
            <rFont val="Tahoma"/>
            <family val="2"/>
          </rPr>
          <t>civ5_japrm</t>
        </r>
      </text>
    </comment>
    <comment ref="AU45" authorId="1" shapeId="0">
      <text>
        <r>
          <rPr>
            <sz val="9"/>
            <color indexed="81"/>
            <rFont val="Tahoma"/>
            <family val="2"/>
          </rPr>
          <t>civ5_siarm1</t>
        </r>
      </text>
    </comment>
    <comment ref="AX45" authorId="1" shapeId="0">
      <text>
        <r>
          <rPr>
            <sz val="9"/>
            <color indexed="81"/>
            <rFont val="Tahoma"/>
            <family val="2"/>
          </rPr>
          <t>civ5_irorm2</t>
        </r>
      </text>
    </comment>
    <comment ref="AY45" authorId="1" shapeId="0">
      <text>
        <r>
          <rPr>
            <sz val="9"/>
            <color indexed="81"/>
            <rFont val="Tahoma"/>
            <family val="2"/>
          </rPr>
          <t>civ5_irorm</t>
        </r>
      </text>
    </comment>
    <comment ref="BA45" authorId="1" shapeId="0">
      <text>
        <r>
          <rPr>
            <sz val="9"/>
            <color indexed="81"/>
            <rFont val="Tahoma"/>
            <family val="2"/>
          </rPr>
          <t>civ5_aztrm3</t>
        </r>
      </text>
    </comment>
    <comment ref="BB45" authorId="1" shapeId="0">
      <text>
        <r>
          <rPr>
            <sz val="9"/>
            <color indexed="81"/>
            <rFont val="Tahoma"/>
            <family val="2"/>
          </rPr>
          <t>civ5_aztrm1</t>
        </r>
      </text>
    </comment>
    <comment ref="BC45" authorId="1" shapeId="0">
      <text>
        <r>
          <rPr>
            <sz val="9"/>
            <color indexed="81"/>
            <rFont val="Tahoma"/>
            <family val="2"/>
          </rPr>
          <t>civ5_aztrm1</t>
        </r>
      </text>
    </comment>
    <comment ref="BD45" authorId="1" shapeId="0">
      <text>
        <r>
          <rPr>
            <sz val="9"/>
            <color indexed="81"/>
            <rFont val="Tahoma"/>
            <family val="2"/>
          </rPr>
          <t>civ5_aztrm2</t>
        </r>
      </text>
    </comment>
    <comment ref="E47" authorId="1" shapeId="0">
      <text>
        <r>
          <rPr>
            <sz val="9"/>
            <color indexed="81"/>
            <rFont val="Tahoma"/>
            <family val="2"/>
          </rPr>
          <t>EuroScout</t>
        </r>
      </text>
    </comment>
    <comment ref="F47" authorId="2" shapeId="0">
      <text>
        <r>
          <rPr>
            <sz val="9"/>
            <color indexed="81"/>
            <rFont val="Tahoma"/>
            <family val="2"/>
          </rPr>
          <t>EuroScout</t>
        </r>
      </text>
    </comment>
    <comment ref="J47" authorId="1" shapeId="0">
      <text>
        <r>
          <rPr>
            <sz val="9"/>
            <color indexed="81"/>
            <rFont val="Tahoma"/>
            <family val="2"/>
          </rPr>
          <t>CIV5_Nedsc</t>
        </r>
      </text>
    </comment>
    <comment ref="P47" authorId="1" shapeId="0">
      <text>
        <r>
          <rPr>
            <sz val="9"/>
            <color indexed="81"/>
            <rFont val="Tahoma"/>
            <family val="2"/>
          </rPr>
          <t>MedScout</t>
        </r>
      </text>
    </comment>
    <comment ref="X47" authorId="1" shapeId="0">
      <text>
        <r>
          <rPr>
            <sz val="9"/>
            <color indexed="81"/>
            <rFont val="Tahoma"/>
            <family val="2"/>
          </rPr>
          <t>MidEastScout</t>
        </r>
      </text>
    </comment>
    <comment ref="Y47" authorId="1" shapeId="0">
      <text>
        <r>
          <rPr>
            <sz val="9"/>
            <color indexed="81"/>
            <rFont val="Tahoma"/>
            <family val="2"/>
          </rPr>
          <t>Islamic-Semitic_scout</t>
        </r>
      </text>
    </comment>
    <comment ref="AB47" authorId="1" shapeId="0">
      <text>
        <r>
          <rPr>
            <sz val="9"/>
            <color indexed="81"/>
            <rFont val="Tahoma"/>
            <family val="2"/>
          </rPr>
          <t>egyption_scout</t>
        </r>
      </text>
    </comment>
    <comment ref="AC47" authorId="1" shapeId="0">
      <text>
        <r>
          <rPr>
            <sz val="9"/>
            <color indexed="81"/>
            <rFont val="Tahoma"/>
            <family val="2"/>
          </rPr>
          <t>Islamic-Semitic_scout</t>
        </r>
      </text>
    </comment>
    <comment ref="AD47" authorId="1" shapeId="0">
      <text>
        <r>
          <rPr>
            <sz val="9"/>
            <color indexed="81"/>
            <rFont val="Tahoma"/>
            <family val="2"/>
          </rPr>
          <t>AfrScout</t>
        </r>
      </text>
    </comment>
    <comment ref="AG47" authorId="1" shapeId="0">
      <text>
        <r>
          <rPr>
            <sz val="9"/>
            <color indexed="81"/>
            <rFont val="Tahoma"/>
            <family val="2"/>
          </rPr>
          <t>SonghaiScout</t>
        </r>
      </text>
    </comment>
    <comment ref="AH47" authorId="1" shapeId="0">
      <text>
        <r>
          <rPr>
            <sz val="9"/>
            <color indexed="81"/>
            <rFont val="Tahoma"/>
            <family val="2"/>
          </rPr>
          <t>EthiopianScout</t>
        </r>
      </text>
    </comment>
    <comment ref="AI47" authorId="1" shapeId="0">
      <text>
        <r>
          <rPr>
            <sz val="9"/>
            <color indexed="81"/>
            <rFont val="Tahoma"/>
            <family val="2"/>
          </rPr>
          <t>AfrScout</t>
        </r>
      </text>
    </comment>
    <comment ref="AN47" authorId="1" shapeId="0">
      <text>
        <r>
          <rPr>
            <sz val="9"/>
            <color indexed="81"/>
            <rFont val="Tahoma"/>
            <family val="2"/>
          </rPr>
          <t>Indian_scout</t>
        </r>
      </text>
    </comment>
    <comment ref="AO47" authorId="1" shapeId="0">
      <text>
        <r>
          <rPr>
            <sz val="9"/>
            <color indexed="81"/>
            <rFont val="Tahoma"/>
            <family val="2"/>
          </rPr>
          <t>Scout_India</t>
        </r>
      </text>
    </comment>
    <comment ref="AP47" authorId="1" shapeId="0">
      <text>
        <r>
          <rPr>
            <sz val="9"/>
            <color indexed="81"/>
            <rFont val="Tahoma"/>
            <family val="2"/>
          </rPr>
          <t>Scout_Mongol</t>
        </r>
      </text>
    </comment>
    <comment ref="AX47" authorId="1" shapeId="0">
      <text>
        <r>
          <rPr>
            <sz val="9"/>
            <color indexed="81"/>
            <rFont val="Tahoma"/>
            <family val="2"/>
          </rPr>
          <t>civ5_irosc2</t>
        </r>
      </text>
    </comment>
    <comment ref="AY47" authorId="1" shapeId="0">
      <text>
        <r>
          <rPr>
            <sz val="9"/>
            <color indexed="81"/>
            <rFont val="Tahoma"/>
            <family val="2"/>
          </rPr>
          <t>civ5_irosc1</t>
        </r>
      </text>
    </comment>
    <comment ref="AZ4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Pathfinder</t>
        </r>
      </text>
    </comment>
    <comment ref="BA47" authorId="1" shapeId="0">
      <text>
        <r>
          <rPr>
            <sz val="9"/>
            <color indexed="81"/>
            <rFont val="Tahoma"/>
            <family val="2"/>
          </rPr>
          <t>chimu_scout</t>
        </r>
      </text>
    </comment>
    <comment ref="BB47" authorId="1" shapeId="0">
      <text>
        <r>
          <rPr>
            <sz val="9"/>
            <color indexed="81"/>
            <rFont val="Tahoma"/>
            <family val="2"/>
          </rPr>
          <t>Scout_Aztec</t>
        </r>
      </text>
    </comment>
    <comment ref="BC47" authorId="1" shapeId="0">
      <text>
        <r>
          <rPr>
            <sz val="9"/>
            <color indexed="81"/>
            <rFont val="Tahoma"/>
            <family val="2"/>
          </rPr>
          <t>IncaScout</t>
        </r>
      </text>
    </comment>
    <comment ref="C48" authorId="1" shapeId="0">
      <text>
        <r>
          <rPr>
            <sz val="9"/>
            <color indexed="81"/>
            <rFont val="Tahoma"/>
            <family val="2"/>
          </rPr>
          <t>Spearman_American</t>
        </r>
      </text>
    </comment>
    <comment ref="D48" authorId="2" shapeId="0">
      <text>
        <r>
          <rPr>
            <sz val="9"/>
            <color indexed="81"/>
            <rFont val="Tahoma"/>
            <family val="2"/>
          </rPr>
          <t>EU: Spearman_German</t>
        </r>
      </text>
    </comment>
    <comment ref="E48" authorId="2" shapeId="0">
      <text>
        <r>
          <rPr>
            <sz val="9"/>
            <color indexed="81"/>
            <rFont val="Tahoma"/>
            <family val="2"/>
          </rPr>
          <t>unique Pictish Warrior</t>
        </r>
      </text>
    </comment>
    <comment ref="F48" authorId="1" shapeId="0">
      <text>
        <r>
          <rPr>
            <sz val="9"/>
            <color indexed="81"/>
            <rFont val="Tahoma"/>
            <family val="2"/>
          </rPr>
          <t>Spearman_England</t>
        </r>
      </text>
    </comment>
    <comment ref="G48" authorId="1" shapeId="0">
      <text>
        <r>
          <rPr>
            <sz val="9"/>
            <color indexed="81"/>
            <rFont val="Tahoma"/>
            <family val="2"/>
          </rPr>
          <t>Spearman_France</t>
        </r>
      </text>
    </comment>
    <comment ref="H48" authorId="1" shapeId="0">
      <text>
        <r>
          <rPr>
            <sz val="9"/>
            <color indexed="81"/>
            <rFont val="Tahoma"/>
            <family val="2"/>
          </rPr>
          <t>Spearman_German</t>
        </r>
      </text>
    </comment>
    <comment ref="I48" authorId="1" shapeId="0">
      <text>
        <r>
          <rPr>
            <sz val="9"/>
            <color indexed="81"/>
            <rFont val="Tahoma"/>
            <family val="2"/>
          </rPr>
          <t>BatavianSpearman</t>
        </r>
      </text>
    </comment>
    <comment ref="J48" authorId="1" shapeId="0">
      <text>
        <r>
          <rPr>
            <sz val="9"/>
            <color indexed="81"/>
            <rFont val="Tahoma"/>
            <family val="2"/>
          </rPr>
          <t>Spearman_Viking</t>
        </r>
      </text>
    </comment>
    <comment ref="M48" authorId="1" shapeId="0">
      <text>
        <r>
          <rPr>
            <sz val="9"/>
            <color indexed="81"/>
            <rFont val="Tahoma"/>
            <family val="2"/>
          </rPr>
          <t>Spearman_Russia</t>
        </r>
      </text>
    </comment>
    <comment ref="P48" authorId="1" shapeId="0">
      <text>
        <r>
          <rPr>
            <sz val="9"/>
            <color indexed="81"/>
            <rFont val="Tahoma"/>
            <family val="2"/>
          </rPr>
          <t>U_Greek_Hoplite</t>
        </r>
      </text>
    </comment>
    <comment ref="S48" authorId="1" shapeId="0">
      <text>
        <r>
          <rPr>
            <sz val="9"/>
            <color indexed="81"/>
            <rFont val="Tahoma"/>
            <family val="2"/>
          </rPr>
          <t>MycenaeSpear</t>
        </r>
      </text>
    </comment>
    <comment ref="T48" authorId="1" shapeId="0">
      <text>
        <r>
          <rPr>
            <sz val="9"/>
            <color indexed="81"/>
            <rFont val="Tahoma"/>
            <family val="2"/>
          </rPr>
          <t>PortugalSpearman</t>
        </r>
      </text>
    </comment>
    <comment ref="U48" authorId="1" shapeId="0">
      <text>
        <r>
          <rPr>
            <sz val="9"/>
            <color indexed="81"/>
            <rFont val="Tahoma"/>
            <family val="2"/>
          </rPr>
          <t>Hastati</t>
        </r>
      </text>
    </comment>
    <comment ref="V48" authorId="1" shapeId="0">
      <text>
        <r>
          <rPr>
            <sz val="9"/>
            <color indexed="81"/>
            <rFont val="Tahoma"/>
            <family val="2"/>
          </rPr>
          <t>Spearman_Spain</t>
        </r>
      </text>
    </comment>
    <comment ref="X48" authorId="1" shapeId="0">
      <text>
        <r>
          <rPr>
            <sz val="9"/>
            <color indexed="81"/>
            <rFont val="Tahoma"/>
            <family val="2"/>
          </rPr>
          <t>Spearman_Persia</t>
        </r>
      </text>
    </comment>
    <comment ref="Y48" authorId="1" shapeId="0">
      <text>
        <r>
          <rPr>
            <sz val="9"/>
            <color indexed="81"/>
            <rFont val="Tahoma"/>
            <family val="2"/>
          </rPr>
          <t>Spearman_Arabia</t>
        </r>
      </text>
    </comment>
    <comment ref="AA48" authorId="1" shapeId="0">
      <text>
        <r>
          <rPr>
            <sz val="9"/>
            <color indexed="81"/>
            <rFont val="Tahoma"/>
            <family val="2"/>
          </rPr>
          <t>Spearman_Babylon</t>
        </r>
      </text>
    </comment>
    <comment ref="AB48" authorId="1" shapeId="0">
      <text>
        <r>
          <rPr>
            <sz val="9"/>
            <color indexed="81"/>
            <rFont val="Tahoma"/>
            <family val="2"/>
          </rPr>
          <t>Spearman_Egypt</t>
        </r>
      </text>
    </comment>
    <comment ref="AC48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Immortal</t>
        </r>
      </text>
    </comment>
    <comment ref="AE48" authorId="1" shapeId="0">
      <text>
        <r>
          <rPr>
            <sz val="9"/>
            <color indexed="81"/>
            <rFont val="Tahoma"/>
            <family val="2"/>
          </rPr>
          <t>CitizenMilitia</t>
        </r>
      </text>
    </comment>
    <comment ref="AG48" authorId="1" shapeId="0">
      <text>
        <r>
          <rPr>
            <sz val="9"/>
            <color indexed="81"/>
            <rFont val="Tahoma"/>
            <family val="2"/>
          </rPr>
          <t>BantuSpearman</t>
        </r>
      </text>
    </comment>
    <comment ref="AH48" authorId="1" shapeId="0">
      <text>
        <r>
          <rPr>
            <sz val="9"/>
            <color indexed="81"/>
            <rFont val="Tahoma"/>
            <family val="2"/>
          </rPr>
          <t>EthiopiaMedSpearman</t>
        </r>
      </text>
    </comment>
    <comment ref="AI48" authorId="1" shapeId="0">
      <text>
        <r>
          <rPr>
            <sz val="9"/>
            <color indexed="81"/>
            <rFont val="Tahoma"/>
            <family val="2"/>
          </rPr>
          <t>SonghaiMedSpearman</t>
        </r>
      </text>
    </comment>
    <comment ref="AK48" authorId="1" shapeId="0">
      <text>
        <r>
          <rPr>
            <sz val="9"/>
            <color indexed="81"/>
            <rFont val="Tahoma"/>
            <family val="2"/>
          </rPr>
          <t>Spearman_Turkey</t>
        </r>
      </text>
    </comment>
    <comment ref="AL48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Battering Ram</t>
        </r>
      </text>
    </comment>
    <comment ref="AO48" authorId="1" shapeId="0">
      <text>
        <r>
          <rPr>
            <sz val="9"/>
            <color indexed="81"/>
            <rFont val="Tahoma"/>
            <family val="2"/>
          </rPr>
          <t>Spearman_India</t>
        </r>
      </text>
    </comment>
    <comment ref="AP48" authorId="1" shapeId="0">
      <text>
        <r>
          <rPr>
            <sz val="9"/>
            <color indexed="81"/>
            <rFont val="Tahoma"/>
            <family val="2"/>
          </rPr>
          <t>Spearman_China</t>
        </r>
      </text>
    </comment>
    <comment ref="AQ48" authorId="1" shapeId="0">
      <text>
        <r>
          <rPr>
            <sz val="9"/>
            <color indexed="81"/>
            <rFont val="Tahoma"/>
            <family val="2"/>
          </rPr>
          <t>Spearman_China_v2</t>
        </r>
      </text>
    </comment>
    <comment ref="AR48" authorId="1" shapeId="0">
      <text>
        <r>
          <rPr>
            <sz val="9"/>
            <color indexed="81"/>
            <rFont val="Tahoma"/>
            <family val="2"/>
          </rPr>
          <t>Spearman_Japan</t>
        </r>
      </text>
    </comment>
    <comment ref="AS48" authorId="1" shapeId="0">
      <text>
        <r>
          <rPr>
            <sz val="9"/>
            <color indexed="81"/>
            <rFont val="Tahoma"/>
            <family val="2"/>
          </rPr>
          <t>Spearman_Korea</t>
        </r>
      </text>
    </comment>
    <comment ref="AT48" authorId="1" shapeId="0">
      <text>
        <r>
          <rPr>
            <sz val="9"/>
            <color indexed="81"/>
            <rFont val="Tahoma"/>
            <family val="2"/>
          </rPr>
          <t>Spearman_Mongol</t>
        </r>
      </text>
    </comment>
    <comment ref="AX48" authorId="1" shapeId="0">
      <text>
        <r>
          <rPr>
            <sz val="9"/>
            <color indexed="81"/>
            <rFont val="Tahoma"/>
            <family val="2"/>
          </rPr>
          <t>civ5_irosp4</t>
        </r>
      </text>
    </comment>
    <comment ref="AY48" authorId="1" shapeId="0">
      <text>
        <r>
          <rPr>
            <sz val="9"/>
            <color indexed="81"/>
            <rFont val="Tahoma"/>
            <family val="2"/>
          </rPr>
          <t>civ5_irosp1</t>
        </r>
      </text>
    </comment>
    <comment ref="BA48" authorId="1" shapeId="0">
      <text>
        <r>
          <rPr>
            <sz val="9"/>
            <color indexed="81"/>
            <rFont val="Tahoma"/>
            <family val="2"/>
          </rPr>
          <t>Spearman_Maya</t>
        </r>
      </text>
    </comment>
    <comment ref="BB48" authorId="1" shapeId="0">
      <text>
        <r>
          <rPr>
            <sz val="9"/>
            <color indexed="81"/>
            <rFont val="Tahoma"/>
            <family val="2"/>
          </rPr>
          <t>Spearman_Aztec</t>
        </r>
      </text>
    </comment>
    <comment ref="BC48" authorId="1" shapeId="0">
      <text>
        <r>
          <rPr>
            <sz val="9"/>
            <color indexed="81"/>
            <rFont val="Tahoma"/>
            <family val="2"/>
          </rPr>
          <t>Spearman_Inca</t>
        </r>
      </text>
    </comment>
    <comment ref="BD48" authorId="1" shapeId="0">
      <text>
        <r>
          <rPr>
            <sz val="9"/>
            <color indexed="81"/>
            <rFont val="Tahoma"/>
            <family val="2"/>
          </rPr>
          <t>MayaHolkan</t>
        </r>
      </text>
    </comment>
    <comment ref="H49" authorId="1" shapeId="0">
      <text>
        <r>
          <rPr>
            <sz val="9"/>
            <color indexed="81"/>
            <rFont val="Tahoma"/>
            <family val="2"/>
          </rPr>
          <t>Ho229</t>
        </r>
      </text>
    </comment>
    <comment ref="C50" authorId="1" shapeId="0">
      <text>
        <r>
          <rPr>
            <sz val="9"/>
            <color indexed="81"/>
            <rFont val="Tahoma"/>
            <family val="2"/>
          </rPr>
          <t>Submarine_Gato</t>
        </r>
      </text>
    </comment>
    <comment ref="D50" authorId="1" shapeId="0">
      <text>
        <r>
          <rPr>
            <sz val="9"/>
            <color indexed="81"/>
            <rFont val="Tahoma"/>
            <family val="2"/>
          </rPr>
          <t>U-20_Class</t>
        </r>
      </text>
    </comment>
    <comment ref="F50" authorId="1" shapeId="0">
      <text>
        <r>
          <rPr>
            <sz val="9"/>
            <color indexed="81"/>
            <rFont val="Tahoma"/>
            <family val="2"/>
          </rPr>
          <t>Submarine_T-Class</t>
        </r>
      </text>
    </comment>
    <comment ref="G50" authorId="1" shapeId="0">
      <text>
        <r>
          <rPr>
            <sz val="9"/>
            <color indexed="81"/>
            <rFont val="Tahoma"/>
            <family val="2"/>
          </rPr>
          <t>Submarine_Le_Redoutable</t>
        </r>
      </text>
    </comment>
    <comment ref="H50" authorId="1" shapeId="0">
      <text>
        <r>
          <rPr>
            <sz val="9"/>
            <color indexed="81"/>
            <rFont val="Tahoma"/>
            <family val="2"/>
          </rPr>
          <t>Submarine_U-Boat</t>
        </r>
      </text>
    </comment>
    <comment ref="I50" authorId="1" shapeId="0">
      <text>
        <r>
          <rPr>
            <sz val="9"/>
            <color indexed="81"/>
            <rFont val="Tahoma"/>
            <family val="2"/>
          </rPr>
          <t>O-19_Class</t>
        </r>
      </text>
    </comment>
    <comment ref="L50" authorId="1" shapeId="0">
      <text>
        <r>
          <rPr>
            <sz val="9"/>
            <color indexed="81"/>
            <rFont val="Tahoma"/>
            <family val="2"/>
          </rPr>
          <t>Sjolejonet_Class</t>
        </r>
      </text>
    </comment>
    <comment ref="M50" authorId="1" shapeId="0">
      <text>
        <r>
          <rPr>
            <sz val="9"/>
            <color indexed="81"/>
            <rFont val="Tahoma"/>
            <family val="2"/>
          </rPr>
          <t>Submarine_Shchuka</t>
        </r>
      </text>
    </comment>
    <comment ref="N50" authorId="1" shapeId="0">
      <text>
        <r>
          <rPr>
            <sz val="9"/>
            <color indexed="81"/>
            <rFont val="Tahoma"/>
            <family val="2"/>
          </rPr>
          <t>Orzel_Class</t>
        </r>
      </text>
    </comment>
    <comment ref="O50" authorId="2" shapeId="0">
      <text>
        <r>
          <rPr>
            <sz val="9"/>
            <color indexed="81"/>
            <rFont val="Tahoma"/>
            <family val="2"/>
          </rPr>
          <t>Submarine_Shchuka</t>
        </r>
      </text>
    </comment>
    <comment ref="Q50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Scorpene</t>
        </r>
        <r>
          <rPr>
            <sz val="9"/>
            <color indexed="81"/>
            <rFont val="Tahoma"/>
            <family val="2"/>
          </rPr>
          <t xml:space="preserve"> (too modern?)</t>
        </r>
      </text>
    </comment>
    <comment ref="S50" authorId="1" shapeId="0">
      <text>
        <r>
          <rPr>
            <sz val="9"/>
            <color indexed="81"/>
            <rFont val="Tahoma"/>
            <family val="2"/>
          </rPr>
          <t>Katsonis_Class</t>
        </r>
      </text>
    </comment>
    <comment ref="U50" authorId="1" shapeId="0">
      <text>
        <r>
          <rPr>
            <sz val="9"/>
            <color indexed="81"/>
            <rFont val="Tahoma"/>
            <family val="2"/>
          </rPr>
          <t>Submarine_Marcello</t>
        </r>
      </text>
    </comment>
    <comment ref="AL50" authorId="2" shapeId="0">
      <text>
        <r>
          <rPr>
            <sz val="9"/>
            <color indexed="81"/>
            <rFont val="Tahoma"/>
            <family val="2"/>
          </rPr>
          <t>U-20_Class
(Austria)</t>
        </r>
      </text>
    </comment>
    <comment ref="AO50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Scorpene</t>
        </r>
        <r>
          <rPr>
            <sz val="9"/>
            <color indexed="81"/>
            <rFont val="Tahoma"/>
            <family val="2"/>
          </rPr>
          <t xml:space="preserve"> (too modern?)</t>
        </r>
      </text>
    </comment>
    <comment ref="AP50" authorId="1" shapeId="0">
      <text>
        <r>
          <rPr>
            <sz val="9"/>
            <color indexed="81"/>
            <rFont val="Tahoma"/>
            <family val="2"/>
          </rPr>
          <t>Submarine_I-15</t>
        </r>
      </text>
    </comment>
    <comment ref="AR50" authorId="2" shapeId="0">
      <text>
        <r>
          <rPr>
            <sz val="9"/>
            <color indexed="81"/>
            <rFont val="Tahoma"/>
            <family val="2"/>
          </rPr>
          <t>Submarine_I-15</t>
        </r>
      </text>
    </comment>
    <comment ref="C51" authorId="1" shapeId="0">
      <text>
        <r>
          <rPr>
            <sz val="9"/>
            <color indexed="81"/>
            <rFont val="Tahoma"/>
            <family val="2"/>
          </rPr>
          <t>Swordsman_American</t>
        </r>
      </text>
    </comment>
    <comment ref="D51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Swordsman_German</t>
        </r>
      </text>
    </comment>
    <comment ref="E51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CelticWarrior</t>
        </r>
      </text>
    </comment>
    <comment ref="F51" authorId="1" shapeId="0">
      <text>
        <r>
          <rPr>
            <sz val="9"/>
            <color indexed="81"/>
            <rFont val="Tahoma"/>
            <family val="2"/>
          </rPr>
          <t>Swordsman_England</t>
        </r>
      </text>
    </comment>
    <comment ref="G51" authorId="1" shapeId="0">
      <text>
        <r>
          <rPr>
            <sz val="9"/>
            <color indexed="81"/>
            <rFont val="Tahoma"/>
            <family val="2"/>
          </rPr>
          <t>Swordsman_France</t>
        </r>
      </text>
    </comment>
    <comment ref="H51" authorId="1" shapeId="0">
      <text>
        <r>
          <rPr>
            <sz val="9"/>
            <color indexed="81"/>
            <rFont val="Tahoma"/>
            <family val="2"/>
          </rPr>
          <t>Swordsman_German</t>
        </r>
      </text>
    </comment>
    <comment ref="J51" authorId="1" shapeId="0">
      <text>
        <r>
          <rPr>
            <sz val="9"/>
            <color indexed="81"/>
            <rFont val="Tahoma"/>
            <family val="2"/>
          </rPr>
          <t>Swordsman_Viking</t>
        </r>
      </text>
    </comment>
    <comment ref="M51" authorId="1" shapeId="0">
      <text>
        <r>
          <rPr>
            <sz val="9"/>
            <color indexed="81"/>
            <rFont val="Tahoma"/>
            <family val="2"/>
          </rPr>
          <t>ScythiaWarrior</t>
        </r>
      </text>
    </comment>
    <comment ref="N51" authorId="1" shapeId="0">
      <text>
        <r>
          <rPr>
            <sz val="9"/>
            <color indexed="81"/>
            <rFont val="Tahoma"/>
            <family val="2"/>
          </rPr>
          <t>civ5_russm1</t>
        </r>
      </text>
    </comment>
    <comment ref="O51" authorId="1" shapeId="0">
      <text>
        <r>
          <rPr>
            <sz val="9"/>
            <color indexed="81"/>
            <rFont val="Tahoma"/>
            <family val="2"/>
          </rPr>
          <t>Swordsman_Russia</t>
        </r>
      </text>
    </comment>
    <comment ref="P51" authorId="1" shapeId="0">
      <text>
        <r>
          <rPr>
            <sz val="9"/>
            <color indexed="81"/>
            <rFont val="Tahoma"/>
            <family val="2"/>
          </rPr>
          <t>SpanishSwordsman</t>
        </r>
      </text>
    </comment>
    <comment ref="S51" authorId="1" shapeId="0">
      <text>
        <r>
          <rPr>
            <sz val="9"/>
            <color indexed="81"/>
            <rFont val="Tahoma"/>
            <family val="2"/>
          </rPr>
          <t>civ5_gresm1</t>
        </r>
      </text>
    </comment>
    <comment ref="U51" authorId="1" shapeId="0">
      <text>
        <r>
          <rPr>
            <sz val="9"/>
            <color indexed="81"/>
            <rFont val="Tahoma"/>
            <family val="2"/>
          </rPr>
          <t>U_Roman_Legion</t>
        </r>
      </text>
    </comment>
    <comment ref="V51" authorId="1" shapeId="0">
      <text>
        <r>
          <rPr>
            <sz val="9"/>
            <color indexed="81"/>
            <rFont val="Tahoma"/>
            <family val="2"/>
          </rPr>
          <t>Swordsman_Spain</t>
        </r>
      </text>
    </comment>
    <comment ref="X51" authorId="1" shapeId="0">
      <text>
        <r>
          <rPr>
            <sz val="9"/>
            <color indexed="81"/>
            <rFont val="Tahoma"/>
            <family val="2"/>
          </rPr>
          <t>civ5_arasm1</t>
        </r>
      </text>
    </comment>
    <comment ref="Y51" authorId="1" shapeId="0">
      <text>
        <r>
          <rPr>
            <sz val="9"/>
            <color indexed="81"/>
            <rFont val="Tahoma"/>
            <family val="2"/>
          </rPr>
          <t>Swordsman_Arabia</t>
        </r>
      </text>
    </comment>
    <comment ref="AA51" authorId="1" shapeId="0">
      <text>
        <r>
          <rPr>
            <sz val="9"/>
            <color indexed="81"/>
            <rFont val="Tahoma"/>
            <family val="2"/>
          </rPr>
          <t>Swordsman_Babylon</t>
        </r>
      </text>
    </comment>
    <comment ref="AB51" authorId="1" shapeId="0">
      <text>
        <r>
          <rPr>
            <sz val="9"/>
            <color indexed="81"/>
            <rFont val="Tahoma"/>
            <family val="2"/>
          </rPr>
          <t>civ5_egysm1</t>
        </r>
      </text>
    </comment>
    <comment ref="AC51" authorId="1" shapeId="0">
      <text>
        <r>
          <rPr>
            <sz val="9"/>
            <color indexed="81"/>
            <rFont val="Tahoma"/>
            <family val="2"/>
          </rPr>
          <t>Swordsman_Persia</t>
        </r>
      </text>
    </comment>
    <comment ref="AD51" authorId="1" shapeId="0">
      <text>
        <r>
          <rPr>
            <sz val="9"/>
            <color indexed="81"/>
            <rFont val="Tahoma"/>
            <family val="2"/>
          </rPr>
          <t>AfricaMerc</t>
        </r>
      </text>
    </comment>
    <comment ref="AE51" authorId="1" shapeId="0">
      <text>
        <r>
          <rPr>
            <sz val="9"/>
            <color indexed="81"/>
            <rFont val="Tahoma"/>
            <family val="2"/>
          </rPr>
          <t>AfricaMerc</t>
        </r>
      </text>
    </comment>
    <comment ref="AG51" authorId="1" shapeId="0">
      <text>
        <r>
          <rPr>
            <sz val="9"/>
            <color indexed="81"/>
            <rFont val="Tahoma"/>
            <family val="2"/>
          </rPr>
          <t>NubianSwordsman</t>
        </r>
      </text>
    </comment>
    <comment ref="AH51" authorId="1" shapeId="0">
      <text>
        <r>
          <rPr>
            <sz val="9"/>
            <color indexed="81"/>
            <rFont val="Tahoma"/>
            <family val="2"/>
          </rPr>
          <t>EthiopianHeavyFootman</t>
        </r>
      </text>
    </comment>
    <comment ref="AI51" authorId="1" shapeId="0">
      <text>
        <r>
          <rPr>
            <sz val="9"/>
            <color indexed="81"/>
            <rFont val="Tahoma"/>
            <family val="2"/>
          </rPr>
          <t>MakuriaSwordsman</t>
        </r>
      </text>
    </comment>
    <comment ref="AK51" authorId="1" shapeId="0">
      <text>
        <r>
          <rPr>
            <sz val="9"/>
            <color indexed="81"/>
            <rFont val="Tahoma"/>
            <family val="2"/>
          </rPr>
          <t>civ5_ottsm1</t>
        </r>
      </text>
    </comment>
    <comment ref="AL51" authorId="1" shapeId="0">
      <text>
        <r>
          <rPr>
            <sz val="9"/>
            <color indexed="81"/>
            <rFont val="Tahoma"/>
            <family val="2"/>
          </rPr>
          <t>civ5_monsm1</t>
        </r>
      </text>
    </comment>
    <comment ref="AM51" authorId="1" shapeId="0">
      <text>
        <r>
          <rPr>
            <sz val="9"/>
            <color indexed="81"/>
            <rFont val="Tahoma"/>
            <family val="2"/>
          </rPr>
          <t>Swordsman_Turkey</t>
        </r>
      </text>
    </comment>
    <comment ref="AN51" authorId="1" shapeId="0">
      <text>
        <r>
          <rPr>
            <sz val="9"/>
            <color indexed="81"/>
            <rFont val="Tahoma"/>
            <family val="2"/>
          </rPr>
          <t>india swordsman1</t>
        </r>
      </text>
    </comment>
    <comment ref="AO51" authorId="1" shapeId="0">
      <text>
        <r>
          <rPr>
            <sz val="9"/>
            <color indexed="81"/>
            <rFont val="Tahoma"/>
            <family val="2"/>
          </rPr>
          <t>Swordsman_India</t>
        </r>
      </text>
    </comment>
    <comment ref="AP51" authorId="1" shapeId="0">
      <text>
        <r>
          <rPr>
            <sz val="9"/>
            <color indexed="81"/>
            <rFont val="Tahoma"/>
            <family val="2"/>
          </rPr>
          <t>chinese swordsman2</t>
        </r>
      </text>
    </comment>
    <comment ref="AQ51" authorId="1" shapeId="0">
      <text>
        <r>
          <rPr>
            <sz val="9"/>
            <color indexed="81"/>
            <rFont val="Tahoma"/>
            <family val="2"/>
          </rPr>
          <t>Swordsman_China</t>
        </r>
      </text>
    </comment>
    <comment ref="AR51" authorId="1" shapeId="0">
      <text>
        <r>
          <rPr>
            <sz val="9"/>
            <color indexed="81"/>
            <rFont val="Tahoma"/>
            <family val="2"/>
          </rPr>
          <t>Swordsman_Japan</t>
        </r>
      </text>
    </comment>
    <comment ref="AS51" authorId="1" shapeId="0">
      <text>
        <r>
          <rPr>
            <sz val="9"/>
            <color indexed="81"/>
            <rFont val="Tahoma"/>
            <family val="2"/>
          </rPr>
          <t>Swordsman_Korea</t>
        </r>
      </text>
    </comment>
    <comment ref="AT51" authorId="1" shapeId="0">
      <text>
        <r>
          <rPr>
            <sz val="9"/>
            <color indexed="81"/>
            <rFont val="Tahoma"/>
            <family val="2"/>
          </rPr>
          <t>Swordsman_Mongol</t>
        </r>
      </text>
    </comment>
    <comment ref="AV5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Kris Swordsman</t>
        </r>
      </text>
    </comment>
    <comment ref="AY5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Mohawk Warrior</t>
        </r>
      </text>
    </comment>
    <comment ref="BA51" authorId="1" shapeId="0">
      <text>
        <r>
          <rPr>
            <sz val="9"/>
            <color indexed="81"/>
            <rFont val="Tahoma"/>
            <family val="2"/>
          </rPr>
          <t>Swordsman_Maya</t>
        </r>
      </text>
    </comment>
    <comment ref="BB51" authorId="1" shapeId="0">
      <text>
        <r>
          <rPr>
            <sz val="9"/>
            <color indexed="81"/>
            <rFont val="Tahoma"/>
            <family val="2"/>
          </rPr>
          <t>Swordsman_Aztec</t>
        </r>
      </text>
    </comment>
    <comment ref="BC51" authorId="1" shapeId="0">
      <text>
        <r>
          <rPr>
            <sz val="9"/>
            <color indexed="81"/>
            <rFont val="Tahoma"/>
            <family val="2"/>
          </rPr>
          <t>Swordsman_Inca</t>
        </r>
      </text>
    </comment>
    <comment ref="BE51" authorId="1" shapeId="0">
      <text>
        <r>
          <rPr>
            <sz val="9"/>
            <color indexed="81"/>
            <rFont val="Tahoma"/>
            <family val="2"/>
          </rPr>
          <t>hawaii_ikaika</t>
        </r>
      </text>
    </comment>
    <comment ref="BF51" authorId="1" shapeId="0">
      <text>
        <r>
          <rPr>
            <sz val="9"/>
            <color indexed="81"/>
            <rFont val="Tahoma"/>
            <family val="2"/>
          </rPr>
          <t>PolynesianFootman</t>
        </r>
      </text>
    </comment>
    <comment ref="C52" authorId="1" shapeId="0">
      <text>
        <r>
          <rPr>
            <sz val="9"/>
            <color indexed="81"/>
            <rFont val="Tahoma"/>
            <family val="2"/>
          </rPr>
          <t>M4A3E8_Sherman_Easy_Eight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Panzer_IV_Ausf_G</t>
        </r>
      </text>
    </comment>
    <comment ref="F52" authorId="1" shapeId="0">
      <text>
        <r>
          <rPr>
            <sz val="9"/>
            <color indexed="81"/>
            <rFont val="Tahoma"/>
            <family val="2"/>
          </rPr>
          <t>A27M_Cromwell</t>
        </r>
      </text>
    </comment>
    <comment ref="G52" authorId="1" shapeId="0">
      <text>
        <r>
          <rPr>
            <sz val="9"/>
            <color indexed="81"/>
            <rFont val="Tahoma"/>
            <family val="2"/>
          </rPr>
          <t>Somua_S-35</t>
        </r>
      </text>
    </comment>
    <comment ref="H52" authorId="1" shapeId="0">
      <text>
        <r>
          <rPr>
            <sz val="9"/>
            <color indexed="81"/>
            <rFont val="Tahoma"/>
            <family val="2"/>
          </rPr>
          <t>Panzer_V_Panther</t>
        </r>
      </text>
    </comment>
    <comment ref="I52" authorId="1" shapeId="0">
      <text>
        <r>
          <rPr>
            <sz val="9"/>
            <color indexed="81"/>
            <rFont val="Tahoma"/>
            <family val="2"/>
          </rPr>
          <t>MTSL-1GI4</t>
        </r>
      </text>
    </comment>
    <comment ref="L52" authorId="1" shapeId="0">
      <text>
        <r>
          <rPr>
            <sz val="9"/>
            <color indexed="81"/>
            <rFont val="Tahoma"/>
            <family val="2"/>
          </rPr>
          <t>Strv_M41</t>
        </r>
      </text>
    </comment>
    <comment ref="M52" authorId="1" shapeId="0">
      <text>
        <r>
          <rPr>
            <sz val="9"/>
            <color indexed="81"/>
            <rFont val="Tahoma"/>
            <family val="2"/>
          </rPr>
          <t>T-34-85</t>
        </r>
      </text>
    </comment>
    <comment ref="N52" authorId="1" shapeId="0">
      <text>
        <r>
          <rPr>
            <sz val="9"/>
            <color indexed="81"/>
            <rFont val="Tahoma"/>
            <family val="2"/>
          </rPr>
          <t>10TP</t>
        </r>
      </text>
    </comment>
    <comment ref="O52" authorId="2" shapeId="0">
      <text>
        <r>
          <rPr>
            <sz val="9"/>
            <color indexed="81"/>
            <rFont val="Tahoma"/>
            <family val="2"/>
          </rPr>
          <t>T-34-85</t>
        </r>
      </text>
    </comment>
    <comment ref="U52" authorId="1" shapeId="0">
      <text>
        <r>
          <rPr>
            <sz val="9"/>
            <color indexed="81"/>
            <rFont val="Tahoma"/>
            <family val="2"/>
          </rPr>
          <t>M13-40</t>
        </r>
      </text>
    </comment>
    <comment ref="V52" authorId="1" shapeId="0">
      <text>
        <r>
          <rPr>
            <sz val="9"/>
            <color indexed="81"/>
            <rFont val="Tahoma"/>
            <family val="2"/>
          </rPr>
          <t>Panzer_IV_Ausf_G_Spain</t>
        </r>
      </text>
    </comment>
    <comment ref="X52" authorId="1" shapeId="0">
      <text>
        <r>
          <rPr>
            <sz val="9"/>
            <color indexed="81"/>
            <rFont val="Tahoma"/>
            <family val="2"/>
          </rPr>
          <t>MediumTank_Generic</t>
        </r>
      </text>
    </comment>
    <comment ref="AL52" authorId="1" shapeId="0">
      <text>
        <r>
          <rPr>
            <sz val="9"/>
            <color indexed="81"/>
            <rFont val="Tahoma"/>
            <family val="2"/>
          </rPr>
          <t>41M_Turan_II</t>
        </r>
      </text>
    </comment>
    <comment ref="AP52" authorId="1" shapeId="0">
      <text>
        <r>
          <rPr>
            <sz val="9"/>
            <color indexed="81"/>
            <rFont val="Tahoma"/>
            <family val="2"/>
          </rPr>
          <t>M4A4_Sherman_V</t>
        </r>
      </text>
    </comment>
    <comment ref="AQ52" authorId="2" shapeId="0">
      <text>
        <r>
          <rPr>
            <sz val="9"/>
            <color indexed="81"/>
            <rFont val="Tahoma"/>
            <family val="2"/>
          </rPr>
          <t>M4A4_Sherman_V</t>
        </r>
      </text>
    </comment>
    <comment ref="AR52" authorId="1" shapeId="0">
      <text>
        <r>
          <rPr>
            <sz val="9"/>
            <color indexed="81"/>
            <rFont val="Tahoma"/>
            <family val="2"/>
          </rPr>
          <t>Type97_Shinhoto_Chi-Ha</t>
        </r>
      </text>
    </comment>
    <comment ref="AS53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Hwach'a</t>
        </r>
      </text>
    </comment>
    <comment ref="J54" authorId="1" shapeId="0">
      <text>
        <r>
          <rPr>
            <sz val="9"/>
            <color indexed="81"/>
            <rFont val="Tahoma"/>
            <family val="2"/>
          </rPr>
          <t>battle_galley</t>
        </r>
      </text>
    </comment>
    <comment ref="R54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Dromon</t>
        </r>
      </text>
    </comment>
    <comment ref="AE54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Quinquereme</t>
        </r>
      </text>
    </comment>
    <comment ref="D55" authorId="1" shapeId="0">
      <text>
        <r>
          <rPr>
            <sz val="9"/>
            <color indexed="81"/>
            <rFont val="Tahoma"/>
            <family val="2"/>
          </rPr>
          <t>AustriaWarrior</t>
        </r>
      </text>
    </comment>
    <comment ref="E55" authorId="1" shapeId="0">
      <text>
        <r>
          <rPr>
            <sz val="9"/>
            <color indexed="81"/>
            <rFont val="Tahoma"/>
            <family val="2"/>
          </rPr>
          <t>CelticCenn</t>
        </r>
      </text>
    </comment>
    <comment ref="F55" authorId="1" shapeId="0">
      <text>
        <r>
          <rPr>
            <sz val="9"/>
            <color indexed="81"/>
            <rFont val="Tahoma"/>
            <family val="2"/>
          </rPr>
          <t>EnglandWarrior</t>
        </r>
      </text>
    </comment>
    <comment ref="G55" authorId="1" shapeId="0">
      <text>
        <r>
          <rPr>
            <sz val="9"/>
            <color indexed="81"/>
            <rFont val="Tahoma"/>
            <family val="2"/>
          </rPr>
          <t>FrankMilnaht</t>
        </r>
      </text>
    </comment>
    <comment ref="H55" authorId="1" shapeId="0">
      <text>
        <r>
          <rPr>
            <sz val="9"/>
            <color indexed="81"/>
            <rFont val="Tahoma"/>
            <family val="2"/>
          </rPr>
          <t>GermanicWarrior</t>
        </r>
      </text>
    </comment>
    <comment ref="I55" authorId="1" shapeId="0">
      <text>
        <r>
          <rPr>
            <sz val="9"/>
            <color indexed="81"/>
            <rFont val="Tahoma"/>
            <family val="2"/>
          </rPr>
          <t>DutchWarrior</t>
        </r>
      </text>
    </comment>
    <comment ref="J55" authorId="1" shapeId="0">
      <text>
        <r>
          <rPr>
            <sz val="9"/>
            <color indexed="81"/>
            <rFont val="Tahoma"/>
            <family val="2"/>
          </rPr>
          <t>DenmarkWarrior</t>
        </r>
      </text>
    </comment>
    <comment ref="K55" authorId="1" shapeId="0">
      <text>
        <r>
          <rPr>
            <sz val="9"/>
            <color indexed="81"/>
            <rFont val="Tahoma"/>
            <family val="2"/>
          </rPr>
          <t>DenmarkWarrior</t>
        </r>
      </text>
    </comment>
    <comment ref="L55" authorId="1" shapeId="0">
      <text>
        <r>
          <rPr>
            <sz val="9"/>
            <color indexed="81"/>
            <rFont val="Tahoma"/>
            <family val="2"/>
          </rPr>
          <t>SwedenAxe</t>
        </r>
      </text>
    </comment>
    <comment ref="M55" authorId="1" shapeId="0">
      <text>
        <r>
          <rPr>
            <sz val="9"/>
            <color indexed="81"/>
            <rFont val="Tahoma"/>
            <family val="2"/>
          </rPr>
          <t>BearWarrior</t>
        </r>
      </text>
    </comment>
    <comment ref="O55" authorId="1" shapeId="0">
      <text>
        <r>
          <rPr>
            <sz val="9"/>
            <color indexed="81"/>
            <rFont val="Tahoma"/>
            <family val="2"/>
          </rPr>
          <t>RussiaWarrior</t>
        </r>
      </text>
    </comment>
    <comment ref="P55" authorId="1" shapeId="0">
      <text>
        <r>
          <rPr>
            <sz val="9"/>
            <color indexed="81"/>
            <rFont val="Tahoma"/>
            <family val="2"/>
          </rPr>
          <t>HannibalMerc</t>
        </r>
      </text>
    </comment>
    <comment ref="R55" authorId="1" shapeId="0">
      <text>
        <r>
          <rPr>
            <sz val="9"/>
            <color indexed="81"/>
            <rFont val="Tahoma"/>
            <family val="2"/>
          </rPr>
          <t>ThraikanChosenPezoi</t>
        </r>
      </text>
    </comment>
    <comment ref="S55" authorId="1" shapeId="0">
      <text>
        <r>
          <rPr>
            <sz val="9"/>
            <color indexed="81"/>
            <rFont val="Tahoma"/>
            <family val="2"/>
          </rPr>
          <t>MycenaeSword</t>
        </r>
      </text>
    </comment>
    <comment ref="T55" authorId="1" shapeId="0">
      <text>
        <r>
          <rPr>
            <sz val="9"/>
            <color indexed="81"/>
            <rFont val="Tahoma"/>
            <family val="2"/>
          </rPr>
          <t>Caetranann</t>
        </r>
      </text>
    </comment>
    <comment ref="U55" authorId="1" shapeId="0">
      <text>
        <r>
          <rPr>
            <sz val="9"/>
            <color indexed="81"/>
            <rFont val="Tahoma"/>
            <family val="2"/>
          </rPr>
          <t>Hastati</t>
        </r>
      </text>
    </comment>
    <comment ref="V55" authorId="1" shapeId="0">
      <text>
        <r>
          <rPr>
            <sz val="9"/>
            <color indexed="81"/>
            <rFont val="Tahoma"/>
            <family val="2"/>
          </rPr>
          <t>Caetrati</t>
        </r>
      </text>
    </comment>
    <comment ref="X55" authorId="1" shapeId="0">
      <text>
        <r>
          <rPr>
            <sz val="9"/>
            <color indexed="81"/>
            <rFont val="Tahoma"/>
            <family val="2"/>
          </rPr>
          <t>MidEastWarrior</t>
        </r>
      </text>
    </comment>
    <comment ref="Y55" authorId="1" shapeId="0">
      <text>
        <r>
          <rPr>
            <sz val="9"/>
            <color indexed="81"/>
            <rFont val="Tahoma"/>
            <family val="2"/>
          </rPr>
          <t>Islamic-Semitic_Warrior</t>
        </r>
      </text>
    </comment>
    <comment ref="AA55" authorId="1" shapeId="0">
      <text>
        <r>
          <rPr>
            <sz val="9"/>
            <color indexed="81"/>
            <rFont val="Tahoma"/>
            <family val="2"/>
          </rPr>
          <t>Mesopotamic_warrior_tc</t>
        </r>
      </text>
    </comment>
    <comment ref="AB55" authorId="1" shapeId="0">
      <text>
        <r>
          <rPr>
            <sz val="9"/>
            <color indexed="81"/>
            <rFont val="Tahoma"/>
            <family val="2"/>
          </rPr>
          <t>egyption_warrior</t>
        </r>
      </text>
    </comment>
    <comment ref="AC55" authorId="1" shapeId="0">
      <text>
        <r>
          <rPr>
            <sz val="9"/>
            <color indexed="81"/>
            <rFont val="Tahoma"/>
            <family val="2"/>
          </rPr>
          <t>Islamic-Semitic_Warrior</t>
        </r>
      </text>
    </comment>
    <comment ref="AD55" authorId="1" shapeId="0">
      <text>
        <r>
          <rPr>
            <sz val="9"/>
            <color indexed="81"/>
            <rFont val="Tahoma"/>
            <family val="2"/>
          </rPr>
          <t>AfrWarrior</t>
        </r>
      </text>
    </comment>
    <comment ref="AE55" authorId="1" shapeId="0">
      <text>
        <r>
          <rPr>
            <sz val="9"/>
            <color indexed="81"/>
            <rFont val="Tahoma"/>
            <family val="2"/>
          </rPr>
          <t>CarthageWarrior</t>
        </r>
      </text>
    </comment>
    <comment ref="AG55" authorId="1" shapeId="0">
      <text>
        <r>
          <rPr>
            <sz val="9"/>
            <color indexed="81"/>
            <rFont val="Tahoma"/>
            <family val="2"/>
          </rPr>
          <t>impi_1</t>
        </r>
      </text>
    </comment>
    <comment ref="AH55" authorId="1" shapeId="0">
      <text>
        <r>
          <rPr>
            <sz val="9"/>
            <color indexed="81"/>
            <rFont val="Tahoma"/>
            <family val="2"/>
          </rPr>
          <t>BA_EthiopiaSpear</t>
        </r>
      </text>
    </comment>
    <comment ref="AI55" authorId="1" shapeId="0">
      <text>
        <r>
          <rPr>
            <sz val="9"/>
            <color indexed="81"/>
            <rFont val="Tahoma"/>
            <family val="2"/>
          </rPr>
          <t>AfrWarrior</t>
        </r>
      </text>
    </comment>
    <comment ref="AK55" authorId="1" shapeId="0">
      <text>
        <r>
          <rPr>
            <sz val="9"/>
            <color indexed="81"/>
            <rFont val="Tahoma"/>
            <family val="2"/>
          </rPr>
          <t>steppe_warrior</t>
        </r>
      </text>
    </comment>
    <comment ref="AL55" authorId="1" shapeId="0">
      <text>
        <r>
          <rPr>
            <sz val="9"/>
            <color indexed="81"/>
            <rFont val="Tahoma"/>
            <family val="2"/>
          </rPr>
          <t>ScythiaWarrior</t>
        </r>
      </text>
    </comment>
    <comment ref="AX55" authorId="1" shapeId="0">
      <text>
        <r>
          <rPr>
            <sz val="9"/>
            <color indexed="81"/>
            <rFont val="Tahoma"/>
            <family val="2"/>
          </rPr>
          <t>civ5_irowa1</t>
        </r>
      </text>
    </comment>
    <comment ref="BA55" authorId="1" shapeId="0">
      <text>
        <r>
          <rPr>
            <sz val="9"/>
            <color indexed="81"/>
            <rFont val="Tahoma"/>
            <family val="2"/>
          </rPr>
          <t>chimu_axeman</t>
        </r>
      </text>
    </comment>
    <comment ref="BB55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Jaguar</t>
        </r>
      </text>
    </comment>
    <comment ref="BC55" authorId="1" shapeId="0">
      <text>
        <r>
          <rPr>
            <sz val="9"/>
            <color indexed="81"/>
            <rFont val="Tahoma"/>
            <family val="2"/>
          </rPr>
          <t>Quechua</t>
        </r>
      </text>
    </comment>
    <comment ref="BD55" authorId="1" shapeId="0">
      <text>
        <r>
          <rPr>
            <sz val="9"/>
            <color indexed="81"/>
            <rFont val="Tahoma"/>
            <family val="2"/>
          </rPr>
          <t>MayaWarrior</t>
        </r>
      </text>
    </comment>
    <comment ref="BE55" authorId="1" shapeId="0">
      <text>
        <r>
          <rPr>
            <sz val="9"/>
            <color indexed="81"/>
            <rFont val="Tahoma"/>
            <family val="2"/>
          </rPr>
          <t>Oceanic_warrior</t>
        </r>
      </text>
    </comment>
    <comment ref="BF55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Maori Warrior</t>
        </r>
      </text>
    </comment>
    <comment ref="BH55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Brute</t>
        </r>
      </text>
    </comment>
    <comment ref="F56" authorId="1" shapeId="0">
      <text>
        <r>
          <rPr>
            <sz val="9"/>
            <color indexed="81"/>
            <rFont val="Tahoma"/>
            <family val="2"/>
          </rPr>
          <t>ShortBomber</t>
        </r>
      </text>
    </comment>
    <comment ref="C57" authorId="1" shapeId="0">
      <text>
        <r>
          <rPr>
            <sz val="9"/>
            <color indexed="81"/>
            <rFont val="Tahoma"/>
            <family val="2"/>
          </rPr>
          <t>SPAD_S.XIII</t>
        </r>
      </text>
    </comment>
    <comment ref="D57" authorId="1" shapeId="0">
      <text>
        <r>
          <rPr>
            <sz val="9"/>
            <color indexed="81"/>
            <rFont val="Tahoma"/>
            <family val="2"/>
          </rPr>
          <t>Albatros_D.III_Hungary</t>
        </r>
      </text>
    </comment>
    <comment ref="F57" authorId="1" shapeId="0">
      <text>
        <r>
          <rPr>
            <sz val="9"/>
            <color indexed="81"/>
            <rFont val="Tahoma"/>
            <family val="2"/>
          </rPr>
          <t>Spowith_Camel</t>
        </r>
      </text>
    </comment>
    <comment ref="G57" authorId="1" shapeId="0">
      <text>
        <r>
          <rPr>
            <sz val="9"/>
            <color indexed="81"/>
            <rFont val="Tahoma"/>
            <family val="2"/>
          </rPr>
          <t>Nieuport_17</t>
        </r>
      </text>
    </comment>
    <comment ref="H57" authorId="1" shapeId="0">
      <text>
        <r>
          <rPr>
            <sz val="9"/>
            <color indexed="81"/>
            <rFont val="Tahoma"/>
            <family val="2"/>
          </rPr>
          <t>Fokker_Dr.1</t>
        </r>
      </text>
    </comment>
    <comment ref="M57" authorId="1" shapeId="0">
      <text>
        <r>
          <rPr>
            <sz val="9"/>
            <color indexed="81"/>
            <rFont val="Tahoma"/>
            <family val="2"/>
          </rPr>
          <t>Albatros_D.III</t>
        </r>
      </text>
    </comment>
    <comment ref="N57" authorId="1" shapeId="0">
      <text>
        <r>
          <rPr>
            <sz val="9"/>
            <color indexed="81"/>
            <rFont val="Tahoma"/>
            <family val="2"/>
          </rPr>
          <t>Albatros_D.III</t>
        </r>
      </text>
    </comment>
    <comment ref="O57" authorId="1" shapeId="0">
      <text>
        <r>
          <rPr>
            <sz val="9"/>
            <color indexed="81"/>
            <rFont val="Tahoma"/>
            <family val="2"/>
          </rPr>
          <t>Polikarpov_Po-2</t>
        </r>
      </text>
    </comment>
    <comment ref="P57" authorId="1" shapeId="0">
      <text>
        <r>
          <rPr>
            <sz val="9"/>
            <color indexed="81"/>
            <rFont val="Tahoma"/>
            <family val="2"/>
          </rPr>
          <t>Ansaldo_SVA-5_tc</t>
        </r>
      </text>
    </comment>
    <comment ref="U57" authorId="1" shapeId="0">
      <text>
        <r>
          <rPr>
            <sz val="9"/>
            <color indexed="81"/>
            <rFont val="Tahoma"/>
            <family val="2"/>
          </rPr>
          <t>Ansaldo_SVA-5</t>
        </r>
      </text>
    </comment>
    <comment ref="AL57" authorId="1" shapeId="0">
      <text>
        <r>
          <rPr>
            <sz val="9"/>
            <color indexed="81"/>
            <rFont val="Tahoma"/>
            <family val="2"/>
          </rPr>
          <t>Fokker_D.VII</t>
        </r>
      </text>
    </comment>
    <comment ref="AM57" authorId="1" shapeId="0">
      <text>
        <r>
          <rPr>
            <sz val="9"/>
            <color indexed="81"/>
            <rFont val="Tahoma"/>
            <family val="2"/>
          </rPr>
          <t>HalberstadtDII</t>
        </r>
      </text>
    </comment>
    <comment ref="AN57" authorId="1" shapeId="0">
      <text>
        <r>
          <rPr>
            <sz val="9"/>
            <color indexed="81"/>
            <rFont val="Tahoma"/>
            <family val="2"/>
          </rPr>
          <t>Nieuport_17_tc</t>
        </r>
      </text>
    </comment>
    <comment ref="AP57" authorId="1" shapeId="0">
      <text>
        <r>
          <rPr>
            <sz val="9"/>
            <color indexed="81"/>
            <rFont val="Tahoma"/>
            <family val="2"/>
          </rPr>
          <t>Kawasaki_Ki-10_Perry</t>
        </r>
      </text>
    </comment>
    <comment ref="AQ57" authorId="1" shapeId="0">
      <text>
        <r>
          <rPr>
            <sz val="9"/>
            <color indexed="81"/>
            <rFont val="Tahoma"/>
            <family val="2"/>
          </rPr>
          <t>Polikarpov_I-15_China</t>
        </r>
      </text>
    </comment>
    <comment ref="AR57" authorId="2" shapeId="0">
      <text>
        <r>
          <rPr>
            <sz val="9"/>
            <color indexed="81"/>
            <rFont val="Tahoma"/>
            <family val="2"/>
          </rPr>
          <t>Kawasaki_Ki-10_Perry</t>
        </r>
      </text>
    </comment>
    <comment ref="C58" authorId="1" shapeId="0">
      <text>
        <r>
          <rPr>
            <sz val="9"/>
            <color indexed="81"/>
            <rFont val="Tahoma"/>
            <family val="2"/>
          </rPr>
          <t>usagw1</t>
        </r>
      </text>
    </comment>
    <comment ref="D58" authorId="1" shapeId="0">
      <text>
        <r>
          <rPr>
            <sz val="9"/>
            <color indexed="81"/>
            <rFont val="Tahoma"/>
            <family val="2"/>
          </rPr>
          <t>ausgw1</t>
        </r>
      </text>
    </comment>
    <comment ref="F58" authorId="1" shapeId="0">
      <text>
        <r>
          <rPr>
            <sz val="9"/>
            <color indexed="81"/>
            <rFont val="Tahoma"/>
            <family val="2"/>
          </rPr>
          <t>brigw1</t>
        </r>
      </text>
    </comment>
    <comment ref="G58" authorId="1" shapeId="0">
      <text>
        <r>
          <rPr>
            <sz val="9"/>
            <color indexed="81"/>
            <rFont val="Tahoma"/>
            <family val="2"/>
          </rPr>
          <t>fregw1</t>
        </r>
      </text>
    </comment>
    <comment ref="H58" authorId="1" shapeId="0">
      <text>
        <r>
          <rPr>
            <sz val="9"/>
            <color indexed="81"/>
            <rFont val="Tahoma"/>
            <family val="2"/>
          </rPr>
          <t>gergw1</t>
        </r>
      </text>
    </comment>
    <comment ref="M58" authorId="1" shapeId="0">
      <text>
        <r>
          <rPr>
            <sz val="9"/>
            <color indexed="81"/>
            <rFont val="Tahoma"/>
            <family val="2"/>
          </rPr>
          <t>rusgw1</t>
        </r>
      </text>
    </comment>
    <comment ref="O58" authorId="1" shapeId="0">
      <text>
        <r>
          <rPr>
            <sz val="9"/>
            <color indexed="81"/>
            <rFont val="Tahoma"/>
            <family val="2"/>
          </rPr>
          <t>rusgw1</t>
        </r>
      </text>
    </comment>
    <comment ref="P58" authorId="1" shapeId="0">
      <text>
        <r>
          <rPr>
            <sz val="9"/>
            <color indexed="81"/>
            <rFont val="Tahoma"/>
            <family val="2"/>
          </rPr>
          <t>gregw1</t>
        </r>
      </text>
    </comment>
    <comment ref="S58" authorId="1" shapeId="0">
      <text>
        <r>
          <rPr>
            <sz val="9"/>
            <color indexed="81"/>
            <rFont val="Tahoma"/>
            <family val="2"/>
          </rPr>
          <t>gregw1</t>
        </r>
      </text>
    </comment>
    <comment ref="U58" authorId="1" shapeId="0">
      <text>
        <r>
          <rPr>
            <sz val="9"/>
            <color indexed="81"/>
            <rFont val="Tahoma"/>
            <family val="2"/>
          </rPr>
          <t>itagw1</t>
        </r>
      </text>
    </comment>
    <comment ref="X58" authorId="1" shapeId="0">
      <text>
        <r>
          <rPr>
            <sz val="9"/>
            <color indexed="81"/>
            <rFont val="Tahoma"/>
            <family val="2"/>
          </rPr>
          <t>aragw1</t>
        </r>
      </text>
    </comment>
    <comment ref="AK58" authorId="1" shapeId="0">
      <text>
        <r>
          <rPr>
            <sz val="9"/>
            <color indexed="81"/>
            <rFont val="Tahoma"/>
            <family val="2"/>
          </rPr>
          <t>ottgw1</t>
        </r>
      </text>
    </comment>
    <comment ref="AM58" authorId="1" shapeId="0">
      <text>
        <r>
          <rPr>
            <sz val="9"/>
            <color indexed="81"/>
            <rFont val="Tahoma"/>
            <family val="2"/>
          </rPr>
          <t>ottgw1</t>
        </r>
      </text>
    </comment>
    <comment ref="AN58" authorId="1" shapeId="0">
      <text>
        <r>
          <rPr>
            <sz val="9"/>
            <color indexed="81"/>
            <rFont val="Tahoma"/>
            <family val="2"/>
          </rPr>
          <t>indgw1</t>
        </r>
      </text>
    </comment>
    <comment ref="AR58" authorId="1" shapeId="0">
      <text>
        <r>
          <rPr>
            <sz val="9"/>
            <color indexed="81"/>
            <rFont val="Tahoma"/>
            <family val="2"/>
          </rPr>
          <t>japgw1</t>
        </r>
      </text>
    </comment>
    <comment ref="AX58" authorId="1" shapeId="0">
      <text>
        <r>
          <rPr>
            <sz val="9"/>
            <color indexed="81"/>
            <rFont val="Tahoma"/>
            <family val="2"/>
          </rPr>
          <t>civ5_irogwi1</t>
        </r>
      </text>
    </comment>
    <comment ref="C59" authorId="1" shapeId="0">
      <text>
        <r>
          <rPr>
            <sz val="9"/>
            <color indexed="81"/>
            <rFont val="Tahoma"/>
            <family val="2"/>
          </rPr>
          <t>M1917</t>
        </r>
      </text>
    </comment>
    <comment ref="D59" authorId="1" shapeId="0">
      <text>
        <r>
          <rPr>
            <sz val="9"/>
            <color indexed="81"/>
            <rFont val="Tahoma"/>
            <family val="2"/>
          </rPr>
          <t>LK_II</t>
        </r>
      </text>
    </comment>
    <comment ref="E59" authorId="1" shapeId="0">
      <text>
        <r>
          <rPr>
            <sz val="9"/>
            <color indexed="81"/>
            <rFont val="Tahoma"/>
            <family val="2"/>
          </rPr>
          <t>MK_A_Whippet</t>
        </r>
      </text>
    </comment>
    <comment ref="F59" authorId="1" shapeId="0">
      <text>
        <r>
          <rPr>
            <sz val="9"/>
            <color indexed="81"/>
            <rFont val="Tahoma"/>
            <family val="2"/>
          </rPr>
          <t>WhippetMkABritish</t>
        </r>
      </text>
    </comment>
    <comment ref="G59" authorId="1" shapeId="0">
      <text>
        <r>
          <rPr>
            <sz val="9"/>
            <color indexed="81"/>
            <rFont val="Tahoma"/>
            <family val="2"/>
          </rPr>
          <t>Renault_FT-17</t>
        </r>
      </text>
    </comment>
    <comment ref="H59" authorId="1" shapeId="0">
      <text>
        <r>
          <rPr>
            <sz val="9"/>
            <color indexed="81"/>
            <rFont val="Tahoma"/>
            <family val="2"/>
          </rPr>
          <t>A7V</t>
        </r>
      </text>
    </comment>
    <comment ref="L59" authorId="1" shapeId="0">
      <text>
        <r>
          <rPr>
            <sz val="9"/>
            <color indexed="81"/>
            <rFont val="Tahoma"/>
            <family val="2"/>
          </rPr>
          <t>Strv_M21</t>
        </r>
      </text>
    </comment>
    <comment ref="M59" authorId="1" shapeId="0">
      <text>
        <r>
          <rPr>
            <sz val="9"/>
            <color indexed="81"/>
            <rFont val="Tahoma"/>
            <family val="2"/>
          </rPr>
          <t>RenaultFTPlainGreen</t>
        </r>
      </text>
    </comment>
    <comment ref="N59" authorId="1" shapeId="0">
      <text>
        <r>
          <rPr>
            <sz val="9"/>
            <color indexed="81"/>
            <rFont val="Tahoma"/>
            <family val="2"/>
          </rPr>
          <t>Renault_FT-17_Poland</t>
        </r>
      </text>
    </comment>
    <comment ref="O59" authorId="1" shapeId="0">
      <text>
        <r>
          <rPr>
            <sz val="9"/>
            <color indexed="81"/>
            <rFont val="Tahoma"/>
            <family val="2"/>
          </rPr>
          <t>Renault_FT-17_Russia</t>
        </r>
      </text>
    </comment>
    <comment ref="Q59" authorId="1" shapeId="0">
      <text>
        <r>
          <rPr>
            <sz val="9"/>
            <color indexed="81"/>
            <rFont val="Tahoma"/>
            <family val="2"/>
          </rPr>
          <t>RenaultFTBrazil</t>
        </r>
      </text>
    </comment>
    <comment ref="S59" authorId="1" shapeId="0">
      <text>
        <r>
          <rPr>
            <sz val="9"/>
            <color indexed="81"/>
            <rFont val="Tahoma"/>
            <family val="2"/>
          </rPr>
          <t>Renault_FT-17_Greece</t>
        </r>
      </text>
    </comment>
    <comment ref="U59" authorId="1" shapeId="0">
      <text>
        <r>
          <rPr>
            <sz val="9"/>
            <color indexed="81"/>
            <rFont val="Tahoma"/>
            <family val="2"/>
          </rPr>
          <t>Fiat_3000</t>
        </r>
      </text>
    </comment>
    <comment ref="V59" authorId="1" shapeId="0">
      <text>
        <r>
          <rPr>
            <sz val="9"/>
            <color indexed="81"/>
            <rFont val="Tahoma"/>
            <family val="2"/>
          </rPr>
          <t>Renault_FT-17_Spain</t>
        </r>
      </text>
    </comment>
    <comment ref="AL59" authorId="2" shapeId="0">
      <text>
        <r>
          <rPr>
            <sz val="9"/>
            <color indexed="81"/>
            <rFont val="Tahoma"/>
            <family val="2"/>
          </rPr>
          <t>LK_II
(Austria)</t>
        </r>
      </text>
    </comment>
    <comment ref="AQ59" authorId="1" shapeId="0">
      <text>
        <r>
          <rPr>
            <sz val="9"/>
            <color indexed="81"/>
            <rFont val="Tahoma"/>
            <family val="2"/>
          </rPr>
          <t>Renault_FT-17_China</t>
        </r>
      </text>
    </comment>
    <comment ref="AR59" authorId="1" shapeId="0">
      <text>
        <r>
          <rPr>
            <sz val="9"/>
            <color indexed="81"/>
            <rFont val="Tahoma"/>
            <family val="2"/>
          </rPr>
          <t>Type79_Ko-Gata</t>
        </r>
      </text>
    </comment>
    <comment ref="C60" authorId="1" shapeId="0">
      <text>
        <r>
          <rPr>
            <sz val="9"/>
            <color indexed="81"/>
            <rFont val="Tahoma"/>
            <family val="2"/>
          </rPr>
          <t>Infantry_USA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Infantry_German_v2</t>
        </r>
      </text>
    </comment>
    <comment ref="F60" authorId="1" shapeId="0">
      <text>
        <r>
          <rPr>
            <sz val="9"/>
            <color indexed="81"/>
            <rFont val="Tahoma"/>
            <family val="2"/>
          </rPr>
          <t>Infantry_ENG</t>
        </r>
      </text>
    </comment>
    <comment ref="G60" authorId="1" shapeId="0">
      <text>
        <r>
          <rPr>
            <sz val="9"/>
            <color indexed="81"/>
            <rFont val="Tahoma"/>
            <family val="2"/>
          </rPr>
          <t>Infantry_France</t>
        </r>
      </text>
    </comment>
    <comment ref="H60" authorId="1" shapeId="0">
      <text>
        <r>
          <rPr>
            <sz val="9"/>
            <color indexed="81"/>
            <rFont val="Tahoma"/>
            <family val="2"/>
          </rPr>
          <t>Infantry_German</t>
        </r>
      </text>
    </comment>
    <comment ref="I60" authorId="1" shapeId="0">
      <text>
        <r>
          <rPr>
            <sz val="9"/>
            <color indexed="81"/>
            <rFont val="Tahoma"/>
            <family val="2"/>
          </rPr>
          <t>Infantry_Dutch</t>
        </r>
      </text>
    </comment>
    <comment ref="L60" authorId="1" shapeId="0">
      <text>
        <r>
          <rPr>
            <sz val="9"/>
            <color indexed="81"/>
            <rFont val="Tahoma"/>
            <family val="2"/>
          </rPr>
          <t>Infantry_Sweden</t>
        </r>
      </text>
    </comment>
    <comment ref="M60" authorId="1" shapeId="0">
      <text>
        <r>
          <rPr>
            <sz val="9"/>
            <color indexed="81"/>
            <rFont val="Tahoma"/>
            <family val="2"/>
          </rPr>
          <t>Infantry_Poland</t>
        </r>
      </text>
    </comment>
    <comment ref="O60" authorId="1" shapeId="0">
      <text>
        <r>
          <rPr>
            <sz val="9"/>
            <color indexed="81"/>
            <rFont val="Tahoma"/>
            <family val="2"/>
          </rPr>
          <t>Infantry_Russia</t>
        </r>
      </text>
    </comment>
    <comment ref="Q60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Pracinha</t>
        </r>
      </text>
    </comment>
    <comment ref="S60" authorId="1" shapeId="0">
      <text>
        <r>
          <rPr>
            <sz val="9"/>
            <color indexed="81"/>
            <rFont val="Tahoma"/>
            <family val="2"/>
          </rPr>
          <t>Infantry_Greece</t>
        </r>
      </text>
    </comment>
    <comment ref="U60" authorId="1" shapeId="0">
      <text>
        <r>
          <rPr>
            <sz val="9"/>
            <color indexed="81"/>
            <rFont val="Tahoma"/>
            <family val="2"/>
          </rPr>
          <t>Infantry_Italy</t>
        </r>
      </text>
    </comment>
    <comment ref="V60" authorId="1" shapeId="0">
      <text>
        <r>
          <rPr>
            <sz val="9"/>
            <color indexed="81"/>
            <rFont val="Tahoma"/>
            <family val="2"/>
          </rPr>
          <t>Infantry_Spain</t>
        </r>
      </text>
    </comment>
    <comment ref="AG60" authorId="1" shapeId="0">
      <text>
        <r>
          <rPr>
            <sz val="9"/>
            <color indexed="81"/>
            <rFont val="Tahoma"/>
            <family val="2"/>
          </rPr>
          <t>AfricanInfantry</t>
        </r>
      </text>
    </comment>
    <comment ref="AK60" authorId="1" shapeId="0">
      <text>
        <r>
          <rPr>
            <sz val="9"/>
            <color indexed="81"/>
            <rFont val="Tahoma"/>
            <family val="2"/>
          </rPr>
          <t>Infantry_Hungary</t>
        </r>
      </text>
    </comment>
    <comment ref="AP60" authorId="1" shapeId="0">
      <text>
        <r>
          <rPr>
            <sz val="9"/>
            <color indexed="81"/>
            <rFont val="Tahoma"/>
            <family val="2"/>
          </rPr>
          <t>Infantry_China</t>
        </r>
      </text>
    </comment>
    <comment ref="AQ60" authorId="1" shapeId="0">
      <text>
        <r>
          <rPr>
            <sz val="9"/>
            <color indexed="81"/>
            <rFont val="Tahoma"/>
            <family val="2"/>
          </rPr>
          <t>Infantry_China_Communist</t>
        </r>
      </text>
    </comment>
    <comment ref="AR60" authorId="1" shapeId="0">
      <text>
        <r>
          <rPr>
            <sz val="9"/>
            <color indexed="81"/>
            <rFont val="Tahoma"/>
            <family val="2"/>
          </rPr>
          <t>Infantry_Japan_Sword</t>
        </r>
      </text>
    </comment>
    <comment ref="AW60" authorId="1" shapeId="0">
      <text>
        <r>
          <rPr>
            <sz val="9"/>
            <color indexed="81"/>
            <rFont val="Tahoma"/>
            <family val="2"/>
          </rPr>
          <t>Infantry_China_Communist_v2</t>
        </r>
      </text>
    </comment>
    <comment ref="AX60" authorId="1" shapeId="0">
      <text>
        <r>
          <rPr>
            <sz val="9"/>
            <color indexed="81"/>
            <rFont val="Tahoma"/>
            <family val="2"/>
          </rPr>
          <t>civ5_iroinf1</t>
        </r>
      </text>
    </comment>
    <comment ref="F61" authorId="0" shapeId="0">
      <text>
        <r>
          <rPr>
            <sz val="9"/>
            <color indexed="81"/>
            <rFont val="Tahoma"/>
            <family val="2"/>
          </rPr>
          <t>EU: [XCOM with tiny flag]</t>
        </r>
      </text>
    </comment>
    <comment ref="V61" authorId="0" shapeId="0">
      <text>
        <r>
          <rPr>
            <sz val="9"/>
            <color indexed="81"/>
            <rFont val="Tahoma"/>
            <family val="2"/>
          </rPr>
          <t>EU: [XCOM with tiny flag]</t>
        </r>
      </text>
    </comment>
    <comment ref="I62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Sea Beggar</t>
        </r>
      </text>
    </comment>
    <comment ref="E66" authorId="1" shapeId="0">
      <text>
        <r>
          <rPr>
            <sz val="9"/>
            <color indexed="81"/>
            <rFont val="Tahoma"/>
            <family val="2"/>
          </rPr>
          <t>wizard_fire</t>
        </r>
      </text>
    </comment>
    <comment ref="X66" authorId="1" shapeId="0">
      <text>
        <r>
          <rPr>
            <sz val="9"/>
            <color indexed="81"/>
            <rFont val="Tahoma"/>
            <family val="2"/>
          </rPr>
          <t>Assassin</t>
        </r>
      </text>
    </comment>
    <comment ref="AD66" authorId="2" shapeId="0">
      <text>
        <r>
          <rPr>
            <b/>
            <sz val="9"/>
            <color indexed="81"/>
            <rFont val="Tahoma"/>
            <family val="2"/>
          </rPr>
          <t>Assassin</t>
        </r>
      </text>
    </comment>
    <comment ref="AG66" authorId="2" shapeId="0">
      <text>
        <r>
          <rPr>
            <sz val="9"/>
            <color indexed="81"/>
            <rFont val="Tahoma"/>
            <family val="2"/>
          </rPr>
          <t>Assassin</t>
        </r>
      </text>
    </comment>
    <comment ref="AK66" authorId="2" shapeId="0">
      <text>
        <r>
          <rPr>
            <sz val="9"/>
            <color indexed="81"/>
            <rFont val="Tahoma"/>
            <family val="2"/>
          </rPr>
          <t>Assassin</t>
        </r>
      </text>
    </comment>
    <comment ref="AN66" authorId="2" shapeId="0">
      <text>
        <r>
          <rPr>
            <sz val="9"/>
            <color indexed="81"/>
            <rFont val="Tahoma"/>
            <family val="2"/>
          </rPr>
          <t>WarriorMonk_Japan_v2</t>
        </r>
      </text>
    </comment>
    <comment ref="AP66" authorId="1" shapeId="0">
      <text>
        <r>
          <rPr>
            <sz val="9"/>
            <color indexed="81"/>
            <rFont val="Tahoma"/>
            <family val="2"/>
          </rPr>
          <t>WarriorMonk_Japan_v2</t>
        </r>
      </text>
    </comment>
    <comment ref="AU66" authorId="2" shapeId="0">
      <text>
        <r>
          <rPr>
            <sz val="9"/>
            <color indexed="81"/>
            <rFont val="Tahoma"/>
            <family val="2"/>
          </rPr>
          <t>WarriorMonk_Japan_v2</t>
        </r>
      </text>
    </comment>
    <comment ref="AX66" authorId="1" shapeId="0">
      <text>
        <r>
          <rPr>
            <sz val="9"/>
            <color indexed="81"/>
            <rFont val="Tahoma"/>
            <family val="2"/>
          </rPr>
          <t>moche_maceman</t>
        </r>
      </text>
    </comment>
    <comment ref="BA66" authorId="1" shapeId="0">
      <text>
        <r>
          <rPr>
            <sz val="9"/>
            <color indexed="81"/>
            <rFont val="Tahoma"/>
            <family val="2"/>
          </rPr>
          <t>battle_priest_tc</t>
        </r>
      </text>
    </comment>
    <comment ref="E67" authorId="1" shapeId="0">
      <text>
        <r>
          <rPr>
            <sz val="9"/>
            <color indexed="81"/>
            <rFont val="Tahoma"/>
            <family val="2"/>
          </rPr>
          <t>druid</t>
        </r>
      </text>
    </comment>
    <comment ref="AG67" authorId="1" shapeId="0">
      <text>
        <r>
          <rPr>
            <sz val="9"/>
            <color indexed="81"/>
            <rFont val="Tahoma"/>
            <family val="2"/>
          </rPr>
          <t>EthiopianScout</t>
        </r>
      </text>
    </comment>
    <comment ref="AP67" authorId="1" shapeId="0">
      <text>
        <r>
          <rPr>
            <sz val="9"/>
            <color indexed="81"/>
            <rFont val="Tahoma"/>
            <family val="2"/>
          </rPr>
          <t>buddhist_missionary</t>
        </r>
      </text>
    </comment>
    <comment ref="AU67" authorId="2" shapeId="0">
      <text>
        <r>
          <rPr>
            <sz val="9"/>
            <color indexed="81"/>
            <rFont val="Tahoma"/>
            <family val="2"/>
          </rPr>
          <t>buddhist_missionary</t>
        </r>
      </text>
    </comment>
    <comment ref="AX67" authorId="1" shapeId="0">
      <text>
        <r>
          <rPr>
            <sz val="9"/>
            <color indexed="81"/>
            <rFont val="Tahoma"/>
            <family val="2"/>
          </rPr>
          <t>u_anishinaabe_medicine_man</t>
        </r>
      </text>
    </comment>
    <comment ref="BA67" authorId="1" shapeId="0">
      <text>
        <r>
          <rPr>
            <sz val="9"/>
            <color indexed="81"/>
            <rFont val="Tahoma"/>
            <family val="2"/>
          </rPr>
          <t>caravan_andes</t>
        </r>
      </text>
    </comment>
    <comment ref="AD68" authorId="2" shapeId="0">
      <text>
        <r>
          <rPr>
            <sz val="9"/>
            <color indexed="81"/>
            <rFont val="Tahoma"/>
            <family val="2"/>
          </rPr>
          <t>Settlers_AFRI_Camel</t>
        </r>
      </text>
    </comment>
    <comment ref="AG68" authorId="1" shapeId="0">
      <text>
        <r>
          <rPr>
            <sz val="9"/>
            <color indexed="81"/>
            <rFont val="Tahoma"/>
            <family val="2"/>
          </rPr>
          <t>Settlers_AFRI_Camel</t>
        </r>
      </text>
    </comment>
    <comment ref="AK68" authorId="2" shapeId="0">
      <text>
        <r>
          <rPr>
            <sz val="9"/>
            <color indexed="81"/>
            <rFont val="Tahoma"/>
            <family val="2"/>
          </rPr>
          <t>EuroDonkey</t>
        </r>
      </text>
    </comment>
    <comment ref="AP68" authorId="1" shapeId="0">
      <text>
        <r>
          <rPr>
            <sz val="9"/>
            <color indexed="81"/>
            <rFont val="Tahoma"/>
            <family val="2"/>
          </rPr>
          <t>Settlers_Asian_Ox</t>
        </r>
      </text>
    </comment>
    <comment ref="AX68" authorId="1" shapeId="0">
      <text>
        <r>
          <rPr>
            <sz val="9"/>
            <color indexed="81"/>
            <rFont val="Tahoma"/>
            <family val="2"/>
          </rPr>
          <t>SettlerAmerican_Llama</t>
        </r>
      </text>
    </comment>
    <comment ref="BE68" authorId="2" shapeId="0">
      <text>
        <r>
          <rPr>
            <sz val="9"/>
            <color indexed="81"/>
            <rFont val="Tahoma"/>
            <family val="2"/>
          </rPr>
          <t>EuroDonkey</t>
        </r>
      </text>
    </comment>
    <comment ref="K74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Longboat</t>
        </r>
      </text>
    </comment>
    <comment ref="M74" authorId="1" shapeId="0">
      <text>
        <r>
          <rPr>
            <sz val="9"/>
            <color indexed="81"/>
            <rFont val="Tahoma"/>
            <family val="2"/>
          </rPr>
          <t>Infantry_Poland</t>
        </r>
      </text>
    </comment>
    <comment ref="AG74" authorId="1" shapeId="0">
      <text>
        <r>
          <rPr>
            <sz val="9"/>
            <color indexed="81"/>
            <rFont val="Tahoma"/>
            <family val="2"/>
          </rPr>
          <t>AfricanInfantry</t>
        </r>
      </text>
    </comment>
    <comment ref="AK74" authorId="1" shapeId="0">
      <text>
        <r>
          <rPr>
            <sz val="9"/>
            <color indexed="81"/>
            <rFont val="Tahoma"/>
            <family val="2"/>
          </rPr>
          <t>Infantry_Hungary</t>
        </r>
      </text>
    </comment>
    <comment ref="AP74" authorId="1" shapeId="0">
      <text>
        <r>
          <rPr>
            <sz val="9"/>
            <color indexed="81"/>
            <rFont val="Tahoma"/>
            <family val="2"/>
          </rPr>
          <t>Infantry_China</t>
        </r>
      </text>
    </comment>
    <comment ref="AX74" authorId="1" shapeId="0">
      <text>
        <r>
          <rPr>
            <sz val="9"/>
            <color indexed="81"/>
            <rFont val="Tahoma"/>
            <family val="2"/>
          </rPr>
          <t>civ5_iroinf1</t>
        </r>
      </text>
    </comment>
    <comment ref="BF74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War Canoe</t>
        </r>
      </text>
    </comment>
    <comment ref="B75" authorId="1" shapeId="0">
      <text>
        <r>
          <rPr>
            <sz val="9"/>
            <color indexed="81"/>
            <rFont val="Tahoma"/>
            <family val="2"/>
          </rPr>
          <t>euro_galleon</t>
        </r>
      </text>
    </comment>
    <comment ref="F75" authorId="1" shapeId="0">
      <text>
        <r>
          <rPr>
            <sz val="9"/>
            <color indexed="81"/>
            <rFont val="Tahoma"/>
            <family val="2"/>
          </rPr>
          <t>english_galleon</t>
        </r>
      </text>
    </comment>
    <comment ref="G75" authorId="1" shapeId="0">
      <text>
        <r>
          <rPr>
            <sz val="9"/>
            <color indexed="81"/>
            <rFont val="Tahoma"/>
            <family val="2"/>
          </rPr>
          <t>french_galleon</t>
        </r>
      </text>
    </comment>
    <comment ref="H75" authorId="1" shapeId="0">
      <text>
        <r>
          <rPr>
            <sz val="9"/>
            <color indexed="81"/>
            <rFont val="Tahoma"/>
            <family val="2"/>
          </rPr>
          <t>prussian_galleon</t>
        </r>
      </text>
    </comment>
    <comment ref="K75" authorId="1" shapeId="0">
      <text>
        <r>
          <rPr>
            <sz val="9"/>
            <color indexed="81"/>
            <rFont val="Tahoma"/>
            <family val="2"/>
          </rPr>
          <t>danish_galleon</t>
        </r>
      </text>
    </comment>
    <comment ref="L75" authorId="1" shapeId="0">
      <text>
        <r>
          <rPr>
            <sz val="9"/>
            <color indexed="81"/>
            <rFont val="Tahoma"/>
            <family val="2"/>
          </rPr>
          <t>swedish_galleon</t>
        </r>
      </text>
    </comment>
    <comment ref="O75" authorId="1" shapeId="0">
      <text>
        <r>
          <rPr>
            <sz val="9"/>
            <color indexed="81"/>
            <rFont val="Tahoma"/>
            <family val="2"/>
          </rPr>
          <t>russian_galleon</t>
        </r>
      </text>
    </comment>
    <comment ref="S75" authorId="1" shapeId="0">
      <text>
        <r>
          <rPr>
            <sz val="9"/>
            <color indexed="81"/>
            <rFont val="Tahoma"/>
            <family val="2"/>
          </rPr>
          <t>greek_galleon</t>
        </r>
      </text>
    </comment>
    <comment ref="T75" authorId="1" shapeId="0">
      <text>
        <r>
          <rPr>
            <sz val="9"/>
            <color indexed="81"/>
            <rFont val="Tahoma"/>
            <family val="2"/>
          </rPr>
          <t>portuguese_galleon</t>
        </r>
      </text>
    </comment>
    <comment ref="U75" authorId="1" shapeId="0">
      <text>
        <r>
          <rPr>
            <sz val="9"/>
            <color indexed="81"/>
            <rFont val="Tahoma"/>
            <family val="2"/>
          </rPr>
          <t>italian_galleon</t>
        </r>
      </text>
    </comment>
    <comment ref="V75" authorId="1" shapeId="0">
      <text>
        <r>
          <rPr>
            <sz val="9"/>
            <color indexed="81"/>
            <rFont val="Tahoma"/>
            <family val="2"/>
          </rPr>
          <t>spanish_galleon</t>
        </r>
      </text>
    </comment>
    <comment ref="B80" authorId="1" shapeId="0">
      <text>
        <r>
          <rPr>
            <sz val="9"/>
            <color indexed="81"/>
            <rFont val="Tahoma"/>
            <family val="2"/>
          </rPr>
          <t>SupplyTrain</t>
        </r>
      </text>
    </comment>
    <comment ref="F83" authorId="1" shapeId="0">
      <text>
        <r>
          <rPr>
            <sz val="9"/>
            <color indexed="81"/>
            <rFont val="Tahoma"/>
            <family val="2"/>
          </rPr>
          <t>carrack_eng</t>
        </r>
      </text>
    </comment>
    <comment ref="G83" authorId="1" shapeId="0">
      <text>
        <r>
          <rPr>
            <sz val="9"/>
            <color indexed="81"/>
            <rFont val="Tahoma"/>
            <family val="2"/>
          </rPr>
          <t>carrack_fra</t>
        </r>
      </text>
    </comment>
    <comment ref="H83" authorId="1" shapeId="0">
      <text>
        <r>
          <rPr>
            <sz val="9"/>
            <color indexed="81"/>
            <rFont val="Tahoma"/>
            <family val="2"/>
          </rPr>
          <t>cogge</t>
        </r>
      </text>
    </comment>
    <comment ref="L83" authorId="1" shapeId="0">
      <text>
        <r>
          <rPr>
            <sz val="9"/>
            <color indexed="81"/>
            <rFont val="Tahoma"/>
            <family val="2"/>
          </rPr>
          <t>carrack_swe</t>
        </r>
      </text>
    </comment>
    <comment ref="O83" authorId="1" shapeId="0">
      <text>
        <r>
          <rPr>
            <sz val="9"/>
            <color indexed="81"/>
            <rFont val="Tahoma"/>
            <family val="2"/>
          </rPr>
          <t>carrack_rus</t>
        </r>
      </text>
    </comment>
    <comment ref="P83" authorId="1" shapeId="0">
      <text>
        <r>
          <rPr>
            <sz val="9"/>
            <color indexed="81"/>
            <rFont val="Tahoma"/>
            <family val="2"/>
          </rPr>
          <t>carrack</t>
        </r>
      </text>
    </comment>
    <comment ref="U83" authorId="1" shapeId="0">
      <text>
        <r>
          <rPr>
            <sz val="9"/>
            <color indexed="81"/>
            <rFont val="Tahoma"/>
            <family val="2"/>
          </rPr>
          <t>carrack_ita</t>
        </r>
      </text>
    </comment>
    <comment ref="V83" authorId="1" shapeId="0">
      <text>
        <r>
          <rPr>
            <sz val="9"/>
            <color indexed="81"/>
            <rFont val="Tahoma"/>
            <family val="2"/>
          </rPr>
          <t>U_Spanish_Galleon</t>
        </r>
      </text>
    </comment>
    <comment ref="AD83" authorId="1" shapeId="0">
      <text>
        <r>
          <rPr>
            <sz val="9"/>
            <color indexed="81"/>
            <rFont val="Tahoma"/>
            <family val="2"/>
          </rPr>
          <t>carrack_alg</t>
        </r>
      </text>
    </comment>
    <comment ref="AM83" authorId="1" shapeId="0">
      <text>
        <r>
          <rPr>
            <sz val="9"/>
            <color indexed="81"/>
            <rFont val="Tahoma"/>
            <family val="2"/>
          </rPr>
          <t>carrack_ott</t>
        </r>
      </text>
    </comment>
    <comment ref="U87" authorId="1" shapeId="0">
      <text>
        <r>
          <rPr>
            <sz val="9"/>
            <color indexed="81"/>
            <rFont val="Tahoma"/>
            <family val="2"/>
          </rPr>
          <t>rom_general_d</t>
        </r>
      </text>
    </comment>
    <comment ref="AT8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Khan</t>
        </r>
      </text>
    </comment>
    <comment ref="W9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Merchant of Venice</t>
        </r>
      </text>
    </comment>
    <comment ref="AP103" authorId="1" shapeId="0">
      <text>
        <r>
          <rPr>
            <sz val="9"/>
            <color indexed="81"/>
            <rFont val="Tahoma"/>
            <family val="2"/>
          </rPr>
          <t>worker_buddhist</t>
        </r>
      </text>
    </comment>
    <comment ref="BA103" authorId="1" shapeId="0">
      <text>
        <r>
          <rPr>
            <sz val="9"/>
            <color indexed="81"/>
            <rFont val="Tahoma"/>
            <family val="2"/>
          </rPr>
          <t>worker_andes</t>
        </r>
      </text>
    </comment>
    <comment ref="I104" authorId="1" shapeId="0">
      <text>
        <r>
          <rPr>
            <sz val="9"/>
            <color indexed="81"/>
            <rFont val="Tahoma"/>
            <family val="2"/>
          </rPr>
          <t>CIV5Nedwo</t>
        </r>
      </text>
    </comment>
  </commentList>
</comments>
</file>

<file path=xl/comments2.xml><?xml version="1.0" encoding="utf-8"?>
<comments xmlns="http://schemas.openxmlformats.org/spreadsheetml/2006/main">
  <authors>
    <author>Eric Nussbaum</author>
    <author>Nutty</author>
  </authors>
  <commentList>
    <comment ref="R2" authorId="0" shapeId="0">
      <text>
        <r>
          <rPr>
            <sz val="9"/>
            <color indexed="81"/>
            <rFont val="Tahoma"/>
            <family val="2"/>
          </rPr>
          <t>Just Ethnic Diversity (i.e., same scale as vanilla)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Regiment and Ethnic Diversity realism scale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Regiment and Ethnic Diversity Xtreme realism scale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Single Unit Graphics</t>
        </r>
      </text>
    </comment>
    <comment ref="AD2" authorId="0" shapeId="0">
      <text>
        <r>
          <rPr>
            <sz val="9"/>
            <color indexed="81"/>
            <rFont val="Tahoma"/>
            <family val="2"/>
          </rPr>
          <t>Single Unit Graphics - Large Units</t>
        </r>
      </text>
    </comment>
    <comment ref="AG2" authorId="0" shapeId="0">
      <text>
        <r>
          <rPr>
            <sz val="9"/>
            <color indexed="81"/>
            <rFont val="Tahoma"/>
            <family val="2"/>
          </rPr>
          <t>Reduced Unit Graphics (3 or less models per unit formation)</t>
        </r>
      </text>
    </comment>
    <comment ref="AJ2" authorId="0" shapeId="0">
      <text>
        <r>
          <rPr>
            <sz val="9"/>
            <color indexed="81"/>
            <rFont val="Tahoma"/>
            <family val="2"/>
          </rPr>
          <t>Fewer Unit Graphics (7 or less models per unit formation)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>Code for infantry soldiers</t>
        </r>
      </text>
    </comment>
    <comment ref="P5" authorId="0" shapeId="0">
      <text>
        <r>
          <rPr>
            <sz val="9"/>
            <color indexed="81"/>
            <rFont val="Tahoma"/>
            <family val="2"/>
          </rPr>
          <t>Code for mounted units</t>
        </r>
      </text>
    </comment>
    <comment ref="P6" authorId="0" shapeId="0">
      <text>
        <r>
          <rPr>
            <sz val="9"/>
            <color indexed="81"/>
            <rFont val="Tahoma"/>
            <family val="2"/>
          </rPr>
          <t>Modded units (i.e., units not in this table)
To use multipliers instead, see "Mods" below.
[PLANNED FEATURE, NOT ACTIVE YET]</t>
        </r>
      </text>
    </comment>
    <comment ref="P7" authorId="0" shapeId="0">
      <text>
        <r>
          <rPr>
            <sz val="9"/>
            <color indexed="81"/>
            <rFont val="Tahoma"/>
            <family val="2"/>
          </rPr>
          <t>Multiplier code</t>
        </r>
      </text>
    </comment>
    <comment ref="P8" authorId="0" shapeId="0">
      <text>
        <r>
          <rPr>
            <sz val="9"/>
            <color indexed="81"/>
            <rFont val="Tahoma"/>
            <family val="2"/>
          </rPr>
          <t>Where blank, use another scaling option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Mod units multipliers:
Over "++" NumMembers,
Between "+" and "++" NumMembers, and
Under "-" NumMembers
[PLANNED FEATURE, NOT ACTIVE YET]</t>
        </r>
      </text>
    </comment>
    <comment ref="A13" authorId="1" shapeId="0">
      <text>
        <r>
          <rPr>
            <sz val="9"/>
            <color indexed="81"/>
            <rFont val="Tahoma"/>
            <family val="2"/>
          </rPr>
          <t>[used by "Road to 100%" sheet]</t>
        </r>
      </text>
    </comment>
    <comment ref="B13" authorId="1" shapeId="0">
      <text>
        <r>
          <rPr>
            <sz val="9"/>
            <color indexed="81"/>
            <rFont val="Tahoma"/>
            <family val="2"/>
          </rPr>
          <t>UNIT_*
[not used]</t>
        </r>
      </text>
    </comment>
    <comment ref="C13" authorId="0" shapeId="0">
      <text>
        <r>
          <rPr>
            <sz val="9"/>
            <color indexed="81"/>
            <rFont val="Tahoma"/>
            <family val="2"/>
          </rPr>
          <t>See "Style List" tab for one of 2 suffixes that may apply to a given civ (a specific "Suffix" and a "Fallback")</t>
        </r>
      </text>
    </comment>
    <comment ref="D13" authorId="0" shapeId="0">
      <text>
        <r>
          <rPr>
            <sz val="9"/>
            <color indexed="81"/>
            <rFont val="Tahoma"/>
            <family val="2"/>
          </rPr>
          <t>You can override the general fallback suffix from "Style List" tab with a manual entry here.  Only used if fxsxml column is blank</t>
        </r>
      </text>
    </comment>
    <comment ref="E13" authorId="0" shapeId="0">
      <text>
        <r>
          <rPr>
            <sz val="9"/>
            <color indexed="81"/>
            <rFont val="Tahoma"/>
            <family val="2"/>
          </rPr>
          <t>ART_DEF_UNIT_*</t>
        </r>
      </text>
    </comment>
    <comment ref="F13" authorId="0" shapeId="0">
      <text>
        <r>
          <rPr>
            <sz val="9"/>
            <color indexed="81"/>
            <rFont val="Tahoma"/>
            <family val="2"/>
          </rPr>
          <t>ART_DEF_UNIT_MEMBER_*</t>
        </r>
      </text>
    </comment>
    <comment ref="G13" authorId="0" shapeId="0">
      <text>
        <r>
          <rPr>
            <sz val="9"/>
            <color indexed="81"/>
            <rFont val="Tahoma"/>
            <family val="2"/>
          </rPr>
          <t>ART_DEF_UNIT_MEMBER_[Member]_[Suffix]_*</t>
        </r>
      </text>
    </comment>
    <comment ref="H13" authorId="0" shapeId="0">
      <text>
        <r>
          <rPr>
            <sz val="9"/>
            <color indexed="81"/>
            <rFont val="Tahoma"/>
            <family val="2"/>
          </rPr>
          <t>Model reference. Do not include .fxsxml extension</t>
        </r>
      </text>
    </comment>
    <comment ref="I13" authorId="0" shapeId="0">
      <text>
        <r>
          <rPr>
            <b/>
            <sz val="9"/>
            <color indexed="81"/>
            <rFont val="Tahoma"/>
            <family val="2"/>
          </rPr>
          <t>Thank you all for your hard work!  This mod would not exist without you.</t>
        </r>
        <r>
          <rPr>
            <sz val="9"/>
            <color indexed="81"/>
            <rFont val="Tahoma"/>
            <family val="2"/>
          </rPr>
          <t xml:space="preserve">
Please let me know if there are any exclusions or errors.
[not used]</t>
        </r>
      </text>
    </comment>
    <comment ref="J13" authorId="1" shapeId="0">
      <text>
        <r>
          <rPr>
            <sz val="9"/>
            <color indexed="81"/>
            <rFont val="Tahoma"/>
            <family val="2"/>
          </rPr>
          <t>1 for units with era variation that should also get cultural variation
[not used]</t>
        </r>
      </text>
    </comment>
    <comment ref="K13" authorId="1" shapeId="0">
      <text>
        <r>
          <rPr>
            <sz val="9"/>
            <color indexed="81"/>
            <rFont val="Tahoma"/>
            <family val="2"/>
          </rPr>
          <t>1 for units added by a mod
[not used]</t>
        </r>
      </text>
    </comment>
    <comment ref="Q13" authorId="0" shapeId="0">
      <text>
        <r>
          <rPr>
            <sz val="9"/>
            <color indexed="81"/>
            <rFont val="Tahoma"/>
            <family val="2"/>
          </rPr>
          <t>Number of members within the unit formation for this model</t>
        </r>
      </text>
    </comment>
    <comment ref="R13" authorId="0" shapeId="0">
      <text>
        <r>
          <rPr>
            <sz val="9"/>
            <color indexed="81"/>
            <rFont val="Tahoma"/>
            <family val="2"/>
          </rPr>
          <t>Model size as a number, or one of the scaling codes listed above</t>
        </r>
      </text>
    </comment>
    <comment ref="S13" authorId="0" shapeId="0">
      <text>
        <r>
          <rPr>
            <sz val="9"/>
            <color indexed="81"/>
            <rFont val="Tahoma"/>
            <family val="2"/>
          </rPr>
          <t>Formation (see unitformations.xml)
Formation is per unit, not per member, so first line of multi-member will control</t>
        </r>
      </text>
    </comment>
    <comment ref="C273" authorId="1" shapeId="0">
      <text>
        <r>
          <rPr>
            <sz val="9"/>
            <color indexed="81"/>
            <rFont val="Tahoma"/>
            <family val="2"/>
          </rPr>
          <t>[not used]
B-1</t>
        </r>
      </text>
    </comment>
    <comment ref="A651" authorId="1" shapeId="0">
      <text>
        <r>
          <rPr>
            <sz val="9"/>
            <color indexed="81"/>
            <rFont val="Tahoma"/>
            <family val="2"/>
          </rPr>
          <t>See WW2_Infantry</t>
        </r>
      </text>
    </comment>
    <comment ref="C1019" authorId="1" shapeId="0">
      <text>
        <r>
          <rPr>
            <sz val="9"/>
            <color indexed="81"/>
            <rFont val="Tahoma"/>
            <family val="2"/>
          </rPr>
          <t>[not used]
Minuteman</t>
        </r>
      </text>
    </comment>
    <comment ref="C1329" authorId="1" shapeId="0">
      <text>
        <r>
          <rPr>
            <sz val="9"/>
            <color indexed="81"/>
            <rFont val="Tahoma"/>
            <family val="2"/>
          </rPr>
          <t>[not used]
Carolean</t>
        </r>
      </text>
    </comment>
    <comment ref="C1423" authorId="1" shapeId="0">
      <text>
        <r>
          <rPr>
            <sz val="9"/>
            <color indexed="81"/>
            <rFont val="Tahoma"/>
            <family val="2"/>
          </rPr>
          <t>[not used]
Hoplite</t>
        </r>
      </text>
    </comment>
  </commentList>
</comments>
</file>

<file path=xl/comments3.xml><?xml version="1.0" encoding="utf-8"?>
<comments xmlns="http://schemas.openxmlformats.org/spreadsheetml/2006/main">
  <authors>
    <author>Nutty</author>
  </authors>
  <commentList>
    <comment ref="B5" authorId="0" shapeId="0">
      <text>
        <r>
          <rPr>
            <sz val="9"/>
            <color indexed="81"/>
            <rFont val="Tahoma"/>
            <family val="2"/>
          </rPr>
          <t>0 for Civilizations
1 for MinorCivilizations</t>
        </r>
      </text>
    </comment>
    <comment ref="C5" authorId="0" shapeId="0">
      <text>
        <r>
          <rPr>
            <sz val="9"/>
            <color indexed="81"/>
            <rFont val="Tahoma"/>
            <family val="2"/>
          </rPr>
          <t>1 for units added by a mod
[not used]</t>
        </r>
      </text>
    </comment>
    <comment ref="F5" authorId="0" shapeId="0">
      <text>
        <r>
          <rPr>
            <sz val="9"/>
            <color indexed="81"/>
            <rFont val="Tahoma"/>
            <family val="2"/>
          </rPr>
          <t>ArtStyleType column</t>
        </r>
      </text>
    </comment>
  </commentList>
</comments>
</file>

<file path=xl/sharedStrings.xml><?xml version="1.0" encoding="utf-8"?>
<sst xmlns="http://schemas.openxmlformats.org/spreadsheetml/2006/main" count="15731" uniqueCount="2423">
  <si>
    <t>x</t>
  </si>
  <si>
    <t>-</t>
  </si>
  <si>
    <t>Caravan</t>
  </si>
  <si>
    <t>X</t>
  </si>
  <si>
    <t>Workboat</t>
  </si>
  <si>
    <t>[Denmark/Polynesia now change with era]</t>
  </si>
  <si>
    <t>Archaeologist</t>
  </si>
  <si>
    <t>Inquisitor</t>
  </si>
  <si>
    <t>Missionary</t>
  </si>
  <si>
    <t>Belgium/Swiss/East Euro. CS's</t>
  </si>
  <si>
    <t>[France former UU]</t>
  </si>
  <si>
    <t>Marine</t>
  </si>
  <si>
    <t>Levant CS's</t>
  </si>
  <si>
    <t>Trireme</t>
  </si>
  <si>
    <t>Trebuchet</t>
  </si>
  <si>
    <t>Tank</t>
  </si>
  <si>
    <t>Swordsman</t>
  </si>
  <si>
    <t>Submarine</t>
  </si>
  <si>
    <t>Garamantes</t>
  </si>
  <si>
    <t>Spearman</t>
  </si>
  <si>
    <t>Scout</t>
  </si>
  <si>
    <t>Rifleman</t>
  </si>
  <si>
    <t>Pikeman</t>
  </si>
  <si>
    <t>Paratrooper</t>
  </si>
  <si>
    <t>East Euro. CS's</t>
  </si>
  <si>
    <t>Musketman</t>
  </si>
  <si>
    <t>Longswordsman</t>
  </si>
  <si>
    <t>Lancer</t>
  </si>
  <si>
    <t>Knight</t>
  </si>
  <si>
    <t>Ironclad</t>
  </si>
  <si>
    <t>Horseman</t>
  </si>
  <si>
    <t>Frigate</t>
  </si>
  <si>
    <t>Fighter</t>
  </si>
  <si>
    <t>Destroyer</t>
  </si>
  <si>
    <t>Crossbowman</t>
  </si>
  <si>
    <t>Cavalry</t>
  </si>
  <si>
    <t>Catapult</t>
  </si>
  <si>
    <t>Carrier</t>
  </si>
  <si>
    <t>Caravel</t>
  </si>
  <si>
    <t>Cannon</t>
  </si>
  <si>
    <t>Bomber</t>
  </si>
  <si>
    <t>Battleship</t>
  </si>
  <si>
    <t>= E.U. unique (unnecessary)</t>
  </si>
  <si>
    <t>Artillery</t>
  </si>
  <si>
    <t>Archer</t>
  </si>
  <si>
    <t>= E.U. + R.E.D.</t>
  </si>
  <si>
    <t>Barbarian</t>
  </si>
  <si>
    <t>City-States</t>
  </si>
  <si>
    <t>Polynesia</t>
  </si>
  <si>
    <t>Maya</t>
  </si>
  <si>
    <t>Inca</t>
  </si>
  <si>
    <t>Aztec</t>
  </si>
  <si>
    <t>Shoshone</t>
  </si>
  <si>
    <t>Iroquois</t>
  </si>
  <si>
    <t>Siam</t>
  </si>
  <si>
    <t>Indonesia</t>
  </si>
  <si>
    <t>Korea</t>
  </si>
  <si>
    <t>Japan</t>
  </si>
  <si>
    <t>China</t>
  </si>
  <si>
    <t>India</t>
  </si>
  <si>
    <t>Ottoman</t>
  </si>
  <si>
    <t>Huns</t>
  </si>
  <si>
    <t>Songhai</t>
  </si>
  <si>
    <t>Ethiopia</t>
  </si>
  <si>
    <t>Morocco</t>
  </si>
  <si>
    <t>Assyria</t>
  </si>
  <si>
    <t>Babylon</t>
  </si>
  <si>
    <t>Persia</t>
  </si>
  <si>
    <t>Egypt</t>
  </si>
  <si>
    <t>Arabia</t>
  </si>
  <si>
    <t>Venice</t>
  </si>
  <si>
    <t>Spain</t>
  </si>
  <si>
    <t>Rome</t>
  </si>
  <si>
    <t>Portugal</t>
  </si>
  <si>
    <t>Greece</t>
  </si>
  <si>
    <t>Carthage</t>
  </si>
  <si>
    <t>Byzantium</t>
  </si>
  <si>
    <t>Brazil</t>
  </si>
  <si>
    <t>Russia</t>
  </si>
  <si>
    <t>Poland</t>
  </si>
  <si>
    <t>Sweden</t>
  </si>
  <si>
    <t>Netherlands</t>
  </si>
  <si>
    <t>Germany</t>
  </si>
  <si>
    <t>France</t>
  </si>
  <si>
    <t>England</t>
  </si>
  <si>
    <t>Denmark</t>
  </si>
  <si>
    <t>Celts</t>
  </si>
  <si>
    <t>Austria</t>
  </si>
  <si>
    <t>America</t>
  </si>
  <si>
    <t>unit type</t>
  </si>
  <si>
    <t>D</t>
  </si>
  <si>
    <t>G</t>
  </si>
  <si>
    <t>B</t>
  </si>
  <si>
    <t>key</t>
  </si>
  <si>
    <t>Ocean.</t>
  </si>
  <si>
    <t>SE Asia</t>
  </si>
  <si>
    <t>Asia</t>
  </si>
  <si>
    <t>Africa</t>
  </si>
  <si>
    <t>Middle East</t>
  </si>
  <si>
    <t>Mediterranean</t>
  </si>
  <si>
    <t>Europe</t>
  </si>
  <si>
    <t>region</t>
  </si>
  <si>
    <t>danrell</t>
  </si>
  <si>
    <t>TANK</t>
  </si>
  <si>
    <t>SWORDSMAN</t>
  </si>
  <si>
    <t>SUBMARINE</t>
  </si>
  <si>
    <t>SPEARMAN</t>
  </si>
  <si>
    <t>PIKEMAN</t>
  </si>
  <si>
    <t>PARATROOPER</t>
  </si>
  <si>
    <t>LONGSWORDSMAN</t>
  </si>
  <si>
    <t>KNIGHT</t>
  </si>
  <si>
    <t>INFANTRY</t>
  </si>
  <si>
    <t>HORSEMAN</t>
  </si>
  <si>
    <t>FIGHTER</t>
  </si>
  <si>
    <t>DESTROYER</t>
  </si>
  <si>
    <t>CROSSBOWMAN</t>
  </si>
  <si>
    <t>COMPOSITE_BOWMAN</t>
  </si>
  <si>
    <t>CARRIER</t>
  </si>
  <si>
    <t>BOMBER</t>
  </si>
  <si>
    <t>ARCHER</t>
  </si>
  <si>
    <t>snafusmith</t>
  </si>
  <si>
    <t>MODERN_ARMOR</t>
  </si>
  <si>
    <t>bernie14</t>
  </si>
  <si>
    <t>RIFLEMAN</t>
  </si>
  <si>
    <t>blazekid87</t>
  </si>
  <si>
    <t>Nutty, bernie14</t>
  </si>
  <si>
    <t>BATTLESHIP</t>
  </si>
  <si>
    <t>M13-40</t>
  </si>
  <si>
    <t>Firaxis</t>
  </si>
  <si>
    <t>MUSKETMAN</t>
  </si>
  <si>
    <t>Rabbit,White, danrell</t>
  </si>
  <si>
    <t>snafusmith, danrell</t>
  </si>
  <si>
    <t/>
  </si>
  <si>
    <t>Iowa_Class</t>
  </si>
  <si>
    <t>B-25_Mitchell</t>
  </si>
  <si>
    <t>Essex_Class</t>
  </si>
  <si>
    <t>Longbowman_American</t>
  </si>
  <si>
    <t>Fletcher_Class</t>
  </si>
  <si>
    <t>P-51_Mustang</t>
  </si>
  <si>
    <t>AH64USA</t>
  </si>
  <si>
    <t>Infantry_USA</t>
  </si>
  <si>
    <t>F15</t>
  </si>
  <si>
    <t>usa_longsw7</t>
  </si>
  <si>
    <t>Civ5_Bradley_Camo</t>
  </si>
  <si>
    <t>M1Abrams</t>
  </si>
  <si>
    <t>continental_inf</t>
  </si>
  <si>
    <t>losangeles</t>
  </si>
  <si>
    <t>Paratrooper_USA</t>
  </si>
  <si>
    <t>Pikeman_American</t>
  </si>
  <si>
    <t>civ5_usarm2</t>
  </si>
  <si>
    <t>Spearman_American</t>
  </si>
  <si>
    <t>Submarine_Gato</t>
  </si>
  <si>
    <t>Swordsman_American</t>
  </si>
  <si>
    <t>M4A3E8_Sherman_Easy_Eight</t>
  </si>
  <si>
    <t>SPAD_S.XIII</t>
  </si>
  <si>
    <t>usagw1</t>
  </si>
  <si>
    <t>M1917</t>
  </si>
  <si>
    <t>Archer_Arabia</t>
  </si>
  <si>
    <t>Composite_Bowman_Arabia</t>
  </si>
  <si>
    <t>Longbowman_Arabia</t>
  </si>
  <si>
    <t>Fighter_Default</t>
  </si>
  <si>
    <t>AH64PlainTeamColor</t>
  </si>
  <si>
    <t>Horseman_Arabia</t>
  </si>
  <si>
    <t>Knight_Arabia</t>
  </si>
  <si>
    <t>Longswordsman_Arabia</t>
  </si>
  <si>
    <t>Civ5_Bradley_Desert</t>
  </si>
  <si>
    <t>RolandTanTeamColor</t>
  </si>
  <si>
    <t>ChallengerII_Desert</t>
  </si>
  <si>
    <t>Pikeman_Arabia</t>
  </si>
  <si>
    <t>ararm3</t>
  </si>
  <si>
    <t>Spearman_Arabia</t>
  </si>
  <si>
    <t>Swordsman_Arabia_v3</t>
  </si>
  <si>
    <t>aragw1</t>
  </si>
  <si>
    <t>BMP2DesertTeam</t>
  </si>
  <si>
    <t>T72</t>
  </si>
  <si>
    <t>civ5_arasm1</t>
  </si>
  <si>
    <t>AustriaWarrior2</t>
  </si>
  <si>
    <t>Junkers_Ju-88</t>
  </si>
  <si>
    <t>Messerschmitt_Bf-109F</t>
  </si>
  <si>
    <t>tiger_austria</t>
  </si>
  <si>
    <t>Infantry_German_v2</t>
  </si>
  <si>
    <t>EurofighterAustria</t>
  </si>
  <si>
    <t>austria_longsw2</t>
  </si>
  <si>
    <t>Arquebusier</t>
  </si>
  <si>
    <t>Paratrooper_German_v2</t>
  </si>
  <si>
    <t>civ5_ausrm3</t>
  </si>
  <si>
    <t>U-20_Class</t>
  </si>
  <si>
    <t>Panzer_IV_Ausf_G</t>
  </si>
  <si>
    <t>Albatros_D.III_Hungary</t>
  </si>
  <si>
    <t>ausgw1</t>
  </si>
  <si>
    <t>LK_II</t>
  </si>
  <si>
    <t>Archer_Aztec</t>
  </si>
  <si>
    <t>Composite_Bowman_Aztec</t>
  </si>
  <si>
    <t>Longbowman_Aztec</t>
  </si>
  <si>
    <t>andes_cargo_ship</t>
  </si>
  <si>
    <t>Mi8Mexico</t>
  </si>
  <si>
    <t>Horseman_Aztec</t>
  </si>
  <si>
    <t>Knight_Aztec</t>
  </si>
  <si>
    <t>Longswordsman_Aztec</t>
  </si>
  <si>
    <t>Pikeman_Aztec</t>
  </si>
  <si>
    <t>civ5_aztrm3</t>
  </si>
  <si>
    <t>Scout_Aztec</t>
  </si>
  <si>
    <t>Spearman_Aztec</t>
  </si>
  <si>
    <t>Swordsman_Aztec</t>
  </si>
  <si>
    <t>MediumTank_Generic</t>
  </si>
  <si>
    <t>Archer_Babylon</t>
  </si>
  <si>
    <t>Composite_Bowman_Babylon</t>
  </si>
  <si>
    <t>Longbowman_Babylon</t>
  </si>
  <si>
    <t>Mi8Iraq</t>
  </si>
  <si>
    <t>Horseman_Babylon</t>
  </si>
  <si>
    <t>MiG29Iraq</t>
  </si>
  <si>
    <t>Knight_Babylon</t>
  </si>
  <si>
    <t>Longswordsman_Babylon</t>
  </si>
  <si>
    <t>BMP2Iraq</t>
  </si>
  <si>
    <t>T72_Iraq</t>
  </si>
  <si>
    <t>Pikeman_Babylon</t>
  </si>
  <si>
    <t>babrm3</t>
  </si>
  <si>
    <t>Spearman_Babylon</t>
  </si>
  <si>
    <t>Swordsman_Babylon_v3</t>
  </si>
  <si>
    <t>BelgaeMilnaht</t>
  </si>
  <si>
    <t>RenaultFTBelgium</t>
  </si>
  <si>
    <t>bohemia_longsw2</t>
  </si>
  <si>
    <t>P40Brazil</t>
  </si>
  <si>
    <t>BrazilPretosForros</t>
  </si>
  <si>
    <t>RenaultFTBrazil</t>
  </si>
  <si>
    <t>ThraikanPezoi2</t>
  </si>
  <si>
    <t>byzantium_longsw6</t>
  </si>
  <si>
    <t>CarthageWarrior</t>
  </si>
  <si>
    <t>Mi8DesertTeamColor</t>
  </si>
  <si>
    <t>BMP2Algeria</t>
  </si>
  <si>
    <t>T72_Algeria</t>
  </si>
  <si>
    <t>CarthageSpearman</t>
  </si>
  <si>
    <t>babrm6</t>
  </si>
  <si>
    <t>MedScout</t>
  </si>
  <si>
    <t>CitizenMilitia</t>
  </si>
  <si>
    <t>LibyanMerc</t>
  </si>
  <si>
    <t>EuroWarrior</t>
  </si>
  <si>
    <t>wizard_fire</t>
  </si>
  <si>
    <t>wales_longsw1</t>
  </si>
  <si>
    <t>druid</t>
  </si>
  <si>
    <t>celrm3</t>
  </si>
  <si>
    <t>EuroScout</t>
  </si>
  <si>
    <t>Archer_China</t>
  </si>
  <si>
    <t>B-25_Mitchell_China</t>
  </si>
  <si>
    <t>Composite_Bowman_China_v2</t>
  </si>
  <si>
    <t>Crossbowman_China</t>
  </si>
  <si>
    <t>P-40_Warhawk_China</t>
  </si>
  <si>
    <t>Mi8PlainTeamColor</t>
  </si>
  <si>
    <t>Horseman_China_v2</t>
  </si>
  <si>
    <t>Infantry_China_Communist_v2</t>
  </si>
  <si>
    <t>Knight_China</t>
  </si>
  <si>
    <t>Longswordsman_China_v3</t>
  </si>
  <si>
    <t>BMP2GreenTeam</t>
  </si>
  <si>
    <t>buddhist_missionary_02</t>
  </si>
  <si>
    <t>T55China</t>
  </si>
  <si>
    <t>Paratrooper_China</t>
  </si>
  <si>
    <t>Pikeman_China</t>
  </si>
  <si>
    <t>civ5_chirm3</t>
  </si>
  <si>
    <t>Spearman_China_v2</t>
  </si>
  <si>
    <t>Swordsman_China_v2</t>
  </si>
  <si>
    <t>M4A4_Sherman_V</t>
  </si>
  <si>
    <t>Polikarpov_I-15_China</t>
  </si>
  <si>
    <t>Renault_FT-17_China</t>
  </si>
  <si>
    <t>DenmarkWarrior2</t>
  </si>
  <si>
    <t>Archer_Viking</t>
  </si>
  <si>
    <t>Composite_Bowman_Viking</t>
  </si>
  <si>
    <t>Crossbowman_Viking</t>
  </si>
  <si>
    <t>Horseman_Viking</t>
  </si>
  <si>
    <t>Knight_Viking</t>
  </si>
  <si>
    <t>Longswordsman_Viking_v3</t>
  </si>
  <si>
    <t>Pikeman_Viking</t>
  </si>
  <si>
    <t>civ5_danrm1</t>
  </si>
  <si>
    <t>Spearman_Viking</t>
  </si>
  <si>
    <t>Swordsman_Viking</t>
  </si>
  <si>
    <t>Archer_Egypt</t>
  </si>
  <si>
    <t>Bomber_B-24_Egypt</t>
  </si>
  <si>
    <t>Longbowman_Egypt</t>
  </si>
  <si>
    <t>Composite_Bowman_Egypt</t>
  </si>
  <si>
    <t>P40Egypt</t>
  </si>
  <si>
    <t>Mi8Egypt</t>
  </si>
  <si>
    <t>Horseman_Egypt</t>
  </si>
  <si>
    <t>F4Egypt</t>
  </si>
  <si>
    <t>Knight_Egypt</t>
  </si>
  <si>
    <t>Longswordsman_Egypt</t>
  </si>
  <si>
    <t>T55Egypt</t>
  </si>
  <si>
    <t>Pikeman_Egypt</t>
  </si>
  <si>
    <t>civ5_egyrm2</t>
  </si>
  <si>
    <t>Spearman_Egypt</t>
  </si>
  <si>
    <t>civ5_egysm1</t>
  </si>
  <si>
    <t>EnglandWarrior2</t>
  </si>
  <si>
    <t>Archer_England</t>
  </si>
  <si>
    <t>King_George_V_Class</t>
  </si>
  <si>
    <t>Vickers_Wellington</t>
  </si>
  <si>
    <t>24_Pounder</t>
  </si>
  <si>
    <t>Illustrious_Class</t>
  </si>
  <si>
    <t>Composite_Bowman_England</t>
  </si>
  <si>
    <t>Triba_Class</t>
  </si>
  <si>
    <t>Supermarine_Spitfire_MK_V</t>
  </si>
  <si>
    <t>AH64Britain</t>
  </si>
  <si>
    <t>Horseman_England</t>
  </si>
  <si>
    <t>Infantry_ENG</t>
  </si>
  <si>
    <t>EurofighterUK</t>
  </si>
  <si>
    <t>english_knight</t>
  </si>
  <si>
    <t>england_longsw6</t>
  </si>
  <si>
    <t>RM_Commando</t>
  </si>
  <si>
    <t>ChallengerII</t>
  </si>
  <si>
    <t>redcoat</t>
  </si>
  <si>
    <t>astute</t>
  </si>
  <si>
    <t>Paratrooper_UK</t>
  </si>
  <si>
    <t>Pikeman_England</t>
  </si>
  <si>
    <t>civ5_engrm3</t>
  </si>
  <si>
    <t>Spearman_England</t>
  </si>
  <si>
    <t>Submarine_T-Class</t>
  </si>
  <si>
    <t>Swordsman_England</t>
  </si>
  <si>
    <t>A27M_Cromwell</t>
  </si>
  <si>
    <t>Spowith_Camel</t>
  </si>
  <si>
    <t>brigw1</t>
  </si>
  <si>
    <t>MK_A_Whippet</t>
  </si>
  <si>
    <t>BA_EthiopiaAxe</t>
  </si>
  <si>
    <t>EthiopiaArcher2</t>
  </si>
  <si>
    <t>EthiopiaCompBow</t>
  </si>
  <si>
    <t>EthiopiaCrossbow</t>
  </si>
  <si>
    <t>Mi8Ethiopia</t>
  </si>
  <si>
    <t>EthiopiaMedHorseman</t>
  </si>
  <si>
    <t>AfricanInfantry</t>
  </si>
  <si>
    <t>EthiopiaKnight</t>
  </si>
  <si>
    <t>EthiopianHeavyFootman</t>
  </si>
  <si>
    <t>T55Ethiopia</t>
  </si>
  <si>
    <t>EthiopianOromo3</t>
  </si>
  <si>
    <t>EthiopianPikeman</t>
  </si>
  <si>
    <t>EthiopianScout</t>
  </si>
  <si>
    <t>EthiopiaMedSpearman</t>
  </si>
  <si>
    <t>EthiopiaMedSwordsman</t>
  </si>
  <si>
    <t>FrankWarrior</t>
  </si>
  <si>
    <t>Archer_France</t>
  </si>
  <si>
    <t>Richelieu_Class</t>
  </si>
  <si>
    <t>Amiot_350</t>
  </si>
  <si>
    <t>NapoleonCannon</t>
  </si>
  <si>
    <t>Joffre_Class</t>
  </si>
  <si>
    <t>freca1</t>
  </si>
  <si>
    <t>Composite_Bowman_France</t>
  </si>
  <si>
    <t>Longbowman_France</t>
  </si>
  <si>
    <t>Fantasque_Class</t>
  </si>
  <si>
    <t>Dewoitine_D.520</t>
  </si>
  <si>
    <t>tiger_france</t>
  </si>
  <si>
    <t>Horseman_France</t>
  </si>
  <si>
    <t>Infantry_France</t>
  </si>
  <si>
    <t>Rafale</t>
  </si>
  <si>
    <t>Knight_France_v2</t>
  </si>
  <si>
    <t>frelr1</t>
  </si>
  <si>
    <t>france_longsw3</t>
  </si>
  <si>
    <t>RolandFrance</t>
  </si>
  <si>
    <t>Leclerc</t>
  </si>
  <si>
    <t>Paratrooper_France</t>
  </si>
  <si>
    <t>Pikeman_France</t>
  </si>
  <si>
    <t>civ5_frerm2</t>
  </si>
  <si>
    <t>Spearman_France</t>
  </si>
  <si>
    <t>Submarine_Le_Redoutable</t>
  </si>
  <si>
    <t>Swordsman_France</t>
  </si>
  <si>
    <t>Somua_S-35</t>
  </si>
  <si>
    <t>Nieuport_17</t>
  </si>
  <si>
    <t>fregw1</t>
  </si>
  <si>
    <t>RenaultFTFrance2</t>
  </si>
  <si>
    <t>Garamante</t>
  </si>
  <si>
    <t>GermanHvyAxe</t>
  </si>
  <si>
    <t>Archer_German</t>
  </si>
  <si>
    <t>Bismark_Class</t>
  </si>
  <si>
    <t>Heinkel_He-111</t>
  </si>
  <si>
    <t>Graf_Zeppelin_Class</t>
  </si>
  <si>
    <t>gerca1</t>
  </si>
  <si>
    <t>Composite_Bowman_German</t>
  </si>
  <si>
    <t>Crossbowman_German</t>
  </si>
  <si>
    <t>Z23_Class</t>
  </si>
  <si>
    <t>Focke-Wulf_Fw-190</t>
  </si>
  <si>
    <t>V1_Rocket</t>
  </si>
  <si>
    <t>tiger_germany</t>
  </si>
  <si>
    <t>Horseman_German</t>
  </si>
  <si>
    <t>Infantry_German</t>
  </si>
  <si>
    <t>EurofighterGermany</t>
  </si>
  <si>
    <t>gerkn5_knight</t>
  </si>
  <si>
    <t>gerlr1</t>
  </si>
  <si>
    <t>swa_longsw1</t>
  </si>
  <si>
    <t>Marder</t>
  </si>
  <si>
    <t>Leopard2</t>
  </si>
  <si>
    <t>musketman_ger2</t>
  </si>
  <si>
    <t>Paratrooper_German</t>
  </si>
  <si>
    <t>Pikeman_German</t>
  </si>
  <si>
    <t>civ5_gerrm2</t>
  </si>
  <si>
    <t>Spearman_German</t>
  </si>
  <si>
    <t>Ho229</t>
  </si>
  <si>
    <t>Submarine_U-Boat</t>
  </si>
  <si>
    <t>Swordsman_German</t>
  </si>
  <si>
    <t>Panzer_V_Panther</t>
  </si>
  <si>
    <t>Fokker_Dr.1</t>
  </si>
  <si>
    <t>gergw1</t>
  </si>
  <si>
    <t>A7V</t>
  </si>
  <si>
    <t>MycenaeSword</t>
  </si>
  <si>
    <t>Archer_Greece</t>
  </si>
  <si>
    <t>Bomber_Blenheim</t>
  </si>
  <si>
    <t>Composite_Bowman_Greek</t>
  </si>
  <si>
    <t>Longbowman_Greece</t>
  </si>
  <si>
    <t>Vasilefs_Georgios_Class</t>
  </si>
  <si>
    <t>Fighter_Spitfire_MK5c</t>
  </si>
  <si>
    <t>AH64Greece</t>
  </si>
  <si>
    <t>Infantry_Greece</t>
  </si>
  <si>
    <t>F4Greece</t>
  </si>
  <si>
    <t>Knight_Greece</t>
  </si>
  <si>
    <t>Longswordsman_Greece</t>
  </si>
  <si>
    <t>Leopard1_Greece</t>
  </si>
  <si>
    <t>Paratrooper_Greece</t>
  </si>
  <si>
    <t>Pikeman_Greece</t>
  </si>
  <si>
    <t>civ5_grerm3</t>
  </si>
  <si>
    <t>U_Greek_Hoplite</t>
  </si>
  <si>
    <t>Katsonis_Class</t>
  </si>
  <si>
    <t>civ5_gresm1</t>
  </si>
  <si>
    <t>gregw1</t>
  </si>
  <si>
    <t>Renault_FT-17_Greece</t>
  </si>
  <si>
    <t>Warrior_Inca</t>
  </si>
  <si>
    <t>Composite_Bowman_Inca</t>
  </si>
  <si>
    <t>Longbowman_Inca</t>
  </si>
  <si>
    <t>Horseman_Inca</t>
  </si>
  <si>
    <t>MiG29Peru</t>
  </si>
  <si>
    <t>Knight_Inca</t>
  </si>
  <si>
    <t>IncaAxeman</t>
  </si>
  <si>
    <t>T55Peru</t>
  </si>
  <si>
    <t>Pikeman_Inca</t>
  </si>
  <si>
    <t>civ5_aztrm1</t>
  </si>
  <si>
    <t>IncaScout</t>
  </si>
  <si>
    <t>Spearman_Inca</t>
  </si>
  <si>
    <t>Swordsman_Inca</t>
  </si>
  <si>
    <t>Archer_India</t>
  </si>
  <si>
    <t>Composite_Bowman_India</t>
  </si>
  <si>
    <t>Longbowman_India</t>
  </si>
  <si>
    <t>Mi8India</t>
  </si>
  <si>
    <t>Horseman_India</t>
  </si>
  <si>
    <t>MiG29India</t>
  </si>
  <si>
    <t>Knight_India_v5</t>
  </si>
  <si>
    <t>Longswordsman_India_v2</t>
  </si>
  <si>
    <t>BMP2India</t>
  </si>
  <si>
    <t>T72_India</t>
  </si>
  <si>
    <t>Pikeman_India</t>
  </si>
  <si>
    <t>civ5_indrm3</t>
  </si>
  <si>
    <t>Scout_India</t>
  </si>
  <si>
    <t>Spearman_India</t>
  </si>
  <si>
    <t>Swordsman_India_v2</t>
  </si>
  <si>
    <t>indgw1</t>
  </si>
  <si>
    <t>Archer_Korea</t>
  </si>
  <si>
    <t>Composite_Bowman_China</t>
  </si>
  <si>
    <t>Horseman_China</t>
  </si>
  <si>
    <t>Infantry_China</t>
  </si>
  <si>
    <t>Longswordsman_China</t>
  </si>
  <si>
    <t>T72_USSR</t>
  </si>
  <si>
    <t>u_malaysian_silat</t>
  </si>
  <si>
    <t>civ5_monrm1</t>
  </si>
  <si>
    <t>Scout_Mongol</t>
  </si>
  <si>
    <t>Spearman_China</t>
  </si>
  <si>
    <t>Swordsman_China</t>
  </si>
  <si>
    <t>civ5_irowa1</t>
  </si>
  <si>
    <t>civ5_iroar1</t>
  </si>
  <si>
    <t>civ5_iroha1</t>
  </si>
  <si>
    <t>civ5_iroco1</t>
  </si>
  <si>
    <t>civ5_irolb4</t>
  </si>
  <si>
    <t>civ5_irohm5</t>
  </si>
  <si>
    <t>civ5_iroinf1</t>
  </si>
  <si>
    <t>civ5_irokn5</t>
  </si>
  <si>
    <t>civ5_irols1</t>
  </si>
  <si>
    <t>u_anishinaabe_medicine_man</t>
  </si>
  <si>
    <t>civ5_iromu2</t>
  </si>
  <si>
    <t>civ5_iropi1</t>
  </si>
  <si>
    <t>civ5_irorm2</t>
  </si>
  <si>
    <t>civ5_irosc2</t>
  </si>
  <si>
    <t>civ5_irosp4</t>
  </si>
  <si>
    <t>civ5_irogwi1</t>
  </si>
  <si>
    <t>Archer_Japan</t>
  </si>
  <si>
    <t>Yamato_Class</t>
  </si>
  <si>
    <t>Mitsubishi_G4M_Betty</t>
  </si>
  <si>
    <t>Composite_Bowman_Japan</t>
  </si>
  <si>
    <t>Longbowman_Japan</t>
  </si>
  <si>
    <t>Kagero_Class</t>
  </si>
  <si>
    <t>AH64Japan</t>
  </si>
  <si>
    <t>Horseman_Japan</t>
  </si>
  <si>
    <t>Infantry_Japan</t>
  </si>
  <si>
    <t>F4Japan</t>
  </si>
  <si>
    <t>Knight_Japan</t>
  </si>
  <si>
    <t>Akazonae_Japan</t>
  </si>
  <si>
    <t>NoDachiSamurai_Japan</t>
  </si>
  <si>
    <t>Paratrooper_Japan</t>
  </si>
  <si>
    <t>Pikeman_Japan</t>
  </si>
  <si>
    <t>civ5_japrm2</t>
  </si>
  <si>
    <t>Spearman_Japan</t>
  </si>
  <si>
    <t>Submarine_I-15</t>
  </si>
  <si>
    <t>Swordsman_Japan</t>
  </si>
  <si>
    <t>Type97_Shinhoto_Chi-Ha</t>
  </si>
  <si>
    <t>Kawasaki_Ki-10_Perry</t>
  </si>
  <si>
    <t>japgw1</t>
  </si>
  <si>
    <t>Type79_Ko-Gata</t>
  </si>
  <si>
    <t>Composite_Bowman_Korea</t>
  </si>
  <si>
    <t>Longbowman_Korea</t>
  </si>
  <si>
    <t>Horseman_Korea</t>
  </si>
  <si>
    <t>F4DKorea</t>
  </si>
  <si>
    <t>Knight_Korea</t>
  </si>
  <si>
    <t>Longswordsman_Korea</t>
  </si>
  <si>
    <t>Pikeman_Korea</t>
  </si>
  <si>
    <t>Spearman_Korea</t>
  </si>
  <si>
    <t>Swordsman_Korea</t>
  </si>
  <si>
    <t>hebrew_warrior</t>
  </si>
  <si>
    <t>hebrew_archer</t>
  </si>
  <si>
    <t>hebrew_composite_bowman</t>
  </si>
  <si>
    <t>Crossbowman_Jerusalem</t>
  </si>
  <si>
    <t>hebrew_horseman</t>
  </si>
  <si>
    <t>F4Israel</t>
  </si>
  <si>
    <t>Knight_Jerusalem</t>
  </si>
  <si>
    <t>Longswordsman_Jerusalem</t>
  </si>
  <si>
    <t>Pikeman_Jerusalem</t>
  </si>
  <si>
    <t>MayaWarrior_green</t>
  </si>
  <si>
    <t>Composite_Bowman_Maya</t>
  </si>
  <si>
    <t>Longbowman_Maya</t>
  </si>
  <si>
    <t>Horseman_Maya</t>
  </si>
  <si>
    <t>Knight_Maya</t>
  </si>
  <si>
    <t>Longswordsman_Maya</t>
  </si>
  <si>
    <t>Pikeman_Maya</t>
  </si>
  <si>
    <t>civ5_aztrm2</t>
  </si>
  <si>
    <t>Spearman_Maya</t>
  </si>
  <si>
    <t>Swordsman_Maya</t>
  </si>
  <si>
    <t>Caetranann</t>
  </si>
  <si>
    <t>PortugalSpearman</t>
  </si>
  <si>
    <t>Archer_Mongol_v2</t>
  </si>
  <si>
    <t>Composite_Bowman_Mongol</t>
  </si>
  <si>
    <t>Longbowman_Mongol</t>
  </si>
  <si>
    <t>Horseman_Mongol</t>
  </si>
  <si>
    <t>Knight_Mongol</t>
  </si>
  <si>
    <t>Longswordsman_Mongol</t>
  </si>
  <si>
    <t>T55Mongolia</t>
  </si>
  <si>
    <t>Pikeman_Mongol</t>
  </si>
  <si>
    <t>Spearman_Mongol</t>
  </si>
  <si>
    <t>Swordsman_Mongol</t>
  </si>
  <si>
    <t>Berber_Crossbowman</t>
  </si>
  <si>
    <t>Berber_H_Inf</t>
  </si>
  <si>
    <t>Fokker_T.V</t>
  </si>
  <si>
    <t>civ5netar1</t>
  </si>
  <si>
    <t>Admiralen_Class</t>
  </si>
  <si>
    <t>Fokker_D.XXI</t>
  </si>
  <si>
    <t>tiger_netherlands</t>
  </si>
  <si>
    <t>Infantry_Dutch</t>
  </si>
  <si>
    <t>dutlr1</t>
  </si>
  <si>
    <t>Leopard1_Netherlands</t>
  </si>
  <si>
    <t>Paratrooper_Dutch</t>
  </si>
  <si>
    <t>civ5_dutrm1</t>
  </si>
  <si>
    <t>BatavianSpearman</t>
  </si>
  <si>
    <t>O-19_Class</t>
  </si>
  <si>
    <t>MTSL-1GI4</t>
  </si>
  <si>
    <t>Archer_Persia</t>
  </si>
  <si>
    <t>Composite_Bowman_Persia</t>
  </si>
  <si>
    <t>Longbowman_Persia</t>
  </si>
  <si>
    <t>Horseman_Persia</t>
  </si>
  <si>
    <t>MiG29Iran</t>
  </si>
  <si>
    <t>Knight_Persia_v2</t>
  </si>
  <si>
    <t>Qizilbash</t>
  </si>
  <si>
    <t>Longswordsman_Persia</t>
  </si>
  <si>
    <t>BMP2Iran</t>
  </si>
  <si>
    <t>T72_Iran</t>
  </si>
  <si>
    <t>Pikeman_Persia</t>
  </si>
  <si>
    <t>civ5_perrm2</t>
  </si>
  <si>
    <t>Spearman_Persia</t>
  </si>
  <si>
    <t>Swordsman_Persia</t>
  </si>
  <si>
    <t>SlavicRussia</t>
  </si>
  <si>
    <t>Archer_Russia</t>
  </si>
  <si>
    <t>PZL_P.37_Los</t>
  </si>
  <si>
    <t>Grom_Class</t>
  </si>
  <si>
    <t>PZL_P.50_Jastrzab</t>
  </si>
  <si>
    <t>Mi8Poland</t>
  </si>
  <si>
    <t>Infantry_Poland</t>
  </si>
  <si>
    <t>poland_longsw1</t>
  </si>
  <si>
    <t>Paratrooper_Poland</t>
  </si>
  <si>
    <t>Orzel_Class</t>
  </si>
  <si>
    <t>10TP</t>
  </si>
  <si>
    <t>Albatros_D.III</t>
  </si>
  <si>
    <t>Renault_FT-17_Poland</t>
  </si>
  <si>
    <t>A-7Portugal</t>
  </si>
  <si>
    <t>portugal_longsw8</t>
  </si>
  <si>
    <t>Triarii</t>
  </si>
  <si>
    <t>Archer_Rome</t>
  </si>
  <si>
    <t>Littorio_Class</t>
  </si>
  <si>
    <t>Aquila_Class</t>
  </si>
  <si>
    <t>Composite_Bowman_Rome</t>
  </si>
  <si>
    <t>Crossbowman_Rome</t>
  </si>
  <si>
    <t>Soldati_Class</t>
  </si>
  <si>
    <t>Fiat_G.55_Centauro</t>
  </si>
  <si>
    <t>mangusta</t>
  </si>
  <si>
    <t>Horseman_Rome_v2</t>
  </si>
  <si>
    <t>Infantry_Italy</t>
  </si>
  <si>
    <t>EurofighterItaly</t>
  </si>
  <si>
    <t>italian_knight2</t>
  </si>
  <si>
    <t>Longswordsman_Rome</t>
  </si>
  <si>
    <t>dardo</t>
  </si>
  <si>
    <t>Ariete</t>
  </si>
  <si>
    <t>Paratrooper_Italy</t>
  </si>
  <si>
    <t>Pikeman_Rome</t>
  </si>
  <si>
    <t>Spearman_Rome</t>
  </si>
  <si>
    <t>Submarine_Marcello</t>
  </si>
  <si>
    <t>U_Roman_Legion</t>
  </si>
  <si>
    <t>Ansaldo_SVA-5</t>
  </si>
  <si>
    <t>itagw1</t>
  </si>
  <si>
    <t>Fiat_3000</t>
  </si>
  <si>
    <t>RussiaWarrior2</t>
  </si>
  <si>
    <t>ML-20</t>
  </si>
  <si>
    <t>Sovetsky_Soyuz_Class</t>
  </si>
  <si>
    <t>Petlyakov_Pe-8</t>
  </si>
  <si>
    <t>Project_71</t>
  </si>
  <si>
    <t>Composite_Bowman_Russia</t>
  </si>
  <si>
    <t>Crossbowman_Russia</t>
  </si>
  <si>
    <t>Gnevny_Class</t>
  </si>
  <si>
    <t>Yakovlev_Yak-9</t>
  </si>
  <si>
    <t>Horseman_Russia_v2</t>
  </si>
  <si>
    <t>Infantry_Russia</t>
  </si>
  <si>
    <t>MiG29Russia</t>
  </si>
  <si>
    <t>Knight_Russia</t>
  </si>
  <si>
    <t>Longswordsman_Russia_v3</t>
  </si>
  <si>
    <t>BMP2Russia</t>
  </si>
  <si>
    <t>T90</t>
  </si>
  <si>
    <t>Streltsy_Black_Cap</t>
  </si>
  <si>
    <t>akula</t>
  </si>
  <si>
    <t>Paratrooper_Russia</t>
  </si>
  <si>
    <t>Pikeman_Russia</t>
  </si>
  <si>
    <t>civ5_rusrm2</t>
  </si>
  <si>
    <t>Spearman_Russia</t>
  </si>
  <si>
    <t>Submarine_Shchuka</t>
  </si>
  <si>
    <t>Swordsman_Russia_v3</t>
  </si>
  <si>
    <t>T-34-85</t>
  </si>
  <si>
    <t>Polikarpov_Po-2</t>
  </si>
  <si>
    <t>rusgw1</t>
  </si>
  <si>
    <t>Renault_FT-17_Russia</t>
  </si>
  <si>
    <t>civ5_iroha2</t>
  </si>
  <si>
    <t>Sioux_Knight</t>
  </si>
  <si>
    <t>civ5_irols4</t>
  </si>
  <si>
    <t>CL_Ogichidaa</t>
  </si>
  <si>
    <t>Infantry_China_Communist</t>
  </si>
  <si>
    <t>A-7</t>
  </si>
  <si>
    <t>Armor_T-55</t>
  </si>
  <si>
    <t>civ5_siarm1</t>
  </si>
  <si>
    <t>AfrWarrior</t>
  </si>
  <si>
    <t>SudanSwordsman</t>
  </si>
  <si>
    <t>T55Mali</t>
  </si>
  <si>
    <t>SonghaiPikeman</t>
  </si>
  <si>
    <t>babrm2</t>
  </si>
  <si>
    <t>AfrScout</t>
  </si>
  <si>
    <t>Scutati</t>
  </si>
  <si>
    <t>Archer_Spain</t>
  </si>
  <si>
    <t>Heinkel_He-111_Spain</t>
  </si>
  <si>
    <t>Composite_Bowman_Spain</t>
  </si>
  <si>
    <t>Crossbowman_Spain</t>
  </si>
  <si>
    <t>Fighter_Bf-109J</t>
  </si>
  <si>
    <t>tiger_spain</t>
  </si>
  <si>
    <t>Horseman_Spain</t>
  </si>
  <si>
    <t>Infantry_Spain</t>
  </si>
  <si>
    <t>EurofighterSpain</t>
  </si>
  <si>
    <t>Knight_Spain</t>
  </si>
  <si>
    <t>spain_longsw6</t>
  </si>
  <si>
    <t>RolandSpain</t>
  </si>
  <si>
    <t>Paratrooper_Spain</t>
  </si>
  <si>
    <t>Pikeman_Spain</t>
  </si>
  <si>
    <t>civ5_sparm3</t>
  </si>
  <si>
    <t>Spearman_Spain_v2</t>
  </si>
  <si>
    <t>Longswordsman_Spain</t>
  </si>
  <si>
    <t>Panzer_IV_Ausf_G_Spain</t>
  </si>
  <si>
    <t>Renault_FT-17_Spain</t>
  </si>
  <si>
    <t>SwedenAxe</t>
  </si>
  <si>
    <t>SAAB_B18</t>
  </si>
  <si>
    <t>Implacable_Class</t>
  </si>
  <si>
    <t>Goteborg_Class</t>
  </si>
  <si>
    <t>FFVS_J22</t>
  </si>
  <si>
    <t>tiger_sweden</t>
  </si>
  <si>
    <t>Infantry_Sweden</t>
  </si>
  <si>
    <t>Paratrooper_Sweden</t>
  </si>
  <si>
    <t>civ5_swerm1</t>
  </si>
  <si>
    <t>Sjolejonet_Class</t>
  </si>
  <si>
    <t>Strv_M41</t>
  </si>
  <si>
    <t>Strv_M21</t>
  </si>
  <si>
    <t>reislaufer</t>
  </si>
  <si>
    <t>Spearman_Greece_v3</t>
  </si>
  <si>
    <t>Longswordsman_Japan</t>
  </si>
  <si>
    <t>vatican_longsw8</t>
  </si>
  <si>
    <t>impi_4</t>
  </si>
  <si>
    <t>EthiopiaHorseman</t>
  </si>
  <si>
    <t>T55TanTC</t>
  </si>
  <si>
    <t>SonghaiScout</t>
  </si>
  <si>
    <t>BantuSpearman</t>
  </si>
  <si>
    <t>NubianSwordsman</t>
  </si>
  <si>
    <t>FourBigGuns</t>
  </si>
  <si>
    <t>EURO</t>
  </si>
  <si>
    <t>MIDEAST</t>
  </si>
  <si>
    <t>SOUTHAM</t>
  </si>
  <si>
    <t>MED</t>
  </si>
  <si>
    <t>ASIA</t>
  </si>
  <si>
    <t>AFRI</t>
  </si>
  <si>
    <t>SOUTHAS</t>
  </si>
  <si>
    <t>SEASIA</t>
  </si>
  <si>
    <t>AMER</t>
  </si>
  <si>
    <t>EASTEU</t>
  </si>
  <si>
    <t>AMERICA</t>
  </si>
  <si>
    <t>ARABIA</t>
  </si>
  <si>
    <t>AUSTRIA</t>
  </si>
  <si>
    <t>AZTEC</t>
  </si>
  <si>
    <t>BABYLON</t>
  </si>
  <si>
    <t>BELGIUM</t>
  </si>
  <si>
    <t>BOHEMIA</t>
  </si>
  <si>
    <t>BRAZIL</t>
  </si>
  <si>
    <t>BYZANTIUM</t>
  </si>
  <si>
    <t>CARTHAGE</t>
  </si>
  <si>
    <t>CELTS</t>
  </si>
  <si>
    <t>CHINA</t>
  </si>
  <si>
    <t>DENMARK</t>
  </si>
  <si>
    <t>EGYPT</t>
  </si>
  <si>
    <t>ENGLAND</t>
  </si>
  <si>
    <t>ETHIOPIA</t>
  </si>
  <si>
    <t>FRANCE</t>
  </si>
  <si>
    <t>GARAMANTES</t>
  </si>
  <si>
    <t>GERMANY</t>
  </si>
  <si>
    <t>GREECE</t>
  </si>
  <si>
    <t>INCA</t>
  </si>
  <si>
    <t>INDIA</t>
  </si>
  <si>
    <t>IROQUOIS</t>
  </si>
  <si>
    <t>JAPAN</t>
  </si>
  <si>
    <t>KOREA</t>
  </si>
  <si>
    <t>LEVANT</t>
  </si>
  <si>
    <t>MAYA</t>
  </si>
  <si>
    <t>MOGADISHU</t>
  </si>
  <si>
    <t>MOMBASA</t>
  </si>
  <si>
    <t>MONGOL</t>
  </si>
  <si>
    <t>MOROCCO</t>
  </si>
  <si>
    <t>NETHERLANDS</t>
  </si>
  <si>
    <t>PERSIA</t>
  </si>
  <si>
    <t>POLAND</t>
  </si>
  <si>
    <t>PORTUGAL</t>
  </si>
  <si>
    <t>ROME</t>
  </si>
  <si>
    <t>RUSSIA</t>
  </si>
  <si>
    <t>SIAM</t>
  </si>
  <si>
    <t>SONGHAI</t>
  </si>
  <si>
    <t>SPAIN</t>
  </si>
  <si>
    <t>SWEDEN</t>
  </si>
  <si>
    <t>SWISS</t>
  </si>
  <si>
    <t>VATICAN_CITY</t>
  </si>
  <si>
    <t>ZULU</t>
  </si>
  <si>
    <t>_WARRIOR</t>
  </si>
  <si>
    <t>ANTI_AIRCRAFT_GUN</t>
  </si>
  <si>
    <t>ANTI_TANK_GUN</t>
  </si>
  <si>
    <t>ARTILLERY</t>
  </si>
  <si>
    <t>ATOMIC_BOMB</t>
  </si>
  <si>
    <t>CANNON</t>
  </si>
  <si>
    <t>CARAVEL</t>
  </si>
  <si>
    <t>CATAPULT</t>
  </si>
  <si>
    <t>CAVALRY</t>
  </si>
  <si>
    <t>CHARIOT_ARCHER</t>
  </si>
  <si>
    <t>FRIGATE</t>
  </si>
  <si>
    <t>GALLEASS</t>
  </si>
  <si>
    <t>GATLINGGUN</t>
  </si>
  <si>
    <t>GREAT_PROPHET</t>
  </si>
  <si>
    <t>GUIDED_MISSILE</t>
  </si>
  <si>
    <t>HELICOPTER_GUNSHIP</t>
  </si>
  <si>
    <t>INQUISITOR</t>
  </si>
  <si>
    <t>IRONCLAD</t>
  </si>
  <si>
    <t>JET_FIGHTER</t>
  </si>
  <si>
    <t>LANCER</t>
  </si>
  <si>
    <t>MACHINEGUN</t>
  </si>
  <si>
    <t>MARINE</t>
  </si>
  <si>
    <t>MECH</t>
  </si>
  <si>
    <t>MECHANIZED_INFANTRY</t>
  </si>
  <si>
    <t>MISSILE_CRUISER</t>
  </si>
  <si>
    <t>MISSIONARY</t>
  </si>
  <si>
    <t>MOBILE_SAM</t>
  </si>
  <si>
    <t>NUCLEAR_MISSILE</t>
  </si>
  <si>
    <t>NUCLEAR_SUBMARINE</t>
  </si>
  <si>
    <t>ROCKET_ARTILLERY</t>
  </si>
  <si>
    <t>SCOUT</t>
  </si>
  <si>
    <t>STEALTH_BOMBER</t>
  </si>
  <si>
    <t>TRANSPORT</t>
  </si>
  <si>
    <t>TREBUCHET</t>
  </si>
  <si>
    <t>TRIREME</t>
  </si>
  <si>
    <t>WW1_BOMBER</t>
  </si>
  <si>
    <t>WW1_FIGHTER</t>
  </si>
  <si>
    <t>WW1_INFANTRY</t>
  </si>
  <si>
    <t>WW1_TANK</t>
  </si>
  <si>
    <t>XCOM_SQUAD</t>
  </si>
  <si>
    <t>XP_PRIVATEER</t>
  </si>
  <si>
    <t>GALLEY</t>
  </si>
  <si>
    <t>U_GREEK_HOPLITE</t>
  </si>
  <si>
    <t>U_JAPANESE_SAMURAI</t>
  </si>
  <si>
    <t>WARRIOR</t>
  </si>
  <si>
    <t>ANTIAIRCRAFTGUN</t>
  </si>
  <si>
    <t>ANTITANKGUN</t>
  </si>
  <si>
    <t>ATOMICBOMB</t>
  </si>
  <si>
    <t>CHARIOTARCHER</t>
  </si>
  <si>
    <t>GUIDEDMISSILE</t>
  </si>
  <si>
    <t>HELICOPTERGUNSHIP</t>
  </si>
  <si>
    <t>JETFIGHTER</t>
  </si>
  <si>
    <t>MECHANIZEDINFANTRY</t>
  </si>
  <si>
    <t>MISSILECRUISER</t>
  </si>
  <si>
    <t>MOBILESAM</t>
  </si>
  <si>
    <t>MODERNARMOR</t>
  </si>
  <si>
    <t>NUCLEARMISSILE</t>
  </si>
  <si>
    <t>NUCLEARSUBMARINE</t>
  </si>
  <si>
    <t>ROCKETARTILLERY</t>
  </si>
  <si>
    <t>STEALTHBOMBER</t>
  </si>
  <si>
    <t>Paratrooper_USA_MG</t>
  </si>
  <si>
    <t>civ5_usarm</t>
  </si>
  <si>
    <t>civ5_usarm_2</t>
  </si>
  <si>
    <t>Swordsman_Arabia</t>
  </si>
  <si>
    <t>Swordsman_Arabia_v2</t>
  </si>
  <si>
    <t>ararm1</t>
  </si>
  <si>
    <t>ararm2</t>
  </si>
  <si>
    <t>AustriaWarrior</t>
  </si>
  <si>
    <t>Paratrooper_German_MG_v2</t>
  </si>
  <si>
    <t>civ5_ausrm1</t>
  </si>
  <si>
    <t>civ5_ausrm2</t>
  </si>
  <si>
    <t>Swordsman_Babylon</t>
  </si>
  <si>
    <t>Swordsman_Babylon_v2</t>
  </si>
  <si>
    <t>babrm1</t>
  </si>
  <si>
    <t>ThraikanChosenPezoi</t>
  </si>
  <si>
    <t>ThraikanPezoi</t>
  </si>
  <si>
    <t>byzantium_longsw1</t>
  </si>
  <si>
    <t>babrm4</t>
  </si>
  <si>
    <t>babrm5</t>
  </si>
  <si>
    <t>AfricaMerc</t>
  </si>
  <si>
    <t>HannibalMerc</t>
  </si>
  <si>
    <t>ireland_longsw6</t>
  </si>
  <si>
    <t>celrm1</t>
  </si>
  <si>
    <t>celrm2</t>
  </si>
  <si>
    <t>CelticCenn</t>
  </si>
  <si>
    <t>CelticWarrior</t>
  </si>
  <si>
    <t>Paratrooper_China_MG</t>
  </si>
  <si>
    <t>civ5_chirm1</t>
  </si>
  <si>
    <t>civ5_chirm2</t>
  </si>
  <si>
    <t>buddhist_missionary</t>
  </si>
  <si>
    <t>buddhist_missionary_01</t>
  </si>
  <si>
    <t>Longswordsman_China_v2</t>
  </si>
  <si>
    <t>Patum333</t>
  </si>
  <si>
    <t>civ5_ararm_tc</t>
  </si>
  <si>
    <t>Longswordsman_Viking</t>
  </si>
  <si>
    <t>Longswordsman_Viking_v2</t>
  </si>
  <si>
    <t>DenmarkWarrior</t>
  </si>
  <si>
    <t>civ5_egyrm</t>
  </si>
  <si>
    <t>civ5_egyrm_2</t>
  </si>
  <si>
    <t>WarriorMonk_Japan_v2</t>
  </si>
  <si>
    <t>med_galleon</t>
  </si>
  <si>
    <t>GALLEON</t>
  </si>
  <si>
    <t>Longswordsman_India</t>
  </si>
  <si>
    <t>Knight_India_v4</t>
  </si>
  <si>
    <t>Knight_India_v3</t>
  </si>
  <si>
    <t>Knight_India_v2</t>
  </si>
  <si>
    <t>Knight_India</t>
  </si>
  <si>
    <t>euro_galleon</t>
  </si>
  <si>
    <t>MayaWarrior</t>
  </si>
  <si>
    <t>WarJunk</t>
  </si>
  <si>
    <t>MedWarrior</t>
  </si>
  <si>
    <t>SpanishSwordsman</t>
  </si>
  <si>
    <t>Civ5_Bradley</t>
  </si>
  <si>
    <t>RenaultFTPlainGreen</t>
  </si>
  <si>
    <t>Halberdier_China</t>
  </si>
  <si>
    <t>TribalAmerican_Embark</t>
  </si>
  <si>
    <t>Assassin</t>
  </si>
  <si>
    <t>impi_3</t>
  </si>
  <si>
    <t>impi_2</t>
  </si>
  <si>
    <t>impi_1</t>
  </si>
  <si>
    <t>Knight_England</t>
  </si>
  <si>
    <t>Longswordsman_England</t>
  </si>
  <si>
    <t>england_longsw1</t>
  </si>
  <si>
    <t>Paratrooper_UK_MG</t>
  </si>
  <si>
    <t>civ5_engrm1</t>
  </si>
  <si>
    <t>civ5_engrm2</t>
  </si>
  <si>
    <t>EnglandWarrior</t>
  </si>
  <si>
    <t>EthiopiaArcher</t>
  </si>
  <si>
    <t>EthiopianOromo</t>
  </si>
  <si>
    <t>EthiopianOromo2</t>
  </si>
  <si>
    <t>BA_EthiopiaSpear</t>
  </si>
  <si>
    <t>french_knight</t>
  </si>
  <si>
    <t>Knight_France</t>
  </si>
  <si>
    <t>frals_templar</t>
  </si>
  <si>
    <t>Longswordsman_France</t>
  </si>
  <si>
    <t>france_longsw2</t>
  </si>
  <si>
    <t>Paratrooper_France_MG</t>
  </si>
  <si>
    <t>civ5_frerm</t>
  </si>
  <si>
    <t>civ5_frerm_2</t>
  </si>
  <si>
    <t>FrankMilnaht</t>
  </si>
  <si>
    <t>Renault_FT-17</t>
  </si>
  <si>
    <t>RenaultFTFrance1</t>
  </si>
  <si>
    <t>GermanicWarrior</t>
  </si>
  <si>
    <t>GermanWarrior2</t>
  </si>
  <si>
    <t>BearWarrior</t>
  </si>
  <si>
    <t>Knight_German</t>
  </si>
  <si>
    <t>gerkn1_knight</t>
  </si>
  <si>
    <t>gerkn2_knight</t>
  </si>
  <si>
    <t>gerkn3_knight</t>
  </si>
  <si>
    <t>gerkn4_knight</t>
  </si>
  <si>
    <t>Longswordsman_German</t>
  </si>
  <si>
    <t>gerls1_templar</t>
  </si>
  <si>
    <t>gerls2_templar</t>
  </si>
  <si>
    <t>gerls3_templar</t>
  </si>
  <si>
    <t>teutonic_longsw4</t>
  </si>
  <si>
    <t>hre_longsw1</t>
  </si>
  <si>
    <t>musketman_ger</t>
  </si>
  <si>
    <t>musketman_ger1</t>
  </si>
  <si>
    <t>Paratrooper_German_MG</t>
  </si>
  <si>
    <t>civ5_gerrm</t>
  </si>
  <si>
    <t>civ5_gerrm_2</t>
  </si>
  <si>
    <t>HUNS</t>
  </si>
  <si>
    <t>Junkers_Ju-88_Hungary</t>
  </si>
  <si>
    <t>hunhu1</t>
  </si>
  <si>
    <t>u_cuman_chabani</t>
  </si>
  <si>
    <t>Infantry_Hungary</t>
  </si>
  <si>
    <t>u_cuman_mamluk</t>
  </si>
  <si>
    <t>hungary_longsw3</t>
  </si>
  <si>
    <t>Paratrooper_Hungary_MG</t>
  </si>
  <si>
    <t>Paratrooper_Hungary</t>
  </si>
  <si>
    <t>hunrm1</t>
  </si>
  <si>
    <t>41M_Turan_II</t>
  </si>
  <si>
    <t>ScythiaWarrior</t>
  </si>
  <si>
    <t>ScythiaWarrior2</t>
  </si>
  <si>
    <t>Fokker_D.VII</t>
  </si>
  <si>
    <t>CENTAS</t>
  </si>
  <si>
    <t>Paratrooper_Greece_MG</t>
  </si>
  <si>
    <t>civ5_grerm2</t>
  </si>
  <si>
    <t>civ5_grerm1</t>
  </si>
  <si>
    <t>Spearman_Greece</t>
  </si>
  <si>
    <t>Spearman_Greece_v2</t>
  </si>
  <si>
    <t>MycenaeSpear</t>
  </si>
  <si>
    <t>U_Greek_CompanionCavalry</t>
  </si>
  <si>
    <t>civ5_indrm1</t>
  </si>
  <si>
    <t>civ5_indrm2</t>
  </si>
  <si>
    <t>Swordsman_India</t>
  </si>
  <si>
    <t>Longswordsman_Inca</t>
  </si>
  <si>
    <t>Quechua</t>
  </si>
  <si>
    <t>civ5_irolb1</t>
  </si>
  <si>
    <t>civ5_irolb2</t>
  </si>
  <si>
    <t>civ5_irolb3</t>
  </si>
  <si>
    <t>civ5_irohm1</t>
  </si>
  <si>
    <t>civ5_irohm2</t>
  </si>
  <si>
    <t>civ5_irohm3</t>
  </si>
  <si>
    <t>civ5_irohm4</t>
  </si>
  <si>
    <t>civ5_irokn1</t>
  </si>
  <si>
    <t>civ5_irokn2</t>
  </si>
  <si>
    <t>civ5_irokn3</t>
  </si>
  <si>
    <t>civ5_irokn4</t>
  </si>
  <si>
    <t>civ5_irols2</t>
  </si>
  <si>
    <t>civ5_irols3</t>
  </si>
  <si>
    <t>civ5_iromu1</t>
  </si>
  <si>
    <t>civ5_irorm</t>
  </si>
  <si>
    <t>civ5_irorm_2</t>
  </si>
  <si>
    <t>civ5_irosc1</t>
  </si>
  <si>
    <t>civ5_irosp1</t>
  </si>
  <si>
    <t>civ5_irosp2</t>
  </si>
  <si>
    <t>civ5_irosp3</t>
  </si>
  <si>
    <t>Kwadjh</t>
  </si>
  <si>
    <t>Infantry_Japan_Sword</t>
  </si>
  <si>
    <t>Longswordsman_Japan_v2</t>
  </si>
  <si>
    <t>Paratrooper_Japan_MG</t>
  </si>
  <si>
    <t>civ5_japrm</t>
  </si>
  <si>
    <t>civ5_japrm_2</t>
  </si>
  <si>
    <t>Civitar</t>
  </si>
  <si>
    <t>u_dervish_maara_weyn</t>
  </si>
  <si>
    <t>MidEastWarrior</t>
  </si>
  <si>
    <t>Mesopotamic_Embark</t>
  </si>
  <si>
    <t>MidEastScout</t>
  </si>
  <si>
    <t>NORTHEU</t>
  </si>
  <si>
    <t>hangman</t>
  </si>
  <si>
    <t>Firaxis, Nutty</t>
  </si>
  <si>
    <t>Sukritact</t>
  </si>
  <si>
    <t>Wolfdog</t>
  </si>
  <si>
    <t>zwei833, bernie14</t>
  </si>
  <si>
    <t>Paratrooper_Dutch_MG</t>
  </si>
  <si>
    <t>Paratrooper_Poland_MG</t>
  </si>
  <si>
    <t>Paratrooper_Italy_MG</t>
  </si>
  <si>
    <t>Paratrooper_Russia_MG</t>
  </si>
  <si>
    <t>Paratrooper_Spain_MG</t>
  </si>
  <si>
    <t>Paratrooper_Sweden_MG</t>
  </si>
  <si>
    <t>MayaHolkan</t>
  </si>
  <si>
    <t>MayaWarrior_blue</t>
  </si>
  <si>
    <t>Archer_Mongol</t>
  </si>
  <si>
    <t>DutchWarrior</t>
  </si>
  <si>
    <t>Knight_Persia</t>
  </si>
  <si>
    <t>civ5_perrm</t>
  </si>
  <si>
    <t>civ5_perrm_2</t>
  </si>
  <si>
    <t>portuguese_galleon</t>
  </si>
  <si>
    <t>italian_galleon</t>
  </si>
  <si>
    <t>russian_galleon</t>
  </si>
  <si>
    <t>spanish_galleon</t>
  </si>
  <si>
    <t>swedish_galleon</t>
  </si>
  <si>
    <t>danish_galleon</t>
  </si>
  <si>
    <t>english_galleon</t>
  </si>
  <si>
    <t>french_galleon</t>
  </si>
  <si>
    <t>prussian_galleon</t>
  </si>
  <si>
    <t>greek_galleon</t>
  </si>
  <si>
    <t>JustATourist, Nutty</t>
  </si>
  <si>
    <t>U_Denmark_Longboat</t>
  </si>
  <si>
    <t>?bernie14</t>
  </si>
  <si>
    <t>OCEAN</t>
  </si>
  <si>
    <t>U_Polynesian_War_Canoe</t>
  </si>
  <si>
    <t>hawaii_ikaika</t>
  </si>
  <si>
    <t>PolynesianFootman</t>
  </si>
  <si>
    <t>Hastati</t>
  </si>
  <si>
    <t>Principes</t>
  </si>
  <si>
    <t>Horseman_Rome</t>
  </si>
  <si>
    <t>italian_knight</t>
  </si>
  <si>
    <t>Horseman_Russia</t>
  </si>
  <si>
    <t>Knight_Russia_v2</t>
  </si>
  <si>
    <t>Knight_Russia_v3</t>
  </si>
  <si>
    <t>Longswordsman_Russia</t>
  </si>
  <si>
    <t>Longswordsman_Russia_v2</t>
  </si>
  <si>
    <t>Streltsy_Black_Coat</t>
  </si>
  <si>
    <t>RussiaWarrior</t>
  </si>
  <si>
    <t>Swordsman_Russia</t>
  </si>
  <si>
    <t>Swordsman_Russia_v2</t>
  </si>
  <si>
    <t>civ5_rusrm</t>
  </si>
  <si>
    <t>civ5_rusrm_2</t>
  </si>
  <si>
    <t>Wolfdog, bernie14</t>
  </si>
  <si>
    <t>babrm7</t>
  </si>
  <si>
    <t>babrm8</t>
  </si>
  <si>
    <t>spain_longsw2</t>
  </si>
  <si>
    <t>civ5_sparm1</t>
  </si>
  <si>
    <t>civ5_sparm2</t>
  </si>
  <si>
    <t>Spearman_Spain</t>
  </si>
  <si>
    <t>Swordsman_Spain</t>
  </si>
  <si>
    <t>Caetrati</t>
  </si>
  <si>
    <t>SwedenWarrior</t>
  </si>
  <si>
    <t>SwedenWarrior2</t>
  </si>
  <si>
    <t>Nutty</t>
  </si>
  <si>
    <t>JTitan</t>
  </si>
  <si>
    <t>Archer_Turkey</t>
  </si>
  <si>
    <t>Crossbowman_Turkey</t>
  </si>
  <si>
    <t>Horseman_Turkey</t>
  </si>
  <si>
    <t>Composite_Bowman_Turkey</t>
  </si>
  <si>
    <t>Longswordsman_Turkey</t>
  </si>
  <si>
    <t>Longswordsman_Turkey_v2</t>
  </si>
  <si>
    <t>Longswordsman_Turkey_v3</t>
  </si>
  <si>
    <t>Knight_Turkey</t>
  </si>
  <si>
    <t>Pikeman_Turkey</t>
  </si>
  <si>
    <t>Spearman_Turkey</t>
  </si>
  <si>
    <t>civ5_ottsm1</t>
  </si>
  <si>
    <t>OTTOMAN</t>
  </si>
  <si>
    <t>P40Turkey</t>
  </si>
  <si>
    <t>F4Turkey</t>
  </si>
  <si>
    <t>Leopard1_Turkey</t>
  </si>
  <si>
    <t>Swordsman_Turkey</t>
  </si>
  <si>
    <t>civ5_ottrm2</t>
  </si>
  <si>
    <t>civ5_ottrm_2</t>
  </si>
  <si>
    <t>civ5_ottrm</t>
  </si>
  <si>
    <t>ottgw1</t>
  </si>
  <si>
    <t>Civitar, Nutty</t>
  </si>
  <si>
    <t>vietcong</t>
  </si>
  <si>
    <t>GeneralMatt, danrell</t>
  </si>
  <si>
    <t>asioasioasio, danrell</t>
  </si>
  <si>
    <t>TheCoyote, bernie14, Wolfdog</t>
  </si>
  <si>
    <t>snafusmith, Wolfdog</t>
  </si>
  <si>
    <t>GeneralMatt, Wolfdog</t>
  </si>
  <si>
    <t>Gagonite, Wolfdog</t>
  </si>
  <si>
    <t>Chuggi, hangman</t>
  </si>
  <si>
    <t>Ambrox62, Wolfdog</t>
  </si>
  <si>
    <t>nautil, danrell</t>
  </si>
  <si>
    <t>Zever, Wolfdog</t>
  </si>
  <si>
    <t>Refar, Wolfdog</t>
  </si>
  <si>
    <t>bernie14, Wolfdog</t>
  </si>
  <si>
    <t>Civ4 Invictus, zwei833</t>
  </si>
  <si>
    <t>snafusmith, blazekid87</t>
  </si>
  <si>
    <t>TheCoyote, Wolfdog</t>
  </si>
  <si>
    <t>Bakuel, Civitar</t>
  </si>
  <si>
    <t>GarretSidzaka, Wolfdog</t>
  </si>
  <si>
    <t>ArdRaeiss, danrell</t>
  </si>
  <si>
    <t>Bakuel, Nomad or What</t>
  </si>
  <si>
    <t>Nuvoloblu, danrell</t>
  </si>
  <si>
    <t>KrugerPritz, Wolfdog</t>
  </si>
  <si>
    <t>KrugerPritz, Nikko, Wolfdog</t>
  </si>
  <si>
    <t>danrell, Splinter13</t>
  </si>
  <si>
    <t>Bakuel, Wolfdog</t>
  </si>
  <si>
    <t>Knight_Greece_v2</t>
  </si>
  <si>
    <t>SM.79_Sparviero</t>
  </si>
  <si>
    <t>SS_BOOSTER</t>
  </si>
  <si>
    <t>SS_CAPSULE</t>
  </si>
  <si>
    <t>SS_ENGINE</t>
  </si>
  <si>
    <t>SS_STASIS_CHAMBER</t>
  </si>
  <si>
    <t>_SETTLER</t>
  </si>
  <si>
    <t>ASSYRIA</t>
  </si>
  <si>
    <t>INDONESIA</t>
  </si>
  <si>
    <t>POLYNESIA</t>
  </si>
  <si>
    <t>SHOSHONE</t>
  </si>
  <si>
    <t>VENICE</t>
  </si>
  <si>
    <t>EuroDonkey</t>
  </si>
  <si>
    <t>Settlers_AFRI_F1</t>
  </si>
  <si>
    <t>Settlers_AFRI_F2</t>
  </si>
  <si>
    <t>Settlers_AFRI_F3</t>
  </si>
  <si>
    <t>Settlers_AFRI_F4</t>
  </si>
  <si>
    <t>Settlers_AFRI_M1</t>
  </si>
  <si>
    <t>Settlers_AFRI_M2</t>
  </si>
  <si>
    <t>Settlers_AFRI_M3</t>
  </si>
  <si>
    <t>Settlers_AFRI_M4</t>
  </si>
  <si>
    <t>SettlerAmerican_F1</t>
  </si>
  <si>
    <t>SettlerAmerican_F2</t>
  </si>
  <si>
    <t>SettlerAmerican_F3</t>
  </si>
  <si>
    <t>SettlerAmerican_F4</t>
  </si>
  <si>
    <t>SettlerAmerican_M1</t>
  </si>
  <si>
    <t>SettlerAmerican_M2</t>
  </si>
  <si>
    <t>SettlerAmerican_M3</t>
  </si>
  <si>
    <t>SettlerAmerican_M4</t>
  </si>
  <si>
    <t>Me_Bf-109_Hungary</t>
  </si>
  <si>
    <t>fxsxml</t>
  </si>
  <si>
    <t>Anti_Aircraft_Gun</t>
  </si>
  <si>
    <t>Anti_Tank_Gun</t>
  </si>
  <si>
    <t>Atomic_Bomb</t>
  </si>
  <si>
    <t>Chariot_Archer</t>
  </si>
  <si>
    <t>Helicopter_Gunship</t>
  </si>
  <si>
    <t>Infantry</t>
  </si>
  <si>
    <t>Jet_Fighter</t>
  </si>
  <si>
    <t>BAZOOKA_INFANTRY</t>
  </si>
  <si>
    <t>ARCHAEOLOGIST</t>
  </si>
  <si>
    <t>Bazooka_Infantry</t>
  </si>
  <si>
    <t>Great_Prophet</t>
  </si>
  <si>
    <t>SS_Booster</t>
  </si>
  <si>
    <t>SS_Capsule</t>
  </si>
  <si>
    <t>SS_Engine</t>
  </si>
  <si>
    <t>SS_Stasis_Chamber</t>
  </si>
  <si>
    <t>Galley</t>
  </si>
  <si>
    <t>Galleon</t>
  </si>
  <si>
    <t>Transport</t>
  </si>
  <si>
    <t>Workboat_Late</t>
  </si>
  <si>
    <t>Great_Admiral</t>
  </si>
  <si>
    <t>Great_Admiral_Late</t>
  </si>
  <si>
    <t>Artist</t>
  </si>
  <si>
    <t>Artist_Late</t>
  </si>
  <si>
    <t>Caravan_Postmodern</t>
  </si>
  <si>
    <t>Cargo_Ship</t>
  </si>
  <si>
    <t>Cargo_Ship_Renaissance</t>
  </si>
  <si>
    <t>Cargo_Ship_Postmodern</t>
  </si>
  <si>
    <t>Great_Writer</t>
  </si>
  <si>
    <t>Great_Writer_Postmodern</t>
  </si>
  <si>
    <t>Great_Artist</t>
  </si>
  <si>
    <t>Engineer</t>
  </si>
  <si>
    <t>Engineer_Late</t>
  </si>
  <si>
    <t>General</t>
  </si>
  <si>
    <t>General_Late</t>
  </si>
  <si>
    <t>Great_Artist_Postmodern</t>
  </si>
  <si>
    <t>Great_Musician</t>
  </si>
  <si>
    <t>Great_Musician_Postmodern</t>
  </si>
  <si>
    <t>Merchant</t>
  </si>
  <si>
    <t>Merchant_Late</t>
  </si>
  <si>
    <t>Scientist</t>
  </si>
  <si>
    <t>Scientist_Late</t>
  </si>
  <si>
    <t>Mech</t>
  </si>
  <si>
    <t>Mechanized_Infantry</t>
  </si>
  <si>
    <t>Missile_Cruiser</t>
  </si>
  <si>
    <t>Mobile_SAM</t>
  </si>
  <si>
    <t>Modern_Armor</t>
  </si>
  <si>
    <t>Nuclear_Submarine</t>
  </si>
  <si>
    <t>Rocket_Artillery</t>
  </si>
  <si>
    <t>Stealth_Bomber</t>
  </si>
  <si>
    <t>_Warrior</t>
  </si>
  <si>
    <t>_Settler</t>
  </si>
  <si>
    <t>_Worker</t>
  </si>
  <si>
    <t>_Worker_Late</t>
  </si>
  <si>
    <t>Guided_Missile</t>
  </si>
  <si>
    <t>WW1_Tank</t>
  </si>
  <si>
    <t>WW1_Infantry</t>
  </si>
  <si>
    <t>WW1_Fighter</t>
  </si>
  <si>
    <t>WW1_Bomber</t>
  </si>
  <si>
    <t>XP_Privateer</t>
  </si>
  <si>
    <t>Central Asia and Oceania get donkeys</t>
  </si>
  <si>
    <t>_V2</t>
  </si>
  <si>
    <t>_V3</t>
  </si>
  <si>
    <t>ANTANANARIVO</t>
  </si>
  <si>
    <t>ANTWERP</t>
  </si>
  <si>
    <t>BELGRADE</t>
  </si>
  <si>
    <t>BOGOTA</t>
  </si>
  <si>
    <t>BRATISLAVA</t>
  </si>
  <si>
    <t>BRUSSELS</t>
  </si>
  <si>
    <t>BUCHAREST</t>
  </si>
  <si>
    <t>BUDAPEST</t>
  </si>
  <si>
    <t>BUENOS_AIRES</t>
  </si>
  <si>
    <t>BYBLOS</t>
  </si>
  <si>
    <t>CAHOKIA</t>
  </si>
  <si>
    <t>CAPE_TOWN</t>
  </si>
  <si>
    <t>COLOMBO</t>
  </si>
  <si>
    <t>FLORENCE</t>
  </si>
  <si>
    <t>GENEVA</t>
  </si>
  <si>
    <t>GENOA</t>
  </si>
  <si>
    <t>HANOI</t>
  </si>
  <si>
    <t>HONG_KONG</t>
  </si>
  <si>
    <t>IFE</t>
  </si>
  <si>
    <t>JERUSALEM</t>
  </si>
  <si>
    <t>KABUL</t>
  </si>
  <si>
    <t>KATHMANDU</t>
  </si>
  <si>
    <t>KIEV</t>
  </si>
  <si>
    <t>KUALA_LUMPUR</t>
  </si>
  <si>
    <t>KYZYL</t>
  </si>
  <si>
    <t>LA_VENTA</t>
  </si>
  <si>
    <t>LHASA</t>
  </si>
  <si>
    <t>MALACCA</t>
  </si>
  <si>
    <t>MANILA</t>
  </si>
  <si>
    <t>MBANZA_KONGO</t>
  </si>
  <si>
    <t>MELBOURNE</t>
  </si>
  <si>
    <t>MILAN</t>
  </si>
  <si>
    <t>MONACO</t>
  </si>
  <si>
    <t>ORMUS</t>
  </si>
  <si>
    <t>PANAMA_CITY</t>
  </si>
  <si>
    <t>PRAGUE</t>
  </si>
  <si>
    <t>QUEBEC_CITY</t>
  </si>
  <si>
    <t>RAGUSA</t>
  </si>
  <si>
    <t>RIGA</t>
  </si>
  <si>
    <t>SAMARKAND</t>
  </si>
  <si>
    <t>SIDON</t>
  </si>
  <si>
    <t>SINGAPORE</t>
  </si>
  <si>
    <t>SOFIA</t>
  </si>
  <si>
    <t>SYDNEY</t>
  </si>
  <si>
    <t>TYRE</t>
  </si>
  <si>
    <t>UR</t>
  </si>
  <si>
    <t>VALLETTA</t>
  </si>
  <si>
    <t>VANCOUVER</t>
  </si>
  <si>
    <t>VILNIUS</t>
  </si>
  <si>
    <t>WELLINGTON</t>
  </si>
  <si>
    <t>WITTENBERG</t>
  </si>
  <si>
    <t>YEREVAN</t>
  </si>
  <si>
    <t>ZANZIBAR</t>
  </si>
  <si>
    <t>ZURICH</t>
  </si>
  <si>
    <t>ALMATY</t>
  </si>
  <si>
    <t>HONIARA</t>
  </si>
  <si>
    <t>KOROR</t>
  </si>
  <si>
    <t>NAIN</t>
  </si>
  <si>
    <t>NOUMEA</t>
  </si>
  <si>
    <t>PORT_MORESBY</t>
  </si>
  <si>
    <t>SUVA</t>
  </si>
  <si>
    <t>PORT_VILA</t>
  </si>
  <si>
    <t>NEW_ZEALAND</t>
  </si>
  <si>
    <t>BAMAGA</t>
  </si>
  <si>
    <t>KAZAN</t>
  </si>
  <si>
    <t>YUGOSLAVIA</t>
  </si>
  <si>
    <t>USSR</t>
  </si>
  <si>
    <t>UAE</t>
  </si>
  <si>
    <t>SUMERIA_LS_MOD</t>
  </si>
  <si>
    <t>MC_MAORI</t>
  </si>
  <si>
    <t>MC_RAPA_NUI</t>
  </si>
  <si>
    <t>MC_TONGA</t>
  </si>
  <si>
    <t>KULINNATION</t>
  </si>
  <si>
    <t>TIWANAKU</t>
  </si>
  <si>
    <t>ZAPOTEC</t>
  </si>
  <si>
    <t>DENEFIRSTNATION</t>
  </si>
  <si>
    <t>SWITZERLAND_LS_MOD</t>
  </si>
  <si>
    <t>SABA</t>
  </si>
  <si>
    <t>swiss_sword</t>
  </si>
  <si>
    <t>zwei833, Civitar, Nutty</t>
  </si>
  <si>
    <t>Civ5_AfricanSF_v2</t>
  </si>
  <si>
    <t>Terrorist</t>
  </si>
  <si>
    <t>AsianSF</t>
  </si>
  <si>
    <t>SthAmericanSF</t>
  </si>
  <si>
    <t>mechaerik, Civitar</t>
  </si>
  <si>
    <t>Civ</t>
  </si>
  <si>
    <t>GRECO_ROMAN</t>
  </si>
  <si>
    <t>MEDITERRANEAN</t>
  </si>
  <si>
    <t>MIDDLE_EAST</t>
  </si>
  <si>
    <t>AFRICAN</t>
  </si>
  <si>
    <t>POLYNESIAN</t>
  </si>
  <si>
    <t>SOUTH_AMERICA</t>
  </si>
  <si>
    <t>MARRAKECH</t>
  </si>
  <si>
    <t>AMERICAN</t>
  </si>
  <si>
    <t>WARSAW</t>
  </si>
  <si>
    <t>HELSINKI</t>
  </si>
  <si>
    <t>STOCKHOLM</t>
  </si>
  <si>
    <t>RIO_DE_JANEIRO</t>
  </si>
  <si>
    <t>DUBLIN</t>
  </si>
  <si>
    <t>EDINBURGH</t>
  </si>
  <si>
    <t>JAKARTA</t>
  </si>
  <si>
    <t>LISBON</t>
  </si>
  <si>
    <t>OSLO</t>
  </si>
  <si>
    <t>SEOUL</t>
  </si>
  <si>
    <t>VIENNA</t>
  </si>
  <si>
    <t>Deliverator, Firaxis</t>
  </si>
  <si>
    <t>Deliverator, Oleg153, Firaxis</t>
  </si>
  <si>
    <t>?bernie14, Nutty</t>
  </si>
  <si>
    <t>Composite_Bowman</t>
  </si>
  <si>
    <t>XCOM_Squad</t>
  </si>
  <si>
    <t>Nuclear_Missile</t>
  </si>
  <si>
    <t>GatlingGun</t>
  </si>
  <si>
    <t>MachineGun</t>
  </si>
  <si>
    <t>Galleass</t>
  </si>
  <si>
    <t>Euro</t>
  </si>
  <si>
    <t>NorthEu</t>
  </si>
  <si>
    <t>EastEu</t>
  </si>
  <si>
    <t>Med</t>
  </si>
  <si>
    <t>MidEast</t>
  </si>
  <si>
    <t>Afri</t>
  </si>
  <si>
    <t>CentAs</t>
  </si>
  <si>
    <t>SouthAs</t>
  </si>
  <si>
    <t>SEASia</t>
  </si>
  <si>
    <t>Amer</t>
  </si>
  <si>
    <t>SouthAm</t>
  </si>
  <si>
    <t>Ocean</t>
  </si>
  <si>
    <t>Zulu</t>
  </si>
  <si>
    <t>Cent.Asia</t>
  </si>
  <si>
    <t>S.Asia</t>
  </si>
  <si>
    <t>N.Europe</t>
  </si>
  <si>
    <t>E.Europe</t>
  </si>
  <si>
    <t>N.America</t>
  </si>
  <si>
    <t>S.America</t>
  </si>
  <si>
    <t>regional</t>
  </si>
  <si>
    <t>totals: civ-specific</t>
  </si>
  <si>
    <t>possible</t>
  </si>
  <si>
    <t>[NB: scenario unit Heavy Chariot]</t>
  </si>
  <si>
    <t>AUSTRALIA</t>
  </si>
  <si>
    <t>tiger_australia</t>
  </si>
  <si>
    <t>MakuriaSwordsman</t>
  </si>
  <si>
    <t>JTitan, Bakuel</t>
  </si>
  <si>
    <t>BARBARIAN_ARCHER</t>
  </si>
  <si>
    <t>BARBARIAN_GALLEY</t>
  </si>
  <si>
    <t>BARBARIAN_SPEARMAN</t>
  </si>
  <si>
    <t>BARBARIAN_SWORDSMAN</t>
  </si>
  <si>
    <t>GREATARTIST_EARLY</t>
  </si>
  <si>
    <t>GREATARTIST_LATE</t>
  </si>
  <si>
    <t>ARTIST</t>
  </si>
  <si>
    <t>GREATENGINEER_EARLY</t>
  </si>
  <si>
    <t>GREATENGINEER_LATE</t>
  </si>
  <si>
    <t>ENGINEER</t>
  </si>
  <si>
    <t>_WORKER</t>
  </si>
  <si>
    <t>_WORKER_LATE</t>
  </si>
  <si>
    <t>ARTIST_LATE</t>
  </si>
  <si>
    <t>CARAVAN</t>
  </si>
  <si>
    <t>CARAVAN_POSTMODERN</t>
  </si>
  <si>
    <t>CARAVAN_LATE</t>
  </si>
  <si>
    <t>CARGO_SHIP</t>
  </si>
  <si>
    <t>CARGO_SHIP_POSTMODERN</t>
  </si>
  <si>
    <t>CARGO_SHIP_RENAISSANCE</t>
  </si>
  <si>
    <t>CARGO_SHIP_LATE</t>
  </si>
  <si>
    <t>CARGO_SHIP_MID</t>
  </si>
  <si>
    <t>CONFEDERATE_ARTILLERY_NAPOLEON</t>
  </si>
  <si>
    <t>CONFEDERATE_ARTILLERY_PARROTT</t>
  </si>
  <si>
    <t>CONFEDERATE_CAVALRY_CARBINE</t>
  </si>
  <si>
    <t>CONFEDERATE_CAVALRY_PISTOL</t>
  </si>
  <si>
    <t>CONFEDERATE_CORPS</t>
  </si>
  <si>
    <t>CONFEDERATE_DIVISION</t>
  </si>
  <si>
    <t>CONFEDERATE_RIFLEMAN</t>
  </si>
  <si>
    <t>CONFEDERATE_GENERAL</t>
  </si>
  <si>
    <t>CONFEDERATE_GREAT_GENERAL</t>
  </si>
  <si>
    <t>CONFEDERATE_IRONCLAD</t>
  </si>
  <si>
    <t>ENGINEER_LATE</t>
  </si>
  <si>
    <t>EXPLORER</t>
  </si>
  <si>
    <t>GREAT_EXPLORER</t>
  </si>
  <si>
    <t>GADRAUHTS_SWORDSMAN</t>
  </si>
  <si>
    <t>GENERAL</t>
  </si>
  <si>
    <t>GENERAL_KHAN</t>
  </si>
  <si>
    <t>GENERAL_LATE</t>
  </si>
  <si>
    <t>GREATGENERAL_EARLY</t>
  </si>
  <si>
    <t>GREATGENERAL_KHAN</t>
  </si>
  <si>
    <t>GREATGENERAL_LATE</t>
  </si>
  <si>
    <t>GREAT_ADMIRAL</t>
  </si>
  <si>
    <t>GREAT_ADMIRAL_LATE</t>
  </si>
  <si>
    <t>GREAT_ARTIST</t>
  </si>
  <si>
    <t>GREAT_ARTIST_POSTMODERN</t>
  </si>
  <si>
    <t>GREAT_MUSICIAN</t>
  </si>
  <si>
    <t>GREAT_MUSICIAN_POSTMODERN</t>
  </si>
  <si>
    <t>GREAT_WRITER</t>
  </si>
  <si>
    <t>GREAT_WRITER_POSTMODERN</t>
  </si>
  <si>
    <t>GREAT_ARTIST_LATE</t>
  </si>
  <si>
    <t>GREAT_MUSICIAN_LATE</t>
  </si>
  <si>
    <t>GREAT_WRITER_LATE</t>
  </si>
  <si>
    <t>HAND_AXE_BARBARIAN</t>
  </si>
  <si>
    <t>MERCHANT</t>
  </si>
  <si>
    <t>MERCHANT_LATE</t>
  </si>
  <si>
    <t>GREATMERCHANT_EARLY</t>
  </si>
  <si>
    <t>GREATMERCHANT_LATE</t>
  </si>
  <si>
    <t>MILITARY_ENGINEER</t>
  </si>
  <si>
    <t>PRIVATEER</t>
  </si>
  <si>
    <t>SCIENTIST</t>
  </si>
  <si>
    <t>SCIENTIST_LATE</t>
  </si>
  <si>
    <t>GREATSCIENTIST_EARLY</t>
  </si>
  <si>
    <t>GREATSCIENTIST_LATE</t>
  </si>
  <si>
    <t>SCRAMBLE_FORCE_PUBLIQUE</t>
  </si>
  <si>
    <t>SCRAMBLE_FOREIGN_VOLUNTEERS</t>
  </si>
  <si>
    <t>SMOKEY_LANDSHIP_LEVEL_1</t>
  </si>
  <si>
    <t>SMOKEY_LANDSHIP_LEVEL_2</t>
  </si>
  <si>
    <t>SMOKEY_LANDSHIP_LEVEL_3</t>
  </si>
  <si>
    <t>SMOKEY_STEAM_AIRSHIP</t>
  </si>
  <si>
    <t>SMOKEY_STEAM_AIRSHIP_LEVEL_1</t>
  </si>
  <si>
    <t>SMOKEY_STEAM_FIGHTER</t>
  </si>
  <si>
    <t>SMOKEY_BLIMP</t>
  </si>
  <si>
    <t>SMOKEY_AIRSHIP_LEVEL_1</t>
  </si>
  <si>
    <t>UNION_ARTILLERY_NAPOLEON</t>
  </si>
  <si>
    <t>UNION_ARTILLERY_PARROTT</t>
  </si>
  <si>
    <t>UNION_CAVALRY_CARBINE</t>
  </si>
  <si>
    <t>UNION_CAVALRY_PISTOL</t>
  </si>
  <si>
    <t>UNION_CORPS</t>
  </si>
  <si>
    <t>UNION_DIVISION</t>
  </si>
  <si>
    <t>UNION_GENERAL</t>
  </si>
  <si>
    <t>UNION_IRONCLAD</t>
  </si>
  <si>
    <t>UNION_GREAT_GENERAL</t>
  </si>
  <si>
    <t>WORKBOAT</t>
  </si>
  <si>
    <t>WORKBOAT_LATE</t>
  </si>
  <si>
    <t>WORKBOAT_INDUSTRIAL</t>
  </si>
  <si>
    <t>WW2_INFANTRY</t>
  </si>
  <si>
    <t>Settlers_AFRI_Camel</t>
  </si>
  <si>
    <t>SettlerAmerican_Llama</t>
  </si>
  <si>
    <t>AntiAircraftGun</t>
  </si>
  <si>
    <t>AntiTankGun</t>
  </si>
  <si>
    <t>Archeologist</t>
  </si>
  <si>
    <t>Archeologist_F1</t>
  </si>
  <si>
    <t>Archeologist_F2</t>
  </si>
  <si>
    <t>Archer_V2</t>
  </si>
  <si>
    <t>Archer_V3</t>
  </si>
  <si>
    <t>AtomicBomb</t>
  </si>
  <si>
    <t>Barbarian_Archer_01</t>
  </si>
  <si>
    <t>Barbarian_Archer_V2</t>
  </si>
  <si>
    <t>Barbarian_Archer_V3</t>
  </si>
  <si>
    <t>Barbarian_EURO_Alpha</t>
  </si>
  <si>
    <t>Barbarian_EURO_Bravo</t>
  </si>
  <si>
    <t>Barbarian_EURO_Charlie</t>
  </si>
  <si>
    <t>Barbarian_Galley</t>
  </si>
  <si>
    <t>Barbarian_Spearman</t>
  </si>
  <si>
    <t>Barbarian_Spearman_V2</t>
  </si>
  <si>
    <t>Barbarian_Spearman_V3</t>
  </si>
  <si>
    <t>Barbarian_Swordsman</t>
  </si>
  <si>
    <t>Barbarian_Swordsman_V2</t>
  </si>
  <si>
    <t>Barbarian_Swordsman_V3</t>
  </si>
  <si>
    <t>Caravan_Early</t>
  </si>
  <si>
    <t>Caravan_Early_F1</t>
  </si>
  <si>
    <t>Caravan_Early_F2</t>
  </si>
  <si>
    <t>Caravan_Late</t>
  </si>
  <si>
    <t>Caravan_Late_F1</t>
  </si>
  <si>
    <t>Caravan_Late_F2</t>
  </si>
  <si>
    <t>Cargo_Ship_Early</t>
  </si>
  <si>
    <t>Cargo_Ship_Late</t>
  </si>
  <si>
    <t>Cargo_Ship_Middle</t>
  </si>
  <si>
    <t>ChariotArcher</t>
  </si>
  <si>
    <t>Confederate_Artillery_Napoleon</t>
  </si>
  <si>
    <t>Confederate_Artillery_Parrott</t>
  </si>
  <si>
    <t>Confederate_Cavalry_Carbine</t>
  </si>
  <si>
    <t>Confederate_Cavalry_Pistol</t>
  </si>
  <si>
    <t>CW_Great_General_Confederate</t>
  </si>
  <si>
    <t>Confederate_Ironclad</t>
  </si>
  <si>
    <t>Confederate_Rifleman</t>
  </si>
  <si>
    <t>Confederate_Rifleman_V1</t>
  </si>
  <si>
    <t>Confederate_Rifleman_V2</t>
  </si>
  <si>
    <t>EuroFemale18</t>
  </si>
  <si>
    <t>EuroMale20</t>
  </si>
  <si>
    <t>EuroMale25</t>
  </si>
  <si>
    <t>EuroMale35</t>
  </si>
  <si>
    <t>EuroMale45</t>
  </si>
  <si>
    <t>EuroFemale25</t>
  </si>
  <si>
    <t>EuroFemale35</t>
  </si>
  <si>
    <t>EuroFemale40</t>
  </si>
  <si>
    <t>Gadrauhts_Swordsman</t>
  </si>
  <si>
    <t>Gatling_Gun</t>
  </si>
  <si>
    <t>Great_Admiral_Early</t>
  </si>
  <si>
    <t>Great_Artist_Early</t>
  </si>
  <si>
    <t>Great_Artist_Early_F1</t>
  </si>
  <si>
    <t>Great_Artist_Early_F2</t>
  </si>
  <si>
    <t>Great_Artist_Late_F1</t>
  </si>
  <si>
    <t>Great_Artist_Late_F2</t>
  </si>
  <si>
    <t>Great_Artist_Late</t>
  </si>
  <si>
    <t>Great_Explorer_F1</t>
  </si>
  <si>
    <t>Great_Explorer</t>
  </si>
  <si>
    <t>Great_Explorer_F2</t>
  </si>
  <si>
    <t>Great_Musician_Early_F2</t>
  </si>
  <si>
    <t>Great_Musician_Late_F2</t>
  </si>
  <si>
    <t>Great_Musician_Early</t>
  </si>
  <si>
    <t>Great_Musician_Early_F1</t>
  </si>
  <si>
    <t>Great_Musician_Late</t>
  </si>
  <si>
    <t>Great_Musician_Late_F1</t>
  </si>
  <si>
    <t>Great_Prophet_F2</t>
  </si>
  <si>
    <t>Great_Prophet_F1</t>
  </si>
  <si>
    <t>Great_Writer_Early</t>
  </si>
  <si>
    <t>Great_Writer_Early_F1</t>
  </si>
  <si>
    <t>Great_Writer_Early_F2</t>
  </si>
  <si>
    <t>Great_Writer_Late_F2</t>
  </si>
  <si>
    <t>Great_Writer_Late</t>
  </si>
  <si>
    <t>Great_Writer_Late_F1</t>
  </si>
  <si>
    <t>GreatArtist_Early_Bagpiper</t>
  </si>
  <si>
    <t>GreatArtist_Early_Bigdrummer</t>
  </si>
  <si>
    <t>GreatArtist_Early_Drummer</t>
  </si>
  <si>
    <t>GreatArtist_Early_Flagbearer</t>
  </si>
  <si>
    <t>GreatArtist_Early_Flute</t>
  </si>
  <si>
    <t>GreatArtist_Early_Tambourine</t>
  </si>
  <si>
    <t>GreatArtist_Late</t>
  </si>
  <si>
    <t>GreatGeneral_Early_Khan</t>
  </si>
  <si>
    <t>GreatGeneral_Early</t>
  </si>
  <si>
    <t>GreatGeneral_Late</t>
  </si>
  <si>
    <t>GreatMerchant_Early_Camel_V1</t>
  </si>
  <si>
    <t>GreatMerchant_Early_Camel_V2</t>
  </si>
  <si>
    <t>GreatMerchant_Early_Leader</t>
  </si>
  <si>
    <t>GreatScientist_Early</t>
  </si>
  <si>
    <t>GreatScientist_Late</t>
  </si>
  <si>
    <t>GuidedMissile</t>
  </si>
  <si>
    <t>Hand_Axe_Barbarian</t>
  </si>
  <si>
    <t>HelicopterGunship</t>
  </si>
  <si>
    <t>Inquisitor_01</t>
  </si>
  <si>
    <t>Inquisitor_02</t>
  </si>
  <si>
    <t>WW1_Machinegun</t>
  </si>
  <si>
    <t>MechanizedInfantry</t>
  </si>
  <si>
    <t>Civil_War_Engineer</t>
  </si>
  <si>
    <t>GreatMerchant_Late</t>
  </si>
  <si>
    <t>MissileCruiser</t>
  </si>
  <si>
    <t>Missionary_01</t>
  </si>
  <si>
    <t>Missionary_02</t>
  </si>
  <si>
    <t>MobileSAM</t>
  </si>
  <si>
    <t>ModernArmor</t>
  </si>
  <si>
    <t>NuclearMissile</t>
  </si>
  <si>
    <t>NuclearSubmarine</t>
  </si>
  <si>
    <t>Battleship_Generic</t>
  </si>
  <si>
    <t>Carrier_Generic</t>
  </si>
  <si>
    <t>Destroyer_Generic</t>
  </si>
  <si>
    <t>Infantry_Generic</t>
  </si>
  <si>
    <t>JetFighter_Generic</t>
  </si>
  <si>
    <t>Paratrooper_Generic_MG</t>
  </si>
  <si>
    <t>Paratrooper_Generic</t>
  </si>
  <si>
    <t>Privateer</t>
  </si>
  <si>
    <t>RocketArtillery</t>
  </si>
  <si>
    <t>U_French_ForeignLegion</t>
  </si>
  <si>
    <t>Settlers_Asian_F1</t>
  </si>
  <si>
    <t>Settlers_Asian_F2</t>
  </si>
  <si>
    <t>Settlers_Asian_F3</t>
  </si>
  <si>
    <t>Settlers_Asian_F4</t>
  </si>
  <si>
    <t>Settlers_Asian_M1</t>
  </si>
  <si>
    <t>Settlers_Asian_M2</t>
  </si>
  <si>
    <t>Settlers_Asian_M3</t>
  </si>
  <si>
    <t>Settlers_Asian_M4</t>
  </si>
  <si>
    <t>Settlers_Asian_Ox</t>
  </si>
  <si>
    <t>Warrior_V2</t>
  </si>
  <si>
    <t>Warrior</t>
  </si>
  <si>
    <t>Warrior_V4</t>
  </si>
  <si>
    <t>Steam_Airship_Level1</t>
  </si>
  <si>
    <t>Steam_Airship</t>
  </si>
  <si>
    <t>Smokey_Landship_Level1</t>
  </si>
  <si>
    <t>Smokey_Landship_Level2</t>
  </si>
  <si>
    <t>Smokey_Landship_Level3</t>
  </si>
  <si>
    <t>Steam_Fighter</t>
  </si>
  <si>
    <t>Spearman_V2</t>
  </si>
  <si>
    <t>Spearman_V3</t>
  </si>
  <si>
    <t>StealthBomber</t>
  </si>
  <si>
    <t>Swordsman_V3</t>
  </si>
  <si>
    <t>Swordsman_V2</t>
  </si>
  <si>
    <t>Union_Artillery_Napoleon</t>
  </si>
  <si>
    <t>Union_Artillery_Parrott</t>
  </si>
  <si>
    <t>Union_Cavalry_Carbine</t>
  </si>
  <si>
    <t>Union_Cavalry_Pistol</t>
  </si>
  <si>
    <t>CW_Great_General_Union</t>
  </si>
  <si>
    <t>Union_Ironclad</t>
  </si>
  <si>
    <t>Union_Rifleman</t>
  </si>
  <si>
    <t>UNION_RIFLEMAN</t>
  </si>
  <si>
    <t>Worker_EURO</t>
  </si>
  <si>
    <t>Worker_EURO_Modern</t>
  </si>
  <si>
    <t>WorkBoat_Industrial</t>
  </si>
  <si>
    <t>Heavy_Infantry_XCOM</t>
  </si>
  <si>
    <t>U_AMERICAN_B17</t>
  </si>
  <si>
    <t>U_AMERICAN_MINUTEMAN</t>
  </si>
  <si>
    <t>U_ARABIAN_CAMELARCHER</t>
  </si>
  <si>
    <t>U_ASSYRIAN_SIEGE_TOWER</t>
  </si>
  <si>
    <t>U_AUSTRIAN_HUSSAR</t>
  </si>
  <si>
    <t>U_AZTEC_JAGUAR</t>
  </si>
  <si>
    <t>U_BABYLONIAN_BOWMAN</t>
  </si>
  <si>
    <t>U_BRAZILIAN_PRACINHAS</t>
  </si>
  <si>
    <t>U_BYZANTIUM_CATAPHRACT</t>
  </si>
  <si>
    <t>U_BYZANTIUM_DROMON</t>
  </si>
  <si>
    <t>U_CARTHAGE_AFRICANFOREST_ELEPHANT</t>
  </si>
  <si>
    <t>U_CARTHAGE_QUINQUEREME</t>
  </si>
  <si>
    <t>U_CELT_PICTISH_WARRIOR</t>
  </si>
  <si>
    <t>U_CHINESE_CHUKONU</t>
  </si>
  <si>
    <t>U_DANISH_BERSERKER</t>
  </si>
  <si>
    <t>U_DANISH_LONGBOAT</t>
  </si>
  <si>
    <t>U_DANISH_SKI_INFANTRY</t>
  </si>
  <si>
    <t>U_DUTCH_SEA_BEGGARS</t>
  </si>
  <si>
    <t>U_EGYPTIAN_WARCHARIOT</t>
  </si>
  <si>
    <t>U_ENGLISH_LONGBOWMAN</t>
  </si>
  <si>
    <t>U_ENGLISH_SHIPOFTHELINE</t>
  </si>
  <si>
    <t>U_ETHIOPIA_MEHAL_SEFARI</t>
  </si>
  <si>
    <t>U_FRENCH_FOREIGNLEGION</t>
  </si>
  <si>
    <t>U_FRENCH_MUSKETEER</t>
  </si>
  <si>
    <t>U_GERMAN_LANDSKNECHT</t>
  </si>
  <si>
    <t>U_GERMAN_PANZER</t>
  </si>
  <si>
    <t>U_GREEK_COMPANIONCAVALRY</t>
  </si>
  <si>
    <t>U_HITTITE_WARCHARIOT</t>
  </si>
  <si>
    <t>U_HUNS_BATTERING_RAM</t>
  </si>
  <si>
    <t>U_HUNS_HORSE_ARCHER</t>
  </si>
  <si>
    <t>U_INCAN_SLINGER</t>
  </si>
  <si>
    <t>U_INDIAN_WARELEPHANT</t>
  </si>
  <si>
    <t>U_INDONESIAN_KRIS_SWORDSMAN</t>
  </si>
  <si>
    <t>U_IROQUOIAN_MOHAWKWARRIOR</t>
  </si>
  <si>
    <t>U_JAPANESE_ZERO</t>
  </si>
  <si>
    <t>U_KOREAN_HWACHA</t>
  </si>
  <si>
    <t>U_KOREAN_TURTLESHIP</t>
  </si>
  <si>
    <t>U_MAYAN_ATLALIST</t>
  </si>
  <si>
    <t>U_MONGOLIAN_KESHIK</t>
  </si>
  <si>
    <t>U_MORROCAN_BERBER_CAVALRY</t>
  </si>
  <si>
    <t>U_OTTOMAN_JANISSARY</t>
  </si>
  <si>
    <t>U_OTTOMAN_SIPAHI</t>
  </si>
  <si>
    <t>U_PERSIAN_IMMORTAL</t>
  </si>
  <si>
    <t>U_POLISH_WINGED_HUSSAR</t>
  </si>
  <si>
    <t>U_POLYNESIAN_MAORI_WARRIOR</t>
  </si>
  <si>
    <t>U_POLYNESIAN_WAR_CANOE</t>
  </si>
  <si>
    <t>U_PORTUGUESE_CARRACK</t>
  </si>
  <si>
    <t>U_ROMAN_BALLISTA</t>
  </si>
  <si>
    <t>U_ROMAN_LEGION</t>
  </si>
  <si>
    <t>U_RUSSIAN_COSSACK</t>
  </si>
  <si>
    <t>U_SAXON_HUSCARL</t>
  </si>
  <si>
    <t>U_SHOSHONE_COMANCHE_RIDERS</t>
  </si>
  <si>
    <t>U_SHOSHONE_PATHFINDER</t>
  </si>
  <si>
    <t>U_SIAMESE_WARELEPHANT</t>
  </si>
  <si>
    <t>U_SONGHAI_MUSLIMCAVALRY</t>
  </si>
  <si>
    <t>U_SPANISH_CONQUISTADOR</t>
  </si>
  <si>
    <t>U_SPANISH_GALLEON</t>
  </si>
  <si>
    <t>U_SPANISH_TERCIO</t>
  </si>
  <si>
    <t>U_SPANISH_TREASURE_CART</t>
  </si>
  <si>
    <t>U_SUMERIAN_PHALANX</t>
  </si>
  <si>
    <t>U_SWEDISH_CAROLEAN</t>
  </si>
  <si>
    <t>U_SWEDISH_HAKKAPELITTA</t>
  </si>
  <si>
    <t>U_VENETIAN_GALLEASS</t>
  </si>
  <si>
    <t>U_VENETIAN_MERCHANT</t>
  </si>
  <si>
    <t>U_ZULU_IMPI_WARRIOR</t>
  </si>
  <si>
    <t>U_DANISH_SKY_INFANTRY</t>
  </si>
  <si>
    <t>LooseCivilian</t>
  </si>
  <si>
    <t>ThreeBigGuns</t>
  </si>
  <si>
    <t>DefaultCavalry</t>
  </si>
  <si>
    <t>TwoBigGuns</t>
  </si>
  <si>
    <t>EarlyGreatArtist</t>
  </si>
  <si>
    <t>BomberWing</t>
  </si>
  <si>
    <t>ThreeInLine</t>
  </si>
  <si>
    <t>TheeInLineStag</t>
  </si>
  <si>
    <t>ChariotElephant</t>
  </si>
  <si>
    <t>HonorableGunpowder</t>
  </si>
  <si>
    <t>UnFormed</t>
  </si>
  <si>
    <t>FighterWing</t>
  </si>
  <si>
    <t>DefaultMelee</t>
  </si>
  <si>
    <t>Vehicle</t>
  </si>
  <si>
    <t>EarlyGreatMerchant</t>
  </si>
  <si>
    <t>Phalanx</t>
  </si>
  <si>
    <t>Samurai</t>
  </si>
  <si>
    <t>OffsetPikeman</t>
  </si>
  <si>
    <t>U_Assyrian_Siege_Tower</t>
  </si>
  <si>
    <t>U_Austrian_Hussar</t>
  </si>
  <si>
    <t>U_Babylonian_Bowman</t>
  </si>
  <si>
    <t>U_Brazil_Pracinhas</t>
  </si>
  <si>
    <t>U_Byzantium_Cataphract</t>
  </si>
  <si>
    <t>U_Byzantium_Dromon</t>
  </si>
  <si>
    <t>U_Carthage_AfricanForest_Elephant</t>
  </si>
  <si>
    <t>U_Carthage_Quinquereme</t>
  </si>
  <si>
    <t>U_Celt_PictishWarrior</t>
  </si>
  <si>
    <t>U_Denmark_Berserker</t>
  </si>
  <si>
    <t>U_Denmark_Ski_Infantry</t>
  </si>
  <si>
    <t>U_Dutch_Sea_Beggar</t>
  </si>
  <si>
    <t>Ethiopian_Mehal_Sefari</t>
  </si>
  <si>
    <t>Hititte_War_Chariot</t>
  </si>
  <si>
    <t>U_Huns_Battering_Ram</t>
  </si>
  <si>
    <t>U_Huns_HorseArcher</t>
  </si>
  <si>
    <t>U_Incan_Slinger</t>
  </si>
  <si>
    <t>U_Indonesian_Kris_Swordsman</t>
  </si>
  <si>
    <t>U_Korean_Hwacha</t>
  </si>
  <si>
    <t>U_Korean_Turtle_Ship</t>
  </si>
  <si>
    <t>Mayan_Atlalist</t>
  </si>
  <si>
    <t>U_Mongolian_Keshik</t>
  </si>
  <si>
    <t>U_Morocco_Berber</t>
  </si>
  <si>
    <t>U_Polish_Winged_Hussar</t>
  </si>
  <si>
    <t>U_Polynesian_Maori_Warrior</t>
  </si>
  <si>
    <t>U_Portugal_Carrack</t>
  </si>
  <si>
    <t>U_Saxon_Huscarl</t>
  </si>
  <si>
    <t>U_Shosone_Comanche_Rider</t>
  </si>
  <si>
    <t>U_Shosone_Pathfinder</t>
  </si>
  <si>
    <t>U_Spanish_Conquistador</t>
  </si>
  <si>
    <t>U_Spanish_Galleon</t>
  </si>
  <si>
    <t>U_Spanish_Terico_Arcabucero</t>
  </si>
  <si>
    <t>U_Spanish_Terico_Piquero</t>
  </si>
  <si>
    <t>U_Spanish_Treasure_Cart</t>
  </si>
  <si>
    <t>U_Sumerian_Phalanx</t>
  </si>
  <si>
    <t>U_Swedish_Carolean</t>
  </si>
  <si>
    <t>U_Swedish_Hakkapelitta</t>
  </si>
  <si>
    <t>U_Venetian_Galleass</t>
  </si>
  <si>
    <t>Venice_Merchant_of_Venice</t>
  </si>
  <si>
    <t>U_Zulu_Warrior_V1</t>
  </si>
  <si>
    <t>U_Zulu_Warrior_V2</t>
  </si>
  <si>
    <t>U_Zulu_Warrior_V3</t>
  </si>
  <si>
    <t>U_American_B17</t>
  </si>
  <si>
    <t>U_American_Minuteman</t>
  </si>
  <si>
    <t>U_Arabian_CamelArcher</t>
  </si>
  <si>
    <t>U_Aztec_Jaguar</t>
  </si>
  <si>
    <t>U_Chinese_ChuKoNu</t>
  </si>
  <si>
    <t>U_Egyptian_WarChariot</t>
  </si>
  <si>
    <t>U_English_Longbowman</t>
  </si>
  <si>
    <t>U_English_ShipOfTheLine</t>
  </si>
  <si>
    <t>U_French_Musketeer</t>
  </si>
  <si>
    <t>U_German_Landsknecht_A</t>
  </si>
  <si>
    <t>U_German_Landsknecht_B</t>
  </si>
  <si>
    <t>U_German_Panzer</t>
  </si>
  <si>
    <t>U_Indian_WarElephant</t>
  </si>
  <si>
    <t>U_Iroquoian_MohawkWarrior</t>
  </si>
  <si>
    <t>U_Japanese_Samurai</t>
  </si>
  <si>
    <t>U_Japanese_Zero</t>
  </si>
  <si>
    <t>U_Ottoman_Janissary</t>
  </si>
  <si>
    <t>U_Ottoman_Sipahi</t>
  </si>
  <si>
    <t>U_Persian_Immortal</t>
  </si>
  <si>
    <t>U_Roman_Ballista</t>
  </si>
  <si>
    <t>U_Russian_Cossack</t>
  </si>
  <si>
    <t>U_Russian_Cossack_V2</t>
  </si>
  <si>
    <t>U_Russian_Cossack_V3</t>
  </si>
  <si>
    <t>U_Siamese_WarElephant</t>
  </si>
  <si>
    <t>U_Songhai_MuslimCavalry</t>
  </si>
  <si>
    <t>M</t>
  </si>
  <si>
    <t>Flotilla</t>
  </si>
  <si>
    <t>CannonLine</t>
  </si>
  <si>
    <t>Colomb</t>
  </si>
  <si>
    <t>FighterDiamond</t>
  </si>
  <si>
    <t>Nelson</t>
  </si>
  <si>
    <t>WedgeCavalry</t>
  </si>
  <si>
    <t>AssaultMech</t>
  </si>
  <si>
    <t>Wolfpack</t>
  </si>
  <si>
    <t>Agincourt</t>
  </si>
  <si>
    <t>ElitePhalanx</t>
  </si>
  <si>
    <t>Square</t>
  </si>
  <si>
    <t>Tercio</t>
  </si>
  <si>
    <t>BIPED</t>
  </si>
  <si>
    <t>WHEELED</t>
  </si>
  <si>
    <t>GREAT_PERSON</t>
  </si>
  <si>
    <t>AIR_REBASE</t>
  </si>
  <si>
    <t>WOODEN_BOAT</t>
  </si>
  <si>
    <t>BOAT</t>
  </si>
  <si>
    <t>QUADRUPED</t>
  </si>
  <si>
    <t>ROBOT</t>
  </si>
  <si>
    <t>SUB</t>
  </si>
  <si>
    <t>PHANT</t>
  </si>
  <si>
    <t>HEAVY_BIPED</t>
  </si>
  <si>
    <t>GreatEngineer_Early</t>
  </si>
  <si>
    <t>GreatEngineer_Late</t>
  </si>
  <si>
    <t>Submarine_Generic</t>
  </si>
  <si>
    <t>Mongol</t>
  </si>
  <si>
    <t>Helicopter</t>
  </si>
  <si>
    <t>Domain</t>
  </si>
  <si>
    <t>Air</t>
  </si>
  <si>
    <t>Hover</t>
  </si>
  <si>
    <t>Sea</t>
  </si>
  <si>
    <t>UMove</t>
  </si>
  <si>
    <t>CMove</t>
  </si>
  <si>
    <t>MemSuffix</t>
  </si>
  <si>
    <t>Member</t>
  </si>
  <si>
    <t>Template</t>
  </si>
  <si>
    <t>Suffix</t>
  </si>
  <si>
    <t>Fallback</t>
  </si>
  <si>
    <t>Deliverator, coffee junkie</t>
  </si>
  <si>
    <t>native_rifleman</t>
  </si>
  <si>
    <t>S</t>
  </si>
  <si>
    <t>JED</t>
  </si>
  <si>
    <t>RED</t>
  </si>
  <si>
    <t>REDX</t>
  </si>
  <si>
    <t>FUG</t>
  </si>
  <si>
    <t>RUG</t>
  </si>
  <si>
    <t>SUG</t>
  </si>
  <si>
    <t>SUGL</t>
  </si>
  <si>
    <t>*=new auto-mated sheet is missing double- fallback regional units</t>
  </si>
  <si>
    <t>= E.U. only</t>
  </si>
  <si>
    <t>vs Ethnic Units v31</t>
  </si>
  <si>
    <t>[545 units, some duplicates]</t>
  </si>
  <si>
    <t>CS</t>
  </si>
  <si>
    <t>Artists</t>
  </si>
  <si>
    <t>Scale1</t>
  </si>
  <si>
    <t>Num1</t>
  </si>
  <si>
    <t>Form1</t>
  </si>
  <si>
    <t>Scale2</t>
  </si>
  <si>
    <t>Num2</t>
  </si>
  <si>
    <t>Form2</t>
  </si>
  <si>
    <t>Scale3</t>
  </si>
  <si>
    <t>Num3</t>
  </si>
  <si>
    <t>Form3</t>
  </si>
  <si>
    <t>Scale4</t>
  </si>
  <si>
    <t>Num4</t>
  </si>
  <si>
    <t>Form4</t>
  </si>
  <si>
    <t>Scale5</t>
  </si>
  <si>
    <t>Num5</t>
  </si>
  <si>
    <t>Form5</t>
  </si>
  <si>
    <t>Scale6</t>
  </si>
  <si>
    <t>Num6</t>
  </si>
  <si>
    <t>Form6</t>
  </si>
  <si>
    <t>Scale7</t>
  </si>
  <si>
    <t>Num7</t>
  </si>
  <si>
    <t>Form7</t>
  </si>
  <si>
    <t>Scale8</t>
  </si>
  <si>
    <t>Num8</t>
  </si>
  <si>
    <t>Form8</t>
  </si>
  <si>
    <t>Scale9</t>
  </si>
  <si>
    <t>Num9</t>
  </si>
  <si>
    <t>Form9</t>
  </si>
  <si>
    <t>Custom</t>
  </si>
  <si>
    <t>Custom2</t>
  </si>
  <si>
    <t>Template+Suffix</t>
  </si>
  <si>
    <t>Codes</t>
  </si>
  <si>
    <t>Fallback:</t>
  </si>
  <si>
    <t>Armored_Cavalry</t>
  </si>
  <si>
    <t>Scaling:</t>
  </si>
  <si>
    <t>egyption_warrior</t>
  </si>
  <si>
    <t>Islamic-Semitic_Warrior</t>
  </si>
  <si>
    <t>Islamic-Semitic_scout</t>
  </si>
  <si>
    <t>SAHUL</t>
  </si>
  <si>
    <t>Sahu_scout</t>
  </si>
  <si>
    <t>Oceanic_warrior</t>
  </si>
  <si>
    <t>Sahu_WARRIOR</t>
  </si>
  <si>
    <t>steppe_warrior</t>
  </si>
  <si>
    <t>Ninja_Japan</t>
  </si>
  <si>
    <t>Realism Invictus, zwei833</t>
  </si>
  <si>
    <t>danrell, zwei833</t>
  </si>
  <si>
    <t>RTW Europa Barbarorum, JTitan</t>
  </si>
  <si>
    <t>EthiopiaHorseman2</t>
  </si>
  <si>
    <t>moche_maceman</t>
  </si>
  <si>
    <t>chimu_general</t>
  </si>
  <si>
    <t>Varietas Delictat, hangman</t>
  </si>
  <si>
    <t>Chimu_Maceman</t>
  </si>
  <si>
    <t>caravan_andes</t>
  </si>
  <si>
    <t>india swordsman1</t>
  </si>
  <si>
    <t>india swordsman2</t>
  </si>
  <si>
    <t>india swordsman3</t>
  </si>
  <si>
    <t>india swordsman4</t>
  </si>
  <si>
    <t>india swordsman5</t>
  </si>
  <si>
    <t>india swordsman6</t>
  </si>
  <si>
    <t>chinese swordsman2</t>
  </si>
  <si>
    <t>civ5_monsm1</t>
  </si>
  <si>
    <t>egyption_scout</t>
  </si>
  <si>
    <t>Indian_scout</t>
  </si>
  <si>
    <t>zwei833</t>
  </si>
  <si>
    <t>Bakuel, zwei833</t>
  </si>
  <si>
    <t>chimu_pikeman</t>
  </si>
  <si>
    <t>chimu_archer</t>
  </si>
  <si>
    <t>chimu_scout</t>
  </si>
  <si>
    <t>chimu_axeman</t>
  </si>
  <si>
    <t>Bakuel, JTitan</t>
  </si>
  <si>
    <t>RTW Invasio Barbarorvm, JTitan</t>
  </si>
  <si>
    <t>Zhuge_Liang, JTitan</t>
  </si>
  <si>
    <t>Tone, JTitan</t>
  </si>
  <si>
    <t>Jarlaxe, JTitan</t>
  </si>
  <si>
    <t>Algaman, JTitan</t>
  </si>
  <si>
    <t>HebrewSwordsman</t>
  </si>
  <si>
    <t>Mods</t>
  </si>
  <si>
    <t>+</t>
  </si>
  <si>
    <t>?</t>
  </si>
  <si>
    <t>++</t>
  </si>
  <si>
    <t>=&gt;</t>
  </si>
  <si>
    <t>Num</t>
  </si>
  <si>
    <t>Scale</t>
  </si>
  <si>
    <t>Form</t>
  </si>
  <si>
    <t>Prefix</t>
  </si>
  <si>
    <t>BldgStyle</t>
  </si>
  <si>
    <t>AKKADIA</t>
  </si>
  <si>
    <t>ALBANIA</t>
  </si>
  <si>
    <t>ALGERIA</t>
  </si>
  <si>
    <t>ARMENIA</t>
  </si>
  <si>
    <t>AZERBAIJAN</t>
  </si>
  <si>
    <t>BERBER</t>
  </si>
  <si>
    <t>BOSNIA</t>
  </si>
  <si>
    <t>BULGARIA</t>
  </si>
  <si>
    <t>BULGARIA_LS_MOD</t>
  </si>
  <si>
    <t>CGF1_GH_GOLDENHORDE</t>
  </si>
  <si>
    <t>CHIMOR</t>
  </si>
  <si>
    <t>CHIMU_MOD</t>
  </si>
  <si>
    <t>CLINUIT</t>
  </si>
  <si>
    <t>CORDOBA</t>
  </si>
  <si>
    <t>CROATIA</t>
  </si>
  <si>
    <t>DURANNI_LS_MOD</t>
  </si>
  <si>
    <t>GE_SLAVS</t>
  </si>
  <si>
    <t>HAFEZ_SYRIA</t>
  </si>
  <si>
    <t>HARAPPAN</t>
  </si>
  <si>
    <t>HETMANATE_LS_MOD</t>
  </si>
  <si>
    <t>HITTITE_LS_MOD</t>
  </si>
  <si>
    <t>HUNGARY_LS_MOD</t>
  </si>
  <si>
    <t>INUIT</t>
  </si>
  <si>
    <t>IRAN</t>
  </si>
  <si>
    <t>ISRAEL</t>
  </si>
  <si>
    <t>ISRAEL_LS_MOD</t>
  </si>
  <si>
    <t>KAZAKH</t>
  </si>
  <si>
    <t>KDMBOSNIA</t>
  </si>
  <si>
    <t>KHAZARIA</t>
  </si>
  <si>
    <t>KUWAIT</t>
  </si>
  <si>
    <t>LATVIA</t>
  </si>
  <si>
    <t>LEUGI_PHILISTINE</t>
  </si>
  <si>
    <t>LIBYA</t>
  </si>
  <si>
    <t>LITHUANIA_LS_MOD</t>
  </si>
  <si>
    <t>MACEDONIA</t>
  </si>
  <si>
    <t>MAPUCHE</t>
  </si>
  <si>
    <t>MARATHA</t>
  </si>
  <si>
    <t>MAURYA</t>
  </si>
  <si>
    <t>MAURYA_LS_MOD</t>
  </si>
  <si>
    <t>MITANNI</t>
  </si>
  <si>
    <t>MOLDAVIA</t>
  </si>
  <si>
    <t>MONTENEGRO</t>
  </si>
  <si>
    <t>MUISCA</t>
  </si>
  <si>
    <t>NABATAEA</t>
  </si>
  <si>
    <t>NEPAL</t>
  </si>
  <si>
    <t>NEPAL_LS_MOD</t>
  </si>
  <si>
    <t>NUBIA</t>
  </si>
  <si>
    <t>NUMIDIA_LS_MOD</t>
  </si>
  <si>
    <t>OLMEC_LS_MOD</t>
  </si>
  <si>
    <t>PAKISTAN</t>
  </si>
  <si>
    <t>PAPUA</t>
  </si>
  <si>
    <t>PARTHIA</t>
  </si>
  <si>
    <t>PHOENICIA</t>
  </si>
  <si>
    <t>PHOENICIA_LS_MOD</t>
  </si>
  <si>
    <t>POLAND_LS_MOD</t>
  </si>
  <si>
    <t>RCUMANIA</t>
  </si>
  <si>
    <t>ROMANIA</t>
  </si>
  <si>
    <t>ROMANIA_LS_MOD</t>
  </si>
  <si>
    <t>SADAT_EGYPT</t>
  </si>
  <si>
    <t>SAMI</t>
  </si>
  <si>
    <t>SASANIAN</t>
  </si>
  <si>
    <t>SCYTHIA_LS_MOD</t>
  </si>
  <si>
    <t>SIBIR</t>
  </si>
  <si>
    <t>SIKH</t>
  </si>
  <si>
    <t>SRI_LANKA</t>
  </si>
  <si>
    <t>SWITZERLAND</t>
  </si>
  <si>
    <t>TAHITI_LS_MOD</t>
  </si>
  <si>
    <t>TCM_ALAN</t>
  </si>
  <si>
    <t>TIMURIDES</t>
  </si>
  <si>
    <t>TIMURIDS_LS_MOD</t>
  </si>
  <si>
    <t>UYGHUR</t>
  </si>
  <si>
    <t>VIJAYANAGAR</t>
  </si>
  <si>
    <t>WALLACHIA</t>
  </si>
  <si>
    <t>YAKUTIA</t>
  </si>
  <si>
    <t>YUPIK</t>
  </si>
  <si>
    <t>0</t>
  </si>
  <si>
    <t>EMBARKED UNITS</t>
  </si>
  <si>
    <t>CIVILIANS (No Era Changes)</t>
  </si>
  <si>
    <t>CIVILIANS (with Era Changes)</t>
  </si>
  <si>
    <t>Rules:</t>
  </si>
  <si>
    <t>CiV can only use maximum 32 total individuals per unit</t>
  </si>
  <si>
    <r>
      <t>expansion</t>
    </r>
    <r>
      <rPr>
        <sz val="11"/>
        <color theme="1"/>
        <rFont val="Calibri"/>
        <family val="2"/>
        <scheme val="minor"/>
      </rPr>
      <t xml:space="preserve"> (DLC/G+K/BNW)</t>
    </r>
  </si>
  <si>
    <r>
      <rPr>
        <sz val="10"/>
        <color theme="9" tint="-0.249977111117893"/>
        <rFont val="Calibri"/>
        <family val="2"/>
        <scheme val="minor"/>
      </rPr>
      <t>Levant CS's, Vatican City</t>
    </r>
    <r>
      <rPr>
        <sz val="11"/>
        <color theme="1"/>
        <rFont val="Calibri"/>
        <family val="2"/>
        <scheme val="minor"/>
      </rPr>
      <t xml:space="preserve"> [Germany former UU]</t>
    </r>
  </si>
  <si>
    <r>
      <t>Antwerp/</t>
    </r>
    <r>
      <rPr>
        <sz val="10"/>
        <color theme="9" tint="-0.249977111117893"/>
        <rFont val="Calibri"/>
        <family val="2"/>
        <scheme val="minor"/>
      </rPr>
      <t>Brussels</t>
    </r>
    <r>
      <rPr>
        <sz val="11"/>
        <color theme="1"/>
        <rFont val="Calibri"/>
        <family val="2"/>
        <scheme val="minor"/>
      </rPr>
      <t>/Mogadishu</t>
    </r>
  </si>
  <si>
    <t>Mod</t>
  </si>
  <si>
    <t>COPENHAGEN</t>
  </si>
  <si>
    <t>Don't leave blank lines between unit rows</t>
  </si>
  <si>
    <t>Ansaldo_SVA-5_tc</t>
  </si>
  <si>
    <t>danrell, Nutty</t>
  </si>
  <si>
    <t>Nieuport_17_tc</t>
  </si>
  <si>
    <t>Pelayo_bb</t>
  </si>
  <si>
    <t>Potemkin_BB</t>
  </si>
  <si>
    <t>re_umberto_bb</t>
  </si>
  <si>
    <t>Braunschweig_BB</t>
  </si>
  <si>
    <t>Republique_BB</t>
  </si>
  <si>
    <t>Majestic_BB</t>
  </si>
  <si>
    <t>erzherzog_karl_bb</t>
  </si>
  <si>
    <t>Connecticut_BB</t>
  </si>
  <si>
    <t>Mikasa_BB</t>
  </si>
  <si>
    <t>???</t>
  </si>
  <si>
    <t>Shokaku_Class</t>
  </si>
  <si>
    <t>kirov</t>
  </si>
  <si>
    <t>GeneralMatt</t>
  </si>
  <si>
    <t>MiG29Soviet</t>
  </si>
  <si>
    <t>MiG29Ukraine</t>
  </si>
  <si>
    <t>Ethnic Units</t>
  </si>
  <si>
    <t>Deliverator, Total Realism</t>
  </si>
  <si>
    <t>GeneralMatt, Adv. Naval, Tomahawk.nsk</t>
  </si>
  <si>
    <t>JTitan, Civ4</t>
  </si>
  <si>
    <t>Mi8Ukraine</t>
  </si>
  <si>
    <t>Mi8Russia</t>
  </si>
  <si>
    <t>RussianSF</t>
  </si>
  <si>
    <t>EuropeanSF</t>
  </si>
  <si>
    <t>battle_galley</t>
  </si>
  <si>
    <t>Barathor</t>
  </si>
  <si>
    <t>Streltsy_Green_Coat</t>
  </si>
  <si>
    <t>Bakuel, Wolfdog, Tomahawk.nsk</t>
  </si>
  <si>
    <t>Streltsy_green_cap</t>
  </si>
  <si>
    <t>Streltsy_blue_cap</t>
  </si>
  <si>
    <t>Swordsman_Turkey_2</t>
  </si>
  <si>
    <t>cogge</t>
  </si>
  <si>
    <t>EE2, Deliverator, W.Hawkwood, Refar</t>
  </si>
  <si>
    <t>Knight_Saxony</t>
  </si>
  <si>
    <t>zwei833, danrell, Realism Invictus</t>
  </si>
  <si>
    <t>SonghaiMedSpearman</t>
  </si>
  <si>
    <t>SonghaiPikeman2</t>
  </si>
  <si>
    <t>SonghaiLongbowman</t>
  </si>
  <si>
    <t>SonghaiChariotArcher</t>
  </si>
  <si>
    <t>SonghaiLongsword</t>
  </si>
  <si>
    <t>SonghaiLongsword2</t>
  </si>
  <si>
    <t>SonghaiCompbow</t>
  </si>
  <si>
    <t>SonghaiArcher</t>
  </si>
  <si>
    <t>SonghaiMedHorseman</t>
  </si>
  <si>
    <t>EraVar</t>
  </si>
  <si>
    <t>1</t>
  </si>
  <si>
    <t>danrell, Deliverator</t>
  </si>
  <si>
    <t>MISSIONARY_RENAISSANCE</t>
  </si>
  <si>
    <t>Firaxis (Civ4Col), Wolfdog</t>
  </si>
  <si>
    <t>Preacher</t>
  </si>
  <si>
    <t>Elder_Statesman</t>
  </si>
  <si>
    <t>MasterWeaverNoShears</t>
  </si>
  <si>
    <t>carrack_rus</t>
  </si>
  <si>
    <t>carrack_eng</t>
  </si>
  <si>
    <t>carrack_fra</t>
  </si>
  <si>
    <t>carrack_alg</t>
  </si>
  <si>
    <t>carrack_ott</t>
  </si>
  <si>
    <t>carrack_swe</t>
  </si>
  <si>
    <t>carrack_ita</t>
  </si>
  <si>
    <t>Walter Harkwood, Wolfdog</t>
  </si>
  <si>
    <t>CIV5_Nedsc</t>
  </si>
  <si>
    <t>SonghaiHorseman</t>
  </si>
  <si>
    <t>EE_LINE_INFANTRY</t>
  </si>
  <si>
    <t>civ5_genmm2</t>
  </si>
  <si>
    <t>civ5_genmm3</t>
  </si>
  <si>
    <t>civ5_genmm1</t>
  </si>
  <si>
    <t>civ5_ausmm1</t>
  </si>
  <si>
    <t>civ5_danmm1</t>
  </si>
  <si>
    <t>civ5_ausmm2</t>
  </si>
  <si>
    <t>civ5_ausmm3</t>
  </si>
  <si>
    <t>civ5_engmm1</t>
  </si>
  <si>
    <t>civ5_fremm1</t>
  </si>
  <si>
    <t>civ5_prumm1</t>
  </si>
  <si>
    <t>civ5_dutmm1</t>
  </si>
  <si>
    <t>civ5_rusmm1</t>
  </si>
  <si>
    <t>civ5_spamm1</t>
  </si>
  <si>
    <t>civ5_rusmm2</t>
  </si>
  <si>
    <t>civ5_rusmm3</t>
  </si>
  <si>
    <t>civ5_dutmm2</t>
  </si>
  <si>
    <t>civ5_dutmm3</t>
  </si>
  <si>
    <t>civ5_prumm2</t>
  </si>
  <si>
    <t>civ5_prumm3</t>
  </si>
  <si>
    <t>civ5_fremm2</t>
  </si>
  <si>
    <t>civ5_fremm3</t>
  </si>
  <si>
    <t>civ5_engmm2</t>
  </si>
  <si>
    <t>civ5_engmm3</t>
  </si>
  <si>
    <t>NORTHAF</t>
  </si>
  <si>
    <t>NorthAf</t>
  </si>
  <si>
    <t>N. Africa</t>
  </si>
  <si>
    <t>Polish_Chosen</t>
  </si>
  <si>
    <t>zwei833, Wolfdog</t>
  </si>
  <si>
    <t>rom_general_d</t>
  </si>
  <si>
    <t>CAMEL</t>
  </si>
  <si>
    <t>LLAMA</t>
  </si>
  <si>
    <t>DONKEY</t>
  </si>
  <si>
    <t>Character limit: ~34 for fxsxml, ~40 for member/memsuffix</t>
  </si>
  <si>
    <t>EE_Line_Infantry</t>
  </si>
  <si>
    <t>Unit</t>
  </si>
  <si>
    <t>StartEra</t>
  </si>
  <si>
    <t>Embark</t>
  </si>
  <si>
    <t>Cargo_Ship_RENAISSANCE</t>
  </si>
  <si>
    <t>_Worker_LATE</t>
  </si>
  <si>
    <t>Artist_LATE</t>
  </si>
  <si>
    <t>Engineer_LATE</t>
  </si>
  <si>
    <t>General_LATE</t>
  </si>
  <si>
    <t>Great_Admiral_LATE</t>
  </si>
  <si>
    <t>Merchant_LATE</t>
  </si>
  <si>
    <t>Scientist_LATE</t>
  </si>
  <si>
    <t>Workboat_LATE</t>
  </si>
  <si>
    <t>_Settler_AFRI</t>
  </si>
  <si>
    <t>_Settler_AMER</t>
  </si>
  <si>
    <t>_Settler_ASIA</t>
  </si>
  <si>
    <t xml:space="preserve"> Suffix</t>
  </si>
  <si>
    <t xml:space="preserve"> fxsxml</t>
  </si>
  <si>
    <t>OX</t>
  </si>
  <si>
    <t>F1</t>
  </si>
  <si>
    <t>F2</t>
  </si>
  <si>
    <t>F3</t>
  </si>
  <si>
    <t>F4</t>
  </si>
  <si>
    <t>M1</t>
  </si>
  <si>
    <t>M2</t>
  </si>
  <si>
    <t>M3</t>
  </si>
  <si>
    <t>V2</t>
  </si>
  <si>
    <t>V4</t>
  </si>
  <si>
    <t>V3</t>
  </si>
  <si>
    <t>FLUTE</t>
  </si>
  <si>
    <t>TAMBOURINE</t>
  </si>
  <si>
    <t>BAGPIPER</t>
  </si>
  <si>
    <t>BIGDRUMMER</t>
  </si>
  <si>
    <t>DRUMMER</t>
  </si>
  <si>
    <t>V1</t>
  </si>
  <si>
    <t>FEMALE</t>
  </si>
  <si>
    <t>MALE</t>
  </si>
  <si>
    <t>V5</t>
  </si>
  <si>
    <t>V6</t>
  </si>
  <si>
    <t>V7</t>
  </si>
  <si>
    <t>PIQUERO</t>
  </si>
  <si>
    <t>CAMEL_V1</t>
  </si>
  <si>
    <t>CAMEL_V2</t>
  </si>
  <si>
    <t>EE_CARRACK</t>
  </si>
  <si>
    <t>carrack</t>
  </si>
  <si>
    <t>EE_SKIRMISHER</t>
  </si>
  <si>
    <t>95thRifles</t>
  </si>
  <si>
    <t>bernie14, Nutty</t>
  </si>
  <si>
    <t>EE_FIELD_GUN</t>
  </si>
  <si>
    <t>RHA_Cannon</t>
  </si>
  <si>
    <t>u_mexican_rurales</t>
  </si>
  <si>
    <t>bernie14, Leugi</t>
  </si>
  <si>
    <t>bandeirante_1</t>
  </si>
  <si>
    <t>Deliverator, Wodhann</t>
  </si>
  <si>
    <t>bandeirante_2</t>
  </si>
  <si>
    <t>bandeirante_3</t>
  </si>
  <si>
    <t>EE_CUIRASSIER</t>
  </si>
  <si>
    <t>bernie14, zwei833</t>
  </si>
  <si>
    <t>ca_sw1</t>
  </si>
  <si>
    <t>01</t>
  </si>
  <si>
    <t>02</t>
  </si>
  <si>
    <t>WORKER</t>
  </si>
  <si>
    <t>worker_andes</t>
  </si>
  <si>
    <t>CIV5Nedwo</t>
  </si>
  <si>
    <t>WORKER_LATE</t>
  </si>
  <si>
    <t>AUTOCHTHON</t>
  </si>
  <si>
    <t>CAVEMAN</t>
  </si>
  <si>
    <t>PRIMITIVE_ARCHER</t>
  </si>
  <si>
    <t>SAVAGE</t>
  </si>
  <si>
    <t>PrimitiveArcher</t>
  </si>
  <si>
    <t>Autochthon</t>
  </si>
  <si>
    <t>Caveman</t>
  </si>
  <si>
    <t>Explorer</t>
  </si>
  <si>
    <t>Savage</t>
  </si>
  <si>
    <t>SHAMAN</t>
  </si>
  <si>
    <t>Shaman</t>
  </si>
  <si>
    <t>SA_EthiopiaAxe</t>
  </si>
  <si>
    <t>SA_EthiopiaClub</t>
  </si>
  <si>
    <t>SA_SonghaiAxe</t>
  </si>
  <si>
    <t>SonghaiSwordsman</t>
  </si>
  <si>
    <t>SonghaiSwordsman2</t>
  </si>
  <si>
    <t>worker_buddhist</t>
  </si>
  <si>
    <t>danrell, Bakuel</t>
  </si>
  <si>
    <t>russian_knight</t>
  </si>
  <si>
    <t>civ5_russm1</t>
  </si>
  <si>
    <t>EE_Skirmisher</t>
  </si>
  <si>
    <t>EE_Field_Gun</t>
  </si>
  <si>
    <t>EE_Cuirassier</t>
  </si>
  <si>
    <t>EE_Carrack</t>
  </si>
  <si>
    <t>Primitive_Archer</t>
  </si>
  <si>
    <t>Enlightenment Era</t>
  </si>
  <si>
    <t>EE_Cruiser</t>
  </si>
  <si>
    <t>EE_Explorer</t>
  </si>
  <si>
    <t>EE_First_Rate</t>
  </si>
  <si>
    <t>EE_Galleon</t>
  </si>
  <si>
    <t>EE_Ship_of_the_Line</t>
  </si>
  <si>
    <t>EE_Surveyor</t>
  </si>
  <si>
    <t>EE_Uhlan</t>
  </si>
  <si>
    <t>SupplyTrain</t>
  </si>
  <si>
    <t>BARBARIAN_BRUTE</t>
  </si>
  <si>
    <t xml:space="preserve"> Fallback</t>
  </si>
  <si>
    <t>SonghaiMedSwordsman</t>
  </si>
  <si>
    <t>SonghaiMedSwordsman2</t>
  </si>
  <si>
    <t>LONGSWORDSMAN_AFRI</t>
  </si>
  <si>
    <t>HorseArcher_Mongol</t>
  </si>
  <si>
    <t>Paratrooper_Generic_MG_v2</t>
  </si>
  <si>
    <t>Paratrooper_Generic_MG_v3</t>
  </si>
  <si>
    <t>Paratrooper_Generic_v2</t>
  </si>
  <si>
    <t>Paratrooper_Generic_v3</t>
  </si>
  <si>
    <t>civ5_nedwa1_tc</t>
  </si>
  <si>
    <t>Patum333, Nutty</t>
  </si>
  <si>
    <t>INQUISITOR_RENAISSANCE</t>
  </si>
  <si>
    <t>GREAT_PROPHET_RENAISSANCE</t>
  </si>
  <si>
    <t>CAVEMAN_AFRI</t>
  </si>
  <si>
    <t>CAVEMAN_NORTHAF</t>
  </si>
  <si>
    <t>CAVEMAN_NORTHEU</t>
  </si>
  <si>
    <t>SAVAGE_AFRI</t>
  </si>
  <si>
    <t>SAVAGE_CELTS</t>
  </si>
  <si>
    <t>SAVAGE_NORTHEU</t>
  </si>
  <si>
    <t>SAVAGE_NORTHAF</t>
  </si>
  <si>
    <t>EE_CARRACK_OTTOMAN</t>
  </si>
  <si>
    <t>EE_CARRACK_RUSSIA</t>
  </si>
  <si>
    <t>EE_CARRACK_ENGLAND</t>
  </si>
  <si>
    <t>EE_CARRACK_FRANCE</t>
  </si>
  <si>
    <t>EE_CARRACK_ROME</t>
  </si>
  <si>
    <t>EE_CARRACK_NORTHAF</t>
  </si>
  <si>
    <t>EE_CARRACK_SWEDEN</t>
  </si>
  <si>
    <t>EE_FIELD_GUN_ENGLAND</t>
  </si>
  <si>
    <t>EE_LINE_INFANTRY_AUSTRIA</t>
  </si>
  <si>
    <t>EE_LINE_INFANTRY_DENMARK</t>
  </si>
  <si>
    <t>EE_LINE_INFANTRY_ENGLAND</t>
  </si>
  <si>
    <t>EE_LINE_INFANTRY_FRANCE</t>
  </si>
  <si>
    <t>EE_LINE_INFANTRY_GERMANY</t>
  </si>
  <si>
    <t>EE_LINE_INFANTRY_NETHERLANDS</t>
  </si>
  <si>
    <t>EE_LINE_INFANTRY_RUSSIA</t>
  </si>
  <si>
    <t>EE_LINE_INFANTRY_SPAIN</t>
  </si>
  <si>
    <t>EE_LINE_INFANTRY_WITTENBERG</t>
  </si>
  <si>
    <t>EE_SKIRMISHER_MED</t>
  </si>
  <si>
    <t>EE_SKIRMISHER_SOUTHAM</t>
  </si>
  <si>
    <t>SwedenWarrior(2)</t>
  </si>
  <si>
    <t>SonghaiSwordsman(2)</t>
  </si>
  <si>
    <t>civ5_genmm1(-3)</t>
  </si>
  <si>
    <t>civ5_ausmm1(-3)</t>
  </si>
  <si>
    <t>civ5_engmm1(-3)</t>
  </si>
  <si>
    <t>civ5_fremm1(-3)</t>
  </si>
  <si>
    <t>civ5_prumm1(-3)</t>
  </si>
  <si>
    <t>civ5_dutmm1(-3)</t>
  </si>
  <si>
    <t>civ5_rusmm1(-3)</t>
  </si>
  <si>
    <t>bandeirante_1(-3)</t>
  </si>
  <si>
    <t>2HANDER</t>
  </si>
  <si>
    <t>REITER</t>
  </si>
  <si>
    <t>RODELEROS</t>
  </si>
  <si>
    <t>FREE_COMPANY</t>
  </si>
  <si>
    <t>2hswordsman_black</t>
  </si>
  <si>
    <t>cuirassier</t>
  </si>
  <si>
    <t>Rodeleros</t>
  </si>
  <si>
    <t>free_company_poleaxe</t>
  </si>
  <si>
    <t>free_company</t>
  </si>
  <si>
    <t>EE_UHLAN</t>
  </si>
  <si>
    <t>EE_SHIP_OF_THE_LINE</t>
  </si>
  <si>
    <t>shipoftheline</t>
  </si>
  <si>
    <t>EE_EXPLORER</t>
  </si>
  <si>
    <t>2</t>
  </si>
  <si>
    <t>3</t>
  </si>
  <si>
    <t>4</t>
  </si>
  <si>
    <t>conquistador_musket_1</t>
  </si>
  <si>
    <t>conquistador_musket_2</t>
  </si>
  <si>
    <t>conquistador_musket_3</t>
  </si>
  <si>
    <t>conquistador_musket_4</t>
  </si>
  <si>
    <t>EE_CRUISER</t>
  </si>
  <si>
    <t>cruiser</t>
  </si>
  <si>
    <t>battle_priest_tc</t>
  </si>
  <si>
    <t>CAVEMAN_CENTAS</t>
  </si>
  <si>
    <t>Texture issues:</t>
  </si>
  <si>
    <t>polish_knight</t>
  </si>
  <si>
    <t>POLAN D</t>
  </si>
  <si>
    <t>Mesopotamic_warrior_tc</t>
  </si>
  <si>
    <t>LONGSWORDSMAN_KOREA</t>
  </si>
  <si>
    <t>rake shadow</t>
  </si>
  <si>
    <t>rake shadow (lots of danrell's longswordsmen have this issue)</t>
  </si>
  <si>
    <t>Size Issues:</t>
  </si>
  <si>
    <t>RIFLEMAN_AFRI</t>
  </si>
  <si>
    <t>Unit Formations:</t>
  </si>
  <si>
    <t>Unit Choices:</t>
  </si>
  <si>
    <t>Causes crash! :</t>
  </si>
  <si>
    <t>LONGSWORDSMAN_EGYPT</t>
  </si>
  <si>
    <t>LONGSWORDSMAN_ROME</t>
  </si>
  <si>
    <t>LONGSWORDSMAN_ENGLAND</t>
  </si>
  <si>
    <t>LONGSWORDSMAN_ARABIA</t>
  </si>
  <si>
    <t>LONGSWORDSMAN_CHINA</t>
  </si>
  <si>
    <t>LONGSWORDSMAN_GREECE</t>
  </si>
  <si>
    <t>GREAT_GENERAL_ROME</t>
  </si>
  <si>
    <t>LONGSWORDSMAN_AMERICA</t>
  </si>
  <si>
    <t>Longswordsman_America</t>
  </si>
  <si>
    <t>WORKER_LATE_NETHERLANDS</t>
  </si>
  <si>
    <t>WORKER_ASIA</t>
  </si>
  <si>
    <t>WORKER_SOUTHAM</t>
  </si>
  <si>
    <t>CARAVAN_EURO</t>
  </si>
  <si>
    <t>Do more shifting of "stone age" units to Prehistoric Era mod?</t>
  </si>
  <si>
    <t>babrm4 &amp; 6</t>
  </si>
  <si>
    <t>carracks (various), cogge</t>
  </si>
  <si>
    <t>WhippetMkABritish</t>
  </si>
  <si>
    <t>CANADA</t>
  </si>
  <si>
    <t>Ram_MK_II</t>
  </si>
  <si>
    <t>MarkIVCanada</t>
  </si>
  <si>
    <t>AvroArrow</t>
  </si>
  <si>
    <t>Wolfdog, GeneralMatt</t>
  </si>
  <si>
    <t>A7V_2</t>
  </si>
  <si>
    <t>ANZAC</t>
  </si>
  <si>
    <t>ANZAC_Desert</t>
  </si>
  <si>
    <t>ANZAC.303_desert</t>
  </si>
  <si>
    <t>ANZAC.303</t>
  </si>
  <si>
    <t>FV510Warrior</t>
  </si>
  <si>
    <t>draken</t>
  </si>
  <si>
    <t>dutchking, danrell, Wolfdog</t>
  </si>
  <si>
    <t>French155mm</t>
  </si>
  <si>
    <t>Snafusmith, bernie14, Wolfdog</t>
  </si>
  <si>
    <t>HanriotHD1</t>
  </si>
  <si>
    <t>Snafusmith</t>
  </si>
  <si>
    <t>HalberstadtDII</t>
  </si>
  <si>
    <t>ShortBomber</t>
  </si>
  <si>
    <t>MarkIV</t>
  </si>
  <si>
    <t>FordM1918</t>
  </si>
  <si>
    <t>CL_KULIN</t>
  </si>
  <si>
    <t>VIETNAM</t>
  </si>
  <si>
    <t>VIETNAM_LS_MOD</t>
  </si>
  <si>
    <t>NEWZEALAND</t>
  </si>
  <si>
    <t>AUSTRALIA_LS_MOD</t>
  </si>
  <si>
    <t>CL_AUSTRALIA</t>
  </si>
  <si>
    <t>COLONIALCANADA</t>
  </si>
  <si>
    <t>JFD_PHILIPPINES</t>
  </si>
  <si>
    <t>SETTLER</t>
  </si>
  <si>
    <t>ARTILLERY_FRANCE</t>
  </si>
  <si>
    <t>CACBoomerang</t>
  </si>
  <si>
    <t>TCM_VISIGOTH</t>
  </si>
  <si>
    <t>TCM_OSTROGOTH</t>
  </si>
  <si>
    <t>VISIGOTHS_MOD</t>
  </si>
  <si>
    <t>GOTHS</t>
  </si>
  <si>
    <t>GOTHS_LS_MOD</t>
  </si>
  <si>
    <t>FLANDERS_LS_MOD</t>
  </si>
  <si>
    <t>GENOA_LS_MOD</t>
  </si>
  <si>
    <t>JFD_USSR_STALIN</t>
  </si>
  <si>
    <t>FINLAND</t>
  </si>
  <si>
    <t>JFD_GERMANS</t>
  </si>
  <si>
    <t>[BNW] Colonialist Legacies - Canadian Dominion</t>
  </si>
  <si>
    <t>[BNW] LS Civilization Set VIII</t>
  </si>
  <si>
    <t>ModName</t>
  </si>
  <si>
    <t>[BNW] LS Civilization Set IX</t>
  </si>
  <si>
    <t>[BNW] LS Civilization Set X</t>
  </si>
  <si>
    <t>ModAuthor</t>
  </si>
  <si>
    <t>TPangolin</t>
  </si>
  <si>
    <t>LastSword</t>
  </si>
  <si>
    <t>[BNW] LS Civilization Set III</t>
  </si>
  <si>
    <t>TIMURIDS_MOD</t>
  </si>
  <si>
    <t>The Timurids (Brave New World)</t>
  </si>
  <si>
    <t>Tomatekh</t>
  </si>
  <si>
    <t>JFD</t>
  </si>
  <si>
    <t>Leugi</t>
  </si>
  <si>
    <t>[BNW] LS Civilization Set XI</t>
  </si>
  <si>
    <t>[BNW] Colonialist Legacies - Kulin</t>
  </si>
  <si>
    <t>[BNW] Colonialist Legacies - Vietnam</t>
  </si>
  <si>
    <t>[BNW] LS Civilization Set XIII</t>
  </si>
  <si>
    <t>[BNW] LS Civilization Set XIV</t>
  </si>
  <si>
    <t>Poland is Love and Life</t>
  </si>
  <si>
    <t>[BNW] LS Civilization Set V</t>
  </si>
  <si>
    <t>[BNW] LS Civilization Set VII</t>
  </si>
  <si>
    <t>[BNW] LS Civilization Set IV</t>
  </si>
  <si>
    <t>[BNW] LS Civilization Set VI</t>
  </si>
  <si>
    <t>[BNW] LS Civilization Set I</t>
  </si>
  <si>
    <t>[BNW] LS Civilization Set XII</t>
  </si>
  <si>
    <t>[BNW] LS Civilization Set ???</t>
  </si>
  <si>
    <t>WARRIOR_NETHERLANDS</t>
  </si>
  <si>
    <t>LONGSWORDSMAN_BYZANTIUM</t>
  </si>
  <si>
    <t>LANDSHIP_GERMANY</t>
  </si>
  <si>
    <t>SWORDSMAN_PERSIA</t>
  </si>
  <si>
    <t>LONGSWORDSMAN_PERSIA</t>
  </si>
  <si>
    <t>OK</t>
  </si>
  <si>
    <t>_WARRIOR_SWEDEN</t>
  </si>
  <si>
    <t>Pouakai</t>
  </si>
  <si>
    <t>carloscodex, Novu</t>
  </si>
  <si>
    <t>Prehistoric Era, P.E. Reborn</t>
  </si>
  <si>
    <t>Invisible:</t>
  </si>
  <si>
    <t>Mod support units:</t>
  </si>
  <si>
    <t>Era Diversity units:</t>
  </si>
  <si>
    <t>fixd?</t>
  </si>
  <si>
    <t>SQL Creation  Issues:</t>
  </si>
  <si>
    <t>Issue where some NumMember entries aren't coming through properly (they're assumed 1), workaround by hardcoding a few values</t>
  </si>
  <si>
    <t>…etc.</t>
  </si>
  <si>
    <t>Other Model Issues:</t>
  </si>
  <si>
    <t>removed and swapped out</t>
  </si>
  <si>
    <t>issue/resolution</t>
  </si>
  <si>
    <t>artdef type</t>
  </si>
  <si>
    <t>*</t>
  </si>
  <si>
    <t>Disabled era diversity for religious units for the moment (only affects generic missionary)</t>
  </si>
  <si>
    <t>removed and swapped out (Denmark becomes NorthEu)</t>
  </si>
  <si>
    <t>Jet Fighters?</t>
  </si>
  <si>
    <t>Riflemen?</t>
  </si>
  <si>
    <t>WW1 Infantry?</t>
  </si>
  <si>
    <t>Ironclads?</t>
  </si>
  <si>
    <t>WW1_BOMBER_ENGLAND</t>
  </si>
  <si>
    <t>_WARRIOR_POLYNESIA</t>
  </si>
  <si>
    <t>Polynesian settlers still have llamas</t>
  </si>
  <si>
    <t>wontfix</t>
  </si>
  <si>
    <t>fixed</t>
  </si>
  <si>
    <t>removed</t>
  </si>
  <si>
    <t>invisible</t>
  </si>
  <si>
    <t>Do NOT rename sheets or reorder columns (including inserting new columns between existing columns)</t>
  </si>
  <si>
    <t>Leave at least one MemSuffix blank per unit for default inheritance (though Num can be 0)</t>
  </si>
  <si>
    <t>BARBARIAN_WARRIOR</t>
  </si>
  <si>
    <t>BAZOOKA</t>
  </si>
  <si>
    <t>SWORDSMAN_CHINA</t>
  </si>
  <si>
    <t>GREAT_GENERAL</t>
  </si>
  <si>
    <t>MUSICIAN</t>
  </si>
  <si>
    <t>PROPHET</t>
  </si>
  <si>
    <t>WRITER</t>
  </si>
  <si>
    <t>ZULU_IMPI</t>
  </si>
  <si>
    <t>BARBARIAN_AXMAN</t>
  </si>
  <si>
    <t>MACHINE_GUN</t>
  </si>
  <si>
    <t>SS_COCKPIT</t>
  </si>
  <si>
    <t>AMERICAN_B17</t>
  </si>
  <si>
    <t>AMERICAN_MINUTEMAN</t>
  </si>
  <si>
    <t>ARABIAN_CAMELARCHER</t>
  </si>
  <si>
    <t>ASSYRIAN_SIEGE_TOWER</t>
  </si>
  <si>
    <t>AUSTRIAN_HUSSAR</t>
  </si>
  <si>
    <t>AZTEC_JAGUAR</t>
  </si>
  <si>
    <t>BABYLONIAN_BOWMAN</t>
  </si>
  <si>
    <t>CELT_PICTISH_WARRIOR</t>
  </si>
  <si>
    <t>CHINESE_CHUKONU</t>
  </si>
  <si>
    <t>DANISH_BERSERKER</t>
  </si>
  <si>
    <t>DANISH_SKI_INFANTRY</t>
  </si>
  <si>
    <t>EGYPTIAN_WARCHARIOT</t>
  </si>
  <si>
    <t>ENGLISH_LONGBOWMAN</t>
  </si>
  <si>
    <t>ENGLISH_SHIPOFTHELINE</t>
  </si>
  <si>
    <t>FRENCH_FOREIGNLEGION</t>
  </si>
  <si>
    <t>FRENCH_MUSKETEER</t>
  </si>
  <si>
    <t>GERMAN_LANDSKNECHT</t>
  </si>
  <si>
    <t>GERMAN_PANZER</t>
  </si>
  <si>
    <t>GREEK_COMPANIONCAVALRY</t>
  </si>
  <si>
    <t>GREEK_HOPLITE</t>
  </si>
  <si>
    <t>INCAN_SLINGER</t>
  </si>
  <si>
    <t>INDIAN_WARELEPHANT</t>
  </si>
  <si>
    <t>IROQUOIAN_MOHAWKWARRIOR</t>
  </si>
  <si>
    <t>JAPANESE_SAMURAI</t>
  </si>
  <si>
    <t>JAPANESE_ZERO</t>
  </si>
  <si>
    <t>KOREAN_HWACHA</t>
  </si>
  <si>
    <t>MAYAN_ATLALIST</t>
  </si>
  <si>
    <t>MONGOLIAN_KESHIK</t>
  </si>
  <si>
    <t>OTTOMAN_JANISSARY</t>
  </si>
  <si>
    <t>OTTOMAN_SIPAHI</t>
  </si>
  <si>
    <t>PERSIAN_IMMORTAL</t>
  </si>
  <si>
    <t>POLISH_WINGED_HUSSAR</t>
  </si>
  <si>
    <t>POLYNESIAN_MAORI_WARRIOR</t>
  </si>
  <si>
    <t>ROMAN_BALLISTA</t>
  </si>
  <si>
    <t>ROMAN_LEGION</t>
  </si>
  <si>
    <t>RUSSIAN_COSSACK</t>
  </si>
  <si>
    <t>SHOSHONE_COMANCHE_RIDERS</t>
  </si>
  <si>
    <t>SHOSHONE_PATHFINDER</t>
  </si>
  <si>
    <t>SIAMESE_WARELEPHANT</t>
  </si>
  <si>
    <t>SONGHAI_MUSLIMCAVALRY</t>
  </si>
  <si>
    <t>SPANISH_CONQUISTADOR</t>
  </si>
  <si>
    <t>SPANISH_TERCIO</t>
  </si>
  <si>
    <t>SWEDISH_CAROLEAN</t>
  </si>
  <si>
    <t>VENETIAN_GALLEASS</t>
  </si>
  <si>
    <t>VENETIAN_MERCHANT</t>
  </si>
  <si>
    <t>BRAZILIAN_PRACINHA</t>
  </si>
  <si>
    <t>BYZANTINE_CATAPHRACT</t>
  </si>
  <si>
    <t>BYZANTINE_DROMON</t>
  </si>
  <si>
    <t>CARTHAGINIAN_FOREST_ELEPHANT</t>
  </si>
  <si>
    <t>CARTHAGINIAN_QUINQUEREME</t>
  </si>
  <si>
    <t>DUTCH_SEA_BEGGAR</t>
  </si>
  <si>
    <t>ETHIOPIAN_MEHAL_SEFARI</t>
  </si>
  <si>
    <t>HUN_BATTERING_RAM</t>
  </si>
  <si>
    <t>HUN_HORSE_ARCHER</t>
  </si>
  <si>
    <t>KRIS_SWORDSMAN</t>
  </si>
  <si>
    <t>KOREAN_TURTLE_SHIP</t>
  </si>
  <si>
    <t>MONGOLIAN_KHAN</t>
  </si>
  <si>
    <t>BERBER_CAVALRY</t>
  </si>
  <si>
    <t>PORTUGUESE_NAU</t>
  </si>
  <si>
    <t>SWEDISH_HAKKAPELIITTA</t>
  </si>
  <si>
    <t>WWI_TANK</t>
  </si>
  <si>
    <t>WWI_BOMBER</t>
  </si>
  <si>
    <t>TRIPLANE</t>
  </si>
  <si>
    <t>GREAT_WAR_INFANTRY</t>
  </si>
  <si>
    <t>At the moment, only 2 "levels" of fallback from Style List supported (Fallback should be a basic suffix)</t>
  </si>
  <si>
    <t>If "400" error occurs, just try again</t>
  </si>
  <si>
    <t>Issue with mixed unit formations (e.g., Tercio musketmen+pikemen) in ArtDefine_CombatWeapons</t>
  </si>
  <si>
    <t>CARGO_SHIP_RENAISSANCE_POSTMODERN</t>
  </si>
  <si>
    <t>WW2_Infantry</t>
  </si>
  <si>
    <t>Levant CS's, Prague, Vatican City, [NB: scenario unit Huscarl]</t>
  </si>
  <si>
    <t>Free Company</t>
  </si>
  <si>
    <t>Reiter</t>
  </si>
  <si>
    <t>2Hander</t>
  </si>
  <si>
    <t>Cargo_Ship_POSTMODERN</t>
  </si>
  <si>
    <t>Caravan_POSTMODERN</t>
  </si>
  <si>
    <t>Great_Artist_POSTMODERN</t>
  </si>
  <si>
    <t>Great_Musician_POSTMODERN</t>
  </si>
  <si>
    <t>Great_Writer_POSTMODERN</t>
  </si>
  <si>
    <r>
      <rPr>
        <sz val="11"/>
        <color theme="1"/>
        <rFont val="Calibri"/>
        <family val="2"/>
        <scheme val="minor"/>
      </rPr>
      <t>= ethnic unit
= unique unit
= regional ethnic unit
= not applicable</t>
    </r>
  </si>
  <si>
    <r>
      <t xml:space="preserve">X
</t>
    </r>
    <r>
      <rPr>
        <b/>
        <sz val="10"/>
        <color rgb="FFFF0000"/>
        <rFont val="Calibri"/>
        <family val="2"/>
        <scheme val="minor"/>
      </rPr>
      <t>x</t>
    </r>
    <r>
      <rPr>
        <b/>
        <sz val="10"/>
        <rFont val="Calibri"/>
        <family val="2"/>
        <scheme val="minor"/>
      </rPr>
      <t xml:space="preserve">
+</t>
    </r>
    <r>
      <rPr>
        <b/>
        <sz val="10"/>
        <color rgb="FF00B0F0"/>
        <rFont val="Calibri"/>
        <family val="2"/>
        <scheme val="minor"/>
      </rPr>
      <t xml:space="preserve">
</t>
    </r>
    <r>
      <rPr>
        <b/>
        <sz val="10"/>
        <color theme="0" tint="-0.249977111117893"/>
        <rFont val="Calibri"/>
        <family val="2"/>
        <scheme val="minor"/>
      </rPr>
      <t>x</t>
    </r>
  </si>
  <si>
    <t>2hswordsman_India</t>
  </si>
  <si>
    <t>2hswordsman_denmark</t>
  </si>
  <si>
    <t>2hswordsman_Sweden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</si>
</sst>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%"/>
  </numFmts>
  <fonts count="4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rgb="FF000000"/>
      <name val="Segoe UI"/>
      <family val="2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92D050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0" tint="-0.249977111117893"/>
      <name val="Calibri"/>
      <family val="2"/>
      <scheme val="minor"/>
    </font>
    <font>
      <b/>
      <sz val="18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rgb="FF00B0F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theme="0" tint="-0.34998626667073579"/>
      <name val="Calibri"/>
      <family val="2"/>
      <scheme val="minor"/>
    </font>
    <font>
      <b/>
      <sz val="10"/>
      <color indexed="10"/>
      <name val="Calibri"/>
      <family val="2"/>
      <scheme val="minor"/>
    </font>
    <font>
      <sz val="10"/>
      <color theme="9" tint="-0.249977111117893"/>
      <name val="Calibri"/>
      <family val="2"/>
      <scheme val="minor"/>
    </font>
    <font>
      <b/>
      <sz val="10"/>
      <color indexed="49"/>
      <name val="Calibri"/>
      <family val="2"/>
      <scheme val="minor"/>
    </font>
    <font>
      <b/>
      <sz val="10"/>
      <color indexed="8"/>
      <name val="Calibri"/>
      <family val="2"/>
      <scheme val="minor"/>
    </font>
    <font>
      <u/>
      <sz val="10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rgb="FF000000"/>
      <name val="Calibri"/>
      <family val="2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C2"/>
        <bgColor indexed="64"/>
      </patternFill>
    </fill>
  </fills>
  <borders count="4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hair">
        <color indexed="2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indexed="21"/>
      </left>
      <right/>
      <top/>
      <bottom style="thin">
        <color auto="1"/>
      </bottom>
      <diagonal/>
    </border>
    <border>
      <left style="hair">
        <color indexed="21"/>
      </left>
      <right style="hair">
        <color indexed="2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indexed="21"/>
      </right>
      <top/>
      <bottom/>
      <diagonal/>
    </border>
    <border>
      <left/>
      <right style="hair">
        <color auto="1"/>
      </right>
      <top/>
      <bottom/>
      <diagonal/>
    </border>
    <border>
      <left style="hair">
        <color indexed="21"/>
      </left>
      <right/>
      <top/>
      <bottom/>
      <diagonal/>
    </border>
    <border>
      <left style="hair">
        <color indexed="21"/>
      </left>
      <right style="hair">
        <color indexed="21"/>
      </right>
      <top/>
      <bottom/>
      <diagonal/>
    </border>
    <border>
      <left/>
      <right style="hair">
        <color indexed="2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theme="4" tint="0.39994506668294322"/>
      </bottom>
      <diagonal/>
    </border>
    <border>
      <left/>
      <right/>
      <top/>
      <bottom style="thin">
        <color theme="4" tint="0.39994506668294322"/>
      </bottom>
      <diagonal/>
    </border>
    <border>
      <left style="thin">
        <color auto="1"/>
      </left>
      <right style="thin">
        <color auto="1"/>
      </right>
      <top/>
      <bottom style="thin">
        <color theme="4" tint="0.39994506668294322"/>
      </bottom>
      <diagonal/>
    </border>
    <border>
      <left style="thin">
        <color auto="1"/>
      </left>
      <right/>
      <top/>
      <bottom style="hair">
        <color theme="4" tint="0.39994506668294322"/>
      </bottom>
      <diagonal/>
    </border>
    <border>
      <left/>
      <right style="thin">
        <color auto="1"/>
      </right>
      <top/>
      <bottom style="hair">
        <color theme="4" tint="0.39994506668294322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theme="4" tint="0.39994506668294322"/>
      </top>
      <bottom style="thin">
        <color auto="1"/>
      </bottom>
      <diagonal/>
    </border>
    <border>
      <left/>
      <right/>
      <top style="thin">
        <color theme="4" tint="0.39994506668294322"/>
      </top>
      <bottom style="thin">
        <color auto="1"/>
      </bottom>
      <diagonal/>
    </border>
    <border>
      <left/>
      <right style="thin">
        <color auto="1"/>
      </right>
      <top style="thin">
        <color theme="4" tint="0.39994506668294322"/>
      </top>
      <bottom style="thin">
        <color auto="1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9" fontId="18" fillId="0" borderId="0" applyFont="0" applyFill="0" applyBorder="0" applyAlignment="0" applyProtection="0"/>
  </cellStyleXfs>
  <cellXfs count="240">
    <xf numFmtId="0" fontId="0" fillId="0" borderId="0" xfId="0"/>
    <xf numFmtId="0" fontId="0" fillId="0" borderId="0" xfId="0" applyBorder="1"/>
    <xf numFmtId="0" fontId="0" fillId="0" borderId="0" xfId="0" applyFont="1" applyBorder="1"/>
    <xf numFmtId="0" fontId="0" fillId="0" borderId="0" xfId="0" applyProtection="1">
      <protection locked="0"/>
    </xf>
    <xf numFmtId="49" fontId="0" fillId="0" borderId="0" xfId="0" applyNumberFormat="1" applyBorder="1" applyProtection="1">
      <protection locked="0"/>
    </xf>
    <xf numFmtId="49" fontId="0" fillId="0" borderId="0" xfId="0" applyNumberFormat="1" applyFont="1" applyBorder="1" applyProtection="1">
      <protection locked="0"/>
    </xf>
    <xf numFmtId="0" fontId="0" fillId="0" borderId="0" xfId="0" applyNumberFormat="1" applyFont="1" applyBorder="1" applyProtection="1">
      <protection locked="0"/>
    </xf>
    <xf numFmtId="0" fontId="0" fillId="0" borderId="0" xfId="0" applyNumberFormat="1" applyFont="1" applyFill="1" applyBorder="1" applyProtection="1">
      <protection locked="0"/>
    </xf>
    <xf numFmtId="0" fontId="0" fillId="0" borderId="0" xfId="0" applyFont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0" fillId="0" borderId="0" xfId="0" applyNumberFormat="1" applyBorder="1" applyProtection="1">
      <protection locked="0"/>
    </xf>
    <xf numFmtId="0" fontId="0" fillId="0" borderId="0" xfId="0" applyBorder="1" applyProtection="1">
      <protection locked="0"/>
    </xf>
    <xf numFmtId="49" fontId="0" fillId="0" borderId="0" xfId="0" applyNumberFormat="1" applyFont="1" applyFill="1" applyBorder="1" applyProtection="1">
      <protection locked="0"/>
    </xf>
    <xf numFmtId="49" fontId="0" fillId="0" borderId="0" xfId="0" quotePrefix="1" applyNumberFormat="1" applyBorder="1" applyProtection="1">
      <protection locked="0"/>
    </xf>
    <xf numFmtId="0" fontId="0" fillId="0" borderId="0" xfId="0" applyNumberFormat="1" applyFont="1" applyBorder="1" applyAlignment="1" applyProtection="1">
      <alignment wrapText="1"/>
      <protection locked="0"/>
    </xf>
    <xf numFmtId="49" fontId="16" fillId="33" borderId="0" xfId="0" applyNumberFormat="1" applyFont="1" applyFill="1" applyBorder="1" applyProtection="1"/>
    <xf numFmtId="0" fontId="0" fillId="33" borderId="0" xfId="0" applyNumberFormat="1" applyFill="1" applyBorder="1" applyProtection="1"/>
    <xf numFmtId="49" fontId="16" fillId="33" borderId="0" xfId="0" applyNumberFormat="1" applyFont="1" applyFill="1" applyBorder="1"/>
    <xf numFmtId="49" fontId="16" fillId="33" borderId="0" xfId="0" applyNumberFormat="1" applyFont="1" applyFill="1" applyBorder="1" applyAlignment="1" applyProtection="1">
      <alignment horizontal="right"/>
    </xf>
    <xf numFmtId="0" fontId="16" fillId="33" borderId="0" xfId="0" applyFont="1" applyFill="1" applyProtection="1"/>
    <xf numFmtId="0" fontId="16" fillId="33" borderId="0" xfId="0" applyFont="1" applyFill="1"/>
    <xf numFmtId="0" fontId="0" fillId="33" borderId="0" xfId="0" applyFill="1"/>
    <xf numFmtId="49" fontId="0" fillId="0" borderId="0" xfId="0" quotePrefix="1" applyNumberFormat="1" applyFont="1" applyFill="1" applyAlignment="1" applyProtection="1">
      <alignment horizontal="center"/>
      <protection locked="0"/>
    </xf>
    <xf numFmtId="49" fontId="16" fillId="33" borderId="0" xfId="0" applyNumberFormat="1" applyFont="1" applyFill="1" applyBorder="1" applyAlignment="1" applyProtection="1">
      <alignment horizontal="center"/>
    </xf>
    <xf numFmtId="49" fontId="16" fillId="33" borderId="0" xfId="0" applyNumberFormat="1" applyFont="1" applyFill="1" applyBorder="1" applyAlignment="1">
      <alignment horizontal="center"/>
    </xf>
    <xf numFmtId="49" fontId="16" fillId="33" borderId="0" xfId="0" quotePrefix="1" applyNumberFormat="1" applyFont="1" applyFill="1" applyAlignment="1" applyProtection="1">
      <alignment horizontal="right"/>
    </xf>
    <xf numFmtId="0" fontId="0" fillId="0" borderId="0" xfId="0" applyNumberFormat="1" applyFont="1" applyFill="1" applyBorder="1" applyAlignment="1" applyProtection="1">
      <protection locked="0"/>
    </xf>
    <xf numFmtId="1" fontId="0" fillId="0" borderId="0" xfId="0" quotePrefix="1" applyNumberFormat="1" applyFont="1" applyFill="1" applyAlignment="1" applyProtection="1">
      <alignment horizontal="center"/>
      <protection locked="0"/>
    </xf>
    <xf numFmtId="49" fontId="24" fillId="33" borderId="0" xfId="0" applyNumberFormat="1" applyFont="1" applyFill="1" applyBorder="1" applyAlignment="1" applyProtection="1">
      <alignment horizontal="right"/>
    </xf>
    <xf numFmtId="49" fontId="22" fillId="0" borderId="0" xfId="0" quotePrefix="1" applyNumberFormat="1" applyFont="1" applyFill="1" applyAlignment="1" applyProtection="1">
      <alignment horizontal="center"/>
      <protection locked="0"/>
    </xf>
    <xf numFmtId="49" fontId="26" fillId="33" borderId="0" xfId="0" applyNumberFormat="1" applyFont="1" applyFill="1" applyBorder="1" applyAlignment="1" applyProtection="1">
      <alignment horizontal="right"/>
    </xf>
    <xf numFmtId="49" fontId="21" fillId="33" borderId="0" xfId="0" applyNumberFormat="1" applyFont="1" applyFill="1" applyBorder="1" applyAlignment="1" applyProtection="1">
      <alignment horizontal="right"/>
    </xf>
    <xf numFmtId="49" fontId="23" fillId="33" borderId="0" xfId="0" quotePrefix="1" applyNumberFormat="1" applyFont="1" applyFill="1" applyAlignment="1" applyProtection="1">
      <alignment horizontal="right"/>
    </xf>
    <xf numFmtId="49" fontId="24" fillId="33" borderId="0" xfId="0" applyNumberFormat="1" applyFont="1" applyFill="1" applyBorder="1" applyProtection="1"/>
    <xf numFmtId="49" fontId="0" fillId="33" borderId="0" xfId="0" applyNumberFormat="1" applyFont="1" applyFill="1" applyBorder="1" applyAlignment="1" applyProtection="1">
      <alignment horizontal="right"/>
    </xf>
    <xf numFmtId="0" fontId="27" fillId="34" borderId="32" xfId="42" applyFont="1" applyFill="1" applyBorder="1" applyAlignment="1">
      <alignment horizontal="center"/>
    </xf>
    <xf numFmtId="0" fontId="27" fillId="34" borderId="34" xfId="42" applyFont="1" applyFill="1" applyBorder="1" applyAlignment="1">
      <alignment horizontal="center"/>
    </xf>
    <xf numFmtId="0" fontId="27" fillId="0" borderId="0" xfId="42" applyFont="1" applyAlignment="1">
      <alignment horizontal="center"/>
    </xf>
    <xf numFmtId="0" fontId="27" fillId="34" borderId="10" xfId="42" applyFont="1" applyFill="1" applyBorder="1" applyAlignment="1">
      <alignment horizontal="center" vertical="top"/>
    </xf>
    <xf numFmtId="0" fontId="27" fillId="34" borderId="0" xfId="42" applyFont="1" applyFill="1" applyBorder="1" applyAlignment="1">
      <alignment horizontal="center" vertical="top"/>
    </xf>
    <xf numFmtId="0" fontId="27" fillId="34" borderId="28" xfId="42" applyFont="1" applyFill="1" applyBorder="1" applyAlignment="1">
      <alignment horizontal="center" vertical="top"/>
    </xf>
    <xf numFmtId="0" fontId="27" fillId="34" borderId="26" xfId="42" applyFont="1" applyFill="1" applyBorder="1" applyAlignment="1">
      <alignment horizontal="center" vertical="top"/>
    </xf>
    <xf numFmtId="0" fontId="27" fillId="34" borderId="23" xfId="42" applyFont="1" applyFill="1" applyBorder="1" applyAlignment="1">
      <alignment horizontal="center" vertical="top"/>
    </xf>
    <xf numFmtId="0" fontId="27" fillId="34" borderId="24" xfId="42" applyFont="1" applyFill="1" applyBorder="1" applyAlignment="1">
      <alignment horizontal="center" vertical="top"/>
    </xf>
    <xf numFmtId="0" fontId="27" fillId="34" borderId="25" xfId="42" applyFont="1" applyFill="1" applyBorder="1" applyAlignment="1">
      <alignment horizontal="center" vertical="top"/>
    </xf>
    <xf numFmtId="0" fontId="27" fillId="34" borderId="22" xfId="42" applyFont="1" applyFill="1" applyBorder="1" applyAlignment="1">
      <alignment horizontal="center" vertical="top"/>
    </xf>
    <xf numFmtId="0" fontId="27" fillId="34" borderId="38" xfId="42" applyFont="1" applyFill="1" applyBorder="1" applyAlignment="1"/>
    <xf numFmtId="0" fontId="27" fillId="34" borderId="36" xfId="42" applyFont="1" applyFill="1" applyBorder="1" applyAlignment="1"/>
    <xf numFmtId="0" fontId="29" fillId="0" borderId="0" xfId="42" applyFont="1" applyAlignment="1">
      <alignment horizontal="center" textRotation="90"/>
    </xf>
    <xf numFmtId="0" fontId="29" fillId="0" borderId="0" xfId="42" applyFont="1" applyAlignment="1">
      <alignment horizontal="center"/>
    </xf>
    <xf numFmtId="0" fontId="27" fillId="0" borderId="26" xfId="42" applyFont="1" applyFill="1" applyBorder="1" applyAlignment="1">
      <alignment horizontal="center" vertical="center"/>
    </xf>
    <xf numFmtId="0" fontId="27" fillId="0" borderId="28" xfId="42" applyFont="1" applyFill="1" applyBorder="1" applyAlignment="1">
      <alignment horizontal="center" vertical="center"/>
    </xf>
    <xf numFmtId="0" fontId="27" fillId="0" borderId="23" xfId="42" applyFont="1" applyFill="1" applyBorder="1" applyAlignment="1">
      <alignment horizontal="center" vertical="center"/>
    </xf>
    <xf numFmtId="0" fontId="29" fillId="0" borderId="0" xfId="42" applyFont="1" applyAlignment="1">
      <alignment horizontal="center" vertical="center"/>
    </xf>
    <xf numFmtId="0" fontId="29" fillId="0" borderId="0" xfId="42" applyFont="1"/>
    <xf numFmtId="0" fontId="27" fillId="0" borderId="10" xfId="42" applyFont="1" applyFill="1" applyBorder="1"/>
    <xf numFmtId="0" fontId="27" fillId="0" borderId="29" xfId="42" applyFont="1" applyFill="1" applyBorder="1" applyAlignment="1">
      <alignment horizontal="center" vertical="center"/>
    </xf>
    <xf numFmtId="0" fontId="27" fillId="35" borderId="26" xfId="42" applyFont="1" applyFill="1" applyBorder="1" applyAlignment="1">
      <alignment horizontal="center" vertical="center"/>
    </xf>
    <xf numFmtId="0" fontId="27" fillId="37" borderId="24" xfId="42" applyFont="1" applyFill="1" applyBorder="1" applyAlignment="1">
      <alignment horizontal="center" vertical="center"/>
    </xf>
    <xf numFmtId="0" fontId="27" fillId="37" borderId="26" xfId="42" applyFont="1" applyFill="1" applyBorder="1" applyAlignment="1">
      <alignment horizontal="center" vertical="center"/>
    </xf>
    <xf numFmtId="0" fontId="27" fillId="37" borderId="23" xfId="42" applyFont="1" applyFill="1" applyBorder="1" applyAlignment="1">
      <alignment horizontal="center" vertical="center"/>
    </xf>
    <xf numFmtId="0" fontId="27" fillId="0" borderId="24" xfId="42" applyFont="1" applyFill="1" applyBorder="1" applyAlignment="1">
      <alignment horizontal="center" vertical="center"/>
    </xf>
    <xf numFmtId="0" fontId="27" fillId="37" borderId="28" xfId="42" applyFont="1" applyFill="1" applyBorder="1" applyAlignment="1">
      <alignment horizontal="center" vertical="center"/>
    </xf>
    <xf numFmtId="0" fontId="35" fillId="33" borderId="24" xfId="42" applyFont="1" applyFill="1" applyBorder="1" applyAlignment="1">
      <alignment horizontal="center" vertical="center"/>
    </xf>
    <xf numFmtId="0" fontId="35" fillId="33" borderId="22" xfId="42" applyFont="1" applyFill="1" applyBorder="1" applyAlignment="1">
      <alignment horizontal="center" vertical="center"/>
    </xf>
    <xf numFmtId="0" fontId="27" fillId="35" borderId="29" xfId="42" applyFont="1" applyFill="1" applyBorder="1" applyAlignment="1">
      <alignment horizontal="center" vertical="center"/>
    </xf>
    <xf numFmtId="0" fontId="27" fillId="38" borderId="26" xfId="42" applyFont="1" applyFill="1" applyBorder="1" applyAlignment="1">
      <alignment horizontal="center" vertical="center"/>
    </xf>
    <xf numFmtId="0" fontId="27" fillId="38" borderId="24" xfId="42" quotePrefix="1" applyFont="1" applyFill="1" applyBorder="1" applyAlignment="1">
      <alignment horizontal="center" vertical="center"/>
    </xf>
    <xf numFmtId="0" fontId="27" fillId="0" borderId="26" xfId="42" quotePrefix="1" applyFont="1" applyFill="1" applyBorder="1" applyAlignment="1">
      <alignment horizontal="center" vertical="center"/>
    </xf>
    <xf numFmtId="0" fontId="27" fillId="38" borderId="23" xfId="42" applyFont="1" applyFill="1" applyBorder="1" applyAlignment="1">
      <alignment horizontal="center" vertical="center"/>
    </xf>
    <xf numFmtId="0" fontId="27" fillId="0" borderId="23" xfId="42" quotePrefix="1" applyFont="1" applyFill="1" applyBorder="1" applyAlignment="1">
      <alignment horizontal="center" vertical="center"/>
    </xf>
    <xf numFmtId="0" fontId="36" fillId="36" borderId="26" xfId="42" applyFont="1" applyFill="1" applyBorder="1" applyAlignment="1">
      <alignment horizontal="center" vertical="center"/>
    </xf>
    <xf numFmtId="0" fontId="27" fillId="38" borderId="23" xfId="42" quotePrefix="1" applyFont="1" applyFill="1" applyBorder="1" applyAlignment="1">
      <alignment horizontal="center" vertical="center"/>
    </xf>
    <xf numFmtId="0" fontId="36" fillId="0" borderId="23" xfId="42" applyFont="1" applyFill="1" applyBorder="1" applyAlignment="1">
      <alignment horizontal="center" vertical="center"/>
    </xf>
    <xf numFmtId="0" fontId="27" fillId="33" borderId="24" xfId="42" applyFont="1" applyFill="1" applyBorder="1" applyAlignment="1">
      <alignment horizontal="center" vertical="center"/>
    </xf>
    <xf numFmtId="0" fontId="32" fillId="33" borderId="22" xfId="42" applyFont="1" applyFill="1" applyBorder="1" applyAlignment="1">
      <alignment horizontal="center" vertical="center"/>
    </xf>
    <xf numFmtId="0" fontId="29" fillId="38" borderId="10" xfId="42" applyFont="1" applyFill="1" applyBorder="1" applyAlignment="1">
      <alignment horizontal="left" vertical="center"/>
    </xf>
    <xf numFmtId="0" fontId="29" fillId="0" borderId="24" xfId="42" quotePrefix="1" applyFont="1" applyBorder="1" applyAlignment="1">
      <alignment horizontal="left" vertical="center"/>
    </xf>
    <xf numFmtId="0" fontId="29" fillId="37" borderId="10" xfId="42" applyFont="1" applyFill="1" applyBorder="1" applyAlignment="1">
      <alignment horizontal="left" vertical="center"/>
    </xf>
    <xf numFmtId="0" fontId="29" fillId="36" borderId="16" xfId="42" applyFont="1" applyFill="1" applyBorder="1" applyAlignment="1">
      <alignment horizontal="left" vertical="center"/>
    </xf>
    <xf numFmtId="0" fontId="29" fillId="0" borderId="13" xfId="42" quotePrefix="1" applyFont="1" applyBorder="1" applyAlignment="1">
      <alignment horizontal="left" vertical="center"/>
    </xf>
    <xf numFmtId="0" fontId="27" fillId="38" borderId="29" xfId="42" applyFont="1" applyFill="1" applyBorder="1" applyAlignment="1">
      <alignment horizontal="center" vertical="center"/>
    </xf>
    <xf numFmtId="0" fontId="38" fillId="0" borderId="26" xfId="42" applyFont="1" applyFill="1" applyBorder="1" applyAlignment="1">
      <alignment horizontal="center" vertical="center"/>
    </xf>
    <xf numFmtId="0" fontId="27" fillId="33" borderId="22" xfId="42" applyFont="1" applyFill="1" applyBorder="1" applyAlignment="1">
      <alignment horizontal="center" vertical="center"/>
    </xf>
    <xf numFmtId="0" fontId="36" fillId="0" borderId="29" xfId="42" applyFont="1" applyFill="1" applyBorder="1" applyAlignment="1">
      <alignment horizontal="center" vertical="center"/>
    </xf>
    <xf numFmtId="0" fontId="27" fillId="38" borderId="24" xfId="42" applyFont="1" applyFill="1" applyBorder="1" applyAlignment="1">
      <alignment horizontal="center" vertical="center"/>
    </xf>
    <xf numFmtId="0" fontId="27" fillId="38" borderId="28" xfId="42" applyFont="1" applyFill="1" applyBorder="1" applyAlignment="1">
      <alignment horizontal="center" vertical="center"/>
    </xf>
    <xf numFmtId="0" fontId="32" fillId="0" borderId="28" xfId="42" applyFont="1" applyFill="1" applyBorder="1" applyAlignment="1">
      <alignment horizontal="center" vertical="center"/>
    </xf>
    <xf numFmtId="0" fontId="36" fillId="0" borderId="26" xfId="42" applyFont="1" applyFill="1" applyBorder="1" applyAlignment="1">
      <alignment horizontal="center" vertical="center"/>
    </xf>
    <xf numFmtId="0" fontId="32" fillId="0" borderId="26" xfId="42" applyFont="1" applyFill="1" applyBorder="1" applyAlignment="1">
      <alignment horizontal="center" vertical="center"/>
    </xf>
    <xf numFmtId="0" fontId="32" fillId="0" borderId="23" xfId="42" applyFont="1" applyFill="1" applyBorder="1" applyAlignment="1">
      <alignment horizontal="center" vertical="center"/>
    </xf>
    <xf numFmtId="0" fontId="36" fillId="0" borderId="28" xfId="42" applyFont="1" applyFill="1" applyBorder="1" applyAlignment="1">
      <alignment horizontal="center" vertical="center"/>
    </xf>
    <xf numFmtId="0" fontId="27" fillId="37" borderId="29" xfId="42" applyFont="1" applyFill="1" applyBorder="1" applyAlignment="1">
      <alignment horizontal="center" vertical="center"/>
    </xf>
    <xf numFmtId="0" fontId="27" fillId="38" borderId="26" xfId="42" quotePrefix="1" applyFont="1" applyFill="1" applyBorder="1" applyAlignment="1">
      <alignment horizontal="center" vertical="center"/>
    </xf>
    <xf numFmtId="0" fontId="27" fillId="33" borderId="24" xfId="42" quotePrefix="1" applyFont="1" applyFill="1" applyBorder="1" applyAlignment="1">
      <alignment horizontal="center" vertical="center"/>
    </xf>
    <xf numFmtId="0" fontId="27" fillId="33" borderId="22" xfId="42" quotePrefix="1" applyFont="1" applyFill="1" applyBorder="1" applyAlignment="1">
      <alignment horizontal="center" vertical="center"/>
    </xf>
    <xf numFmtId="0" fontId="35" fillId="33" borderId="24" xfId="42" quotePrefix="1" applyFont="1" applyFill="1" applyBorder="1" applyAlignment="1">
      <alignment horizontal="center" vertical="center"/>
    </xf>
    <xf numFmtId="0" fontId="35" fillId="33" borderId="22" xfId="42" quotePrefix="1" applyFont="1" applyFill="1" applyBorder="1" applyAlignment="1">
      <alignment horizontal="center" vertical="center"/>
    </xf>
    <xf numFmtId="0" fontId="39" fillId="38" borderId="26" xfId="42" applyFont="1" applyFill="1" applyBorder="1" applyAlignment="1">
      <alignment horizontal="center" vertical="center"/>
    </xf>
    <xf numFmtId="0" fontId="36" fillId="36" borderId="23" xfId="42" applyFont="1" applyFill="1" applyBorder="1" applyAlignment="1">
      <alignment horizontal="center" vertical="center"/>
    </xf>
    <xf numFmtId="0" fontId="36" fillId="0" borderId="24" xfId="42" applyFont="1" applyFill="1" applyBorder="1" applyAlignment="1">
      <alignment horizontal="center" vertical="center"/>
    </xf>
    <xf numFmtId="0" fontId="36" fillId="36" borderId="29" xfId="42" applyFont="1" applyFill="1" applyBorder="1" applyAlignment="1">
      <alignment horizontal="center" vertical="center"/>
    </xf>
    <xf numFmtId="0" fontId="38" fillId="38" borderId="26" xfId="42" quotePrefix="1" applyFont="1" applyFill="1" applyBorder="1" applyAlignment="1">
      <alignment horizontal="center" vertical="center"/>
    </xf>
    <xf numFmtId="0" fontId="38" fillId="38" borderId="24" xfId="42" quotePrefix="1" applyFont="1" applyFill="1" applyBorder="1" applyAlignment="1">
      <alignment horizontal="center" vertical="center"/>
    </xf>
    <xf numFmtId="0" fontId="36" fillId="36" borderId="24" xfId="42" applyFont="1" applyFill="1" applyBorder="1" applyAlignment="1">
      <alignment horizontal="center" vertical="center"/>
    </xf>
    <xf numFmtId="0" fontId="32" fillId="36" borderId="23" xfId="42" applyFont="1" applyFill="1" applyBorder="1" applyAlignment="1">
      <alignment horizontal="center" vertical="center"/>
    </xf>
    <xf numFmtId="0" fontId="36" fillId="36" borderId="28" xfId="42" applyFont="1" applyFill="1" applyBorder="1" applyAlignment="1">
      <alignment horizontal="center" vertical="center"/>
    </xf>
    <xf numFmtId="0" fontId="27" fillId="0" borderId="27" xfId="42" applyFont="1" applyFill="1" applyBorder="1"/>
    <xf numFmtId="0" fontId="27" fillId="0" borderId="16" xfId="42" applyFont="1" applyFill="1" applyBorder="1"/>
    <xf numFmtId="0" fontId="27" fillId="0" borderId="20" xfId="42" applyFont="1" applyFill="1" applyBorder="1" applyAlignment="1">
      <alignment horizontal="center" vertical="center"/>
    </xf>
    <xf numFmtId="0" fontId="27" fillId="0" borderId="15" xfId="42" applyFont="1" applyFill="1" applyBorder="1" applyAlignment="1">
      <alignment horizontal="center" vertical="center"/>
    </xf>
    <xf numFmtId="0" fontId="32" fillId="0" borderId="12" xfId="42" applyFont="1" applyFill="1" applyBorder="1" applyAlignment="1">
      <alignment horizontal="center" vertical="center"/>
    </xf>
    <xf numFmtId="0" fontId="27" fillId="0" borderId="13" xfId="42" applyFont="1" applyFill="1" applyBorder="1" applyAlignment="1">
      <alignment horizontal="center" vertical="center"/>
    </xf>
    <xf numFmtId="0" fontId="27" fillId="0" borderId="12" xfId="42" applyFont="1" applyFill="1" applyBorder="1" applyAlignment="1">
      <alignment horizontal="center" vertical="center"/>
    </xf>
    <xf numFmtId="0" fontId="27" fillId="0" borderId="19" xfId="42" applyFont="1" applyFill="1" applyBorder="1" applyAlignment="1">
      <alignment horizontal="center" vertical="center"/>
    </xf>
    <xf numFmtId="0" fontId="27" fillId="33" borderId="13" xfId="42" applyFont="1" applyFill="1" applyBorder="1" applyAlignment="1">
      <alignment horizontal="center" vertical="center"/>
    </xf>
    <xf numFmtId="0" fontId="27" fillId="33" borderId="11" xfId="42" applyFont="1" applyFill="1" applyBorder="1" applyAlignment="1">
      <alignment horizontal="center" vertical="center"/>
    </xf>
    <xf numFmtId="0" fontId="40" fillId="33" borderId="10" xfId="42" applyFont="1" applyFill="1" applyBorder="1"/>
    <xf numFmtId="0" fontId="27" fillId="33" borderId="29" xfId="42" applyFont="1" applyFill="1" applyBorder="1" applyAlignment="1">
      <alignment horizontal="center" vertical="center"/>
    </xf>
    <xf numFmtId="0" fontId="27" fillId="33" borderId="26" xfId="42" applyFont="1" applyFill="1" applyBorder="1" applyAlignment="1">
      <alignment horizontal="center" vertical="center"/>
    </xf>
    <xf numFmtId="0" fontId="27" fillId="33" borderId="28" xfId="42" applyFont="1" applyFill="1" applyBorder="1" applyAlignment="1">
      <alignment horizontal="center" vertical="center"/>
    </xf>
    <xf numFmtId="0" fontId="27" fillId="33" borderId="23" xfId="42" applyFont="1" applyFill="1" applyBorder="1" applyAlignment="1">
      <alignment horizontal="center" vertical="center"/>
    </xf>
    <xf numFmtId="0" fontId="27" fillId="33" borderId="0" xfId="42" applyFont="1" applyFill="1" applyAlignment="1">
      <alignment horizontal="center" vertical="center"/>
    </xf>
    <xf numFmtId="0" fontId="27" fillId="33" borderId="0" xfId="42" applyFont="1" applyFill="1" applyBorder="1" applyAlignment="1">
      <alignment horizontal="center" vertical="center"/>
    </xf>
    <xf numFmtId="0" fontId="27" fillId="33" borderId="25" xfId="42" applyFont="1" applyFill="1" applyBorder="1" applyAlignment="1">
      <alignment horizontal="center" vertical="center"/>
    </xf>
    <xf numFmtId="0" fontId="27" fillId="33" borderId="27" xfId="42" applyFont="1" applyFill="1" applyBorder="1"/>
    <xf numFmtId="0" fontId="29" fillId="0" borderId="0" xfId="42" applyFont="1" applyAlignment="1">
      <alignment horizontal="left" vertical="center"/>
    </xf>
    <xf numFmtId="0" fontId="27" fillId="33" borderId="10" xfId="42" applyFont="1" applyFill="1" applyBorder="1"/>
    <xf numFmtId="0" fontId="27" fillId="33" borderId="16" xfId="42" applyFont="1" applyFill="1" applyBorder="1"/>
    <xf numFmtId="0" fontId="27" fillId="33" borderId="20" xfId="42" applyFont="1" applyFill="1" applyBorder="1" applyAlignment="1">
      <alignment horizontal="center" vertical="center"/>
    </xf>
    <xf numFmtId="0" fontId="27" fillId="33" borderId="15" xfId="42" applyFont="1" applyFill="1" applyBorder="1" applyAlignment="1">
      <alignment horizontal="center" vertical="center"/>
    </xf>
    <xf numFmtId="0" fontId="27" fillId="33" borderId="12" xfId="42" applyFont="1" applyFill="1" applyBorder="1" applyAlignment="1">
      <alignment horizontal="center" vertical="center"/>
    </xf>
    <xf numFmtId="0" fontId="27" fillId="33" borderId="19" xfId="42" applyFont="1" applyFill="1" applyBorder="1" applyAlignment="1">
      <alignment horizontal="center" vertical="center"/>
    </xf>
    <xf numFmtId="0" fontId="32" fillId="33" borderId="26" xfId="42" applyFont="1" applyFill="1" applyBorder="1" applyAlignment="1">
      <alignment horizontal="center" vertical="center"/>
    </xf>
    <xf numFmtId="0" fontId="32" fillId="33" borderId="24" xfId="42" applyFont="1" applyFill="1" applyBorder="1" applyAlignment="1">
      <alignment horizontal="center" vertical="center"/>
    </xf>
    <xf numFmtId="0" fontId="35" fillId="33" borderId="13" xfId="42" applyFont="1" applyFill="1" applyBorder="1" applyAlignment="1">
      <alignment horizontal="center" vertical="center"/>
    </xf>
    <xf numFmtId="0" fontId="35" fillId="33" borderId="11" xfId="42" applyFont="1" applyFill="1" applyBorder="1" applyAlignment="1">
      <alignment horizontal="center" vertical="center"/>
    </xf>
    <xf numFmtId="0" fontId="35" fillId="33" borderId="10" xfId="42" applyFont="1" applyFill="1" applyBorder="1"/>
    <xf numFmtId="0" fontId="41" fillId="0" borderId="10" xfId="42" applyFont="1" applyBorder="1" applyAlignment="1">
      <alignment vertical="center"/>
    </xf>
    <xf numFmtId="0" fontId="41" fillId="0" borderId="0" xfId="42" applyFont="1" applyBorder="1" applyAlignment="1">
      <alignment vertical="center"/>
    </xf>
    <xf numFmtId="0" fontId="35" fillId="33" borderId="27" xfId="42" applyFont="1" applyFill="1" applyBorder="1"/>
    <xf numFmtId="0" fontId="35" fillId="33" borderId="23" xfId="42" applyFont="1" applyFill="1" applyBorder="1" applyAlignment="1">
      <alignment horizontal="center" vertical="center"/>
    </xf>
    <xf numFmtId="0" fontId="29" fillId="0" borderId="10" xfId="42" applyFont="1" applyBorder="1" applyAlignment="1">
      <alignment vertical="center"/>
    </xf>
    <xf numFmtId="0" fontId="29" fillId="0" borderId="0" xfId="42" applyFont="1" applyBorder="1" applyAlignment="1">
      <alignment vertical="center"/>
    </xf>
    <xf numFmtId="0" fontId="29" fillId="0" borderId="0" xfId="42" applyFont="1" applyAlignment="1">
      <alignment vertical="center"/>
    </xf>
    <xf numFmtId="0" fontId="32" fillId="33" borderId="23" xfId="42" applyFont="1" applyFill="1" applyBorder="1" applyAlignment="1">
      <alignment horizontal="center" vertical="center"/>
    </xf>
    <xf numFmtId="0" fontId="35" fillId="33" borderId="16" xfId="42" applyFont="1" applyFill="1" applyBorder="1"/>
    <xf numFmtId="0" fontId="29" fillId="0" borderId="0" xfId="42" applyFont="1" applyFill="1" applyAlignment="1">
      <alignment horizontal="center" vertical="center"/>
    </xf>
    <xf numFmtId="0" fontId="1" fillId="0" borderId="0" xfId="0" applyFont="1"/>
    <xf numFmtId="0" fontId="1" fillId="0" borderId="0" xfId="0" applyFont="1" applyBorder="1"/>
    <xf numFmtId="0" fontId="29" fillId="0" borderId="0" xfId="42" applyFont="1" applyFill="1"/>
    <xf numFmtId="0" fontId="29" fillId="0" borderId="0" xfId="42" applyFont="1" applyAlignment="1">
      <alignment horizontal="left"/>
    </xf>
    <xf numFmtId="0" fontId="1" fillId="0" borderId="0" xfId="0" applyFont="1" applyFill="1"/>
    <xf numFmtId="0" fontId="22" fillId="0" borderId="0" xfId="42" applyNumberFormat="1" applyFont="1" applyFill="1" applyBorder="1" applyAlignment="1"/>
    <xf numFmtId="0" fontId="42" fillId="0" borderId="0" xfId="42" applyNumberFormat="1" applyFont="1" applyFill="1" applyBorder="1" applyAlignment="1"/>
    <xf numFmtId="0" fontId="0" fillId="0" borderId="0" xfId="0" applyFont="1" applyFill="1"/>
    <xf numFmtId="49" fontId="16" fillId="33" borderId="0" xfId="0" quotePrefix="1" applyNumberFormat="1" applyFont="1" applyFill="1" applyBorder="1" applyAlignment="1" applyProtection="1">
      <alignment horizontal="center"/>
    </xf>
    <xf numFmtId="0" fontId="16" fillId="33" borderId="0" xfId="0" applyFont="1" applyFill="1" applyAlignment="1" applyProtection="1">
      <alignment horizontal="center"/>
    </xf>
    <xf numFmtId="0" fontId="16" fillId="33" borderId="0" xfId="0" applyFont="1" applyFill="1" applyAlignment="1">
      <alignment horizontal="center"/>
    </xf>
    <xf numFmtId="0" fontId="0" fillId="33" borderId="0" xfId="0" applyFill="1" applyAlignment="1">
      <alignment horizontal="center"/>
    </xf>
    <xf numFmtId="0" fontId="0" fillId="33" borderId="0" xfId="0" applyNumberFormat="1" applyFill="1" applyBorder="1" applyProtection="1">
      <protection locked="0"/>
    </xf>
    <xf numFmtId="0" fontId="16" fillId="0" borderId="0" xfId="0" applyFont="1"/>
    <xf numFmtId="0" fontId="0" fillId="0" borderId="0" xfId="0" applyFont="1"/>
    <xf numFmtId="0" fontId="16" fillId="33" borderId="0" xfId="0" applyNumberFormat="1" applyFont="1" applyFill="1" applyBorder="1" applyAlignment="1" applyProtection="1">
      <alignment horizontal="center"/>
    </xf>
    <xf numFmtId="0" fontId="26" fillId="33" borderId="0" xfId="0" applyNumberFormat="1" applyFont="1" applyFill="1" applyBorder="1" applyAlignment="1" applyProtection="1">
      <alignment horizontal="right"/>
    </xf>
    <xf numFmtId="0" fontId="16" fillId="33" borderId="0" xfId="0" applyNumberFormat="1" applyFont="1" applyFill="1" applyBorder="1" applyProtection="1"/>
    <xf numFmtId="0" fontId="0" fillId="0" borderId="0" xfId="0" quotePrefix="1" applyNumberFormat="1" applyBorder="1" applyProtection="1">
      <protection locked="0"/>
    </xf>
    <xf numFmtId="0" fontId="0" fillId="0" borderId="0" xfId="0" quotePrefix="1"/>
    <xf numFmtId="0" fontId="29" fillId="0" borderId="33" xfId="42" applyFont="1" applyBorder="1" applyAlignment="1">
      <alignment vertical="center"/>
    </xf>
    <xf numFmtId="0" fontId="29" fillId="0" borderId="35" xfId="42" applyFont="1" applyBorder="1" applyAlignment="1">
      <alignment vertical="center"/>
    </xf>
    <xf numFmtId="0" fontId="27" fillId="33" borderId="27" xfId="42" quotePrefix="1" applyFont="1" applyFill="1" applyBorder="1" applyAlignment="1">
      <alignment horizontal="center" vertical="center"/>
    </xf>
    <xf numFmtId="0" fontId="27" fillId="33" borderId="27" xfId="42" applyFont="1" applyFill="1" applyBorder="1" applyAlignment="1">
      <alignment horizontal="center" vertical="center"/>
    </xf>
    <xf numFmtId="0" fontId="27" fillId="33" borderId="17" xfId="42" applyFont="1" applyFill="1" applyBorder="1" applyAlignment="1">
      <alignment horizontal="center" vertical="center"/>
    </xf>
    <xf numFmtId="0" fontId="27" fillId="33" borderId="10" xfId="42" quotePrefix="1" applyFont="1" applyFill="1" applyBorder="1" applyAlignment="1">
      <alignment horizontal="center" vertical="center"/>
    </xf>
    <xf numFmtId="0" fontId="27" fillId="33" borderId="25" xfId="42" quotePrefix="1" applyFont="1" applyFill="1" applyBorder="1" applyAlignment="1">
      <alignment horizontal="center" vertical="center"/>
    </xf>
    <xf numFmtId="0" fontId="27" fillId="33" borderId="28" xfId="42" quotePrefix="1" applyFont="1" applyFill="1" applyBorder="1" applyAlignment="1">
      <alignment horizontal="center" vertical="center"/>
    </xf>
    <xf numFmtId="0" fontId="27" fillId="33" borderId="0" xfId="42" quotePrefix="1" applyFont="1" applyFill="1" applyBorder="1" applyAlignment="1">
      <alignment horizontal="center" vertical="center"/>
    </xf>
    <xf numFmtId="0" fontId="27" fillId="33" borderId="26" xfId="42" quotePrefix="1" applyFont="1" applyFill="1" applyBorder="1" applyAlignment="1">
      <alignment horizontal="center" vertical="center"/>
    </xf>
    <xf numFmtId="0" fontId="27" fillId="33" borderId="30" xfId="42" quotePrefix="1" applyFont="1" applyFill="1" applyBorder="1" applyAlignment="1">
      <alignment horizontal="center" vertical="center"/>
    </xf>
    <xf numFmtId="0" fontId="27" fillId="33" borderId="29" xfId="42" quotePrefix="1" applyFont="1" applyFill="1" applyBorder="1" applyAlignment="1">
      <alignment horizontal="center" vertical="center"/>
    </xf>
    <xf numFmtId="0" fontId="27" fillId="33" borderId="30" xfId="42" applyFont="1" applyFill="1" applyBorder="1" applyAlignment="1">
      <alignment horizontal="center" vertical="center"/>
    </xf>
    <xf numFmtId="0" fontId="27" fillId="33" borderId="10" xfId="42" applyFont="1" applyFill="1" applyBorder="1" applyAlignment="1">
      <alignment horizontal="center" vertical="center"/>
    </xf>
    <xf numFmtId="0" fontId="27" fillId="0" borderId="28" xfId="42" quotePrefix="1" applyFont="1" applyFill="1" applyBorder="1" applyAlignment="1">
      <alignment horizontal="center" vertical="center"/>
    </xf>
    <xf numFmtId="0" fontId="27" fillId="0" borderId="24" xfId="42" quotePrefix="1" applyFont="1" applyFill="1" applyBorder="1" applyAlignment="1">
      <alignment horizontal="center" vertical="center"/>
    </xf>
    <xf numFmtId="0" fontId="27" fillId="33" borderId="21" xfId="42" applyFont="1" applyFill="1" applyBorder="1" applyAlignment="1">
      <alignment horizontal="center" vertical="center"/>
    </xf>
    <xf numFmtId="0" fontId="27" fillId="33" borderId="14" xfId="42" applyFont="1" applyFill="1" applyBorder="1" applyAlignment="1">
      <alignment horizontal="center" vertical="center"/>
    </xf>
    <xf numFmtId="0" fontId="27" fillId="33" borderId="18" xfId="42" applyFont="1" applyFill="1" applyBorder="1" applyAlignment="1">
      <alignment horizontal="center" vertical="center"/>
    </xf>
    <xf numFmtId="0" fontId="27" fillId="33" borderId="16" xfId="42" applyFont="1" applyFill="1" applyBorder="1" applyAlignment="1">
      <alignment horizontal="center" vertical="center"/>
    </xf>
    <xf numFmtId="0" fontId="27" fillId="33" borderId="23" xfId="42" quotePrefix="1" applyFont="1" applyFill="1" applyBorder="1" applyAlignment="1">
      <alignment horizontal="center" vertical="center"/>
    </xf>
    <xf numFmtId="0" fontId="27" fillId="33" borderId="31" xfId="42" applyFont="1" applyFill="1" applyBorder="1" applyAlignment="1">
      <alignment horizontal="center" vertical="center"/>
    </xf>
    <xf numFmtId="0" fontId="27" fillId="33" borderId="41" xfId="42" applyFont="1" applyFill="1" applyBorder="1" applyAlignment="1">
      <alignment horizontal="center" vertical="center"/>
    </xf>
    <xf numFmtId="0" fontId="27" fillId="33" borderId="42" xfId="42" applyFont="1" applyFill="1" applyBorder="1" applyAlignment="1">
      <alignment horizontal="center" vertical="center"/>
    </xf>
    <xf numFmtId="0" fontId="27" fillId="33" borderId="43" xfId="42" applyFont="1" applyFill="1" applyBorder="1" applyAlignment="1">
      <alignment horizontal="center" vertical="center"/>
    </xf>
    <xf numFmtId="0" fontId="27" fillId="34" borderId="33" xfId="42" applyFont="1" applyFill="1" applyBorder="1" applyAlignment="1">
      <alignment horizontal="center"/>
    </xf>
    <xf numFmtId="0" fontId="27" fillId="34" borderId="35" xfId="42" applyFont="1" applyFill="1" applyBorder="1" applyAlignment="1">
      <alignment horizontal="center"/>
    </xf>
    <xf numFmtId="0" fontId="27" fillId="34" borderId="32" xfId="42" applyFont="1" applyFill="1" applyBorder="1" applyAlignment="1">
      <alignment horizontal="center"/>
    </xf>
    <xf numFmtId="0" fontId="27" fillId="34" borderId="37" xfId="42" applyFont="1" applyFill="1" applyBorder="1" applyAlignment="1">
      <alignment horizontal="center"/>
    </xf>
    <xf numFmtId="0" fontId="27" fillId="34" borderId="36" xfId="42" applyFont="1" applyFill="1" applyBorder="1" applyAlignment="1">
      <alignment horizontal="center"/>
    </xf>
    <xf numFmtId="0" fontId="29" fillId="0" borderId="10" xfId="42" applyFont="1" applyFill="1" applyBorder="1" applyAlignment="1">
      <alignment horizontal="center" vertical="center"/>
    </xf>
    <xf numFmtId="0" fontId="29" fillId="0" borderId="0" xfId="42" applyFont="1" applyFill="1" applyBorder="1" applyAlignment="1">
      <alignment horizontal="center" vertical="center"/>
    </xf>
    <xf numFmtId="0" fontId="27" fillId="34" borderId="39" xfId="42" applyFont="1" applyFill="1" applyBorder="1" applyAlignment="1">
      <alignment horizontal="center"/>
    </xf>
    <xf numFmtId="0" fontId="27" fillId="34" borderId="40" xfId="42" applyFont="1" applyFill="1" applyBorder="1" applyAlignment="1">
      <alignment horizontal="center"/>
    </xf>
    <xf numFmtId="0" fontId="29" fillId="0" borderId="10" xfId="42" applyFont="1" applyBorder="1" applyAlignment="1">
      <alignment vertical="center"/>
    </xf>
    <xf numFmtId="0" fontId="29" fillId="0" borderId="0" xfId="42" applyFont="1" applyBorder="1" applyAlignment="1">
      <alignment vertical="center"/>
    </xf>
    <xf numFmtId="0" fontId="29" fillId="0" borderId="24" xfId="42" applyFont="1" applyBorder="1" applyAlignment="1">
      <alignment vertical="center"/>
    </xf>
    <xf numFmtId="0" fontId="37" fillId="0" borderId="0" xfId="42" applyFont="1" applyBorder="1" applyAlignment="1">
      <alignment vertical="center"/>
    </xf>
    <xf numFmtId="0" fontId="37" fillId="0" borderId="24" xfId="42" applyFont="1" applyBorder="1" applyAlignment="1">
      <alignment vertical="center"/>
    </xf>
    <xf numFmtId="0" fontId="28" fillId="34" borderId="33" xfId="42" applyFont="1" applyFill="1" applyBorder="1" applyAlignment="1">
      <alignment horizontal="center"/>
    </xf>
    <xf numFmtId="0" fontId="28" fillId="34" borderId="35" xfId="42" applyFont="1" applyFill="1" applyBorder="1" applyAlignment="1">
      <alignment horizontal="center"/>
    </xf>
    <xf numFmtId="0" fontId="28" fillId="34" borderId="32" xfId="42" applyFont="1" applyFill="1" applyBorder="1" applyAlignment="1">
      <alignment horizontal="center"/>
    </xf>
    <xf numFmtId="0" fontId="29" fillId="0" borderId="16" xfId="42" applyFont="1" applyBorder="1" applyAlignment="1">
      <alignment vertical="center"/>
    </xf>
    <xf numFmtId="0" fontId="37" fillId="0" borderId="18" xfId="42" applyFont="1" applyBorder="1" applyAlignment="1">
      <alignment vertical="center"/>
    </xf>
    <xf numFmtId="0" fontId="37" fillId="0" borderId="13" xfId="42" applyFont="1" applyBorder="1" applyAlignment="1">
      <alignment vertical="center"/>
    </xf>
    <xf numFmtId="0" fontId="29" fillId="0" borderId="18" xfId="42" applyFont="1" applyBorder="1" applyAlignment="1">
      <alignment vertical="center"/>
    </xf>
    <xf numFmtId="0" fontId="29" fillId="0" borderId="13" xfId="42" applyFont="1" applyBorder="1" applyAlignment="1">
      <alignment vertical="center"/>
    </xf>
    <xf numFmtId="0" fontId="29" fillId="0" borderId="33" xfId="42" applyFont="1" applyBorder="1" applyAlignment="1">
      <alignment vertical="center"/>
    </xf>
    <xf numFmtId="0" fontId="29" fillId="0" borderId="35" xfId="42" applyFont="1" applyBorder="1" applyAlignment="1">
      <alignment vertical="center"/>
    </xf>
    <xf numFmtId="0" fontId="29" fillId="0" borderId="32" xfId="42" applyFont="1" applyBorder="1" applyAlignment="1">
      <alignment vertical="center"/>
    </xf>
    <xf numFmtId="0" fontId="29" fillId="0" borderId="10" xfId="42" applyFont="1" applyBorder="1" applyAlignment="1">
      <alignment horizontal="center" vertical="center"/>
    </xf>
    <xf numFmtId="0" fontId="29" fillId="0" borderId="0" xfId="42" applyFont="1" applyBorder="1" applyAlignment="1">
      <alignment horizontal="center" vertical="center"/>
    </xf>
    <xf numFmtId="0" fontId="27" fillId="34" borderId="10" xfId="42" applyFont="1" applyFill="1" applyBorder="1" applyAlignment="1">
      <alignment horizontal="center"/>
    </xf>
    <xf numFmtId="0" fontId="27" fillId="34" borderId="24" xfId="42" applyFont="1" applyFill="1" applyBorder="1" applyAlignment="1">
      <alignment horizontal="center"/>
    </xf>
    <xf numFmtId="0" fontId="27" fillId="0" borderId="15" xfId="42" applyFont="1" applyBorder="1" applyAlignment="1">
      <alignment horizontal="left" vertical="center" textRotation="90"/>
    </xf>
    <xf numFmtId="0" fontId="27" fillId="0" borderId="12" xfId="42" applyFont="1" applyBorder="1" applyAlignment="1">
      <alignment horizontal="left" vertical="center" textRotation="90"/>
    </xf>
    <xf numFmtId="0" fontId="30" fillId="0" borderId="17" xfId="42" applyFont="1" applyBorder="1" applyAlignment="1">
      <alignment horizontal="left" vertical="center" textRotation="90"/>
    </xf>
    <xf numFmtId="0" fontId="27" fillId="0" borderId="19" xfId="42" applyFont="1" applyBorder="1" applyAlignment="1">
      <alignment horizontal="left" vertical="center" textRotation="90"/>
    </xf>
    <xf numFmtId="0" fontId="27" fillId="0" borderId="13" xfId="42" applyFont="1" applyBorder="1" applyAlignment="1">
      <alignment horizontal="left" vertical="center" textRotation="90"/>
    </xf>
    <xf numFmtId="0" fontId="30" fillId="0" borderId="14" xfId="42" applyFont="1" applyBorder="1" applyAlignment="1">
      <alignment horizontal="left" vertical="center" textRotation="90"/>
    </xf>
    <xf numFmtId="0" fontId="30" fillId="0" borderId="18" xfId="42" applyFont="1" applyBorder="1" applyAlignment="1">
      <alignment horizontal="left" vertical="center" textRotation="90"/>
    </xf>
    <xf numFmtId="0" fontId="30" fillId="0" borderId="16" xfId="42" applyFont="1" applyBorder="1" applyAlignment="1">
      <alignment horizontal="left" vertical="center" textRotation="90"/>
    </xf>
    <xf numFmtId="0" fontId="27" fillId="0" borderId="11" xfId="42" applyFont="1" applyBorder="1" applyAlignment="1">
      <alignment horizontal="left" vertical="center" textRotation="90"/>
    </xf>
    <xf numFmtId="164" fontId="31" fillId="34" borderId="44" xfId="43" applyNumberFormat="1" applyFont="1" applyFill="1" applyBorder="1" applyAlignment="1">
      <alignment horizontal="center" vertical="center"/>
    </xf>
    <xf numFmtId="164" fontId="27" fillId="34" borderId="45" xfId="43" applyNumberFormat="1" applyFont="1" applyFill="1" applyBorder="1" applyAlignment="1">
      <alignment horizontal="center" vertical="center" wrapText="1"/>
    </xf>
    <xf numFmtId="0" fontId="31" fillId="34" borderId="46" xfId="43" applyNumberFormat="1" applyFont="1" applyFill="1" applyBorder="1" applyAlignment="1">
      <alignment horizontal="center" vertical="center"/>
    </xf>
    <xf numFmtId="10" fontId="27" fillId="0" borderId="18" xfId="42" applyNumberFormat="1" applyFont="1" applyFill="1" applyBorder="1" applyAlignment="1">
      <alignment vertical="center" wrapText="1"/>
    </xf>
    <xf numFmtId="0" fontId="34" fillId="0" borderId="13" xfId="42" quotePrefix="1" applyFont="1" applyFill="1" applyBorder="1" applyAlignment="1">
      <alignment vertical="center" wrapText="1"/>
    </xf>
    <xf numFmtId="0" fontId="27" fillId="34" borderId="34" xfId="42" applyFont="1" applyFill="1" applyBorder="1" applyAlignment="1">
      <alignment horizontal="right"/>
    </xf>
    <xf numFmtId="10" fontId="29" fillId="0" borderId="11" xfId="42" applyNumberFormat="1" applyFont="1" applyBorder="1" applyAlignment="1">
      <alignment horizontal="center"/>
    </xf>
    <xf numFmtId="0" fontId="27" fillId="0" borderId="18" xfId="42" applyFont="1" applyFill="1" applyBorder="1" applyAlignment="1">
      <alignment horizontal="left" vertical="center" textRotation="90"/>
    </xf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Percent 2" xfId="43"/>
    <cellStyle name="Title" xfId="1" builtinId="15" customBuiltin="1"/>
    <cellStyle name="Total" xfId="17" builtinId="25" customBuiltin="1"/>
    <cellStyle name="Warning Text" xfId="14" builtinId="11" customBuiltin="1"/>
  </cellStyles>
  <dxfs count="6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3999450666829432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49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49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hair">
          <color indexed="2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hair">
          <color indexed="2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/>
        <top/>
        <bottom/>
      </border>
    </dxf>
    <dxf>
      <border>
        <bottom style="thin">
          <color auto="1"/>
        </bottom>
      </border>
    </dxf>
    <dxf>
      <border outline="0">
        <right style="hair">
          <color indexed="21"/>
        </right>
        <bottom style="hair">
          <color indexed="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0.499984740745262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0.499984740745262"/>
        <name val="Calibri"/>
        <family val="2"/>
        <scheme val="minor"/>
      </font>
      <alignment horizontal="center" vertical="center" textRotation="90" wrapText="0" indent="0" justifyLastLine="0" shrinkToFit="0" readingOrder="0"/>
      <border diagonalUp="0" diagonalDown="0" outline="0">
        <left style="hair">
          <color indexed="21"/>
        </left>
        <right style="hair">
          <color indexed="21"/>
        </right>
        <top/>
        <bottom/>
      </border>
    </dxf>
  </dxfs>
  <tableStyles count="0" defaultTableStyle="TableStyleMedium2" defaultPivotStyle="PivotStyleLight16"/>
  <colors>
    <mruColors>
      <color rgb="FFE0E0B4"/>
      <color rgb="FF9C0006"/>
      <color rgb="FF006699"/>
      <color rgb="FF33CCCC"/>
      <color rgb="FFFFFFC2"/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Scroll" dx="22" fmlaLink="$A$3" max="9" min="1" page="8"/>
</file>

<file path=xl/ctrlProps/ctrlProp5.xml><?xml version="1.0" encoding="utf-8"?>
<formControlPr xmlns="http://schemas.microsoft.com/office/spreadsheetml/2009/9/main" objectType="CheckBox" checked="Checked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CheckBox" checked="Checked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2</xdr:row>
          <xdr:rowOff>209550</xdr:rowOff>
        </xdr:from>
        <xdr:to>
          <xdr:col>0</xdr:col>
          <xdr:colOff>1438275</xdr:colOff>
          <xdr:row>2</xdr:row>
          <xdr:rowOff>704850</xdr:rowOff>
        </xdr:to>
        <xdr:sp macro="" textlink="">
          <xdr:nvSpPr>
            <xdr:cNvPr id="24104" name="Button 17960" hidden="1">
              <a:extLst>
                <a:ext uri="{63B3BB69-23CF-44E3-9099-C40C66FF867C}">
                  <a14:compatExt spid="_x0000_s24104"/>
                </a:ext>
                <a:ext uri="{FF2B5EF4-FFF2-40B4-BE49-F238E27FC236}">
                  <a16:creationId xmlns:a16="http://schemas.microsoft.com/office/drawing/2014/main" id="{00000000-0008-0000-0000-0000285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 first fxsxml as comment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180975</xdr:rowOff>
        </xdr:from>
        <xdr:to>
          <xdr:col>0</xdr:col>
          <xdr:colOff>1228725</xdr:colOff>
          <xdr:row>3</xdr:row>
          <xdr:rowOff>57150</xdr:rowOff>
        </xdr:to>
        <xdr:sp macro="" textlink="">
          <xdr:nvSpPr>
            <xdr:cNvPr id="4113" name="SQLBtn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1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All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1285875</xdr:colOff>
          <xdr:row>1</xdr:row>
          <xdr:rowOff>180975</xdr:rowOff>
        </xdr:from>
        <xdr:to>
          <xdr:col>0</xdr:col>
          <xdr:colOff>2209800</xdr:colOff>
          <xdr:row>3</xdr:row>
          <xdr:rowOff>57150</xdr:rowOff>
        </xdr:to>
        <xdr:sp macro="" textlink="">
          <xdr:nvSpPr>
            <xdr:cNvPr id="4120" name="SQLBtnOneOff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1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SQL: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2286000</xdr:colOff>
          <xdr:row>1</xdr:row>
          <xdr:rowOff>57150</xdr:rowOff>
        </xdr:from>
        <xdr:to>
          <xdr:col>0</xdr:col>
          <xdr:colOff>2447925</xdr:colOff>
          <xdr:row>3</xdr:row>
          <xdr:rowOff>161925</xdr:rowOff>
        </xdr:to>
        <xdr:sp macro="" textlink="">
          <xdr:nvSpPr>
            <xdr:cNvPr id="4126" name="SQLBtnOneOffChg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1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76200</xdr:rowOff>
        </xdr:from>
        <xdr:to>
          <xdr:col>0</xdr:col>
          <xdr:colOff>2200275</xdr:colOff>
          <xdr:row>4</xdr:row>
          <xdr:rowOff>161925</xdr:rowOff>
        </xdr:to>
        <xdr:sp macro="" textlink="">
          <xdr:nvSpPr>
            <xdr:cNvPr id="4130" name="UnitAutosave" descr="Convert &amp; autosave in .\SQL folder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1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Convert &amp; autosave in .\SQL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57150</xdr:rowOff>
        </xdr:from>
        <xdr:to>
          <xdr:col>0</xdr:col>
          <xdr:colOff>1562100</xdr:colOff>
          <xdr:row>2</xdr:row>
          <xdr:rowOff>142875</xdr:rowOff>
        </xdr:to>
        <xdr:sp macro="" textlink="">
          <xdr:nvSpPr>
            <xdr:cNvPr id="5122" name="StyleBtn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Style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2</xdr:row>
          <xdr:rowOff>152400</xdr:rowOff>
        </xdr:from>
        <xdr:to>
          <xdr:col>1</xdr:col>
          <xdr:colOff>0</xdr:colOff>
          <xdr:row>3</xdr:row>
          <xdr:rowOff>152400</xdr:rowOff>
        </xdr:to>
        <xdr:sp macro="" textlink="">
          <xdr:nvSpPr>
            <xdr:cNvPr id="5123" name="StyleAutosave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Convert &amp; autosave in .\SQL folder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4" displayName="Table4" ref="A3:BH104" totalsRowShown="0" headerRowDxfId="66" dataDxfId="65" headerRowBorderDxfId="63" tableBorderDxfId="64">
  <autoFilter ref="A3:BH104"/>
  <tableColumns count="60">
    <tableColumn id="1" name="unit type" dataDxfId="62"/>
    <tableColumn id="49" name="Euro" dataDxfId="61"/>
    <tableColumn id="2" name="America" dataDxfId="60"/>
    <tableColumn id="27" name="Austria" dataDxfId="59"/>
    <tableColumn id="30" name="Celts" dataDxfId="58"/>
    <tableColumn id="7" name="England" dataDxfId="57"/>
    <tableColumn id="8" name="France" dataDxfId="56"/>
    <tableColumn id="9" name="Germany" dataDxfId="55"/>
    <tableColumn id="34" name="Netherlands" dataDxfId="54"/>
    <tableColumn id="59" name="NorthEu" dataDxfId="53" dataCellStyle="Normal 2"/>
    <tableColumn id="58" name="Denmark" dataDxfId="52" dataCellStyle="Normal 2"/>
    <tableColumn id="24" name="Sweden" dataDxfId="51" dataCellStyle="Normal 2"/>
    <tableColumn id="38" name="EastEu" dataDxfId="50"/>
    <tableColumn id="41" name="Poland" dataDxfId="49"/>
    <tableColumn id="17" name="Russia" dataDxfId="48"/>
    <tableColumn id="50" name="Med" dataDxfId="47"/>
    <tableColumn id="37" name="Brazil" dataDxfId="46"/>
    <tableColumn id="28" name="Byzantium" dataDxfId="45" dataCellStyle="Normal 2"/>
    <tableColumn id="10" name="Greece" dataDxfId="44" dataCellStyle="Normal 2"/>
    <tableColumn id="42" name="Portugal" dataDxfId="43"/>
    <tableColumn id="16" name="Rome" dataDxfId="42"/>
    <tableColumn id="22" name="Spain" dataDxfId="41"/>
    <tableColumn id="44" name="Venice" dataDxfId="40"/>
    <tableColumn id="51" name="MidEast" dataDxfId="39"/>
    <tableColumn id="3" name="Arabia" dataDxfId="38"/>
    <tableColumn id="36" name="Assyria" dataDxfId="37" dataCellStyle="Normal 2"/>
    <tableColumn id="20" name="Babylon" dataDxfId="36" dataCellStyle="Normal 2"/>
    <tableColumn id="6" name="Egypt" dataDxfId="35"/>
    <tableColumn id="35" name="Persia" dataDxfId="34" dataCellStyle="Normal 2"/>
    <tableColumn id="62" name="NorthAf" dataDxfId="33" dataCellStyle="Normal 2"/>
    <tableColumn id="63" name="Carthage" dataDxfId="32" dataCellStyle="Normal 2"/>
    <tableColumn id="15" name="Morocco" dataDxfId="31" dataCellStyle="Normal 2"/>
    <tableColumn id="46" name="Afri" dataDxfId="30"/>
    <tableColumn id="31" name="Ethiopia" dataDxfId="29"/>
    <tableColumn id="19" name="Songhai" dataDxfId="28"/>
    <tableColumn id="45" name="Zulu" dataDxfId="27"/>
    <tableColumn id="53" name="CentAs" dataDxfId="26"/>
    <tableColumn id="32" name="Huns" dataDxfId="25"/>
    <tableColumn id="14" name="Ottoman" dataDxfId="24"/>
    <tableColumn id="61" name="SouthAs" dataDxfId="23"/>
    <tableColumn id="60" name="India" dataDxfId="22"/>
    <tableColumn id="48" name="Asia" dataDxfId="21"/>
    <tableColumn id="5" name="China" dataDxfId="20"/>
    <tableColumn id="13" name="Japan" dataDxfId="19"/>
    <tableColumn id="26" name="Korea" dataDxfId="18"/>
    <tableColumn id="21" name="Mongol" dataDxfId="17"/>
    <tableColumn id="11" name="SEASia" dataDxfId="16"/>
    <tableColumn id="39" name="Indonesia" dataDxfId="15"/>
    <tableColumn id="18" name="Siam" dataDxfId="14"/>
    <tableColumn id="47" name="Amer" dataDxfId="13"/>
    <tableColumn id="12" name="Iroquois" dataDxfId="12"/>
    <tableColumn id="43" name="Shoshone" dataDxfId="11"/>
    <tableColumn id="52" name="SouthAm" dataDxfId="10"/>
    <tableColumn id="4" name="Aztec" dataDxfId="9"/>
    <tableColumn id="23" name="Inca" dataDxfId="8"/>
    <tableColumn id="54" name="Maya" dataDxfId="7"/>
    <tableColumn id="57" name="Ocean" dataDxfId="6"/>
    <tableColumn id="56" name="Polynesia" dataDxfId="5"/>
    <tableColumn id="33" name="City-States" dataDxfId="4"/>
    <tableColumn id="55" name="Barbarian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EG136"/>
  <sheetViews>
    <sheetView tabSelected="1" zoomScale="70" zoomScaleNormal="7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4" sqref="A4"/>
    </sheetView>
  </sheetViews>
  <sheetFormatPr defaultColWidth="11.5703125" defaultRowHeight="15" x14ac:dyDescent="0.25"/>
  <cols>
    <col min="1" max="1" width="27.42578125" style="55" bestFit="1" customWidth="1"/>
    <col min="2" max="2" width="3.7109375" style="55" customWidth="1"/>
    <col min="3" max="3" width="3.7109375" style="151" customWidth="1"/>
    <col min="4" max="18" width="3.7109375" style="55" customWidth="1"/>
    <col min="19" max="19" width="3.7109375" style="150" customWidth="1"/>
    <col min="20" max="20" width="3.7109375" style="149" customWidth="1"/>
    <col min="21" max="23" width="3.7109375" style="55" customWidth="1"/>
    <col min="24" max="24" width="3.7109375" style="149" customWidth="1"/>
    <col min="25" max="30" width="3.7109375" style="55" customWidth="1"/>
    <col min="31" max="32" width="3.7109375" style="149" customWidth="1"/>
    <col min="33" max="60" width="3.7109375" style="55" customWidth="1"/>
    <col min="61" max="61" width="21.5703125" style="55" bestFit="1" customWidth="1"/>
    <col min="62" max="62" width="11.28515625" style="55" bestFit="1" customWidth="1"/>
    <col min="63" max="63" width="17.28515625" style="55" bestFit="1" customWidth="1"/>
    <col min="64" max="64" width="2.28515625" style="55" bestFit="1" customWidth="1"/>
    <col min="65" max="65" width="25.140625" style="55" bestFit="1" customWidth="1"/>
    <col min="66" max="126" width="3.7109375" style="55" customWidth="1"/>
    <col min="127" max="127" width="33.28515625" style="55" bestFit="1" customWidth="1"/>
    <col min="128" max="128" width="3.7109375" style="55" customWidth="1"/>
    <col min="129" max="129" width="25.140625" style="55" bestFit="1" customWidth="1"/>
    <col min="130" max="130" width="33.28515625" style="152" bestFit="1" customWidth="1"/>
    <col min="131" max="131" width="14.5703125" style="152" bestFit="1" customWidth="1"/>
    <col min="132" max="16384" width="11.5703125" style="55"/>
  </cols>
  <sheetData>
    <row r="1" spans="1:131" s="38" customFormat="1" ht="15" customHeight="1" x14ac:dyDescent="0.2">
      <c r="A1" s="237" t="s">
        <v>101</v>
      </c>
      <c r="B1" s="195" t="s">
        <v>100</v>
      </c>
      <c r="C1" s="195"/>
      <c r="D1" s="195"/>
      <c r="E1" s="195"/>
      <c r="F1" s="195"/>
      <c r="G1" s="195"/>
      <c r="H1" s="195"/>
      <c r="I1" s="196"/>
      <c r="J1" s="208" t="s">
        <v>1294</v>
      </c>
      <c r="K1" s="209"/>
      <c r="L1" s="210"/>
      <c r="M1" s="208" t="s">
        <v>1295</v>
      </c>
      <c r="N1" s="209"/>
      <c r="O1" s="210"/>
      <c r="P1" s="194" t="s">
        <v>99</v>
      </c>
      <c r="Q1" s="195"/>
      <c r="R1" s="195"/>
      <c r="S1" s="195"/>
      <c r="T1" s="195"/>
      <c r="U1" s="195"/>
      <c r="V1" s="195"/>
      <c r="W1" s="196"/>
      <c r="X1" s="194" t="s">
        <v>98</v>
      </c>
      <c r="Y1" s="195"/>
      <c r="Z1" s="195"/>
      <c r="AA1" s="195"/>
      <c r="AB1" s="195"/>
      <c r="AC1" s="196"/>
      <c r="AD1" s="194" t="s">
        <v>2013</v>
      </c>
      <c r="AE1" s="195"/>
      <c r="AF1" s="196"/>
      <c r="AG1" s="194" t="s">
        <v>97</v>
      </c>
      <c r="AH1" s="195"/>
      <c r="AI1" s="195"/>
      <c r="AJ1" s="196"/>
      <c r="AK1" s="208" t="s">
        <v>1292</v>
      </c>
      <c r="AL1" s="209"/>
      <c r="AM1" s="210"/>
      <c r="AN1" s="208" t="s">
        <v>1293</v>
      </c>
      <c r="AO1" s="210"/>
      <c r="AP1" s="194" t="s">
        <v>96</v>
      </c>
      <c r="AQ1" s="195"/>
      <c r="AR1" s="195"/>
      <c r="AS1" s="195"/>
      <c r="AT1" s="196"/>
      <c r="AU1" s="209" t="s">
        <v>95</v>
      </c>
      <c r="AV1" s="209"/>
      <c r="AW1" s="210"/>
      <c r="AX1" s="194" t="s">
        <v>1296</v>
      </c>
      <c r="AY1" s="195"/>
      <c r="AZ1" s="196"/>
      <c r="BA1" s="194" t="s">
        <v>1297</v>
      </c>
      <c r="BB1" s="195"/>
      <c r="BC1" s="195"/>
      <c r="BD1" s="196"/>
      <c r="BE1" s="208" t="s">
        <v>94</v>
      </c>
      <c r="BF1" s="210"/>
      <c r="BG1" s="36" t="s">
        <v>1</v>
      </c>
      <c r="BH1" s="37" t="s">
        <v>1</v>
      </c>
      <c r="BI1" s="37" t="s">
        <v>1299</v>
      </c>
      <c r="BJ1" s="37" t="s">
        <v>1298</v>
      </c>
      <c r="BK1" s="36" t="s">
        <v>1300</v>
      </c>
      <c r="BL1" s="195" t="s">
        <v>93</v>
      </c>
      <c r="BM1" s="196"/>
    </row>
    <row r="2" spans="1:131" s="38" customFormat="1" ht="12.75" customHeight="1" x14ac:dyDescent="0.2">
      <c r="A2" s="46" t="s">
        <v>1917</v>
      </c>
      <c r="B2" s="40" t="s">
        <v>1</v>
      </c>
      <c r="C2" s="41"/>
      <c r="D2" s="42" t="s">
        <v>91</v>
      </c>
      <c r="E2" s="42" t="s">
        <v>91</v>
      </c>
      <c r="F2" s="42"/>
      <c r="G2" s="42"/>
      <c r="H2" s="42"/>
      <c r="I2" s="43" t="s">
        <v>91</v>
      </c>
      <c r="J2" s="39"/>
      <c r="K2" s="41" t="s">
        <v>90</v>
      </c>
      <c r="L2" s="44" t="s">
        <v>91</v>
      </c>
      <c r="M2" s="45" t="s">
        <v>1</v>
      </c>
      <c r="N2" s="42" t="s">
        <v>92</v>
      </c>
      <c r="O2" s="43"/>
      <c r="P2" s="45" t="s">
        <v>1</v>
      </c>
      <c r="Q2" s="42" t="s">
        <v>92</v>
      </c>
      <c r="R2" s="42" t="s">
        <v>91</v>
      </c>
      <c r="S2" s="42"/>
      <c r="T2" s="41" t="s">
        <v>92</v>
      </c>
      <c r="U2" s="42"/>
      <c r="V2" s="42" t="s">
        <v>90</v>
      </c>
      <c r="W2" s="43" t="s">
        <v>92</v>
      </c>
      <c r="X2" s="45" t="s">
        <v>1</v>
      </c>
      <c r="Y2" s="42"/>
      <c r="Z2" s="42" t="s">
        <v>92</v>
      </c>
      <c r="AA2" s="42" t="s">
        <v>90</v>
      </c>
      <c r="AB2" s="42"/>
      <c r="AC2" s="44"/>
      <c r="AD2" s="45" t="s">
        <v>1</v>
      </c>
      <c r="AE2" s="42" t="s">
        <v>91</v>
      </c>
      <c r="AF2" s="42" t="s">
        <v>92</v>
      </c>
      <c r="AG2" s="45" t="s">
        <v>1</v>
      </c>
      <c r="AH2" s="42" t="s">
        <v>91</v>
      </c>
      <c r="AI2" s="42"/>
      <c r="AJ2" s="43" t="s">
        <v>92</v>
      </c>
      <c r="AK2" s="39" t="s">
        <v>1</v>
      </c>
      <c r="AL2" s="41" t="s">
        <v>91</v>
      </c>
      <c r="AM2" s="43"/>
      <c r="AN2" s="45" t="s">
        <v>1</v>
      </c>
      <c r="AO2" s="43"/>
      <c r="AP2" s="45" t="s">
        <v>1</v>
      </c>
      <c r="AQ2" s="42"/>
      <c r="AR2" s="42"/>
      <c r="AS2" s="42" t="s">
        <v>90</v>
      </c>
      <c r="AT2" s="43" t="s">
        <v>90</v>
      </c>
      <c r="AU2" s="45" t="s">
        <v>1</v>
      </c>
      <c r="AV2" s="42" t="s">
        <v>92</v>
      </c>
      <c r="AW2" s="43"/>
      <c r="AX2" s="45" t="s">
        <v>1</v>
      </c>
      <c r="AY2" s="42"/>
      <c r="AZ2" s="43" t="s">
        <v>92</v>
      </c>
      <c r="BA2" s="45" t="s">
        <v>1</v>
      </c>
      <c r="BB2" s="42"/>
      <c r="BC2" s="42" t="s">
        <v>90</v>
      </c>
      <c r="BD2" s="43" t="s">
        <v>91</v>
      </c>
      <c r="BE2" s="45" t="s">
        <v>1</v>
      </c>
      <c r="BF2" s="43" t="s">
        <v>90</v>
      </c>
      <c r="BG2" s="46"/>
      <c r="BH2" s="46"/>
      <c r="BI2" s="47">
        <f>COUNTIF(C4:I62,"X")+COUNTIF(K4:L62,"X")+COUNTIF(N4:O62,"X")+COUNTIF(Q4:W62,"X")+COUNTIF(Y4:AF62,"X")+COUNTIF(AH4:AJ62,"X")+COUNTIF(AL4:AM62,"X")+COUNTIF(AO4:AO62,"X")+COUNTIF(AQ4:AT62,"X")+COUNTIF(AV4:AW62,"X")+COUNTIF(AY4:AZ62,"X")+COUNTIF(BB4:BD62,"X")+COUNTIF(BF4:BF62,"X")</f>
        <v>574</v>
      </c>
      <c r="BJ2" s="47">
        <f>COUNTIF(C4:I62,"+")+COUNTIF(K4:L62,"+")+COUNTIF(N4:O62,"+")+COUNTIF(Q4:W62,"+")+COUNTIF(Y4:AF62,"+")+COUNTIF(AH4:AJ62,"+")+COUNTIF(AL4:AM62,"+")+COUNTIF(AO4:AO62,"+")+COUNTIF(AQ4:AT62,"+")+COUNTIF(AV4:AW62,"+")+COUNTIF(AY4:AZ62,"+")+COUNTIF(BB4:BD62,"+")+COUNTIF(BF4:BF62,"+")</f>
        <v>463</v>
      </c>
      <c r="BK2" s="48">
        <f>(9+2+8+6+3+2+1+4+2+2+3+1)*59</f>
        <v>2537</v>
      </c>
      <c r="BL2" s="197"/>
      <c r="BM2" s="198"/>
    </row>
    <row r="3" spans="1:131" s="50" customFormat="1" ht="112.5" customHeight="1" x14ac:dyDescent="0.2">
      <c r="A3" s="238" t="s">
        <v>89</v>
      </c>
      <c r="B3" s="228" t="s">
        <v>1279</v>
      </c>
      <c r="C3" s="239" t="s">
        <v>88</v>
      </c>
      <c r="D3" s="223" t="s">
        <v>87</v>
      </c>
      <c r="E3" s="223" t="s">
        <v>86</v>
      </c>
      <c r="F3" s="223" t="s">
        <v>84</v>
      </c>
      <c r="G3" s="223" t="s">
        <v>83</v>
      </c>
      <c r="H3" s="223" t="s">
        <v>82</v>
      </c>
      <c r="I3" s="224" t="s">
        <v>81</v>
      </c>
      <c r="J3" s="230" t="s">
        <v>1280</v>
      </c>
      <c r="K3" s="223" t="s">
        <v>85</v>
      </c>
      <c r="L3" s="227" t="s">
        <v>80</v>
      </c>
      <c r="M3" s="225" t="s">
        <v>1281</v>
      </c>
      <c r="N3" s="223" t="s">
        <v>79</v>
      </c>
      <c r="O3" s="224" t="s">
        <v>78</v>
      </c>
      <c r="P3" s="225" t="s">
        <v>1282</v>
      </c>
      <c r="Q3" s="223" t="s">
        <v>77</v>
      </c>
      <c r="R3" s="223" t="s">
        <v>76</v>
      </c>
      <c r="S3" s="223" t="s">
        <v>74</v>
      </c>
      <c r="T3" s="226" t="s">
        <v>73</v>
      </c>
      <c r="U3" s="223" t="s">
        <v>72</v>
      </c>
      <c r="V3" s="223" t="s">
        <v>71</v>
      </c>
      <c r="W3" s="224" t="s">
        <v>70</v>
      </c>
      <c r="X3" s="225" t="s">
        <v>1283</v>
      </c>
      <c r="Y3" s="223" t="s">
        <v>69</v>
      </c>
      <c r="Z3" s="223" t="s">
        <v>65</v>
      </c>
      <c r="AA3" s="223" t="s">
        <v>66</v>
      </c>
      <c r="AB3" s="223" t="s">
        <v>68</v>
      </c>
      <c r="AC3" s="227" t="s">
        <v>67</v>
      </c>
      <c r="AD3" s="225" t="s">
        <v>2012</v>
      </c>
      <c r="AE3" s="223" t="s">
        <v>75</v>
      </c>
      <c r="AF3" s="223" t="s">
        <v>64</v>
      </c>
      <c r="AG3" s="225" t="s">
        <v>1284</v>
      </c>
      <c r="AH3" s="223" t="s">
        <v>63</v>
      </c>
      <c r="AI3" s="223" t="s">
        <v>62</v>
      </c>
      <c r="AJ3" s="224" t="s">
        <v>1291</v>
      </c>
      <c r="AK3" s="225" t="s">
        <v>1285</v>
      </c>
      <c r="AL3" s="226" t="s">
        <v>61</v>
      </c>
      <c r="AM3" s="224" t="s">
        <v>60</v>
      </c>
      <c r="AN3" s="228" t="s">
        <v>1286</v>
      </c>
      <c r="AO3" s="227" t="s">
        <v>59</v>
      </c>
      <c r="AP3" s="225" t="s">
        <v>96</v>
      </c>
      <c r="AQ3" s="223" t="s">
        <v>58</v>
      </c>
      <c r="AR3" s="223" t="s">
        <v>57</v>
      </c>
      <c r="AS3" s="223" t="s">
        <v>56</v>
      </c>
      <c r="AT3" s="224" t="s">
        <v>1722</v>
      </c>
      <c r="AU3" s="229" t="s">
        <v>1287</v>
      </c>
      <c r="AV3" s="223" t="s">
        <v>55</v>
      </c>
      <c r="AW3" s="224" t="s">
        <v>54</v>
      </c>
      <c r="AX3" s="225" t="s">
        <v>1288</v>
      </c>
      <c r="AY3" s="223" t="s">
        <v>53</v>
      </c>
      <c r="AZ3" s="224" t="s">
        <v>52</v>
      </c>
      <c r="BA3" s="230" t="s">
        <v>1289</v>
      </c>
      <c r="BB3" s="223" t="s">
        <v>51</v>
      </c>
      <c r="BC3" s="223" t="s">
        <v>50</v>
      </c>
      <c r="BD3" s="224" t="s">
        <v>49</v>
      </c>
      <c r="BE3" s="228" t="s">
        <v>1290</v>
      </c>
      <c r="BF3" s="227" t="s">
        <v>48</v>
      </c>
      <c r="BG3" s="227" t="s">
        <v>47</v>
      </c>
      <c r="BH3" s="231" t="s">
        <v>46</v>
      </c>
      <c r="BI3" s="232">
        <f>$BI$2/$BK$2</f>
        <v>0.22625147812376822</v>
      </c>
      <c r="BJ3" s="233" t="s">
        <v>1745</v>
      </c>
      <c r="BK3" s="234" t="str">
        <f>CONCATENATE(ROUND(($BI$2+$BJ$2)/$BK$2,3)*100,"%*")</f>
        <v>40.9%*</v>
      </c>
      <c r="BL3" s="235" t="s">
        <v>2419</v>
      </c>
      <c r="BM3" s="236" t="s">
        <v>2418</v>
      </c>
      <c r="BN3" s="49"/>
      <c r="BO3" s="49"/>
      <c r="BP3" s="49"/>
      <c r="BQ3" s="49"/>
      <c r="BR3" s="49"/>
      <c r="BS3" s="49"/>
      <c r="BT3" s="49"/>
      <c r="BU3" s="49"/>
      <c r="BV3" s="49"/>
      <c r="BW3" s="49"/>
    </row>
    <row r="4" spans="1:131" ht="12.75" customHeight="1" x14ac:dyDescent="0.2">
      <c r="A4" s="56" t="s">
        <v>1103</v>
      </c>
      <c r="B4" s="181" t="str">
        <f>IF(ISTEXT(VLOOKUP(CONCATENATE($A4,"_",B$3),'Unit List'!$A$14:$H$2841,2,FALSE)),"+","")</f>
        <v/>
      </c>
      <c r="C4" s="57" t="str">
        <f>IF(ISTEXT(VLOOKUP(CONCATENATE($A4,"_",C$3),'Unit List'!$A$14:$H$2841,2,FALSE)),"X",$B4)</f>
        <v/>
      </c>
      <c r="D4" s="58" t="str">
        <f>IF(ISTEXT(VLOOKUP(CONCATENATE($A4,"_",D$3),'Unit List'!$A$14:$H$2841,2,FALSE)),"X",$B4)</f>
        <v/>
      </c>
      <c r="E4" s="51" t="str">
        <f>IF(ISTEXT(VLOOKUP(CONCATENATE($A4,"_",E$3),'Unit List'!$A$14:$H$2841,2,FALSE)),"X",$B4)</f>
        <v/>
      </c>
      <c r="F4" s="58" t="str">
        <f>IF(ISTEXT(VLOOKUP(CONCATENATE($A4,"_",F$3),'Unit List'!$A$14:$H$2841,2,FALSE)),"X",$B4)</f>
        <v/>
      </c>
      <c r="G4" s="58" t="str">
        <f>IF(ISTEXT(VLOOKUP(CONCATENATE($A4,"_",G$3),'Unit List'!$A$14:$H$2841,2,FALSE)),"X",$B4)</f>
        <v/>
      </c>
      <c r="H4" s="58" t="str">
        <f>IF(ISTEXT(VLOOKUP(CONCATENATE($A4,"_",H$3),'Unit List'!$A$14:$H$2841,2,FALSE)),"X",$B4)</f>
        <v/>
      </c>
      <c r="I4" s="53" t="str">
        <f>IF(ISTEXT(VLOOKUP(CONCATENATE($A4,"_",I$3),'Unit List'!$A$14:$H$2841,2,FALSE)),"X",$B4)</f>
        <v/>
      </c>
      <c r="J4" s="172" t="str">
        <f>IF(ISTEXT(VLOOKUP(CONCATENATE($A4,"_",J$3),'Unit List'!$A$14:$H$2841,2,FALSE)),"+","")</f>
        <v/>
      </c>
      <c r="K4" s="51" t="str">
        <f>IF(ISTEXT(VLOOKUP(CONCATENATE($A4,"_",K$3),'Unit List'!$A$14:$H$2841,2,FALSE)),"X",$J4)</f>
        <v/>
      </c>
      <c r="L4" s="59" t="str">
        <f>IF(ISTEXT(VLOOKUP(CONCATENATE($A4,"_",L$3),'Unit List'!$A$14:$H$2841,2,FALSE)),"X",$J4)</f>
        <v/>
      </c>
      <c r="M4" s="172" t="str">
        <f>IF(ISTEXT(VLOOKUP(CONCATENATE($A4,"_",M$3),'Unit List'!$A$14:$H$2841,2,FALSE)),"+","")</f>
        <v/>
      </c>
      <c r="N4" s="51" t="str">
        <f>IF(ISTEXT(VLOOKUP(CONCATENATE($A4,"_",N$3),'Unit List'!$A$14:$H$2841,2,FALSE)),"X",$M4)</f>
        <v/>
      </c>
      <c r="O4" s="61" t="str">
        <f>IF(ISTEXT(VLOOKUP(CONCATENATE($A4,"_",O$3),'Unit List'!$A$14:$H$2841,2,FALSE)),"X",$M4)</f>
        <v/>
      </c>
      <c r="P4" s="172" t="str">
        <f>IF(ISTEXT(VLOOKUP(CONCATENATE($A4,"_",P$3),'Unit List'!$A$14:$H$2841,2,FALSE)),"+","")</f>
        <v/>
      </c>
      <c r="Q4" s="51" t="str">
        <f>IF(ISTEXT(VLOOKUP(CONCATENATE($A4,"_",Q$3),'Unit List'!$A$14:$H$2841,2,FALSE)),"X",$P4)</f>
        <v/>
      </c>
      <c r="R4" s="51" t="str">
        <f>IF(ISTEXT(VLOOKUP(CONCATENATE($A4,"_",R$3),'Unit List'!$A$14:$H$2841,2,FALSE)),"X",$P4)</f>
        <v/>
      </c>
      <c r="S4" s="51" t="str">
        <f>IF(ISTEXT(VLOOKUP(CONCATENATE($A4,"_",S$3),'Unit List'!$A$14:$H$2841,2,FALSE)),"X",$P4)</f>
        <v/>
      </c>
      <c r="T4" s="52" t="str">
        <f>IF(ISTEXT(VLOOKUP(CONCATENATE($A4,"_",T$3),'Unit List'!$A$14:$H$2841,2,FALSE)),"X",$P4)</f>
        <v/>
      </c>
      <c r="U4" s="60" t="str">
        <f>IF(ISTEXT(VLOOKUP(CONCATENATE($A4,"_",U$3),'Unit List'!$A$14:$H$2841,2,FALSE)),"X",$P4)</f>
        <v/>
      </c>
      <c r="V4" s="51" t="str">
        <f>IF(ISTEXT(VLOOKUP(CONCATENATE($A4,"_",V$3),'Unit List'!$A$14:$H$2841,2,FALSE)),"X",$P4)</f>
        <v/>
      </c>
      <c r="W4" s="53" t="str">
        <f>IF(ISTEXT(VLOOKUP(CONCATENATE($A4,"_",W$3),'Unit List'!$A$14:$H$2841,2,FALSE)),"X",$P4)</f>
        <v/>
      </c>
      <c r="X4" s="172" t="str">
        <f>IF(ISTEXT(VLOOKUP(CONCATENATE($A4,"_",X$3),'Unit List'!$A$14:$H$2841,2,FALSE)),"+","")</f>
        <v/>
      </c>
      <c r="Y4" s="51" t="str">
        <f>IF(ISTEXT(VLOOKUP(CONCATENATE($A4,"_",Y$3),'Unit List'!$A$14:$H$2841,2,FALSE)),"X",$X4)</f>
        <v/>
      </c>
      <c r="Z4" s="51" t="str">
        <f>IF(ISTEXT(VLOOKUP(CONCATENATE($A4,"_",Z$3),'Unit List'!$A$14:$H$2841,2,FALSE)),"X",$X4)</f>
        <v/>
      </c>
      <c r="AA4" s="51" t="str">
        <f>IF(ISTEXT(VLOOKUP(CONCATENATE($A4,"_",AA$3),'Unit List'!$A$14:$H$2841,2,FALSE)),"X",$X4)</f>
        <v/>
      </c>
      <c r="AB4" s="51" t="str">
        <f>IF(ISTEXT(VLOOKUP(CONCATENATE($A4,"_",AB$3),'Unit List'!$A$14:$H$2841,2,FALSE)),"X",$X4)</f>
        <v/>
      </c>
      <c r="AC4" s="62" t="str">
        <f>IF(ISTEXT(VLOOKUP(CONCATENATE($A4,"_",AC$3),'Unit List'!$A$14:$H$2841,2,FALSE)),"X",$X4)</f>
        <v/>
      </c>
      <c r="AD4" s="172" t="str">
        <f>IF(ISTEXT(VLOOKUP(CONCATENATE($A4,"_",AD$3),'Unit List'!$A$14:$H$2841,2,FALSE)),"+","")</f>
        <v/>
      </c>
      <c r="AE4" s="51" t="str">
        <f>IF(ISTEXT(VLOOKUP(CONCATENATE($A4,"_",AE$3),'Unit List'!$A$14:$H$2841,2,FALSE)),"X",$AD4)</f>
        <v/>
      </c>
      <c r="AF4" s="51" t="str">
        <f>IF(ISTEXT(VLOOKUP(CONCATENATE($A4,"_",AF$3),'Unit List'!$A$14:$H$2841,2,FALSE)),"X",$AD4)</f>
        <v/>
      </c>
      <c r="AG4" s="172" t="str">
        <f>IF(ISTEXT(VLOOKUP(CONCATENATE($A4,"_",AG$3),'Unit List'!$A$14:$H$2841,2,FALSE)),"+","")</f>
        <v/>
      </c>
      <c r="AH4" s="51" t="str">
        <f>IF(ISTEXT(VLOOKUP(CONCATENATE($A4,"_",AH$3),'Unit List'!$A$14:$H$2841,2,FALSE)),"X",$AG4)</f>
        <v/>
      </c>
      <c r="AI4" s="51" t="str">
        <f>IF(ISTEXT(VLOOKUP(CONCATENATE($A4,"_",AI$3),'Unit List'!$A$14:$H$2841,2,FALSE)),"X",$AG4)</f>
        <v/>
      </c>
      <c r="AJ4" s="53" t="str">
        <f>IF(ISTEXT(VLOOKUP(CONCATENATE($A4,"_",AJ$3),'Unit List'!$A$14:$H$2841,2,FALSE)),"X",$AG4)</f>
        <v/>
      </c>
      <c r="AK4" s="172" t="str">
        <f>IF(ISTEXT(VLOOKUP(CONCATENATE($A4,"_",AK$3),'Unit List'!$A$14:$H$2841,2,FALSE)),"+","")</f>
        <v/>
      </c>
      <c r="AL4" s="63" t="str">
        <f>IF(ISTEXT(VLOOKUP(CONCATENATE($A4,"_",AL$3),'Unit List'!$A$14:$H$2841,2,FALSE)),"X",$AK4)</f>
        <v/>
      </c>
      <c r="AM4" s="53" t="str">
        <f>IF(ISTEXT(VLOOKUP(CONCATENATE($A4,"_",AM$3),'Unit List'!$A$14:$H$2841,2,FALSE)),"X",$AK4)</f>
        <v/>
      </c>
      <c r="AN4" s="125" t="str">
        <f>IF(ISTEXT(VLOOKUP(CONCATENATE($A4,"_",AN$3),'Unit List'!$A$14:$H$2841,2,FALSE)),"+","")</f>
        <v/>
      </c>
      <c r="AO4" s="53" t="str">
        <f>IF(ISTEXT(VLOOKUP(CONCATENATE($A4,"_",AO$3),'Unit List'!$A$14:$H$2841,2,FALSE)),"X",$AN4)</f>
        <v/>
      </c>
      <c r="AP4" s="172" t="str">
        <f>IF(ISTEXT(VLOOKUP(CONCATENATE($A4,"_",AP$3),'Unit List'!$A$14:$H$2841,2,FALSE)),"+","")</f>
        <v/>
      </c>
      <c r="AQ4" s="51" t="str">
        <f>IF(ISTEXT(VLOOKUP(CONCATENATE($A4,"_",AQ$3),'Unit List'!$A$14:$H$2841,2,FALSE)),"X",$AP4)</f>
        <v/>
      </c>
      <c r="AR4" s="60" t="str">
        <f>IF(ISTEXT(VLOOKUP(CONCATENATE($A4,"_",AR$3),'Unit List'!$A$14:$H$2841,2,FALSE)),"X",$AP4)</f>
        <v/>
      </c>
      <c r="AS4" s="51" t="str">
        <f>IF(ISTEXT(VLOOKUP(CONCATENATE($A4,"_",AS$3),'Unit List'!$A$14:$H$2841,2,FALSE)),"X",$AP4)</f>
        <v/>
      </c>
      <c r="AT4" s="53" t="str">
        <f>IF(ISTEXT(VLOOKUP(CONCATENATE($A4,"_",AT$3),'Unit List'!$A$14:$H$2841,2,FALSE)),"X",$AP4)</f>
        <v/>
      </c>
      <c r="AU4" s="124" t="str">
        <f>IF(ISTEXT(VLOOKUP(CONCATENATE($A4,"_",AU$3),'Unit List'!$A$14:$H$2841,2,FALSE)),"+","")</f>
        <v/>
      </c>
      <c r="AV4" s="51" t="str">
        <f>IF(ISTEXT(VLOOKUP(CONCATENATE($A4,"_",AV$3),'Unit List'!$A$14:$H$2841,2,FALSE)),"X",$AU4)</f>
        <v/>
      </c>
      <c r="AW4" s="53" t="str">
        <f>IF(ISTEXT(VLOOKUP(CONCATENATE($A4,"_",AW$3),'Unit List'!$A$14:$H$2841,2,FALSE)),"X",$AU4)</f>
        <v/>
      </c>
      <c r="AX4" s="172" t="str">
        <f>IF(ISTEXT(VLOOKUP(CONCATENATE($A4,"_",AX$3),'Unit List'!$A$14:$H$2841,2,FALSE)),"+","")</f>
        <v/>
      </c>
      <c r="AY4" s="51" t="str">
        <f>IF(ISTEXT(VLOOKUP(CONCATENATE($A4,"_",AY$3),'Unit List'!$A$14:$H$2841,2,FALSE)),"X",$AX4)</f>
        <v/>
      </c>
      <c r="AZ4" s="53" t="str">
        <f>IF(ISTEXT(VLOOKUP(CONCATENATE($A4,"_",AZ$3),'Unit List'!$A$14:$H$2841,2,FALSE)),"X",$AX4)</f>
        <v/>
      </c>
      <c r="BA4" s="182" t="str">
        <f>IF(ISTEXT(VLOOKUP(CONCATENATE($A4,"_",BA$3),'Unit List'!$A$14:$H$2841,2,FALSE)),"+","")</f>
        <v/>
      </c>
      <c r="BB4" s="51" t="str">
        <f>IF(ISTEXT(VLOOKUP(CONCATENATE($A4,"_",BB$3),'Unit List'!$A$14:$H$2841,2,FALSE)),"X",$BA4)</f>
        <v/>
      </c>
      <c r="BC4" s="51" t="str">
        <f>IF(ISTEXT(VLOOKUP(CONCATENATE($A4,"_",BC$3),'Unit List'!$A$14:$H$2841,2,FALSE)),"X",$BA4)</f>
        <v/>
      </c>
      <c r="BD4" s="53" t="str">
        <f>IF(ISTEXT(VLOOKUP(CONCATENATE($A4,"_",BD$3),'Unit List'!$A$14:$H$2841,2,FALSE)),"X",$BA4)</f>
        <v/>
      </c>
      <c r="BE4" s="125" t="str">
        <f>IF(ISTEXT(VLOOKUP(CONCATENATE($A4,"_",BE$3),'Unit List'!$A$14:$H$2841,2,FALSE)),"+","")</f>
        <v/>
      </c>
      <c r="BF4" s="62" t="str">
        <f>IF(ISTEXT(VLOOKUP(CONCATENATE($A4,"_",BF$3),'Unit List'!$A$14:$H$2841,2,FALSE)),"X",$BE4)</f>
        <v/>
      </c>
      <c r="BG4" s="64"/>
      <c r="BH4" s="65" t="s">
        <v>0</v>
      </c>
      <c r="BI4" s="219"/>
      <c r="BJ4" s="220"/>
      <c r="BK4" s="220"/>
      <c r="BL4" s="221" t="s">
        <v>1747</v>
      </c>
      <c r="BM4" s="222"/>
      <c r="BN4" s="54"/>
      <c r="BO4" s="54"/>
      <c r="BP4" s="54"/>
      <c r="BQ4" s="54"/>
      <c r="BR4" s="54"/>
      <c r="BS4" s="54"/>
      <c r="DZ4" s="55"/>
      <c r="EA4" s="55"/>
    </row>
    <row r="5" spans="1:131" ht="12.75" customHeight="1" x14ac:dyDescent="0.2">
      <c r="A5" s="56" t="s">
        <v>1104</v>
      </c>
      <c r="B5" s="181" t="str">
        <f>IF(ISTEXT(VLOOKUP(CONCATENATE($A5,"_",B$3),'Unit List'!$A$14:$H$2841,2,FALSE)),"+","")</f>
        <v/>
      </c>
      <c r="C5" s="57" t="str">
        <f>IF(ISTEXT(VLOOKUP(CONCATENATE($A5,"_",C$3),'Unit List'!$A$14:$H$2841,2,FALSE)),"X",$B5)</f>
        <v/>
      </c>
      <c r="D5" s="58" t="str">
        <f>IF(ISTEXT(VLOOKUP(CONCATENATE($A5,"_",D$3),'Unit List'!$A$14:$H$2841,2,FALSE)),"X",$B5)</f>
        <v/>
      </c>
      <c r="E5" s="51" t="str">
        <f>IF(ISTEXT(VLOOKUP(CONCATENATE($A5,"_",E$3),'Unit List'!$A$14:$H$2841,2,FALSE)),"X",$B5)</f>
        <v/>
      </c>
      <c r="F5" s="58" t="str">
        <f>IF(ISTEXT(VLOOKUP(CONCATENATE($A5,"_",F$3),'Unit List'!$A$14:$H$2841,2,FALSE)),"X",$B5)</f>
        <v/>
      </c>
      <c r="G5" s="58" t="str">
        <f>IF(ISTEXT(VLOOKUP(CONCATENATE($A5,"_",G$3),'Unit List'!$A$14:$H$2841,2,FALSE)),"X",$B5)</f>
        <v/>
      </c>
      <c r="H5" s="58" t="str">
        <f>IF(ISTEXT(VLOOKUP(CONCATENATE($A5,"_",H$3),'Unit List'!$A$14:$H$2841,2,FALSE)),"X",$B5)</f>
        <v/>
      </c>
      <c r="I5" s="53" t="str">
        <f>IF(ISTEXT(VLOOKUP(CONCATENATE($A5,"_",I$3),'Unit List'!$A$14:$H$2841,2,FALSE)),"X",$B5)</f>
        <v/>
      </c>
      <c r="J5" s="172" t="str">
        <f>IF(ISTEXT(VLOOKUP(CONCATENATE($A5,"_",J$3),'Unit List'!$A$14:$H$2841,2,FALSE)),"+","")</f>
        <v/>
      </c>
      <c r="K5" s="51" t="str">
        <f>IF(ISTEXT(VLOOKUP(CONCATENATE($A5,"_",K$3),'Unit List'!$A$14:$H$2841,2,FALSE)),"X",$J5)</f>
        <v/>
      </c>
      <c r="L5" s="59" t="str">
        <f>IF(ISTEXT(VLOOKUP(CONCATENATE($A5,"_",L$3),'Unit List'!$A$14:$H$2841,2,FALSE)),"X",$J5)</f>
        <v/>
      </c>
      <c r="M5" s="172" t="str">
        <f>IF(ISTEXT(VLOOKUP(CONCATENATE($A5,"_",M$3),'Unit List'!$A$14:$H$2841,2,FALSE)),"+","")</f>
        <v/>
      </c>
      <c r="N5" s="60" t="str">
        <f>IF(ISTEXT(VLOOKUP(CONCATENATE($A5,"_",N$3),'Unit List'!$A$14:$H$2841,2,FALSE)),"X",$M5)</f>
        <v/>
      </c>
      <c r="O5" s="61" t="str">
        <f>IF(ISTEXT(VLOOKUP(CONCATENATE($A5,"_",O$3),'Unit List'!$A$14:$H$2841,2,FALSE)),"X",$M5)</f>
        <v/>
      </c>
      <c r="P5" s="172" t="str">
        <f>IF(ISTEXT(VLOOKUP(CONCATENATE($A5,"_",P$3),'Unit List'!$A$14:$H$2841,2,FALSE)),"+","")</f>
        <v/>
      </c>
      <c r="Q5" s="51" t="str">
        <f>IF(ISTEXT(VLOOKUP(CONCATENATE($A5,"_",Q$3),'Unit List'!$A$14:$H$2841,2,FALSE)),"X",$P5)</f>
        <v/>
      </c>
      <c r="R5" s="51" t="str">
        <f>IF(ISTEXT(VLOOKUP(CONCATENATE($A5,"_",R$3),'Unit List'!$A$14:$H$2841,2,FALSE)),"X",$P5)</f>
        <v/>
      </c>
      <c r="S5" s="51" t="str">
        <f>IF(ISTEXT(VLOOKUP(CONCATENATE($A5,"_",S$3),'Unit List'!$A$14:$H$2841,2,FALSE)),"X",$P5)</f>
        <v/>
      </c>
      <c r="T5" s="52" t="str">
        <f>IF(ISTEXT(VLOOKUP(CONCATENATE($A5,"_",T$3),'Unit List'!$A$14:$H$2841,2,FALSE)),"X",$P5)</f>
        <v/>
      </c>
      <c r="U5" s="60" t="str">
        <f>IF(ISTEXT(VLOOKUP(CONCATENATE($A5,"_",U$3),'Unit List'!$A$14:$H$2841,2,FALSE)),"X",$P5)</f>
        <v/>
      </c>
      <c r="V5" s="60" t="str">
        <f>IF(ISTEXT(VLOOKUP(CONCATENATE($A5,"_",V$3),'Unit List'!$A$14:$H$2841,2,FALSE)),"X",$P5)</f>
        <v/>
      </c>
      <c r="W5" s="53" t="str">
        <f>IF(ISTEXT(VLOOKUP(CONCATENATE($A5,"_",W$3),'Unit List'!$A$14:$H$2841,2,FALSE)),"X",$P5)</f>
        <v/>
      </c>
      <c r="X5" s="172" t="str">
        <f>IF(ISTEXT(VLOOKUP(CONCATENATE($A5,"_",X$3),'Unit List'!$A$14:$H$2841,2,FALSE)),"+","")</f>
        <v/>
      </c>
      <c r="Y5" s="51" t="str">
        <f>IF(ISTEXT(VLOOKUP(CONCATENATE($A5,"_",Y$3),'Unit List'!$A$14:$H$2841,2,FALSE)),"X",$X5)</f>
        <v/>
      </c>
      <c r="Z5" s="51" t="str">
        <f>IF(ISTEXT(VLOOKUP(CONCATENATE($A5,"_",Z$3),'Unit List'!$A$14:$H$2841,2,FALSE)),"X",$X5)</f>
        <v/>
      </c>
      <c r="AA5" s="51" t="str">
        <f>IF(ISTEXT(VLOOKUP(CONCATENATE($A5,"_",AA$3),'Unit List'!$A$14:$H$2841,2,FALSE)),"X",$X5)</f>
        <v/>
      </c>
      <c r="AB5" s="51" t="str">
        <f>IF(ISTEXT(VLOOKUP(CONCATENATE($A5,"_",AB$3),'Unit List'!$A$14:$H$2841,2,FALSE)),"X",$X5)</f>
        <v/>
      </c>
      <c r="AC5" s="62" t="str">
        <f>IF(ISTEXT(VLOOKUP(CONCATENATE($A5,"_",AC$3),'Unit List'!$A$14:$H$2841,2,FALSE)),"X",$X5)</f>
        <v/>
      </c>
      <c r="AD5" s="172" t="str">
        <f>IF(ISTEXT(VLOOKUP(CONCATENATE($A5,"_",AD$3),'Unit List'!$A$14:$H$2841,2,FALSE)),"+","")</f>
        <v/>
      </c>
      <c r="AE5" s="51" t="str">
        <f>IF(ISTEXT(VLOOKUP(CONCATENATE($A5,"_",AE$3),'Unit List'!$A$14:$H$2841,2,FALSE)),"X",$AD5)</f>
        <v/>
      </c>
      <c r="AF5" s="51" t="str">
        <f>IF(ISTEXT(VLOOKUP(CONCATENATE($A5,"_",AF$3),'Unit List'!$A$14:$H$2841,2,FALSE)),"X",$AD5)</f>
        <v/>
      </c>
      <c r="AG5" s="172" t="str">
        <f>IF(ISTEXT(VLOOKUP(CONCATENATE($A5,"_",AG$3),'Unit List'!$A$14:$H$2841,2,FALSE)),"+","")</f>
        <v/>
      </c>
      <c r="AH5" s="51" t="str">
        <f>IF(ISTEXT(VLOOKUP(CONCATENATE($A5,"_",AH$3),'Unit List'!$A$14:$H$2841,2,FALSE)),"X",$AG5)</f>
        <v/>
      </c>
      <c r="AI5" s="51" t="str">
        <f>IF(ISTEXT(VLOOKUP(CONCATENATE($A5,"_",AI$3),'Unit List'!$A$14:$H$2841,2,FALSE)),"X",$AG5)</f>
        <v/>
      </c>
      <c r="AJ5" s="53" t="str">
        <f>IF(ISTEXT(VLOOKUP(CONCATENATE($A5,"_",AJ$3),'Unit List'!$A$14:$H$2841,2,FALSE)),"X",$AG5)</f>
        <v/>
      </c>
      <c r="AK5" s="172" t="str">
        <f>IF(ISTEXT(VLOOKUP(CONCATENATE($A5,"_",AK$3),'Unit List'!$A$14:$H$2841,2,FALSE)),"+","")</f>
        <v/>
      </c>
      <c r="AL5" s="63" t="str">
        <f>IF(ISTEXT(VLOOKUP(CONCATENATE($A5,"_",AL$3),'Unit List'!$A$14:$H$2841,2,FALSE)),"X",$AK5)</f>
        <v/>
      </c>
      <c r="AM5" s="53" t="str">
        <f>IF(ISTEXT(VLOOKUP(CONCATENATE($A5,"_",AM$3),'Unit List'!$A$14:$H$2841,2,FALSE)),"X",$AK5)</f>
        <v/>
      </c>
      <c r="AN5" s="125" t="str">
        <f>IF(ISTEXT(VLOOKUP(CONCATENATE($A5,"_",AN$3),'Unit List'!$A$14:$H$2841,2,FALSE)),"+","")</f>
        <v/>
      </c>
      <c r="AO5" s="53" t="str">
        <f>IF(ISTEXT(VLOOKUP(CONCATENATE($A5,"_",AO$3),'Unit List'!$A$14:$H$2841,2,FALSE)),"X",$AN5)</f>
        <v/>
      </c>
      <c r="AP5" s="172" t="str">
        <f>IF(ISTEXT(VLOOKUP(CONCATENATE($A5,"_",AP$3),'Unit List'!$A$14:$H$2841,2,FALSE)),"+","")</f>
        <v/>
      </c>
      <c r="AQ5" s="60" t="str">
        <f>IF(ISTEXT(VLOOKUP(CONCATENATE($A5,"_",AQ$3),'Unit List'!$A$14:$H$2841,2,FALSE)),"X",$AP5)</f>
        <v/>
      </c>
      <c r="AR5" s="60" t="str">
        <f>IF(ISTEXT(VLOOKUP(CONCATENATE($A5,"_",AR$3),'Unit List'!$A$14:$H$2841,2,FALSE)),"X",$AP5)</f>
        <v/>
      </c>
      <c r="AS5" s="51" t="str">
        <f>IF(ISTEXT(VLOOKUP(CONCATENATE($A5,"_",AS$3),'Unit List'!$A$14:$H$2841,2,FALSE)),"X",$AP5)</f>
        <v/>
      </c>
      <c r="AT5" s="53" t="str">
        <f>IF(ISTEXT(VLOOKUP(CONCATENATE($A5,"_",AT$3),'Unit List'!$A$14:$H$2841,2,FALSE)),"X",$AP5)</f>
        <v/>
      </c>
      <c r="AU5" s="124" t="str">
        <f>IF(ISTEXT(VLOOKUP(CONCATENATE($A5,"_",AU$3),'Unit List'!$A$14:$H$2841,2,FALSE)),"+","")</f>
        <v/>
      </c>
      <c r="AV5" s="51" t="str">
        <f>IF(ISTEXT(VLOOKUP(CONCATENATE($A5,"_",AV$3),'Unit List'!$A$14:$H$2841,2,FALSE)),"X",$AU5)</f>
        <v/>
      </c>
      <c r="AW5" s="53" t="str">
        <f>IF(ISTEXT(VLOOKUP(CONCATENATE($A5,"_",AW$3),'Unit List'!$A$14:$H$2841,2,FALSE)),"X",$AU5)</f>
        <v/>
      </c>
      <c r="AX5" s="172" t="str">
        <f>IF(ISTEXT(VLOOKUP(CONCATENATE($A5,"_",AX$3),'Unit List'!$A$14:$H$2841,2,FALSE)),"+","")</f>
        <v/>
      </c>
      <c r="AY5" s="51" t="str">
        <f>IF(ISTEXT(VLOOKUP(CONCATENATE($A5,"_",AY$3),'Unit List'!$A$14:$H$2841,2,FALSE)),"X",$AX5)</f>
        <v/>
      </c>
      <c r="AZ5" s="53" t="str">
        <f>IF(ISTEXT(VLOOKUP(CONCATENATE($A5,"_",AZ$3),'Unit List'!$A$14:$H$2841,2,FALSE)),"X",$AX5)</f>
        <v/>
      </c>
      <c r="BA5" s="182" t="str">
        <f>IF(ISTEXT(VLOOKUP(CONCATENATE($A5,"_",BA$3),'Unit List'!$A$14:$H$2841,2,FALSE)),"+","")</f>
        <v/>
      </c>
      <c r="BB5" s="51" t="str">
        <f>IF(ISTEXT(VLOOKUP(CONCATENATE($A5,"_",BB$3),'Unit List'!$A$14:$H$2841,2,FALSE)),"X",$BA5)</f>
        <v/>
      </c>
      <c r="BC5" s="51" t="str">
        <f>IF(ISTEXT(VLOOKUP(CONCATENATE($A5,"_",BC$3),'Unit List'!$A$14:$H$2841,2,FALSE)),"X",$BA5)</f>
        <v/>
      </c>
      <c r="BD5" s="53" t="str">
        <f>IF(ISTEXT(VLOOKUP(CONCATENATE($A5,"_",BD$3),'Unit List'!$A$14:$H$2841,2,FALSE)),"X",$BA5)</f>
        <v/>
      </c>
      <c r="BE5" s="125" t="str">
        <f>IF(ISTEXT(VLOOKUP(CONCATENATE($A5,"_",BE$3),'Unit List'!$A$14:$H$2841,2,FALSE)),"+","")</f>
        <v/>
      </c>
      <c r="BF5" s="62" t="str">
        <f>IF(ISTEXT(VLOOKUP(CONCATENATE($A5,"_",BF$3),'Unit List'!$A$14:$H$2841,2,FALSE)),"X",$BE5)</f>
        <v/>
      </c>
      <c r="BG5" s="64"/>
      <c r="BH5" s="65" t="s">
        <v>0</v>
      </c>
      <c r="BI5" s="203"/>
      <c r="BJ5" s="204"/>
      <c r="BK5" s="204"/>
      <c r="BL5" s="201" t="s">
        <v>1748</v>
      </c>
      <c r="BM5" s="202"/>
      <c r="BN5" s="54"/>
      <c r="BO5" s="54"/>
      <c r="BP5" s="54"/>
      <c r="BQ5" s="54"/>
      <c r="BR5" s="54"/>
      <c r="BS5" s="54"/>
      <c r="DZ5" s="55"/>
      <c r="EA5" s="55"/>
    </row>
    <row r="6" spans="1:131" ht="12.75" customHeight="1" x14ac:dyDescent="0.2">
      <c r="A6" s="56" t="s">
        <v>44</v>
      </c>
      <c r="B6" s="181" t="str">
        <f>IF(ISTEXT(VLOOKUP(CONCATENATE($A6,"_",B$3),'Unit List'!$A$14:$H$2841,2,FALSE)),"+","")</f>
        <v/>
      </c>
      <c r="C6" s="66" t="str">
        <f>IF(ISTEXT(VLOOKUP(CONCATENATE($A6,"_",C$3),'Unit List'!$A$14:$H$2841,2,FALSE)),"X",$B6)</f>
        <v/>
      </c>
      <c r="D6" s="67" t="str">
        <f>IF(ISTEXT(VLOOKUP(CONCATENATE($A6,"_",D$3),'Unit List'!$A$14:$H$2841,2,FALSE)),"X",$B6)</f>
        <v>X</v>
      </c>
      <c r="E6" s="51" t="str">
        <f>IF(ISTEXT(VLOOKUP(CONCATENATE($A6,"_",E$3),'Unit List'!$A$14:$H$2841,2,FALSE)),"X",$B6)</f>
        <v/>
      </c>
      <c r="F6" s="67" t="str">
        <f>IF(ISTEXT(VLOOKUP(CONCATENATE($A6,"_",F$3),'Unit List'!$A$14:$H$2841,2,FALSE)),"X",$B6)</f>
        <v>X</v>
      </c>
      <c r="G6" s="67" t="str">
        <f>IF(ISTEXT(VLOOKUP(CONCATENATE($A6,"_",G$3),'Unit List'!$A$14:$H$2841,2,FALSE)),"X",$B6)</f>
        <v>X</v>
      </c>
      <c r="H6" s="67" t="str">
        <f>IF(ISTEXT(VLOOKUP(CONCATENATE($A6,"_",H$3),'Unit List'!$A$14:$H$2841,2,FALSE)),"X",$B6)</f>
        <v>X</v>
      </c>
      <c r="I6" s="61" t="str">
        <f>IF(ISTEXT(VLOOKUP(CONCATENATE($A6,"_",I$3),'Unit List'!$A$14:$H$2841,2,FALSE)),"X",$B6)</f>
        <v/>
      </c>
      <c r="J6" s="172" t="str">
        <f>IF(ISTEXT(VLOOKUP(CONCATENATE($A6,"_",J$3),'Unit List'!$A$14:$H$2841,2,FALSE)),"+","")</f>
        <v>+</v>
      </c>
      <c r="K6" s="67" t="str">
        <f>IF(ISTEXT(VLOOKUP(CONCATENATE($A6,"_",K$3),'Unit List'!$A$14:$H$2841,2,FALSE)),"X",$J6)</f>
        <v>+</v>
      </c>
      <c r="L6" s="68" t="str">
        <f>IF(ISTEXT(VLOOKUP(CONCATENATE($A6,"_",L$3),'Unit List'!$A$14:$H$2841,2,FALSE)),"X",$J6)</f>
        <v>+</v>
      </c>
      <c r="M6" s="172" t="str">
        <f>IF(ISTEXT(VLOOKUP(CONCATENATE($A6,"_",M$3),'Unit List'!$A$14:$H$2841,2,FALSE)),"+","")</f>
        <v>+</v>
      </c>
      <c r="N6" s="69" t="str">
        <f>IF(ISTEXT(VLOOKUP(CONCATENATE($A6,"_",N$3),'Unit List'!$A$14:$H$2841,2,FALSE)),"X",$M6)</f>
        <v>+</v>
      </c>
      <c r="O6" s="70" t="str">
        <f>IF(ISTEXT(VLOOKUP(CONCATENATE($A6,"_",O$3),'Unit List'!$A$14:$H$2841,2,FALSE)),"X",$M6)</f>
        <v>+</v>
      </c>
      <c r="P6" s="171" t="str">
        <f>IF(ISTEXT(VLOOKUP(CONCATENATE($A6,"_",P$3),'Unit List'!$A$14:$H$2841,2,FALSE)),"+","")</f>
        <v>+</v>
      </c>
      <c r="Q6" s="69" t="str">
        <f>IF(ISTEXT(VLOOKUP(CONCATENATE($A6,"_",Q$3),'Unit List'!$A$14:$H$2841,2,FALSE)),"X",$P6)</f>
        <v>+</v>
      </c>
      <c r="R6" s="69" t="str">
        <f>IF(ISTEXT(VLOOKUP(CONCATENATE($A6,"_",R$3),'Unit List'!$A$14:$H$2841,2,FALSE)),"X",$P6)</f>
        <v>+</v>
      </c>
      <c r="S6" s="67" t="str">
        <f>IF(ISTEXT(VLOOKUP(CONCATENATE($A6,"_",S$3),'Unit List'!$A$14:$H$2841,2,FALSE)),"X",$P6)</f>
        <v>X</v>
      </c>
      <c r="T6" s="183" t="str">
        <f>IF(ISTEXT(VLOOKUP(CONCATENATE($A6,"_",T$3),'Unit List'!$A$14:$H$2841,2,FALSE)),"X",$P6)</f>
        <v>+</v>
      </c>
      <c r="U6" s="67" t="str">
        <f>IF(ISTEXT(VLOOKUP(CONCATENATE($A6,"_",U$3),'Unit List'!$A$14:$H$2841,2,FALSE)),"X",$P6)</f>
        <v>X</v>
      </c>
      <c r="V6" s="67" t="str">
        <f>IF(ISTEXT(VLOOKUP(CONCATENATE($A6,"_",V$3),'Unit List'!$A$14:$H$2841,2,FALSE)),"X",$P6)</f>
        <v>X</v>
      </c>
      <c r="W6" s="71" t="str">
        <f>IF(ISTEXT(VLOOKUP(CONCATENATE($A6,"_",W$3),'Unit List'!$A$14:$H$2841,2,FALSE)),"X",$P6)</f>
        <v>+</v>
      </c>
      <c r="X6" s="171" t="str">
        <f>IF(ISTEXT(VLOOKUP(CONCATENATE($A6,"_",X$3),'Unit List'!$A$14:$H$2841,2,FALSE)),"+","")</f>
        <v>+</v>
      </c>
      <c r="Y6" s="67" t="str">
        <f>IF(ISTEXT(VLOOKUP(CONCATENATE($A6,"_",Y$3),'Unit List'!$A$14:$H$2841,2,FALSE)),"X",$X6)</f>
        <v>X</v>
      </c>
      <c r="Z6" s="69" t="str">
        <f>IF(ISTEXT(VLOOKUP(CONCATENATE($A6,"_",Z$3),'Unit List'!$A$14:$H$2841,2,FALSE)),"X",$X6)</f>
        <v>+</v>
      </c>
      <c r="AA6" s="72" t="s">
        <v>0</v>
      </c>
      <c r="AB6" s="67" t="str">
        <f>IF(ISTEXT(VLOOKUP(CONCATENATE($A6,"_",AB$3),'Unit List'!$A$14:$H$2841,2,FALSE)),"X",$X6)</f>
        <v>X</v>
      </c>
      <c r="AC6" s="68" t="str">
        <f>IF(ISTEXT(VLOOKUP(CONCATENATE($A6,"_",AC$3),'Unit List'!$A$14:$H$2841,2,FALSE)),"X",$X6)</f>
        <v>X</v>
      </c>
      <c r="AD6" s="171" t="str">
        <f>IF(ISTEXT(VLOOKUP(CONCATENATE($A6,"_",AD$3),'Unit List'!$A$14:$H$2841,2,FALSE)),"+","")</f>
        <v/>
      </c>
      <c r="AE6" s="51" t="str">
        <f>IF(ISTEXT(VLOOKUP(CONCATENATE($A6,"_",AE$3),'Unit List'!$A$14:$H$2841,2,FALSE)),"X",$AD6)</f>
        <v/>
      </c>
      <c r="AF6" s="51" t="str">
        <f>IF(ISTEXT(VLOOKUP(CONCATENATE($A6,"_",AF$3),'Unit List'!$A$14:$H$2841,2,FALSE)),"X",$AD6)</f>
        <v/>
      </c>
      <c r="AG6" s="171" t="str">
        <f>IF(ISTEXT(VLOOKUP(CONCATENATE($A6,"_",AG$3),'Unit List'!$A$14:$H$2841,2,FALSE)),"+","")</f>
        <v>+</v>
      </c>
      <c r="AH6" s="67" t="str">
        <f>IF(ISTEXT(VLOOKUP(CONCATENATE($A6,"_",AH$3),'Unit List'!$A$14:$H$2841,2,FALSE)),"X",$AG6)</f>
        <v>X</v>
      </c>
      <c r="AI6" s="69" t="str">
        <f>IF(ISTEXT(VLOOKUP(CONCATENATE($A6,"_",AI$3),'Unit List'!$A$14:$H$2841,2,FALSE)),"X",$AG6)</f>
        <v>X</v>
      </c>
      <c r="AJ6" s="73" t="str">
        <f>IF(ISTEXT(VLOOKUP(CONCATENATE($A6,"_",AJ$3),'Unit List'!$A$14:$H$2841,2,FALSE)),"X",$AG6)</f>
        <v>+</v>
      </c>
      <c r="AK6" s="171" t="str">
        <f>IF(ISTEXT(VLOOKUP(CONCATENATE($A6,"_",AK$3),'Unit List'!$A$14:$H$2841,2,FALSE)),"+","")</f>
        <v>+</v>
      </c>
      <c r="AL6" s="183" t="str">
        <f>IF(ISTEXT(VLOOKUP(CONCATENATE($A6,"_",AL$3),'Unit List'!$A$14:$H$2841,2,FALSE)),"X",$AK6)</f>
        <v>+</v>
      </c>
      <c r="AM6" s="73" t="str">
        <f>IF(ISTEXT(VLOOKUP(CONCATENATE($A6,"_",AM$3),'Unit List'!$A$14:$H$2841,2,FALSE)),"X",$AK6)</f>
        <v>+</v>
      </c>
      <c r="AN6" s="125" t="str">
        <f>IF(ISTEXT(VLOOKUP(CONCATENATE($A6,"_",AN$3),'Unit List'!$A$14:$H$2841,2,FALSE)),"+","")</f>
        <v>+</v>
      </c>
      <c r="AO6" s="70" t="str">
        <f>IF(ISTEXT(VLOOKUP(CONCATENATE($A6,"_",AO$3),'Unit List'!$A$14:$H$2841,2,FALSE)),"X",$AN6)</f>
        <v>X</v>
      </c>
      <c r="AP6" s="171" t="str">
        <f>IF(ISTEXT(VLOOKUP(CONCATENATE($A6,"_",AP$3),'Unit List'!$A$14:$H$2841,2,FALSE)),"+","")</f>
        <v>+</v>
      </c>
      <c r="AQ6" s="67" t="str">
        <f>IF(ISTEXT(VLOOKUP(CONCATENATE($A6,"_",AQ$3),'Unit List'!$A$14:$H$2841,2,FALSE)),"X",$AP6)</f>
        <v>X</v>
      </c>
      <c r="AR6" s="67" t="str">
        <f>IF(ISTEXT(VLOOKUP(CONCATENATE($A6,"_",AR$3),'Unit List'!$A$14:$H$2841,2,FALSE)),"X",$AP6)</f>
        <v>X</v>
      </c>
      <c r="AS6" s="67" t="str">
        <f>IF(ISTEXT(VLOOKUP(CONCATENATE($A6,"_",AS$3),'Unit List'!$A$14:$H$2841,2,FALSE)),"X",$AP6)</f>
        <v>X</v>
      </c>
      <c r="AT6" s="73" t="str">
        <f>IF(ISTEXT(VLOOKUP(CONCATENATE($A6,"_",AT$3),'Unit List'!$A$14:$H$2841,2,FALSE)),"X",$AP6)</f>
        <v>X</v>
      </c>
      <c r="AU6" s="177" t="str">
        <f>IF(ISTEXT(VLOOKUP(CONCATENATE($A6,"_",AU$3),'Unit List'!$A$14:$H$2841,2,FALSE)),"+","")</f>
        <v>+</v>
      </c>
      <c r="AV6" s="69" t="str">
        <f>IF(ISTEXT(VLOOKUP(CONCATENATE($A6,"_",AV$3),'Unit List'!$A$14:$H$2841,2,FALSE)),"X",$AU6)</f>
        <v>+</v>
      </c>
      <c r="AW6" s="71" t="str">
        <f>IF(ISTEXT(VLOOKUP(CONCATENATE($A6,"_",AW$3),'Unit List'!$A$14:$H$2841,2,FALSE)),"X",$AU6)</f>
        <v>+</v>
      </c>
      <c r="AX6" s="171" t="str">
        <f>IF(ISTEXT(VLOOKUP(CONCATENATE($A6,"_",AX$3),'Unit List'!$A$14:$H$2841,2,FALSE)),"+","")</f>
        <v>+</v>
      </c>
      <c r="AY6" s="67" t="str">
        <f>IF(ISTEXT(VLOOKUP(CONCATENATE($A6,"_",AY$3),'Unit List'!$A$14:$H$2841,2,FALSE)),"X",$AX6)</f>
        <v>+</v>
      </c>
      <c r="AZ6" s="70" t="str">
        <f>IF(ISTEXT(VLOOKUP(CONCATENATE($A6,"_",AZ$3),'Unit List'!$A$14:$H$2841,2,FALSE)),"X",$AX6)</f>
        <v>+</v>
      </c>
      <c r="BA6" s="174" t="str">
        <f>IF(ISTEXT(VLOOKUP(CONCATENATE($A6,"_",BA$3),'Unit List'!$A$14:$H$2841,2,FALSE)),"+","")</f>
        <v>+</v>
      </c>
      <c r="BB6" s="67" t="str">
        <f>IF(ISTEXT(VLOOKUP(CONCATENATE($A6,"_",BB$3),'Unit List'!$A$14:$H$2841,2,FALSE)),"X",$BA6)</f>
        <v>X</v>
      </c>
      <c r="BC6" s="72" t="s">
        <v>0</v>
      </c>
      <c r="BD6" s="74" t="s">
        <v>0</v>
      </c>
      <c r="BE6" s="125" t="str">
        <f>IF(ISTEXT(VLOOKUP(CONCATENATE($A6,"_",BE$3),'Unit List'!$A$14:$H$2841,2,FALSE)),"+","")</f>
        <v>+</v>
      </c>
      <c r="BF6" s="184" t="str">
        <f>IF(ISTEXT(VLOOKUP(CONCATENATE($A6,"_",BF$3),'Unit List'!$A$14:$H$2841,2,FALSE)),"X",$BE6)</f>
        <v>+</v>
      </c>
      <c r="BG6" s="75"/>
      <c r="BH6" s="76" t="s">
        <v>0</v>
      </c>
      <c r="BI6" s="203" t="s">
        <v>12</v>
      </c>
      <c r="BJ6" s="206"/>
      <c r="BK6" s="206"/>
      <c r="BL6" s="77"/>
      <c r="BM6" s="78" t="s">
        <v>45</v>
      </c>
      <c r="BN6" s="54"/>
      <c r="BO6" s="54"/>
      <c r="BP6" s="54"/>
      <c r="BQ6" s="54"/>
      <c r="BR6" s="54"/>
      <c r="BS6" s="54"/>
      <c r="DZ6" s="55"/>
      <c r="EA6" s="55"/>
    </row>
    <row r="7" spans="1:131" ht="12.75" customHeight="1" x14ac:dyDescent="0.2">
      <c r="A7" s="56" t="s">
        <v>43</v>
      </c>
      <c r="B7" s="181" t="str">
        <f>IF(ISTEXT(VLOOKUP(CONCATENATE($A7,"_",B$3),'Unit List'!$A$14:$H$2841,2,FALSE)),"+","")</f>
        <v/>
      </c>
      <c r="C7" s="57" t="str">
        <f>IF(ISTEXT(VLOOKUP(CONCATENATE($A7,"_",C$3),'Unit List'!$A$14:$H$2841,2,FALSE)),"X",$B7)</f>
        <v/>
      </c>
      <c r="D7" s="51" t="str">
        <f>IF(ISTEXT(VLOOKUP(CONCATENATE($A7,"_",D$3),'Unit List'!$A$14:$H$2841,2,FALSE)),"X",$B7)</f>
        <v/>
      </c>
      <c r="E7" s="51" t="str">
        <f>IF(ISTEXT(VLOOKUP(CONCATENATE($A7,"_",E$3),'Unit List'!$A$14:$H$2841,2,FALSE)),"X",$B7)</f>
        <v/>
      </c>
      <c r="F7" s="51" t="str">
        <f>IF(ISTEXT(VLOOKUP(CONCATENATE($A7,"_",F$3),'Unit List'!$A$14:$H$2841,2,FALSE)),"X",$B7)</f>
        <v/>
      </c>
      <c r="G7" s="51" t="str">
        <f>IF(ISTEXT(VLOOKUP(CONCATENATE($A7,"_",G$3),'Unit List'!$A$14:$H$2841,2,FALSE)),"X",$B7)</f>
        <v>X</v>
      </c>
      <c r="H7" s="51" t="str">
        <f>IF(ISTEXT(VLOOKUP(CONCATENATE($A7,"_",H$3),'Unit List'!$A$14:$H$2841,2,FALSE)),"X",$B7)</f>
        <v/>
      </c>
      <c r="I7" s="53" t="str">
        <f>IF(ISTEXT(VLOOKUP(CONCATENATE($A7,"_",I$3),'Unit List'!$A$14:$H$2841,2,FALSE)),"X",$B7)</f>
        <v/>
      </c>
      <c r="J7" s="172" t="str">
        <f>IF(ISTEXT(VLOOKUP(CONCATENATE($A7,"_",J$3),'Unit List'!$A$14:$H$2841,2,FALSE)),"+","")</f>
        <v/>
      </c>
      <c r="K7" s="51" t="str">
        <f>IF(ISTEXT(VLOOKUP(CONCATENATE($A7,"_",K$3),'Unit List'!$A$14:$H$2841,2,FALSE)),"X",$J7)</f>
        <v/>
      </c>
      <c r="L7" s="62" t="str">
        <f>IF(ISTEXT(VLOOKUP(CONCATENATE($A7,"_",L$3),'Unit List'!$A$14:$H$2841,2,FALSE)),"X",$J7)</f>
        <v/>
      </c>
      <c r="M7" s="172" t="str">
        <f>IF(ISTEXT(VLOOKUP(CONCATENATE($A7,"_",M$3),'Unit List'!$A$14:$H$2841,2,FALSE)),"+","")</f>
        <v>+</v>
      </c>
      <c r="N7" s="51" t="str">
        <f>IF(ISTEXT(VLOOKUP(CONCATENATE($A7,"_",N$3),'Unit List'!$A$14:$H$2841,2,FALSE)),"X",$M7)</f>
        <v>+</v>
      </c>
      <c r="O7" s="70" t="str">
        <f>IF(ISTEXT(VLOOKUP(CONCATENATE($A7,"_",O$3),'Unit List'!$A$14:$H$2841,2,FALSE)),"X",$M7)</f>
        <v>+</v>
      </c>
      <c r="P7" s="171" t="str">
        <f>IF(ISTEXT(VLOOKUP(CONCATENATE($A7,"_",P$3),'Unit List'!$A$14:$H$2841,2,FALSE)),"+","")</f>
        <v/>
      </c>
      <c r="Q7" s="51" t="str">
        <f>IF(ISTEXT(VLOOKUP(CONCATENATE($A7,"_",Q$3),'Unit List'!$A$14:$H$2841,2,FALSE)),"X",$P7)</f>
        <v/>
      </c>
      <c r="R7" s="51" t="str">
        <f>IF(ISTEXT(VLOOKUP(CONCATENATE($A7,"_",R$3),'Unit List'!$A$14:$H$2841,2,FALSE)),"X",$P7)</f>
        <v/>
      </c>
      <c r="S7" s="51" t="str">
        <f>IF(ISTEXT(VLOOKUP(CONCATENATE($A7,"_",S$3),'Unit List'!$A$14:$H$2841,2,FALSE)),"X",$P7)</f>
        <v/>
      </c>
      <c r="T7" s="52" t="str">
        <f>IF(ISTEXT(VLOOKUP(CONCATENATE($A7,"_",T$3),'Unit List'!$A$14:$H$2841,2,FALSE)),"X",$P7)</f>
        <v/>
      </c>
      <c r="U7" s="51" t="str">
        <f>IF(ISTEXT(VLOOKUP(CONCATENATE($A7,"_",U$3),'Unit List'!$A$14:$H$2841,2,FALSE)),"X",$P7)</f>
        <v/>
      </c>
      <c r="V7" s="51" t="str">
        <f>IF(ISTEXT(VLOOKUP(CONCATENATE($A7,"_",V$3),'Unit List'!$A$14:$H$2841,2,FALSE)),"X",$P7)</f>
        <v/>
      </c>
      <c r="W7" s="53" t="str">
        <f>IF(ISTEXT(VLOOKUP(CONCATENATE($A7,"_",W$3),'Unit List'!$A$14:$H$2841,2,FALSE)),"X",$P7)</f>
        <v/>
      </c>
      <c r="X7" s="172" t="str">
        <f>IF(ISTEXT(VLOOKUP(CONCATENATE($A7,"_",X$3),'Unit List'!$A$14:$H$2841,2,FALSE)),"+","")</f>
        <v/>
      </c>
      <c r="Y7" s="51" t="str">
        <f>IF(ISTEXT(VLOOKUP(CONCATENATE($A7,"_",Y$3),'Unit List'!$A$14:$H$2841,2,FALSE)),"X",$X7)</f>
        <v/>
      </c>
      <c r="Z7" s="51" t="str">
        <f>IF(ISTEXT(VLOOKUP(CONCATENATE($A7,"_",Z$3),'Unit List'!$A$14:$H$2841,2,FALSE)),"X",$X7)</f>
        <v/>
      </c>
      <c r="AA7" s="51" t="str">
        <f>IF(ISTEXT(VLOOKUP(CONCATENATE($A7,"_",AA$3),'Unit List'!$A$14:$H$2841,2,FALSE)),"X",$X7)</f>
        <v/>
      </c>
      <c r="AB7" s="51" t="str">
        <f>IF(ISTEXT(VLOOKUP(CONCATENATE($A7,"_",AB$3),'Unit List'!$A$14:$H$2841,2,FALSE)),"X",$X7)</f>
        <v/>
      </c>
      <c r="AC7" s="62" t="str">
        <f>IF(ISTEXT(VLOOKUP(CONCATENATE($A7,"_",AC$3),'Unit List'!$A$14:$H$2841,2,FALSE)),"X",$X7)</f>
        <v/>
      </c>
      <c r="AD7" s="172" t="str">
        <f>IF(ISTEXT(VLOOKUP(CONCATENATE($A7,"_",AD$3),'Unit List'!$A$14:$H$2841,2,FALSE)),"+","")</f>
        <v/>
      </c>
      <c r="AE7" s="51" t="str">
        <f>IF(ISTEXT(VLOOKUP(CONCATENATE($A7,"_",AE$3),'Unit List'!$A$14:$H$2841,2,FALSE)),"X",$AD7)</f>
        <v/>
      </c>
      <c r="AF7" s="51" t="str">
        <f>IF(ISTEXT(VLOOKUP(CONCATENATE($A7,"_",AF$3),'Unit List'!$A$14:$H$2841,2,FALSE)),"X",$AD7)</f>
        <v/>
      </c>
      <c r="AG7" s="172" t="str">
        <f>IF(ISTEXT(VLOOKUP(CONCATENATE($A7,"_",AG$3),'Unit List'!$A$14:$H$2841,2,FALSE)),"+","")</f>
        <v/>
      </c>
      <c r="AH7" s="51" t="str">
        <f>IF(ISTEXT(VLOOKUP(CONCATENATE($A7,"_",AH$3),'Unit List'!$A$14:$H$2841,2,FALSE)),"X",$AG7)</f>
        <v/>
      </c>
      <c r="AI7" s="51" t="str">
        <f>IF(ISTEXT(VLOOKUP(CONCATENATE($A7,"_",AI$3),'Unit List'!$A$14:$H$2841,2,FALSE)),"X",$AG7)</f>
        <v/>
      </c>
      <c r="AJ7" s="53" t="str">
        <f>IF(ISTEXT(VLOOKUP(CONCATENATE($A7,"_",AJ$3),'Unit List'!$A$14:$H$2841,2,FALSE)),"X",$AG7)</f>
        <v/>
      </c>
      <c r="AK7" s="172" t="str">
        <f>IF(ISTEXT(VLOOKUP(CONCATENATE($A7,"_",AK$3),'Unit List'!$A$14:$H$2841,2,FALSE)),"+","")</f>
        <v/>
      </c>
      <c r="AL7" s="52" t="str">
        <f>IF(ISTEXT(VLOOKUP(CONCATENATE($A7,"_",AL$3),'Unit List'!$A$14:$H$2841,2,FALSE)),"X",$AK7)</f>
        <v/>
      </c>
      <c r="AM7" s="53" t="str">
        <f>IF(ISTEXT(VLOOKUP(CONCATENATE($A7,"_",AM$3),'Unit List'!$A$14:$H$2841,2,FALSE)),"X",$AK7)</f>
        <v/>
      </c>
      <c r="AN7" s="125" t="str">
        <f>IF(ISTEXT(VLOOKUP(CONCATENATE($A7,"_",AN$3),'Unit List'!$A$14:$H$2841,2,FALSE)),"+","")</f>
        <v/>
      </c>
      <c r="AO7" s="53" t="str">
        <f>IF(ISTEXT(VLOOKUP(CONCATENATE($A7,"_",AO$3),'Unit List'!$A$14:$H$2841,2,FALSE)),"X",$AN7)</f>
        <v/>
      </c>
      <c r="AP7" s="172" t="str">
        <f>IF(ISTEXT(VLOOKUP(CONCATENATE($A7,"_",AP$3),'Unit List'!$A$14:$H$2841,2,FALSE)),"+","")</f>
        <v/>
      </c>
      <c r="AQ7" s="51" t="str">
        <f>IF(ISTEXT(VLOOKUP(CONCATENATE($A7,"_",AQ$3),'Unit List'!$A$14:$H$2841,2,FALSE)),"X",$AP7)</f>
        <v/>
      </c>
      <c r="AR7" s="51" t="str">
        <f>IF(ISTEXT(VLOOKUP(CONCATENATE($A7,"_",AR$3),'Unit List'!$A$14:$H$2841,2,FALSE)),"X",$AP7)</f>
        <v/>
      </c>
      <c r="AS7" s="51" t="str">
        <f>IF(ISTEXT(VLOOKUP(CONCATENATE($A7,"_",AS$3),'Unit List'!$A$14:$H$2841,2,FALSE)),"X",$AP7)</f>
        <v/>
      </c>
      <c r="AT7" s="53" t="str">
        <f>IF(ISTEXT(VLOOKUP(CONCATENATE($A7,"_",AT$3),'Unit List'!$A$14:$H$2841,2,FALSE)),"X",$AP7)</f>
        <v/>
      </c>
      <c r="AU7" s="124" t="str">
        <f>IF(ISTEXT(VLOOKUP(CONCATENATE($A7,"_",AU$3),'Unit List'!$A$14:$H$2841,2,FALSE)),"+","")</f>
        <v/>
      </c>
      <c r="AV7" s="51" t="str">
        <f>IF(ISTEXT(VLOOKUP(CONCATENATE($A7,"_",AV$3),'Unit List'!$A$14:$H$2841,2,FALSE)),"X",$AU7)</f>
        <v/>
      </c>
      <c r="AW7" s="53" t="str">
        <f>IF(ISTEXT(VLOOKUP(CONCATENATE($A7,"_",AW$3),'Unit List'!$A$14:$H$2841,2,FALSE)),"X",$AU7)</f>
        <v/>
      </c>
      <c r="AX7" s="172" t="str">
        <f>IF(ISTEXT(VLOOKUP(CONCATENATE($A7,"_",AX$3),'Unit List'!$A$14:$H$2841,2,FALSE)),"+","")</f>
        <v/>
      </c>
      <c r="AY7" s="51" t="str">
        <f>IF(ISTEXT(VLOOKUP(CONCATENATE($A7,"_",AY$3),'Unit List'!$A$14:$H$2841,2,FALSE)),"X",$AX7)</f>
        <v/>
      </c>
      <c r="AZ7" s="53" t="str">
        <f>IF(ISTEXT(VLOOKUP(CONCATENATE($A7,"_",AZ$3),'Unit List'!$A$14:$H$2841,2,FALSE)),"X",$AX7)</f>
        <v/>
      </c>
      <c r="BA7" s="182" t="str">
        <f>IF(ISTEXT(VLOOKUP(CONCATENATE($A7,"_",BA$3),'Unit List'!$A$14:$H$2841,2,FALSE)),"+","")</f>
        <v/>
      </c>
      <c r="BB7" s="51" t="str">
        <f>IF(ISTEXT(VLOOKUP(CONCATENATE($A7,"_",BB$3),'Unit List'!$A$14:$H$2841,2,FALSE)),"X",$BA7)</f>
        <v/>
      </c>
      <c r="BC7" s="51" t="str">
        <f>IF(ISTEXT(VLOOKUP(CONCATENATE($A7,"_",BC$3),'Unit List'!$A$14:$H$2841,2,FALSE)),"X",$BA7)</f>
        <v/>
      </c>
      <c r="BD7" s="53" t="str">
        <f>IF(ISTEXT(VLOOKUP(CONCATENATE($A7,"_",BD$3),'Unit List'!$A$14:$H$2841,2,FALSE)),"X",$BA7)</f>
        <v/>
      </c>
      <c r="BE7" s="125" t="str">
        <f>IF(ISTEXT(VLOOKUP(CONCATENATE($A7,"_",BE$3),'Unit List'!$A$14:$H$2841,2,FALSE)),"+","")</f>
        <v/>
      </c>
      <c r="BF7" s="62" t="str">
        <f>IF(ISTEXT(VLOOKUP(CONCATENATE($A7,"_",BF$3),'Unit List'!$A$14:$H$2841,2,FALSE)),"X",$BE7)</f>
        <v/>
      </c>
      <c r="BG7" s="64"/>
      <c r="BH7" s="65" t="s">
        <v>0</v>
      </c>
      <c r="BI7" s="203"/>
      <c r="BJ7" s="204"/>
      <c r="BK7" s="204"/>
      <c r="BL7" s="79"/>
      <c r="BM7" s="78" t="s">
        <v>1746</v>
      </c>
      <c r="BN7" s="54"/>
      <c r="BO7" s="54"/>
      <c r="BP7" s="54"/>
      <c r="BQ7" s="54"/>
      <c r="BR7" s="54"/>
      <c r="BS7" s="54"/>
      <c r="DZ7" s="55"/>
      <c r="EA7" s="55"/>
    </row>
    <row r="8" spans="1:131" ht="12.75" customHeight="1" x14ac:dyDescent="0.2">
      <c r="A8" s="56" t="s">
        <v>1105</v>
      </c>
      <c r="B8" s="181" t="str">
        <f>IF(ISTEXT(VLOOKUP(CONCATENATE($A8,"_",B$3),'Unit List'!$A$14:$H$2841,2,FALSE)),"+","")</f>
        <v/>
      </c>
      <c r="C8" s="57" t="str">
        <f>IF(ISTEXT(VLOOKUP(CONCATENATE($A8,"_",C$3),'Unit List'!$A$14:$H$2841,2,FALSE)),"X",$B8)</f>
        <v/>
      </c>
      <c r="D8" s="51" t="str">
        <f>IF(ISTEXT(VLOOKUP(CONCATENATE($A8,"_",D$3),'Unit List'!$A$14:$H$2841,2,FALSE)),"X",$B8)</f>
        <v/>
      </c>
      <c r="E8" s="51" t="str">
        <f>IF(ISTEXT(VLOOKUP(CONCATENATE($A8,"_",E$3),'Unit List'!$A$14:$H$2841,2,FALSE)),"X",$B8)</f>
        <v/>
      </c>
      <c r="F8" s="51" t="str">
        <f>IF(ISTEXT(VLOOKUP(CONCATENATE($A8,"_",F$3),'Unit List'!$A$14:$H$2841,2,FALSE)),"X",$B8)</f>
        <v/>
      </c>
      <c r="G8" s="51" t="str">
        <f>IF(ISTEXT(VLOOKUP(CONCATENATE($A8,"_",G$3),'Unit List'!$A$14:$H$2841,2,FALSE)),"X",$B8)</f>
        <v/>
      </c>
      <c r="H8" s="51" t="str">
        <f>IF(ISTEXT(VLOOKUP(CONCATENATE($A8,"_",H$3),'Unit List'!$A$14:$H$2841,2,FALSE)),"X",$B8)</f>
        <v/>
      </c>
      <c r="I8" s="53" t="str">
        <f>IF(ISTEXT(VLOOKUP(CONCATENATE($A8,"_",I$3),'Unit List'!$A$14:$H$2841,2,FALSE)),"X",$B8)</f>
        <v/>
      </c>
      <c r="J8" s="172" t="str">
        <f>IF(ISTEXT(VLOOKUP(CONCATENATE($A8,"_",J$3),'Unit List'!$A$14:$H$2841,2,FALSE)),"+","")</f>
        <v/>
      </c>
      <c r="K8" s="51" t="str">
        <f>IF(ISTEXT(VLOOKUP(CONCATENATE($A8,"_",K$3),'Unit List'!$A$14:$H$2841,2,FALSE)),"X",$J8)</f>
        <v/>
      </c>
      <c r="L8" s="62" t="str">
        <f>IF(ISTEXT(VLOOKUP(CONCATENATE($A8,"_",L$3),'Unit List'!$A$14:$H$2841,2,FALSE)),"X",$J8)</f>
        <v/>
      </c>
      <c r="M8" s="172" t="str">
        <f>IF(ISTEXT(VLOOKUP(CONCATENATE($A8,"_",M$3),'Unit List'!$A$14:$H$2841,2,FALSE)),"+","")</f>
        <v/>
      </c>
      <c r="N8" s="51" t="str">
        <f>IF(ISTEXT(VLOOKUP(CONCATENATE($A8,"_",N$3),'Unit List'!$A$14:$H$2841,2,FALSE)),"X",$M8)</f>
        <v/>
      </c>
      <c r="O8" s="53" t="str">
        <f>IF(ISTEXT(VLOOKUP(CONCATENATE($A8,"_",O$3),'Unit List'!$A$14:$H$2841,2,FALSE)),"X",$M8)</f>
        <v/>
      </c>
      <c r="P8" s="172" t="str">
        <f>IF(ISTEXT(VLOOKUP(CONCATENATE($A8,"_",P$3),'Unit List'!$A$14:$H$2841,2,FALSE)),"+","")</f>
        <v/>
      </c>
      <c r="Q8" s="51" t="str">
        <f>IF(ISTEXT(VLOOKUP(CONCATENATE($A8,"_",Q$3),'Unit List'!$A$14:$H$2841,2,FALSE)),"X",$P8)</f>
        <v/>
      </c>
      <c r="R8" s="51" t="str">
        <f>IF(ISTEXT(VLOOKUP(CONCATENATE($A8,"_",R$3),'Unit List'!$A$14:$H$2841,2,FALSE)),"X",$P8)</f>
        <v/>
      </c>
      <c r="S8" s="51" t="str">
        <f>IF(ISTEXT(VLOOKUP(CONCATENATE($A8,"_",S$3),'Unit List'!$A$14:$H$2841,2,FALSE)),"X",$P8)</f>
        <v/>
      </c>
      <c r="T8" s="52" t="str">
        <f>IF(ISTEXT(VLOOKUP(CONCATENATE($A8,"_",T$3),'Unit List'!$A$14:$H$2841,2,FALSE)),"X",$P8)</f>
        <v/>
      </c>
      <c r="U8" s="51" t="str">
        <f>IF(ISTEXT(VLOOKUP(CONCATENATE($A8,"_",U$3),'Unit List'!$A$14:$H$2841,2,FALSE)),"X",$P8)</f>
        <v/>
      </c>
      <c r="V8" s="51" t="str">
        <f>IF(ISTEXT(VLOOKUP(CONCATENATE($A8,"_",V$3),'Unit List'!$A$14:$H$2841,2,FALSE)),"X",$P8)</f>
        <v/>
      </c>
      <c r="W8" s="53" t="str">
        <f>IF(ISTEXT(VLOOKUP(CONCATENATE($A8,"_",W$3),'Unit List'!$A$14:$H$2841,2,FALSE)),"X",$P8)</f>
        <v/>
      </c>
      <c r="X8" s="172" t="str">
        <f>IF(ISTEXT(VLOOKUP(CONCATENATE($A8,"_",X$3),'Unit List'!$A$14:$H$2841,2,FALSE)),"+","")</f>
        <v/>
      </c>
      <c r="Y8" s="51" t="str">
        <f>IF(ISTEXT(VLOOKUP(CONCATENATE($A8,"_",Y$3),'Unit List'!$A$14:$H$2841,2,FALSE)),"X",$X8)</f>
        <v/>
      </c>
      <c r="Z8" s="51" t="str">
        <f>IF(ISTEXT(VLOOKUP(CONCATENATE($A8,"_",Z$3),'Unit List'!$A$14:$H$2841,2,FALSE)),"X",$X8)</f>
        <v/>
      </c>
      <c r="AA8" s="51" t="str">
        <f>IF(ISTEXT(VLOOKUP(CONCATENATE($A8,"_",AA$3),'Unit List'!$A$14:$H$2841,2,FALSE)),"X",$X8)</f>
        <v/>
      </c>
      <c r="AB8" s="51" t="str">
        <f>IF(ISTEXT(VLOOKUP(CONCATENATE($A8,"_",AB$3),'Unit List'!$A$14:$H$2841,2,FALSE)),"X",$X8)</f>
        <v/>
      </c>
      <c r="AC8" s="62" t="str">
        <f>IF(ISTEXT(VLOOKUP(CONCATENATE($A8,"_",AC$3),'Unit List'!$A$14:$H$2841,2,FALSE)),"X",$X8)</f>
        <v/>
      </c>
      <c r="AD8" s="172" t="str">
        <f>IF(ISTEXT(VLOOKUP(CONCATENATE($A8,"_",AD$3),'Unit List'!$A$14:$H$2841,2,FALSE)),"+","")</f>
        <v/>
      </c>
      <c r="AE8" s="51" t="str">
        <f>IF(ISTEXT(VLOOKUP(CONCATENATE($A8,"_",AE$3),'Unit List'!$A$14:$H$2841,2,FALSE)),"X",$AD8)</f>
        <v/>
      </c>
      <c r="AF8" s="51" t="str">
        <f>IF(ISTEXT(VLOOKUP(CONCATENATE($A8,"_",AF$3),'Unit List'!$A$14:$H$2841,2,FALSE)),"X",$AD8)</f>
        <v/>
      </c>
      <c r="AG8" s="172" t="str">
        <f>IF(ISTEXT(VLOOKUP(CONCATENATE($A8,"_",AG$3),'Unit List'!$A$14:$H$2841,2,FALSE)),"+","")</f>
        <v/>
      </c>
      <c r="AH8" s="51" t="str">
        <f>IF(ISTEXT(VLOOKUP(CONCATENATE($A8,"_",AH$3),'Unit List'!$A$14:$H$2841,2,FALSE)),"X",$AG8)</f>
        <v/>
      </c>
      <c r="AI8" s="51" t="str">
        <f>IF(ISTEXT(VLOOKUP(CONCATENATE($A8,"_",AI$3),'Unit List'!$A$14:$H$2841,2,FALSE)),"X",$AG8)</f>
        <v/>
      </c>
      <c r="AJ8" s="53" t="str">
        <f>IF(ISTEXT(VLOOKUP(CONCATENATE($A8,"_",AJ$3),'Unit List'!$A$14:$H$2841,2,FALSE)),"X",$AG8)</f>
        <v/>
      </c>
      <c r="AK8" s="172" t="str">
        <f>IF(ISTEXT(VLOOKUP(CONCATENATE($A8,"_",AK$3),'Unit List'!$A$14:$H$2841,2,FALSE)),"+","")</f>
        <v/>
      </c>
      <c r="AL8" s="52" t="str">
        <f>IF(ISTEXT(VLOOKUP(CONCATENATE($A8,"_",AL$3),'Unit List'!$A$14:$H$2841,2,FALSE)),"X",$AK8)</f>
        <v/>
      </c>
      <c r="AM8" s="53" t="str">
        <f>IF(ISTEXT(VLOOKUP(CONCATENATE($A8,"_",AM$3),'Unit List'!$A$14:$H$2841,2,FALSE)),"X",$AK8)</f>
        <v/>
      </c>
      <c r="AN8" s="125" t="str">
        <f>IF(ISTEXT(VLOOKUP(CONCATENATE($A8,"_",AN$3),'Unit List'!$A$14:$H$2841,2,FALSE)),"+","")</f>
        <v/>
      </c>
      <c r="AO8" s="53" t="str">
        <f>IF(ISTEXT(VLOOKUP(CONCATENATE($A8,"_",AO$3),'Unit List'!$A$14:$H$2841,2,FALSE)),"X",$AN8)</f>
        <v/>
      </c>
      <c r="AP8" s="172" t="str">
        <f>IF(ISTEXT(VLOOKUP(CONCATENATE($A8,"_",AP$3),'Unit List'!$A$14:$H$2841,2,FALSE)),"+","")</f>
        <v/>
      </c>
      <c r="AQ8" s="51" t="str">
        <f>IF(ISTEXT(VLOOKUP(CONCATENATE($A8,"_",AQ$3),'Unit List'!$A$14:$H$2841,2,FALSE)),"X",$AP8)</f>
        <v/>
      </c>
      <c r="AR8" s="51" t="str">
        <f>IF(ISTEXT(VLOOKUP(CONCATENATE($A8,"_",AR$3),'Unit List'!$A$14:$H$2841,2,FALSE)),"X",$AP8)</f>
        <v/>
      </c>
      <c r="AS8" s="51" t="str">
        <f>IF(ISTEXT(VLOOKUP(CONCATENATE($A8,"_",AS$3),'Unit List'!$A$14:$H$2841,2,FALSE)),"X",$AP8)</f>
        <v/>
      </c>
      <c r="AT8" s="53" t="str">
        <f>IF(ISTEXT(VLOOKUP(CONCATENATE($A8,"_",AT$3),'Unit List'!$A$14:$H$2841,2,FALSE)),"X",$AP8)</f>
        <v/>
      </c>
      <c r="AU8" s="124" t="str">
        <f>IF(ISTEXT(VLOOKUP(CONCATENATE($A8,"_",AU$3),'Unit List'!$A$14:$H$2841,2,FALSE)),"+","")</f>
        <v/>
      </c>
      <c r="AV8" s="51" t="str">
        <f>IF(ISTEXT(VLOOKUP(CONCATENATE($A8,"_",AV$3),'Unit List'!$A$14:$H$2841,2,FALSE)),"X",$AU8)</f>
        <v/>
      </c>
      <c r="AW8" s="53" t="str">
        <f>IF(ISTEXT(VLOOKUP(CONCATENATE($A8,"_",AW$3),'Unit List'!$A$14:$H$2841,2,FALSE)),"X",$AU8)</f>
        <v/>
      </c>
      <c r="AX8" s="172" t="str">
        <f>IF(ISTEXT(VLOOKUP(CONCATENATE($A8,"_",AX$3),'Unit List'!$A$14:$H$2841,2,FALSE)),"+","")</f>
        <v/>
      </c>
      <c r="AY8" s="51" t="str">
        <f>IF(ISTEXT(VLOOKUP(CONCATENATE($A8,"_",AY$3),'Unit List'!$A$14:$H$2841,2,FALSE)),"X",$AX8)</f>
        <v/>
      </c>
      <c r="AZ8" s="53" t="str">
        <f>IF(ISTEXT(VLOOKUP(CONCATENATE($A8,"_",AZ$3),'Unit List'!$A$14:$H$2841,2,FALSE)),"X",$AX8)</f>
        <v/>
      </c>
      <c r="BA8" s="182" t="str">
        <f>IF(ISTEXT(VLOOKUP(CONCATENATE($A8,"_",BA$3),'Unit List'!$A$14:$H$2841,2,FALSE)),"+","")</f>
        <v/>
      </c>
      <c r="BB8" s="51" t="str">
        <f>IF(ISTEXT(VLOOKUP(CONCATENATE($A8,"_",BB$3),'Unit List'!$A$14:$H$2841,2,FALSE)),"X",$BA8)</f>
        <v/>
      </c>
      <c r="BC8" s="51" t="str">
        <f>IF(ISTEXT(VLOOKUP(CONCATENATE($A8,"_",BC$3),'Unit List'!$A$14:$H$2841,2,FALSE)),"X",$BA8)</f>
        <v/>
      </c>
      <c r="BD8" s="53" t="str">
        <f>IF(ISTEXT(VLOOKUP(CONCATENATE($A8,"_",BD$3),'Unit List'!$A$14:$H$2841,2,FALSE)),"X",$BA8)</f>
        <v/>
      </c>
      <c r="BE8" s="125" t="str">
        <f>IF(ISTEXT(VLOOKUP(CONCATENATE($A8,"_",BE$3),'Unit List'!$A$14:$H$2841,2,FALSE)),"+","")</f>
        <v/>
      </c>
      <c r="BF8" s="62" t="str">
        <f>IF(ISTEXT(VLOOKUP(CONCATENATE($A8,"_",BF$3),'Unit List'!$A$14:$H$2841,2,FALSE)),"X",$BE8)</f>
        <v/>
      </c>
      <c r="BG8" s="64" t="s">
        <v>0</v>
      </c>
      <c r="BH8" s="65" t="s">
        <v>0</v>
      </c>
      <c r="BI8" s="199"/>
      <c r="BJ8" s="200"/>
      <c r="BK8" s="200"/>
      <c r="BL8" s="80"/>
      <c r="BM8" s="81" t="s">
        <v>42</v>
      </c>
      <c r="BN8" s="54"/>
      <c r="BO8" s="54"/>
      <c r="BP8" s="54"/>
      <c r="BQ8" s="54"/>
      <c r="BR8" s="54"/>
      <c r="BS8" s="54"/>
      <c r="DZ8" s="55"/>
      <c r="EA8" s="55"/>
    </row>
    <row r="9" spans="1:131" ht="12.75" customHeight="1" x14ac:dyDescent="0.2">
      <c r="A9" s="56" t="s">
        <v>41</v>
      </c>
      <c r="B9" s="181" t="str">
        <f>IF(ISTEXT(VLOOKUP(CONCATENATE($A9,"_",B$3),'Unit List'!$A$14:$H$2841,2,FALSE)),"+","")</f>
        <v/>
      </c>
      <c r="C9" s="82" t="str">
        <f>IF(ISTEXT(VLOOKUP(CONCATENATE($A9,"_",C$3),'Unit List'!$A$14:$H$2841,2,FALSE)),"X",$B9)</f>
        <v>X</v>
      </c>
      <c r="D9" s="51" t="str">
        <f>IF(ISTEXT(VLOOKUP(CONCATENATE($A9,"_",D$3),'Unit List'!$A$14:$H$2841,2,FALSE)),"X",$B9)</f>
        <v/>
      </c>
      <c r="E9" s="51" t="str">
        <f>IF(ISTEXT(VLOOKUP(CONCATENATE($A9,"_",E$3),'Unit List'!$A$14:$H$2841,2,FALSE)),"X",$B9)</f>
        <v>X</v>
      </c>
      <c r="F9" s="67" t="str">
        <f>IF(ISTEXT(VLOOKUP(CONCATENATE($A9,"_",F$3),'Unit List'!$A$14:$H$2841,2,FALSE)),"X",$B9)</f>
        <v>X</v>
      </c>
      <c r="G9" s="67" t="str">
        <f>IF(ISTEXT(VLOOKUP(CONCATENATE($A9,"_",G$3),'Unit List'!$A$14:$H$2841,2,FALSE)),"X",$B9)</f>
        <v>X</v>
      </c>
      <c r="H9" s="67" t="str">
        <f>IF(ISTEXT(VLOOKUP(CONCATENATE($A9,"_",H$3),'Unit List'!$A$14:$H$2841,2,FALSE)),"X",$B9)</f>
        <v>X</v>
      </c>
      <c r="I9" s="53" t="str">
        <f>IF(ISTEXT(VLOOKUP(CONCATENATE($A9,"_",I$3),'Unit List'!$A$14:$H$2841,2,FALSE)),"X",$B9)</f>
        <v/>
      </c>
      <c r="J9" s="172" t="str">
        <f>IF(ISTEXT(VLOOKUP(CONCATENATE($A9,"_",J$3),'Unit List'!$A$14:$H$2841,2,FALSE)),"+","")</f>
        <v/>
      </c>
      <c r="K9" s="51" t="str">
        <f>IF(ISTEXT(VLOOKUP(CONCATENATE($A9,"_",K$3),'Unit List'!$A$14:$H$2841,2,FALSE)),"X",$J9)</f>
        <v/>
      </c>
      <c r="L9" s="62" t="str">
        <f>IF(ISTEXT(VLOOKUP(CONCATENATE($A9,"_",L$3),'Unit List'!$A$14:$H$2841,2,FALSE)),"X",$J9)</f>
        <v/>
      </c>
      <c r="M9" s="172" t="str">
        <f>IF(ISTEXT(VLOOKUP(CONCATENATE($A9,"_",M$3),'Unit List'!$A$14:$H$2841,2,FALSE)),"+","")</f>
        <v>+</v>
      </c>
      <c r="N9" s="60" t="str">
        <f>IF(ISTEXT(VLOOKUP(CONCATENATE($A9,"_",N$3),'Unit List'!$A$14:$H$2841,2,FALSE)),"X",$M9)</f>
        <v>+</v>
      </c>
      <c r="O9" s="70" t="str">
        <f>IF(ISTEXT(VLOOKUP(CONCATENATE($A9,"_",O$3),'Unit List'!$A$14:$H$2841,2,FALSE)),"X",$M9)</f>
        <v>X</v>
      </c>
      <c r="P9" s="172" t="str">
        <f>IF(ISTEXT(VLOOKUP(CONCATENATE($A9,"_",P$3),'Unit List'!$A$14:$H$2841,2,FALSE)),"+","")</f>
        <v/>
      </c>
      <c r="Q9" s="51" t="str">
        <f>IF(ISTEXT(VLOOKUP(CONCATENATE($A9,"_",Q$3),'Unit List'!$A$14:$H$2841,2,FALSE)),"X",$P9)</f>
        <v/>
      </c>
      <c r="R9" s="51" t="str">
        <f>IF(ISTEXT(VLOOKUP(CONCATENATE($A9,"_",R$3),'Unit List'!$A$14:$H$2841,2,FALSE)),"X",$P9)</f>
        <v/>
      </c>
      <c r="S9" s="51" t="str">
        <f>IF(ISTEXT(VLOOKUP(CONCATENATE($A9,"_",S$3),'Unit List'!$A$14:$H$2841,2,FALSE)),"X",$P9)</f>
        <v/>
      </c>
      <c r="T9" s="52" t="str">
        <f>IF(ISTEXT(VLOOKUP(CONCATENATE($A9,"_",T$3),'Unit List'!$A$14:$H$2841,2,FALSE)),"X",$P9)</f>
        <v/>
      </c>
      <c r="U9" s="67" t="str">
        <f>IF(ISTEXT(VLOOKUP(CONCATENATE($A9,"_",U$3),'Unit List'!$A$14:$H$2841,2,FALSE)),"X",$P9)</f>
        <v>X</v>
      </c>
      <c r="V9" s="51" t="str">
        <f>IF(ISTEXT(VLOOKUP(CONCATENATE($A9,"_",V$3),'Unit List'!$A$14:$H$2841,2,FALSE)),"X",$P9)</f>
        <v/>
      </c>
      <c r="W9" s="53" t="str">
        <f>IF(ISTEXT(VLOOKUP(CONCATENATE($A9,"_",W$3),'Unit List'!$A$14:$H$2841,2,FALSE)),"X",$P9)</f>
        <v/>
      </c>
      <c r="X9" s="172" t="str">
        <f>IF(ISTEXT(VLOOKUP(CONCATENATE($A9,"_",X$3),'Unit List'!$A$14:$H$2841,2,FALSE)),"+","")</f>
        <v/>
      </c>
      <c r="Y9" s="51" t="str">
        <f>IF(ISTEXT(VLOOKUP(CONCATENATE($A9,"_",Y$3),'Unit List'!$A$14:$H$2841,2,FALSE)),"X",$X9)</f>
        <v/>
      </c>
      <c r="Z9" s="51" t="str">
        <f>IF(ISTEXT(VLOOKUP(CONCATENATE($A9,"_",Z$3),'Unit List'!$A$14:$H$2841,2,FALSE)),"X",$X9)</f>
        <v/>
      </c>
      <c r="AA9" s="51" t="str">
        <f>IF(ISTEXT(VLOOKUP(CONCATENATE($A9,"_",AA$3),'Unit List'!$A$14:$H$2841,2,FALSE)),"X",$X9)</f>
        <v/>
      </c>
      <c r="AB9" s="51" t="str">
        <f>IF(ISTEXT(VLOOKUP(CONCATENATE($A9,"_",AB$3),'Unit List'!$A$14:$H$2841,2,FALSE)),"X",$X9)</f>
        <v/>
      </c>
      <c r="AC9" s="62" t="str">
        <f>IF(ISTEXT(VLOOKUP(CONCATENATE($A9,"_",AC$3),'Unit List'!$A$14:$H$2841,2,FALSE)),"X",$X9)</f>
        <v/>
      </c>
      <c r="AD9" s="172" t="str">
        <f>IF(ISTEXT(VLOOKUP(CONCATENATE($A9,"_",AD$3),'Unit List'!$A$14:$H$2841,2,FALSE)),"+","")</f>
        <v/>
      </c>
      <c r="AE9" s="51" t="str">
        <f>IF(ISTEXT(VLOOKUP(CONCATENATE($A9,"_",AE$3),'Unit List'!$A$14:$H$2841,2,FALSE)),"X",$AD9)</f>
        <v/>
      </c>
      <c r="AF9" s="51" t="str">
        <f>IF(ISTEXT(VLOOKUP(CONCATENATE($A9,"_",AF$3),'Unit List'!$A$14:$H$2841,2,FALSE)),"X",$AD9)</f>
        <v/>
      </c>
      <c r="AG9" s="172" t="str">
        <f>IF(ISTEXT(VLOOKUP(CONCATENATE($A9,"_",AG$3),'Unit List'!$A$14:$H$2841,2,FALSE)),"+","")</f>
        <v/>
      </c>
      <c r="AH9" s="51" t="str">
        <f>IF(ISTEXT(VLOOKUP(CONCATENATE($A9,"_",AH$3),'Unit List'!$A$14:$H$2841,2,FALSE)),"X",$AG9)</f>
        <v/>
      </c>
      <c r="AI9" s="51" t="str">
        <f>IF(ISTEXT(VLOOKUP(CONCATENATE($A9,"_",AI$3),'Unit List'!$A$14:$H$2841,2,FALSE)),"X",$AG9)</f>
        <v/>
      </c>
      <c r="AJ9" s="53" t="str">
        <f>IF(ISTEXT(VLOOKUP(CONCATENATE($A9,"_",AJ$3),'Unit List'!$A$14:$H$2841,2,FALSE)),"X",$AG9)</f>
        <v/>
      </c>
      <c r="AK9" s="172" t="str">
        <f>IF(ISTEXT(VLOOKUP(CONCATENATE($A9,"_",AK$3),'Unit List'!$A$14:$H$2841,2,FALSE)),"+","")</f>
        <v/>
      </c>
      <c r="AL9" s="52" t="str">
        <f>IF(ISTEXT(VLOOKUP(CONCATENATE($A9,"_",AL$3),'Unit List'!$A$14:$H$2841,2,FALSE)),"X",$AK9)</f>
        <v/>
      </c>
      <c r="AM9" s="53" t="str">
        <f>IF(ISTEXT(VLOOKUP(CONCATENATE($A9,"_",AM$3),'Unit List'!$A$14:$H$2841,2,FALSE)),"X",$AK9)</f>
        <v/>
      </c>
      <c r="AN9" s="125" t="str">
        <f>IF(ISTEXT(VLOOKUP(CONCATENATE($A9,"_",AN$3),'Unit List'!$A$14:$H$2841,2,FALSE)),"+","")</f>
        <v/>
      </c>
      <c r="AO9" s="53" t="str">
        <f>IF(ISTEXT(VLOOKUP(CONCATENATE($A9,"_",AO$3),'Unit List'!$A$14:$H$2841,2,FALSE)),"X",$AN9)</f>
        <v/>
      </c>
      <c r="AP9" s="172" t="str">
        <f>IF(ISTEXT(VLOOKUP(CONCATENATE($A9,"_",AP$3),'Unit List'!$A$14:$H$2841,2,FALSE)),"+","")</f>
        <v>+</v>
      </c>
      <c r="AQ9" s="51" t="str">
        <f>IF(ISTEXT(VLOOKUP(CONCATENATE($A9,"_",AQ$3),'Unit List'!$A$14:$H$2841,2,FALSE)),"X",$AP9)</f>
        <v>+</v>
      </c>
      <c r="AR9" s="67" t="str">
        <f>IF(ISTEXT(VLOOKUP(CONCATENATE($A9,"_",AR$3),'Unit List'!$A$14:$H$2841,2,FALSE)),"X",$AP9)</f>
        <v>X</v>
      </c>
      <c r="AS9" s="51" t="str">
        <f>IF(ISTEXT(VLOOKUP(CONCATENATE($A9,"_",AS$3),'Unit List'!$A$14:$H$2841,2,FALSE)),"X",$AP9)</f>
        <v>+</v>
      </c>
      <c r="AT9" s="53" t="str">
        <f>IF(ISTEXT(VLOOKUP(CONCATENATE($A9,"_",AT$3),'Unit List'!$A$14:$H$2841,2,FALSE)),"X",$AP9)</f>
        <v>+</v>
      </c>
      <c r="AU9" s="124" t="str">
        <f>IF(ISTEXT(VLOOKUP(CONCATENATE($A9,"_",AU$3),'Unit List'!$A$14:$H$2841,2,FALSE)),"+","")</f>
        <v/>
      </c>
      <c r="AV9" s="51" t="str">
        <f>IF(ISTEXT(VLOOKUP(CONCATENATE($A9,"_",AV$3),'Unit List'!$A$14:$H$2841,2,FALSE)),"X",$AU9)</f>
        <v/>
      </c>
      <c r="AW9" s="53" t="str">
        <f>IF(ISTEXT(VLOOKUP(CONCATENATE($A9,"_",AW$3),'Unit List'!$A$14:$H$2841,2,FALSE)),"X",$AU9)</f>
        <v/>
      </c>
      <c r="AX9" s="172" t="str">
        <f>IF(ISTEXT(VLOOKUP(CONCATENATE($A9,"_",AX$3),'Unit List'!$A$14:$H$2841,2,FALSE)),"+","")</f>
        <v>+</v>
      </c>
      <c r="AY9" s="51" t="str">
        <f>IF(ISTEXT(VLOOKUP(CONCATENATE($A9,"_",AY$3),'Unit List'!$A$14:$H$2841,2,FALSE)),"X",$AX9)</f>
        <v>+</v>
      </c>
      <c r="AZ9" s="53" t="str">
        <f>IF(ISTEXT(VLOOKUP(CONCATENATE($A9,"_",AZ$3),'Unit List'!$A$14:$H$2841,2,FALSE)),"X",$AX9)</f>
        <v>+</v>
      </c>
      <c r="BA9" s="182" t="str">
        <f>IF(ISTEXT(VLOOKUP(CONCATENATE($A9,"_",BA$3),'Unit List'!$A$14:$H$2841,2,FALSE)),"+","")</f>
        <v/>
      </c>
      <c r="BB9" s="51" t="str">
        <f>IF(ISTEXT(VLOOKUP(CONCATENATE($A9,"_",BB$3),'Unit List'!$A$14:$H$2841,2,FALSE)),"X",$BA9)</f>
        <v/>
      </c>
      <c r="BC9" s="51" t="str">
        <f>IF(ISTEXT(VLOOKUP(CONCATENATE($A9,"_",BC$3),'Unit List'!$A$14:$H$2841,2,FALSE)),"X",$BA9)</f>
        <v/>
      </c>
      <c r="BD9" s="53" t="str">
        <f>IF(ISTEXT(VLOOKUP(CONCATENATE($A9,"_",BD$3),'Unit List'!$A$14:$H$2841,2,FALSE)),"X",$BA9)</f>
        <v/>
      </c>
      <c r="BE9" s="125" t="str">
        <f>IF(ISTEXT(VLOOKUP(CONCATENATE($A9,"_",BE$3),'Unit List'!$A$14:$H$2841,2,FALSE)),"+","")</f>
        <v>+</v>
      </c>
      <c r="BF9" s="62" t="str">
        <f>IF(ISTEXT(VLOOKUP(CONCATENATE($A9,"_",BF$3),'Unit List'!$A$14:$H$2841,2,FALSE)),"X",$BE9)</f>
        <v>+</v>
      </c>
      <c r="BG9" s="64"/>
      <c r="BH9" s="65" t="s">
        <v>0</v>
      </c>
      <c r="BI9" s="203"/>
      <c r="BJ9" s="204"/>
      <c r="BK9" s="204"/>
      <c r="BL9" s="204"/>
      <c r="BM9" s="205"/>
      <c r="BN9" s="54"/>
      <c r="BO9" s="54"/>
      <c r="BP9" s="54"/>
      <c r="BQ9" s="54"/>
      <c r="BR9" s="54"/>
      <c r="BS9" s="54"/>
      <c r="DZ9" s="55"/>
      <c r="EA9" s="55"/>
    </row>
    <row r="10" spans="1:131" ht="12.75" customHeight="1" x14ac:dyDescent="0.2">
      <c r="A10" s="56" t="s">
        <v>1112</v>
      </c>
      <c r="B10" s="181" t="str">
        <f>IF(ISTEXT(VLOOKUP(CONCATENATE($A10,"_",B$3),'Unit List'!$A$14:$H$2841,2,FALSE)),"+","")</f>
        <v/>
      </c>
      <c r="C10" s="57" t="str">
        <f>IF(ISTEXT(VLOOKUP(CONCATENATE($A10,"_",C$3),'Unit List'!$A$14:$H$2841,2,FALSE)),"X",$B10)</f>
        <v/>
      </c>
      <c r="D10" s="51" t="str">
        <f>IF(ISTEXT(VLOOKUP(CONCATENATE($A10,"_",D$3),'Unit List'!$A$14:$H$2841,2,FALSE)),"X",$B10)</f>
        <v/>
      </c>
      <c r="E10" s="51" t="str">
        <f>IF(ISTEXT(VLOOKUP(CONCATENATE($A10,"_",E$3),'Unit List'!$A$14:$H$2841,2,FALSE)),"X",$B10)</f>
        <v/>
      </c>
      <c r="F10" s="51" t="str">
        <f>IF(ISTEXT(VLOOKUP(CONCATENATE($A10,"_",F$3),'Unit List'!$A$14:$H$2841,2,FALSE)),"X",$B10)</f>
        <v/>
      </c>
      <c r="G10" s="51" t="str">
        <f>IF(ISTEXT(VLOOKUP(CONCATENATE($A10,"_",G$3),'Unit List'!$A$14:$H$2841,2,FALSE)),"X",$B10)</f>
        <v/>
      </c>
      <c r="H10" s="51" t="str">
        <f>IF(ISTEXT(VLOOKUP(CONCATENATE($A10,"_",H$3),'Unit List'!$A$14:$H$2841,2,FALSE)),"X",$B10)</f>
        <v/>
      </c>
      <c r="I10" s="53" t="str">
        <f>IF(ISTEXT(VLOOKUP(CONCATENATE($A10,"_",I$3),'Unit List'!$A$14:$H$2841,2,FALSE)),"X",$B10)</f>
        <v/>
      </c>
      <c r="J10" s="172" t="str">
        <f>IF(ISTEXT(VLOOKUP(CONCATENATE($A10,"_",J$3),'Unit List'!$A$14:$H$2841,2,FALSE)),"+","")</f>
        <v/>
      </c>
      <c r="K10" s="51" t="str">
        <f>IF(ISTEXT(VLOOKUP(CONCATENATE($A10,"_",K$3),'Unit List'!$A$14:$H$2841,2,FALSE)),"X",$J10)</f>
        <v/>
      </c>
      <c r="L10" s="62" t="str">
        <f>IF(ISTEXT(VLOOKUP(CONCATENATE($A10,"_",L$3),'Unit List'!$A$14:$H$2841,2,FALSE)),"X",$J10)</f>
        <v/>
      </c>
      <c r="M10" s="172" t="str">
        <f>IF(ISTEXT(VLOOKUP(CONCATENATE($A10,"_",M$3),'Unit List'!$A$14:$H$2841,2,FALSE)),"+","")</f>
        <v/>
      </c>
      <c r="N10" s="51" t="str">
        <f>IF(ISTEXT(VLOOKUP(CONCATENATE($A10,"_",N$3),'Unit List'!$A$14:$H$2841,2,FALSE)),"X",$M10)</f>
        <v/>
      </c>
      <c r="O10" s="53" t="str">
        <f>IF(ISTEXT(VLOOKUP(CONCATENATE($A10,"_",O$3),'Unit List'!$A$14:$H$2841,2,FALSE)),"X",$M10)</f>
        <v/>
      </c>
      <c r="P10" s="172" t="str">
        <f>IF(ISTEXT(VLOOKUP(CONCATENATE($A10,"_",P$3),'Unit List'!$A$14:$H$2841,2,FALSE)),"+","")</f>
        <v/>
      </c>
      <c r="Q10" s="51" t="str">
        <f>IF(ISTEXT(VLOOKUP(CONCATENATE($A10,"_",Q$3),'Unit List'!$A$14:$H$2841,2,FALSE)),"X",$P10)</f>
        <v/>
      </c>
      <c r="R10" s="51" t="str">
        <f>IF(ISTEXT(VLOOKUP(CONCATENATE($A10,"_",R$3),'Unit List'!$A$14:$H$2841,2,FALSE)),"X",$P10)</f>
        <v/>
      </c>
      <c r="S10" s="51" t="str">
        <f>IF(ISTEXT(VLOOKUP(CONCATENATE($A10,"_",S$3),'Unit List'!$A$14:$H$2841,2,FALSE)),"X",$P10)</f>
        <v/>
      </c>
      <c r="T10" s="52" t="str">
        <f>IF(ISTEXT(VLOOKUP(CONCATENATE($A10,"_",T$3),'Unit List'!$A$14:$H$2841,2,FALSE)),"X",$P10)</f>
        <v/>
      </c>
      <c r="U10" s="51" t="str">
        <f>IF(ISTEXT(VLOOKUP(CONCATENATE($A10,"_",U$3),'Unit List'!$A$14:$H$2841,2,FALSE)),"X",$P10)</f>
        <v/>
      </c>
      <c r="V10" s="51" t="str">
        <f>IF(ISTEXT(VLOOKUP(CONCATENATE($A10,"_",V$3),'Unit List'!$A$14:$H$2841,2,FALSE)),"X",$P10)</f>
        <v/>
      </c>
      <c r="W10" s="53" t="str">
        <f>IF(ISTEXT(VLOOKUP(CONCATENATE($A10,"_",W$3),'Unit List'!$A$14:$H$2841,2,FALSE)),"X",$P10)</f>
        <v/>
      </c>
      <c r="X10" s="172" t="str">
        <f>IF(ISTEXT(VLOOKUP(CONCATENATE($A10,"_",X$3),'Unit List'!$A$14:$H$2841,2,FALSE)),"+","")</f>
        <v/>
      </c>
      <c r="Y10" s="51" t="str">
        <f>IF(ISTEXT(VLOOKUP(CONCATENATE($A10,"_",Y$3),'Unit List'!$A$14:$H$2841,2,FALSE)),"X",$X10)</f>
        <v/>
      </c>
      <c r="Z10" s="51" t="str">
        <f>IF(ISTEXT(VLOOKUP(CONCATENATE($A10,"_",Z$3),'Unit List'!$A$14:$H$2841,2,FALSE)),"X",$X10)</f>
        <v/>
      </c>
      <c r="AA10" s="51" t="str">
        <f>IF(ISTEXT(VLOOKUP(CONCATENATE($A10,"_",AA$3),'Unit List'!$A$14:$H$2841,2,FALSE)),"X",$X10)</f>
        <v/>
      </c>
      <c r="AB10" s="51" t="str">
        <f>IF(ISTEXT(VLOOKUP(CONCATENATE($A10,"_",AB$3),'Unit List'!$A$14:$H$2841,2,FALSE)),"X",$X10)</f>
        <v/>
      </c>
      <c r="AC10" s="62" t="str">
        <f>IF(ISTEXT(VLOOKUP(CONCATENATE($A10,"_",AC$3),'Unit List'!$A$14:$H$2841,2,FALSE)),"X",$X10)</f>
        <v/>
      </c>
      <c r="AD10" s="172" t="str">
        <f>IF(ISTEXT(VLOOKUP(CONCATENATE($A10,"_",AD$3),'Unit List'!$A$14:$H$2841,2,FALSE)),"+","")</f>
        <v/>
      </c>
      <c r="AE10" s="51" t="str">
        <f>IF(ISTEXT(VLOOKUP(CONCATENATE($A10,"_",AE$3),'Unit List'!$A$14:$H$2841,2,FALSE)),"X",$AD10)</f>
        <v/>
      </c>
      <c r="AF10" s="51" t="str">
        <f>IF(ISTEXT(VLOOKUP(CONCATENATE($A10,"_",AF$3),'Unit List'!$A$14:$H$2841,2,FALSE)),"X",$AD10)</f>
        <v/>
      </c>
      <c r="AG10" s="172" t="str">
        <f>IF(ISTEXT(VLOOKUP(CONCATENATE($A10,"_",AG$3),'Unit List'!$A$14:$H$2841,2,FALSE)),"+","")</f>
        <v/>
      </c>
      <c r="AH10" s="83" t="str">
        <f>IF(ISTEXT(VLOOKUP(CONCATENATE($A10,"_",AH$3),'Unit List'!$A$14:$H$2841,2,FALSE)),"X",$AG10)</f>
        <v/>
      </c>
      <c r="AI10" s="83" t="str">
        <f>IF(ISTEXT(VLOOKUP(CONCATENATE($A10,"_",AI$3),'Unit List'!$A$14:$H$2841,2,FALSE)),"X",$AG10)</f>
        <v/>
      </c>
      <c r="AJ10" s="53" t="str">
        <f>IF(ISTEXT(VLOOKUP(CONCATENATE($A10,"_",AJ$3),'Unit List'!$A$14:$H$2841,2,FALSE)),"X",$AG10)</f>
        <v/>
      </c>
      <c r="AK10" s="172" t="str">
        <f>IF(ISTEXT(VLOOKUP(CONCATENATE($A10,"_",AK$3),'Unit List'!$A$14:$H$2841,2,FALSE)),"+","")</f>
        <v/>
      </c>
      <c r="AL10" s="52" t="str">
        <f>IF(ISTEXT(VLOOKUP(CONCATENATE($A10,"_",AL$3),'Unit List'!$A$14:$H$2841,2,FALSE)),"X",$AK10)</f>
        <v/>
      </c>
      <c r="AM10" s="53" t="str">
        <f>IF(ISTEXT(VLOOKUP(CONCATENATE($A10,"_",AM$3),'Unit List'!$A$14:$H$2841,2,FALSE)),"X",$AK10)</f>
        <v/>
      </c>
      <c r="AN10" s="125" t="str">
        <f>IF(ISTEXT(VLOOKUP(CONCATENATE($A10,"_",AN$3),'Unit List'!$A$14:$H$2841,2,FALSE)),"+","")</f>
        <v/>
      </c>
      <c r="AO10" s="53" t="str">
        <f>IF(ISTEXT(VLOOKUP(CONCATENATE($A10,"_",AO$3),'Unit List'!$A$14:$H$2841,2,FALSE)),"X",$AN10)</f>
        <v/>
      </c>
      <c r="AP10" s="172" t="str">
        <f>IF(ISTEXT(VLOOKUP(CONCATENATE($A10,"_",AP$3),'Unit List'!$A$14:$H$2841,2,FALSE)),"+","")</f>
        <v/>
      </c>
      <c r="AQ10" s="51" t="str">
        <f>IF(ISTEXT(VLOOKUP(CONCATENATE($A10,"_",AQ$3),'Unit List'!$A$14:$H$2841,2,FALSE)),"X",$AP10)</f>
        <v/>
      </c>
      <c r="AR10" s="51" t="str">
        <f>IF(ISTEXT(VLOOKUP(CONCATENATE($A10,"_",AR$3),'Unit List'!$A$14:$H$2841,2,FALSE)),"X",$AP10)</f>
        <v/>
      </c>
      <c r="AS10" s="51" t="str">
        <f>IF(ISTEXT(VLOOKUP(CONCATENATE($A10,"_",AS$3),'Unit List'!$A$14:$H$2841,2,FALSE)),"X",$AP10)</f>
        <v/>
      </c>
      <c r="AT10" s="53" t="str">
        <f>IF(ISTEXT(VLOOKUP(CONCATENATE($A10,"_",AT$3),'Unit List'!$A$14:$H$2841,2,FALSE)),"X",$AP10)</f>
        <v/>
      </c>
      <c r="AU10" s="124" t="str">
        <f>IF(ISTEXT(VLOOKUP(CONCATENATE($A10,"_",AU$3),'Unit List'!$A$14:$H$2841,2,FALSE)),"+","")</f>
        <v/>
      </c>
      <c r="AV10" s="51" t="str">
        <f>IF(ISTEXT(VLOOKUP(CONCATENATE($A10,"_",AV$3),'Unit List'!$A$14:$H$2841,2,FALSE)),"X",$AU10)</f>
        <v/>
      </c>
      <c r="AW10" s="53" t="str">
        <f>IF(ISTEXT(VLOOKUP(CONCATENATE($A10,"_",AW$3),'Unit List'!$A$14:$H$2841,2,FALSE)),"X",$AU10)</f>
        <v/>
      </c>
      <c r="AX10" s="172" t="str">
        <f>IF(ISTEXT(VLOOKUP(CONCATENATE($A10,"_",AX$3),'Unit List'!$A$14:$H$2841,2,FALSE)),"+","")</f>
        <v/>
      </c>
      <c r="AY10" s="51" t="str">
        <f>IF(ISTEXT(VLOOKUP(CONCATENATE($A10,"_",AY$3),'Unit List'!$A$14:$H$2841,2,FALSE)),"X",$AX10)</f>
        <v/>
      </c>
      <c r="AZ10" s="53" t="str">
        <f>IF(ISTEXT(VLOOKUP(CONCATENATE($A10,"_",AZ$3),'Unit List'!$A$14:$H$2841,2,FALSE)),"X",$AX10)</f>
        <v/>
      </c>
      <c r="BA10" s="182" t="str">
        <f>IF(ISTEXT(VLOOKUP(CONCATENATE($A10,"_",BA$3),'Unit List'!$A$14:$H$2841,2,FALSE)),"+","")</f>
        <v/>
      </c>
      <c r="BB10" s="51" t="str">
        <f>IF(ISTEXT(VLOOKUP(CONCATENATE($A10,"_",BB$3),'Unit List'!$A$14:$H$2841,2,FALSE)),"X",$BA10)</f>
        <v/>
      </c>
      <c r="BC10" s="51" t="str">
        <f>IF(ISTEXT(VLOOKUP(CONCATENATE($A10,"_",BC$3),'Unit List'!$A$14:$H$2841,2,FALSE)),"X",$BA10)</f>
        <v/>
      </c>
      <c r="BD10" s="53" t="str">
        <f>IF(ISTEXT(VLOOKUP(CONCATENATE($A10,"_",BD$3),'Unit List'!$A$14:$H$2841,2,FALSE)),"X",$BA10)</f>
        <v/>
      </c>
      <c r="BE10" s="125" t="str">
        <f>IF(ISTEXT(VLOOKUP(CONCATENATE($A10,"_",BE$3),'Unit List'!$A$14:$H$2841,2,FALSE)),"+","")</f>
        <v/>
      </c>
      <c r="BF10" s="62" t="str">
        <f>IF(ISTEXT(VLOOKUP(CONCATENATE($A10,"_",BF$3),'Unit List'!$A$14:$H$2841,2,FALSE)),"X",$BE10)</f>
        <v/>
      </c>
      <c r="BG10" s="75"/>
      <c r="BH10" s="84"/>
      <c r="BI10" s="203"/>
      <c r="BJ10" s="204"/>
      <c r="BK10" s="204"/>
      <c r="BL10" s="204"/>
      <c r="BM10" s="205"/>
      <c r="BN10" s="54"/>
      <c r="BO10" s="54"/>
      <c r="BP10" s="54"/>
      <c r="BQ10" s="54"/>
      <c r="BR10" s="54"/>
      <c r="BS10" s="54"/>
      <c r="DZ10" s="55"/>
      <c r="EA10" s="55"/>
    </row>
    <row r="11" spans="1:131" ht="12.75" customHeight="1" x14ac:dyDescent="0.2">
      <c r="A11" s="56" t="s">
        <v>40</v>
      </c>
      <c r="B11" s="181" t="str">
        <f>IF(ISTEXT(VLOOKUP(CONCATENATE($A11,"_",B$3),'Unit List'!$A$14:$H$2841,2,FALSE)),"+","")</f>
        <v/>
      </c>
      <c r="C11" s="85" t="str">
        <f>IF(ISTEXT(VLOOKUP(CONCATENATE($A11,"_",C$3),'Unit List'!$A$14:$H$2841,2,FALSE)),"X",$B11)</f>
        <v>X</v>
      </c>
      <c r="D11" s="67" t="str">
        <f>IF(ISTEXT(VLOOKUP(CONCATENATE($A11,"_",D$3),'Unit List'!$A$14:$H$2841,2,FALSE)),"X",$B11)</f>
        <v>X</v>
      </c>
      <c r="E11" s="51" t="str">
        <f>IF(ISTEXT(VLOOKUP(CONCATENATE($A11,"_",E$3),'Unit List'!$A$14:$H$2841,2,FALSE)),"X",$B11)</f>
        <v>X</v>
      </c>
      <c r="F11" s="67" t="str">
        <f>IF(ISTEXT(VLOOKUP(CONCATENATE($A11,"_",F$3),'Unit List'!$A$14:$H$2841,2,FALSE)),"X",$B11)</f>
        <v>X</v>
      </c>
      <c r="G11" s="67" t="str">
        <f>IF(ISTEXT(VLOOKUP(CONCATENATE($A11,"_",G$3),'Unit List'!$A$14:$H$2841,2,FALSE)),"X",$B11)</f>
        <v>X</v>
      </c>
      <c r="H11" s="51" t="str">
        <f>IF(ISTEXT(VLOOKUP(CONCATENATE($A11,"_",H$3),'Unit List'!$A$14:$H$2841,2,FALSE)),"X",$B11)</f>
        <v>X</v>
      </c>
      <c r="I11" s="70" t="str">
        <f>IF(ISTEXT(VLOOKUP(CONCATENATE($A11,"_",I$3),'Unit List'!$A$14:$H$2841,2,FALSE)),"X",$B11)</f>
        <v>X</v>
      </c>
      <c r="J11" s="172" t="str">
        <f>IF(ISTEXT(VLOOKUP(CONCATENATE($A11,"_",J$3),'Unit List'!$A$14:$H$2841,2,FALSE)),"+","")</f>
        <v/>
      </c>
      <c r="K11" s="51" t="str">
        <f>IF(ISTEXT(VLOOKUP(CONCATENATE($A11,"_",K$3),'Unit List'!$A$14:$H$2841,2,FALSE)),"X",$J11)</f>
        <v/>
      </c>
      <c r="L11" s="86" t="str">
        <f>IF(ISTEXT(VLOOKUP(CONCATENATE($A11,"_",L$3),'Unit List'!$A$14:$H$2841,2,FALSE)),"X",$J11)</f>
        <v>X</v>
      </c>
      <c r="M11" s="172" t="str">
        <f>IF(ISTEXT(VLOOKUP(CONCATENATE($A11,"_",M$3),'Unit List'!$A$14:$H$2841,2,FALSE)),"+","")</f>
        <v>+</v>
      </c>
      <c r="N11" s="67" t="str">
        <f>IF(ISTEXT(VLOOKUP(CONCATENATE($A11,"_",N$3),'Unit List'!$A$14:$H$2841,2,FALSE)),"X",$M11)</f>
        <v>X</v>
      </c>
      <c r="O11" s="70" t="str">
        <f>IF(ISTEXT(VLOOKUP(CONCATENATE($A11,"_",O$3),'Unit List'!$A$14:$H$2841,2,FALSE)),"X",$M11)</f>
        <v>X</v>
      </c>
      <c r="P11" s="172" t="str">
        <f>IF(ISTEXT(VLOOKUP(CONCATENATE($A11,"_",P$3),'Unit List'!$A$14:$H$2841,2,FALSE)),"+","")</f>
        <v/>
      </c>
      <c r="Q11" s="51" t="str">
        <f>IF(ISTEXT(VLOOKUP(CONCATENATE($A11,"_",Q$3),'Unit List'!$A$14:$H$2841,2,FALSE)),"X",$P11)</f>
        <v/>
      </c>
      <c r="R11" s="51" t="str">
        <f>IF(ISTEXT(VLOOKUP(CONCATENATE($A11,"_",R$3),'Unit List'!$A$14:$H$2841,2,FALSE)),"X",$P11)</f>
        <v/>
      </c>
      <c r="S11" s="67" t="str">
        <f>IF(ISTEXT(VLOOKUP(CONCATENATE($A11,"_",S$3),'Unit List'!$A$14:$H$2841,2,FALSE)),"X",$P11)</f>
        <v>X</v>
      </c>
      <c r="T11" s="52" t="str">
        <f>IF(ISTEXT(VLOOKUP(CONCATENATE($A11,"_",T$3),'Unit List'!$A$14:$H$2841,2,FALSE)),"X",$P11)</f>
        <v/>
      </c>
      <c r="U11" s="67" t="str">
        <f>IF(ISTEXT(VLOOKUP(CONCATENATE($A11,"_",U$3),'Unit List'!$A$14:$H$2841,2,FALSE)),"X",$P11)</f>
        <v>X</v>
      </c>
      <c r="V11" s="67" t="str">
        <f>IF(ISTEXT(VLOOKUP(CONCATENATE($A11,"_",V$3),'Unit List'!$A$14:$H$2841,2,FALSE)),"X",$P11)</f>
        <v>X</v>
      </c>
      <c r="W11" s="53" t="str">
        <f>IF(ISTEXT(VLOOKUP(CONCATENATE($A11,"_",W$3),'Unit List'!$A$14:$H$2841,2,FALSE)),"X",$P11)</f>
        <v/>
      </c>
      <c r="X11" s="172" t="str">
        <f>IF(ISTEXT(VLOOKUP(CONCATENATE($A11,"_",X$3),'Unit List'!$A$14:$H$2841,2,FALSE)),"+","")</f>
        <v/>
      </c>
      <c r="Y11" s="51" t="str">
        <f>IF(ISTEXT(VLOOKUP(CONCATENATE($A11,"_",Y$3),'Unit List'!$A$14:$H$2841,2,FALSE)),"X",$X11)</f>
        <v/>
      </c>
      <c r="Z11" s="51" t="str">
        <f>IF(ISTEXT(VLOOKUP(CONCATENATE($A11,"_",Z$3),'Unit List'!$A$14:$H$2841,2,FALSE)),"X",$X11)</f>
        <v/>
      </c>
      <c r="AA11" s="51" t="str">
        <f>IF(ISTEXT(VLOOKUP(CONCATENATE($A11,"_",AA$3),'Unit List'!$A$14:$H$2841,2,FALSE)),"X",$X11)</f>
        <v/>
      </c>
      <c r="AB11" s="67" t="str">
        <f>IF(ISTEXT(VLOOKUP(CONCATENATE($A11,"_",AB$3),'Unit List'!$A$14:$H$2841,2,FALSE)),"X",$X11)</f>
        <v>X</v>
      </c>
      <c r="AC11" s="62" t="str">
        <f>IF(ISTEXT(VLOOKUP(CONCATENATE($A11,"_",AC$3),'Unit List'!$A$14:$H$2841,2,FALSE)),"X",$X11)</f>
        <v/>
      </c>
      <c r="AD11" s="172" t="str">
        <f>IF(ISTEXT(VLOOKUP(CONCATENATE($A11,"_",AD$3),'Unit List'!$A$14:$H$2841,2,FALSE)),"+","")</f>
        <v/>
      </c>
      <c r="AE11" s="51" t="str">
        <f>IF(ISTEXT(VLOOKUP(CONCATENATE($A11,"_",AE$3),'Unit List'!$A$14:$H$2841,2,FALSE)),"X",$AD11)</f>
        <v/>
      </c>
      <c r="AF11" s="51" t="str">
        <f>IF(ISTEXT(VLOOKUP(CONCATENATE($A11,"_",AF$3),'Unit List'!$A$14:$H$2841,2,FALSE)),"X",$AD11)</f>
        <v/>
      </c>
      <c r="AG11" s="172" t="str">
        <f>IF(ISTEXT(VLOOKUP(CONCATENATE($A11,"_",AG$3),'Unit List'!$A$14:$H$2841,2,FALSE)),"+","")</f>
        <v/>
      </c>
      <c r="AH11" s="51" t="str">
        <f>IF(ISTEXT(VLOOKUP(CONCATENATE($A11,"_",AH$3),'Unit List'!$A$14:$H$2841,2,FALSE)),"X",$AG11)</f>
        <v/>
      </c>
      <c r="AI11" s="51" t="str">
        <f>IF(ISTEXT(VLOOKUP(CONCATENATE($A11,"_",AI$3),'Unit List'!$A$14:$H$2841,2,FALSE)),"X",$AG11)</f>
        <v/>
      </c>
      <c r="AJ11" s="53" t="str">
        <f>IF(ISTEXT(VLOOKUP(CONCATENATE($A11,"_",AJ$3),'Unit List'!$A$14:$H$2841,2,FALSE)),"X",$AG11)</f>
        <v/>
      </c>
      <c r="AK11" s="172" t="str">
        <f>IF(ISTEXT(VLOOKUP(CONCATENATE($A11,"_",AK$3),'Unit List'!$A$14:$H$2841,2,FALSE)),"+","")</f>
        <v/>
      </c>
      <c r="AL11" s="87" t="str">
        <f>IF(ISTEXT(VLOOKUP(CONCATENATE($A11,"_",AL$3),'Unit List'!$A$14:$H$2841,2,FALSE)),"X",$AK11)</f>
        <v>X</v>
      </c>
      <c r="AM11" s="53" t="str">
        <f>IF(ISTEXT(VLOOKUP(CONCATENATE($A11,"_",AM$3),'Unit List'!$A$14:$H$2841,2,FALSE)),"X",$AK11)</f>
        <v/>
      </c>
      <c r="AN11" s="125" t="str">
        <f>IF(ISTEXT(VLOOKUP(CONCATENATE($A11,"_",AN$3),'Unit List'!$A$14:$H$2841,2,FALSE)),"+","")</f>
        <v/>
      </c>
      <c r="AO11" s="53" t="str">
        <f>IF(ISTEXT(VLOOKUP(CONCATENATE($A11,"_",AO$3),'Unit List'!$A$14:$H$2841,2,FALSE)),"X",$AN11)</f>
        <v/>
      </c>
      <c r="AP11" s="172" t="str">
        <f>IF(ISTEXT(VLOOKUP(CONCATENATE($A11,"_",AP$3),'Unit List'!$A$14:$H$2841,2,FALSE)),"+","")</f>
        <v>+</v>
      </c>
      <c r="AQ11" s="67" t="str">
        <f>IF(ISTEXT(VLOOKUP(CONCATENATE($A11,"_",AQ$3),'Unit List'!$A$14:$H$2841,2,FALSE)),"X",$AP11)</f>
        <v>X</v>
      </c>
      <c r="AR11" s="67" t="str">
        <f>IF(ISTEXT(VLOOKUP(CONCATENATE($A11,"_",AR$3),'Unit List'!$A$14:$H$2841,2,FALSE)),"X",$AP11)</f>
        <v>X</v>
      </c>
      <c r="AS11" s="51" t="str">
        <f>IF(ISTEXT(VLOOKUP(CONCATENATE($A11,"_",AS$3),'Unit List'!$A$14:$H$2841,2,FALSE)),"X",$AP11)</f>
        <v>+</v>
      </c>
      <c r="AT11" s="53" t="str">
        <f>IF(ISTEXT(VLOOKUP(CONCATENATE($A11,"_",AT$3),'Unit List'!$A$14:$H$2841,2,FALSE)),"X",$AP11)</f>
        <v>+</v>
      </c>
      <c r="AU11" s="124" t="str">
        <f>IF(ISTEXT(VLOOKUP(CONCATENATE($A11,"_",AU$3),'Unit List'!$A$14:$H$2841,2,FALSE)),"+","")</f>
        <v/>
      </c>
      <c r="AV11" s="51" t="str">
        <f>IF(ISTEXT(VLOOKUP(CONCATENATE($A11,"_",AV$3),'Unit List'!$A$14:$H$2841,2,FALSE)),"X",$AU11)</f>
        <v/>
      </c>
      <c r="AW11" s="53" t="str">
        <f>IF(ISTEXT(VLOOKUP(CONCATENATE($A11,"_",AW$3),'Unit List'!$A$14:$H$2841,2,FALSE)),"X",$AU11)</f>
        <v/>
      </c>
      <c r="AX11" s="172" t="str">
        <f>IF(ISTEXT(VLOOKUP(CONCATENATE($A11,"_",AX$3),'Unit List'!$A$14:$H$2841,2,FALSE)),"+","")</f>
        <v>+</v>
      </c>
      <c r="AY11" s="51" t="str">
        <f>IF(ISTEXT(VLOOKUP(CONCATENATE($A11,"_",AY$3),'Unit List'!$A$14:$H$2841,2,FALSE)),"X",$AX11)</f>
        <v>+</v>
      </c>
      <c r="AZ11" s="53" t="str">
        <f>IF(ISTEXT(VLOOKUP(CONCATENATE($A11,"_",AZ$3),'Unit List'!$A$14:$H$2841,2,FALSE)),"X",$AX11)</f>
        <v>+</v>
      </c>
      <c r="BA11" s="182" t="str">
        <f>IF(ISTEXT(VLOOKUP(CONCATENATE($A11,"_",BA$3),'Unit List'!$A$14:$H$2841,2,FALSE)),"+","")</f>
        <v/>
      </c>
      <c r="BB11" s="51" t="str">
        <f>IF(ISTEXT(VLOOKUP(CONCATENATE($A11,"_",BB$3),'Unit List'!$A$14:$H$2841,2,FALSE)),"X",$BA11)</f>
        <v/>
      </c>
      <c r="BC11" s="51" t="str">
        <f>IF(ISTEXT(VLOOKUP(CONCATENATE($A11,"_",BC$3),'Unit List'!$A$14:$H$2841,2,FALSE)),"X",$BA11)</f>
        <v/>
      </c>
      <c r="BD11" s="53" t="str">
        <f>IF(ISTEXT(VLOOKUP(CONCATENATE($A11,"_",BD$3),'Unit List'!$A$14:$H$2841,2,FALSE)),"X",$BA11)</f>
        <v/>
      </c>
      <c r="BE11" s="125" t="str">
        <f>IF(ISTEXT(VLOOKUP(CONCATENATE($A11,"_",BE$3),'Unit List'!$A$14:$H$2841,2,FALSE)),"+","")</f>
        <v>+</v>
      </c>
      <c r="BF11" s="62" t="str">
        <f>IF(ISTEXT(VLOOKUP(CONCATENATE($A11,"_",BF$3),'Unit List'!$A$14:$H$2841,2,FALSE)),"X",$BE11)</f>
        <v>+</v>
      </c>
      <c r="BG11" s="64"/>
      <c r="BH11" s="65" t="s">
        <v>0</v>
      </c>
      <c r="BI11" s="203"/>
      <c r="BJ11" s="204"/>
      <c r="BK11" s="204"/>
      <c r="BL11" s="204"/>
      <c r="BM11" s="205"/>
      <c r="BN11" s="54"/>
      <c r="BO11" s="54"/>
      <c r="BP11" s="54"/>
      <c r="BQ11" s="54"/>
      <c r="BR11" s="54"/>
      <c r="BS11" s="54"/>
      <c r="DZ11" s="55"/>
      <c r="EA11" s="55"/>
    </row>
    <row r="12" spans="1:131" ht="12.75" customHeight="1" x14ac:dyDescent="0.2">
      <c r="A12" s="56" t="s">
        <v>39</v>
      </c>
      <c r="B12" s="181" t="str">
        <f>IF(ISTEXT(VLOOKUP(CONCATENATE($A12,"_",B$3),'Unit List'!$A$14:$H$2841,2,FALSE)),"+","")</f>
        <v/>
      </c>
      <c r="C12" s="57" t="str">
        <f>IF(ISTEXT(VLOOKUP(CONCATENATE($A12,"_",C$3),'Unit List'!$A$14:$H$2841,2,FALSE)),"X",$B12)</f>
        <v/>
      </c>
      <c r="D12" s="51" t="str">
        <f>IF(ISTEXT(VLOOKUP(CONCATENATE($A12,"_",D$3),'Unit List'!$A$14:$H$2841,2,FALSE)),"X",$B12)</f>
        <v/>
      </c>
      <c r="E12" s="51" t="str">
        <f>IF(ISTEXT(VLOOKUP(CONCATENATE($A12,"_",E$3),'Unit List'!$A$14:$H$2841,2,FALSE)),"X",$B12)</f>
        <v/>
      </c>
      <c r="F12" s="51" t="str">
        <f>IF(ISTEXT(VLOOKUP(CONCATENATE($A12,"_",F$3),'Unit List'!$A$14:$H$2841,2,FALSE)),"X",$B12)</f>
        <v>X</v>
      </c>
      <c r="G12" s="67" t="str">
        <f>IF(ISTEXT(VLOOKUP(CONCATENATE($A12,"_",G$3),'Unit List'!$A$14:$H$2841,2,FALSE)),"X",$B12)</f>
        <v>X</v>
      </c>
      <c r="H12" s="51" t="str">
        <f>IF(ISTEXT(VLOOKUP(CONCATENATE($A12,"_",H$3),'Unit List'!$A$14:$H$2841,2,FALSE)),"X",$B12)</f>
        <v/>
      </c>
      <c r="I12" s="53" t="str">
        <f>IF(ISTEXT(VLOOKUP(CONCATENATE($A12,"_",I$3),'Unit List'!$A$14:$H$2841,2,FALSE)),"X",$B12)</f>
        <v/>
      </c>
      <c r="J12" s="172" t="str">
        <f>IF(ISTEXT(VLOOKUP(CONCATENATE($A12,"_",J$3),'Unit List'!$A$14:$H$2841,2,FALSE)),"+","")</f>
        <v/>
      </c>
      <c r="K12" s="51" t="str">
        <f>IF(ISTEXT(VLOOKUP(CONCATENATE($A12,"_",K$3),'Unit List'!$A$14:$H$2841,2,FALSE)),"X",$J12)</f>
        <v/>
      </c>
      <c r="L12" s="62" t="str">
        <f>IF(ISTEXT(VLOOKUP(CONCATENATE($A12,"_",L$3),'Unit List'!$A$14:$H$2841,2,FALSE)),"X",$J12)</f>
        <v/>
      </c>
      <c r="M12" s="172" t="str">
        <f>IF(ISTEXT(VLOOKUP(CONCATENATE($A12,"_",M$3),'Unit List'!$A$14:$H$2841,2,FALSE)),"+","")</f>
        <v/>
      </c>
      <c r="N12" s="51" t="str">
        <f>IF(ISTEXT(VLOOKUP(CONCATENATE($A12,"_",N$3),'Unit List'!$A$14:$H$2841,2,FALSE)),"X",$M12)</f>
        <v/>
      </c>
      <c r="O12" s="53" t="str">
        <f>IF(ISTEXT(VLOOKUP(CONCATENATE($A12,"_",O$3),'Unit List'!$A$14:$H$2841,2,FALSE)),"X",$M12)</f>
        <v/>
      </c>
      <c r="P12" s="172" t="str">
        <f>IF(ISTEXT(VLOOKUP(CONCATENATE($A12,"_",P$3),'Unit List'!$A$14:$H$2841,2,FALSE)),"+","")</f>
        <v/>
      </c>
      <c r="Q12" s="51" t="str">
        <f>IF(ISTEXT(VLOOKUP(CONCATENATE($A12,"_",Q$3),'Unit List'!$A$14:$H$2841,2,FALSE)),"X",$P12)</f>
        <v/>
      </c>
      <c r="R12" s="51" t="str">
        <f>IF(ISTEXT(VLOOKUP(CONCATENATE($A12,"_",R$3),'Unit List'!$A$14:$H$2841,2,FALSE)),"X",$P12)</f>
        <v/>
      </c>
      <c r="S12" s="51" t="str">
        <f>IF(ISTEXT(VLOOKUP(CONCATENATE($A12,"_",S$3),'Unit List'!$A$14:$H$2841,2,FALSE)),"X",$P12)</f>
        <v/>
      </c>
      <c r="T12" s="52" t="str">
        <f>IF(ISTEXT(VLOOKUP(CONCATENATE($A12,"_",T$3),'Unit List'!$A$14:$H$2841,2,FALSE)),"X",$P12)</f>
        <v/>
      </c>
      <c r="U12" s="51" t="str">
        <f>IF(ISTEXT(VLOOKUP(CONCATENATE($A12,"_",U$3),'Unit List'!$A$14:$H$2841,2,FALSE)),"X",$P12)</f>
        <v/>
      </c>
      <c r="V12" s="51" t="str">
        <f>IF(ISTEXT(VLOOKUP(CONCATENATE($A12,"_",V$3),'Unit List'!$A$14:$H$2841,2,FALSE)),"X",$P12)</f>
        <v/>
      </c>
      <c r="W12" s="53" t="str">
        <f>IF(ISTEXT(VLOOKUP(CONCATENATE($A12,"_",W$3),'Unit List'!$A$14:$H$2841,2,FALSE)),"X",$P12)</f>
        <v/>
      </c>
      <c r="X12" s="172" t="str">
        <f>IF(ISTEXT(VLOOKUP(CONCATENATE($A12,"_",X$3),'Unit List'!$A$14:$H$2841,2,FALSE)),"+","")</f>
        <v/>
      </c>
      <c r="Y12" s="51" t="str">
        <f>IF(ISTEXT(VLOOKUP(CONCATENATE($A12,"_",Y$3),'Unit List'!$A$14:$H$2841,2,FALSE)),"X",$X12)</f>
        <v/>
      </c>
      <c r="Z12" s="51" t="str">
        <f>IF(ISTEXT(VLOOKUP(CONCATENATE($A12,"_",Z$3),'Unit List'!$A$14:$H$2841,2,FALSE)),"X",$X12)</f>
        <v/>
      </c>
      <c r="AA12" s="51" t="str">
        <f>IF(ISTEXT(VLOOKUP(CONCATENATE($A12,"_",AA$3),'Unit List'!$A$14:$H$2841,2,FALSE)),"X",$X12)</f>
        <v/>
      </c>
      <c r="AB12" s="51" t="str">
        <f>IF(ISTEXT(VLOOKUP(CONCATENATE($A12,"_",AB$3),'Unit List'!$A$14:$H$2841,2,FALSE)),"X",$X12)</f>
        <v/>
      </c>
      <c r="AC12" s="62" t="str">
        <f>IF(ISTEXT(VLOOKUP(CONCATENATE($A12,"_",AC$3),'Unit List'!$A$14:$H$2841,2,FALSE)),"X",$X12)</f>
        <v/>
      </c>
      <c r="AD12" s="172" t="str">
        <f>IF(ISTEXT(VLOOKUP(CONCATENATE($A12,"_",AD$3),'Unit List'!$A$14:$H$2841,2,FALSE)),"+","")</f>
        <v/>
      </c>
      <c r="AE12" s="51" t="str">
        <f>IF(ISTEXT(VLOOKUP(CONCATENATE($A12,"_",AE$3),'Unit List'!$A$14:$H$2841,2,FALSE)),"X",$AD12)</f>
        <v/>
      </c>
      <c r="AF12" s="51" t="str">
        <f>IF(ISTEXT(VLOOKUP(CONCATENATE($A12,"_",AF$3),'Unit List'!$A$14:$H$2841,2,FALSE)),"X",$AD12)</f>
        <v/>
      </c>
      <c r="AG12" s="172" t="str">
        <f>IF(ISTEXT(VLOOKUP(CONCATENATE($A12,"_",AG$3),'Unit List'!$A$14:$H$2841,2,FALSE)),"+","")</f>
        <v/>
      </c>
      <c r="AH12" s="51" t="str">
        <f>IF(ISTEXT(VLOOKUP(CONCATENATE($A12,"_",AH$3),'Unit List'!$A$14:$H$2841,2,FALSE)),"X",$AG12)</f>
        <v/>
      </c>
      <c r="AI12" s="51" t="str">
        <f>IF(ISTEXT(VLOOKUP(CONCATENATE($A12,"_",AI$3),'Unit List'!$A$14:$H$2841,2,FALSE)),"X",$AG12)</f>
        <v/>
      </c>
      <c r="AJ12" s="53" t="str">
        <f>IF(ISTEXT(VLOOKUP(CONCATENATE($A12,"_",AJ$3),'Unit List'!$A$14:$H$2841,2,FALSE)),"X",$AG12)</f>
        <v/>
      </c>
      <c r="AK12" s="172" t="str">
        <f>IF(ISTEXT(VLOOKUP(CONCATENATE($A12,"_",AK$3),'Unit List'!$A$14:$H$2841,2,FALSE)),"+","")</f>
        <v/>
      </c>
      <c r="AL12" s="52" t="str">
        <f>IF(ISTEXT(VLOOKUP(CONCATENATE($A12,"_",AL$3),'Unit List'!$A$14:$H$2841,2,FALSE)),"X",$AK12)</f>
        <v/>
      </c>
      <c r="AM12" s="61" t="str">
        <f>IF(ISTEXT(VLOOKUP(CONCATENATE($A12,"_",AM$3),'Unit List'!$A$14:$H$2841,2,FALSE)),"X",$AK12)</f>
        <v/>
      </c>
      <c r="AN12" s="125" t="str">
        <f>IF(ISTEXT(VLOOKUP(CONCATENATE($A12,"_",AN$3),'Unit List'!$A$14:$H$2841,2,FALSE)),"+","")</f>
        <v/>
      </c>
      <c r="AO12" s="53" t="str">
        <f>IF(ISTEXT(VLOOKUP(CONCATENATE($A12,"_",AO$3),'Unit List'!$A$14:$H$2841,2,FALSE)),"X",$AN12)</f>
        <v/>
      </c>
      <c r="AP12" s="172" t="str">
        <f>IF(ISTEXT(VLOOKUP(CONCATENATE($A12,"_",AP$3),'Unit List'!$A$14:$H$2841,2,FALSE)),"+","")</f>
        <v/>
      </c>
      <c r="AQ12" s="51" t="str">
        <f>IF(ISTEXT(VLOOKUP(CONCATENATE($A12,"_",AQ$3),'Unit List'!$A$14:$H$2841,2,FALSE)),"X",$AP12)</f>
        <v/>
      </c>
      <c r="AR12" s="51" t="str">
        <f>IF(ISTEXT(VLOOKUP(CONCATENATE($A12,"_",AR$3),'Unit List'!$A$14:$H$2841,2,FALSE)),"X",$AP12)</f>
        <v/>
      </c>
      <c r="AS12" s="51" t="str">
        <f>IF(ISTEXT(VLOOKUP(CONCATENATE($A12,"_",AS$3),'Unit List'!$A$14:$H$2841,2,FALSE)),"X",$AP12)</f>
        <v/>
      </c>
      <c r="AT12" s="53" t="str">
        <f>IF(ISTEXT(VLOOKUP(CONCATENATE($A12,"_",AT$3),'Unit List'!$A$14:$H$2841,2,FALSE)),"X",$AP12)</f>
        <v/>
      </c>
      <c r="AU12" s="124" t="str">
        <f>IF(ISTEXT(VLOOKUP(CONCATENATE($A12,"_",AU$3),'Unit List'!$A$14:$H$2841,2,FALSE)),"+","")</f>
        <v/>
      </c>
      <c r="AV12" s="51" t="str">
        <f>IF(ISTEXT(VLOOKUP(CONCATENATE($A12,"_",AV$3),'Unit List'!$A$14:$H$2841,2,FALSE)),"X",$AU12)</f>
        <v/>
      </c>
      <c r="AW12" s="53" t="str">
        <f>IF(ISTEXT(VLOOKUP(CONCATENATE($A12,"_",AW$3),'Unit List'!$A$14:$H$2841,2,FALSE)),"X",$AU12)</f>
        <v/>
      </c>
      <c r="AX12" s="172" t="str">
        <f>IF(ISTEXT(VLOOKUP(CONCATENATE($A12,"_",AX$3),'Unit List'!$A$14:$H$2841,2,FALSE)),"+","")</f>
        <v/>
      </c>
      <c r="AY12" s="51" t="str">
        <f>IF(ISTEXT(VLOOKUP(CONCATENATE($A12,"_",AY$3),'Unit List'!$A$14:$H$2841,2,FALSE)),"X",$AX12)</f>
        <v/>
      </c>
      <c r="AZ12" s="53" t="str">
        <f>IF(ISTEXT(VLOOKUP(CONCATENATE($A12,"_",AZ$3),'Unit List'!$A$14:$H$2841,2,FALSE)),"X",$AX12)</f>
        <v/>
      </c>
      <c r="BA12" s="182" t="str">
        <f>IF(ISTEXT(VLOOKUP(CONCATENATE($A12,"_",BA$3),'Unit List'!$A$14:$H$2841,2,FALSE)),"+","")</f>
        <v/>
      </c>
      <c r="BB12" s="51" t="str">
        <f>IF(ISTEXT(VLOOKUP(CONCATENATE($A12,"_",BB$3),'Unit List'!$A$14:$H$2841,2,FALSE)),"X",$BA12)</f>
        <v/>
      </c>
      <c r="BC12" s="51" t="str">
        <f>IF(ISTEXT(VLOOKUP(CONCATENATE($A12,"_",BC$3),'Unit List'!$A$14:$H$2841,2,FALSE)),"X",$BA12)</f>
        <v/>
      </c>
      <c r="BD12" s="53" t="str">
        <f>IF(ISTEXT(VLOOKUP(CONCATENATE($A12,"_",BD$3),'Unit List'!$A$14:$H$2841,2,FALSE)),"X",$BA12)</f>
        <v/>
      </c>
      <c r="BE12" s="125" t="str">
        <f>IF(ISTEXT(VLOOKUP(CONCATENATE($A12,"_",BE$3),'Unit List'!$A$14:$H$2841,2,FALSE)),"+","")</f>
        <v/>
      </c>
      <c r="BF12" s="62" t="str">
        <f>IF(ISTEXT(VLOOKUP(CONCATENATE($A12,"_",BF$3),'Unit List'!$A$14:$H$2841,2,FALSE)),"X",$BE12)</f>
        <v/>
      </c>
      <c r="BG12" s="64"/>
      <c r="BH12" s="65" t="s">
        <v>0</v>
      </c>
      <c r="BI12" s="203"/>
      <c r="BJ12" s="204"/>
      <c r="BK12" s="204"/>
      <c r="BL12" s="204"/>
      <c r="BM12" s="205"/>
      <c r="BN12" s="54"/>
      <c r="BO12" s="54"/>
      <c r="BP12" s="54"/>
      <c r="BQ12" s="54"/>
      <c r="BR12" s="54"/>
      <c r="BS12" s="54"/>
      <c r="DZ12" s="55"/>
      <c r="EA12" s="55"/>
    </row>
    <row r="13" spans="1:131" ht="12.75" customHeight="1" x14ac:dyDescent="0.2">
      <c r="A13" s="56" t="s">
        <v>38</v>
      </c>
      <c r="B13" s="181" t="str">
        <f>IF(ISTEXT(VLOOKUP(CONCATENATE($A13,"_",B$3),'Unit List'!$A$14:$H$2841,2,FALSE)),"+","")</f>
        <v/>
      </c>
      <c r="C13" s="57" t="str">
        <f>IF(ISTEXT(VLOOKUP(CONCATENATE($A13,"_",C$3),'Unit List'!$A$14:$H$2841,2,FALSE)),"X",$B13)</f>
        <v/>
      </c>
      <c r="D13" s="51" t="str">
        <f>IF(ISTEXT(VLOOKUP(CONCATENATE($A13,"_",D$3),'Unit List'!$A$14:$H$2841,2,FALSE)),"X",$B13)</f>
        <v/>
      </c>
      <c r="E13" s="51" t="str">
        <f>IF(ISTEXT(VLOOKUP(CONCATENATE($A13,"_",E$3),'Unit List'!$A$14:$H$2841,2,FALSE)),"X",$B13)</f>
        <v/>
      </c>
      <c r="F13" s="51" t="str">
        <f>IF(ISTEXT(VLOOKUP(CONCATENATE($A13,"_",F$3),'Unit List'!$A$14:$H$2841,2,FALSE)),"X",$B13)</f>
        <v/>
      </c>
      <c r="G13" s="51" t="str">
        <f>IF(ISTEXT(VLOOKUP(CONCATENATE($A13,"_",G$3),'Unit List'!$A$14:$H$2841,2,FALSE)),"X",$B13)</f>
        <v/>
      </c>
      <c r="H13" s="51" t="str">
        <f>IF(ISTEXT(VLOOKUP(CONCATENATE($A13,"_",H$3),'Unit List'!$A$14:$H$2841,2,FALSE)),"X",$B13)</f>
        <v/>
      </c>
      <c r="I13" s="53" t="str">
        <f>IF(ISTEXT(VLOOKUP(CONCATENATE($A13,"_",I$3),'Unit List'!$A$14:$H$2841,2,FALSE)),"X",$B13)</f>
        <v/>
      </c>
      <c r="J13" s="172" t="str">
        <f>IF(ISTEXT(VLOOKUP(CONCATENATE($A13,"_",J$3),'Unit List'!$A$14:$H$2841,2,FALSE)),"+","")</f>
        <v/>
      </c>
      <c r="K13" s="51" t="str">
        <f>IF(ISTEXT(VLOOKUP(CONCATENATE($A13,"_",K$3),'Unit List'!$A$14:$H$2841,2,FALSE)),"X",$J13)</f>
        <v/>
      </c>
      <c r="L13" s="62" t="str">
        <f>IF(ISTEXT(VLOOKUP(CONCATENATE($A13,"_",L$3),'Unit List'!$A$14:$H$2841,2,FALSE)),"X",$J13)</f>
        <v/>
      </c>
      <c r="M13" s="172" t="str">
        <f>IF(ISTEXT(VLOOKUP(CONCATENATE($A13,"_",M$3),'Unit List'!$A$14:$H$2841,2,FALSE)),"+","")</f>
        <v/>
      </c>
      <c r="N13" s="51" t="str">
        <f>IF(ISTEXT(VLOOKUP(CONCATENATE($A13,"_",N$3),'Unit List'!$A$14:$H$2841,2,FALSE)),"X",$M13)</f>
        <v/>
      </c>
      <c r="O13" s="53" t="str">
        <f>IF(ISTEXT(VLOOKUP(CONCATENATE($A13,"_",O$3),'Unit List'!$A$14:$H$2841,2,FALSE)),"X",$M13)</f>
        <v/>
      </c>
      <c r="P13" s="172" t="str">
        <f>IF(ISTEXT(VLOOKUP(CONCATENATE($A13,"_",P$3),'Unit List'!$A$14:$H$2841,2,FALSE)),"+","")</f>
        <v/>
      </c>
      <c r="Q13" s="51" t="str">
        <f>IF(ISTEXT(VLOOKUP(CONCATENATE($A13,"_",Q$3),'Unit List'!$A$14:$H$2841,2,FALSE)),"X",$P13)</f>
        <v/>
      </c>
      <c r="R13" s="51" t="str">
        <f>IF(ISTEXT(VLOOKUP(CONCATENATE($A13,"_",R$3),'Unit List'!$A$14:$H$2841,2,FALSE)),"X",$P13)</f>
        <v/>
      </c>
      <c r="S13" s="51" t="str">
        <f>IF(ISTEXT(VLOOKUP(CONCATENATE($A13,"_",S$3),'Unit List'!$A$14:$H$2841,2,FALSE)),"X",$P13)</f>
        <v/>
      </c>
      <c r="T13" s="88" t="s">
        <v>0</v>
      </c>
      <c r="U13" s="51" t="str">
        <f>IF(ISTEXT(VLOOKUP(CONCATENATE($A13,"_",U$3),'Unit List'!$A$14:$H$2841,2,FALSE)),"X",$P13)</f>
        <v/>
      </c>
      <c r="V13" s="51" t="str">
        <f>IF(ISTEXT(VLOOKUP(CONCATENATE($A13,"_",V$3),'Unit List'!$A$14:$H$2841,2,FALSE)),"X",$P13)</f>
        <v/>
      </c>
      <c r="W13" s="53" t="str">
        <f>IF(ISTEXT(VLOOKUP(CONCATENATE($A13,"_",W$3),'Unit List'!$A$14:$H$2841,2,FALSE)),"X",$P13)</f>
        <v/>
      </c>
      <c r="X13" s="172" t="str">
        <f>IF(ISTEXT(VLOOKUP(CONCATENATE($A13,"_",X$3),'Unit List'!$A$14:$H$2841,2,FALSE)),"+","")</f>
        <v/>
      </c>
      <c r="Y13" s="51" t="str">
        <f>IF(ISTEXT(VLOOKUP(CONCATENATE($A13,"_",Y$3),'Unit List'!$A$14:$H$2841,2,FALSE)),"X",$X13)</f>
        <v/>
      </c>
      <c r="Z13" s="51" t="str">
        <f>IF(ISTEXT(VLOOKUP(CONCATENATE($A13,"_",Z$3),'Unit List'!$A$14:$H$2841,2,FALSE)),"X",$X13)</f>
        <v/>
      </c>
      <c r="AA13" s="51" t="str">
        <f>IF(ISTEXT(VLOOKUP(CONCATENATE($A13,"_",AA$3),'Unit List'!$A$14:$H$2841,2,FALSE)),"X",$X13)</f>
        <v/>
      </c>
      <c r="AB13" s="51" t="str">
        <f>IF(ISTEXT(VLOOKUP(CONCATENATE($A13,"_",AB$3),'Unit List'!$A$14:$H$2841,2,FALSE)),"X",$X13)</f>
        <v/>
      </c>
      <c r="AC13" s="62" t="str">
        <f>IF(ISTEXT(VLOOKUP(CONCATENATE($A13,"_",AC$3),'Unit List'!$A$14:$H$2841,2,FALSE)),"X",$X13)</f>
        <v/>
      </c>
      <c r="AD13" s="172" t="str">
        <f>IF(ISTEXT(VLOOKUP(CONCATENATE($A13,"_",AD$3),'Unit List'!$A$14:$H$2841,2,FALSE)),"+","")</f>
        <v/>
      </c>
      <c r="AE13" s="51" t="str">
        <f>IF(ISTEXT(VLOOKUP(CONCATENATE($A13,"_",AE$3),'Unit List'!$A$14:$H$2841,2,FALSE)),"X",$AD13)</f>
        <v/>
      </c>
      <c r="AF13" s="51" t="str">
        <f>IF(ISTEXT(VLOOKUP(CONCATENATE($A13,"_",AF$3),'Unit List'!$A$14:$H$2841,2,FALSE)),"X",$AD13)</f>
        <v/>
      </c>
      <c r="AG13" s="172" t="str">
        <f>IF(ISTEXT(VLOOKUP(CONCATENATE($A13,"_",AG$3),'Unit List'!$A$14:$H$2841,2,FALSE)),"+","")</f>
        <v/>
      </c>
      <c r="AH13" s="51" t="str">
        <f>IF(ISTEXT(VLOOKUP(CONCATENATE($A13,"_",AH$3),'Unit List'!$A$14:$H$2841,2,FALSE)),"X",$AG13)</f>
        <v/>
      </c>
      <c r="AI13" s="51" t="str">
        <f>IF(ISTEXT(VLOOKUP(CONCATENATE($A13,"_",AI$3),'Unit List'!$A$14:$H$2841,2,FALSE)),"X",$AG13)</f>
        <v/>
      </c>
      <c r="AJ13" s="53" t="str">
        <f>IF(ISTEXT(VLOOKUP(CONCATENATE($A13,"_",AJ$3),'Unit List'!$A$14:$H$2841,2,FALSE)),"X",$AG13)</f>
        <v/>
      </c>
      <c r="AK13" s="172" t="str">
        <f>IF(ISTEXT(VLOOKUP(CONCATENATE($A13,"_",AK$3),'Unit List'!$A$14:$H$2841,2,FALSE)),"+","")</f>
        <v/>
      </c>
      <c r="AL13" s="52" t="str">
        <f>IF(ISTEXT(VLOOKUP(CONCATENATE($A13,"_",AL$3),'Unit List'!$A$14:$H$2841,2,FALSE)),"X",$AK13)</f>
        <v/>
      </c>
      <c r="AM13" s="53" t="str">
        <f>IF(ISTEXT(VLOOKUP(CONCATENATE($A13,"_",AM$3),'Unit List'!$A$14:$H$2841,2,FALSE)),"X",$AK13)</f>
        <v/>
      </c>
      <c r="AN13" s="125" t="str">
        <f>IF(ISTEXT(VLOOKUP(CONCATENATE($A13,"_",AN$3),'Unit List'!$A$14:$H$2841,2,FALSE)),"+","")</f>
        <v/>
      </c>
      <c r="AO13" s="53" t="str">
        <f>IF(ISTEXT(VLOOKUP(CONCATENATE($A13,"_",AO$3),'Unit List'!$A$14:$H$2841,2,FALSE)),"X",$AN13)</f>
        <v/>
      </c>
      <c r="AP13" s="172" t="str">
        <f>IF(ISTEXT(VLOOKUP(CONCATENATE($A13,"_",AP$3),'Unit List'!$A$14:$H$2841,2,FALSE)),"+","")</f>
        <v/>
      </c>
      <c r="AQ13" s="51" t="str">
        <f>IF(ISTEXT(VLOOKUP(CONCATENATE($A13,"_",AQ$3),'Unit List'!$A$14:$H$2841,2,FALSE)),"X",$AP13)</f>
        <v/>
      </c>
      <c r="AR13" s="51" t="str">
        <f>IF(ISTEXT(VLOOKUP(CONCATENATE($A13,"_",AR$3),'Unit List'!$A$14:$H$2841,2,FALSE)),"X",$AP13)</f>
        <v/>
      </c>
      <c r="AS13" s="89" t="s">
        <v>0</v>
      </c>
      <c r="AT13" s="53" t="str">
        <f>IF(ISTEXT(VLOOKUP(CONCATENATE($A13,"_",AT$3),'Unit List'!$A$14:$H$2841,2,FALSE)),"X",$AP13)</f>
        <v/>
      </c>
      <c r="AU13" s="124" t="str">
        <f>IF(ISTEXT(VLOOKUP(CONCATENATE($A13,"_",AU$3),'Unit List'!$A$14:$H$2841,2,FALSE)),"+","")</f>
        <v/>
      </c>
      <c r="AV13" s="51" t="str">
        <f>IF(ISTEXT(VLOOKUP(CONCATENATE($A13,"_",AV$3),'Unit List'!$A$14:$H$2841,2,FALSE)),"X",$AU13)</f>
        <v/>
      </c>
      <c r="AW13" s="53" t="str">
        <f>IF(ISTEXT(VLOOKUP(CONCATENATE($A13,"_",AW$3),'Unit List'!$A$14:$H$2841,2,FALSE)),"X",$AU13)</f>
        <v/>
      </c>
      <c r="AX13" s="172" t="str">
        <f>IF(ISTEXT(VLOOKUP(CONCATENATE($A13,"_",AX$3),'Unit List'!$A$14:$H$2841,2,FALSE)),"+","")</f>
        <v/>
      </c>
      <c r="AY13" s="51" t="str">
        <f>IF(ISTEXT(VLOOKUP(CONCATENATE($A13,"_",AY$3),'Unit List'!$A$14:$H$2841,2,FALSE)),"X",$AX13)</f>
        <v/>
      </c>
      <c r="AZ13" s="53" t="str">
        <f>IF(ISTEXT(VLOOKUP(CONCATENATE($A13,"_",AZ$3),'Unit List'!$A$14:$H$2841,2,FALSE)),"X",$AX13)</f>
        <v/>
      </c>
      <c r="BA13" s="182" t="str">
        <f>IF(ISTEXT(VLOOKUP(CONCATENATE($A13,"_",BA$3),'Unit List'!$A$14:$H$2841,2,FALSE)),"+","")</f>
        <v/>
      </c>
      <c r="BB13" s="51" t="str">
        <f>IF(ISTEXT(VLOOKUP(CONCATENATE($A13,"_",BB$3),'Unit List'!$A$14:$H$2841,2,FALSE)),"X",$BA13)</f>
        <v/>
      </c>
      <c r="BC13" s="51" t="str">
        <f>IF(ISTEXT(VLOOKUP(CONCATENATE($A13,"_",BC$3),'Unit List'!$A$14:$H$2841,2,FALSE)),"X",$BA13)</f>
        <v/>
      </c>
      <c r="BD13" s="53" t="str">
        <f>IF(ISTEXT(VLOOKUP(CONCATENATE($A13,"_",BD$3),'Unit List'!$A$14:$H$2841,2,FALSE)),"X",$BA13)</f>
        <v/>
      </c>
      <c r="BE13" s="125" t="str">
        <f>IF(ISTEXT(VLOOKUP(CONCATENATE($A13,"_",BE$3),'Unit List'!$A$14:$H$2841,2,FALSE)),"+","")</f>
        <v/>
      </c>
      <c r="BF13" s="62" t="str">
        <f>IF(ISTEXT(VLOOKUP(CONCATENATE($A13,"_",BF$3),'Unit List'!$A$14:$H$2841,2,FALSE)),"X",$BE13)</f>
        <v/>
      </c>
      <c r="BG13" s="75"/>
      <c r="BH13" s="84"/>
      <c r="BI13" s="203"/>
      <c r="BJ13" s="204"/>
      <c r="BK13" s="204"/>
      <c r="BL13" s="204"/>
      <c r="BM13" s="205"/>
      <c r="BN13" s="54"/>
      <c r="BO13" s="54"/>
      <c r="BP13" s="54"/>
      <c r="BQ13" s="54"/>
      <c r="BR13" s="54"/>
      <c r="BS13" s="54"/>
      <c r="DZ13" s="55"/>
      <c r="EA13" s="55"/>
    </row>
    <row r="14" spans="1:131" ht="12.75" customHeight="1" x14ac:dyDescent="0.2">
      <c r="A14" s="56" t="s">
        <v>37</v>
      </c>
      <c r="B14" s="181" t="str">
        <f>IF(ISTEXT(VLOOKUP(CONCATENATE($A14,"_",B$3),'Unit List'!$A$14:$H$2841,2,FALSE)),"+","")</f>
        <v/>
      </c>
      <c r="C14" s="82" t="str">
        <f>IF(ISTEXT(VLOOKUP(CONCATENATE($A14,"_",C$3),'Unit List'!$A$14:$H$2841,2,FALSE)),"X",$B14)</f>
        <v>X</v>
      </c>
      <c r="D14" s="51" t="str">
        <f>IF(ISTEXT(VLOOKUP(CONCATENATE($A14,"_",D$3),'Unit List'!$A$14:$H$2841,2,FALSE)),"X",$B14)</f>
        <v>X</v>
      </c>
      <c r="E14" s="51" t="str">
        <f>IF(ISTEXT(VLOOKUP(CONCATENATE($A14,"_",E$3),'Unit List'!$A$14:$H$2841,2,FALSE)),"X",$B14)</f>
        <v>X</v>
      </c>
      <c r="F14" s="67" t="str">
        <f>IF(ISTEXT(VLOOKUP(CONCATENATE($A14,"_",F$3),'Unit List'!$A$14:$H$2841,2,FALSE)),"X",$B14)</f>
        <v>X</v>
      </c>
      <c r="G14" s="67" t="str">
        <f>IF(ISTEXT(VLOOKUP(CONCATENATE($A14,"_",G$3),'Unit List'!$A$14:$H$2841,2,FALSE)),"X",$B14)</f>
        <v>X</v>
      </c>
      <c r="H14" s="67" t="str">
        <f>IF(ISTEXT(VLOOKUP(CONCATENATE($A14,"_",H$3),'Unit List'!$A$14:$H$2841,2,FALSE)),"X",$B14)</f>
        <v>X</v>
      </c>
      <c r="I14" s="53" t="str">
        <f>IF(ISTEXT(VLOOKUP(CONCATENATE($A14,"_",I$3),'Unit List'!$A$14:$H$2841,2,FALSE)),"X",$B14)</f>
        <v/>
      </c>
      <c r="J14" s="172" t="str">
        <f>IF(ISTEXT(VLOOKUP(CONCATENATE($A14,"_",J$3),'Unit List'!$A$14:$H$2841,2,FALSE)),"+","")</f>
        <v/>
      </c>
      <c r="K14" s="51" t="str">
        <f>IF(ISTEXT(VLOOKUP(CONCATENATE($A14,"_",K$3),'Unit List'!$A$14:$H$2841,2,FALSE)),"X",$J14)</f>
        <v/>
      </c>
      <c r="L14" s="86" t="str">
        <f>IF(ISTEXT(VLOOKUP(CONCATENATE($A14,"_",L$3),'Unit List'!$A$14:$H$2841,2,FALSE)),"X",$J14)</f>
        <v>X</v>
      </c>
      <c r="M14" s="172" t="str">
        <f>IF(ISTEXT(VLOOKUP(CONCATENATE($A14,"_",M$3),'Unit List'!$A$14:$H$2841,2,FALSE)),"+","")</f>
        <v>+</v>
      </c>
      <c r="N14" s="51" t="str">
        <f>IF(ISTEXT(VLOOKUP(CONCATENATE($A14,"_",N$3),'Unit List'!$A$14:$H$2841,2,FALSE)),"X",$M14)</f>
        <v>+</v>
      </c>
      <c r="O14" s="70" t="str">
        <f>IF(ISTEXT(VLOOKUP(CONCATENATE($A14,"_",O$3),'Unit List'!$A$14:$H$2841,2,FALSE)),"X",$M14)</f>
        <v>X</v>
      </c>
      <c r="P14" s="172" t="str">
        <f>IF(ISTEXT(VLOOKUP(CONCATENATE($A14,"_",P$3),'Unit List'!$A$14:$H$2841,2,FALSE)),"+","")</f>
        <v/>
      </c>
      <c r="Q14" s="51" t="str">
        <f>IF(ISTEXT(VLOOKUP(CONCATENATE($A14,"_",Q$3),'Unit List'!$A$14:$H$2841,2,FALSE)),"X",$P14)</f>
        <v/>
      </c>
      <c r="R14" s="51" t="str">
        <f>IF(ISTEXT(VLOOKUP(CONCATENATE($A14,"_",R$3),'Unit List'!$A$14:$H$2841,2,FALSE)),"X",$P14)</f>
        <v/>
      </c>
      <c r="S14" s="51" t="str">
        <f>IF(ISTEXT(VLOOKUP(CONCATENATE($A14,"_",S$3),'Unit List'!$A$14:$H$2841,2,FALSE)),"X",$P14)</f>
        <v/>
      </c>
      <c r="T14" s="52" t="str">
        <f>IF(ISTEXT(VLOOKUP(CONCATENATE($A14,"_",T$3),'Unit List'!$A$14:$H$2841,2,FALSE)),"X",$P14)</f>
        <v/>
      </c>
      <c r="U14" s="67" t="str">
        <f>IF(ISTEXT(VLOOKUP(CONCATENATE($A14,"_",U$3),'Unit List'!$A$14:$H$2841,2,FALSE)),"X",$P14)</f>
        <v>X</v>
      </c>
      <c r="V14" s="51" t="str">
        <f>IF(ISTEXT(VLOOKUP(CONCATENATE($A14,"_",V$3),'Unit List'!$A$14:$H$2841,2,FALSE)),"X",$P14)</f>
        <v/>
      </c>
      <c r="W14" s="53" t="str">
        <f>IF(ISTEXT(VLOOKUP(CONCATENATE($A14,"_",W$3),'Unit List'!$A$14:$H$2841,2,FALSE)),"X",$P14)</f>
        <v/>
      </c>
      <c r="X14" s="172" t="str">
        <f>IF(ISTEXT(VLOOKUP(CONCATENATE($A14,"_",X$3),'Unit List'!$A$14:$H$2841,2,FALSE)),"+","")</f>
        <v/>
      </c>
      <c r="Y14" s="51" t="str">
        <f>IF(ISTEXT(VLOOKUP(CONCATENATE($A14,"_",Y$3),'Unit List'!$A$14:$H$2841,2,FALSE)),"X",$X14)</f>
        <v/>
      </c>
      <c r="Z14" s="51" t="str">
        <f>IF(ISTEXT(VLOOKUP(CONCATENATE($A14,"_",Z$3),'Unit List'!$A$14:$H$2841,2,FALSE)),"X",$X14)</f>
        <v/>
      </c>
      <c r="AA14" s="51" t="str">
        <f>IF(ISTEXT(VLOOKUP(CONCATENATE($A14,"_",AA$3),'Unit List'!$A$14:$H$2841,2,FALSE)),"X",$X14)</f>
        <v/>
      </c>
      <c r="AB14" s="51" t="str">
        <f>IF(ISTEXT(VLOOKUP(CONCATENATE($A14,"_",AB$3),'Unit List'!$A$14:$H$2841,2,FALSE)),"X",$X14)</f>
        <v/>
      </c>
      <c r="AC14" s="62" t="str">
        <f>IF(ISTEXT(VLOOKUP(CONCATENATE($A14,"_",AC$3),'Unit List'!$A$14:$H$2841,2,FALSE)),"X",$X14)</f>
        <v/>
      </c>
      <c r="AD14" s="172" t="str">
        <f>IF(ISTEXT(VLOOKUP(CONCATENATE($A14,"_",AD$3),'Unit List'!$A$14:$H$2841,2,FALSE)),"+","")</f>
        <v/>
      </c>
      <c r="AE14" s="51" t="str">
        <f>IF(ISTEXT(VLOOKUP(CONCATENATE($A14,"_",AE$3),'Unit List'!$A$14:$H$2841,2,FALSE)),"X",$AD14)</f>
        <v/>
      </c>
      <c r="AF14" s="51" t="str">
        <f>IF(ISTEXT(VLOOKUP(CONCATENATE($A14,"_",AF$3),'Unit List'!$A$14:$H$2841,2,FALSE)),"X",$AD14)</f>
        <v/>
      </c>
      <c r="AG14" s="172" t="str">
        <f>IF(ISTEXT(VLOOKUP(CONCATENATE($A14,"_",AG$3),'Unit List'!$A$14:$H$2841,2,FALSE)),"+","")</f>
        <v/>
      </c>
      <c r="AH14" s="51" t="str">
        <f>IF(ISTEXT(VLOOKUP(CONCATENATE($A14,"_",AH$3),'Unit List'!$A$14:$H$2841,2,FALSE)),"X",$AG14)</f>
        <v/>
      </c>
      <c r="AI14" s="51" t="str">
        <f>IF(ISTEXT(VLOOKUP(CONCATENATE($A14,"_",AI$3),'Unit List'!$A$14:$H$2841,2,FALSE)),"X",$AG14)</f>
        <v/>
      </c>
      <c r="AJ14" s="53" t="str">
        <f>IF(ISTEXT(VLOOKUP(CONCATENATE($A14,"_",AJ$3),'Unit List'!$A$14:$H$2841,2,FALSE)),"X",$AG14)</f>
        <v/>
      </c>
      <c r="AK14" s="172" t="str">
        <f>IF(ISTEXT(VLOOKUP(CONCATENATE($A14,"_",AK$3),'Unit List'!$A$14:$H$2841,2,FALSE)),"+","")</f>
        <v/>
      </c>
      <c r="AL14" s="52" t="str">
        <f>IF(ISTEXT(VLOOKUP(CONCATENATE($A14,"_",AL$3),'Unit List'!$A$14:$H$2841,2,FALSE)),"X",$AK14)</f>
        <v/>
      </c>
      <c r="AM14" s="53" t="str">
        <f>IF(ISTEXT(VLOOKUP(CONCATENATE($A14,"_",AM$3),'Unit List'!$A$14:$H$2841,2,FALSE)),"X",$AK14)</f>
        <v/>
      </c>
      <c r="AN14" s="125" t="str">
        <f>IF(ISTEXT(VLOOKUP(CONCATENATE($A14,"_",AN$3),'Unit List'!$A$14:$H$2841,2,FALSE)),"+","")</f>
        <v/>
      </c>
      <c r="AO14" s="53" t="str">
        <f>IF(ISTEXT(VLOOKUP(CONCATENATE($A14,"_",AO$3),'Unit List'!$A$14:$H$2841,2,FALSE)),"X",$AN14)</f>
        <v/>
      </c>
      <c r="AP14" s="172" t="str">
        <f>IF(ISTEXT(VLOOKUP(CONCATENATE($A14,"_",AP$3),'Unit List'!$A$14:$H$2841,2,FALSE)),"+","")</f>
        <v>+</v>
      </c>
      <c r="AQ14" s="51" t="str">
        <f>IF(ISTEXT(VLOOKUP(CONCATENATE($A14,"_",AQ$3),'Unit List'!$A$14:$H$2841,2,FALSE)),"X",$AP14)</f>
        <v>+</v>
      </c>
      <c r="AR14" s="67" t="str">
        <f>IF(ISTEXT(VLOOKUP(CONCATENATE($A14,"_",AR$3),'Unit List'!$A$14:$H$2841,2,FALSE)),"X",$AP14)</f>
        <v>X</v>
      </c>
      <c r="AS14" s="51" t="str">
        <f>IF(ISTEXT(VLOOKUP(CONCATENATE($A14,"_",AS$3),'Unit List'!$A$14:$H$2841,2,FALSE)),"X",$AP14)</f>
        <v>+</v>
      </c>
      <c r="AT14" s="53" t="str">
        <f>IF(ISTEXT(VLOOKUP(CONCATENATE($A14,"_",AT$3),'Unit List'!$A$14:$H$2841,2,FALSE)),"X",$AP14)</f>
        <v>+</v>
      </c>
      <c r="AU14" s="124" t="str">
        <f>IF(ISTEXT(VLOOKUP(CONCATENATE($A14,"_",AU$3),'Unit List'!$A$14:$H$2841,2,FALSE)),"+","")</f>
        <v/>
      </c>
      <c r="AV14" s="51" t="str">
        <f>IF(ISTEXT(VLOOKUP(CONCATENATE($A14,"_",AV$3),'Unit List'!$A$14:$H$2841,2,FALSE)),"X",$AU14)</f>
        <v/>
      </c>
      <c r="AW14" s="53" t="str">
        <f>IF(ISTEXT(VLOOKUP(CONCATENATE($A14,"_",AW$3),'Unit List'!$A$14:$H$2841,2,FALSE)),"X",$AU14)</f>
        <v/>
      </c>
      <c r="AX14" s="172" t="str">
        <f>IF(ISTEXT(VLOOKUP(CONCATENATE($A14,"_",AX$3),'Unit List'!$A$14:$H$2841,2,FALSE)),"+","")</f>
        <v>+</v>
      </c>
      <c r="AY14" s="51" t="str">
        <f>IF(ISTEXT(VLOOKUP(CONCATENATE($A14,"_",AY$3),'Unit List'!$A$14:$H$2841,2,FALSE)),"X",$AX14)</f>
        <v>+</v>
      </c>
      <c r="AZ14" s="53" t="str">
        <f>IF(ISTEXT(VLOOKUP(CONCATENATE($A14,"_",AZ$3),'Unit List'!$A$14:$H$2841,2,FALSE)),"X",$AX14)</f>
        <v>+</v>
      </c>
      <c r="BA14" s="182" t="str">
        <f>IF(ISTEXT(VLOOKUP(CONCATENATE($A14,"_",BA$3),'Unit List'!$A$14:$H$2841,2,FALSE)),"+","")</f>
        <v/>
      </c>
      <c r="BB14" s="51" t="str">
        <f>IF(ISTEXT(VLOOKUP(CONCATENATE($A14,"_",BB$3),'Unit List'!$A$14:$H$2841,2,FALSE)),"X",$BA14)</f>
        <v/>
      </c>
      <c r="BC14" s="51" t="str">
        <f>IF(ISTEXT(VLOOKUP(CONCATENATE($A14,"_",BC$3),'Unit List'!$A$14:$H$2841,2,FALSE)),"X",$BA14)</f>
        <v/>
      </c>
      <c r="BD14" s="53" t="str">
        <f>IF(ISTEXT(VLOOKUP(CONCATENATE($A14,"_",BD$3),'Unit List'!$A$14:$H$2841,2,FALSE)),"X",$BA14)</f>
        <v/>
      </c>
      <c r="BE14" s="125" t="str">
        <f>IF(ISTEXT(VLOOKUP(CONCATENATE($A14,"_",BE$3),'Unit List'!$A$14:$H$2841,2,FALSE)),"+","")</f>
        <v>+</v>
      </c>
      <c r="BF14" s="62" t="str">
        <f>IF(ISTEXT(VLOOKUP(CONCATENATE($A14,"_",BF$3),'Unit List'!$A$14:$H$2841,2,FALSE)),"X",$BE14)</f>
        <v>+</v>
      </c>
      <c r="BG14" s="64" t="s">
        <v>0</v>
      </c>
      <c r="BH14" s="65" t="s">
        <v>0</v>
      </c>
      <c r="BI14" s="203"/>
      <c r="BJ14" s="204"/>
      <c r="BK14" s="204"/>
      <c r="BL14" s="204"/>
      <c r="BM14" s="205"/>
      <c r="BN14" s="54"/>
      <c r="BO14" s="54"/>
      <c r="BP14" s="54"/>
      <c r="BQ14" s="54"/>
      <c r="BR14" s="54"/>
      <c r="BS14" s="54"/>
      <c r="DZ14" s="55"/>
      <c r="EA14" s="55"/>
    </row>
    <row r="15" spans="1:131" ht="12.75" customHeight="1" x14ac:dyDescent="0.2">
      <c r="A15" s="56" t="s">
        <v>36</v>
      </c>
      <c r="B15" s="181" t="str">
        <f>IF(ISTEXT(VLOOKUP(CONCATENATE($A15,"_",B$3),'Unit List'!$A$14:$H$2841,2,FALSE)),"+","")</f>
        <v/>
      </c>
      <c r="C15" s="57" t="str">
        <f>IF(ISTEXT(VLOOKUP(CONCATENATE($A15,"_",C$3),'Unit List'!$A$14:$H$2841,2,FALSE)),"X",$B15)</f>
        <v/>
      </c>
      <c r="D15" s="51" t="str">
        <f>IF(ISTEXT(VLOOKUP(CONCATENATE($A15,"_",D$3),'Unit List'!$A$14:$H$2841,2,FALSE)),"X",$B15)</f>
        <v/>
      </c>
      <c r="E15" s="51" t="str">
        <f>IF(ISTEXT(VLOOKUP(CONCATENATE($A15,"_",E$3),'Unit List'!$A$14:$H$2841,2,FALSE)),"X",$B15)</f>
        <v/>
      </c>
      <c r="F15" s="51" t="str">
        <f>IF(ISTEXT(VLOOKUP(CONCATENATE($A15,"_",F$3),'Unit List'!$A$14:$H$2841,2,FALSE)),"X",$B15)</f>
        <v/>
      </c>
      <c r="G15" s="51" t="str">
        <f>IF(ISTEXT(VLOOKUP(CONCATENATE($A15,"_",G$3),'Unit List'!$A$14:$H$2841,2,FALSE)),"X",$B15)</f>
        <v/>
      </c>
      <c r="H15" s="51" t="str">
        <f>IF(ISTEXT(VLOOKUP(CONCATENATE($A15,"_",H$3),'Unit List'!$A$14:$H$2841,2,FALSE)),"X",$B15)</f>
        <v/>
      </c>
      <c r="I15" s="53" t="str">
        <f>IF(ISTEXT(VLOOKUP(CONCATENATE($A15,"_",I$3),'Unit List'!$A$14:$H$2841,2,FALSE)),"X",$B15)</f>
        <v/>
      </c>
      <c r="J15" s="172" t="str">
        <f>IF(ISTEXT(VLOOKUP(CONCATENATE($A15,"_",J$3),'Unit List'!$A$14:$H$2841,2,FALSE)),"+","")</f>
        <v/>
      </c>
      <c r="K15" s="51" t="str">
        <f>IF(ISTEXT(VLOOKUP(CONCATENATE($A15,"_",K$3),'Unit List'!$A$14:$H$2841,2,FALSE)),"X",$J15)</f>
        <v/>
      </c>
      <c r="L15" s="62" t="str">
        <f>IF(ISTEXT(VLOOKUP(CONCATENATE($A15,"_",L$3),'Unit List'!$A$14:$H$2841,2,FALSE)),"X",$J15)</f>
        <v/>
      </c>
      <c r="M15" s="172" t="str">
        <f>IF(ISTEXT(VLOOKUP(CONCATENATE($A15,"_",M$3),'Unit List'!$A$14:$H$2841,2,FALSE)),"+","")</f>
        <v/>
      </c>
      <c r="N15" s="51" t="str">
        <f>IF(ISTEXT(VLOOKUP(CONCATENATE($A15,"_",N$3),'Unit List'!$A$14:$H$2841,2,FALSE)),"X",$M15)</f>
        <v/>
      </c>
      <c r="O15" s="53" t="str">
        <f>IF(ISTEXT(VLOOKUP(CONCATENATE($A15,"_",O$3),'Unit List'!$A$14:$H$2841,2,FALSE)),"X",$M15)</f>
        <v/>
      </c>
      <c r="P15" s="172" t="str">
        <f>IF(ISTEXT(VLOOKUP(CONCATENATE($A15,"_",P$3),'Unit List'!$A$14:$H$2841,2,FALSE)),"+","")</f>
        <v/>
      </c>
      <c r="Q15" s="51" t="str">
        <f>IF(ISTEXT(VLOOKUP(CONCATENATE($A15,"_",Q$3),'Unit List'!$A$14:$H$2841,2,FALSE)),"X",$P15)</f>
        <v/>
      </c>
      <c r="R15" s="51" t="str">
        <f>IF(ISTEXT(VLOOKUP(CONCATENATE($A15,"_",R$3),'Unit List'!$A$14:$H$2841,2,FALSE)),"X",$P15)</f>
        <v/>
      </c>
      <c r="S15" s="51" t="str">
        <f>IF(ISTEXT(VLOOKUP(CONCATENATE($A15,"_",S$3),'Unit List'!$A$14:$H$2841,2,FALSE)),"X",$P15)</f>
        <v/>
      </c>
      <c r="T15" s="52" t="str">
        <f>IF(ISTEXT(VLOOKUP(CONCATENATE($A15,"_",T$3),'Unit List'!$A$14:$H$2841,2,FALSE)),"X",$P15)</f>
        <v/>
      </c>
      <c r="U15" s="89" t="s">
        <v>0</v>
      </c>
      <c r="V15" s="51" t="str">
        <f>IF(ISTEXT(VLOOKUP(CONCATENATE($A15,"_",V$3),'Unit List'!$A$14:$H$2841,2,FALSE)),"X",$P15)</f>
        <v/>
      </c>
      <c r="W15" s="53" t="str">
        <f>IF(ISTEXT(VLOOKUP(CONCATENATE($A15,"_",W$3),'Unit List'!$A$14:$H$2841,2,FALSE)),"X",$P15)</f>
        <v/>
      </c>
      <c r="X15" s="172" t="str">
        <f>IF(ISTEXT(VLOOKUP(CONCATENATE($A15,"_",X$3),'Unit List'!$A$14:$H$2841,2,FALSE)),"+","")</f>
        <v/>
      </c>
      <c r="Y15" s="51" t="str">
        <f>IF(ISTEXT(VLOOKUP(CONCATENATE($A15,"_",Y$3),'Unit List'!$A$14:$H$2841,2,FALSE)),"X",$X15)</f>
        <v/>
      </c>
      <c r="Z15" s="90" t="s">
        <v>0</v>
      </c>
      <c r="AA15" s="51" t="str">
        <f>IF(ISTEXT(VLOOKUP(CONCATENATE($A15,"_",AA$3),'Unit List'!$A$14:$H$2841,2,FALSE)),"X",$X15)</f>
        <v/>
      </c>
      <c r="AB15" s="51" t="str">
        <f>IF(ISTEXT(VLOOKUP(CONCATENATE($A15,"_",AB$3),'Unit List'!$A$14:$H$2841,2,FALSE)),"X",$X15)</f>
        <v/>
      </c>
      <c r="AC15" s="62" t="str">
        <f>IF(ISTEXT(VLOOKUP(CONCATENATE($A15,"_",AC$3),'Unit List'!$A$14:$H$2841,2,FALSE)),"X",$X15)</f>
        <v/>
      </c>
      <c r="AD15" s="172" t="str">
        <f>IF(ISTEXT(VLOOKUP(CONCATENATE($A15,"_",AD$3),'Unit List'!$A$14:$H$2841,2,FALSE)),"+","")</f>
        <v/>
      </c>
      <c r="AE15" s="51" t="str">
        <f>IF(ISTEXT(VLOOKUP(CONCATENATE($A15,"_",AE$3),'Unit List'!$A$14:$H$2841,2,FALSE)),"X",$AD15)</f>
        <v/>
      </c>
      <c r="AF15" s="51" t="str">
        <f>IF(ISTEXT(VLOOKUP(CONCATENATE($A15,"_",AF$3),'Unit List'!$A$14:$H$2841,2,FALSE)),"X",$AD15)</f>
        <v/>
      </c>
      <c r="AG15" s="172" t="str">
        <f>IF(ISTEXT(VLOOKUP(CONCATENATE($A15,"_",AG$3),'Unit List'!$A$14:$H$2841,2,FALSE)),"+","")</f>
        <v/>
      </c>
      <c r="AH15" s="51" t="str">
        <f>IF(ISTEXT(VLOOKUP(CONCATENATE($A15,"_",AH$3),'Unit List'!$A$14:$H$2841,2,FALSE)),"X",$AG15)</f>
        <v/>
      </c>
      <c r="AI15" s="51" t="str">
        <f>IF(ISTEXT(VLOOKUP(CONCATENATE($A15,"_",AI$3),'Unit List'!$A$14:$H$2841,2,FALSE)),"X",$AG15)</f>
        <v/>
      </c>
      <c r="AJ15" s="53" t="str">
        <f>IF(ISTEXT(VLOOKUP(CONCATENATE($A15,"_",AJ$3),'Unit List'!$A$14:$H$2841,2,FALSE)),"X",$AG15)</f>
        <v/>
      </c>
      <c r="AK15" s="172" t="str">
        <f>IF(ISTEXT(VLOOKUP(CONCATENATE($A15,"_",AK$3),'Unit List'!$A$14:$H$2841,2,FALSE)),"+","")</f>
        <v/>
      </c>
      <c r="AL15" s="52" t="str">
        <f>IF(ISTEXT(VLOOKUP(CONCATENATE($A15,"_",AL$3),'Unit List'!$A$14:$H$2841,2,FALSE)),"X",$AK15)</f>
        <v/>
      </c>
      <c r="AM15" s="53" t="str">
        <f>IF(ISTEXT(VLOOKUP(CONCATENATE($A15,"_",AM$3),'Unit List'!$A$14:$H$2841,2,FALSE)),"X",$AK15)</f>
        <v/>
      </c>
      <c r="AN15" s="125" t="str">
        <f>IF(ISTEXT(VLOOKUP(CONCATENATE($A15,"_",AN$3),'Unit List'!$A$14:$H$2841,2,FALSE)),"+","")</f>
        <v/>
      </c>
      <c r="AO15" s="53" t="str">
        <f>IF(ISTEXT(VLOOKUP(CONCATENATE($A15,"_",AO$3),'Unit List'!$A$14:$H$2841,2,FALSE)),"X",$AN15)</f>
        <v/>
      </c>
      <c r="AP15" s="172" t="str">
        <f>IF(ISTEXT(VLOOKUP(CONCATENATE($A15,"_",AP$3),'Unit List'!$A$14:$H$2841,2,FALSE)),"+","")</f>
        <v/>
      </c>
      <c r="AQ15" s="51" t="str">
        <f>IF(ISTEXT(VLOOKUP(CONCATENATE($A15,"_",AQ$3),'Unit List'!$A$14:$H$2841,2,FALSE)),"X",$AP15)</f>
        <v/>
      </c>
      <c r="AR15" s="51" t="str">
        <f>IF(ISTEXT(VLOOKUP(CONCATENATE($A15,"_",AR$3),'Unit List'!$A$14:$H$2841,2,FALSE)),"X",$AP15)</f>
        <v/>
      </c>
      <c r="AS15" s="51" t="str">
        <f>IF(ISTEXT(VLOOKUP(CONCATENATE($A15,"_",AS$3),'Unit List'!$A$14:$H$2841,2,FALSE)),"X",$AP15)</f>
        <v/>
      </c>
      <c r="AT15" s="53" t="str">
        <f>IF(ISTEXT(VLOOKUP(CONCATENATE($A15,"_",AT$3),'Unit List'!$A$14:$H$2841,2,FALSE)),"X",$AP15)</f>
        <v/>
      </c>
      <c r="AU15" s="124" t="str">
        <f>IF(ISTEXT(VLOOKUP(CONCATENATE($A15,"_",AU$3),'Unit List'!$A$14:$H$2841,2,FALSE)),"+","")</f>
        <v/>
      </c>
      <c r="AV15" s="51" t="str">
        <f>IF(ISTEXT(VLOOKUP(CONCATENATE($A15,"_",AV$3),'Unit List'!$A$14:$H$2841,2,FALSE)),"X",$AU15)</f>
        <v/>
      </c>
      <c r="AW15" s="53" t="str">
        <f>IF(ISTEXT(VLOOKUP(CONCATENATE($A15,"_",AW$3),'Unit List'!$A$14:$H$2841,2,FALSE)),"X",$AU15)</f>
        <v/>
      </c>
      <c r="AX15" s="172" t="str">
        <f>IF(ISTEXT(VLOOKUP(CONCATENATE($A15,"_",AX$3),'Unit List'!$A$14:$H$2841,2,FALSE)),"+","")</f>
        <v/>
      </c>
      <c r="AY15" s="51" t="str">
        <f>IF(ISTEXT(VLOOKUP(CONCATENATE($A15,"_",AY$3),'Unit List'!$A$14:$H$2841,2,FALSE)),"X",$AX15)</f>
        <v/>
      </c>
      <c r="AZ15" s="53" t="str">
        <f>IF(ISTEXT(VLOOKUP(CONCATENATE($A15,"_",AZ$3),'Unit List'!$A$14:$H$2841,2,FALSE)),"X",$AX15)</f>
        <v/>
      </c>
      <c r="BA15" s="182" t="str">
        <f>IF(ISTEXT(VLOOKUP(CONCATENATE($A15,"_",BA$3),'Unit List'!$A$14:$H$2841,2,FALSE)),"+","")</f>
        <v/>
      </c>
      <c r="BB15" s="51" t="str">
        <f>IF(ISTEXT(VLOOKUP(CONCATENATE($A15,"_",BB$3),'Unit List'!$A$14:$H$2841,2,FALSE)),"X",$BA15)</f>
        <v/>
      </c>
      <c r="BC15" s="51" t="str">
        <f>IF(ISTEXT(VLOOKUP(CONCATENATE($A15,"_",BC$3),'Unit List'!$A$14:$H$2841,2,FALSE)),"X",$BA15)</f>
        <v/>
      </c>
      <c r="BD15" s="53" t="str">
        <f>IF(ISTEXT(VLOOKUP(CONCATENATE($A15,"_",BD$3),'Unit List'!$A$14:$H$2841,2,FALSE)),"X",$BA15)</f>
        <v/>
      </c>
      <c r="BE15" s="125" t="str">
        <f>IF(ISTEXT(VLOOKUP(CONCATENATE($A15,"_",BE$3),'Unit List'!$A$14:$H$2841,2,FALSE)),"+","")</f>
        <v/>
      </c>
      <c r="BF15" s="62" t="str">
        <f>IF(ISTEXT(VLOOKUP(CONCATENATE($A15,"_",BF$3),'Unit List'!$A$14:$H$2841,2,FALSE)),"X",$BE15)</f>
        <v/>
      </c>
      <c r="BG15" s="64"/>
      <c r="BH15" s="65" t="s">
        <v>0</v>
      </c>
      <c r="BI15" s="203"/>
      <c r="BJ15" s="204"/>
      <c r="BK15" s="204"/>
      <c r="BL15" s="204"/>
      <c r="BM15" s="205"/>
      <c r="BN15" s="54"/>
      <c r="BO15" s="54"/>
      <c r="BP15" s="54"/>
      <c r="BQ15" s="54"/>
      <c r="BR15" s="54"/>
      <c r="BS15" s="54"/>
      <c r="DZ15" s="55"/>
      <c r="EA15" s="55"/>
    </row>
    <row r="16" spans="1:131" ht="12.75" customHeight="1" x14ac:dyDescent="0.2">
      <c r="A16" s="56" t="s">
        <v>35</v>
      </c>
      <c r="B16" s="181" t="str">
        <f>IF(ISTEXT(VLOOKUP(CONCATENATE($A16,"_",B$3),'Unit List'!$A$14:$H$2841,2,FALSE)),"+","")</f>
        <v/>
      </c>
      <c r="C16" s="57" t="str">
        <f>IF(ISTEXT(VLOOKUP(CONCATENATE($A16,"_",C$3),'Unit List'!$A$14:$H$2841,2,FALSE)),"X",$B16)</f>
        <v/>
      </c>
      <c r="D16" s="89" t="s">
        <v>0</v>
      </c>
      <c r="E16" s="51" t="str">
        <f>IF(ISTEXT(VLOOKUP(CONCATENATE($A16,"_",E$3),'Unit List'!$A$14:$H$2841,2,FALSE)),"X",$B16)</f>
        <v/>
      </c>
      <c r="F16" s="51" t="str">
        <f>IF(ISTEXT(VLOOKUP(CONCATENATE($A16,"_",F$3),'Unit List'!$A$14:$H$2841,2,FALSE)),"X",$B16)</f>
        <v/>
      </c>
      <c r="G16" s="67" t="str">
        <f>IF(ISTEXT(VLOOKUP(CONCATENATE($A16,"_",G$3),'Unit List'!$A$14:$H$2841,2,FALSE)),"X",$B16)</f>
        <v>X</v>
      </c>
      <c r="H16" s="67" t="str">
        <f>IF(ISTEXT(VLOOKUP(CONCATENATE($A16,"_",H$3),'Unit List'!$A$14:$H$2841,2,FALSE)),"X",$B16)</f>
        <v>X</v>
      </c>
      <c r="I16" s="53" t="str">
        <f>IF(ISTEXT(VLOOKUP(CONCATENATE($A16,"_",I$3),'Unit List'!$A$14:$H$2841,2,FALSE)),"X",$B16)</f>
        <v/>
      </c>
      <c r="J16" s="172" t="str">
        <f>IF(ISTEXT(VLOOKUP(CONCATENATE($A16,"_",J$3),'Unit List'!$A$14:$H$2841,2,FALSE)),"+","")</f>
        <v/>
      </c>
      <c r="K16" s="51" t="str">
        <f>IF(ISTEXT(VLOOKUP(CONCATENATE($A16,"_",K$3),'Unit List'!$A$14:$H$2841,2,FALSE)),"X",$J16)</f>
        <v/>
      </c>
      <c r="L16" s="62" t="str">
        <f>IF(ISTEXT(VLOOKUP(CONCATENATE($A16,"_",L$3),'Unit List'!$A$14:$H$2841,2,FALSE)),"X",$J16)</f>
        <v/>
      </c>
      <c r="M16" s="172" t="str">
        <f>IF(ISTEXT(VLOOKUP(CONCATENATE($A16,"_",M$3),'Unit List'!$A$14:$H$2841,2,FALSE)),"+","")</f>
        <v/>
      </c>
      <c r="N16" s="51" t="str">
        <f>IF(ISTEXT(VLOOKUP(CONCATENATE($A16,"_",N$3),'Unit List'!$A$14:$H$2841,2,FALSE)),"X",$M16)</f>
        <v/>
      </c>
      <c r="O16" s="74" t="s">
        <v>0</v>
      </c>
      <c r="P16" s="172" t="str">
        <f>IF(ISTEXT(VLOOKUP(CONCATENATE($A16,"_",P$3),'Unit List'!$A$14:$H$2841,2,FALSE)),"+","")</f>
        <v/>
      </c>
      <c r="Q16" s="51" t="str">
        <f>IF(ISTEXT(VLOOKUP(CONCATENATE($A16,"_",Q$3),'Unit List'!$A$14:$H$2841,2,FALSE)),"X",$P16)</f>
        <v/>
      </c>
      <c r="R16" s="51" t="str">
        <f>IF(ISTEXT(VLOOKUP(CONCATENATE($A16,"_",R$3),'Unit List'!$A$14:$H$2841,2,FALSE)),"X",$P16)</f>
        <v/>
      </c>
      <c r="S16" s="51" t="str">
        <f>IF(ISTEXT(VLOOKUP(CONCATENATE($A16,"_",S$3),'Unit List'!$A$14:$H$2841,2,FALSE)),"X",$P16)</f>
        <v/>
      </c>
      <c r="T16" s="52" t="str">
        <f>IF(ISTEXT(VLOOKUP(CONCATENATE($A16,"_",T$3),'Unit List'!$A$14:$H$2841,2,FALSE)),"X",$P16)</f>
        <v/>
      </c>
      <c r="U16" s="51" t="str">
        <f>IF(ISTEXT(VLOOKUP(CONCATENATE($A16,"_",U$3),'Unit List'!$A$14:$H$2841,2,FALSE)),"X",$P16)</f>
        <v/>
      </c>
      <c r="V16" s="51" t="str">
        <f>IF(ISTEXT(VLOOKUP(CONCATENATE($A16,"_",V$3),'Unit List'!$A$14:$H$2841,2,FALSE)),"X",$P16)</f>
        <v/>
      </c>
      <c r="W16" s="53" t="str">
        <f>IF(ISTEXT(VLOOKUP(CONCATENATE($A16,"_",W$3),'Unit List'!$A$14:$H$2841,2,FALSE)),"X",$P16)</f>
        <v/>
      </c>
      <c r="X16" s="172" t="str">
        <f>IF(ISTEXT(VLOOKUP(CONCATENATE($A16,"_",X$3),'Unit List'!$A$14:$H$2841,2,FALSE)),"+","")</f>
        <v>+</v>
      </c>
      <c r="Y16" s="51" t="str">
        <f>IF(ISTEXT(VLOOKUP(CONCATENATE($A16,"_",Y$3),'Unit List'!$A$14:$H$2841,2,FALSE)),"X",$X16)</f>
        <v>+</v>
      </c>
      <c r="Z16" s="51" t="str">
        <f>IF(ISTEXT(VLOOKUP(CONCATENATE($A16,"_",Z$3),'Unit List'!$A$14:$H$2841,2,FALSE)),"X",$X16)</f>
        <v>+</v>
      </c>
      <c r="AA16" s="51" t="str">
        <f>IF(ISTEXT(VLOOKUP(CONCATENATE($A16,"_",AA$3),'Unit List'!$A$14:$H$2841,2,FALSE)),"X",$X16)</f>
        <v>+</v>
      </c>
      <c r="AB16" s="51" t="str">
        <f>IF(ISTEXT(VLOOKUP(CONCATENATE($A16,"_",AB$3),'Unit List'!$A$14:$H$2841,2,FALSE)),"X",$X16)</f>
        <v>+</v>
      </c>
      <c r="AC16" s="62" t="str">
        <f>IF(ISTEXT(VLOOKUP(CONCATENATE($A16,"_",AC$3),'Unit List'!$A$14:$H$2841,2,FALSE)),"X",$X16)</f>
        <v>+</v>
      </c>
      <c r="AD16" s="172" t="str">
        <f>IF(ISTEXT(VLOOKUP(CONCATENATE($A16,"_",AD$3),'Unit List'!$A$14:$H$2841,2,FALSE)),"+","")</f>
        <v>+</v>
      </c>
      <c r="AE16" s="51" t="str">
        <f>IF(ISTEXT(VLOOKUP(CONCATENATE($A16,"_",AE$3),'Unit List'!$A$14:$H$2841,2,FALSE)),"X",$AD16)</f>
        <v>+</v>
      </c>
      <c r="AF16" s="90" t="s">
        <v>0</v>
      </c>
      <c r="AG16" s="172" t="str">
        <f>IF(ISTEXT(VLOOKUP(CONCATENATE($A16,"_",AG$3),'Unit List'!$A$14:$H$2841,2,FALSE)),"+","")</f>
        <v/>
      </c>
      <c r="AH16" s="51" t="str">
        <f>IF(ISTEXT(VLOOKUP(CONCATENATE($A16,"_",AH$3),'Unit List'!$A$14:$H$2841,2,FALSE)),"X",$AG16)</f>
        <v/>
      </c>
      <c r="AI16" s="51" t="str">
        <f>IF(ISTEXT(VLOOKUP(CONCATENATE($A16,"_",AI$3),'Unit List'!$A$14:$H$2841,2,FALSE)),"X",$AG16)</f>
        <v/>
      </c>
      <c r="AJ16" s="53" t="str">
        <f>IF(ISTEXT(VLOOKUP(CONCATENATE($A16,"_",AJ$3),'Unit List'!$A$14:$H$2841,2,FALSE)),"X",$AG16)</f>
        <v/>
      </c>
      <c r="AK16" s="172" t="str">
        <f>IF(ISTEXT(VLOOKUP(CONCATENATE($A16,"_",AK$3),'Unit List'!$A$14:$H$2841,2,FALSE)),"+","")</f>
        <v/>
      </c>
      <c r="AL16" s="52" t="str">
        <f>IF(ISTEXT(VLOOKUP(CONCATENATE($A16,"_",AL$3),'Unit List'!$A$14:$H$2841,2,FALSE)),"X",$AK16)</f>
        <v>X</v>
      </c>
      <c r="AM16" s="53" t="str">
        <f>IF(ISTEXT(VLOOKUP(CONCATENATE($A16,"_",AM$3),'Unit List'!$A$14:$H$2841,2,FALSE)),"X",$AK16)</f>
        <v/>
      </c>
      <c r="AN16" s="125" t="str">
        <f>IF(ISTEXT(VLOOKUP(CONCATENATE($A16,"_",AN$3),'Unit List'!$A$14:$H$2841,2,FALSE)),"+","")</f>
        <v/>
      </c>
      <c r="AO16" s="53" t="str">
        <f>IF(ISTEXT(VLOOKUP(CONCATENATE($A16,"_",AO$3),'Unit List'!$A$14:$H$2841,2,FALSE)),"X",$AN16)</f>
        <v/>
      </c>
      <c r="AP16" s="172" t="str">
        <f>IF(ISTEXT(VLOOKUP(CONCATENATE($A16,"_",AP$3),'Unit List'!$A$14:$H$2841,2,FALSE)),"+","")</f>
        <v/>
      </c>
      <c r="AQ16" s="51" t="str">
        <f>IF(ISTEXT(VLOOKUP(CONCATENATE($A16,"_",AQ$3),'Unit List'!$A$14:$H$2841,2,FALSE)),"X",$AP16)</f>
        <v/>
      </c>
      <c r="AR16" s="51" t="str">
        <f>IF(ISTEXT(VLOOKUP(CONCATENATE($A16,"_",AR$3),'Unit List'!$A$14:$H$2841,2,FALSE)),"X",$AP16)</f>
        <v/>
      </c>
      <c r="AS16" s="51" t="str">
        <f>IF(ISTEXT(VLOOKUP(CONCATENATE($A16,"_",AS$3),'Unit List'!$A$14:$H$2841,2,FALSE)),"X",$AP16)</f>
        <v/>
      </c>
      <c r="AT16" s="53" t="str">
        <f>IF(ISTEXT(VLOOKUP(CONCATENATE($A16,"_",AT$3),'Unit List'!$A$14:$H$2841,2,FALSE)),"X",$AP16)</f>
        <v/>
      </c>
      <c r="AU16" s="124" t="str">
        <f>IF(ISTEXT(VLOOKUP(CONCATENATE($A16,"_",AU$3),'Unit List'!$A$14:$H$2841,2,FALSE)),"+","")</f>
        <v/>
      </c>
      <c r="AV16" s="51" t="str">
        <f>IF(ISTEXT(VLOOKUP(CONCATENATE($A16,"_",AV$3),'Unit List'!$A$14:$H$2841,2,FALSE)),"X",$AU16)</f>
        <v/>
      </c>
      <c r="AW16" s="53" t="str">
        <f>IF(ISTEXT(VLOOKUP(CONCATENATE($A16,"_",AW$3),'Unit List'!$A$14:$H$2841,2,FALSE)),"X",$AU16)</f>
        <v/>
      </c>
      <c r="AX16" s="172" t="str">
        <f>IF(ISTEXT(VLOOKUP(CONCATENATE($A16,"_",AX$3),'Unit List'!$A$14:$H$2841,2,FALSE)),"+","")</f>
        <v/>
      </c>
      <c r="AY16" s="51" t="str">
        <f>IF(ISTEXT(VLOOKUP(CONCATENATE($A16,"_",AY$3),'Unit List'!$A$14:$H$2841,2,FALSE)),"X",$AX16)</f>
        <v/>
      </c>
      <c r="AZ16" s="91" t="s">
        <v>0</v>
      </c>
      <c r="BA16" s="182" t="str">
        <f>IF(ISTEXT(VLOOKUP(CONCATENATE($A16,"_",BA$3),'Unit List'!$A$14:$H$2841,2,FALSE)),"+","")</f>
        <v/>
      </c>
      <c r="BB16" s="51" t="str">
        <f>IF(ISTEXT(VLOOKUP(CONCATENATE($A16,"_",BB$3),'Unit List'!$A$14:$H$2841,2,FALSE)),"X",$BA16)</f>
        <v/>
      </c>
      <c r="BC16" s="51" t="str">
        <f>IF(ISTEXT(VLOOKUP(CONCATENATE($A16,"_",BC$3),'Unit List'!$A$14:$H$2841,2,FALSE)),"X",$BA16)</f>
        <v/>
      </c>
      <c r="BD16" s="53" t="str">
        <f>IF(ISTEXT(VLOOKUP(CONCATENATE($A16,"_",BD$3),'Unit List'!$A$14:$H$2841,2,FALSE)),"X",$BA16)</f>
        <v/>
      </c>
      <c r="BE16" s="125" t="str">
        <f>IF(ISTEXT(VLOOKUP(CONCATENATE($A16,"_",BE$3),'Unit List'!$A$14:$H$2841,2,FALSE)),"+","")</f>
        <v/>
      </c>
      <c r="BF16" s="62" t="str">
        <f>IF(ISTEXT(VLOOKUP(CONCATENATE($A16,"_",BF$3),'Unit List'!$A$14:$H$2841,2,FALSE)),"X",$BE16)</f>
        <v/>
      </c>
      <c r="BG16" s="64"/>
      <c r="BH16" s="65" t="s">
        <v>0</v>
      </c>
      <c r="BI16" s="203"/>
      <c r="BJ16" s="204"/>
      <c r="BK16" s="204"/>
      <c r="BL16" s="204"/>
      <c r="BM16" s="205"/>
      <c r="BN16" s="54"/>
      <c r="BO16" s="54"/>
      <c r="BP16" s="54"/>
      <c r="BQ16" s="54"/>
      <c r="BR16" s="54"/>
      <c r="BS16" s="54"/>
      <c r="DZ16" s="55"/>
      <c r="EA16" s="55"/>
    </row>
    <row r="17" spans="1:131" ht="12.75" customHeight="1" x14ac:dyDescent="0.2">
      <c r="A17" s="56" t="s">
        <v>1106</v>
      </c>
      <c r="B17" s="181" t="str">
        <f>IF(ISTEXT(VLOOKUP(CONCATENATE($A17,"_",B$3),'Unit List'!$A$14:$H$2841,2,FALSE)),"+","")</f>
        <v/>
      </c>
      <c r="C17" s="57" t="str">
        <f>IF(ISTEXT(VLOOKUP(CONCATENATE($A17,"_",C$3),'Unit List'!$A$14:$H$2841,2,FALSE)),"X",$B17)</f>
        <v/>
      </c>
      <c r="D17" s="51" t="str">
        <f>IF(ISTEXT(VLOOKUP(CONCATENATE($A17,"_",D$3),'Unit List'!$A$14:$H$2841,2,FALSE)),"X",$B17)</f>
        <v/>
      </c>
      <c r="E17" s="51" t="str">
        <f>IF(ISTEXT(VLOOKUP(CONCATENATE($A17,"_",E$3),'Unit List'!$A$14:$H$2841,2,FALSE)),"X",$B17)</f>
        <v/>
      </c>
      <c r="F17" s="51" t="str">
        <f>IF(ISTEXT(VLOOKUP(CONCATENATE($A17,"_",F$3),'Unit List'!$A$14:$H$2841,2,FALSE)),"X",$B17)</f>
        <v/>
      </c>
      <c r="G17" s="51" t="str">
        <f>IF(ISTEXT(VLOOKUP(CONCATENATE($A17,"_",G$3),'Unit List'!$A$14:$H$2841,2,FALSE)),"X",$B17)</f>
        <v/>
      </c>
      <c r="H17" s="51" t="str">
        <f>IF(ISTEXT(VLOOKUP(CONCATENATE($A17,"_",H$3),'Unit List'!$A$14:$H$2841,2,FALSE)),"X",$B17)</f>
        <v/>
      </c>
      <c r="I17" s="53" t="str">
        <f>IF(ISTEXT(VLOOKUP(CONCATENATE($A17,"_",I$3),'Unit List'!$A$14:$H$2841,2,FALSE)),"X",$B17)</f>
        <v/>
      </c>
      <c r="J17" s="172" t="str">
        <f>IF(ISTEXT(VLOOKUP(CONCATENATE($A17,"_",J$3),'Unit List'!$A$14:$H$2841,2,FALSE)),"+","")</f>
        <v/>
      </c>
      <c r="K17" s="51" t="str">
        <f>IF(ISTEXT(VLOOKUP(CONCATENATE($A17,"_",K$3),'Unit List'!$A$14:$H$2841,2,FALSE)),"X",$J17)</f>
        <v/>
      </c>
      <c r="L17" s="62" t="str">
        <f>IF(ISTEXT(VLOOKUP(CONCATENATE($A17,"_",L$3),'Unit List'!$A$14:$H$2841,2,FALSE)),"X",$J17)</f>
        <v/>
      </c>
      <c r="M17" s="172" t="str">
        <f>IF(ISTEXT(VLOOKUP(CONCATENATE($A17,"_",M$3),'Unit List'!$A$14:$H$2841,2,FALSE)),"+","")</f>
        <v/>
      </c>
      <c r="N17" s="51" t="str">
        <f>IF(ISTEXT(VLOOKUP(CONCATENATE($A17,"_",N$3),'Unit List'!$A$14:$H$2841,2,FALSE)),"X",$M17)</f>
        <v/>
      </c>
      <c r="O17" s="53" t="str">
        <f>IF(ISTEXT(VLOOKUP(CONCATENATE($A17,"_",O$3),'Unit List'!$A$14:$H$2841,2,FALSE)),"X",$M17)</f>
        <v/>
      </c>
      <c r="P17" s="172" t="str">
        <f>IF(ISTEXT(VLOOKUP(CONCATENATE($A17,"_",P$3),'Unit List'!$A$14:$H$2841,2,FALSE)),"+","")</f>
        <v/>
      </c>
      <c r="Q17" s="51" t="str">
        <f>IF(ISTEXT(VLOOKUP(CONCATENATE($A17,"_",Q$3),'Unit List'!$A$14:$H$2841,2,FALSE)),"X",$P17)</f>
        <v/>
      </c>
      <c r="R17" s="51" t="str">
        <f>IF(ISTEXT(VLOOKUP(CONCATENATE($A17,"_",R$3),'Unit List'!$A$14:$H$2841,2,FALSE)),"X",$P17)</f>
        <v/>
      </c>
      <c r="S17" s="51" t="str">
        <f>IF(ISTEXT(VLOOKUP(CONCATENATE($A17,"_",S$3),'Unit List'!$A$14:$H$2841,2,FALSE)),"X",$P17)</f>
        <v/>
      </c>
      <c r="T17" s="52" t="str">
        <f>IF(ISTEXT(VLOOKUP(CONCATENATE($A17,"_",T$3),'Unit List'!$A$14:$H$2841,2,FALSE)),"X",$P17)</f>
        <v/>
      </c>
      <c r="U17" s="51" t="str">
        <f>IF(ISTEXT(VLOOKUP(CONCATENATE($A17,"_",U$3),'Unit List'!$A$14:$H$2841,2,FALSE)),"X",$P17)</f>
        <v/>
      </c>
      <c r="V17" s="51" t="str">
        <f>IF(ISTEXT(VLOOKUP(CONCATENATE($A17,"_",V$3),'Unit List'!$A$14:$H$2841,2,FALSE)),"X",$P17)</f>
        <v/>
      </c>
      <c r="W17" s="53" t="str">
        <f>IF(ISTEXT(VLOOKUP(CONCATENATE($A17,"_",W$3),'Unit List'!$A$14:$H$2841,2,FALSE)),"X",$P17)</f>
        <v/>
      </c>
      <c r="X17" s="172" t="str">
        <f>IF(ISTEXT(VLOOKUP(CONCATENATE($A17,"_",X$3),'Unit List'!$A$14:$H$2841,2,FALSE)),"+","")</f>
        <v/>
      </c>
      <c r="Y17" s="51" t="str">
        <f>IF(ISTEXT(VLOOKUP(CONCATENATE($A17,"_",Y$3),'Unit List'!$A$14:$H$2841,2,FALSE)),"X",$X17)</f>
        <v/>
      </c>
      <c r="Z17" s="51" t="str">
        <f>IF(ISTEXT(VLOOKUP(CONCATENATE($A17,"_",Z$3),'Unit List'!$A$14:$H$2841,2,FALSE)),"X",$X17)</f>
        <v/>
      </c>
      <c r="AA17" s="51" t="str">
        <f>IF(ISTEXT(VLOOKUP(CONCATENATE($A17,"_",AA$3),'Unit List'!$A$14:$H$2841,2,FALSE)),"X",$X17)</f>
        <v/>
      </c>
      <c r="AB17" s="89" t="s">
        <v>0</v>
      </c>
      <c r="AC17" s="62" t="str">
        <f>IF(ISTEXT(VLOOKUP(CONCATENATE($A17,"_",AC$3),'Unit List'!$A$14:$H$2841,2,FALSE)),"X",$X17)</f>
        <v/>
      </c>
      <c r="AD17" s="172" t="str">
        <f>IF(ISTEXT(VLOOKUP(CONCATENATE($A17,"_",AD$3),'Unit List'!$A$14:$H$2841,2,FALSE)),"+","")</f>
        <v>+</v>
      </c>
      <c r="AE17" s="51" t="str">
        <f>IF(ISTEXT(VLOOKUP(CONCATENATE($A17,"_",AE$3),'Unit List'!$A$14:$H$2841,2,FALSE)),"X",$AD17)</f>
        <v>+</v>
      </c>
      <c r="AF17" s="51" t="str">
        <f>IF(ISTEXT(VLOOKUP(CONCATENATE($A17,"_",AF$3),'Unit List'!$A$14:$H$2841,2,FALSE)),"X",$AD17)</f>
        <v>+</v>
      </c>
      <c r="AG17" s="172" t="str">
        <f>IF(ISTEXT(VLOOKUP(CONCATENATE($A17,"_",AG$3),'Unit List'!$A$14:$H$2841,2,FALSE)),"+","")</f>
        <v>+</v>
      </c>
      <c r="AH17" s="51" t="str">
        <f>IF(ISTEXT(VLOOKUP(CONCATENATE($A17,"_",AH$3),'Unit List'!$A$14:$H$2841,2,FALSE)),"X",$AG17)</f>
        <v>+</v>
      </c>
      <c r="AI17" s="51" t="str">
        <f>IF(ISTEXT(VLOOKUP(CONCATENATE($A17,"_",AI$3),'Unit List'!$A$14:$H$2841,2,FALSE)),"X",$AG17)</f>
        <v>+</v>
      </c>
      <c r="AJ17" s="53" t="str">
        <f>IF(ISTEXT(VLOOKUP(CONCATENATE($A17,"_",AJ$3),'Unit List'!$A$14:$H$2841,2,FALSE)),"X",$AG17)</f>
        <v>+</v>
      </c>
      <c r="AK17" s="172" t="str">
        <f>IF(ISTEXT(VLOOKUP(CONCATENATE($A17,"_",AK$3),'Unit List'!$A$14:$H$2841,2,FALSE)),"+","")</f>
        <v/>
      </c>
      <c r="AL17" s="92" t="s">
        <v>0</v>
      </c>
      <c r="AM17" s="53" t="str">
        <f>IF(ISTEXT(VLOOKUP(CONCATENATE($A17,"_",AM$3),'Unit List'!$A$14:$H$2841,2,FALSE)),"X",$AK17)</f>
        <v/>
      </c>
      <c r="AN17" s="125" t="str">
        <f>IF(ISTEXT(VLOOKUP(CONCATENATE($A17,"_",AN$3),'Unit List'!$A$14:$H$2841,2,FALSE)),"+","")</f>
        <v/>
      </c>
      <c r="AO17" s="74" t="s">
        <v>0</v>
      </c>
      <c r="AP17" s="172" t="str">
        <f>IF(ISTEXT(VLOOKUP(CONCATENATE($A17,"_",AP$3),'Unit List'!$A$14:$H$2841,2,FALSE)),"+","")</f>
        <v>+</v>
      </c>
      <c r="AQ17" s="51" t="str">
        <f>IF(ISTEXT(VLOOKUP(CONCATENATE($A17,"_",AQ$3),'Unit List'!$A$14:$H$2841,2,FALSE)),"X",$AP17)</f>
        <v>+</v>
      </c>
      <c r="AR17" s="51" t="str">
        <f>IF(ISTEXT(VLOOKUP(CONCATENATE($A17,"_",AR$3),'Unit List'!$A$14:$H$2841,2,FALSE)),"X",$AP17)</f>
        <v>+</v>
      </c>
      <c r="AS17" s="51" t="str">
        <f>IF(ISTEXT(VLOOKUP(CONCATENATE($A17,"_",AS$3),'Unit List'!$A$14:$H$2841,2,FALSE)),"X",$AP17)</f>
        <v>+</v>
      </c>
      <c r="AT17" s="53" t="str">
        <f>IF(ISTEXT(VLOOKUP(CONCATENATE($A17,"_",AT$3),'Unit List'!$A$14:$H$2841,2,FALSE)),"X",$AP17)</f>
        <v>+</v>
      </c>
      <c r="AU17" s="124" t="str">
        <f>IF(ISTEXT(VLOOKUP(CONCATENATE($A17,"_",AU$3),'Unit List'!$A$14:$H$2841,2,FALSE)),"+","")</f>
        <v/>
      </c>
      <c r="AV17" s="51" t="str">
        <f>IF(ISTEXT(VLOOKUP(CONCATENATE($A17,"_",AV$3),'Unit List'!$A$14:$H$2841,2,FALSE)),"X",$AU17)</f>
        <v/>
      </c>
      <c r="AW17" s="53" t="str">
        <f>IF(ISTEXT(VLOOKUP(CONCATENATE($A17,"_",AW$3),'Unit List'!$A$14:$H$2841,2,FALSE)),"X",$AU17)</f>
        <v/>
      </c>
      <c r="AX17" s="171" t="str">
        <f>IF(ISTEXT(VLOOKUP(CONCATENATE($A17,"_",AX$3),'Unit List'!$A$14:$H$2841,2,FALSE)),"+","")</f>
        <v>+</v>
      </c>
      <c r="AY17" s="67" t="str">
        <f>IF(ISTEXT(VLOOKUP(CONCATENATE($A17,"_",AY$3),'Unit List'!$A$14:$H$2841,2,FALSE)),"X",$AX17)</f>
        <v>+</v>
      </c>
      <c r="AZ17" s="70" t="str">
        <f>IF(ISTEXT(VLOOKUP(CONCATENATE($A17,"_",AZ$3),'Unit List'!$A$14:$H$2841,2,FALSE)),"X",$AX17)</f>
        <v>+</v>
      </c>
      <c r="BA17" s="182" t="str">
        <f>IF(ISTEXT(VLOOKUP(CONCATENATE($A17,"_",BA$3),'Unit List'!$A$14:$H$2841,2,FALSE)),"+","")</f>
        <v/>
      </c>
      <c r="BB17" s="51" t="str">
        <f>IF(ISTEXT(VLOOKUP(CONCATENATE($A17,"_",BB$3),'Unit List'!$A$14:$H$2841,2,FALSE)),"X",$BA17)</f>
        <v/>
      </c>
      <c r="BC17" s="51" t="str">
        <f>IF(ISTEXT(VLOOKUP(CONCATENATE($A17,"_",BC$3),'Unit List'!$A$14:$H$2841,2,FALSE)),"X",$BA17)</f>
        <v/>
      </c>
      <c r="BD17" s="53" t="str">
        <f>IF(ISTEXT(VLOOKUP(CONCATENATE($A17,"_",BD$3),'Unit List'!$A$14:$H$2841,2,FALSE)),"X",$BA17)</f>
        <v/>
      </c>
      <c r="BE17" s="125" t="str">
        <f>IF(ISTEXT(VLOOKUP(CONCATENATE($A17,"_",BE$3),'Unit List'!$A$14:$H$2841,2,FALSE)),"+","")</f>
        <v/>
      </c>
      <c r="BF17" s="62" t="str">
        <f>IF(ISTEXT(VLOOKUP(CONCATENATE($A17,"_",BF$3),'Unit List'!$A$14:$H$2841,2,FALSE)),"X",$BE17)</f>
        <v/>
      </c>
      <c r="BG17" s="75"/>
      <c r="BH17" s="76" t="s">
        <v>0</v>
      </c>
      <c r="BI17" s="203" t="s">
        <v>1301</v>
      </c>
      <c r="BJ17" s="204"/>
      <c r="BK17" s="204"/>
      <c r="BL17" s="204"/>
      <c r="BM17" s="205"/>
      <c r="BN17" s="54"/>
      <c r="BO17" s="54"/>
      <c r="BP17" s="54"/>
      <c r="BQ17" s="54"/>
      <c r="BR17" s="54"/>
      <c r="BS17" s="54"/>
      <c r="DZ17" s="55"/>
      <c r="EA17" s="55"/>
    </row>
    <row r="18" spans="1:131" ht="12.75" customHeight="1" x14ac:dyDescent="0.2">
      <c r="A18" s="56" t="s">
        <v>1273</v>
      </c>
      <c r="B18" s="181" t="str">
        <f>IF(ISTEXT(VLOOKUP(CONCATENATE($A18,"_",B$3),'Unit List'!$A$14:$H$2841,2,FALSE)),"+","")</f>
        <v/>
      </c>
      <c r="C18" s="93" t="str">
        <f>IF(ISTEXT(VLOOKUP(CONCATENATE($A18,"_",C$3),'Unit List'!$A$14:$H$2841,2,FALSE)),"X",$B18)</f>
        <v/>
      </c>
      <c r="D18" s="60" t="str">
        <f>IF(ISTEXT(VLOOKUP(CONCATENATE($A18,"_",D$3),'Unit List'!$A$14:$H$2841,2,FALSE)),"X",$B18)</f>
        <v/>
      </c>
      <c r="E18" s="51" t="str">
        <f>IF(ISTEXT(VLOOKUP(CONCATENATE($A18,"_",E$3),'Unit List'!$A$14:$H$2841,2,FALSE)),"X",$B18)</f>
        <v/>
      </c>
      <c r="F18" s="67" t="str">
        <f>IF(ISTEXT(VLOOKUP(CONCATENATE($A18,"_",F$3),'Unit List'!$A$14:$H$2841,2,FALSE)),"X",$B18)</f>
        <v>X</v>
      </c>
      <c r="G18" s="67" t="str">
        <f>IF(ISTEXT(VLOOKUP(CONCATENATE($A18,"_",G$3),'Unit List'!$A$14:$H$2841,2,FALSE)),"X",$B18)</f>
        <v>X</v>
      </c>
      <c r="H18" s="67" t="str">
        <f>IF(ISTEXT(VLOOKUP(CONCATENATE($A18,"_",H$3),'Unit List'!$A$14:$H$2841,2,FALSE)),"X",$B18)</f>
        <v>X</v>
      </c>
      <c r="I18" s="53" t="str">
        <f>IF(ISTEXT(VLOOKUP(CONCATENATE($A18,"_",I$3),'Unit List'!$A$14:$H$2841,2,FALSE)),"X",$B18)</f>
        <v>X</v>
      </c>
      <c r="J18" s="172" t="str">
        <f>IF(ISTEXT(VLOOKUP(CONCATENATE($A18,"_",J$3),'Unit List'!$A$14:$H$2841,2,FALSE)),"+","")</f>
        <v>+</v>
      </c>
      <c r="K18" s="94" t="str">
        <f>IF(ISTEXT(VLOOKUP(CONCATENATE($A18,"_",K$3),'Unit List'!$A$14:$H$2841,2,FALSE)),"X",$J18)</f>
        <v>+</v>
      </c>
      <c r="L18" s="68" t="str">
        <f>IF(ISTEXT(VLOOKUP(CONCATENATE($A18,"_",L$3),'Unit List'!$A$14:$H$2841,2,FALSE)),"X",$J18)</f>
        <v>+</v>
      </c>
      <c r="M18" s="172" t="str">
        <f>IF(ISTEXT(VLOOKUP(CONCATENATE($A18,"_",M$3),'Unit List'!$A$14:$H$2841,2,FALSE)),"+","")</f>
        <v>+</v>
      </c>
      <c r="N18" s="51" t="str">
        <f>IF(ISTEXT(VLOOKUP(CONCATENATE($A18,"_",N$3),'Unit List'!$A$14:$H$2841,2,FALSE)),"X",$M18)</f>
        <v>+</v>
      </c>
      <c r="O18" s="70" t="str">
        <f>IF(ISTEXT(VLOOKUP(CONCATENATE($A18,"_",O$3),'Unit List'!$A$14:$H$2841,2,FALSE)),"X",$M18)</f>
        <v>X</v>
      </c>
      <c r="P18" s="172" t="str">
        <f>IF(ISTEXT(VLOOKUP(CONCATENATE($A18,"_",P$3),'Unit List'!$A$14:$H$2841,2,FALSE)),"+","")</f>
        <v>+</v>
      </c>
      <c r="Q18" s="51" t="str">
        <f>IF(ISTEXT(VLOOKUP(CONCATENATE($A18,"_",Q$3),'Unit List'!$A$14:$H$2841,2,FALSE)),"X",$P18)</f>
        <v>+</v>
      </c>
      <c r="R18" s="51" t="str">
        <f>IF(ISTEXT(VLOOKUP(CONCATENATE($A18,"_",R$3),'Unit List'!$A$14:$H$2841,2,FALSE)),"X",$P18)</f>
        <v>+</v>
      </c>
      <c r="S18" s="67" t="str">
        <f>IF(ISTEXT(VLOOKUP(CONCATENATE($A18,"_",S$3),'Unit List'!$A$14:$H$2841,2,FALSE)),"X",$P18)</f>
        <v>X</v>
      </c>
      <c r="T18" s="52" t="str">
        <f>IF(ISTEXT(VLOOKUP(CONCATENATE($A18,"_",T$3),'Unit List'!$A$14:$H$2841,2,FALSE)),"X",$P18)</f>
        <v>+</v>
      </c>
      <c r="U18" s="67" t="str">
        <f>IF(ISTEXT(VLOOKUP(CONCATENATE($A18,"_",U$3),'Unit List'!$A$14:$H$2841,2,FALSE)),"X",$P18)</f>
        <v>X</v>
      </c>
      <c r="V18" s="67" t="str">
        <f>IF(ISTEXT(VLOOKUP(CONCATENATE($A18,"_",V$3),'Unit List'!$A$14:$H$2841,2,FALSE)),"X",$P18)</f>
        <v>X</v>
      </c>
      <c r="W18" s="53" t="str">
        <f>IF(ISTEXT(VLOOKUP(CONCATENATE($A18,"_",W$3),'Unit List'!$A$14:$H$2841,2,FALSE)),"X",$P18)</f>
        <v>+</v>
      </c>
      <c r="X18" s="171" t="str">
        <f>IF(ISTEXT(VLOOKUP(CONCATENATE($A18,"_",X$3),'Unit List'!$A$14:$H$2841,2,FALSE)),"+","")</f>
        <v>+</v>
      </c>
      <c r="Y18" s="67" t="str">
        <f>IF(ISTEXT(VLOOKUP(CONCATENATE($A18,"_",Y$3),'Unit List'!$A$14:$H$2841,2,FALSE)),"X",$X18)</f>
        <v>+</v>
      </c>
      <c r="Z18" s="51" t="str">
        <f>IF(ISTEXT(VLOOKUP(CONCATENATE($A18,"_",Z$3),'Unit List'!$A$14:$H$2841,2,FALSE)),"X",$X18)</f>
        <v>+</v>
      </c>
      <c r="AA18" s="67" t="str">
        <f>IF(ISTEXT(VLOOKUP(CONCATENATE($A18,"_",AA$3),'Unit List'!$A$14:$H$2841,2,FALSE)),"X",$X18)</f>
        <v>X</v>
      </c>
      <c r="AB18" s="67" t="str">
        <f>IF(ISTEXT(VLOOKUP(CONCATENATE($A18,"_",AB$3),'Unit List'!$A$14:$H$2841,2,FALSE)),"X",$X18)</f>
        <v>X</v>
      </c>
      <c r="AC18" s="86" t="str">
        <f>IF(ISTEXT(VLOOKUP(CONCATENATE($A18,"_",AC$3),'Unit List'!$A$14:$H$2841,2,FALSE)),"X",$X18)</f>
        <v>X</v>
      </c>
      <c r="AD18" s="171" t="str">
        <f>IF(ISTEXT(VLOOKUP(CONCATENATE($A18,"_",AD$3),'Unit List'!$A$14:$H$2841,2,FALSE)),"+","")</f>
        <v/>
      </c>
      <c r="AE18" s="51" t="str">
        <f>IF(ISTEXT(VLOOKUP(CONCATENATE($A18,"_",AE$3),'Unit List'!$A$14:$H$2841,2,FALSE)),"X",$AD18)</f>
        <v/>
      </c>
      <c r="AF18" s="51" t="str">
        <f>IF(ISTEXT(VLOOKUP(CONCATENATE($A18,"_",AF$3),'Unit List'!$A$14:$H$2841,2,FALSE)),"X",$AD18)</f>
        <v/>
      </c>
      <c r="AG18" s="171" t="str">
        <f>IF(ISTEXT(VLOOKUP(CONCATENATE($A18,"_",AG$3),'Unit List'!$A$14:$H$2841,2,FALSE)),"+","")</f>
        <v>+</v>
      </c>
      <c r="AH18" s="67" t="str">
        <f>IF(ISTEXT(VLOOKUP(CONCATENATE($A18,"_",AH$3),'Unit List'!$A$14:$H$2841,2,FALSE)),"X",$AG18)</f>
        <v>+</v>
      </c>
      <c r="AI18" s="51" t="str">
        <f>IF(ISTEXT(VLOOKUP(CONCATENATE($A18,"_",AI$3),'Unit List'!$A$14:$H$2841,2,FALSE)),"X",$AG18)</f>
        <v>X</v>
      </c>
      <c r="AJ18" s="53" t="str">
        <f>IF(ISTEXT(VLOOKUP(CONCATENATE($A18,"_",AJ$3),'Unit List'!$A$14:$H$2841,2,FALSE)),"X",$AG18)</f>
        <v>+</v>
      </c>
      <c r="AK18" s="171" t="str">
        <f>IF(ISTEXT(VLOOKUP(CONCATENATE($A18,"_",AK$3),'Unit List'!$A$14:$H$2841,2,FALSE)),"+","")</f>
        <v>+</v>
      </c>
      <c r="AL18" s="52" t="str">
        <f>IF(ISTEXT(VLOOKUP(CONCATENATE($A18,"_",AL$3),'Unit List'!$A$14:$H$2841,2,FALSE)),"X",$AK18)</f>
        <v>+</v>
      </c>
      <c r="AM18" s="70" t="str">
        <f>IF(ISTEXT(VLOOKUP(CONCATENATE($A18,"_",AM$3),'Unit List'!$A$14:$H$2841,2,FALSE)),"X",$AK18)</f>
        <v>+</v>
      </c>
      <c r="AN18" s="125" t="str">
        <f>IF(ISTEXT(VLOOKUP(CONCATENATE($A18,"_",AN$3),'Unit List'!$A$14:$H$2841,2,FALSE)),"+","")</f>
        <v>+</v>
      </c>
      <c r="AO18" s="70" t="str">
        <f>IF(ISTEXT(VLOOKUP(CONCATENATE($A18,"_",AO$3),'Unit List'!$A$14:$H$2841,2,FALSE)),"X",$AN18)</f>
        <v>X</v>
      </c>
      <c r="AP18" s="171" t="str">
        <f>IF(ISTEXT(VLOOKUP(CONCATENATE($A18,"_",AP$3),'Unit List'!$A$14:$H$2841,2,FALSE)),"+","")</f>
        <v>+</v>
      </c>
      <c r="AQ18" s="67" t="str">
        <f>IF(ISTEXT(VLOOKUP(CONCATENATE($A18,"_",AQ$3),'Unit List'!$A$14:$H$2841,2,FALSE)),"X",$AP18)</f>
        <v>X</v>
      </c>
      <c r="AR18" s="67" t="str">
        <f>IF(ISTEXT(VLOOKUP(CONCATENATE($A18,"_",AR$3),'Unit List'!$A$14:$H$2841,2,FALSE)),"X",$AP18)</f>
        <v>X</v>
      </c>
      <c r="AS18" s="67" t="str">
        <f>IF(ISTEXT(VLOOKUP(CONCATENATE($A18,"_",AS$3),'Unit List'!$A$14:$H$2841,2,FALSE)),"X",$AP18)</f>
        <v>X</v>
      </c>
      <c r="AT18" s="70" t="str">
        <f>IF(ISTEXT(VLOOKUP(CONCATENATE($A18,"_",AT$3),'Unit List'!$A$14:$H$2841,2,FALSE)),"X",$AP18)</f>
        <v>X</v>
      </c>
      <c r="AU18" s="124" t="str">
        <f>IF(ISTEXT(VLOOKUP(CONCATENATE($A18,"_",AU$3),'Unit List'!$A$14:$H$2841,2,FALSE)),"+","")</f>
        <v>+</v>
      </c>
      <c r="AV18" s="51" t="str">
        <f>IF(ISTEXT(VLOOKUP(CONCATENATE($A18,"_",AV$3),'Unit List'!$A$14:$H$2841,2,FALSE)),"X",$AU18)</f>
        <v>+</v>
      </c>
      <c r="AW18" s="53" t="str">
        <f>IF(ISTEXT(VLOOKUP(CONCATENATE($A18,"_",AW$3),'Unit List'!$A$14:$H$2841,2,FALSE)),"X",$AU18)</f>
        <v>+</v>
      </c>
      <c r="AX18" s="171" t="str">
        <f>IF(ISTEXT(VLOOKUP(CONCATENATE($A18,"_",AX$3),'Unit List'!$A$14:$H$2841,2,FALSE)),"+","")</f>
        <v>+</v>
      </c>
      <c r="AY18" s="67" t="str">
        <f>IF(ISTEXT(VLOOKUP(CONCATENATE($A18,"_",AY$3),'Unit List'!$A$14:$H$2841,2,FALSE)),"X",$AX18)</f>
        <v>+</v>
      </c>
      <c r="AZ18" s="70" t="str">
        <f>IF(ISTEXT(VLOOKUP(CONCATENATE($A18,"_",AZ$3),'Unit List'!$A$14:$H$2841,2,FALSE)),"X",$AX18)</f>
        <v>+</v>
      </c>
      <c r="BA18" s="171" t="str">
        <f>IF(ISTEXT(VLOOKUP(CONCATENATE($A18,"_",BA$3),'Unit List'!$A$14:$H$2841,2,FALSE)),"+","")</f>
        <v>+</v>
      </c>
      <c r="BB18" s="67" t="str">
        <f>IF(ISTEXT(VLOOKUP(CONCATENATE($A18,"_",BB$3),'Unit List'!$A$14:$H$2841,2,FALSE)),"X",$BA18)</f>
        <v>X</v>
      </c>
      <c r="BC18" s="67" t="str">
        <f>IF(ISTEXT(VLOOKUP(CONCATENATE($A18,"_",BC$3),'Unit List'!$A$14:$H$2841,2,FALSE)),"X",$BA18)</f>
        <v>X</v>
      </c>
      <c r="BD18" s="70" t="str">
        <f>IF(ISTEXT(VLOOKUP(CONCATENATE($A18,"_",BD$3),'Unit List'!$A$14:$H$2841,2,FALSE)),"X",$BA18)</f>
        <v>X</v>
      </c>
      <c r="BE18" s="125" t="str">
        <f>IF(ISTEXT(VLOOKUP(CONCATENATE($A18,"_",BE$3),'Unit List'!$A$14:$H$2841,2,FALSE)),"+","")</f>
        <v>+</v>
      </c>
      <c r="BF18" s="62" t="str">
        <f>IF(ISTEXT(VLOOKUP(CONCATENATE($A18,"_",BF$3),'Unit List'!$A$14:$H$2841,2,FALSE)),"X",$BE18)</f>
        <v>+</v>
      </c>
      <c r="BG18" s="75"/>
      <c r="BH18" s="84"/>
      <c r="BI18" s="203" t="s">
        <v>12</v>
      </c>
      <c r="BJ18" s="206"/>
      <c r="BK18" s="206"/>
      <c r="BL18" s="206"/>
      <c r="BM18" s="207"/>
      <c r="BN18" s="54"/>
      <c r="BO18" s="54"/>
      <c r="BP18" s="54"/>
      <c r="BQ18" s="54"/>
      <c r="BR18" s="54"/>
      <c r="BS18" s="54"/>
      <c r="DZ18" s="55"/>
      <c r="EA18" s="55"/>
    </row>
    <row r="19" spans="1:131" ht="12.75" customHeight="1" x14ac:dyDescent="0.2">
      <c r="A19" s="56" t="s">
        <v>34</v>
      </c>
      <c r="B19" s="181" t="str">
        <f>IF(ISTEXT(VLOOKUP(CONCATENATE($A19,"_",B$3),'Unit List'!$A$14:$H$2841,2,FALSE)),"+","")</f>
        <v/>
      </c>
      <c r="C19" s="82" t="str">
        <f>IF(ISTEXT(VLOOKUP(CONCATENATE($A19,"_",C$3),'Unit List'!$A$14:$H$2841,2,FALSE)),"X",$B19)</f>
        <v>X</v>
      </c>
      <c r="D19" s="60" t="str">
        <f>IF(ISTEXT(VLOOKUP(CONCATENATE($A19,"_",D$3),'Unit List'!$A$14:$H$2841,2,FALSE)),"X",$B19)</f>
        <v/>
      </c>
      <c r="E19" s="51" t="str">
        <f>IF(ISTEXT(VLOOKUP(CONCATENATE($A19,"_",E$3),'Unit List'!$A$14:$H$2841,2,FALSE)),"X",$B19)</f>
        <v/>
      </c>
      <c r="F19" s="72" t="s">
        <v>0</v>
      </c>
      <c r="G19" s="67" t="str">
        <f>IF(ISTEXT(VLOOKUP(CONCATENATE($A19,"_",G$3),'Unit List'!$A$14:$H$2841,2,FALSE)),"X",$B19)</f>
        <v>X</v>
      </c>
      <c r="H19" s="67" t="str">
        <f>IF(ISTEXT(VLOOKUP(CONCATENATE($A19,"_",H$3),'Unit List'!$A$14:$H$2841,2,FALSE)),"X",$B19)</f>
        <v>X</v>
      </c>
      <c r="I19" s="53" t="str">
        <f>IF(ISTEXT(VLOOKUP(CONCATENATE($A19,"_",I$3),'Unit List'!$A$14:$H$2841,2,FALSE)),"X",$B19)</f>
        <v/>
      </c>
      <c r="J19" s="172" t="str">
        <f>IF(ISTEXT(VLOOKUP(CONCATENATE($A19,"_",J$3),'Unit List'!$A$14:$H$2841,2,FALSE)),"+","")</f>
        <v>+</v>
      </c>
      <c r="K19" s="94" t="str">
        <f>IF(ISTEXT(VLOOKUP(CONCATENATE($A19,"_",K$3),'Unit List'!$A$14:$H$2841,2,FALSE)),"X",$J19)</f>
        <v>+</v>
      </c>
      <c r="L19" s="68" t="str">
        <f>IF(ISTEXT(VLOOKUP(CONCATENATE($A19,"_",L$3),'Unit List'!$A$14:$H$2841,2,FALSE)),"X",$J19)</f>
        <v>+</v>
      </c>
      <c r="M19" s="172" t="str">
        <f>IF(ISTEXT(VLOOKUP(CONCATENATE($A19,"_",M$3),'Unit List'!$A$14:$H$2841,2,FALSE)),"+","")</f>
        <v/>
      </c>
      <c r="N19" s="51" t="str">
        <f>IF(ISTEXT(VLOOKUP(CONCATENATE($A19,"_",N$3),'Unit List'!$A$14:$H$2841,2,FALSE)),"X",$M19)</f>
        <v/>
      </c>
      <c r="O19" s="70" t="str">
        <f>IF(ISTEXT(VLOOKUP(CONCATENATE($A19,"_",O$3),'Unit List'!$A$14:$H$2841,2,FALSE)),"X",$M19)</f>
        <v>X</v>
      </c>
      <c r="P19" s="172" t="str">
        <f>IF(ISTEXT(VLOOKUP(CONCATENATE($A19,"_",P$3),'Unit List'!$A$14:$H$2841,2,FALSE)),"+","")</f>
        <v>+</v>
      </c>
      <c r="Q19" s="69" t="str">
        <f>IF(ISTEXT(VLOOKUP(CONCATENATE($A19,"_",Q$3),'Unit List'!$A$14:$H$2841,2,FALSE)),"X",$P19)</f>
        <v>+</v>
      </c>
      <c r="R19" s="69" t="str">
        <f>IF(ISTEXT(VLOOKUP(CONCATENATE($A19,"_",R$3),'Unit List'!$A$14:$H$2841,2,FALSE)),"X",$P19)</f>
        <v>+</v>
      </c>
      <c r="S19" s="51" t="str">
        <f>IF(ISTEXT(VLOOKUP(CONCATENATE($A19,"_",S$3),'Unit List'!$A$14:$H$2841,2,FALSE)),"X",$P19)</f>
        <v>X</v>
      </c>
      <c r="T19" s="183" t="str">
        <f>IF(ISTEXT(VLOOKUP(CONCATENATE($A19,"_",T$3),'Unit List'!$A$14:$H$2841,2,FALSE)),"X",$P19)</f>
        <v>+</v>
      </c>
      <c r="U19" s="67" t="str">
        <f>IF(ISTEXT(VLOOKUP(CONCATENATE($A19,"_",U$3),'Unit List'!$A$14:$H$2841,2,FALSE)),"X",$P19)</f>
        <v>X</v>
      </c>
      <c r="V19" s="67" t="str">
        <f>IF(ISTEXT(VLOOKUP(CONCATENATE($A19,"_",V$3),'Unit List'!$A$14:$H$2841,2,FALSE)),"X",$P19)</f>
        <v>X</v>
      </c>
      <c r="W19" s="71" t="str">
        <f>IF(ISTEXT(VLOOKUP(CONCATENATE($A19,"_",W$3),'Unit List'!$A$14:$H$2841,2,FALSE)),"X",$P19)</f>
        <v>+</v>
      </c>
      <c r="X19" s="171" t="str">
        <f>IF(ISTEXT(VLOOKUP(CONCATENATE($A19,"_",X$3),'Unit List'!$A$14:$H$2841,2,FALSE)),"+","")</f>
        <v>+</v>
      </c>
      <c r="Y19" s="67" t="str">
        <f>IF(ISTEXT(VLOOKUP(CONCATENATE($A19,"_",Y$3),'Unit List'!$A$14:$H$2841,2,FALSE)),"X",$X19)</f>
        <v>X</v>
      </c>
      <c r="Z19" s="69" t="str">
        <f>IF(ISTEXT(VLOOKUP(CONCATENATE($A19,"_",Z$3),'Unit List'!$A$14:$H$2841,2,FALSE)),"X",$X19)</f>
        <v>+</v>
      </c>
      <c r="AA19" s="67" t="str">
        <f>IF(ISTEXT(VLOOKUP(CONCATENATE($A19,"_",AA$3),'Unit List'!$A$14:$H$2841,2,FALSE)),"X",$X19)</f>
        <v>X</v>
      </c>
      <c r="AB19" s="67" t="str">
        <f>IF(ISTEXT(VLOOKUP(CONCATENATE($A19,"_",AB$3),'Unit List'!$A$14:$H$2841,2,FALSE)),"X",$X19)</f>
        <v>X</v>
      </c>
      <c r="AC19" s="68" t="str">
        <f>IF(ISTEXT(VLOOKUP(CONCATENATE($A19,"_",AC$3),'Unit List'!$A$14:$H$2841,2,FALSE)),"X",$X19)</f>
        <v>X</v>
      </c>
      <c r="AD19" s="171" t="str">
        <f>IF(ISTEXT(VLOOKUP(CONCATENATE($A19,"_",AD$3),'Unit List'!$A$14:$H$2841,2,FALSE)),"+","")</f>
        <v>+</v>
      </c>
      <c r="AE19" s="51" t="str">
        <f>IF(ISTEXT(VLOOKUP(CONCATENATE($A19,"_",AE$3),'Unit List'!$A$14:$H$2841,2,FALSE)),"X",$AD19)</f>
        <v>+</v>
      </c>
      <c r="AF19" s="51" t="str">
        <f>IF(ISTEXT(VLOOKUP(CONCATENATE($A19,"_",AF$3),'Unit List'!$A$14:$H$2841,2,FALSE)),"X",$AD19)</f>
        <v>+</v>
      </c>
      <c r="AG19" s="171" t="str">
        <f>IF(ISTEXT(VLOOKUP(CONCATENATE($A19,"_",AG$3),'Unit List'!$A$14:$H$2841,2,FALSE)),"+","")</f>
        <v>+</v>
      </c>
      <c r="AH19" s="67" t="str">
        <f>IF(ISTEXT(VLOOKUP(CONCATENATE($A19,"_",AH$3),'Unit List'!$A$14:$H$2841,2,FALSE)),"X",$AG19)</f>
        <v>+</v>
      </c>
      <c r="AI19" s="69" t="str">
        <f>IF(ISTEXT(VLOOKUP(CONCATENATE($A19,"_",AI$3),'Unit List'!$A$14:$H$2841,2,FALSE)),"X",$AG19)</f>
        <v>X</v>
      </c>
      <c r="AJ19" s="71" t="str">
        <f>IF(ISTEXT(VLOOKUP(CONCATENATE($A19,"_",AJ$3),'Unit List'!$A$14:$H$2841,2,FALSE)),"X",$AG19)</f>
        <v>+</v>
      </c>
      <c r="AK19" s="171" t="str">
        <f>IF(ISTEXT(VLOOKUP(CONCATENATE($A19,"_",AK$3),'Unit List'!$A$14:$H$2841,2,FALSE)),"+","")</f>
        <v>+</v>
      </c>
      <c r="AL19" s="183" t="str">
        <f>IF(ISTEXT(VLOOKUP(CONCATENATE($A19,"_",AL$3),'Unit List'!$A$14:$H$2841,2,FALSE)),"X",$AK19)</f>
        <v>+</v>
      </c>
      <c r="AM19" s="73" t="str">
        <f>IF(ISTEXT(VLOOKUP(CONCATENATE($A19,"_",AM$3),'Unit List'!$A$14:$H$2841,2,FALSE)),"X",$AK19)</f>
        <v>+</v>
      </c>
      <c r="AN19" s="175" t="str">
        <f>IF(ISTEXT(VLOOKUP(CONCATENATE($A19,"_",AN$3),'Unit List'!$A$14:$H$2841,2,FALSE)),"+","")</f>
        <v>+</v>
      </c>
      <c r="AO19" s="70" t="str">
        <f>IF(ISTEXT(VLOOKUP(CONCATENATE($A19,"_",AO$3),'Unit List'!$A$14:$H$2841,2,FALSE)),"X",$AN19)</f>
        <v>+</v>
      </c>
      <c r="AP19" s="171" t="str">
        <f>IF(ISTEXT(VLOOKUP(CONCATENATE($A19,"_",AP$3),'Unit List'!$A$14:$H$2841,2,FALSE)),"+","")</f>
        <v>+</v>
      </c>
      <c r="AQ19" s="89" t="s">
        <v>0</v>
      </c>
      <c r="AR19" s="67" t="str">
        <f>IF(ISTEXT(VLOOKUP(CONCATENATE($A19,"_",AR$3),'Unit List'!$A$14:$H$2841,2,FALSE)),"X",$AP19)</f>
        <v>X</v>
      </c>
      <c r="AS19" s="67" t="str">
        <f>IF(ISTEXT(VLOOKUP(CONCATENATE($A19,"_",AS$3),'Unit List'!$A$14:$H$2841,2,FALSE)),"X",$AP19)</f>
        <v>+</v>
      </c>
      <c r="AT19" s="73" t="str">
        <f>IF(ISTEXT(VLOOKUP(CONCATENATE($A19,"_",AT$3),'Unit List'!$A$14:$H$2841,2,FALSE)),"X",$AP19)</f>
        <v>X</v>
      </c>
      <c r="AU19" s="177" t="str">
        <f>IF(ISTEXT(VLOOKUP(CONCATENATE($A19,"_",AU$3),'Unit List'!$A$14:$H$2841,2,FALSE)),"+","")</f>
        <v>+</v>
      </c>
      <c r="AV19" s="69" t="str">
        <f>IF(ISTEXT(VLOOKUP(CONCATENATE($A19,"_",AV$3),'Unit List'!$A$14:$H$2841,2,FALSE)),"X",$AU19)</f>
        <v>+</v>
      </c>
      <c r="AW19" s="71" t="str">
        <f>IF(ISTEXT(VLOOKUP(CONCATENATE($A19,"_",AW$3),'Unit List'!$A$14:$H$2841,2,FALSE)),"X",$AU19)</f>
        <v>+</v>
      </c>
      <c r="AX19" s="171" t="str">
        <f>IF(ISTEXT(VLOOKUP(CONCATENATE($A19,"_",AX$3),'Unit List'!$A$14:$H$2841,2,FALSE)),"+","")</f>
        <v>+</v>
      </c>
      <c r="AY19" s="67" t="str">
        <f>IF(ISTEXT(VLOOKUP(CONCATENATE($A19,"_",AY$3),'Unit List'!$A$14:$H$2841,2,FALSE)),"X",$AX19)</f>
        <v>X</v>
      </c>
      <c r="AZ19" s="70" t="str">
        <f>IF(ISTEXT(VLOOKUP(CONCATENATE($A19,"_",AZ$3),'Unit List'!$A$14:$H$2841,2,FALSE)),"X",$AX19)</f>
        <v>+</v>
      </c>
      <c r="BA19" s="171" t="str">
        <f>IF(ISTEXT(VLOOKUP(CONCATENATE($A19,"_",BA$3),'Unit List'!$A$14:$H$2841,2,FALSE)),"+","")</f>
        <v>+</v>
      </c>
      <c r="BB19" s="67" t="str">
        <f>IF(ISTEXT(VLOOKUP(CONCATENATE($A19,"_",BB$3),'Unit List'!$A$14:$H$2841,2,FALSE)),"X",$BA19)</f>
        <v>X</v>
      </c>
      <c r="BC19" s="94" t="str">
        <f>IF(ISTEXT(VLOOKUP(CONCATENATE($A19,"_",BC$3),'Unit List'!$A$14:$H$2841,2,FALSE)),"X",$BA19)</f>
        <v>X</v>
      </c>
      <c r="BD19" s="73" t="str">
        <f>IF(ISTEXT(VLOOKUP(CONCATENATE($A19,"_",BD$3),'Unit List'!$A$14:$H$2841,2,FALSE)),"X",$BA19)</f>
        <v>X</v>
      </c>
      <c r="BE19" s="175" t="str">
        <f>IF(ISTEXT(VLOOKUP(CONCATENATE($A19,"_",BE$3),'Unit List'!$A$14:$H$2841,2,FALSE)),"+","")</f>
        <v>+</v>
      </c>
      <c r="BF19" s="184" t="str">
        <f>IF(ISTEXT(VLOOKUP(CONCATENATE($A19,"_",BF$3),'Unit List'!$A$14:$H$2841,2,FALSE)),"X",$BE19)</f>
        <v>+</v>
      </c>
      <c r="BG19" s="95"/>
      <c r="BH19" s="96"/>
      <c r="BI19" s="203" t="s">
        <v>12</v>
      </c>
      <c r="BJ19" s="206"/>
      <c r="BK19" s="206"/>
      <c r="BL19" s="206"/>
      <c r="BM19" s="207"/>
      <c r="BN19" s="54"/>
      <c r="BO19" s="54"/>
      <c r="BP19" s="54"/>
      <c r="BQ19" s="54"/>
      <c r="BR19" s="54"/>
      <c r="BS19" s="54"/>
      <c r="DZ19" s="55"/>
      <c r="EA19" s="55"/>
    </row>
    <row r="20" spans="1:131" ht="12.75" customHeight="1" x14ac:dyDescent="0.2">
      <c r="A20" s="56" t="s">
        <v>33</v>
      </c>
      <c r="B20" s="181" t="str">
        <f>IF(ISTEXT(VLOOKUP(CONCATENATE($A20,"_",B$3),'Unit List'!$A$14:$H$2841,2,FALSE)),"+","")</f>
        <v/>
      </c>
      <c r="C20" s="82" t="str">
        <f>IF(ISTEXT(VLOOKUP(CONCATENATE($A20,"_",C$3),'Unit List'!$A$14:$H$2841,2,FALSE)),"X",$B20)</f>
        <v>X</v>
      </c>
      <c r="D20" s="51" t="str">
        <f>IF(ISTEXT(VLOOKUP(CONCATENATE($A20,"_",D$3),'Unit List'!$A$14:$H$2841,2,FALSE)),"X",$B20)</f>
        <v>X</v>
      </c>
      <c r="E20" s="51" t="str">
        <f>IF(ISTEXT(VLOOKUP(CONCATENATE($A20,"_",E$3),'Unit List'!$A$14:$H$2841,2,FALSE)),"X",$B20)</f>
        <v>X</v>
      </c>
      <c r="F20" s="67" t="str">
        <f>IF(ISTEXT(VLOOKUP(CONCATENATE($A20,"_",F$3),'Unit List'!$A$14:$H$2841,2,FALSE)),"X",$B20)</f>
        <v>X</v>
      </c>
      <c r="G20" s="67" t="str">
        <f>IF(ISTEXT(VLOOKUP(CONCATENATE($A20,"_",G$3),'Unit List'!$A$14:$H$2841,2,FALSE)),"X",$B20)</f>
        <v>X</v>
      </c>
      <c r="H20" s="67" t="str">
        <f>IF(ISTEXT(VLOOKUP(CONCATENATE($A20,"_",H$3),'Unit List'!$A$14:$H$2841,2,FALSE)),"X",$B20)</f>
        <v>X</v>
      </c>
      <c r="I20" s="70" t="str">
        <f>IF(ISTEXT(VLOOKUP(CONCATENATE($A20,"_",I$3),'Unit List'!$A$14:$H$2841,2,FALSE)),"X",$B20)</f>
        <v>X</v>
      </c>
      <c r="J20" s="172" t="str">
        <f>IF(ISTEXT(VLOOKUP(CONCATENATE($A20,"_",J$3),'Unit List'!$A$14:$H$2841,2,FALSE)),"+","")</f>
        <v/>
      </c>
      <c r="K20" s="51" t="str">
        <f>IF(ISTEXT(VLOOKUP(CONCATENATE($A20,"_",K$3),'Unit List'!$A$14:$H$2841,2,FALSE)),"X",$J20)</f>
        <v/>
      </c>
      <c r="L20" s="86" t="str">
        <f>IF(ISTEXT(VLOOKUP(CONCATENATE($A20,"_",L$3),'Unit List'!$A$14:$H$2841,2,FALSE)),"X",$J20)</f>
        <v>X</v>
      </c>
      <c r="M20" s="172" t="str">
        <f>IF(ISTEXT(VLOOKUP(CONCATENATE($A20,"_",M$3),'Unit List'!$A$14:$H$2841,2,FALSE)),"+","")</f>
        <v>+</v>
      </c>
      <c r="N20" s="67" t="str">
        <f>IF(ISTEXT(VLOOKUP(CONCATENATE($A20,"_",N$3),'Unit List'!$A$14:$H$2841,2,FALSE)),"X",$M20)</f>
        <v>X</v>
      </c>
      <c r="O20" s="70" t="str">
        <f>IF(ISTEXT(VLOOKUP(CONCATENATE($A20,"_",O$3),'Unit List'!$A$14:$H$2841,2,FALSE)),"X",$M20)</f>
        <v>X</v>
      </c>
      <c r="P20" s="172" t="str">
        <f>IF(ISTEXT(VLOOKUP(CONCATENATE($A20,"_",P$3),'Unit List'!$A$14:$H$2841,2,FALSE)),"+","")</f>
        <v/>
      </c>
      <c r="Q20" s="51" t="str">
        <f>IF(ISTEXT(VLOOKUP(CONCATENATE($A20,"_",Q$3),'Unit List'!$A$14:$H$2841,2,FALSE)),"X",$P20)</f>
        <v/>
      </c>
      <c r="R20" s="51" t="str">
        <f>IF(ISTEXT(VLOOKUP(CONCATENATE($A20,"_",R$3),'Unit List'!$A$14:$H$2841,2,FALSE)),"X",$P20)</f>
        <v/>
      </c>
      <c r="S20" s="67" t="str">
        <f>IF(ISTEXT(VLOOKUP(CONCATENATE($A20,"_",S$3),'Unit List'!$A$14:$H$2841,2,FALSE)),"X",$P20)</f>
        <v>X</v>
      </c>
      <c r="T20" s="52" t="str">
        <f>IF(ISTEXT(VLOOKUP(CONCATENATE($A20,"_",T$3),'Unit List'!$A$14:$H$2841,2,FALSE)),"X",$P20)</f>
        <v/>
      </c>
      <c r="U20" s="67" t="str">
        <f>IF(ISTEXT(VLOOKUP(CONCATENATE($A20,"_",U$3),'Unit List'!$A$14:$H$2841,2,FALSE)),"X",$P20)</f>
        <v>X</v>
      </c>
      <c r="V20" s="51" t="str">
        <f>IF(ISTEXT(VLOOKUP(CONCATENATE($A20,"_",V$3),'Unit List'!$A$14:$H$2841,2,FALSE)),"X",$P20)</f>
        <v/>
      </c>
      <c r="W20" s="53" t="str">
        <f>IF(ISTEXT(VLOOKUP(CONCATENATE($A20,"_",W$3),'Unit List'!$A$14:$H$2841,2,FALSE)),"X",$P20)</f>
        <v/>
      </c>
      <c r="X20" s="172" t="str">
        <f>IF(ISTEXT(VLOOKUP(CONCATENATE($A20,"_",X$3),'Unit List'!$A$14:$H$2841,2,FALSE)),"+","")</f>
        <v/>
      </c>
      <c r="Y20" s="51" t="str">
        <f>IF(ISTEXT(VLOOKUP(CONCATENATE($A20,"_",Y$3),'Unit List'!$A$14:$H$2841,2,FALSE)),"X",$X20)</f>
        <v/>
      </c>
      <c r="Z20" s="51" t="str">
        <f>IF(ISTEXT(VLOOKUP(CONCATENATE($A20,"_",Z$3),'Unit List'!$A$14:$H$2841,2,FALSE)),"X",$X20)</f>
        <v/>
      </c>
      <c r="AA20" s="51" t="str">
        <f>IF(ISTEXT(VLOOKUP(CONCATENATE($A20,"_",AA$3),'Unit List'!$A$14:$H$2841,2,FALSE)),"X",$X20)</f>
        <v/>
      </c>
      <c r="AB20" s="51" t="str">
        <f>IF(ISTEXT(VLOOKUP(CONCATENATE($A20,"_",AB$3),'Unit List'!$A$14:$H$2841,2,FALSE)),"X",$X20)</f>
        <v/>
      </c>
      <c r="AC20" s="62" t="str">
        <f>IF(ISTEXT(VLOOKUP(CONCATENATE($A20,"_",AC$3),'Unit List'!$A$14:$H$2841,2,FALSE)),"X",$X20)</f>
        <v/>
      </c>
      <c r="AD20" s="172" t="str">
        <f>IF(ISTEXT(VLOOKUP(CONCATENATE($A20,"_",AD$3),'Unit List'!$A$14:$H$2841,2,FALSE)),"+","")</f>
        <v/>
      </c>
      <c r="AE20" s="51" t="str">
        <f>IF(ISTEXT(VLOOKUP(CONCATENATE($A20,"_",AE$3),'Unit List'!$A$14:$H$2841,2,FALSE)),"X",$AD20)</f>
        <v/>
      </c>
      <c r="AF20" s="51" t="str">
        <f>IF(ISTEXT(VLOOKUP(CONCATENATE($A20,"_",AF$3),'Unit List'!$A$14:$H$2841,2,FALSE)),"X",$AD20)</f>
        <v/>
      </c>
      <c r="AG20" s="172" t="str">
        <f>IF(ISTEXT(VLOOKUP(CONCATENATE($A20,"_",AG$3),'Unit List'!$A$14:$H$2841,2,FALSE)),"+","")</f>
        <v/>
      </c>
      <c r="AH20" s="51" t="str">
        <f>IF(ISTEXT(VLOOKUP(CONCATENATE($A20,"_",AH$3),'Unit List'!$A$14:$H$2841,2,FALSE)),"X",$AG20)</f>
        <v/>
      </c>
      <c r="AI20" s="51" t="str">
        <f>IF(ISTEXT(VLOOKUP(CONCATENATE($A20,"_",AI$3),'Unit List'!$A$14:$H$2841,2,FALSE)),"X",$AG20)</f>
        <v/>
      </c>
      <c r="AJ20" s="53" t="str">
        <f>IF(ISTEXT(VLOOKUP(CONCATENATE($A20,"_",AJ$3),'Unit List'!$A$14:$H$2841,2,FALSE)),"X",$AG20)</f>
        <v/>
      </c>
      <c r="AK20" s="172" t="str">
        <f>IF(ISTEXT(VLOOKUP(CONCATENATE($A20,"_",AK$3),'Unit List'!$A$14:$H$2841,2,FALSE)),"+","")</f>
        <v/>
      </c>
      <c r="AL20" s="52" t="str">
        <f>IF(ISTEXT(VLOOKUP(CONCATENATE($A20,"_",AL$3),'Unit List'!$A$14:$H$2841,2,FALSE)),"X",$AK20)</f>
        <v/>
      </c>
      <c r="AM20" s="53" t="str">
        <f>IF(ISTEXT(VLOOKUP(CONCATENATE($A20,"_",AM$3),'Unit List'!$A$14:$H$2841,2,FALSE)),"X",$AK20)</f>
        <v/>
      </c>
      <c r="AN20" s="125" t="str">
        <f>IF(ISTEXT(VLOOKUP(CONCATENATE($A20,"_",AN$3),'Unit List'!$A$14:$H$2841,2,FALSE)),"+","")</f>
        <v/>
      </c>
      <c r="AO20" s="53" t="str">
        <f>IF(ISTEXT(VLOOKUP(CONCATENATE($A20,"_",AO$3),'Unit List'!$A$14:$H$2841,2,FALSE)),"X",$AN20)</f>
        <v/>
      </c>
      <c r="AP20" s="172" t="str">
        <f>IF(ISTEXT(VLOOKUP(CONCATENATE($A20,"_",AP$3),'Unit List'!$A$14:$H$2841,2,FALSE)),"+","")</f>
        <v>+</v>
      </c>
      <c r="AQ20" s="51" t="str">
        <f>IF(ISTEXT(VLOOKUP(CONCATENATE($A20,"_",AQ$3),'Unit List'!$A$14:$H$2841,2,FALSE)),"X",$AP20)</f>
        <v>+</v>
      </c>
      <c r="AR20" s="67" t="str">
        <f>IF(ISTEXT(VLOOKUP(CONCATENATE($A20,"_",AR$3),'Unit List'!$A$14:$H$2841,2,FALSE)),"X",$AP20)</f>
        <v>X</v>
      </c>
      <c r="AS20" s="51" t="str">
        <f>IF(ISTEXT(VLOOKUP(CONCATENATE($A20,"_",AS$3),'Unit List'!$A$14:$H$2841,2,FALSE)),"X",$AP20)</f>
        <v>+</v>
      </c>
      <c r="AT20" s="53" t="str">
        <f>IF(ISTEXT(VLOOKUP(CONCATENATE($A20,"_",AT$3),'Unit List'!$A$14:$H$2841,2,FALSE)),"X",$AP20)</f>
        <v>+</v>
      </c>
      <c r="AU20" s="124" t="str">
        <f>IF(ISTEXT(VLOOKUP(CONCATENATE($A20,"_",AU$3),'Unit List'!$A$14:$H$2841,2,FALSE)),"+","")</f>
        <v/>
      </c>
      <c r="AV20" s="51" t="str">
        <f>IF(ISTEXT(VLOOKUP(CONCATENATE($A20,"_",AV$3),'Unit List'!$A$14:$H$2841,2,FALSE)),"X",$AU20)</f>
        <v/>
      </c>
      <c r="AW20" s="53" t="str">
        <f>IF(ISTEXT(VLOOKUP(CONCATENATE($A20,"_",AW$3),'Unit List'!$A$14:$H$2841,2,FALSE)),"X",$AU20)</f>
        <v/>
      </c>
      <c r="AX20" s="172" t="str">
        <f>IF(ISTEXT(VLOOKUP(CONCATENATE($A20,"_",AX$3),'Unit List'!$A$14:$H$2841,2,FALSE)),"+","")</f>
        <v>+</v>
      </c>
      <c r="AY20" s="51" t="str">
        <f>IF(ISTEXT(VLOOKUP(CONCATENATE($A20,"_",AY$3),'Unit List'!$A$14:$H$2841,2,FALSE)),"X",$AX20)</f>
        <v>+</v>
      </c>
      <c r="AZ20" s="53" t="str">
        <f>IF(ISTEXT(VLOOKUP(CONCATENATE($A20,"_",AZ$3),'Unit List'!$A$14:$H$2841,2,FALSE)),"X",$AX20)</f>
        <v>+</v>
      </c>
      <c r="BA20" s="182" t="str">
        <f>IF(ISTEXT(VLOOKUP(CONCATENATE($A20,"_",BA$3),'Unit List'!$A$14:$H$2841,2,FALSE)),"+","")</f>
        <v/>
      </c>
      <c r="BB20" s="51" t="str">
        <f>IF(ISTEXT(VLOOKUP(CONCATENATE($A20,"_",BB$3),'Unit List'!$A$14:$H$2841,2,FALSE)),"X",$BA20)</f>
        <v/>
      </c>
      <c r="BC20" s="51" t="str">
        <f>IF(ISTEXT(VLOOKUP(CONCATENATE($A20,"_",BC$3),'Unit List'!$A$14:$H$2841,2,FALSE)),"X",$BA20)</f>
        <v/>
      </c>
      <c r="BD20" s="53" t="str">
        <f>IF(ISTEXT(VLOOKUP(CONCATENATE($A20,"_",BD$3),'Unit List'!$A$14:$H$2841,2,FALSE)),"X",$BA20)</f>
        <v/>
      </c>
      <c r="BE20" s="125" t="str">
        <f>IF(ISTEXT(VLOOKUP(CONCATENATE($A20,"_",BE$3),'Unit List'!$A$14:$H$2841,2,FALSE)),"+","")</f>
        <v>+</v>
      </c>
      <c r="BF20" s="62" t="str">
        <f>IF(ISTEXT(VLOOKUP(CONCATENATE($A20,"_",BF$3),'Unit List'!$A$14:$H$2841,2,FALSE)),"X",$BE20)</f>
        <v>+</v>
      </c>
      <c r="BG20" s="75"/>
      <c r="BH20" s="84"/>
      <c r="BI20" s="203"/>
      <c r="BJ20" s="204"/>
      <c r="BK20" s="204"/>
      <c r="BL20" s="204"/>
      <c r="BM20" s="205"/>
      <c r="BN20" s="54"/>
      <c r="BO20" s="54"/>
      <c r="BP20" s="54"/>
      <c r="BQ20" s="54"/>
      <c r="BR20" s="54"/>
      <c r="BS20" s="54"/>
      <c r="DZ20" s="55"/>
      <c r="EA20" s="55"/>
    </row>
    <row r="21" spans="1:131" ht="12.75" customHeight="1" x14ac:dyDescent="0.2">
      <c r="A21" s="56" t="s">
        <v>32</v>
      </c>
      <c r="B21" s="181" t="str">
        <f>IF(ISTEXT(VLOOKUP(CONCATENATE($A21,"_",B$3),'Unit List'!$A$14:$H$2841,2,FALSE)),"+","")</f>
        <v/>
      </c>
      <c r="C21" s="82" t="str">
        <f>IF(ISTEXT(VLOOKUP(CONCATENATE($A21,"_",C$3),'Unit List'!$A$14:$H$2841,2,FALSE)),"X",$B21)</f>
        <v>X</v>
      </c>
      <c r="D21" s="67" t="str">
        <f>IF(ISTEXT(VLOOKUP(CONCATENATE($A21,"_",D$3),'Unit List'!$A$14:$H$2841,2,FALSE)),"X",$B21)</f>
        <v>X</v>
      </c>
      <c r="E21" s="51" t="str">
        <f>IF(ISTEXT(VLOOKUP(CONCATENATE($A21,"_",E$3),'Unit List'!$A$14:$H$2841,2,FALSE)),"X",$B21)</f>
        <v>X</v>
      </c>
      <c r="F21" s="67" t="str">
        <f>IF(ISTEXT(VLOOKUP(CONCATENATE($A21,"_",F$3),'Unit List'!$A$14:$H$2841,2,FALSE)),"X",$B21)</f>
        <v>X</v>
      </c>
      <c r="G21" s="67" t="str">
        <f>IF(ISTEXT(VLOOKUP(CONCATENATE($A21,"_",G$3),'Unit List'!$A$14:$H$2841,2,FALSE)),"X",$B21)</f>
        <v>X</v>
      </c>
      <c r="H21" s="67" t="str">
        <f>IF(ISTEXT(VLOOKUP(CONCATENATE($A21,"_",H$3),'Unit List'!$A$14:$H$2841,2,FALSE)),"X",$B21)</f>
        <v>X</v>
      </c>
      <c r="I21" s="70" t="str">
        <f>IF(ISTEXT(VLOOKUP(CONCATENATE($A21,"_",I$3),'Unit List'!$A$14:$H$2841,2,FALSE)),"X",$B21)</f>
        <v>X</v>
      </c>
      <c r="J21" s="172" t="str">
        <f>IF(ISTEXT(VLOOKUP(CONCATENATE($A21,"_",J$3),'Unit List'!$A$14:$H$2841,2,FALSE)),"+","")</f>
        <v/>
      </c>
      <c r="K21" s="51" t="str">
        <f>IF(ISTEXT(VLOOKUP(CONCATENATE($A21,"_",K$3),'Unit List'!$A$14:$H$2841,2,FALSE)),"X",$J21)</f>
        <v/>
      </c>
      <c r="L21" s="86" t="str">
        <f>IF(ISTEXT(VLOOKUP(CONCATENATE($A21,"_",L$3),'Unit List'!$A$14:$H$2841,2,FALSE)),"X",$J21)</f>
        <v>X</v>
      </c>
      <c r="M21" s="172" t="str">
        <f>IF(ISTEXT(VLOOKUP(CONCATENATE($A21,"_",M$3),'Unit List'!$A$14:$H$2841,2,FALSE)),"+","")</f>
        <v>+</v>
      </c>
      <c r="N21" s="67" t="str">
        <f>IF(ISTEXT(VLOOKUP(CONCATENATE($A21,"_",N$3),'Unit List'!$A$14:$H$2841,2,FALSE)),"X",$M21)</f>
        <v>X</v>
      </c>
      <c r="O21" s="70" t="str">
        <f>IF(ISTEXT(VLOOKUP(CONCATENATE($A21,"_",O$3),'Unit List'!$A$14:$H$2841,2,FALSE)),"X",$M21)</f>
        <v>X</v>
      </c>
      <c r="P21" s="172" t="str">
        <f>IF(ISTEXT(VLOOKUP(CONCATENATE($A21,"_",P$3),'Unit List'!$A$14:$H$2841,2,FALSE)),"+","")</f>
        <v/>
      </c>
      <c r="Q21" s="51" t="str">
        <f>IF(ISTEXT(VLOOKUP(CONCATENATE($A21,"_",Q$3),'Unit List'!$A$14:$H$2841,2,FALSE)),"X",$P21)</f>
        <v>X</v>
      </c>
      <c r="R21" s="51" t="str">
        <f>IF(ISTEXT(VLOOKUP(CONCATENATE($A21,"_",R$3),'Unit List'!$A$14:$H$2841,2,FALSE)),"X",$P21)</f>
        <v/>
      </c>
      <c r="S21" s="67" t="str">
        <f>IF(ISTEXT(VLOOKUP(CONCATENATE($A21,"_",S$3),'Unit List'!$A$14:$H$2841,2,FALSE)),"X",$P21)</f>
        <v>X</v>
      </c>
      <c r="T21" s="52" t="str">
        <f>IF(ISTEXT(VLOOKUP(CONCATENATE($A21,"_",T$3),'Unit List'!$A$14:$H$2841,2,FALSE)),"X",$P21)</f>
        <v/>
      </c>
      <c r="U21" s="67" t="str">
        <f>IF(ISTEXT(VLOOKUP(CONCATENATE($A21,"_",U$3),'Unit List'!$A$14:$H$2841,2,FALSE)),"X",$P21)</f>
        <v>X</v>
      </c>
      <c r="V21" s="67" t="str">
        <f>IF(ISTEXT(VLOOKUP(CONCATENATE($A21,"_",V$3),'Unit List'!$A$14:$H$2841,2,FALSE)),"X",$P21)</f>
        <v>X</v>
      </c>
      <c r="W21" s="53" t="str">
        <f>IF(ISTEXT(VLOOKUP(CONCATENATE($A21,"_",W$3),'Unit List'!$A$14:$H$2841,2,FALSE)),"X",$P21)</f>
        <v/>
      </c>
      <c r="X21" s="171" t="str">
        <f>IF(ISTEXT(VLOOKUP(CONCATENATE($A21,"_",X$3),'Unit List'!$A$14:$H$2841,2,FALSE)),"+","")</f>
        <v>+</v>
      </c>
      <c r="Y21" s="69" t="str">
        <f>IF(ISTEXT(VLOOKUP(CONCATENATE($A21,"_",Y$3),'Unit List'!$A$14:$H$2841,2,FALSE)),"X",$X21)</f>
        <v>+</v>
      </c>
      <c r="Z21" s="69" t="str">
        <f>IF(ISTEXT(VLOOKUP(CONCATENATE($A21,"_",Z$3),'Unit List'!$A$14:$H$2841,2,FALSE)),"X",$X21)</f>
        <v>+</v>
      </c>
      <c r="AA21" s="69" t="str">
        <f>IF(ISTEXT(VLOOKUP(CONCATENATE($A21,"_",AA$3),'Unit List'!$A$14:$H$2841,2,FALSE)),"X",$X21)</f>
        <v>+</v>
      </c>
      <c r="AB21" s="67" t="str">
        <f>IF(ISTEXT(VLOOKUP(CONCATENATE($A21,"_",AB$3),'Unit List'!$A$14:$H$2841,2,FALSE)),"X",$X21)</f>
        <v>X</v>
      </c>
      <c r="AC21" s="184" t="str">
        <f>IF(ISTEXT(VLOOKUP(CONCATENATE($A21,"_",AC$3),'Unit List'!$A$14:$H$2841,2,FALSE)),"X",$X21)</f>
        <v>+</v>
      </c>
      <c r="AD21" s="171" t="str">
        <f>IF(ISTEXT(VLOOKUP(CONCATENATE($A21,"_",AD$3),'Unit List'!$A$14:$H$2841,2,FALSE)),"+","")</f>
        <v/>
      </c>
      <c r="AE21" s="51" t="str">
        <f>IF(ISTEXT(VLOOKUP(CONCATENATE($A21,"_",AE$3),'Unit List'!$A$14:$H$2841,2,FALSE)),"X",$AD21)</f>
        <v/>
      </c>
      <c r="AF21" s="51" t="str">
        <f>IF(ISTEXT(VLOOKUP(CONCATENATE($A21,"_",AF$3),'Unit List'!$A$14:$H$2841,2,FALSE)),"X",$AD21)</f>
        <v/>
      </c>
      <c r="AG21" s="171" t="str">
        <f>IF(ISTEXT(VLOOKUP(CONCATENATE($A21,"_",AG$3),'Unit List'!$A$14:$H$2841,2,FALSE)),"+","")</f>
        <v>+</v>
      </c>
      <c r="AH21" s="69" t="str">
        <f>IF(ISTEXT(VLOOKUP(CONCATENATE($A21,"_",AH$3),'Unit List'!$A$14:$H$2841,2,FALSE)),"X",$AG21)</f>
        <v>+</v>
      </c>
      <c r="AI21" s="69" t="str">
        <f>IF(ISTEXT(VLOOKUP(CONCATENATE($A21,"_",AI$3),'Unit List'!$A$14:$H$2841,2,FALSE)),"X",$AG21)</f>
        <v>+</v>
      </c>
      <c r="AJ21" s="53" t="str">
        <f>IF(ISTEXT(VLOOKUP(CONCATENATE($A21,"_",AJ$3),'Unit List'!$A$14:$H$2841,2,FALSE)),"X",$AG21)</f>
        <v>+</v>
      </c>
      <c r="AK21" s="171" t="str">
        <f>IF(ISTEXT(VLOOKUP(CONCATENATE($A21,"_",AK$3),'Unit List'!$A$14:$H$2841,2,FALSE)),"+","")</f>
        <v/>
      </c>
      <c r="AL21" s="87" t="str">
        <f>IF(ISTEXT(VLOOKUP(CONCATENATE($A21,"_",AL$3),'Unit List'!$A$14:$H$2841,2,FALSE)),"X",$AK21)</f>
        <v>X</v>
      </c>
      <c r="AM21" s="53" t="str">
        <f>IF(ISTEXT(VLOOKUP(CONCATENATE($A21,"_",AM$3),'Unit List'!$A$14:$H$2841,2,FALSE)),"X",$AK21)</f>
        <v>X</v>
      </c>
      <c r="AN21" s="175" t="str">
        <f>IF(ISTEXT(VLOOKUP(CONCATENATE($A21,"_",AN$3),'Unit List'!$A$14:$H$2841,2,FALSE)),"+","")</f>
        <v/>
      </c>
      <c r="AO21" s="53" t="str">
        <f>IF(ISTEXT(VLOOKUP(CONCATENATE($A21,"_",AO$3),'Unit List'!$A$14:$H$2841,2,FALSE)),"X",$AN21)</f>
        <v/>
      </c>
      <c r="AP21" s="172" t="str">
        <f>IF(ISTEXT(VLOOKUP(CONCATENATE($A21,"_",AP$3),'Unit List'!$A$14:$H$2841,2,FALSE)),"+","")</f>
        <v/>
      </c>
      <c r="AQ21" s="67" t="str">
        <f>IF(ISTEXT(VLOOKUP(CONCATENATE($A21,"_",AQ$3),'Unit List'!$A$14:$H$2841,2,FALSE)),"X",$AP21)</f>
        <v>X</v>
      </c>
      <c r="AR21" s="89" t="s">
        <v>0</v>
      </c>
      <c r="AS21" s="51" t="str">
        <f>IF(ISTEXT(VLOOKUP(CONCATENATE($A21,"_",AS$3),'Unit List'!$A$14:$H$2841,2,FALSE)),"X",$AP21)</f>
        <v/>
      </c>
      <c r="AT21" s="53" t="str">
        <f>IF(ISTEXT(VLOOKUP(CONCATENATE($A21,"_",AT$3),'Unit List'!$A$14:$H$2841,2,FALSE)),"X",$AP21)</f>
        <v/>
      </c>
      <c r="AU21" s="124" t="str">
        <f>IF(ISTEXT(VLOOKUP(CONCATENATE($A21,"_",AU$3),'Unit List'!$A$14:$H$2841,2,FALSE)),"+","")</f>
        <v/>
      </c>
      <c r="AV21" s="51" t="str">
        <f>IF(ISTEXT(VLOOKUP(CONCATENATE($A21,"_",AV$3),'Unit List'!$A$14:$H$2841,2,FALSE)),"X",$AU21)</f>
        <v/>
      </c>
      <c r="AW21" s="53" t="str">
        <f>IF(ISTEXT(VLOOKUP(CONCATENATE($A21,"_",AW$3),'Unit List'!$A$14:$H$2841,2,FALSE)),"X",$AU21)</f>
        <v/>
      </c>
      <c r="AX21" s="171" t="str">
        <f>IF(ISTEXT(VLOOKUP(CONCATENATE($A21,"_",AX$3),'Unit List'!$A$14:$H$2841,2,FALSE)),"+","")</f>
        <v>+</v>
      </c>
      <c r="AY21" s="69" t="str">
        <f>IF(ISTEXT(VLOOKUP(CONCATENATE($A21,"_",AY$3),'Unit List'!$A$14:$H$2841,2,FALSE)),"X",$AX21)</f>
        <v>+</v>
      </c>
      <c r="AZ21" s="53" t="str">
        <f>IF(ISTEXT(VLOOKUP(CONCATENATE($A21,"_",AZ$3),'Unit List'!$A$14:$H$2841,2,FALSE)),"X",$AX21)</f>
        <v>+</v>
      </c>
      <c r="BA21" s="171" t="str">
        <f>IF(ISTEXT(VLOOKUP(CONCATENATE($A21,"_",BA$3),'Unit List'!$A$14:$H$2841,2,FALSE)),"+","")</f>
        <v>+</v>
      </c>
      <c r="BB21" s="69" t="str">
        <f>IF(ISTEXT(VLOOKUP(CONCATENATE($A21,"_",BB$3),'Unit List'!$A$14:$H$2841,2,FALSE)),"X",$BA21)</f>
        <v>+</v>
      </c>
      <c r="BC21" s="69" t="str">
        <f>IF(ISTEXT(VLOOKUP(CONCATENATE($A21,"_",BC$3),'Unit List'!$A$14:$H$2841,2,FALSE)),"X",$BA21)</f>
        <v>+</v>
      </c>
      <c r="BD21" s="71" t="str">
        <f>IF(ISTEXT(VLOOKUP(CONCATENATE($A21,"_",BD$3),'Unit List'!$A$14:$H$2841,2,FALSE)),"X",$BA21)</f>
        <v>+</v>
      </c>
      <c r="BE21" s="175" t="str">
        <f>IF(ISTEXT(VLOOKUP(CONCATENATE($A21,"_",BE$3),'Unit List'!$A$14:$H$2841,2,FALSE)),"+","")</f>
        <v>+</v>
      </c>
      <c r="BF21" s="62" t="str">
        <f>IF(ISTEXT(VLOOKUP(CONCATENATE($A21,"_",BF$3),'Unit List'!$A$14:$H$2841,2,FALSE)),"X",$BE21)</f>
        <v>+</v>
      </c>
      <c r="BG21" s="97"/>
      <c r="BH21" s="98" t="s">
        <v>0</v>
      </c>
      <c r="BI21" s="203"/>
      <c r="BJ21" s="204"/>
      <c r="BK21" s="204"/>
      <c r="BL21" s="204"/>
      <c r="BM21" s="205"/>
      <c r="BN21" s="54"/>
      <c r="BO21" s="54"/>
      <c r="BP21" s="54"/>
      <c r="BQ21" s="54"/>
      <c r="BR21" s="54"/>
      <c r="BS21" s="54"/>
      <c r="DZ21" s="55"/>
      <c r="EA21" s="55"/>
    </row>
    <row r="22" spans="1:131" ht="12.75" customHeight="1" x14ac:dyDescent="0.2">
      <c r="A22" s="56" t="s">
        <v>31</v>
      </c>
      <c r="B22" s="181" t="str">
        <f>IF(ISTEXT(VLOOKUP(CONCATENATE($A22,"_",B$3),'Unit List'!$A$14:$H$2841,2,FALSE)),"+","")</f>
        <v/>
      </c>
      <c r="C22" s="57" t="str">
        <f>IF(ISTEXT(VLOOKUP(CONCATENATE($A22,"_",C$3),'Unit List'!$A$14:$H$2841,2,FALSE)),"X",$B22)</f>
        <v/>
      </c>
      <c r="D22" s="51" t="str">
        <f>IF(ISTEXT(VLOOKUP(CONCATENATE($A22,"_",D$3),'Unit List'!$A$14:$H$2841,2,FALSE)),"X",$B22)</f>
        <v/>
      </c>
      <c r="E22" s="51" t="str">
        <f>IF(ISTEXT(VLOOKUP(CONCATENATE($A22,"_",E$3),'Unit List'!$A$14:$H$2841,2,FALSE)),"X",$B22)</f>
        <v/>
      </c>
      <c r="F22" s="89" t="s">
        <v>0</v>
      </c>
      <c r="G22" s="51" t="str">
        <f>IF(ISTEXT(VLOOKUP(CONCATENATE($A22,"_",G$3),'Unit List'!$A$14:$H$2841,2,FALSE)),"X",$B22)</f>
        <v/>
      </c>
      <c r="H22" s="51" t="str">
        <f>IF(ISTEXT(VLOOKUP(CONCATENATE($A22,"_",H$3),'Unit List'!$A$14:$H$2841,2,FALSE)),"X",$B22)</f>
        <v/>
      </c>
      <c r="I22" s="53" t="str">
        <f>IF(ISTEXT(VLOOKUP(CONCATENATE($A22,"_",I$3),'Unit List'!$A$14:$H$2841,2,FALSE)),"X",$B22)</f>
        <v/>
      </c>
      <c r="J22" s="172" t="str">
        <f>IF(ISTEXT(VLOOKUP(CONCATENATE($A22,"_",J$3),'Unit List'!$A$14:$H$2841,2,FALSE)),"+","")</f>
        <v/>
      </c>
      <c r="K22" s="51" t="str">
        <f>IF(ISTEXT(VLOOKUP(CONCATENATE($A22,"_",K$3),'Unit List'!$A$14:$H$2841,2,FALSE)),"X",$J22)</f>
        <v/>
      </c>
      <c r="L22" s="62" t="str">
        <f>IF(ISTEXT(VLOOKUP(CONCATENATE($A22,"_",L$3),'Unit List'!$A$14:$H$2841,2,FALSE)),"X",$J22)</f>
        <v/>
      </c>
      <c r="M22" s="172" t="str">
        <f>IF(ISTEXT(VLOOKUP(CONCATENATE($A22,"_",M$3),'Unit List'!$A$14:$H$2841,2,FALSE)),"+","")</f>
        <v/>
      </c>
      <c r="N22" s="51" t="str">
        <f>IF(ISTEXT(VLOOKUP(CONCATENATE($A22,"_",N$3),'Unit List'!$A$14:$H$2841,2,FALSE)),"X",$M22)</f>
        <v/>
      </c>
      <c r="O22" s="53" t="str">
        <f>IF(ISTEXT(VLOOKUP(CONCATENATE($A22,"_",O$3),'Unit List'!$A$14:$H$2841,2,FALSE)),"X",$M22)</f>
        <v/>
      </c>
      <c r="P22" s="172" t="str">
        <f>IF(ISTEXT(VLOOKUP(CONCATENATE($A22,"_",P$3),'Unit List'!$A$14:$H$2841,2,FALSE)),"+","")</f>
        <v/>
      </c>
      <c r="Q22" s="51" t="str">
        <f>IF(ISTEXT(VLOOKUP(CONCATENATE($A22,"_",Q$3),'Unit List'!$A$14:$H$2841,2,FALSE)),"X",$P22)</f>
        <v/>
      </c>
      <c r="R22" s="51" t="str">
        <f>IF(ISTEXT(VLOOKUP(CONCATENATE($A22,"_",R$3),'Unit List'!$A$14:$H$2841,2,FALSE)),"X",$P22)</f>
        <v/>
      </c>
      <c r="S22" s="51" t="str">
        <f>IF(ISTEXT(VLOOKUP(CONCATENATE($A22,"_",S$3),'Unit List'!$A$14:$H$2841,2,FALSE)),"X",$P22)</f>
        <v/>
      </c>
      <c r="T22" s="52" t="str">
        <f>IF(ISTEXT(VLOOKUP(CONCATENATE($A22,"_",T$3),'Unit List'!$A$14:$H$2841,2,FALSE)),"X",$P22)</f>
        <v/>
      </c>
      <c r="U22" s="51" t="str">
        <f>IF(ISTEXT(VLOOKUP(CONCATENATE($A22,"_",U$3),'Unit List'!$A$14:$H$2841,2,FALSE)),"X",$P22)</f>
        <v/>
      </c>
      <c r="V22" s="51" t="str">
        <f>IF(ISTEXT(VLOOKUP(CONCATENATE($A22,"_",V$3),'Unit List'!$A$14:$H$2841,2,FALSE)),"X",$P22)</f>
        <v/>
      </c>
      <c r="W22" s="53" t="str">
        <f>IF(ISTEXT(VLOOKUP(CONCATENATE($A22,"_",W$3),'Unit List'!$A$14:$H$2841,2,FALSE)),"X",$P22)</f>
        <v/>
      </c>
      <c r="X22" s="172" t="str">
        <f>IF(ISTEXT(VLOOKUP(CONCATENATE($A22,"_",X$3),'Unit List'!$A$14:$H$2841,2,FALSE)),"+","")</f>
        <v/>
      </c>
      <c r="Y22" s="51" t="str">
        <f>IF(ISTEXT(VLOOKUP(CONCATENATE($A22,"_",Y$3),'Unit List'!$A$14:$H$2841,2,FALSE)),"X",$X22)</f>
        <v/>
      </c>
      <c r="Z22" s="51" t="str">
        <f>IF(ISTEXT(VLOOKUP(CONCATENATE($A22,"_",Z$3),'Unit List'!$A$14:$H$2841,2,FALSE)),"X",$X22)</f>
        <v/>
      </c>
      <c r="AA22" s="51" t="str">
        <f>IF(ISTEXT(VLOOKUP(CONCATENATE($A22,"_",AA$3),'Unit List'!$A$14:$H$2841,2,FALSE)),"X",$X22)</f>
        <v/>
      </c>
      <c r="AB22" s="51" t="str">
        <f>IF(ISTEXT(VLOOKUP(CONCATENATE($A22,"_",AB$3),'Unit List'!$A$14:$H$2841,2,FALSE)),"X",$X22)</f>
        <v/>
      </c>
      <c r="AC22" s="62" t="str">
        <f>IF(ISTEXT(VLOOKUP(CONCATENATE($A22,"_",AC$3),'Unit List'!$A$14:$H$2841,2,FALSE)),"X",$X22)</f>
        <v/>
      </c>
      <c r="AD22" s="172" t="str">
        <f>IF(ISTEXT(VLOOKUP(CONCATENATE($A22,"_",AD$3),'Unit List'!$A$14:$H$2841,2,FALSE)),"+","")</f>
        <v/>
      </c>
      <c r="AE22" s="51" t="str">
        <f>IF(ISTEXT(VLOOKUP(CONCATENATE($A22,"_",AE$3),'Unit List'!$A$14:$H$2841,2,FALSE)),"X",$AD22)</f>
        <v/>
      </c>
      <c r="AF22" s="51" t="str">
        <f>IF(ISTEXT(VLOOKUP(CONCATENATE($A22,"_",AF$3),'Unit List'!$A$14:$H$2841,2,FALSE)),"X",$AD22)</f>
        <v/>
      </c>
      <c r="AG22" s="172" t="str">
        <f>IF(ISTEXT(VLOOKUP(CONCATENATE($A22,"_",AG$3),'Unit List'!$A$14:$H$2841,2,FALSE)),"+","")</f>
        <v/>
      </c>
      <c r="AH22" s="51" t="str">
        <f>IF(ISTEXT(VLOOKUP(CONCATENATE($A22,"_",AH$3),'Unit List'!$A$14:$H$2841,2,FALSE)),"X",$AG22)</f>
        <v/>
      </c>
      <c r="AI22" s="51" t="str">
        <f>IF(ISTEXT(VLOOKUP(CONCATENATE($A22,"_",AI$3),'Unit List'!$A$14:$H$2841,2,FALSE)),"X",$AG22)</f>
        <v/>
      </c>
      <c r="AJ22" s="53" t="str">
        <f>IF(ISTEXT(VLOOKUP(CONCATENATE($A22,"_",AJ$3),'Unit List'!$A$14:$H$2841,2,FALSE)),"X",$AG22)</f>
        <v/>
      </c>
      <c r="AK22" s="172" t="str">
        <f>IF(ISTEXT(VLOOKUP(CONCATENATE($A22,"_",AK$3),'Unit List'!$A$14:$H$2841,2,FALSE)),"+","")</f>
        <v/>
      </c>
      <c r="AL22" s="52" t="str">
        <f>IF(ISTEXT(VLOOKUP(CONCATENATE($A22,"_",AL$3),'Unit List'!$A$14:$H$2841,2,FALSE)),"X",$AK22)</f>
        <v/>
      </c>
      <c r="AM22" s="53" t="str">
        <f>IF(ISTEXT(VLOOKUP(CONCATENATE($A22,"_",AM$3),'Unit List'!$A$14:$H$2841,2,FALSE)),"X",$AK22)</f>
        <v/>
      </c>
      <c r="AN22" s="125" t="str">
        <f>IF(ISTEXT(VLOOKUP(CONCATENATE($A22,"_",AN$3),'Unit List'!$A$14:$H$2841,2,FALSE)),"+","")</f>
        <v/>
      </c>
      <c r="AO22" s="53" t="str">
        <f>IF(ISTEXT(VLOOKUP(CONCATENATE($A22,"_",AO$3),'Unit List'!$A$14:$H$2841,2,FALSE)),"X",$AN22)</f>
        <v/>
      </c>
      <c r="AP22" s="172" t="str">
        <f>IF(ISTEXT(VLOOKUP(CONCATENATE($A22,"_",AP$3),'Unit List'!$A$14:$H$2841,2,FALSE)),"+","")</f>
        <v/>
      </c>
      <c r="AQ22" s="51" t="str">
        <f>IF(ISTEXT(VLOOKUP(CONCATENATE($A22,"_",AQ$3),'Unit List'!$A$14:$H$2841,2,FALSE)),"X",$AP22)</f>
        <v/>
      </c>
      <c r="AR22" s="51" t="str">
        <f>IF(ISTEXT(VLOOKUP(CONCATENATE($A22,"_",AR$3),'Unit List'!$A$14:$H$2841,2,FALSE)),"X",$AP22)</f>
        <v/>
      </c>
      <c r="AS22" s="51" t="str">
        <f>IF(ISTEXT(VLOOKUP(CONCATENATE($A22,"_",AS$3),'Unit List'!$A$14:$H$2841,2,FALSE)),"X",$AP22)</f>
        <v/>
      </c>
      <c r="AT22" s="53" t="str">
        <f>IF(ISTEXT(VLOOKUP(CONCATENATE($A22,"_",AT$3),'Unit List'!$A$14:$H$2841,2,FALSE)),"X",$AP22)</f>
        <v/>
      </c>
      <c r="AU22" s="124" t="str">
        <f>IF(ISTEXT(VLOOKUP(CONCATENATE($A22,"_",AU$3),'Unit List'!$A$14:$H$2841,2,FALSE)),"+","")</f>
        <v/>
      </c>
      <c r="AV22" s="51" t="str">
        <f>IF(ISTEXT(VLOOKUP(CONCATENATE($A22,"_",AV$3),'Unit List'!$A$14:$H$2841,2,FALSE)),"X",$AU22)</f>
        <v/>
      </c>
      <c r="AW22" s="53" t="str">
        <f>IF(ISTEXT(VLOOKUP(CONCATENATE($A22,"_",AW$3),'Unit List'!$A$14:$H$2841,2,FALSE)),"X",$AU22)</f>
        <v/>
      </c>
      <c r="AX22" s="172" t="str">
        <f>IF(ISTEXT(VLOOKUP(CONCATENATE($A22,"_",AX$3),'Unit List'!$A$14:$H$2841,2,FALSE)),"+","")</f>
        <v/>
      </c>
      <c r="AY22" s="51" t="str">
        <f>IF(ISTEXT(VLOOKUP(CONCATENATE($A22,"_",AY$3),'Unit List'!$A$14:$H$2841,2,FALSE)),"X",$AX22)</f>
        <v/>
      </c>
      <c r="AZ22" s="53" t="str">
        <f>IF(ISTEXT(VLOOKUP(CONCATENATE($A22,"_",AZ$3),'Unit List'!$A$14:$H$2841,2,FALSE)),"X",$AX22)</f>
        <v/>
      </c>
      <c r="BA22" s="182" t="str">
        <f>IF(ISTEXT(VLOOKUP(CONCATENATE($A22,"_",BA$3),'Unit List'!$A$14:$H$2841,2,FALSE)),"+","")</f>
        <v/>
      </c>
      <c r="BB22" s="51" t="str">
        <f>IF(ISTEXT(VLOOKUP(CONCATENATE($A22,"_",BB$3),'Unit List'!$A$14:$H$2841,2,FALSE)),"X",$BA22)</f>
        <v/>
      </c>
      <c r="BC22" s="51" t="str">
        <f>IF(ISTEXT(VLOOKUP(CONCATENATE($A22,"_",BC$3),'Unit List'!$A$14:$H$2841,2,FALSE)),"X",$BA22)</f>
        <v/>
      </c>
      <c r="BD22" s="53" t="str">
        <f>IF(ISTEXT(VLOOKUP(CONCATENATE($A22,"_",BD$3),'Unit List'!$A$14:$H$2841,2,FALSE)),"X",$BA22)</f>
        <v/>
      </c>
      <c r="BE22" s="125" t="str">
        <f>IF(ISTEXT(VLOOKUP(CONCATENATE($A22,"_",BE$3),'Unit List'!$A$14:$H$2841,2,FALSE)),"+","")</f>
        <v/>
      </c>
      <c r="BF22" s="62" t="str">
        <f>IF(ISTEXT(VLOOKUP(CONCATENATE($A22,"_",BF$3),'Unit List'!$A$14:$H$2841,2,FALSE)),"X",$BE22)</f>
        <v/>
      </c>
      <c r="BG22" s="75"/>
      <c r="BH22" s="84"/>
      <c r="BI22" s="203"/>
      <c r="BJ22" s="204"/>
      <c r="BK22" s="204"/>
      <c r="BL22" s="204"/>
      <c r="BM22" s="205"/>
      <c r="BN22" s="54"/>
      <c r="BO22" s="54"/>
      <c r="BP22" s="54"/>
      <c r="BQ22" s="54"/>
      <c r="BR22" s="54"/>
      <c r="BS22" s="54"/>
      <c r="DZ22" s="55"/>
      <c r="EA22" s="55"/>
    </row>
    <row r="23" spans="1:131" ht="12.75" customHeight="1" x14ac:dyDescent="0.2">
      <c r="A23" s="56" t="s">
        <v>1278</v>
      </c>
      <c r="B23" s="181" t="str">
        <f>IF(ISTEXT(VLOOKUP(CONCATENATE($A23,"_",B$3),'Unit List'!$A$14:$H$2841,2,FALSE)),"+","")</f>
        <v/>
      </c>
      <c r="C23" s="57" t="str">
        <f>IF(ISTEXT(VLOOKUP(CONCATENATE($A23,"_",C$3),'Unit List'!$A$14:$H$2841,2,FALSE)),"X",$B23)</f>
        <v/>
      </c>
      <c r="D23" s="51" t="str">
        <f>IF(ISTEXT(VLOOKUP(CONCATENATE($A23,"_",D$3),'Unit List'!$A$14:$H$2841,2,FALSE)),"X",$B23)</f>
        <v/>
      </c>
      <c r="E23" s="51" t="str">
        <f>IF(ISTEXT(VLOOKUP(CONCATENATE($A23,"_",E$3),'Unit List'!$A$14:$H$2841,2,FALSE)),"X",$B23)</f>
        <v/>
      </c>
      <c r="F23" s="51" t="str">
        <f>IF(ISTEXT(VLOOKUP(CONCATENATE($A23,"_",F$3),'Unit List'!$A$14:$H$2841,2,FALSE)),"X",$B23)</f>
        <v/>
      </c>
      <c r="G23" s="51" t="str">
        <f>IF(ISTEXT(VLOOKUP(CONCATENATE($A23,"_",G$3),'Unit List'!$A$14:$H$2841,2,FALSE)),"X",$B23)</f>
        <v/>
      </c>
      <c r="H23" s="51" t="str">
        <f>IF(ISTEXT(VLOOKUP(CONCATENATE($A23,"_",H$3),'Unit List'!$A$14:$H$2841,2,FALSE)),"X",$B23)</f>
        <v/>
      </c>
      <c r="I23" s="53" t="str">
        <f>IF(ISTEXT(VLOOKUP(CONCATENATE($A23,"_",I$3),'Unit List'!$A$14:$H$2841,2,FALSE)),"X",$B23)</f>
        <v/>
      </c>
      <c r="J23" s="172" t="str">
        <f>IF(ISTEXT(VLOOKUP(CONCATENATE($A23,"_",J$3),'Unit List'!$A$14:$H$2841,2,FALSE)),"+","")</f>
        <v/>
      </c>
      <c r="K23" s="51" t="str">
        <f>IF(ISTEXT(VLOOKUP(CONCATENATE($A23,"_",K$3),'Unit List'!$A$14:$H$2841,2,FALSE)),"X",$J23)</f>
        <v/>
      </c>
      <c r="L23" s="62" t="str">
        <f>IF(ISTEXT(VLOOKUP(CONCATENATE($A23,"_",L$3),'Unit List'!$A$14:$H$2841,2,FALSE)),"X",$J23)</f>
        <v/>
      </c>
      <c r="M23" s="172" t="str">
        <f>IF(ISTEXT(VLOOKUP(CONCATENATE($A23,"_",M$3),'Unit List'!$A$14:$H$2841,2,FALSE)),"+","")</f>
        <v/>
      </c>
      <c r="N23" s="51" t="str">
        <f>IF(ISTEXT(VLOOKUP(CONCATENATE($A23,"_",N$3),'Unit List'!$A$14:$H$2841,2,FALSE)),"X",$M23)</f>
        <v/>
      </c>
      <c r="O23" s="53" t="str">
        <f>IF(ISTEXT(VLOOKUP(CONCATENATE($A23,"_",O$3),'Unit List'!$A$14:$H$2841,2,FALSE)),"X",$M23)</f>
        <v/>
      </c>
      <c r="P23" s="172" t="str">
        <f>IF(ISTEXT(VLOOKUP(CONCATENATE($A23,"_",P$3),'Unit List'!$A$14:$H$2841,2,FALSE)),"+","")</f>
        <v/>
      </c>
      <c r="Q23" s="51" t="str">
        <f>IF(ISTEXT(VLOOKUP(CONCATENATE($A23,"_",Q$3),'Unit List'!$A$14:$H$2841,2,FALSE)),"X",$P23)</f>
        <v/>
      </c>
      <c r="R23" s="51" t="str">
        <f>IF(ISTEXT(VLOOKUP(CONCATENATE($A23,"_",R$3),'Unit List'!$A$14:$H$2841,2,FALSE)),"X",$P23)</f>
        <v/>
      </c>
      <c r="S23" s="51" t="str">
        <f>IF(ISTEXT(VLOOKUP(CONCATENATE($A23,"_",S$3),'Unit List'!$A$14:$H$2841,2,FALSE)),"X",$P23)</f>
        <v/>
      </c>
      <c r="T23" s="52" t="str">
        <f>IF(ISTEXT(VLOOKUP(CONCATENATE($A23,"_",T$3),'Unit List'!$A$14:$H$2841,2,FALSE)),"X",$P23)</f>
        <v/>
      </c>
      <c r="U23" s="51" t="str">
        <f>IF(ISTEXT(VLOOKUP(CONCATENATE($A23,"_",U$3),'Unit List'!$A$14:$H$2841,2,FALSE)),"X",$P23)</f>
        <v/>
      </c>
      <c r="V23" s="51" t="str">
        <f>IF(ISTEXT(VLOOKUP(CONCATENATE($A23,"_",V$3),'Unit List'!$A$14:$H$2841,2,FALSE)),"X",$P23)</f>
        <v/>
      </c>
      <c r="W23" s="91" t="s">
        <v>0</v>
      </c>
      <c r="X23" s="172" t="str">
        <f>IF(ISTEXT(VLOOKUP(CONCATENATE($A23,"_",X$3),'Unit List'!$A$14:$H$2841,2,FALSE)),"+","")</f>
        <v/>
      </c>
      <c r="Y23" s="51" t="str">
        <f>IF(ISTEXT(VLOOKUP(CONCATENATE($A23,"_",Y$3),'Unit List'!$A$14:$H$2841,2,FALSE)),"X",$X23)</f>
        <v/>
      </c>
      <c r="Z23" s="51" t="str">
        <f>IF(ISTEXT(VLOOKUP(CONCATENATE($A23,"_",Z$3),'Unit List'!$A$14:$H$2841,2,FALSE)),"X",$X23)</f>
        <v/>
      </c>
      <c r="AA23" s="51" t="str">
        <f>IF(ISTEXT(VLOOKUP(CONCATENATE($A23,"_",AA$3),'Unit List'!$A$14:$H$2841,2,FALSE)),"X",$X23)</f>
        <v/>
      </c>
      <c r="AB23" s="51" t="str">
        <f>IF(ISTEXT(VLOOKUP(CONCATENATE($A23,"_",AB$3),'Unit List'!$A$14:$H$2841,2,FALSE)),"X",$X23)</f>
        <v/>
      </c>
      <c r="AC23" s="62" t="str">
        <f>IF(ISTEXT(VLOOKUP(CONCATENATE($A23,"_",AC$3),'Unit List'!$A$14:$H$2841,2,FALSE)),"X",$X23)</f>
        <v/>
      </c>
      <c r="AD23" s="172" t="str">
        <f>IF(ISTEXT(VLOOKUP(CONCATENATE($A23,"_",AD$3),'Unit List'!$A$14:$H$2841,2,FALSE)),"+","")</f>
        <v/>
      </c>
      <c r="AE23" s="51" t="str">
        <f>IF(ISTEXT(VLOOKUP(CONCATENATE($A23,"_",AE$3),'Unit List'!$A$14:$H$2841,2,FALSE)),"X",$AD23)</f>
        <v/>
      </c>
      <c r="AF23" s="51" t="str">
        <f>IF(ISTEXT(VLOOKUP(CONCATENATE($A23,"_",AF$3),'Unit List'!$A$14:$H$2841,2,FALSE)),"X",$AD23)</f>
        <v/>
      </c>
      <c r="AG23" s="172" t="str">
        <f>IF(ISTEXT(VLOOKUP(CONCATENATE($A23,"_",AG$3),'Unit List'!$A$14:$H$2841,2,FALSE)),"+","")</f>
        <v/>
      </c>
      <c r="AH23" s="51" t="str">
        <f>IF(ISTEXT(VLOOKUP(CONCATENATE($A23,"_",AH$3),'Unit List'!$A$14:$H$2841,2,FALSE)),"X",$AG23)</f>
        <v/>
      </c>
      <c r="AI23" s="51" t="str">
        <f>IF(ISTEXT(VLOOKUP(CONCATENATE($A23,"_",AI$3),'Unit List'!$A$14:$H$2841,2,FALSE)),"X",$AG23)</f>
        <v/>
      </c>
      <c r="AJ23" s="53" t="str">
        <f>IF(ISTEXT(VLOOKUP(CONCATENATE($A23,"_",AJ$3),'Unit List'!$A$14:$H$2841,2,FALSE)),"X",$AG23)</f>
        <v/>
      </c>
      <c r="AK23" s="172" t="str">
        <f>IF(ISTEXT(VLOOKUP(CONCATENATE($A23,"_",AK$3),'Unit List'!$A$14:$H$2841,2,FALSE)),"+","")</f>
        <v/>
      </c>
      <c r="AL23" s="52" t="str">
        <f>IF(ISTEXT(VLOOKUP(CONCATENATE($A23,"_",AL$3),'Unit List'!$A$14:$H$2841,2,FALSE)),"X",$AK23)</f>
        <v/>
      </c>
      <c r="AM23" s="53" t="str">
        <f>IF(ISTEXT(VLOOKUP(CONCATENATE($A23,"_",AM$3),'Unit List'!$A$14:$H$2841,2,FALSE)),"X",$AK23)</f>
        <v/>
      </c>
      <c r="AN23" s="125" t="str">
        <f>IF(ISTEXT(VLOOKUP(CONCATENATE($A23,"_",AN$3),'Unit List'!$A$14:$H$2841,2,FALSE)),"+","")</f>
        <v/>
      </c>
      <c r="AO23" s="53" t="str">
        <f>IF(ISTEXT(VLOOKUP(CONCATENATE($A23,"_",AO$3),'Unit List'!$A$14:$H$2841,2,FALSE)),"X",$AN23)</f>
        <v/>
      </c>
      <c r="AP23" s="172" t="str">
        <f>IF(ISTEXT(VLOOKUP(CONCATENATE($A23,"_",AP$3),'Unit List'!$A$14:$H$2841,2,FALSE)),"+","")</f>
        <v/>
      </c>
      <c r="AQ23" s="51" t="str">
        <f>IF(ISTEXT(VLOOKUP(CONCATENATE($A23,"_",AQ$3),'Unit List'!$A$14:$H$2841,2,FALSE)),"X",$AP23)</f>
        <v/>
      </c>
      <c r="AR23" s="51" t="str">
        <f>IF(ISTEXT(VLOOKUP(CONCATENATE($A23,"_",AR$3),'Unit List'!$A$14:$H$2841,2,FALSE)),"X",$AP23)</f>
        <v/>
      </c>
      <c r="AS23" s="51" t="str">
        <f>IF(ISTEXT(VLOOKUP(CONCATENATE($A23,"_",AS$3),'Unit List'!$A$14:$H$2841,2,FALSE)),"X",$AP23)</f>
        <v/>
      </c>
      <c r="AT23" s="53" t="str">
        <f>IF(ISTEXT(VLOOKUP(CONCATENATE($A23,"_",AT$3),'Unit List'!$A$14:$H$2841,2,FALSE)),"X",$AP23)</f>
        <v/>
      </c>
      <c r="AU23" s="124" t="str">
        <f>IF(ISTEXT(VLOOKUP(CONCATENATE($A23,"_",AU$3),'Unit List'!$A$14:$H$2841,2,FALSE)),"+","")</f>
        <v/>
      </c>
      <c r="AV23" s="51" t="str">
        <f>IF(ISTEXT(VLOOKUP(CONCATENATE($A23,"_",AV$3),'Unit List'!$A$14:$H$2841,2,FALSE)),"X",$AU23)</f>
        <v/>
      </c>
      <c r="AW23" s="53" t="str">
        <f>IF(ISTEXT(VLOOKUP(CONCATENATE($A23,"_",AW$3),'Unit List'!$A$14:$H$2841,2,FALSE)),"X",$AU23)</f>
        <v/>
      </c>
      <c r="AX23" s="172" t="str">
        <f>IF(ISTEXT(VLOOKUP(CONCATENATE($A23,"_",AX$3),'Unit List'!$A$14:$H$2841,2,FALSE)),"+","")</f>
        <v/>
      </c>
      <c r="AY23" s="51" t="str">
        <f>IF(ISTEXT(VLOOKUP(CONCATENATE($A23,"_",AY$3),'Unit List'!$A$14:$H$2841,2,FALSE)),"X",$AX23)</f>
        <v/>
      </c>
      <c r="AZ23" s="53" t="str">
        <f>IF(ISTEXT(VLOOKUP(CONCATENATE($A23,"_",AZ$3),'Unit List'!$A$14:$H$2841,2,FALSE)),"X",$AX23)</f>
        <v/>
      </c>
      <c r="BA23" s="182" t="str">
        <f>IF(ISTEXT(VLOOKUP(CONCATENATE($A23,"_",BA$3),'Unit List'!$A$14:$H$2841,2,FALSE)),"+","")</f>
        <v/>
      </c>
      <c r="BB23" s="51" t="str">
        <f>IF(ISTEXT(VLOOKUP(CONCATENATE($A23,"_",BB$3),'Unit List'!$A$14:$H$2841,2,FALSE)),"X",$BA23)</f>
        <v/>
      </c>
      <c r="BC23" s="51" t="str">
        <f>IF(ISTEXT(VLOOKUP(CONCATENATE($A23,"_",BC$3),'Unit List'!$A$14:$H$2841,2,FALSE)),"X",$BA23)</f>
        <v/>
      </c>
      <c r="BD23" s="53" t="str">
        <f>IF(ISTEXT(VLOOKUP(CONCATENATE($A23,"_",BD$3),'Unit List'!$A$14:$H$2841,2,FALSE)),"X",$BA23)</f>
        <v/>
      </c>
      <c r="BE23" s="125" t="str">
        <f>IF(ISTEXT(VLOOKUP(CONCATENATE($A23,"_",BE$3),'Unit List'!$A$14:$H$2841,2,FALSE)),"+","")</f>
        <v/>
      </c>
      <c r="BF23" s="62" t="str">
        <f>IF(ISTEXT(VLOOKUP(CONCATENATE($A23,"_",BF$3),'Unit List'!$A$14:$H$2841,2,FALSE)),"X",$BE23)</f>
        <v/>
      </c>
      <c r="BG23" s="75"/>
      <c r="BH23" s="84"/>
      <c r="BI23" s="203"/>
      <c r="BJ23" s="204"/>
      <c r="BK23" s="204"/>
      <c r="BL23" s="204"/>
      <c r="BM23" s="205"/>
      <c r="BN23" s="54"/>
      <c r="BO23" s="54"/>
      <c r="BP23" s="54"/>
      <c r="BQ23" s="54"/>
      <c r="BR23" s="54"/>
      <c r="BS23" s="54"/>
      <c r="DZ23" s="55"/>
      <c r="EA23" s="55"/>
    </row>
    <row r="24" spans="1:131" ht="12.75" customHeight="1" x14ac:dyDescent="0.2">
      <c r="A24" s="56" t="s">
        <v>1276</v>
      </c>
      <c r="B24" s="181" t="str">
        <f>IF(ISTEXT(VLOOKUP(CONCATENATE($A24,"_",B$3),'Unit List'!$A$14:$H$2841,2,FALSE)),"+","")</f>
        <v/>
      </c>
      <c r="C24" s="57" t="str">
        <f>IF(ISTEXT(VLOOKUP(CONCATENATE($A24,"_",C$3),'Unit List'!$A$14:$H$2841,2,FALSE)),"X",$B24)</f>
        <v/>
      </c>
      <c r="D24" s="51" t="str">
        <f>IF(ISTEXT(VLOOKUP(CONCATENATE($A24,"_",D$3),'Unit List'!$A$14:$H$2841,2,FALSE)),"X",$B24)</f>
        <v/>
      </c>
      <c r="E24" s="51" t="str">
        <f>IF(ISTEXT(VLOOKUP(CONCATENATE($A24,"_",E$3),'Unit List'!$A$14:$H$2841,2,FALSE)),"X",$B24)</f>
        <v/>
      </c>
      <c r="F24" s="51" t="str">
        <f>IF(ISTEXT(VLOOKUP(CONCATENATE($A24,"_",F$3),'Unit List'!$A$14:$H$2841,2,FALSE)),"X",$B24)</f>
        <v/>
      </c>
      <c r="G24" s="51" t="str">
        <f>IF(ISTEXT(VLOOKUP(CONCATENATE($A24,"_",G$3),'Unit List'!$A$14:$H$2841,2,FALSE)),"X",$B24)</f>
        <v/>
      </c>
      <c r="H24" s="51" t="str">
        <f>IF(ISTEXT(VLOOKUP(CONCATENATE($A24,"_",H$3),'Unit List'!$A$14:$H$2841,2,FALSE)),"X",$B24)</f>
        <v/>
      </c>
      <c r="I24" s="53" t="str">
        <f>IF(ISTEXT(VLOOKUP(CONCATENATE($A24,"_",I$3),'Unit List'!$A$14:$H$2841,2,FALSE)),"X",$B24)</f>
        <v/>
      </c>
      <c r="J24" s="172" t="str">
        <f>IF(ISTEXT(VLOOKUP(CONCATENATE($A24,"_",J$3),'Unit List'!$A$14:$H$2841,2,FALSE)),"+","")</f>
        <v/>
      </c>
      <c r="K24" s="51" t="str">
        <f>IF(ISTEXT(VLOOKUP(CONCATENATE($A24,"_",K$3),'Unit List'!$A$14:$H$2841,2,FALSE)),"X",$J24)</f>
        <v/>
      </c>
      <c r="L24" s="62" t="str">
        <f>IF(ISTEXT(VLOOKUP(CONCATENATE($A24,"_",L$3),'Unit List'!$A$14:$H$2841,2,FALSE)),"X",$J24)</f>
        <v/>
      </c>
      <c r="M24" s="172" t="str">
        <f>IF(ISTEXT(VLOOKUP(CONCATENATE($A24,"_",M$3),'Unit List'!$A$14:$H$2841,2,FALSE)),"+","")</f>
        <v/>
      </c>
      <c r="N24" s="51" t="str">
        <f>IF(ISTEXT(VLOOKUP(CONCATENATE($A24,"_",N$3),'Unit List'!$A$14:$H$2841,2,FALSE)),"X",$M24)</f>
        <v/>
      </c>
      <c r="O24" s="53" t="str">
        <f>IF(ISTEXT(VLOOKUP(CONCATENATE($A24,"_",O$3),'Unit List'!$A$14:$H$2841,2,FALSE)),"X",$M24)</f>
        <v/>
      </c>
      <c r="P24" s="172" t="str">
        <f>IF(ISTEXT(VLOOKUP(CONCATENATE($A24,"_",P$3),'Unit List'!$A$14:$H$2841,2,FALSE)),"+","")</f>
        <v/>
      </c>
      <c r="Q24" s="51" t="str">
        <f>IF(ISTEXT(VLOOKUP(CONCATENATE($A24,"_",Q$3),'Unit List'!$A$14:$H$2841,2,FALSE)),"X",$P24)</f>
        <v/>
      </c>
      <c r="R24" s="51" t="str">
        <f>IF(ISTEXT(VLOOKUP(CONCATENATE($A24,"_",R$3),'Unit List'!$A$14:$H$2841,2,FALSE)),"X",$P24)</f>
        <v/>
      </c>
      <c r="S24" s="51" t="str">
        <f>IF(ISTEXT(VLOOKUP(CONCATENATE($A24,"_",S$3),'Unit List'!$A$14:$H$2841,2,FALSE)),"X",$P24)</f>
        <v/>
      </c>
      <c r="T24" s="52" t="str">
        <f>IF(ISTEXT(VLOOKUP(CONCATENATE($A24,"_",T$3),'Unit List'!$A$14:$H$2841,2,FALSE)),"X",$P24)</f>
        <v/>
      </c>
      <c r="U24" s="51" t="str">
        <f>IF(ISTEXT(VLOOKUP(CONCATENATE($A24,"_",U$3),'Unit List'!$A$14:$H$2841,2,FALSE)),"X",$P24)</f>
        <v/>
      </c>
      <c r="V24" s="51" t="str">
        <f>IF(ISTEXT(VLOOKUP(CONCATENATE($A24,"_",V$3),'Unit List'!$A$14:$H$2841,2,FALSE)),"X",$P24)</f>
        <v/>
      </c>
      <c r="W24" s="53" t="str">
        <f>IF(ISTEXT(VLOOKUP(CONCATENATE($A24,"_",W$3),'Unit List'!$A$14:$H$2841,2,FALSE)),"X",$P24)</f>
        <v/>
      </c>
      <c r="X24" s="172" t="str">
        <f>IF(ISTEXT(VLOOKUP(CONCATENATE($A24,"_",X$3),'Unit List'!$A$14:$H$2841,2,FALSE)),"+","")</f>
        <v/>
      </c>
      <c r="Y24" s="51" t="str">
        <f>IF(ISTEXT(VLOOKUP(CONCATENATE($A24,"_",Y$3),'Unit List'!$A$14:$H$2841,2,FALSE)),"X",$X24)</f>
        <v/>
      </c>
      <c r="Z24" s="51" t="str">
        <f>IF(ISTEXT(VLOOKUP(CONCATENATE($A24,"_",Z$3),'Unit List'!$A$14:$H$2841,2,FALSE)),"X",$X24)</f>
        <v/>
      </c>
      <c r="AA24" s="51" t="str">
        <f>IF(ISTEXT(VLOOKUP(CONCATENATE($A24,"_",AA$3),'Unit List'!$A$14:$H$2841,2,FALSE)),"X",$X24)</f>
        <v/>
      </c>
      <c r="AB24" s="51" t="str">
        <f>IF(ISTEXT(VLOOKUP(CONCATENATE($A24,"_",AB$3),'Unit List'!$A$14:$H$2841,2,FALSE)),"X",$X24)</f>
        <v/>
      </c>
      <c r="AC24" s="62" t="str">
        <f>IF(ISTEXT(VLOOKUP(CONCATENATE($A24,"_",AC$3),'Unit List'!$A$14:$H$2841,2,FALSE)),"X",$X24)</f>
        <v/>
      </c>
      <c r="AD24" s="172" t="str">
        <f>IF(ISTEXT(VLOOKUP(CONCATENATE($A24,"_",AD$3),'Unit List'!$A$14:$H$2841,2,FALSE)),"+","")</f>
        <v/>
      </c>
      <c r="AE24" s="51" t="str">
        <f>IF(ISTEXT(VLOOKUP(CONCATENATE($A24,"_",AE$3),'Unit List'!$A$14:$H$2841,2,FALSE)),"X",$AD24)</f>
        <v/>
      </c>
      <c r="AF24" s="51" t="str">
        <f>IF(ISTEXT(VLOOKUP(CONCATENATE($A24,"_",AF$3),'Unit List'!$A$14:$H$2841,2,FALSE)),"X",$AD24)</f>
        <v/>
      </c>
      <c r="AG24" s="172" t="str">
        <f>IF(ISTEXT(VLOOKUP(CONCATENATE($A24,"_",AG$3),'Unit List'!$A$14:$H$2841,2,FALSE)),"+","")</f>
        <v/>
      </c>
      <c r="AH24" s="51" t="str">
        <f>IF(ISTEXT(VLOOKUP(CONCATENATE($A24,"_",AH$3),'Unit List'!$A$14:$H$2841,2,FALSE)),"X",$AG24)</f>
        <v/>
      </c>
      <c r="AI24" s="51" t="str">
        <f>IF(ISTEXT(VLOOKUP(CONCATENATE($A24,"_",AI$3),'Unit List'!$A$14:$H$2841,2,FALSE)),"X",$AG24)</f>
        <v/>
      </c>
      <c r="AJ24" s="53" t="str">
        <f>IF(ISTEXT(VLOOKUP(CONCATENATE($A24,"_",AJ$3),'Unit List'!$A$14:$H$2841,2,FALSE)),"X",$AG24)</f>
        <v/>
      </c>
      <c r="AK24" s="172" t="str">
        <f>IF(ISTEXT(VLOOKUP(CONCATENATE($A24,"_",AK$3),'Unit List'!$A$14:$H$2841,2,FALSE)),"+","")</f>
        <v/>
      </c>
      <c r="AL24" s="52" t="str">
        <f>IF(ISTEXT(VLOOKUP(CONCATENATE($A24,"_",AL$3),'Unit List'!$A$14:$H$2841,2,FALSE)),"X",$AK24)</f>
        <v/>
      </c>
      <c r="AM24" s="53" t="str">
        <f>IF(ISTEXT(VLOOKUP(CONCATENATE($A24,"_",AM$3),'Unit List'!$A$14:$H$2841,2,FALSE)),"X",$AK24)</f>
        <v/>
      </c>
      <c r="AN24" s="125" t="str">
        <f>IF(ISTEXT(VLOOKUP(CONCATENATE($A24,"_",AN$3),'Unit List'!$A$14:$H$2841,2,FALSE)),"+","")</f>
        <v/>
      </c>
      <c r="AO24" s="53" t="str">
        <f>IF(ISTEXT(VLOOKUP(CONCATENATE($A24,"_",AO$3),'Unit List'!$A$14:$H$2841,2,FALSE)),"X",$AN24)</f>
        <v/>
      </c>
      <c r="AP24" s="172" t="str">
        <f>IF(ISTEXT(VLOOKUP(CONCATENATE($A24,"_",AP$3),'Unit List'!$A$14:$H$2841,2,FALSE)),"+","")</f>
        <v/>
      </c>
      <c r="AQ24" s="51" t="str">
        <f>IF(ISTEXT(VLOOKUP(CONCATENATE($A24,"_",AQ$3),'Unit List'!$A$14:$H$2841,2,FALSE)),"X",$AP24)</f>
        <v/>
      </c>
      <c r="AR24" s="51" t="str">
        <f>IF(ISTEXT(VLOOKUP(CONCATENATE($A24,"_",AR$3),'Unit List'!$A$14:$H$2841,2,FALSE)),"X",$AP24)</f>
        <v/>
      </c>
      <c r="AS24" s="51" t="str">
        <f>IF(ISTEXT(VLOOKUP(CONCATENATE($A24,"_",AS$3),'Unit List'!$A$14:$H$2841,2,FALSE)),"X",$AP24)</f>
        <v/>
      </c>
      <c r="AT24" s="53" t="str">
        <f>IF(ISTEXT(VLOOKUP(CONCATENATE($A24,"_",AT$3),'Unit List'!$A$14:$H$2841,2,FALSE)),"X",$AP24)</f>
        <v/>
      </c>
      <c r="AU24" s="124" t="str">
        <f>IF(ISTEXT(VLOOKUP(CONCATENATE($A24,"_",AU$3),'Unit List'!$A$14:$H$2841,2,FALSE)),"+","")</f>
        <v/>
      </c>
      <c r="AV24" s="51" t="str">
        <f>IF(ISTEXT(VLOOKUP(CONCATENATE($A24,"_",AV$3),'Unit List'!$A$14:$H$2841,2,FALSE)),"X",$AU24)</f>
        <v/>
      </c>
      <c r="AW24" s="53" t="str">
        <f>IF(ISTEXT(VLOOKUP(CONCATENATE($A24,"_",AW$3),'Unit List'!$A$14:$H$2841,2,FALSE)),"X",$AU24)</f>
        <v/>
      </c>
      <c r="AX24" s="172" t="str">
        <f>IF(ISTEXT(VLOOKUP(CONCATENATE($A24,"_",AX$3),'Unit List'!$A$14:$H$2841,2,FALSE)),"+","")</f>
        <v/>
      </c>
      <c r="AY24" s="51" t="str">
        <f>IF(ISTEXT(VLOOKUP(CONCATENATE($A24,"_",AY$3),'Unit List'!$A$14:$H$2841,2,FALSE)),"X",$AX24)</f>
        <v/>
      </c>
      <c r="AZ24" s="53" t="str">
        <f>IF(ISTEXT(VLOOKUP(CONCATENATE($A24,"_",AZ$3),'Unit List'!$A$14:$H$2841,2,FALSE)),"X",$AX24)</f>
        <v/>
      </c>
      <c r="BA24" s="182" t="str">
        <f>IF(ISTEXT(VLOOKUP(CONCATENATE($A24,"_",BA$3),'Unit List'!$A$14:$H$2841,2,FALSE)),"+","")</f>
        <v/>
      </c>
      <c r="BB24" s="51" t="str">
        <f>IF(ISTEXT(VLOOKUP(CONCATENATE($A24,"_",BB$3),'Unit List'!$A$14:$H$2841,2,FALSE)),"X",$BA24)</f>
        <v/>
      </c>
      <c r="BC24" s="51" t="str">
        <f>IF(ISTEXT(VLOOKUP(CONCATENATE($A24,"_",BC$3),'Unit List'!$A$14:$H$2841,2,FALSE)),"X",$BA24)</f>
        <v/>
      </c>
      <c r="BD24" s="53" t="str">
        <f>IF(ISTEXT(VLOOKUP(CONCATENATE($A24,"_",BD$3),'Unit List'!$A$14:$H$2841,2,FALSE)),"X",$BA24)</f>
        <v/>
      </c>
      <c r="BE24" s="125" t="str">
        <f>IF(ISTEXT(VLOOKUP(CONCATENATE($A24,"_",BE$3),'Unit List'!$A$14:$H$2841,2,FALSE)),"+","")</f>
        <v/>
      </c>
      <c r="BF24" s="62" t="str">
        <f>IF(ISTEXT(VLOOKUP(CONCATENATE($A24,"_",BF$3),'Unit List'!$A$14:$H$2841,2,FALSE)),"X",$BE24)</f>
        <v/>
      </c>
      <c r="BG24" s="75"/>
      <c r="BH24" s="84"/>
      <c r="BI24" s="203"/>
      <c r="BJ24" s="204"/>
      <c r="BK24" s="204"/>
      <c r="BL24" s="204"/>
      <c r="BM24" s="205"/>
      <c r="BN24" s="54"/>
      <c r="BO24" s="54"/>
      <c r="BP24" s="54"/>
      <c r="BQ24" s="54"/>
      <c r="BR24" s="54"/>
      <c r="BS24" s="54"/>
      <c r="DZ24" s="55"/>
      <c r="EA24" s="55"/>
    </row>
    <row r="25" spans="1:131" ht="12.75" customHeight="1" x14ac:dyDescent="0.2">
      <c r="A25" s="56" t="s">
        <v>1156</v>
      </c>
      <c r="B25" s="181" t="str">
        <f>IF(ISTEXT(VLOOKUP(CONCATENATE($A25,"_",B$3),'Unit List'!$A$14:$H$2841,2,FALSE)),"+","")</f>
        <v/>
      </c>
      <c r="C25" s="57" t="str">
        <f>IF(ISTEXT(VLOOKUP(CONCATENATE($A25,"_",C$3),'Unit List'!$A$14:$H$2841,2,FALSE)),"X",$B25)</f>
        <v/>
      </c>
      <c r="D25" s="51" t="str">
        <f>IF(ISTEXT(VLOOKUP(CONCATENATE($A25,"_",D$3),'Unit List'!$A$14:$H$2841,2,FALSE)),"X",$B25)</f>
        <v>X</v>
      </c>
      <c r="E25" s="51" t="str">
        <f>IF(ISTEXT(VLOOKUP(CONCATENATE($A25,"_",E$3),'Unit List'!$A$14:$H$2841,2,FALSE)),"X",$B25)</f>
        <v/>
      </c>
      <c r="F25" s="51" t="str">
        <f>IF(ISTEXT(VLOOKUP(CONCATENATE($A25,"_",F$3),'Unit List'!$A$14:$H$2841,2,FALSE)),"X",$B25)</f>
        <v/>
      </c>
      <c r="G25" s="51" t="str">
        <f>IF(ISTEXT(VLOOKUP(CONCATENATE($A25,"_",G$3),'Unit List'!$A$14:$H$2841,2,FALSE)),"X",$B25)</f>
        <v/>
      </c>
      <c r="H25" s="67" t="str">
        <f>IF(ISTEXT(VLOOKUP(CONCATENATE($A25,"_",H$3),'Unit List'!$A$14:$H$2841,2,FALSE)),"X",$B25)</f>
        <v>X</v>
      </c>
      <c r="I25" s="53" t="str">
        <f>IF(ISTEXT(VLOOKUP(CONCATENATE($A25,"_",I$3),'Unit List'!$A$14:$H$2841,2,FALSE)),"X",$B25)</f>
        <v/>
      </c>
      <c r="J25" s="172" t="str">
        <f>IF(ISTEXT(VLOOKUP(CONCATENATE($A25,"_",J$3),'Unit List'!$A$14:$H$2841,2,FALSE)),"+","")</f>
        <v/>
      </c>
      <c r="K25" s="51" t="str">
        <f>IF(ISTEXT(VLOOKUP(CONCATENATE($A25,"_",K$3),'Unit List'!$A$14:$H$2841,2,FALSE)),"X",$J25)</f>
        <v/>
      </c>
      <c r="L25" s="62" t="str">
        <f>IF(ISTEXT(VLOOKUP(CONCATENATE($A25,"_",L$3),'Unit List'!$A$14:$H$2841,2,FALSE)),"X",$J25)</f>
        <v/>
      </c>
      <c r="M25" s="172" t="str">
        <f>IF(ISTEXT(VLOOKUP(CONCATENATE($A25,"_",M$3),'Unit List'!$A$14:$H$2841,2,FALSE)),"+","")</f>
        <v>+</v>
      </c>
      <c r="N25" s="51" t="str">
        <f>IF(ISTEXT(VLOOKUP(CONCATENATE($A25,"_",N$3),'Unit List'!$A$14:$H$2841,2,FALSE)),"X",$M25)</f>
        <v>+</v>
      </c>
      <c r="O25" s="53" t="str">
        <f>IF(ISTEXT(VLOOKUP(CONCATENATE($A25,"_",O$3),'Unit List'!$A$14:$H$2841,2,FALSE)),"X",$M25)</f>
        <v>+</v>
      </c>
      <c r="P25" s="172" t="str">
        <f>IF(ISTEXT(VLOOKUP(CONCATENATE($A25,"_",P$3),'Unit List'!$A$14:$H$2841,2,FALSE)),"+","")</f>
        <v/>
      </c>
      <c r="Q25" s="51" t="str">
        <f>IF(ISTEXT(VLOOKUP(CONCATENATE($A25,"_",Q$3),'Unit List'!$A$14:$H$2841,2,FALSE)),"X",$P25)</f>
        <v/>
      </c>
      <c r="R25" s="51" t="str">
        <f>IF(ISTEXT(VLOOKUP(CONCATENATE($A25,"_",R$3),'Unit List'!$A$14:$H$2841,2,FALSE)),"X",$P25)</f>
        <v/>
      </c>
      <c r="S25" s="51" t="str">
        <f>IF(ISTEXT(VLOOKUP(CONCATENATE($A25,"_",S$3),'Unit List'!$A$14:$H$2841,2,FALSE)),"X",$P25)</f>
        <v/>
      </c>
      <c r="T25" s="52" t="str">
        <f>IF(ISTEXT(VLOOKUP(CONCATENATE($A25,"_",T$3),'Unit List'!$A$14:$H$2841,2,FALSE)),"X",$P25)</f>
        <v/>
      </c>
      <c r="U25" s="51" t="str">
        <f>IF(ISTEXT(VLOOKUP(CONCATENATE($A25,"_",U$3),'Unit List'!$A$14:$H$2841,2,FALSE)),"X",$P25)</f>
        <v/>
      </c>
      <c r="V25" s="51" t="str">
        <f>IF(ISTEXT(VLOOKUP(CONCATENATE($A25,"_",V$3),'Unit List'!$A$14:$H$2841,2,FALSE)),"X",$P25)</f>
        <v/>
      </c>
      <c r="W25" s="53" t="str">
        <f>IF(ISTEXT(VLOOKUP(CONCATENATE($A25,"_",W$3),'Unit List'!$A$14:$H$2841,2,FALSE)),"X",$P25)</f>
        <v/>
      </c>
      <c r="X25" s="172" t="str">
        <f>IF(ISTEXT(VLOOKUP(CONCATENATE($A25,"_",X$3),'Unit List'!$A$14:$H$2841,2,FALSE)),"+","")</f>
        <v/>
      </c>
      <c r="Y25" s="51" t="str">
        <f>IF(ISTEXT(VLOOKUP(CONCATENATE($A25,"_",Y$3),'Unit List'!$A$14:$H$2841,2,FALSE)),"X",$X25)</f>
        <v/>
      </c>
      <c r="Z25" s="51" t="str">
        <f>IF(ISTEXT(VLOOKUP(CONCATENATE($A25,"_",Z$3),'Unit List'!$A$14:$H$2841,2,FALSE)),"X",$X25)</f>
        <v/>
      </c>
      <c r="AA25" s="51" t="str">
        <f>IF(ISTEXT(VLOOKUP(CONCATENATE($A25,"_",AA$3),'Unit List'!$A$14:$H$2841,2,FALSE)),"X",$X25)</f>
        <v/>
      </c>
      <c r="AB25" s="51" t="str">
        <f>IF(ISTEXT(VLOOKUP(CONCATENATE($A25,"_",AB$3),'Unit List'!$A$14:$H$2841,2,FALSE)),"X",$X25)</f>
        <v/>
      </c>
      <c r="AC25" s="62" t="str">
        <f>IF(ISTEXT(VLOOKUP(CONCATENATE($A25,"_",AC$3),'Unit List'!$A$14:$H$2841,2,FALSE)),"X",$X25)</f>
        <v/>
      </c>
      <c r="AD25" s="172" t="str">
        <f>IF(ISTEXT(VLOOKUP(CONCATENATE($A25,"_",AD$3),'Unit List'!$A$14:$H$2841,2,FALSE)),"+","")</f>
        <v/>
      </c>
      <c r="AE25" s="51" t="str">
        <f>IF(ISTEXT(VLOOKUP(CONCATENATE($A25,"_",AE$3),'Unit List'!$A$14:$H$2841,2,FALSE)),"X",$AD25)</f>
        <v/>
      </c>
      <c r="AF25" s="51" t="str">
        <f>IF(ISTEXT(VLOOKUP(CONCATENATE($A25,"_",AF$3),'Unit List'!$A$14:$H$2841,2,FALSE)),"X",$AD25)</f>
        <v/>
      </c>
      <c r="AG25" s="172" t="str">
        <f>IF(ISTEXT(VLOOKUP(CONCATENATE($A25,"_",AG$3),'Unit List'!$A$14:$H$2841,2,FALSE)),"+","")</f>
        <v/>
      </c>
      <c r="AH25" s="83" t="str">
        <f>IF(ISTEXT(VLOOKUP(CONCATENATE($A25,"_",AH$3),'Unit List'!$A$14:$H$2841,2,FALSE)),"X",$AG25)</f>
        <v/>
      </c>
      <c r="AI25" s="83" t="str">
        <f>IF(ISTEXT(VLOOKUP(CONCATENATE($A25,"_",AI$3),'Unit List'!$A$14:$H$2841,2,FALSE)),"X",$AG25)</f>
        <v/>
      </c>
      <c r="AJ25" s="53" t="str">
        <f>IF(ISTEXT(VLOOKUP(CONCATENATE($A25,"_",AJ$3),'Unit List'!$A$14:$H$2841,2,FALSE)),"X",$AG25)</f>
        <v/>
      </c>
      <c r="AK25" s="172" t="str">
        <f>IF(ISTEXT(VLOOKUP(CONCATENATE($A25,"_",AK$3),'Unit List'!$A$14:$H$2841,2,FALSE)),"+","")</f>
        <v/>
      </c>
      <c r="AL25" s="52" t="str">
        <f>IF(ISTEXT(VLOOKUP(CONCATENATE($A25,"_",AL$3),'Unit List'!$A$14:$H$2841,2,FALSE)),"X",$AK25)</f>
        <v/>
      </c>
      <c r="AM25" s="53" t="str">
        <f>IF(ISTEXT(VLOOKUP(CONCATENATE($A25,"_",AM$3),'Unit List'!$A$14:$H$2841,2,FALSE)),"X",$AK25)</f>
        <v/>
      </c>
      <c r="AN25" s="125" t="str">
        <f>IF(ISTEXT(VLOOKUP(CONCATENATE($A25,"_",AN$3),'Unit List'!$A$14:$H$2841,2,FALSE)),"+","")</f>
        <v/>
      </c>
      <c r="AO25" s="53" t="str">
        <f>IF(ISTEXT(VLOOKUP(CONCATENATE($A25,"_",AO$3),'Unit List'!$A$14:$H$2841,2,FALSE)),"X",$AN25)</f>
        <v/>
      </c>
      <c r="AP25" s="172" t="str">
        <f>IF(ISTEXT(VLOOKUP(CONCATENATE($A25,"_",AP$3),'Unit List'!$A$14:$H$2841,2,FALSE)),"+","")</f>
        <v/>
      </c>
      <c r="AQ25" s="51" t="str">
        <f>IF(ISTEXT(VLOOKUP(CONCATENATE($A25,"_",AQ$3),'Unit List'!$A$14:$H$2841,2,FALSE)),"X",$AP25)</f>
        <v/>
      </c>
      <c r="AR25" s="51" t="str">
        <f>IF(ISTEXT(VLOOKUP(CONCATENATE($A25,"_",AR$3),'Unit List'!$A$14:$H$2841,2,FALSE)),"X",$AP25)</f>
        <v/>
      </c>
      <c r="AS25" s="51" t="str">
        <f>IF(ISTEXT(VLOOKUP(CONCATENATE($A25,"_",AS$3),'Unit List'!$A$14:$H$2841,2,FALSE)),"X",$AP25)</f>
        <v/>
      </c>
      <c r="AT25" s="53" t="str">
        <f>IF(ISTEXT(VLOOKUP(CONCATENATE($A25,"_",AT$3),'Unit List'!$A$14:$H$2841,2,FALSE)),"X",$AP25)</f>
        <v/>
      </c>
      <c r="AU25" s="124" t="str">
        <f>IF(ISTEXT(VLOOKUP(CONCATENATE($A25,"_",AU$3),'Unit List'!$A$14:$H$2841,2,FALSE)),"+","")</f>
        <v/>
      </c>
      <c r="AV25" s="51" t="str">
        <f>IF(ISTEXT(VLOOKUP(CONCATENATE($A25,"_",AV$3),'Unit List'!$A$14:$H$2841,2,FALSE)),"X",$AU25)</f>
        <v/>
      </c>
      <c r="AW25" s="53" t="str">
        <f>IF(ISTEXT(VLOOKUP(CONCATENATE($A25,"_",AW$3),'Unit List'!$A$14:$H$2841,2,FALSE)),"X",$AU25)</f>
        <v/>
      </c>
      <c r="AX25" s="172" t="str">
        <f>IF(ISTEXT(VLOOKUP(CONCATENATE($A25,"_",AX$3),'Unit List'!$A$14:$H$2841,2,FALSE)),"+","")</f>
        <v/>
      </c>
      <c r="AY25" s="51" t="str">
        <f>IF(ISTEXT(VLOOKUP(CONCATENATE($A25,"_",AY$3),'Unit List'!$A$14:$H$2841,2,FALSE)),"X",$AX25)</f>
        <v/>
      </c>
      <c r="AZ25" s="53" t="str">
        <f>IF(ISTEXT(VLOOKUP(CONCATENATE($A25,"_",AZ$3),'Unit List'!$A$14:$H$2841,2,FALSE)),"X",$AX25)</f>
        <v/>
      </c>
      <c r="BA25" s="182" t="str">
        <f>IF(ISTEXT(VLOOKUP(CONCATENATE($A25,"_",BA$3),'Unit List'!$A$14:$H$2841,2,FALSE)),"+","")</f>
        <v/>
      </c>
      <c r="BB25" s="51" t="str">
        <f>IF(ISTEXT(VLOOKUP(CONCATENATE($A25,"_",BB$3),'Unit List'!$A$14:$H$2841,2,FALSE)),"X",$BA25)</f>
        <v/>
      </c>
      <c r="BC25" s="51" t="str">
        <f>IF(ISTEXT(VLOOKUP(CONCATENATE($A25,"_",BC$3),'Unit List'!$A$14:$H$2841,2,FALSE)),"X",$BA25)</f>
        <v/>
      </c>
      <c r="BD25" s="53" t="str">
        <f>IF(ISTEXT(VLOOKUP(CONCATENATE($A25,"_",BD$3),'Unit List'!$A$14:$H$2841,2,FALSE)),"X",$BA25)</f>
        <v/>
      </c>
      <c r="BE25" s="125" t="str">
        <f>IF(ISTEXT(VLOOKUP(CONCATENATE($A25,"_",BE$3),'Unit List'!$A$14:$H$2841,2,FALSE)),"+","")</f>
        <v/>
      </c>
      <c r="BF25" s="62" t="str">
        <f>IF(ISTEXT(VLOOKUP(CONCATENATE($A25,"_",BF$3),'Unit List'!$A$14:$H$2841,2,FALSE)),"X",$BE25)</f>
        <v/>
      </c>
      <c r="BG25" s="64"/>
      <c r="BH25" s="65" t="s">
        <v>0</v>
      </c>
      <c r="BI25" s="203"/>
      <c r="BJ25" s="204"/>
      <c r="BK25" s="204"/>
      <c r="BL25" s="204"/>
      <c r="BM25" s="205"/>
      <c r="BN25" s="54"/>
      <c r="BO25" s="54"/>
      <c r="BP25" s="54"/>
      <c r="BQ25" s="54"/>
      <c r="BR25" s="54"/>
      <c r="BS25" s="54"/>
      <c r="DZ25" s="55"/>
      <c r="EA25" s="55"/>
    </row>
    <row r="26" spans="1:131" ht="12.75" customHeight="1" x14ac:dyDescent="0.2">
      <c r="A26" s="56" t="s">
        <v>1107</v>
      </c>
      <c r="B26" s="181" t="str">
        <f>IF(ISTEXT(VLOOKUP(CONCATENATE($A26,"_",B$3),'Unit List'!$A$14:$H$2841,2,FALSE)),"+","")</f>
        <v/>
      </c>
      <c r="C26" s="82" t="str">
        <f>IF(ISTEXT(VLOOKUP(CONCATENATE($A26,"_",C$3),'Unit List'!$A$14:$H$2841,2,FALSE)),"X",$B26)</f>
        <v>X</v>
      </c>
      <c r="D26" s="51" t="str">
        <f>IF(ISTEXT(VLOOKUP(CONCATENATE($A26,"_",D$3),'Unit List'!$A$14:$H$2841,2,FALSE)),"X",$B26)</f>
        <v>X</v>
      </c>
      <c r="E26" s="51" t="str">
        <f>IF(ISTEXT(VLOOKUP(CONCATENATE($A26,"_",E$3),'Unit List'!$A$14:$H$2841,2,FALSE)),"X",$B26)</f>
        <v>X</v>
      </c>
      <c r="F26" s="67" t="str">
        <f>IF(ISTEXT(VLOOKUP(CONCATENATE($A26,"_",F$3),'Unit List'!$A$14:$H$2841,2,FALSE)),"X",$B26)</f>
        <v>X</v>
      </c>
      <c r="G26" s="67" t="str">
        <f>IF(ISTEXT(VLOOKUP(CONCATENATE($A26,"_",G$3),'Unit List'!$A$14:$H$2841,2,FALSE)),"X",$B26)</f>
        <v>X</v>
      </c>
      <c r="H26" s="67" t="str">
        <f>IF(ISTEXT(VLOOKUP(CONCATENATE($A26,"_",H$3),'Unit List'!$A$14:$H$2841,2,FALSE)),"X",$B26)</f>
        <v>X</v>
      </c>
      <c r="I26" s="70" t="str">
        <f>IF(ISTEXT(VLOOKUP(CONCATENATE($A26,"_",I$3),'Unit List'!$A$14:$H$2841,2,FALSE)),"X",$B26)</f>
        <v>X</v>
      </c>
      <c r="J26" s="172" t="str">
        <f>IF(ISTEXT(VLOOKUP(CONCATENATE($A26,"_",J$3),'Unit List'!$A$14:$H$2841,2,FALSE)),"+","")</f>
        <v/>
      </c>
      <c r="K26" s="51" t="str">
        <f>IF(ISTEXT(VLOOKUP(CONCATENATE($A26,"_",K$3),'Unit List'!$A$14:$H$2841,2,FALSE)),"X",$J26)</f>
        <v/>
      </c>
      <c r="L26" s="62" t="str">
        <f>IF(ISTEXT(VLOOKUP(CONCATENATE($A26,"_",L$3),'Unit List'!$A$14:$H$2841,2,FALSE)),"X",$J26)</f>
        <v>X</v>
      </c>
      <c r="M26" s="172" t="str">
        <f>IF(ISTEXT(VLOOKUP(CONCATENATE($A26,"_",M$3),'Unit List'!$A$14:$H$2841,2,FALSE)),"+","")</f>
        <v>+</v>
      </c>
      <c r="N26" s="51" t="str">
        <f>IF(ISTEXT(VLOOKUP(CONCATENATE($A26,"_",N$3),'Unit List'!$A$14:$H$2841,2,FALSE)),"X",$M26)</f>
        <v>X</v>
      </c>
      <c r="O26" s="53" t="str">
        <f>IF(ISTEXT(VLOOKUP(CONCATENATE($A26,"_",O$3),'Unit List'!$A$14:$H$2841,2,FALSE)),"X",$M26)</f>
        <v>X</v>
      </c>
      <c r="P26" s="172" t="str">
        <f>IF(ISTEXT(VLOOKUP(CONCATENATE($A26,"_",P$3),'Unit List'!$A$14:$H$2841,2,FALSE)),"+","")</f>
        <v/>
      </c>
      <c r="Q26" s="51" t="str">
        <f>IF(ISTEXT(VLOOKUP(CONCATENATE($A26,"_",Q$3),'Unit List'!$A$14:$H$2841,2,FALSE)),"X",$P26)</f>
        <v/>
      </c>
      <c r="R26" s="51" t="str">
        <f>IF(ISTEXT(VLOOKUP(CONCATENATE($A26,"_",R$3),'Unit List'!$A$14:$H$2841,2,FALSE)),"X",$P26)</f>
        <v/>
      </c>
      <c r="S26" s="67" t="str">
        <f>IF(ISTEXT(VLOOKUP(CONCATENATE($A26,"_",S$3),'Unit List'!$A$14:$H$2841,2,FALSE)),"X",$P26)</f>
        <v>X</v>
      </c>
      <c r="T26" s="52" t="str">
        <f>IF(ISTEXT(VLOOKUP(CONCATENATE($A26,"_",T$3),'Unit List'!$A$14:$H$2841,2,FALSE)),"X",$P26)</f>
        <v/>
      </c>
      <c r="U26" s="67" t="str">
        <f>IF(ISTEXT(VLOOKUP(CONCATENATE($A26,"_",U$3),'Unit List'!$A$14:$H$2841,2,FALSE)),"X",$P26)</f>
        <v>X</v>
      </c>
      <c r="V26" s="67" t="str">
        <f>IF(ISTEXT(VLOOKUP(CONCATENATE($A26,"_",V$3),'Unit List'!$A$14:$H$2841,2,FALSE)),"X",$P26)</f>
        <v>X</v>
      </c>
      <c r="W26" s="53" t="str">
        <f>IF(ISTEXT(VLOOKUP(CONCATENATE($A26,"_",W$3),'Unit List'!$A$14:$H$2841,2,FALSE)),"X",$P26)</f>
        <v/>
      </c>
      <c r="X26" s="172" t="str">
        <f>IF(ISTEXT(VLOOKUP(CONCATENATE($A26,"_",X$3),'Unit List'!$A$14:$H$2841,2,FALSE)),"+","")</f>
        <v>+</v>
      </c>
      <c r="Y26" s="69" t="str">
        <f>IF(ISTEXT(VLOOKUP(CONCATENATE($A26,"_",Y$3),'Unit List'!$A$14:$H$2841,2,FALSE)),"X",$X26)</f>
        <v>X</v>
      </c>
      <c r="Z26" s="51" t="str">
        <f>IF(ISTEXT(VLOOKUP(CONCATENATE($A26,"_",Z$3),'Unit List'!$A$14:$H$2841,2,FALSE)),"X",$X26)</f>
        <v>+</v>
      </c>
      <c r="AA26" s="51" t="str">
        <f>IF(ISTEXT(VLOOKUP(CONCATENATE($A26,"_",AA$3),'Unit List'!$A$14:$H$2841,2,FALSE)),"X",$X26)</f>
        <v>X</v>
      </c>
      <c r="AB26" s="51" t="str">
        <f>IF(ISTEXT(VLOOKUP(CONCATENATE($A26,"_",AB$3),'Unit List'!$A$14:$H$2841,2,FALSE)),"X",$X26)</f>
        <v>X</v>
      </c>
      <c r="AC26" s="62" t="str">
        <f>IF(ISTEXT(VLOOKUP(CONCATENATE($A26,"_",AC$3),'Unit List'!$A$14:$H$2841,2,FALSE)),"X",$X26)</f>
        <v>+</v>
      </c>
      <c r="AD26" s="172" t="str">
        <f>IF(ISTEXT(VLOOKUP(CONCATENATE($A26,"_",AD$3),'Unit List'!$A$14:$H$2841,2,FALSE)),"+","")</f>
        <v>+</v>
      </c>
      <c r="AE26" s="51" t="str">
        <f>IF(ISTEXT(VLOOKUP(CONCATENATE($A26,"_",AE$3),'Unit List'!$A$14:$H$2841,2,FALSE)),"X",$AD26)</f>
        <v>+</v>
      </c>
      <c r="AF26" s="51" t="str">
        <f>IF(ISTEXT(VLOOKUP(CONCATENATE($A26,"_",AF$3),'Unit List'!$A$14:$H$2841,2,FALSE)),"X",$AD26)</f>
        <v>+</v>
      </c>
      <c r="AG26" s="172" t="str">
        <f>IF(ISTEXT(VLOOKUP(CONCATENATE($A26,"_",AG$3),'Unit List'!$A$14:$H$2841,2,FALSE)),"+","")</f>
        <v>+</v>
      </c>
      <c r="AH26" s="51" t="str">
        <f>IF(ISTEXT(VLOOKUP(CONCATENATE($A26,"_",AH$3),'Unit List'!$A$14:$H$2841,2,FALSE)),"X",$AG26)</f>
        <v>X</v>
      </c>
      <c r="AI26" s="51" t="str">
        <f>IF(ISTEXT(VLOOKUP(CONCATENATE($A26,"_",AI$3),'Unit List'!$A$14:$H$2841,2,FALSE)),"X",$AG26)</f>
        <v>+</v>
      </c>
      <c r="AJ26" s="53" t="str">
        <f>IF(ISTEXT(VLOOKUP(CONCATENATE($A26,"_",AJ$3),'Unit List'!$A$14:$H$2841,2,FALSE)),"X",$AG26)</f>
        <v>+</v>
      </c>
      <c r="AK26" s="172" t="str">
        <f>IF(ISTEXT(VLOOKUP(CONCATENATE($A26,"_",AK$3),'Unit List'!$A$14:$H$2841,2,FALSE)),"+","")</f>
        <v/>
      </c>
      <c r="AL26" s="52" t="str">
        <f>IF(ISTEXT(VLOOKUP(CONCATENATE($A26,"_",AL$3),'Unit List'!$A$14:$H$2841,2,FALSE)),"X",$AK26)</f>
        <v/>
      </c>
      <c r="AM26" s="53" t="str">
        <f>IF(ISTEXT(VLOOKUP(CONCATENATE($A26,"_",AM$3),'Unit List'!$A$14:$H$2841,2,FALSE)),"X",$AK26)</f>
        <v/>
      </c>
      <c r="AN26" s="125" t="str">
        <f>IF(ISTEXT(VLOOKUP(CONCATENATE($A26,"_",AN$3),'Unit List'!$A$14:$H$2841,2,FALSE)),"+","")</f>
        <v>+</v>
      </c>
      <c r="AO26" s="53" t="str">
        <f>IF(ISTEXT(VLOOKUP(CONCATENATE($A26,"_",AO$3),'Unit List'!$A$14:$H$2841,2,FALSE)),"X",$AN26)</f>
        <v>+</v>
      </c>
      <c r="AP26" s="172" t="str">
        <f>IF(ISTEXT(VLOOKUP(CONCATENATE($A26,"_",AP$3),'Unit List'!$A$14:$H$2841,2,FALSE)),"+","")</f>
        <v>+</v>
      </c>
      <c r="AQ26" s="51" t="str">
        <f>IF(ISTEXT(VLOOKUP(CONCATENATE($A26,"_",AQ$3),'Unit List'!$A$14:$H$2841,2,FALSE)),"X",$AP26)</f>
        <v>+</v>
      </c>
      <c r="AR26" s="67" t="str">
        <f>IF(ISTEXT(VLOOKUP(CONCATENATE($A26,"_",AR$3),'Unit List'!$A$14:$H$2841,2,FALSE)),"X",$AP26)</f>
        <v>X</v>
      </c>
      <c r="AS26" s="51" t="str">
        <f>IF(ISTEXT(VLOOKUP(CONCATENATE($A26,"_",AS$3),'Unit List'!$A$14:$H$2841,2,FALSE)),"X",$AP26)</f>
        <v>+</v>
      </c>
      <c r="AT26" s="53" t="str">
        <f>IF(ISTEXT(VLOOKUP(CONCATENATE($A26,"_",AT$3),'Unit List'!$A$14:$H$2841,2,FALSE)),"X",$AP26)</f>
        <v>+</v>
      </c>
      <c r="AU26" s="124" t="str">
        <f>IF(ISTEXT(VLOOKUP(CONCATENATE($A26,"_",AU$3),'Unit List'!$A$14:$H$2841,2,FALSE)),"+","")</f>
        <v/>
      </c>
      <c r="AV26" s="51" t="str">
        <f>IF(ISTEXT(VLOOKUP(CONCATENATE($A26,"_",AV$3),'Unit List'!$A$14:$H$2841,2,FALSE)),"X",$AU26)</f>
        <v/>
      </c>
      <c r="AW26" s="53" t="str">
        <f>IF(ISTEXT(VLOOKUP(CONCATENATE($A26,"_",AW$3),'Unit List'!$A$14:$H$2841,2,FALSE)),"X",$AU26)</f>
        <v/>
      </c>
      <c r="AX26" s="172" t="str">
        <f>IF(ISTEXT(VLOOKUP(CONCATENATE($A26,"_",AX$3),'Unit List'!$A$14:$H$2841,2,FALSE)),"+","")</f>
        <v>+</v>
      </c>
      <c r="AY26" s="51" t="str">
        <f>IF(ISTEXT(VLOOKUP(CONCATENATE($A26,"_",AY$3),'Unit List'!$A$14:$H$2841,2,FALSE)),"X",$AX26)</f>
        <v>+</v>
      </c>
      <c r="AZ26" s="53" t="str">
        <f>IF(ISTEXT(VLOOKUP(CONCATENATE($A26,"_",AZ$3),'Unit List'!$A$14:$H$2841,2,FALSE)),"X",$AX26)</f>
        <v>+</v>
      </c>
      <c r="BA26" s="182" t="str">
        <f>IF(ISTEXT(VLOOKUP(CONCATENATE($A26,"_",BA$3),'Unit List'!$A$14:$H$2841,2,FALSE)),"+","")</f>
        <v>+</v>
      </c>
      <c r="BB26" s="51" t="str">
        <f>IF(ISTEXT(VLOOKUP(CONCATENATE($A26,"_",BB$3),'Unit List'!$A$14:$H$2841,2,FALSE)),"X",$BA26)</f>
        <v>X</v>
      </c>
      <c r="BC26" s="51" t="str">
        <f>IF(ISTEXT(VLOOKUP(CONCATENATE($A26,"_",BC$3),'Unit List'!$A$14:$H$2841,2,FALSE)),"X",$BA26)</f>
        <v>+</v>
      </c>
      <c r="BD26" s="53" t="str">
        <f>IF(ISTEXT(VLOOKUP(CONCATENATE($A26,"_",BD$3),'Unit List'!$A$14:$H$2841,2,FALSE)),"X",$BA26)</f>
        <v>+</v>
      </c>
      <c r="BE26" s="125" t="str">
        <f>IF(ISTEXT(VLOOKUP(CONCATENATE($A26,"_",BE$3),'Unit List'!$A$14:$H$2841,2,FALSE)),"+","")</f>
        <v>+</v>
      </c>
      <c r="BF26" s="62" t="str">
        <f>IF(ISTEXT(VLOOKUP(CONCATENATE($A26,"_",BF$3),'Unit List'!$A$14:$H$2841,2,FALSE)),"X",$BE26)</f>
        <v>+</v>
      </c>
      <c r="BG26" s="64"/>
      <c r="BH26" s="65" t="s">
        <v>0</v>
      </c>
      <c r="BI26" s="203"/>
      <c r="BJ26" s="204"/>
      <c r="BK26" s="204"/>
      <c r="BL26" s="204"/>
      <c r="BM26" s="205"/>
      <c r="BN26" s="54"/>
      <c r="BO26" s="54"/>
      <c r="BP26" s="54"/>
      <c r="BQ26" s="54"/>
      <c r="BR26" s="54"/>
      <c r="BS26" s="54"/>
      <c r="DZ26" s="55"/>
      <c r="EA26" s="55"/>
    </row>
    <row r="27" spans="1:131" ht="12.75" customHeight="1" x14ac:dyDescent="0.2">
      <c r="A27" s="56" t="s">
        <v>30</v>
      </c>
      <c r="B27" s="181" t="str">
        <f>IF(ISTEXT(VLOOKUP(CONCATENATE($A27,"_",B$3),'Unit List'!$A$14:$H$2841,2,FALSE)),"+","")</f>
        <v/>
      </c>
      <c r="C27" s="93" t="str">
        <f>IF(ISTEXT(VLOOKUP(CONCATENATE($A27,"_",C$3),'Unit List'!$A$14:$H$2841,2,FALSE)),"X",$B27)</f>
        <v/>
      </c>
      <c r="D27" s="60" t="str">
        <f>IF(ISTEXT(VLOOKUP(CONCATENATE($A27,"_",D$3),'Unit List'!$A$14:$H$2841,2,FALSE)),"X",$B27)</f>
        <v/>
      </c>
      <c r="E27" s="51" t="str">
        <f>IF(ISTEXT(VLOOKUP(CONCATENATE($A27,"_",E$3),'Unit List'!$A$14:$H$2841,2,FALSE)),"X",$B27)</f>
        <v/>
      </c>
      <c r="F27" s="67" t="str">
        <f>IF(ISTEXT(VLOOKUP(CONCATENATE($A27,"_",F$3),'Unit List'!$A$14:$H$2841,2,FALSE)),"X",$B27)</f>
        <v>X</v>
      </c>
      <c r="G27" s="67" t="str">
        <f>IF(ISTEXT(VLOOKUP(CONCATENATE($A27,"_",G$3),'Unit List'!$A$14:$H$2841,2,FALSE)),"X",$B27)</f>
        <v>X</v>
      </c>
      <c r="H27" s="67" t="str">
        <f>IF(ISTEXT(VLOOKUP(CONCATENATE($A27,"_",H$3),'Unit List'!$A$14:$H$2841,2,FALSE)),"X",$B27)</f>
        <v>X</v>
      </c>
      <c r="I27" s="53" t="str">
        <f>IF(ISTEXT(VLOOKUP(CONCATENATE($A27,"_",I$3),'Unit List'!$A$14:$H$2841,2,FALSE)),"X",$B27)</f>
        <v/>
      </c>
      <c r="J27" s="172" t="str">
        <f>IF(ISTEXT(VLOOKUP(CONCATENATE($A27,"_",J$3),'Unit List'!$A$14:$H$2841,2,FALSE)),"+","")</f>
        <v>+</v>
      </c>
      <c r="K27" s="94" t="str">
        <f>IF(ISTEXT(VLOOKUP(CONCATENATE($A27,"_",K$3),'Unit List'!$A$14:$H$2841,2,FALSE)),"X",$J27)</f>
        <v>+</v>
      </c>
      <c r="L27" s="68" t="str">
        <f>IF(ISTEXT(VLOOKUP(CONCATENATE($A27,"_",L$3),'Unit List'!$A$14:$H$2841,2,FALSE)),"X",$J27)</f>
        <v>+</v>
      </c>
      <c r="M27" s="172" t="str">
        <f>IF(ISTEXT(VLOOKUP(CONCATENATE($A27,"_",M$3),'Unit List'!$A$14:$H$2841,2,FALSE)),"+","")</f>
        <v>+</v>
      </c>
      <c r="N27" s="51" t="str">
        <f>IF(ISTEXT(VLOOKUP(CONCATENATE($A27,"_",N$3),'Unit List'!$A$14:$H$2841,2,FALSE)),"X",$M27)</f>
        <v>+</v>
      </c>
      <c r="O27" s="70" t="str">
        <f>IF(ISTEXT(VLOOKUP(CONCATENATE($A27,"_",O$3),'Unit List'!$A$14:$H$2841,2,FALSE)),"X",$M27)</f>
        <v>X</v>
      </c>
      <c r="P27" s="171" t="str">
        <f>IF(ISTEXT(VLOOKUP(CONCATENATE($A27,"_",P$3),'Unit List'!$A$14:$H$2841,2,FALSE)),"+","")</f>
        <v>+</v>
      </c>
      <c r="Q27" s="51" t="str">
        <f>IF(ISTEXT(VLOOKUP(CONCATENATE($A27,"_",Q$3),'Unit List'!$A$14:$H$2841,2,FALSE)),"X",$P27)</f>
        <v>+</v>
      </c>
      <c r="R27" s="89" t="s">
        <v>0</v>
      </c>
      <c r="S27" s="72" t="s">
        <v>0</v>
      </c>
      <c r="T27" s="52" t="str">
        <f>IF(ISTEXT(VLOOKUP(CONCATENATE($A27,"_",T$3),'Unit List'!$A$14:$H$2841,2,FALSE)),"X",$P27)</f>
        <v>+</v>
      </c>
      <c r="U27" s="67" t="str">
        <f>IF(ISTEXT(VLOOKUP(CONCATENATE($A27,"_",U$3),'Unit List'!$A$14:$H$2841,2,FALSE)),"X",$P27)</f>
        <v>X</v>
      </c>
      <c r="V27" s="67" t="str">
        <f>IF(ISTEXT(VLOOKUP(CONCATENATE($A27,"_",V$3),'Unit List'!$A$14:$H$2841,2,FALSE)),"X",$P27)</f>
        <v>X</v>
      </c>
      <c r="W27" s="53" t="str">
        <f>IF(ISTEXT(VLOOKUP(CONCATENATE($A27,"_",W$3),'Unit List'!$A$14:$H$2841,2,FALSE)),"X",$P27)</f>
        <v>+</v>
      </c>
      <c r="X27" s="171" t="str">
        <f>IF(ISTEXT(VLOOKUP(CONCATENATE($A27,"_",X$3),'Unit List'!$A$14:$H$2841,2,FALSE)),"+","")</f>
        <v>+</v>
      </c>
      <c r="Y27" s="67" t="str">
        <f>IF(ISTEXT(VLOOKUP(CONCATENATE($A27,"_",Y$3),'Unit List'!$A$14:$H$2841,2,FALSE)),"X",$X27)</f>
        <v>X</v>
      </c>
      <c r="Z27" s="51" t="str">
        <f>IF(ISTEXT(VLOOKUP(CONCATENATE($A27,"_",Z$3),'Unit List'!$A$14:$H$2841,2,FALSE)),"X",$X27)</f>
        <v>+</v>
      </c>
      <c r="AA27" s="67" t="str">
        <f>IF(ISTEXT(VLOOKUP(CONCATENATE($A27,"_",AA$3),'Unit List'!$A$14:$H$2841,2,FALSE)),"X",$X27)</f>
        <v>X</v>
      </c>
      <c r="AB27" s="67" t="str">
        <f>IF(ISTEXT(VLOOKUP(CONCATENATE($A27,"_",AB$3),'Unit List'!$A$14:$H$2841,2,FALSE)),"X",$X27)</f>
        <v>X</v>
      </c>
      <c r="AC27" s="86" t="str">
        <f>IF(ISTEXT(VLOOKUP(CONCATENATE($A27,"_",AC$3),'Unit List'!$A$14:$H$2841,2,FALSE)),"X",$X27)</f>
        <v>X</v>
      </c>
      <c r="AD27" s="171" t="str">
        <f>IF(ISTEXT(VLOOKUP(CONCATENATE($A27,"_",AD$3),'Unit List'!$A$14:$H$2841,2,FALSE)),"+","")</f>
        <v/>
      </c>
      <c r="AE27" s="89" t="s">
        <v>0</v>
      </c>
      <c r="AF27" s="51" t="str">
        <f>IF(ISTEXT(VLOOKUP(CONCATENATE($A27,"_",AF$3),'Unit List'!$A$14:$H$2841,2,FALSE)),"X",$AD27)</f>
        <v/>
      </c>
      <c r="AG27" s="171" t="str">
        <f>IF(ISTEXT(VLOOKUP(CONCATENATE($A27,"_",AG$3),'Unit List'!$A$14:$H$2841,2,FALSE)),"+","")</f>
        <v>+</v>
      </c>
      <c r="AH27" s="67" t="str">
        <f>IF(ISTEXT(VLOOKUP(CONCATENATE($A27,"_",AH$3),'Unit List'!$A$14:$H$2841,2,FALSE)),"X",$AG27)</f>
        <v>X</v>
      </c>
      <c r="AI27" s="51" t="str">
        <f>IF(ISTEXT(VLOOKUP(CONCATENATE($A27,"_",AI$3),'Unit List'!$A$14:$H$2841,2,FALSE)),"X",$AG27)</f>
        <v>X</v>
      </c>
      <c r="AJ27" s="71" t="str">
        <f>IF(ISTEXT(VLOOKUP(CONCATENATE($A27,"_",AJ$3),'Unit List'!$A$14:$H$2841,2,FALSE)),"X",$AG27)</f>
        <v>+</v>
      </c>
      <c r="AK27" s="171" t="str">
        <f>IF(ISTEXT(VLOOKUP(CONCATENATE($A27,"_",AK$3),'Unit List'!$A$14:$H$2841,2,FALSE)),"+","")</f>
        <v>+</v>
      </c>
      <c r="AL27" s="52" t="str">
        <f>IF(ISTEXT(VLOOKUP(CONCATENATE($A27,"_",AL$3),'Unit List'!$A$14:$H$2841,2,FALSE)),"X",$AK27)</f>
        <v>+</v>
      </c>
      <c r="AM27" s="70" t="str">
        <f>IF(ISTEXT(VLOOKUP(CONCATENATE($A27,"_",AM$3),'Unit List'!$A$14:$H$2841,2,FALSE)),"X",$AK27)</f>
        <v>X</v>
      </c>
      <c r="AN27" s="125" t="str">
        <f>IF(ISTEXT(VLOOKUP(CONCATENATE($A27,"_",AN$3),'Unit List'!$A$14:$H$2841,2,FALSE)),"+","")</f>
        <v>+</v>
      </c>
      <c r="AO27" s="70" t="str">
        <f>IF(ISTEXT(VLOOKUP(CONCATENATE($A27,"_",AO$3),'Unit List'!$A$14:$H$2841,2,FALSE)),"X",$AN27)</f>
        <v>+</v>
      </c>
      <c r="AP27" s="171" t="str">
        <f>IF(ISTEXT(VLOOKUP(CONCATENATE($A27,"_",AP$3),'Unit List'!$A$14:$H$2841,2,FALSE)),"+","")</f>
        <v>+</v>
      </c>
      <c r="AQ27" s="67" t="str">
        <f>IF(ISTEXT(VLOOKUP(CONCATENATE($A27,"_",AQ$3),'Unit List'!$A$14:$H$2841,2,FALSE)),"X",$AP27)</f>
        <v>X</v>
      </c>
      <c r="AR27" s="67" t="str">
        <f>IF(ISTEXT(VLOOKUP(CONCATENATE($A27,"_",AR$3),'Unit List'!$A$14:$H$2841,2,FALSE)),"X",$AP27)</f>
        <v>X</v>
      </c>
      <c r="AS27" s="67" t="str">
        <f>IF(ISTEXT(VLOOKUP(CONCATENATE($A27,"_",AS$3),'Unit List'!$A$14:$H$2841,2,FALSE)),"X",$AP27)</f>
        <v>X</v>
      </c>
      <c r="AT27" s="70" t="str">
        <f>IF(ISTEXT(VLOOKUP(CONCATENATE($A27,"_",AT$3),'Unit List'!$A$14:$H$2841,2,FALSE)),"X",$AP27)</f>
        <v>X</v>
      </c>
      <c r="AU27" s="124" t="str">
        <f>IF(ISTEXT(VLOOKUP(CONCATENATE($A27,"_",AU$3),'Unit List'!$A$14:$H$2841,2,FALSE)),"+","")</f>
        <v>+</v>
      </c>
      <c r="AV27" s="69" t="str">
        <f>IF(ISTEXT(VLOOKUP(CONCATENATE($A27,"_",AV$3),'Unit List'!$A$14:$H$2841,2,FALSE)),"X",$AU27)</f>
        <v>+</v>
      </c>
      <c r="AW27" s="53" t="str">
        <f>IF(ISTEXT(VLOOKUP(CONCATENATE($A27,"_",AW$3),'Unit List'!$A$14:$H$2841,2,FALSE)),"X",$AU27)</f>
        <v>+</v>
      </c>
      <c r="AX27" s="172" t="str">
        <f>IF(ISTEXT(VLOOKUP(CONCATENATE($A27,"_",AX$3),'Unit List'!$A$14:$H$2841,2,FALSE)),"+","")</f>
        <v>+</v>
      </c>
      <c r="AY27" s="67" t="str">
        <f>IF(ISTEXT(VLOOKUP(CONCATENATE($A27,"_",AY$3),'Unit List'!$A$14:$H$2841,2,FALSE)),"X",$AX27)</f>
        <v>X</v>
      </c>
      <c r="AZ27" s="70" t="str">
        <f>IF(ISTEXT(VLOOKUP(CONCATENATE($A27,"_",AZ$3),'Unit List'!$A$14:$H$2841,2,FALSE)),"X",$AX27)</f>
        <v>+</v>
      </c>
      <c r="BA27" s="171" t="str">
        <f>IF(ISTEXT(VLOOKUP(CONCATENATE($A27,"_",BA$3),'Unit List'!$A$14:$H$2841,2,FALSE)),"+","")</f>
        <v>+</v>
      </c>
      <c r="BB27" s="67" t="str">
        <f>IF(ISTEXT(VLOOKUP(CONCATENATE($A27,"_",BB$3),'Unit List'!$A$14:$H$2841,2,FALSE)),"X",$BA27)</f>
        <v>X</v>
      </c>
      <c r="BC27" s="67" t="str">
        <f>IF(ISTEXT(VLOOKUP(CONCATENATE($A27,"_",BC$3),'Unit List'!$A$14:$H$2841,2,FALSE)),"X",$BA27)</f>
        <v>X</v>
      </c>
      <c r="BD27" s="70" t="str">
        <f>IF(ISTEXT(VLOOKUP(CONCATENATE($A27,"_",BD$3),'Unit List'!$A$14:$H$2841,2,FALSE)),"X",$BA27)</f>
        <v>X</v>
      </c>
      <c r="BE27" s="125" t="str">
        <f>IF(ISTEXT(VLOOKUP(CONCATENATE($A27,"_",BE$3),'Unit List'!$A$14:$H$2841,2,FALSE)),"+","")</f>
        <v>+</v>
      </c>
      <c r="BF27" s="62" t="str">
        <f>IF(ISTEXT(VLOOKUP(CONCATENATE($A27,"_",BF$3),'Unit List'!$A$14:$H$2841,2,FALSE)),"X",$BE27)</f>
        <v>+</v>
      </c>
      <c r="BG27" s="75"/>
      <c r="BH27" s="76" t="s">
        <v>0</v>
      </c>
      <c r="BI27" s="203" t="s">
        <v>12</v>
      </c>
      <c r="BJ27" s="206"/>
      <c r="BK27" s="206"/>
      <c r="BL27" s="206"/>
      <c r="BM27" s="207"/>
      <c r="BN27" s="54"/>
      <c r="BO27" s="54"/>
      <c r="BP27" s="54"/>
      <c r="BQ27" s="54"/>
      <c r="BR27" s="54"/>
      <c r="BS27" s="54"/>
      <c r="DZ27" s="55"/>
      <c r="EA27" s="55"/>
    </row>
    <row r="28" spans="1:131" ht="12.75" customHeight="1" x14ac:dyDescent="0.2">
      <c r="A28" s="56" t="s">
        <v>29</v>
      </c>
      <c r="B28" s="181" t="str">
        <f>IF(ISTEXT(VLOOKUP(CONCATENATE($A28,"_",B$3),'Unit List'!$A$14:$H$2841,2,FALSE)),"+","")</f>
        <v>+</v>
      </c>
      <c r="C28" s="57" t="str">
        <f>IF(ISTEXT(VLOOKUP(CONCATENATE($A28,"_",C$3),'Unit List'!$A$14:$H$2841,2,FALSE)),"X",$B28)</f>
        <v>X</v>
      </c>
      <c r="D28" s="51" t="str">
        <f>IF(ISTEXT(VLOOKUP(CONCATENATE($A28,"_",D$3),'Unit List'!$A$14:$H$2841,2,FALSE)),"X",$B28)</f>
        <v>X</v>
      </c>
      <c r="E28" s="51" t="str">
        <f>IF(ISTEXT(VLOOKUP(CONCATENATE($A28,"_",E$3),'Unit List'!$A$14:$H$2841,2,FALSE)),"X",$B28)</f>
        <v>X</v>
      </c>
      <c r="F28" s="60" t="str">
        <f>IF(ISTEXT(VLOOKUP(CONCATENATE($A28,"_",F$3),'Unit List'!$A$14:$H$2841,2,FALSE)),"X",$B28)</f>
        <v>X</v>
      </c>
      <c r="G28" s="51" t="str">
        <f>IF(ISTEXT(VLOOKUP(CONCATENATE($A28,"_",G$3),'Unit List'!$A$14:$H$2841,2,FALSE)),"X",$B28)</f>
        <v>X</v>
      </c>
      <c r="H28" s="51" t="str">
        <f>IF(ISTEXT(VLOOKUP(CONCATENATE($A28,"_",H$3),'Unit List'!$A$14:$H$2841,2,FALSE)),"X",$B28)</f>
        <v>X</v>
      </c>
      <c r="I28" s="53" t="str">
        <f>IF(ISTEXT(VLOOKUP(CONCATENATE($A28,"_",I$3),'Unit List'!$A$14:$H$2841,2,FALSE)),"X",$B28)</f>
        <v>+</v>
      </c>
      <c r="J28" s="172" t="str">
        <f>IF(ISTEXT(VLOOKUP(CONCATENATE($A28,"_",J$3),'Unit List'!$A$14:$H$2841,2,FALSE)),"+","")</f>
        <v/>
      </c>
      <c r="K28" s="51" t="str">
        <f>IF(ISTEXT(VLOOKUP(CONCATENATE($A28,"_",K$3),'Unit List'!$A$14:$H$2841,2,FALSE)),"X",$J28)</f>
        <v/>
      </c>
      <c r="L28" s="62" t="str">
        <f>IF(ISTEXT(VLOOKUP(CONCATENATE($A28,"_",L$3),'Unit List'!$A$14:$H$2841,2,FALSE)),"X",$J28)</f>
        <v/>
      </c>
      <c r="M28" s="172" t="str">
        <f>IF(ISTEXT(VLOOKUP(CONCATENATE($A28,"_",M$3),'Unit List'!$A$14:$H$2841,2,FALSE)),"+","")</f>
        <v>+</v>
      </c>
      <c r="N28" s="51" t="str">
        <f>IF(ISTEXT(VLOOKUP(CONCATENATE($A28,"_",N$3),'Unit List'!$A$14:$H$2841,2,FALSE)),"X",$M28)</f>
        <v>+</v>
      </c>
      <c r="O28" s="53" t="str">
        <f>IF(ISTEXT(VLOOKUP(CONCATENATE($A28,"_",O$3),'Unit List'!$A$14:$H$2841,2,FALSE)),"X",$M28)</f>
        <v>X</v>
      </c>
      <c r="P28" s="172" t="str">
        <f>IF(ISTEXT(VLOOKUP(CONCATENATE($A28,"_",P$3),'Unit List'!$A$14:$H$2841,2,FALSE)),"+","")</f>
        <v>+</v>
      </c>
      <c r="Q28" s="51" t="str">
        <f>IF(ISTEXT(VLOOKUP(CONCATENATE($A28,"_",Q$3),'Unit List'!$A$14:$H$2841,2,FALSE)),"X",$P28)</f>
        <v>+</v>
      </c>
      <c r="R28" s="51" t="str">
        <f>IF(ISTEXT(VLOOKUP(CONCATENATE($A28,"_",R$3),'Unit List'!$A$14:$H$2841,2,FALSE)),"X",$P28)</f>
        <v>+</v>
      </c>
      <c r="S28" s="51" t="str">
        <f>IF(ISTEXT(VLOOKUP(CONCATENATE($A28,"_",S$3),'Unit List'!$A$14:$H$2841,2,FALSE)),"X",$P28)</f>
        <v>+</v>
      </c>
      <c r="T28" s="52" t="str">
        <f>IF(ISTEXT(VLOOKUP(CONCATENATE($A28,"_",T$3),'Unit List'!$A$14:$H$2841,2,FALSE)),"X",$P28)</f>
        <v>+</v>
      </c>
      <c r="U28" s="51" t="str">
        <f>IF(ISTEXT(VLOOKUP(CONCATENATE($A28,"_",U$3),'Unit List'!$A$14:$H$2841,2,FALSE)),"X",$P28)</f>
        <v>X</v>
      </c>
      <c r="V28" s="51" t="str">
        <f>IF(ISTEXT(VLOOKUP(CONCATENATE($A28,"_",V$3),'Unit List'!$A$14:$H$2841,2,FALSE)),"X",$P28)</f>
        <v>X</v>
      </c>
      <c r="W28" s="53" t="str">
        <f>IF(ISTEXT(VLOOKUP(CONCATENATE($A28,"_",W$3),'Unit List'!$A$14:$H$2841,2,FALSE)),"X",$P28)</f>
        <v>+</v>
      </c>
      <c r="X28" s="172" t="str">
        <f>IF(ISTEXT(VLOOKUP(CONCATENATE($A28,"_",X$3),'Unit List'!$A$14:$H$2841,2,FALSE)),"+","")</f>
        <v/>
      </c>
      <c r="Y28" s="51" t="str">
        <f>IF(ISTEXT(VLOOKUP(CONCATENATE($A28,"_",Y$3),'Unit List'!$A$14:$H$2841,2,FALSE)),"X",$X28)</f>
        <v/>
      </c>
      <c r="Z28" s="51" t="str">
        <f>IF(ISTEXT(VLOOKUP(CONCATENATE($A28,"_",Z$3),'Unit List'!$A$14:$H$2841,2,FALSE)),"X",$X28)</f>
        <v/>
      </c>
      <c r="AA28" s="51" t="str">
        <f>IF(ISTEXT(VLOOKUP(CONCATENATE($A28,"_",AA$3),'Unit List'!$A$14:$H$2841,2,FALSE)),"X",$X28)</f>
        <v/>
      </c>
      <c r="AB28" s="51" t="str">
        <f>IF(ISTEXT(VLOOKUP(CONCATENATE($A28,"_",AB$3),'Unit List'!$A$14:$H$2841,2,FALSE)),"X",$X28)</f>
        <v/>
      </c>
      <c r="AC28" s="62" t="str">
        <f>IF(ISTEXT(VLOOKUP(CONCATENATE($A28,"_",AC$3),'Unit List'!$A$14:$H$2841,2,FALSE)),"X",$X28)</f>
        <v/>
      </c>
      <c r="AD28" s="172" t="str">
        <f>IF(ISTEXT(VLOOKUP(CONCATENATE($A28,"_",AD$3),'Unit List'!$A$14:$H$2841,2,FALSE)),"+","")</f>
        <v/>
      </c>
      <c r="AE28" s="51" t="str">
        <f>IF(ISTEXT(VLOOKUP(CONCATENATE($A28,"_",AE$3),'Unit List'!$A$14:$H$2841,2,FALSE)),"X",$AD28)</f>
        <v/>
      </c>
      <c r="AF28" s="51" t="str">
        <f>IF(ISTEXT(VLOOKUP(CONCATENATE($A28,"_",AF$3),'Unit List'!$A$14:$H$2841,2,FALSE)),"X",$AD28)</f>
        <v/>
      </c>
      <c r="AG28" s="172" t="str">
        <f>IF(ISTEXT(VLOOKUP(CONCATENATE($A28,"_",AG$3),'Unit List'!$A$14:$H$2841,2,FALSE)),"+","")</f>
        <v/>
      </c>
      <c r="AH28" s="51" t="str">
        <f>IF(ISTEXT(VLOOKUP(CONCATENATE($A28,"_",AH$3),'Unit List'!$A$14:$H$2841,2,FALSE)),"X",$AG28)</f>
        <v/>
      </c>
      <c r="AI28" s="51" t="str">
        <f>IF(ISTEXT(VLOOKUP(CONCATENATE($A28,"_",AI$3),'Unit List'!$A$14:$H$2841,2,FALSE)),"X",$AG28)</f>
        <v/>
      </c>
      <c r="AJ28" s="53" t="str">
        <f>IF(ISTEXT(VLOOKUP(CONCATENATE($A28,"_",AJ$3),'Unit List'!$A$14:$H$2841,2,FALSE)),"X",$AG28)</f>
        <v/>
      </c>
      <c r="AK28" s="172" t="str">
        <f>IF(ISTEXT(VLOOKUP(CONCATENATE($A28,"_",AK$3),'Unit List'!$A$14:$H$2841,2,FALSE)),"+","")</f>
        <v>+</v>
      </c>
      <c r="AL28" s="52" t="str">
        <f>IF(ISTEXT(VLOOKUP(CONCATENATE($A28,"_",AL$3),'Unit List'!$A$14:$H$2841,2,FALSE)),"X",$AK28)</f>
        <v>+</v>
      </c>
      <c r="AM28" s="53" t="str">
        <f>IF(ISTEXT(VLOOKUP(CONCATENATE($A28,"_",AM$3),'Unit List'!$A$14:$H$2841,2,FALSE)),"X",$AK28)</f>
        <v>+</v>
      </c>
      <c r="AN28" s="125" t="str">
        <f>IF(ISTEXT(VLOOKUP(CONCATENATE($A28,"_",AN$3),'Unit List'!$A$14:$H$2841,2,FALSE)),"+","")</f>
        <v>+</v>
      </c>
      <c r="AO28" s="53" t="str">
        <f>IF(ISTEXT(VLOOKUP(CONCATENATE($A28,"_",AO$3),'Unit List'!$A$14:$H$2841,2,FALSE)),"X",$AN28)</f>
        <v>+</v>
      </c>
      <c r="AP28" s="172" t="str">
        <f>IF(ISTEXT(VLOOKUP(CONCATENATE($A28,"_",AP$3),'Unit List'!$A$14:$H$2841,2,FALSE)),"+","")</f>
        <v>+</v>
      </c>
      <c r="AQ28" s="51" t="str">
        <f>IF(ISTEXT(VLOOKUP(CONCATENATE($A28,"_",AQ$3),'Unit List'!$A$14:$H$2841,2,FALSE)),"X",$AP28)</f>
        <v>+</v>
      </c>
      <c r="AR28" s="51" t="str">
        <f>IF(ISTEXT(VLOOKUP(CONCATENATE($A28,"_",AR$3),'Unit List'!$A$14:$H$2841,2,FALSE)),"X",$AP28)</f>
        <v>X</v>
      </c>
      <c r="AS28" s="51" t="str">
        <f>IF(ISTEXT(VLOOKUP(CONCATENATE($A28,"_",AS$3),'Unit List'!$A$14:$H$2841,2,FALSE)),"X",$AP28)</f>
        <v>+</v>
      </c>
      <c r="AT28" s="53" t="str">
        <f>IF(ISTEXT(VLOOKUP(CONCATENATE($A28,"_",AT$3),'Unit List'!$A$14:$H$2841,2,FALSE)),"X",$AP28)</f>
        <v>+</v>
      </c>
      <c r="AU28" s="124" t="str">
        <f>IF(ISTEXT(VLOOKUP(CONCATENATE($A28,"_",AU$3),'Unit List'!$A$14:$H$2841,2,FALSE)),"+","")</f>
        <v/>
      </c>
      <c r="AV28" s="51" t="str">
        <f>IF(ISTEXT(VLOOKUP(CONCATENATE($A28,"_",AV$3),'Unit List'!$A$14:$H$2841,2,FALSE)),"X",$AU28)</f>
        <v/>
      </c>
      <c r="AW28" s="53" t="str">
        <f>IF(ISTEXT(VLOOKUP(CONCATENATE($A28,"_",AW$3),'Unit List'!$A$14:$H$2841,2,FALSE)),"X",$AU28)</f>
        <v/>
      </c>
      <c r="AX28" s="172" t="str">
        <f>IF(ISTEXT(VLOOKUP(CONCATENATE($A28,"_",AX$3),'Unit List'!$A$14:$H$2841,2,FALSE)),"+","")</f>
        <v>+</v>
      </c>
      <c r="AY28" s="51" t="str">
        <f>IF(ISTEXT(VLOOKUP(CONCATENATE($A28,"_",AY$3),'Unit List'!$A$14:$H$2841,2,FALSE)),"X",$AX28)</f>
        <v>+</v>
      </c>
      <c r="AZ28" s="53" t="str">
        <f>IF(ISTEXT(VLOOKUP(CONCATENATE($A28,"_",AZ$3),'Unit List'!$A$14:$H$2841,2,FALSE)),"X",$AX28)</f>
        <v>+</v>
      </c>
      <c r="BA28" s="182" t="str">
        <f>IF(ISTEXT(VLOOKUP(CONCATENATE($A28,"_",BA$3),'Unit List'!$A$14:$H$2841,2,FALSE)),"+","")</f>
        <v/>
      </c>
      <c r="BB28" s="51" t="str">
        <f>IF(ISTEXT(VLOOKUP(CONCATENATE($A28,"_",BB$3),'Unit List'!$A$14:$H$2841,2,FALSE)),"X",$BA28)</f>
        <v/>
      </c>
      <c r="BC28" s="51" t="str">
        <f>IF(ISTEXT(VLOOKUP(CONCATENATE($A28,"_",BC$3),'Unit List'!$A$14:$H$2841,2,FALSE)),"X",$BA28)</f>
        <v/>
      </c>
      <c r="BD28" s="53" t="str">
        <f>IF(ISTEXT(VLOOKUP(CONCATENATE($A28,"_",BD$3),'Unit List'!$A$14:$H$2841,2,FALSE)),"X",$BA28)</f>
        <v/>
      </c>
      <c r="BE28" s="125" t="str">
        <f>IF(ISTEXT(VLOOKUP(CONCATENATE($A28,"_",BE$3),'Unit List'!$A$14:$H$2841,2,FALSE)),"+","")</f>
        <v/>
      </c>
      <c r="BF28" s="62" t="str">
        <f>IF(ISTEXT(VLOOKUP(CONCATENATE($A28,"_",BF$3),'Unit List'!$A$14:$H$2841,2,FALSE)),"X",$BE28)</f>
        <v/>
      </c>
      <c r="BG28" s="64"/>
      <c r="BH28" s="65" t="s">
        <v>0</v>
      </c>
      <c r="BI28" s="203"/>
      <c r="BJ28" s="204"/>
      <c r="BK28" s="204"/>
      <c r="BL28" s="204"/>
      <c r="BM28" s="205"/>
      <c r="BN28" s="54"/>
      <c r="BO28" s="54"/>
      <c r="BP28" s="54"/>
      <c r="BQ28" s="54"/>
      <c r="BR28" s="54"/>
      <c r="BS28" s="54"/>
      <c r="DZ28" s="55"/>
      <c r="EA28" s="55"/>
    </row>
    <row r="29" spans="1:131" ht="12.75" customHeight="1" x14ac:dyDescent="0.2">
      <c r="A29" s="56" t="s">
        <v>1109</v>
      </c>
      <c r="B29" s="181" t="str">
        <f>IF(ISTEXT(VLOOKUP(CONCATENATE($A29,"_",B$3),'Unit List'!$A$14:$H$2841,2,FALSE)),"+","")</f>
        <v/>
      </c>
      <c r="C29" s="82" t="str">
        <f>IF(ISTEXT(VLOOKUP(CONCATENATE($A29,"_",C$3),'Unit List'!$A$14:$H$2841,2,FALSE)),"X",$B29)</f>
        <v>X</v>
      </c>
      <c r="D29" s="67" t="str">
        <f>IF(ISTEXT(VLOOKUP(CONCATENATE($A29,"_",D$3),'Unit List'!$A$14:$H$2841,2,FALSE)),"X",$B29)</f>
        <v>X</v>
      </c>
      <c r="E29" s="51" t="str">
        <f>IF(ISTEXT(VLOOKUP(CONCATENATE($A29,"_",E$3),'Unit List'!$A$14:$H$2841,2,FALSE)),"X",$B29)</f>
        <v>X</v>
      </c>
      <c r="F29" s="67" t="str">
        <f>IF(ISTEXT(VLOOKUP(CONCATENATE($A29,"_",F$3),'Unit List'!$A$14:$H$2841,2,FALSE)),"X",$B29)</f>
        <v>X</v>
      </c>
      <c r="G29" s="51" t="str">
        <f>IF(ISTEXT(VLOOKUP(CONCATENATE($A29,"_",G$3),'Unit List'!$A$14:$H$2841,2,FALSE)),"X",$B29)</f>
        <v>X</v>
      </c>
      <c r="H29" s="67" t="str">
        <f>IF(ISTEXT(VLOOKUP(CONCATENATE($A29,"_",H$3),'Unit List'!$A$14:$H$2841,2,FALSE)),"X",$B29)</f>
        <v>X</v>
      </c>
      <c r="I29" s="53" t="str">
        <f>IF(ISTEXT(VLOOKUP(CONCATENATE($A29,"_",I$3),'Unit List'!$A$14:$H$2841,2,FALSE)),"X",$B29)</f>
        <v/>
      </c>
      <c r="J29" s="172" t="str">
        <f>IF(ISTEXT(VLOOKUP(CONCATENATE($A29,"_",J$3),'Unit List'!$A$14:$H$2841,2,FALSE)),"+","")</f>
        <v>+</v>
      </c>
      <c r="K29" s="51" t="str">
        <f>IF(ISTEXT(VLOOKUP(CONCATENATE($A29,"_",K$3),'Unit List'!$A$14:$H$2841,2,FALSE)),"X",$J29)</f>
        <v>+</v>
      </c>
      <c r="L29" s="62" t="str">
        <f>IF(ISTEXT(VLOOKUP(CONCATENATE($A29,"_",L$3),'Unit List'!$A$14:$H$2841,2,FALSE)),"X",$J29)</f>
        <v>+</v>
      </c>
      <c r="M29" s="172" t="str">
        <f>IF(ISTEXT(VLOOKUP(CONCATENATE($A29,"_",M$3),'Unit List'!$A$14:$H$2841,2,FALSE)),"+","")</f>
        <v>+</v>
      </c>
      <c r="N29" s="51" t="str">
        <f>IF(ISTEXT(VLOOKUP(CONCATENATE($A29,"_",N$3),'Unit List'!$A$14:$H$2841,2,FALSE)),"X",$M29)</f>
        <v>+</v>
      </c>
      <c r="O29" s="70" t="str">
        <f>IF(ISTEXT(VLOOKUP(CONCATENATE($A29,"_",O$3),'Unit List'!$A$14:$H$2841,2,FALSE)),"X",$M29)</f>
        <v>X</v>
      </c>
      <c r="P29" s="172" t="str">
        <f>IF(ISTEXT(VLOOKUP(CONCATENATE($A29,"_",P$3),'Unit List'!$A$14:$H$2841,2,FALSE)),"+","")</f>
        <v/>
      </c>
      <c r="Q29" s="51" t="str">
        <f>IF(ISTEXT(VLOOKUP(CONCATENATE($A29,"_",Q$3),'Unit List'!$A$14:$H$2841,2,FALSE)),"X",$P29)</f>
        <v/>
      </c>
      <c r="R29" s="51" t="str">
        <f>IF(ISTEXT(VLOOKUP(CONCATENATE($A29,"_",R$3),'Unit List'!$A$14:$H$2841,2,FALSE)),"X",$P29)</f>
        <v/>
      </c>
      <c r="S29" s="67" t="str">
        <f>IF(ISTEXT(VLOOKUP(CONCATENATE($A29,"_",S$3),'Unit List'!$A$14:$H$2841,2,FALSE)),"X",$P29)</f>
        <v>X</v>
      </c>
      <c r="T29" s="87" t="str">
        <f>IF(ISTEXT(VLOOKUP(CONCATENATE($A29,"_",T$3),'Unit List'!$A$14:$H$2841,2,FALSE)),"X",$P29)</f>
        <v>X</v>
      </c>
      <c r="U29" s="67" t="str">
        <f>IF(ISTEXT(VLOOKUP(CONCATENATE($A29,"_",U$3),'Unit List'!$A$14:$H$2841,2,FALSE)),"X",$P29)</f>
        <v>X</v>
      </c>
      <c r="V29" s="67" t="str">
        <f>IF(ISTEXT(VLOOKUP(CONCATENATE($A29,"_",V$3),'Unit List'!$A$14:$H$2841,2,FALSE)),"X",$P29)</f>
        <v>X</v>
      </c>
      <c r="W29" s="53" t="str">
        <f>IF(ISTEXT(VLOOKUP(CONCATENATE($A29,"_",W$3),'Unit List'!$A$14:$H$2841,2,FALSE)),"X",$P29)</f>
        <v/>
      </c>
      <c r="X29" s="172" t="str">
        <f>IF(ISTEXT(VLOOKUP(CONCATENATE($A29,"_",X$3),'Unit List'!$A$14:$H$2841,2,FALSE)),"+","")</f>
        <v/>
      </c>
      <c r="Y29" s="51" t="str">
        <f>IF(ISTEXT(VLOOKUP(CONCATENATE($A29,"_",Y$3),'Unit List'!$A$14:$H$2841,2,FALSE)),"X",$X29)</f>
        <v/>
      </c>
      <c r="Z29" s="51" t="str">
        <f>IF(ISTEXT(VLOOKUP(CONCATENATE($A29,"_",Z$3),'Unit List'!$A$14:$H$2841,2,FALSE)),"X",$X29)</f>
        <v/>
      </c>
      <c r="AA29" s="67" t="str">
        <f>IF(ISTEXT(VLOOKUP(CONCATENATE($A29,"_",AA$3),'Unit List'!$A$14:$H$2841,2,FALSE)),"X",$X29)</f>
        <v>X</v>
      </c>
      <c r="AB29" s="67" t="str">
        <f>IF(ISTEXT(VLOOKUP(CONCATENATE($A29,"_",AB$3),'Unit List'!$A$14:$H$2841,2,FALSE)),"X",$X29)</f>
        <v>X</v>
      </c>
      <c r="AC29" s="86" t="str">
        <f>IF(ISTEXT(VLOOKUP(CONCATENATE($A29,"_",AC$3),'Unit List'!$A$14:$H$2841,2,FALSE)),"X",$X29)</f>
        <v>X</v>
      </c>
      <c r="AD29" s="172" t="str">
        <f>IF(ISTEXT(VLOOKUP(CONCATENATE($A29,"_",AD$3),'Unit List'!$A$14:$H$2841,2,FALSE)),"+","")</f>
        <v/>
      </c>
      <c r="AE29" s="51" t="str">
        <f>IF(ISTEXT(VLOOKUP(CONCATENATE($A29,"_",AE$3),'Unit List'!$A$14:$H$2841,2,FALSE)),"X",$AD29)</f>
        <v/>
      </c>
      <c r="AF29" s="51" t="str">
        <f>IF(ISTEXT(VLOOKUP(CONCATENATE($A29,"_",AF$3),'Unit List'!$A$14:$H$2841,2,FALSE)),"X",$AD29)</f>
        <v/>
      </c>
      <c r="AG29" s="172" t="str">
        <f>IF(ISTEXT(VLOOKUP(CONCATENATE($A29,"_",AG$3),'Unit List'!$A$14:$H$2841,2,FALSE)),"+","")</f>
        <v/>
      </c>
      <c r="AH29" s="51" t="str">
        <f>IF(ISTEXT(VLOOKUP(CONCATENATE($A29,"_",AH$3),'Unit List'!$A$14:$H$2841,2,FALSE)),"X",$AG29)</f>
        <v/>
      </c>
      <c r="AI29" s="51" t="str">
        <f>IF(ISTEXT(VLOOKUP(CONCATENATE($A29,"_",AI$3),'Unit List'!$A$14:$H$2841,2,FALSE)),"X",$AG29)</f>
        <v/>
      </c>
      <c r="AJ29" s="53" t="str">
        <f>IF(ISTEXT(VLOOKUP(CONCATENATE($A29,"_",AJ$3),'Unit List'!$A$14:$H$2841,2,FALSE)),"X",$AG29)</f>
        <v/>
      </c>
      <c r="AK29" s="172" t="str">
        <f>IF(ISTEXT(VLOOKUP(CONCATENATE($A29,"_",AK$3),'Unit List'!$A$14:$H$2841,2,FALSE)),"+","")</f>
        <v/>
      </c>
      <c r="AL29" s="52" t="str">
        <f>IF(ISTEXT(VLOOKUP(CONCATENATE($A29,"_",AL$3),'Unit List'!$A$14:$H$2841,2,FALSE)),"X",$AK29)</f>
        <v/>
      </c>
      <c r="AM29" s="70" t="str">
        <f>IF(ISTEXT(VLOOKUP(CONCATENATE($A29,"_",AM$3),'Unit List'!$A$14:$H$2841,2,FALSE)),"X",$AK29)</f>
        <v>X</v>
      </c>
      <c r="AN29" s="125" t="str">
        <f>IF(ISTEXT(VLOOKUP(CONCATENATE($A29,"_",AN$3),'Unit List'!$A$14:$H$2841,2,FALSE)),"+","")</f>
        <v>+</v>
      </c>
      <c r="AO29" s="70" t="str">
        <f>IF(ISTEXT(VLOOKUP(CONCATENATE($A29,"_",AO$3),'Unit List'!$A$14:$H$2841,2,FALSE)),"X",$AN29)</f>
        <v>+</v>
      </c>
      <c r="AP29" s="172" t="str">
        <f>IF(ISTEXT(VLOOKUP(CONCATENATE($A29,"_",AP$3),'Unit List'!$A$14:$H$2841,2,FALSE)),"+","")</f>
        <v>+</v>
      </c>
      <c r="AQ29" s="51" t="str">
        <f>IF(ISTEXT(VLOOKUP(CONCATENATE($A29,"_",AQ$3),'Unit List'!$A$14:$H$2841,2,FALSE)),"X",$AP29)</f>
        <v>+</v>
      </c>
      <c r="AR29" s="67" t="str">
        <f>IF(ISTEXT(VLOOKUP(CONCATENATE($A29,"_",AR$3),'Unit List'!$A$14:$H$2841,2,FALSE)),"X",$AP29)</f>
        <v>X</v>
      </c>
      <c r="AS29" s="67" t="str">
        <f>IF(ISTEXT(VLOOKUP(CONCATENATE($A29,"_",AS$3),'Unit List'!$A$14:$H$2841,2,FALSE)),"X",$AP29)</f>
        <v>X</v>
      </c>
      <c r="AT29" s="53" t="str">
        <f>IF(ISTEXT(VLOOKUP(CONCATENATE($A29,"_",AT$3),'Unit List'!$A$14:$H$2841,2,FALSE)),"X",$AP29)</f>
        <v>+</v>
      </c>
      <c r="AU29" s="124" t="str">
        <f>IF(ISTEXT(VLOOKUP(CONCATENATE($A29,"_",AU$3),'Unit List'!$A$14:$H$2841,2,FALSE)),"+","")</f>
        <v/>
      </c>
      <c r="AV29" s="51" t="str">
        <f>IF(ISTEXT(VLOOKUP(CONCATENATE($A29,"_",AV$3),'Unit List'!$A$14:$H$2841,2,FALSE)),"X",$AU29)</f>
        <v/>
      </c>
      <c r="AW29" s="53" t="str">
        <f>IF(ISTEXT(VLOOKUP(CONCATENATE($A29,"_",AW$3),'Unit List'!$A$14:$H$2841,2,FALSE)),"X",$AU29)</f>
        <v>X</v>
      </c>
      <c r="AX29" s="172" t="str">
        <f>IF(ISTEXT(VLOOKUP(CONCATENATE($A29,"_",AX$3),'Unit List'!$A$14:$H$2841,2,FALSE)),"+","")</f>
        <v>+</v>
      </c>
      <c r="AY29" s="51" t="str">
        <f>IF(ISTEXT(VLOOKUP(CONCATENATE($A29,"_",AY$3),'Unit List'!$A$14:$H$2841,2,FALSE)),"X",$AX29)</f>
        <v>+</v>
      </c>
      <c r="AZ29" s="53" t="str">
        <f>IF(ISTEXT(VLOOKUP(CONCATENATE($A29,"_",AZ$3),'Unit List'!$A$14:$H$2841,2,FALSE)),"X",$AX29)</f>
        <v>+</v>
      </c>
      <c r="BA29" s="182" t="str">
        <f>IF(ISTEXT(VLOOKUP(CONCATENATE($A29,"_",BA$3),'Unit List'!$A$14:$H$2841,2,FALSE)),"+","")</f>
        <v>+</v>
      </c>
      <c r="BB29" s="51" t="str">
        <f>IF(ISTEXT(VLOOKUP(CONCATENATE($A29,"_",BB$3),'Unit List'!$A$14:$H$2841,2,FALSE)),"X",$BA29)</f>
        <v>+</v>
      </c>
      <c r="BC29" s="51" t="str">
        <f>IF(ISTEXT(VLOOKUP(CONCATENATE($A29,"_",BC$3),'Unit List'!$A$14:$H$2841,2,FALSE)),"X",$BA29)</f>
        <v>+</v>
      </c>
      <c r="BD29" s="53" t="str">
        <f>IF(ISTEXT(VLOOKUP(CONCATENATE($A29,"_",BD$3),'Unit List'!$A$14:$H$2841,2,FALSE)),"X",$BA29)</f>
        <v>+</v>
      </c>
      <c r="BE29" s="125" t="str">
        <f>IF(ISTEXT(VLOOKUP(CONCATENATE($A29,"_",BE$3),'Unit List'!$A$14:$H$2841,2,FALSE)),"+","")</f>
        <v>+</v>
      </c>
      <c r="BF29" s="62" t="str">
        <f>IF(ISTEXT(VLOOKUP(CONCATENATE($A29,"_",BF$3),'Unit List'!$A$14:$H$2841,2,FALSE)),"X",$BE29)</f>
        <v>+</v>
      </c>
      <c r="BG29" s="64"/>
      <c r="BH29" s="65" t="s">
        <v>0</v>
      </c>
      <c r="BI29" s="203" t="s">
        <v>12</v>
      </c>
      <c r="BJ29" s="206"/>
      <c r="BK29" s="206"/>
      <c r="BL29" s="206"/>
      <c r="BM29" s="207"/>
      <c r="BN29" s="54"/>
      <c r="BO29" s="54"/>
      <c r="BP29" s="54"/>
      <c r="BQ29" s="54"/>
      <c r="BR29" s="54"/>
      <c r="BS29" s="54"/>
      <c r="DZ29" s="55"/>
      <c r="EA29" s="55"/>
    </row>
    <row r="30" spans="1:131" ht="12.75" customHeight="1" x14ac:dyDescent="0.2">
      <c r="A30" s="56" t="s">
        <v>28</v>
      </c>
      <c r="B30" s="181" t="str">
        <f>IF(ISTEXT(VLOOKUP(CONCATENATE($A30,"_",B$3),'Unit List'!$A$14:$H$2841,2,FALSE)),"+","")</f>
        <v/>
      </c>
      <c r="C30" s="57" t="str">
        <f>IF(ISTEXT(VLOOKUP(CONCATENATE($A30,"_",C$3),'Unit List'!$A$14:$H$2841,2,FALSE)),"X",$B30)</f>
        <v/>
      </c>
      <c r="D30" s="60" t="str">
        <f>IF(ISTEXT(VLOOKUP(CONCATENATE($A30,"_",D$3),'Unit List'!$A$14:$H$2841,2,FALSE)),"X",$B30)</f>
        <v/>
      </c>
      <c r="E30" s="51" t="str">
        <f>IF(ISTEXT(VLOOKUP(CONCATENATE($A30,"_",E$3),'Unit List'!$A$14:$H$2841,2,FALSE)),"X",$B30)</f>
        <v/>
      </c>
      <c r="F30" s="67" t="str">
        <f>IF(ISTEXT(VLOOKUP(CONCATENATE($A30,"_",F$3),'Unit List'!$A$14:$H$2841,2,FALSE)),"X",$B30)</f>
        <v>X</v>
      </c>
      <c r="G30" s="51" t="str">
        <f>IF(ISTEXT(VLOOKUP(CONCATENATE($A30,"_",G$3),'Unit List'!$A$14:$H$2841,2,FALSE)),"X",$B30)</f>
        <v>X</v>
      </c>
      <c r="H30" s="67" t="str">
        <f>IF(ISTEXT(VLOOKUP(CONCATENATE($A30,"_",H$3),'Unit List'!$A$14:$H$2841,2,FALSE)),"X",$B30)</f>
        <v>X</v>
      </c>
      <c r="I30" s="53" t="str">
        <f>IF(ISTEXT(VLOOKUP(CONCATENATE($A30,"_",I$3),'Unit List'!$A$14:$H$2841,2,FALSE)),"X",$B30)</f>
        <v/>
      </c>
      <c r="J30" s="172" t="str">
        <f>IF(ISTEXT(VLOOKUP(CONCATENATE($A30,"_",J$3),'Unit List'!$A$14:$H$2841,2,FALSE)),"+","")</f>
        <v>+</v>
      </c>
      <c r="K30" s="94" t="str">
        <f>IF(ISTEXT(VLOOKUP(CONCATENATE($A30,"_",K$3),'Unit List'!$A$14:$H$2841,2,FALSE)),"X",$J30)</f>
        <v>+</v>
      </c>
      <c r="L30" s="86" t="str">
        <f>IF(ISTEXT(VLOOKUP(CONCATENATE($A30,"_",L$3),'Unit List'!$A$14:$H$2841,2,FALSE)),"X",$J30)</f>
        <v>+</v>
      </c>
      <c r="M30" s="172" t="str">
        <f>IF(ISTEXT(VLOOKUP(CONCATENATE($A30,"_",M$3),'Unit List'!$A$14:$H$2841,2,FALSE)),"+","")</f>
        <v>+</v>
      </c>
      <c r="N30" s="51" t="str">
        <f>IF(ISTEXT(VLOOKUP(CONCATENATE($A30,"_",N$3),'Unit List'!$A$14:$H$2841,2,FALSE)),"X",$M30)</f>
        <v>+</v>
      </c>
      <c r="O30" s="70" t="str">
        <f>IF(ISTEXT(VLOOKUP(CONCATENATE($A30,"_",O$3),'Unit List'!$A$14:$H$2841,2,FALSE)),"X",$M30)</f>
        <v>X</v>
      </c>
      <c r="P30" s="172" t="str">
        <f>IF(ISTEXT(VLOOKUP(CONCATENATE($A30,"_",P$3),'Unit List'!$A$14:$H$2841,2,FALSE)),"+","")</f>
        <v/>
      </c>
      <c r="Q30" s="51" t="str">
        <f>IF(ISTEXT(VLOOKUP(CONCATENATE($A30,"_",Q$3),'Unit List'!$A$14:$H$2841,2,FALSE)),"X",$P30)</f>
        <v/>
      </c>
      <c r="R30" s="51" t="str">
        <f>IF(ISTEXT(VLOOKUP(CONCATENATE($A30,"_",R$3),'Unit List'!$A$14:$H$2841,2,FALSE)),"X",$P30)</f>
        <v/>
      </c>
      <c r="S30" s="67" t="str">
        <f>IF(ISTEXT(VLOOKUP(CONCATENATE($A30,"_",S$3),'Unit List'!$A$14:$H$2841,2,FALSE)),"X",$P30)</f>
        <v>X</v>
      </c>
      <c r="T30" s="52" t="str">
        <f>IF(ISTEXT(VLOOKUP(CONCATENATE($A30,"_",T$3),'Unit List'!$A$14:$H$2841,2,FALSE)),"X",$P30)</f>
        <v/>
      </c>
      <c r="U30" s="67" t="str">
        <f>IF(ISTEXT(VLOOKUP(CONCATENATE($A30,"_",U$3),'Unit List'!$A$14:$H$2841,2,FALSE)),"X",$P30)</f>
        <v>X</v>
      </c>
      <c r="V30" s="89" t="s">
        <v>3</v>
      </c>
      <c r="W30" s="53" t="str">
        <f>IF(ISTEXT(VLOOKUP(CONCATENATE($A30,"_",W$3),'Unit List'!$A$14:$H$2841,2,FALSE)),"X",$P30)</f>
        <v/>
      </c>
      <c r="X30" s="171" t="str">
        <f>IF(ISTEXT(VLOOKUP(CONCATENATE($A30,"_",X$3),'Unit List'!$A$14:$H$2841,2,FALSE)),"+","")</f>
        <v>+</v>
      </c>
      <c r="Y30" s="72" t="s">
        <v>0</v>
      </c>
      <c r="Z30" s="51" t="str">
        <f>IF(ISTEXT(VLOOKUP(CONCATENATE($A30,"_",Z$3),'Unit List'!$A$14:$H$2841,2,FALSE)),"X",$X30)</f>
        <v>+</v>
      </c>
      <c r="AA30" s="67" t="str">
        <f>IF(ISTEXT(VLOOKUP(CONCATENATE($A30,"_",AA$3),'Unit List'!$A$14:$H$2841,2,FALSE)),"X",$X30)</f>
        <v>X</v>
      </c>
      <c r="AB30" s="67" t="str">
        <f>IF(ISTEXT(VLOOKUP(CONCATENATE($A30,"_",AB$3),'Unit List'!$A$14:$H$2841,2,FALSE)),"X",$X30)</f>
        <v>X</v>
      </c>
      <c r="AC30" s="86" t="str">
        <f>IF(ISTEXT(VLOOKUP(CONCATENATE($A30,"_",AC$3),'Unit List'!$A$14:$H$2841,2,FALSE)),"X",$X30)</f>
        <v>X</v>
      </c>
      <c r="AD30" s="171" t="str">
        <f>IF(ISTEXT(VLOOKUP(CONCATENATE($A30,"_",AD$3),'Unit List'!$A$14:$H$2841,2,FALSE)),"+","")</f>
        <v/>
      </c>
      <c r="AE30" s="51" t="str">
        <f>IF(ISTEXT(VLOOKUP(CONCATENATE($A30,"_",AE$3),'Unit List'!$A$14:$H$2841,2,FALSE)),"X",$AD30)</f>
        <v/>
      </c>
      <c r="AF30" s="51" t="str">
        <f>IF(ISTEXT(VLOOKUP(CONCATENATE($A30,"_",AF$3),'Unit List'!$A$14:$H$2841,2,FALSE)),"X",$AD30)</f>
        <v/>
      </c>
      <c r="AG30" s="171" t="str">
        <f>IF(ISTEXT(VLOOKUP(CONCATENATE($A30,"_",AG$3),'Unit List'!$A$14:$H$2841,2,FALSE)),"+","")</f>
        <v>+</v>
      </c>
      <c r="AH30" s="67" t="str">
        <f>IF(ISTEXT(VLOOKUP(CONCATENATE($A30,"_",AH$3),'Unit List'!$A$14:$H$2841,2,FALSE)),"X",$AG30)</f>
        <v>+</v>
      </c>
      <c r="AI30" s="89" t="s">
        <v>0</v>
      </c>
      <c r="AJ30" s="71" t="str">
        <f>IF(ISTEXT(VLOOKUP(CONCATENATE($A30,"_",AJ$3),'Unit List'!$A$14:$H$2841,2,FALSE)),"X",$AG30)</f>
        <v>+</v>
      </c>
      <c r="AK30" s="171" t="str">
        <f>IF(ISTEXT(VLOOKUP(CONCATENATE($A30,"_",AK$3),'Unit List'!$A$14:$H$2841,2,FALSE)),"+","")</f>
        <v>+</v>
      </c>
      <c r="AL30" s="52" t="str">
        <f>IF(ISTEXT(VLOOKUP(CONCATENATE($A30,"_",AL$3),'Unit List'!$A$14:$H$2841,2,FALSE)),"X",$AK30)</f>
        <v>+</v>
      </c>
      <c r="AM30" s="70" t="str">
        <f>IF(ISTEXT(VLOOKUP(CONCATENATE($A30,"_",AM$3),'Unit List'!$A$14:$H$2841,2,FALSE)),"X",$AK30)</f>
        <v>X</v>
      </c>
      <c r="AN30" s="125" t="str">
        <f>IF(ISTEXT(VLOOKUP(CONCATENATE($A30,"_",AN$3),'Unit List'!$A$14:$H$2841,2,FALSE)),"+","")</f>
        <v>+</v>
      </c>
      <c r="AO30" s="70" t="str">
        <f>IF(ISTEXT(VLOOKUP(CONCATENATE($A30,"_",AO$3),'Unit List'!$A$14:$H$2841,2,FALSE)),"X",$AN30)</f>
        <v>+</v>
      </c>
      <c r="AP30" s="171" t="str">
        <f>IF(ISTEXT(VLOOKUP(CONCATENATE($A30,"_",AP$3),'Unit List'!$A$14:$H$2841,2,FALSE)),"+","")</f>
        <v>+</v>
      </c>
      <c r="AQ30" s="51" t="str">
        <f>IF(ISTEXT(VLOOKUP(CONCATENATE($A30,"_",AQ$3),'Unit List'!$A$14:$H$2841,2,FALSE)),"X",$AP30)</f>
        <v>X</v>
      </c>
      <c r="AR30" s="67" t="str">
        <f>IF(ISTEXT(VLOOKUP(CONCATENATE($A30,"_",AR$3),'Unit List'!$A$14:$H$2841,2,FALSE)),"X",$AP30)</f>
        <v>X</v>
      </c>
      <c r="AS30" s="67" t="str">
        <f>IF(ISTEXT(VLOOKUP(CONCATENATE($A30,"_",AS$3),'Unit List'!$A$14:$H$2841,2,FALSE)),"X",$AP30)</f>
        <v>X</v>
      </c>
      <c r="AT30" s="100" t="s">
        <v>0</v>
      </c>
      <c r="AU30" s="124" t="str">
        <f>IF(ISTEXT(VLOOKUP(CONCATENATE($A30,"_",AU$3),'Unit List'!$A$14:$H$2841,2,FALSE)),"+","")</f>
        <v>+</v>
      </c>
      <c r="AV30" s="51" t="str">
        <f>IF(ISTEXT(VLOOKUP(CONCATENATE($A30,"_",AV$3),'Unit List'!$A$14:$H$2841,2,FALSE)),"X",$AU30)</f>
        <v>+</v>
      </c>
      <c r="AW30" s="74" t="s">
        <v>0</v>
      </c>
      <c r="AX30" s="171" t="str">
        <f>IF(ISTEXT(VLOOKUP(CONCATENATE($A30,"_",AX$3),'Unit List'!$A$14:$H$2841,2,FALSE)),"+","")</f>
        <v>+</v>
      </c>
      <c r="AY30" s="67" t="str">
        <f>IF(ISTEXT(VLOOKUP(CONCATENATE($A30,"_",AY$3),'Unit List'!$A$14:$H$2841,2,FALSE)),"X",$AX30)</f>
        <v>X</v>
      </c>
      <c r="AZ30" s="70" t="str">
        <f>IF(ISTEXT(VLOOKUP(CONCATENATE($A30,"_",AZ$3),'Unit List'!$A$14:$H$2841,2,FALSE)),"X",$AX30)</f>
        <v>+</v>
      </c>
      <c r="BA30" s="171" t="str">
        <f>IF(ISTEXT(VLOOKUP(CONCATENATE($A30,"_",BA$3),'Unit List'!$A$14:$H$2841,2,FALSE)),"+","")</f>
        <v>+</v>
      </c>
      <c r="BB30" s="67" t="str">
        <f>IF(ISTEXT(VLOOKUP(CONCATENATE($A30,"_",BB$3),'Unit List'!$A$14:$H$2841,2,FALSE)),"X",$BA30)</f>
        <v>X</v>
      </c>
      <c r="BC30" s="67" t="str">
        <f>IF(ISTEXT(VLOOKUP(CONCATENATE($A30,"_",BC$3),'Unit List'!$A$14:$H$2841,2,FALSE)),"X",$BA30)</f>
        <v>X</v>
      </c>
      <c r="BD30" s="70" t="str">
        <f>IF(ISTEXT(VLOOKUP(CONCATENATE($A30,"_",BD$3),'Unit List'!$A$14:$H$2841,2,FALSE)),"X",$BA30)</f>
        <v>X</v>
      </c>
      <c r="BE30" s="125" t="str">
        <f>IF(ISTEXT(VLOOKUP(CONCATENATE($A30,"_",BE$3),'Unit List'!$A$14:$H$2841,2,FALSE)),"+","")</f>
        <v>+</v>
      </c>
      <c r="BF30" s="62" t="str">
        <f>IF(ISTEXT(VLOOKUP(CONCATENATE($A30,"_",BF$3),'Unit List'!$A$14:$H$2841,2,FALSE)),"X",$BE30)</f>
        <v>+</v>
      </c>
      <c r="BG30" s="64"/>
      <c r="BH30" s="65" t="s">
        <v>0</v>
      </c>
      <c r="BI30" s="203" t="s">
        <v>12</v>
      </c>
      <c r="BJ30" s="206"/>
      <c r="BK30" s="206"/>
      <c r="BL30" s="206"/>
      <c r="BM30" s="207"/>
      <c r="BN30" s="54"/>
      <c r="BO30" s="54"/>
      <c r="BP30" s="54"/>
      <c r="BQ30" s="54"/>
      <c r="BR30" s="54"/>
      <c r="BS30" s="54"/>
      <c r="DZ30" s="55"/>
      <c r="EA30" s="55"/>
    </row>
    <row r="31" spans="1:131" ht="12.75" customHeight="1" x14ac:dyDescent="0.2">
      <c r="A31" s="56" t="s">
        <v>27</v>
      </c>
      <c r="B31" s="181" t="str">
        <f>IF(ISTEXT(VLOOKUP(CONCATENATE($A31,"_",B$3),'Unit List'!$A$14:$H$2841,2,FALSE)),"+","")</f>
        <v/>
      </c>
      <c r="C31" s="57" t="str">
        <f>IF(ISTEXT(VLOOKUP(CONCATENATE($A31,"_",C$3),'Unit List'!$A$14:$H$2841,2,FALSE)),"X",$B31)</f>
        <v/>
      </c>
      <c r="D31" s="51" t="str">
        <f>IF(ISTEXT(VLOOKUP(CONCATENATE($A31,"_",D$3),'Unit List'!$A$14:$H$2841,2,FALSE)),"X",$B31)</f>
        <v/>
      </c>
      <c r="E31" s="51" t="str">
        <f>IF(ISTEXT(VLOOKUP(CONCATENATE($A31,"_",E$3),'Unit List'!$A$14:$H$2841,2,FALSE)),"X",$B31)</f>
        <v/>
      </c>
      <c r="F31" s="51" t="str">
        <f>IF(ISTEXT(VLOOKUP(CONCATENATE($A31,"_",F$3),'Unit List'!$A$14:$H$2841,2,FALSE)),"X",$B31)</f>
        <v/>
      </c>
      <c r="G31" s="67" t="str">
        <f>IF(ISTEXT(VLOOKUP(CONCATENATE($A31,"_",G$3),'Unit List'!$A$14:$H$2841,2,FALSE)),"X",$B31)</f>
        <v>X</v>
      </c>
      <c r="H31" s="67" t="str">
        <f>IF(ISTEXT(VLOOKUP(CONCATENATE($A31,"_",H$3),'Unit List'!$A$14:$H$2841,2,FALSE)),"X",$B31)</f>
        <v>X</v>
      </c>
      <c r="I31" s="70" t="str">
        <f>IF(ISTEXT(VLOOKUP(CONCATENATE($A31,"_",I$3),'Unit List'!$A$14:$H$2841,2,FALSE)),"X",$B31)</f>
        <v>X</v>
      </c>
      <c r="J31" s="172" t="str">
        <f>IF(ISTEXT(VLOOKUP(CONCATENATE($A31,"_",J$3),'Unit List'!$A$14:$H$2841,2,FALSE)),"+","")</f>
        <v/>
      </c>
      <c r="K31" s="51" t="str">
        <f>IF(ISTEXT(VLOOKUP(CONCATENATE($A31,"_",K$3),'Unit List'!$A$14:$H$2841,2,FALSE)),"X",$J31)</f>
        <v/>
      </c>
      <c r="L31" s="101" t="s">
        <v>0</v>
      </c>
      <c r="M31" s="172" t="str">
        <f>IF(ISTEXT(VLOOKUP(CONCATENATE($A31,"_",M$3),'Unit List'!$A$14:$H$2841,2,FALSE)),"+","")</f>
        <v/>
      </c>
      <c r="N31" s="90" t="s">
        <v>0</v>
      </c>
      <c r="O31" s="53" t="str">
        <f>IF(ISTEXT(VLOOKUP(CONCATENATE($A31,"_",O$3),'Unit List'!$A$14:$H$2841,2,FALSE)),"X",$M31)</f>
        <v/>
      </c>
      <c r="P31" s="172" t="str">
        <f>IF(ISTEXT(VLOOKUP(CONCATENATE($A31,"_",P$3),'Unit List'!$A$14:$H$2841,2,FALSE)),"+","")</f>
        <v/>
      </c>
      <c r="Q31" s="51" t="str">
        <f>IF(ISTEXT(VLOOKUP(CONCATENATE($A31,"_",Q$3),'Unit List'!$A$14:$H$2841,2,FALSE)),"X",$P31)</f>
        <v/>
      </c>
      <c r="R31" s="51" t="str">
        <f>IF(ISTEXT(VLOOKUP(CONCATENATE($A31,"_",R$3),'Unit List'!$A$14:$H$2841,2,FALSE)),"X",$P31)</f>
        <v/>
      </c>
      <c r="S31" s="51" t="str">
        <f>IF(ISTEXT(VLOOKUP(CONCATENATE($A31,"_",S$3),'Unit List'!$A$14:$H$2841,2,FALSE)),"X",$P31)</f>
        <v/>
      </c>
      <c r="T31" s="52" t="str">
        <f>IF(ISTEXT(VLOOKUP(CONCATENATE($A31,"_",T$3),'Unit List'!$A$14:$H$2841,2,FALSE)),"X",$P31)</f>
        <v/>
      </c>
      <c r="U31" s="51" t="str">
        <f>IF(ISTEXT(VLOOKUP(CONCATENATE($A31,"_",U$3),'Unit List'!$A$14:$H$2841,2,FALSE)),"X",$P31)</f>
        <v/>
      </c>
      <c r="V31" s="51" t="str">
        <f>IF(ISTEXT(VLOOKUP(CONCATENATE($A31,"_",V$3),'Unit List'!$A$14:$H$2841,2,FALSE)),"X",$P31)</f>
        <v/>
      </c>
      <c r="W31" s="53" t="str">
        <f>IF(ISTEXT(VLOOKUP(CONCATENATE($A31,"_",W$3),'Unit List'!$A$14:$H$2841,2,FALSE)),"X",$P31)</f>
        <v/>
      </c>
      <c r="X31" s="172" t="str">
        <f>IF(ISTEXT(VLOOKUP(CONCATENATE($A31,"_",X$3),'Unit List'!$A$14:$H$2841,2,FALSE)),"+","")</f>
        <v>+</v>
      </c>
      <c r="Y31" s="51" t="str">
        <f>IF(ISTEXT(VLOOKUP(CONCATENATE($A31,"_",Y$3),'Unit List'!$A$14:$H$2841,2,FALSE)),"X",$X31)</f>
        <v>+</v>
      </c>
      <c r="Z31" s="51" t="str">
        <f>IF(ISTEXT(VLOOKUP(CONCATENATE($A31,"_",Z$3),'Unit List'!$A$14:$H$2841,2,FALSE)),"X",$X31)</f>
        <v>+</v>
      </c>
      <c r="AA31" s="51" t="str">
        <f>IF(ISTEXT(VLOOKUP(CONCATENATE($A31,"_",AA$3),'Unit List'!$A$14:$H$2841,2,FALSE)),"X",$X31)</f>
        <v>+</v>
      </c>
      <c r="AB31" s="51" t="str">
        <f>IF(ISTEXT(VLOOKUP(CONCATENATE($A31,"_",AB$3),'Unit List'!$A$14:$H$2841,2,FALSE)),"X",$X31)</f>
        <v>+</v>
      </c>
      <c r="AC31" s="62" t="str">
        <f>IF(ISTEXT(VLOOKUP(CONCATENATE($A31,"_",AC$3),'Unit List'!$A$14:$H$2841,2,FALSE)),"X",$X31)</f>
        <v>+</v>
      </c>
      <c r="AD31" s="172" t="str">
        <f>IF(ISTEXT(VLOOKUP(CONCATENATE($A31,"_",AD$3),'Unit List'!$A$14:$H$2841,2,FALSE)),"+","")</f>
        <v/>
      </c>
      <c r="AE31" s="51" t="str">
        <f>IF(ISTEXT(VLOOKUP(CONCATENATE($A31,"_",AE$3),'Unit List'!$A$14:$H$2841,2,FALSE)),"X",$AD31)</f>
        <v/>
      </c>
      <c r="AF31" s="51" t="str">
        <f>IF(ISTEXT(VLOOKUP(CONCATENATE($A31,"_",AF$3),'Unit List'!$A$14:$H$2841,2,FALSE)),"X",$AD31)</f>
        <v/>
      </c>
      <c r="AG31" s="172" t="str">
        <f>IF(ISTEXT(VLOOKUP(CONCATENATE($A31,"_",AG$3),'Unit List'!$A$14:$H$2841,2,FALSE)),"+","")</f>
        <v/>
      </c>
      <c r="AH31" s="51" t="str">
        <f>IF(ISTEXT(VLOOKUP(CONCATENATE($A31,"_",AH$3),'Unit List'!$A$14:$H$2841,2,FALSE)),"X",$AG31)</f>
        <v/>
      </c>
      <c r="AI31" s="51" t="str">
        <f>IF(ISTEXT(VLOOKUP(CONCATENATE($A31,"_",AI$3),'Unit List'!$A$14:$H$2841,2,FALSE)),"X",$AG31)</f>
        <v/>
      </c>
      <c r="AJ31" s="53" t="str">
        <f>IF(ISTEXT(VLOOKUP(CONCATENATE($A31,"_",AJ$3),'Unit List'!$A$14:$H$2841,2,FALSE)),"X",$AG31)</f>
        <v/>
      </c>
      <c r="AK31" s="172" t="str">
        <f>IF(ISTEXT(VLOOKUP(CONCATENATE($A31,"_",AK$3),'Unit List'!$A$14:$H$2841,2,FALSE)),"+","")</f>
        <v>+</v>
      </c>
      <c r="AL31" s="52" t="str">
        <f>IF(ISTEXT(VLOOKUP(CONCATENATE($A31,"_",AL$3),'Unit List'!$A$14:$H$2841,2,FALSE)),"X",$AK31)</f>
        <v>+</v>
      </c>
      <c r="AM31" s="74" t="s">
        <v>0</v>
      </c>
      <c r="AN31" s="125" t="str">
        <f>IF(ISTEXT(VLOOKUP(CONCATENATE($A31,"_",AN$3),'Unit List'!$A$14:$H$2841,2,FALSE)),"+","")</f>
        <v/>
      </c>
      <c r="AO31" s="53" t="str">
        <f>IF(ISTEXT(VLOOKUP(CONCATENATE($A31,"_",AO$3),'Unit List'!$A$14:$H$2841,2,FALSE)),"X",$AN31)</f>
        <v/>
      </c>
      <c r="AP31" s="172" t="str">
        <f>IF(ISTEXT(VLOOKUP(CONCATENATE($A31,"_",AP$3),'Unit List'!$A$14:$H$2841,2,FALSE)),"+","")</f>
        <v/>
      </c>
      <c r="AQ31" s="51" t="str">
        <f>IF(ISTEXT(VLOOKUP(CONCATENATE($A31,"_",AQ$3),'Unit List'!$A$14:$H$2841,2,FALSE)),"X",$AP31)</f>
        <v/>
      </c>
      <c r="AR31" s="67" t="str">
        <f>IF(ISTEXT(VLOOKUP(CONCATENATE($A31,"_",AR$3),'Unit List'!$A$14:$H$2841,2,FALSE)),"X",$AP31)</f>
        <v>X</v>
      </c>
      <c r="AS31" s="51" t="str">
        <f>IF(ISTEXT(VLOOKUP(CONCATENATE($A31,"_",AS$3),'Unit List'!$A$14:$H$2841,2,FALSE)),"X",$AP31)</f>
        <v/>
      </c>
      <c r="AT31" s="53" t="str">
        <f>IF(ISTEXT(VLOOKUP(CONCATENATE($A31,"_",AT$3),'Unit List'!$A$14:$H$2841,2,FALSE)),"X",$AP31)</f>
        <v/>
      </c>
      <c r="AU31" s="124" t="str">
        <f>IF(ISTEXT(VLOOKUP(CONCATENATE($A31,"_",AU$3),'Unit List'!$A$14:$H$2841,2,FALSE)),"+","")</f>
        <v/>
      </c>
      <c r="AV31" s="51" t="str">
        <f>IF(ISTEXT(VLOOKUP(CONCATENATE($A31,"_",AV$3),'Unit List'!$A$14:$H$2841,2,FALSE)),"X",$AU31)</f>
        <v/>
      </c>
      <c r="AW31" s="53" t="str">
        <f>IF(ISTEXT(VLOOKUP(CONCATENATE($A31,"_",AW$3),'Unit List'!$A$14:$H$2841,2,FALSE)),"X",$AU31)</f>
        <v/>
      </c>
      <c r="AX31" s="172" t="str">
        <f>IF(ISTEXT(VLOOKUP(CONCATENATE($A31,"_",AX$3),'Unit List'!$A$14:$H$2841,2,FALSE)),"+","")</f>
        <v/>
      </c>
      <c r="AY31" s="51" t="str">
        <f>IF(ISTEXT(VLOOKUP(CONCATENATE($A31,"_",AY$3),'Unit List'!$A$14:$H$2841,2,FALSE)),"X",$AX31)</f>
        <v/>
      </c>
      <c r="AZ31" s="53" t="str">
        <f>IF(ISTEXT(VLOOKUP(CONCATENATE($A31,"_",AZ$3),'Unit List'!$A$14:$H$2841,2,FALSE)),"X",$AX31)</f>
        <v/>
      </c>
      <c r="BA31" s="182" t="str">
        <f>IF(ISTEXT(VLOOKUP(CONCATENATE($A31,"_",BA$3),'Unit List'!$A$14:$H$2841,2,FALSE)),"+","")</f>
        <v/>
      </c>
      <c r="BB31" s="51" t="str">
        <f>IF(ISTEXT(VLOOKUP(CONCATENATE($A31,"_",BB$3),'Unit List'!$A$14:$H$2841,2,FALSE)),"X",$BA31)</f>
        <v/>
      </c>
      <c r="BC31" s="51" t="str">
        <f>IF(ISTEXT(VLOOKUP(CONCATENATE($A31,"_",BC$3),'Unit List'!$A$14:$H$2841,2,FALSE)),"X",$BA31)</f>
        <v/>
      </c>
      <c r="BD31" s="53" t="str">
        <f>IF(ISTEXT(VLOOKUP(CONCATENATE($A31,"_",BD$3),'Unit List'!$A$14:$H$2841,2,FALSE)),"X",$BA31)</f>
        <v/>
      </c>
      <c r="BE31" s="125" t="str">
        <f>IF(ISTEXT(VLOOKUP(CONCATENATE($A31,"_",BE$3),'Unit List'!$A$14:$H$2841,2,FALSE)),"+","")</f>
        <v/>
      </c>
      <c r="BF31" s="62" t="str">
        <f>IF(ISTEXT(VLOOKUP(CONCATENATE($A31,"_",BF$3),'Unit List'!$A$14:$H$2841,2,FALSE)),"X",$BE31)</f>
        <v/>
      </c>
      <c r="BG31" s="64"/>
      <c r="BH31" s="65" t="s">
        <v>0</v>
      </c>
      <c r="BI31" s="203"/>
      <c r="BJ31" s="206"/>
      <c r="BK31" s="206"/>
      <c r="BL31" s="206"/>
      <c r="BM31" s="207"/>
      <c r="BN31" s="54"/>
      <c r="BO31" s="54"/>
      <c r="BP31" s="54"/>
      <c r="BQ31" s="54"/>
      <c r="BR31" s="54"/>
      <c r="BS31" s="54"/>
      <c r="DZ31" s="55"/>
      <c r="EA31" s="55"/>
    </row>
    <row r="32" spans="1:131" ht="12.75" customHeight="1" x14ac:dyDescent="0.2">
      <c r="A32" s="56" t="s">
        <v>26</v>
      </c>
      <c r="B32" s="181" t="str">
        <f>IF(ISTEXT(VLOOKUP(CONCATENATE($A32,"_",B$3),'Unit List'!$A$14:$H$2841,2,FALSE)),"+","")</f>
        <v/>
      </c>
      <c r="C32" s="82" t="str">
        <f>IF(ISTEXT(VLOOKUP(CONCATENATE($A32,"_",C$3),'Unit List'!$A$14:$H$2841,2,FALSE)),"X",$B32)</f>
        <v>X</v>
      </c>
      <c r="D32" s="67" t="str">
        <f>IF(ISTEXT(VLOOKUP(CONCATENATE($A32,"_",D$3),'Unit List'!$A$14:$H$2841,2,FALSE)),"X",$B32)</f>
        <v>X</v>
      </c>
      <c r="E32" s="51" t="str">
        <f>IF(ISTEXT(VLOOKUP(CONCATENATE($A32,"_",E$3),'Unit List'!$A$14:$H$2841,2,FALSE)),"X",$B32)</f>
        <v>X</v>
      </c>
      <c r="F32" s="67" t="str">
        <f>IF(ISTEXT(VLOOKUP(CONCATENATE($A32,"_",F$3),'Unit List'!$A$14:$H$2841,2,FALSE)),"X",$B32)</f>
        <v>X</v>
      </c>
      <c r="G32" s="67" t="str">
        <f>IF(ISTEXT(VLOOKUP(CONCATENATE($A32,"_",G$3),'Unit List'!$A$14:$H$2841,2,FALSE)),"X",$B32)</f>
        <v>X</v>
      </c>
      <c r="H32" s="67" t="str">
        <f>IF(ISTEXT(VLOOKUP(CONCATENATE($A32,"_",H$3),'Unit List'!$A$14:$H$2841,2,FALSE)),"X",$B32)</f>
        <v>X</v>
      </c>
      <c r="I32" s="53" t="str">
        <f>IF(ISTEXT(VLOOKUP(CONCATENATE($A32,"_",I$3),'Unit List'!$A$14:$H$2841,2,FALSE)),"X",$B32)</f>
        <v/>
      </c>
      <c r="J32" s="172" t="str">
        <f>IF(ISTEXT(VLOOKUP(CONCATENATE($A32,"_",J$3),'Unit List'!$A$14:$H$2841,2,FALSE)),"+","")</f>
        <v>+</v>
      </c>
      <c r="K32" s="72" t="s">
        <v>0</v>
      </c>
      <c r="L32" s="86" t="str">
        <f>IF(ISTEXT(VLOOKUP(CONCATENATE($A32,"_",L$3),'Unit List'!$A$14:$H$2841,2,FALSE)),"X",$J32)</f>
        <v>+</v>
      </c>
      <c r="M32" s="172" t="str">
        <f>IF(ISTEXT(VLOOKUP(CONCATENATE($A32,"_",M$3),'Unit List'!$A$14:$H$2841,2,FALSE)),"+","")</f>
        <v/>
      </c>
      <c r="N32" s="51" t="str">
        <f>IF(ISTEXT(VLOOKUP(CONCATENATE($A32,"_",N$3),'Unit List'!$A$14:$H$2841,2,FALSE)),"X",$M32)</f>
        <v>X</v>
      </c>
      <c r="O32" s="70" t="str">
        <f>IF(ISTEXT(VLOOKUP(CONCATENATE($A32,"_",O$3),'Unit List'!$A$14:$H$2841,2,FALSE)),"X",$M32)</f>
        <v>X</v>
      </c>
      <c r="P32" s="171" t="str">
        <f>IF(ISTEXT(VLOOKUP(CONCATENATE($A32,"_",P$3),'Unit List'!$A$14:$H$2841,2,FALSE)),"+","")</f>
        <v>+</v>
      </c>
      <c r="Q32" s="51" t="str">
        <f>IF(ISTEXT(VLOOKUP(CONCATENATE($A32,"_",Q$3),'Unit List'!$A$14:$H$2841,2,FALSE)),"X",$P32)</f>
        <v>+</v>
      </c>
      <c r="R32" s="67" t="str">
        <f>IF(ISTEXT(VLOOKUP(CONCATENATE($A32,"_",R$3),'Unit List'!$A$14:$H$2841,2,FALSE)),"X",$P32)</f>
        <v>X</v>
      </c>
      <c r="S32" s="67" t="str">
        <f>IF(ISTEXT(VLOOKUP(CONCATENATE($A32,"_",S$3),'Unit List'!$A$14:$H$2841,2,FALSE)),"X",$P32)</f>
        <v>X</v>
      </c>
      <c r="T32" s="52" t="str">
        <f>IF(ISTEXT(VLOOKUP(CONCATENATE($A32,"_",T$3),'Unit List'!$A$14:$H$2841,2,FALSE)),"X",$P32)</f>
        <v>X</v>
      </c>
      <c r="U32" s="67" t="str">
        <f>IF(ISTEXT(VLOOKUP(CONCATENATE($A32,"_",U$3),'Unit List'!$A$14:$H$2841,2,FALSE)),"X",$P32)</f>
        <v>X</v>
      </c>
      <c r="V32" s="67" t="str">
        <f>IF(ISTEXT(VLOOKUP(CONCATENATE($A32,"_",V$3),'Unit List'!$A$14:$H$2841,2,FALSE)),"X",$P32)</f>
        <v>X</v>
      </c>
      <c r="W32" s="53" t="str">
        <f>IF(ISTEXT(VLOOKUP(CONCATENATE($A32,"_",W$3),'Unit List'!$A$14:$H$2841,2,FALSE)),"X",$P32)</f>
        <v>+</v>
      </c>
      <c r="X32" s="171" t="str">
        <f>IF(ISTEXT(VLOOKUP(CONCATENATE($A32,"_",X$3),'Unit List'!$A$14:$H$2841,2,FALSE)),"+","")</f>
        <v>+</v>
      </c>
      <c r="Y32" s="67" t="str">
        <f>IF(ISTEXT(VLOOKUP(CONCATENATE($A32,"_",Y$3),'Unit List'!$A$14:$H$2841,2,FALSE)),"X",$X32)</f>
        <v>X</v>
      </c>
      <c r="Z32" s="51" t="str">
        <f>IF(ISTEXT(VLOOKUP(CONCATENATE($A32,"_",Z$3),'Unit List'!$A$14:$H$2841,2,FALSE)),"X",$X32)</f>
        <v>+</v>
      </c>
      <c r="AA32" s="67" t="str">
        <f>IF(ISTEXT(VLOOKUP(CONCATENATE($A32,"_",AA$3),'Unit List'!$A$14:$H$2841,2,FALSE)),"X",$X32)</f>
        <v>X</v>
      </c>
      <c r="AB32" s="67" t="str">
        <f>IF(ISTEXT(VLOOKUP(CONCATENATE($A32,"_",AB$3),'Unit List'!$A$14:$H$2841,2,FALSE)),"X",$X32)</f>
        <v>X</v>
      </c>
      <c r="AC32" s="86" t="str">
        <f>IF(ISTEXT(VLOOKUP(CONCATENATE($A32,"_",AC$3),'Unit List'!$A$14:$H$2841,2,FALSE)),"X",$X32)</f>
        <v>X</v>
      </c>
      <c r="AD32" s="171" t="str">
        <f>IF(ISTEXT(VLOOKUP(CONCATENATE($A32,"_",AD$3),'Unit List'!$A$14:$H$2841,2,FALSE)),"+","")</f>
        <v>+</v>
      </c>
      <c r="AE32" s="51" t="str">
        <f>IF(ISTEXT(VLOOKUP(CONCATENATE($A32,"_",AE$3),'Unit List'!$A$14:$H$2841,2,FALSE)),"X",$AD32)</f>
        <v>+</v>
      </c>
      <c r="AF32" s="51" t="str">
        <f>IF(ISTEXT(VLOOKUP(CONCATENATE($A32,"_",AF$3),'Unit List'!$A$14:$H$2841,2,FALSE)),"X",$AD32)</f>
        <v>X</v>
      </c>
      <c r="AG32" s="171" t="str">
        <f>IF(ISTEXT(VLOOKUP(CONCATENATE($A32,"_",AG$3),'Unit List'!$A$14:$H$2841,2,FALSE)),"+","")</f>
        <v>+</v>
      </c>
      <c r="AH32" s="67" t="str">
        <f>IF(ISTEXT(VLOOKUP(CONCATENATE($A32,"_",AH$3),'Unit List'!$A$14:$H$2841,2,FALSE)),"X",$AG32)</f>
        <v>X</v>
      </c>
      <c r="AI32" s="67" t="str">
        <f>IF(ISTEXT(VLOOKUP(CONCATENATE($A32,"_",AI$3),'Unit List'!$A$14:$H$2841,2,FALSE)),"X",$AG32)</f>
        <v>X</v>
      </c>
      <c r="AJ32" s="53" t="str">
        <f>IF(ISTEXT(VLOOKUP(CONCATENATE($A32,"_",AJ$3),'Unit List'!$A$14:$H$2841,2,FALSE)),"X",$AG32)</f>
        <v>+</v>
      </c>
      <c r="AK32" s="171" t="str">
        <f>IF(ISTEXT(VLOOKUP(CONCATENATE($A32,"_",AK$3),'Unit List'!$A$14:$H$2841,2,FALSE)),"+","")</f>
        <v>+</v>
      </c>
      <c r="AL32" s="52" t="str">
        <f>IF(ISTEXT(VLOOKUP(CONCATENATE($A32,"_",AL$3),'Unit List'!$A$14:$H$2841,2,FALSE)),"X",$AK32)</f>
        <v>X</v>
      </c>
      <c r="AM32" s="70" t="str">
        <f>IF(ISTEXT(VLOOKUP(CONCATENATE($A32,"_",AM$3),'Unit List'!$A$14:$H$2841,2,FALSE)),"X",$AK32)</f>
        <v>X</v>
      </c>
      <c r="AN32" s="125" t="str">
        <f>IF(ISTEXT(VLOOKUP(CONCATENATE($A32,"_",AN$3),'Unit List'!$A$14:$H$2841,2,FALSE)),"+","")</f>
        <v>+</v>
      </c>
      <c r="AO32" s="70" t="str">
        <f>IF(ISTEXT(VLOOKUP(CONCATENATE($A32,"_",AO$3),'Unit List'!$A$14:$H$2841,2,FALSE)),"X",$AN32)</f>
        <v>+</v>
      </c>
      <c r="AP32" s="171" t="str">
        <f>IF(ISTEXT(VLOOKUP(CONCATENATE($A32,"_",AP$3),'Unit List'!$A$14:$H$2841,2,FALSE)),"+","")</f>
        <v>+</v>
      </c>
      <c r="AQ32" s="67" t="str">
        <f>IF(ISTEXT(VLOOKUP(CONCATENATE($A32,"_",AQ$3),'Unit List'!$A$14:$H$2841,2,FALSE)),"X",$AP32)</f>
        <v>X</v>
      </c>
      <c r="AR32" s="89" t="s">
        <v>3</v>
      </c>
      <c r="AS32" s="67" t="str">
        <f>IF(ISTEXT(VLOOKUP(CONCATENATE($A32,"_",AS$3),'Unit List'!$A$14:$H$2841,2,FALSE)),"X",$AP32)</f>
        <v>X</v>
      </c>
      <c r="AT32" s="70" t="str">
        <f>IF(ISTEXT(VLOOKUP(CONCATENATE($A32,"_",AT$3),'Unit List'!$A$14:$H$2841,2,FALSE)),"X",$AP32)</f>
        <v>X</v>
      </c>
      <c r="AU32" s="124" t="str">
        <f>IF(ISTEXT(VLOOKUP(CONCATENATE($A32,"_",AU$3),'Unit List'!$A$14:$H$2841,2,FALSE)),"+","")</f>
        <v>+</v>
      </c>
      <c r="AV32" s="51" t="str">
        <f>IF(ISTEXT(VLOOKUP(CONCATENATE($A32,"_",AV$3),'Unit List'!$A$14:$H$2841,2,FALSE)),"X",$AU32)</f>
        <v>+</v>
      </c>
      <c r="AW32" s="53" t="str">
        <f>IF(ISTEXT(VLOOKUP(CONCATENATE($A32,"_",AW$3),'Unit List'!$A$14:$H$2841,2,FALSE)),"X",$AU32)</f>
        <v>+</v>
      </c>
      <c r="AX32" s="171" t="str">
        <f>IF(ISTEXT(VLOOKUP(CONCATENATE($A32,"_",AX$3),'Unit List'!$A$14:$H$2841,2,FALSE)),"+","")</f>
        <v>+</v>
      </c>
      <c r="AY32" s="67" t="str">
        <f>IF(ISTEXT(VLOOKUP(CONCATENATE($A32,"_",AY$3),'Unit List'!$A$14:$H$2841,2,FALSE)),"X",$AX32)</f>
        <v>X</v>
      </c>
      <c r="AZ32" s="70" t="str">
        <f>IF(ISTEXT(VLOOKUP(CONCATENATE($A32,"_",AZ$3),'Unit List'!$A$14:$H$2841,2,FALSE)),"X",$AX32)</f>
        <v>+</v>
      </c>
      <c r="BA32" s="171" t="str">
        <f>IF(ISTEXT(VLOOKUP(CONCATENATE($A32,"_",BA$3),'Unit List'!$A$14:$H$2841,2,FALSE)),"+","")</f>
        <v>+</v>
      </c>
      <c r="BB32" s="67" t="str">
        <f>IF(ISTEXT(VLOOKUP(CONCATENATE($A32,"_",BB$3),'Unit List'!$A$14:$H$2841,2,FALSE)),"X",$BA32)</f>
        <v>X</v>
      </c>
      <c r="BC32" s="67" t="str">
        <f>IF(ISTEXT(VLOOKUP(CONCATENATE($A32,"_",BC$3),'Unit List'!$A$14:$H$2841,2,FALSE)),"X",$BA32)</f>
        <v>X</v>
      </c>
      <c r="BD32" s="70" t="str">
        <f>IF(ISTEXT(VLOOKUP(CONCATENATE($A32,"_",BD$3),'Unit List'!$A$14:$H$2841,2,FALSE)),"X",$BA32)</f>
        <v>X</v>
      </c>
      <c r="BE32" s="125" t="str">
        <f>IF(ISTEXT(VLOOKUP(CONCATENATE($A32,"_",BE$3),'Unit List'!$A$14:$H$2841,2,FALSE)),"+","")</f>
        <v>+</v>
      </c>
      <c r="BF32" s="86" t="str">
        <f>IF(ISTEXT(VLOOKUP(CONCATENATE($A32,"_",BF$3),'Unit List'!$A$14:$H$2841,2,FALSE)),"X",$BE32)</f>
        <v>+</v>
      </c>
      <c r="BG32" s="75"/>
      <c r="BH32" s="84"/>
      <c r="BI32" s="203" t="s">
        <v>2409</v>
      </c>
      <c r="BJ32" s="206"/>
      <c r="BK32" s="206"/>
      <c r="BL32" s="206"/>
      <c r="BM32" s="207"/>
      <c r="BN32" s="54"/>
      <c r="BO32" s="54"/>
      <c r="BP32" s="54"/>
      <c r="BQ32" s="54"/>
      <c r="BR32" s="54"/>
      <c r="BS32" s="54"/>
      <c r="DZ32" s="55"/>
      <c r="EA32" s="55"/>
    </row>
    <row r="33" spans="1:131" ht="12.75" customHeight="1" x14ac:dyDescent="0.2">
      <c r="A33" s="56" t="s">
        <v>1277</v>
      </c>
      <c r="B33" s="181" t="str">
        <f>IF(ISTEXT(VLOOKUP(CONCATENATE($A33,"_",B$3),'Unit List'!$A$14:$H$2841,2,FALSE)),"+","")</f>
        <v/>
      </c>
      <c r="C33" s="57" t="str">
        <f>IF(ISTEXT(VLOOKUP(CONCATENATE($A33,"_",C$3),'Unit List'!$A$14:$H$2841,2,FALSE)),"X",$B33)</f>
        <v/>
      </c>
      <c r="D33" s="51" t="str">
        <f>IF(ISTEXT(VLOOKUP(CONCATENATE($A33,"_",D$3),'Unit List'!$A$14:$H$2841,2,FALSE)),"X",$B33)</f>
        <v/>
      </c>
      <c r="E33" s="51" t="str">
        <f>IF(ISTEXT(VLOOKUP(CONCATENATE($A33,"_",E$3),'Unit List'!$A$14:$H$2841,2,FALSE)),"X",$B33)</f>
        <v/>
      </c>
      <c r="F33" s="51" t="str">
        <f>IF(ISTEXT(VLOOKUP(CONCATENATE($A33,"_",F$3),'Unit List'!$A$14:$H$2841,2,FALSE)),"X",$B33)</f>
        <v/>
      </c>
      <c r="G33" s="51" t="str">
        <f>IF(ISTEXT(VLOOKUP(CONCATENATE($A33,"_",G$3),'Unit List'!$A$14:$H$2841,2,FALSE)),"X",$B33)</f>
        <v/>
      </c>
      <c r="H33" s="51" t="str">
        <f>IF(ISTEXT(VLOOKUP(CONCATENATE($A33,"_",H$3),'Unit List'!$A$14:$H$2841,2,FALSE)),"X",$B33)</f>
        <v/>
      </c>
      <c r="I33" s="53" t="str">
        <f>IF(ISTEXT(VLOOKUP(CONCATENATE($A33,"_",I$3),'Unit List'!$A$14:$H$2841,2,FALSE)),"X",$B33)</f>
        <v/>
      </c>
      <c r="J33" s="172" t="str">
        <f>IF(ISTEXT(VLOOKUP(CONCATENATE($A33,"_",J$3),'Unit List'!$A$14:$H$2841,2,FALSE)),"+","")</f>
        <v/>
      </c>
      <c r="K33" s="51" t="str">
        <f>IF(ISTEXT(VLOOKUP(CONCATENATE($A33,"_",K$3),'Unit List'!$A$14:$H$2841,2,FALSE)),"X",$J33)</f>
        <v/>
      </c>
      <c r="L33" s="62" t="str">
        <f>IF(ISTEXT(VLOOKUP(CONCATENATE($A33,"_",L$3),'Unit List'!$A$14:$H$2841,2,FALSE)),"X",$J33)</f>
        <v/>
      </c>
      <c r="M33" s="172" t="str">
        <f>IF(ISTEXT(VLOOKUP(CONCATENATE($A33,"_",M$3),'Unit List'!$A$14:$H$2841,2,FALSE)),"+","")</f>
        <v/>
      </c>
      <c r="N33" s="51" t="str">
        <f>IF(ISTEXT(VLOOKUP(CONCATENATE($A33,"_",N$3),'Unit List'!$A$14:$H$2841,2,FALSE)),"X",$M33)</f>
        <v/>
      </c>
      <c r="O33" s="53" t="str">
        <f>IF(ISTEXT(VLOOKUP(CONCATENATE($A33,"_",O$3),'Unit List'!$A$14:$H$2841,2,FALSE)),"X",$M33)</f>
        <v/>
      </c>
      <c r="P33" s="172" t="str">
        <f>IF(ISTEXT(VLOOKUP(CONCATENATE($A33,"_",P$3),'Unit List'!$A$14:$H$2841,2,FALSE)),"+","")</f>
        <v/>
      </c>
      <c r="Q33" s="51" t="str">
        <f>IF(ISTEXT(VLOOKUP(CONCATENATE($A33,"_",Q$3),'Unit List'!$A$14:$H$2841,2,FALSE)),"X",$P33)</f>
        <v/>
      </c>
      <c r="R33" s="51" t="str">
        <f>IF(ISTEXT(VLOOKUP(CONCATENATE($A33,"_",R$3),'Unit List'!$A$14:$H$2841,2,FALSE)),"X",$P33)</f>
        <v/>
      </c>
      <c r="S33" s="51" t="str">
        <f>IF(ISTEXT(VLOOKUP(CONCATENATE($A33,"_",S$3),'Unit List'!$A$14:$H$2841,2,FALSE)),"X",$P33)</f>
        <v/>
      </c>
      <c r="T33" s="52" t="str">
        <f>IF(ISTEXT(VLOOKUP(CONCATENATE($A33,"_",T$3),'Unit List'!$A$14:$H$2841,2,FALSE)),"X",$P33)</f>
        <v/>
      </c>
      <c r="U33" s="51" t="str">
        <f>IF(ISTEXT(VLOOKUP(CONCATENATE($A33,"_",U$3),'Unit List'!$A$14:$H$2841,2,FALSE)),"X",$P33)</f>
        <v/>
      </c>
      <c r="V33" s="51" t="str">
        <f>IF(ISTEXT(VLOOKUP(CONCATENATE($A33,"_",V$3),'Unit List'!$A$14:$H$2841,2,FALSE)),"X",$P33)</f>
        <v/>
      </c>
      <c r="W33" s="53" t="str">
        <f>IF(ISTEXT(VLOOKUP(CONCATENATE($A33,"_",W$3),'Unit List'!$A$14:$H$2841,2,FALSE)),"X",$P33)</f>
        <v/>
      </c>
      <c r="X33" s="172" t="str">
        <f>IF(ISTEXT(VLOOKUP(CONCATENATE($A33,"_",X$3),'Unit List'!$A$14:$H$2841,2,FALSE)),"+","")</f>
        <v/>
      </c>
      <c r="Y33" s="51" t="str">
        <f>IF(ISTEXT(VLOOKUP(CONCATENATE($A33,"_",Y$3),'Unit List'!$A$14:$H$2841,2,FALSE)),"X",$X33)</f>
        <v/>
      </c>
      <c r="Z33" s="51" t="str">
        <f>IF(ISTEXT(VLOOKUP(CONCATENATE($A33,"_",Z$3),'Unit List'!$A$14:$H$2841,2,FALSE)),"X",$X33)</f>
        <v/>
      </c>
      <c r="AA33" s="51" t="str">
        <f>IF(ISTEXT(VLOOKUP(CONCATENATE($A33,"_",AA$3),'Unit List'!$A$14:$H$2841,2,FALSE)),"X",$X33)</f>
        <v/>
      </c>
      <c r="AB33" s="51" t="str">
        <f>IF(ISTEXT(VLOOKUP(CONCATENATE($A33,"_",AB$3),'Unit List'!$A$14:$H$2841,2,FALSE)),"X",$X33)</f>
        <v/>
      </c>
      <c r="AC33" s="62" t="str">
        <f>IF(ISTEXT(VLOOKUP(CONCATENATE($A33,"_",AC$3),'Unit List'!$A$14:$H$2841,2,FALSE)),"X",$X33)</f>
        <v/>
      </c>
      <c r="AD33" s="172" t="str">
        <f>IF(ISTEXT(VLOOKUP(CONCATENATE($A33,"_",AD$3),'Unit List'!$A$14:$H$2841,2,FALSE)),"+","")</f>
        <v/>
      </c>
      <c r="AE33" s="51" t="str">
        <f>IF(ISTEXT(VLOOKUP(CONCATENATE($A33,"_",AE$3),'Unit List'!$A$14:$H$2841,2,FALSE)),"X",$AD33)</f>
        <v/>
      </c>
      <c r="AF33" s="51" t="str">
        <f>IF(ISTEXT(VLOOKUP(CONCATENATE($A33,"_",AF$3),'Unit List'!$A$14:$H$2841,2,FALSE)),"X",$AD33)</f>
        <v/>
      </c>
      <c r="AG33" s="172" t="str">
        <f>IF(ISTEXT(VLOOKUP(CONCATENATE($A33,"_",AG$3),'Unit List'!$A$14:$H$2841,2,FALSE)),"+","")</f>
        <v/>
      </c>
      <c r="AH33" s="51" t="str">
        <f>IF(ISTEXT(VLOOKUP(CONCATENATE($A33,"_",AH$3),'Unit List'!$A$14:$H$2841,2,FALSE)),"X",$AG33)</f>
        <v/>
      </c>
      <c r="AI33" s="51" t="str">
        <f>IF(ISTEXT(VLOOKUP(CONCATENATE($A33,"_",AI$3),'Unit List'!$A$14:$H$2841,2,FALSE)),"X",$AG33)</f>
        <v/>
      </c>
      <c r="AJ33" s="53" t="str">
        <f>IF(ISTEXT(VLOOKUP(CONCATENATE($A33,"_",AJ$3),'Unit List'!$A$14:$H$2841,2,FALSE)),"X",$AG33)</f>
        <v/>
      </c>
      <c r="AK33" s="172" t="str">
        <f>IF(ISTEXT(VLOOKUP(CONCATENATE($A33,"_",AK$3),'Unit List'!$A$14:$H$2841,2,FALSE)),"+","")</f>
        <v/>
      </c>
      <c r="AL33" s="52" t="str">
        <f>IF(ISTEXT(VLOOKUP(CONCATENATE($A33,"_",AL$3),'Unit List'!$A$14:$H$2841,2,FALSE)),"X",$AK33)</f>
        <v/>
      </c>
      <c r="AM33" s="53" t="str">
        <f>IF(ISTEXT(VLOOKUP(CONCATENATE($A33,"_",AM$3),'Unit List'!$A$14:$H$2841,2,FALSE)),"X",$AK33)</f>
        <v/>
      </c>
      <c r="AN33" s="125" t="str">
        <f>IF(ISTEXT(VLOOKUP(CONCATENATE($A33,"_",AN$3),'Unit List'!$A$14:$H$2841,2,FALSE)),"+","")</f>
        <v/>
      </c>
      <c r="AO33" s="53" t="str">
        <f>IF(ISTEXT(VLOOKUP(CONCATENATE($A33,"_",AO$3),'Unit List'!$A$14:$H$2841,2,FALSE)),"X",$AN33)</f>
        <v/>
      </c>
      <c r="AP33" s="172" t="str">
        <f>IF(ISTEXT(VLOOKUP(CONCATENATE($A33,"_",AP$3),'Unit List'!$A$14:$H$2841,2,FALSE)),"+","")</f>
        <v/>
      </c>
      <c r="AQ33" s="51" t="str">
        <f>IF(ISTEXT(VLOOKUP(CONCATENATE($A33,"_",AQ$3),'Unit List'!$A$14:$H$2841,2,FALSE)),"X",$AP33)</f>
        <v/>
      </c>
      <c r="AR33" s="51" t="str">
        <f>IF(ISTEXT(VLOOKUP(CONCATENATE($A33,"_",AR$3),'Unit List'!$A$14:$H$2841,2,FALSE)),"X",$AP33)</f>
        <v/>
      </c>
      <c r="AS33" s="51" t="str">
        <f>IF(ISTEXT(VLOOKUP(CONCATENATE($A33,"_",AS$3),'Unit List'!$A$14:$H$2841,2,FALSE)),"X",$AP33)</f>
        <v/>
      </c>
      <c r="AT33" s="53" t="str">
        <f>IF(ISTEXT(VLOOKUP(CONCATENATE($A33,"_",AT$3),'Unit List'!$A$14:$H$2841,2,FALSE)),"X",$AP33)</f>
        <v/>
      </c>
      <c r="AU33" s="124" t="str">
        <f>IF(ISTEXT(VLOOKUP(CONCATENATE($A33,"_",AU$3),'Unit List'!$A$14:$H$2841,2,FALSE)),"+","")</f>
        <v/>
      </c>
      <c r="AV33" s="51" t="str">
        <f>IF(ISTEXT(VLOOKUP(CONCATENATE($A33,"_",AV$3),'Unit List'!$A$14:$H$2841,2,FALSE)),"X",$AU33)</f>
        <v/>
      </c>
      <c r="AW33" s="53" t="str">
        <f>IF(ISTEXT(VLOOKUP(CONCATENATE($A33,"_",AW$3),'Unit List'!$A$14:$H$2841,2,FALSE)),"X",$AU33)</f>
        <v/>
      </c>
      <c r="AX33" s="172" t="str">
        <f>IF(ISTEXT(VLOOKUP(CONCATENATE($A33,"_",AX$3),'Unit List'!$A$14:$H$2841,2,FALSE)),"+","")</f>
        <v/>
      </c>
      <c r="AY33" s="51" t="str">
        <f>IF(ISTEXT(VLOOKUP(CONCATENATE($A33,"_",AY$3),'Unit List'!$A$14:$H$2841,2,FALSE)),"X",$AX33)</f>
        <v/>
      </c>
      <c r="AZ33" s="53" t="str">
        <f>IF(ISTEXT(VLOOKUP(CONCATENATE($A33,"_",AZ$3),'Unit List'!$A$14:$H$2841,2,FALSE)),"X",$AX33)</f>
        <v/>
      </c>
      <c r="BA33" s="182" t="str">
        <f>IF(ISTEXT(VLOOKUP(CONCATENATE($A33,"_",BA$3),'Unit List'!$A$14:$H$2841,2,FALSE)),"+","")</f>
        <v/>
      </c>
      <c r="BB33" s="51" t="str">
        <f>IF(ISTEXT(VLOOKUP(CONCATENATE($A33,"_",BB$3),'Unit List'!$A$14:$H$2841,2,FALSE)),"X",$BA33)</f>
        <v/>
      </c>
      <c r="BC33" s="51" t="str">
        <f>IF(ISTEXT(VLOOKUP(CONCATENATE($A33,"_",BC$3),'Unit List'!$A$14:$H$2841,2,FALSE)),"X",$BA33)</f>
        <v/>
      </c>
      <c r="BD33" s="53" t="str">
        <f>IF(ISTEXT(VLOOKUP(CONCATENATE($A33,"_",BD$3),'Unit List'!$A$14:$H$2841,2,FALSE)),"X",$BA33)</f>
        <v/>
      </c>
      <c r="BE33" s="125" t="str">
        <f>IF(ISTEXT(VLOOKUP(CONCATENATE($A33,"_",BE$3),'Unit List'!$A$14:$H$2841,2,FALSE)),"+","")</f>
        <v/>
      </c>
      <c r="BF33" s="62" t="str">
        <f>IF(ISTEXT(VLOOKUP(CONCATENATE($A33,"_",BF$3),'Unit List'!$A$14:$H$2841,2,FALSE)),"X",$BE33)</f>
        <v/>
      </c>
      <c r="BG33" s="75"/>
      <c r="BH33" s="84"/>
      <c r="BI33" s="203"/>
      <c r="BJ33" s="204"/>
      <c r="BK33" s="204"/>
      <c r="BL33" s="204"/>
      <c r="BM33" s="205"/>
      <c r="BN33" s="54"/>
      <c r="BO33" s="54"/>
      <c r="BP33" s="54"/>
      <c r="BQ33" s="54"/>
      <c r="BR33" s="54"/>
      <c r="BS33" s="54"/>
      <c r="DZ33" s="55"/>
      <c r="EA33" s="55"/>
    </row>
    <row r="34" spans="1:131" ht="12.75" customHeight="1" x14ac:dyDescent="0.2">
      <c r="A34" s="56" t="s">
        <v>11</v>
      </c>
      <c r="B34" s="181" t="str">
        <f>IF(ISTEXT(VLOOKUP(CONCATENATE($A34,"_",B$3),'Unit List'!$A$14:$H$2841,2,FALSE)),"+","")</f>
        <v/>
      </c>
      <c r="C34" s="57" t="str">
        <f>IF(ISTEXT(VLOOKUP(CONCATENATE($A34,"_",C$3),'Unit List'!$A$14:$H$2841,2,FALSE)),"X",$B34)</f>
        <v/>
      </c>
      <c r="D34" s="51" t="str">
        <f>IF(ISTEXT(VLOOKUP(CONCATENATE($A34,"_",D$3),'Unit List'!$A$14:$H$2841,2,FALSE)),"X",$B34)</f>
        <v/>
      </c>
      <c r="E34" s="51" t="str">
        <f>IF(ISTEXT(VLOOKUP(CONCATENATE($A34,"_",E$3),'Unit List'!$A$14:$H$2841,2,FALSE)),"X",$B34)</f>
        <v>X</v>
      </c>
      <c r="F34" s="51" t="str">
        <f>IF(ISTEXT(VLOOKUP(CONCATENATE($A34,"_",F$3),'Unit List'!$A$14:$H$2841,2,FALSE)),"X",$B34)</f>
        <v>X</v>
      </c>
      <c r="G34" s="51" t="str">
        <f>IF(ISTEXT(VLOOKUP(CONCATENATE($A34,"_",G$3),'Unit List'!$A$14:$H$2841,2,FALSE)),"X",$B34)</f>
        <v/>
      </c>
      <c r="H34" s="67" t="str">
        <f>IF(ISTEXT(VLOOKUP(CONCATENATE($A34,"_",H$3),'Unit List'!$A$14:$H$2841,2,FALSE)),"X",$B34)</f>
        <v/>
      </c>
      <c r="I34" s="53" t="str">
        <f>IF(ISTEXT(VLOOKUP(CONCATENATE($A34,"_",I$3),'Unit List'!$A$14:$H$2841,2,FALSE)),"X",$B34)</f>
        <v/>
      </c>
      <c r="J34" s="172" t="str">
        <f>IF(ISTEXT(VLOOKUP(CONCATENATE($A34,"_",J$3),'Unit List'!$A$14:$H$2841,2,FALSE)),"+","")</f>
        <v>+</v>
      </c>
      <c r="K34" s="51" t="str">
        <f>IF(ISTEXT(VLOOKUP(CONCATENATE($A34,"_",K$3),'Unit List'!$A$14:$H$2841,2,FALSE)),"X",$J34)</f>
        <v>+</v>
      </c>
      <c r="L34" s="62" t="str">
        <f>IF(ISTEXT(VLOOKUP(CONCATENATE($A34,"_",L$3),'Unit List'!$A$14:$H$2841,2,FALSE)),"X",$J34)</f>
        <v>+</v>
      </c>
      <c r="M34" s="172" t="str">
        <f>IF(ISTEXT(VLOOKUP(CONCATENATE($A34,"_",M$3),'Unit List'!$A$14:$H$2841,2,FALSE)),"+","")</f>
        <v>+</v>
      </c>
      <c r="N34" s="51" t="str">
        <f>IF(ISTEXT(VLOOKUP(CONCATENATE($A34,"_",N$3),'Unit List'!$A$14:$H$2841,2,FALSE)),"X",$M34)</f>
        <v>+</v>
      </c>
      <c r="O34" s="53" t="str">
        <f>IF(ISTEXT(VLOOKUP(CONCATENATE($A34,"_",O$3),'Unit List'!$A$14:$H$2841,2,FALSE)),"X",$M34)</f>
        <v>X</v>
      </c>
      <c r="P34" s="172" t="str">
        <f>IF(ISTEXT(VLOOKUP(CONCATENATE($A34,"_",P$3),'Unit List'!$A$14:$H$2841,2,FALSE)),"+","")</f>
        <v/>
      </c>
      <c r="Q34" s="51" t="str">
        <f>IF(ISTEXT(VLOOKUP(CONCATENATE($A34,"_",Q$3),'Unit List'!$A$14:$H$2841,2,FALSE)),"X",$P34)</f>
        <v/>
      </c>
      <c r="R34" s="51" t="str">
        <f>IF(ISTEXT(VLOOKUP(CONCATENATE($A34,"_",R$3),'Unit List'!$A$14:$H$2841,2,FALSE)),"X",$P34)</f>
        <v/>
      </c>
      <c r="S34" s="51" t="str">
        <f>IF(ISTEXT(VLOOKUP(CONCATENATE($A34,"_",S$3),'Unit List'!$A$14:$H$2841,2,FALSE)),"X",$P34)</f>
        <v/>
      </c>
      <c r="T34" s="52" t="str">
        <f>IF(ISTEXT(VLOOKUP(CONCATENATE($A34,"_",T$3),'Unit List'!$A$14:$H$2841,2,FALSE)),"X",$P34)</f>
        <v/>
      </c>
      <c r="U34" s="51" t="str">
        <f>IF(ISTEXT(VLOOKUP(CONCATENATE($A34,"_",U$3),'Unit List'!$A$14:$H$2841,2,FALSE)),"X",$P34)</f>
        <v/>
      </c>
      <c r="V34" s="51" t="str">
        <f>IF(ISTEXT(VLOOKUP(CONCATENATE($A34,"_",V$3),'Unit List'!$A$14:$H$2841,2,FALSE)),"X",$P34)</f>
        <v/>
      </c>
      <c r="W34" s="53" t="str">
        <f>IF(ISTEXT(VLOOKUP(CONCATENATE($A34,"_",W$3),'Unit List'!$A$14:$H$2841,2,FALSE)),"X",$P34)</f>
        <v/>
      </c>
      <c r="X34" s="172" t="str">
        <f>IF(ISTEXT(VLOOKUP(CONCATENATE($A34,"_",X$3),'Unit List'!$A$14:$H$2841,2,FALSE)),"+","")</f>
        <v>+</v>
      </c>
      <c r="Y34" s="51" t="str">
        <f>IF(ISTEXT(VLOOKUP(CONCATENATE($A34,"_",Y$3),'Unit List'!$A$14:$H$2841,2,FALSE)),"X",$X34)</f>
        <v>+</v>
      </c>
      <c r="Z34" s="51" t="str">
        <f>IF(ISTEXT(VLOOKUP(CONCATENATE($A34,"_",Z$3),'Unit List'!$A$14:$H$2841,2,FALSE)),"X",$X34)</f>
        <v>+</v>
      </c>
      <c r="AA34" s="51" t="str">
        <f>IF(ISTEXT(VLOOKUP(CONCATENATE($A34,"_",AA$3),'Unit List'!$A$14:$H$2841,2,FALSE)),"X",$X34)</f>
        <v>+</v>
      </c>
      <c r="AB34" s="51" t="str">
        <f>IF(ISTEXT(VLOOKUP(CONCATENATE($A34,"_",AB$3),'Unit List'!$A$14:$H$2841,2,FALSE)),"X",$X34)</f>
        <v>+</v>
      </c>
      <c r="AC34" s="62" t="str">
        <f>IF(ISTEXT(VLOOKUP(CONCATENATE($A34,"_",AC$3),'Unit List'!$A$14:$H$2841,2,FALSE)),"X",$X34)</f>
        <v>+</v>
      </c>
      <c r="AD34" s="172" t="str">
        <f>IF(ISTEXT(VLOOKUP(CONCATENATE($A34,"_",AD$3),'Unit List'!$A$14:$H$2841,2,FALSE)),"+","")</f>
        <v/>
      </c>
      <c r="AE34" s="51" t="str">
        <f>IF(ISTEXT(VLOOKUP(CONCATENATE($A34,"_",AE$3),'Unit List'!$A$14:$H$2841,2,FALSE)),"X",$AD34)</f>
        <v/>
      </c>
      <c r="AF34" s="51" t="str">
        <f>IF(ISTEXT(VLOOKUP(CONCATENATE($A34,"_",AF$3),'Unit List'!$A$14:$H$2841,2,FALSE)),"X",$AD34)</f>
        <v/>
      </c>
      <c r="AG34" s="172" t="str">
        <f>IF(ISTEXT(VLOOKUP(CONCATENATE($A34,"_",AG$3),'Unit List'!$A$14:$H$2841,2,FALSE)),"+","")</f>
        <v>+</v>
      </c>
      <c r="AH34" s="51" t="str">
        <f>IF(ISTEXT(VLOOKUP(CONCATENATE($A34,"_",AH$3),'Unit List'!$A$14:$H$2841,2,FALSE)),"X",$AG34)</f>
        <v>+</v>
      </c>
      <c r="AI34" s="51" t="str">
        <f>IF(ISTEXT(VLOOKUP(CONCATENATE($A34,"_",AI$3),'Unit List'!$A$14:$H$2841,2,FALSE)),"X",$AG34)</f>
        <v>+</v>
      </c>
      <c r="AJ34" s="53" t="str">
        <f>IF(ISTEXT(VLOOKUP(CONCATENATE($A34,"_",AJ$3),'Unit List'!$A$14:$H$2841,2,FALSE)),"X",$AG34)</f>
        <v>+</v>
      </c>
      <c r="AK34" s="172" t="str">
        <f>IF(ISTEXT(VLOOKUP(CONCATENATE($A34,"_",AK$3),'Unit List'!$A$14:$H$2841,2,FALSE)),"+","")</f>
        <v>+</v>
      </c>
      <c r="AL34" s="52" t="str">
        <f>IF(ISTEXT(VLOOKUP(CONCATENATE($A34,"_",AL$3),'Unit List'!$A$14:$H$2841,2,FALSE)),"X",$AK34)</f>
        <v>+</v>
      </c>
      <c r="AM34" s="53" t="str">
        <f>IF(ISTEXT(VLOOKUP(CONCATENATE($A34,"_",AM$3),'Unit List'!$A$14:$H$2841,2,FALSE)),"X",$AK34)</f>
        <v>+</v>
      </c>
      <c r="AN34" s="125" t="str">
        <f>IF(ISTEXT(VLOOKUP(CONCATENATE($A34,"_",AN$3),'Unit List'!$A$14:$H$2841,2,FALSE)),"+","")</f>
        <v/>
      </c>
      <c r="AO34" s="53" t="str">
        <f>IF(ISTEXT(VLOOKUP(CONCATENATE($A34,"_",AO$3),'Unit List'!$A$14:$H$2841,2,FALSE)),"X",$AN34)</f>
        <v/>
      </c>
      <c r="AP34" s="172" t="str">
        <f>IF(ISTEXT(VLOOKUP(CONCATENATE($A34,"_",AP$3),'Unit List'!$A$14:$H$2841,2,FALSE)),"+","")</f>
        <v>+</v>
      </c>
      <c r="AQ34" s="51" t="str">
        <f>IF(ISTEXT(VLOOKUP(CONCATENATE($A34,"_",AQ$3),'Unit List'!$A$14:$H$2841,2,FALSE)),"X",$AP34)</f>
        <v>+</v>
      </c>
      <c r="AR34" s="51" t="str">
        <f>IF(ISTEXT(VLOOKUP(CONCATENATE($A34,"_",AR$3),'Unit List'!$A$14:$H$2841,2,FALSE)),"X",$AP34)</f>
        <v>+</v>
      </c>
      <c r="AS34" s="51" t="str">
        <f>IF(ISTEXT(VLOOKUP(CONCATENATE($A34,"_",AS$3),'Unit List'!$A$14:$H$2841,2,FALSE)),"X",$AP34)</f>
        <v>+</v>
      </c>
      <c r="AT34" s="53" t="str">
        <f>IF(ISTEXT(VLOOKUP(CONCATENATE($A34,"_",AT$3),'Unit List'!$A$14:$H$2841,2,FALSE)),"X",$AP34)</f>
        <v>+</v>
      </c>
      <c r="AU34" s="124" t="str">
        <f>IF(ISTEXT(VLOOKUP(CONCATENATE($A34,"_",AU$3),'Unit List'!$A$14:$H$2841,2,FALSE)),"+","")</f>
        <v>+</v>
      </c>
      <c r="AV34" s="51" t="str">
        <f>IF(ISTEXT(VLOOKUP(CONCATENATE($A34,"_",AV$3),'Unit List'!$A$14:$H$2841,2,FALSE)),"X",$AU34)</f>
        <v>+</v>
      </c>
      <c r="AW34" s="53" t="str">
        <f>IF(ISTEXT(VLOOKUP(CONCATENATE($A34,"_",AW$3),'Unit List'!$A$14:$H$2841,2,FALSE)),"X",$AU34)</f>
        <v>+</v>
      </c>
      <c r="AX34" s="172" t="str">
        <f>IF(ISTEXT(VLOOKUP(CONCATENATE($A34,"_",AX$3),'Unit List'!$A$14:$H$2841,2,FALSE)),"+","")</f>
        <v>+</v>
      </c>
      <c r="AY34" s="51" t="str">
        <f>IF(ISTEXT(VLOOKUP(CONCATENATE($A34,"_",AY$3),'Unit List'!$A$14:$H$2841,2,FALSE)),"X",$AX34)</f>
        <v>+</v>
      </c>
      <c r="AZ34" s="53" t="str">
        <f>IF(ISTEXT(VLOOKUP(CONCATENATE($A34,"_",AZ$3),'Unit List'!$A$14:$H$2841,2,FALSE)),"X",$AX34)</f>
        <v>+</v>
      </c>
      <c r="BA34" s="182" t="str">
        <f>IF(ISTEXT(VLOOKUP(CONCATENATE($A34,"_",BA$3),'Unit List'!$A$14:$H$2841,2,FALSE)),"+","")</f>
        <v>+</v>
      </c>
      <c r="BB34" s="51" t="str">
        <f>IF(ISTEXT(VLOOKUP(CONCATENATE($A34,"_",BB$3),'Unit List'!$A$14:$H$2841,2,FALSE)),"X",$BA34)</f>
        <v>+</v>
      </c>
      <c r="BC34" s="51" t="str">
        <f>IF(ISTEXT(VLOOKUP(CONCATENATE($A34,"_",BC$3),'Unit List'!$A$14:$H$2841,2,FALSE)),"X",$BA34)</f>
        <v>+</v>
      </c>
      <c r="BD34" s="53" t="str">
        <f>IF(ISTEXT(VLOOKUP(CONCATENATE($A34,"_",BD$3),'Unit List'!$A$14:$H$2841,2,FALSE)),"X",$BA34)</f>
        <v>+</v>
      </c>
      <c r="BE34" s="125" t="str">
        <f>IF(ISTEXT(VLOOKUP(CONCATENATE($A34,"_",BE$3),'Unit List'!$A$14:$H$2841,2,FALSE)),"+","")</f>
        <v>+</v>
      </c>
      <c r="BF34" s="62" t="str">
        <f>IF(ISTEXT(VLOOKUP(CONCATENATE($A34,"_",BF$3),'Unit List'!$A$14:$H$2841,2,FALSE)),"X",$BE34)</f>
        <v>+</v>
      </c>
      <c r="BG34" s="75"/>
      <c r="BH34" s="84"/>
      <c r="BI34" s="203"/>
      <c r="BJ34" s="204"/>
      <c r="BK34" s="204"/>
      <c r="BL34" s="204"/>
      <c r="BM34" s="205"/>
      <c r="BN34" s="54"/>
      <c r="BO34" s="54"/>
      <c r="BP34" s="54"/>
      <c r="BQ34" s="54"/>
      <c r="BR34" s="54"/>
      <c r="BS34" s="54"/>
      <c r="DZ34" s="55"/>
      <c r="EA34" s="55"/>
    </row>
    <row r="35" spans="1:131" ht="12.75" customHeight="1" x14ac:dyDescent="0.2">
      <c r="A35" s="56" t="s">
        <v>1144</v>
      </c>
      <c r="B35" s="181" t="str">
        <f>IF(ISTEXT(VLOOKUP(CONCATENATE($A35,"_",B$3),'Unit List'!$A$14:$H$2841,2,FALSE)),"+","")</f>
        <v/>
      </c>
      <c r="C35" s="57" t="str">
        <f>IF(ISTEXT(VLOOKUP(CONCATENATE($A35,"_",C$3),'Unit List'!$A$14:$H$2841,2,FALSE)),"X",$B35)</f>
        <v/>
      </c>
      <c r="D35" s="51" t="str">
        <f>IF(ISTEXT(VLOOKUP(CONCATENATE($A35,"_",D$3),'Unit List'!$A$14:$H$2841,2,FALSE)),"X",$B35)</f>
        <v/>
      </c>
      <c r="E35" s="51" t="str">
        <f>IF(ISTEXT(VLOOKUP(CONCATENATE($A35,"_",E$3),'Unit List'!$A$14:$H$2841,2,FALSE)),"X",$B35)</f>
        <v/>
      </c>
      <c r="F35" s="51" t="str">
        <f>IF(ISTEXT(VLOOKUP(CONCATENATE($A35,"_",F$3),'Unit List'!$A$14:$H$2841,2,FALSE)),"X",$B35)</f>
        <v/>
      </c>
      <c r="G35" s="51" t="str">
        <f>IF(ISTEXT(VLOOKUP(CONCATENATE($A35,"_",G$3),'Unit List'!$A$14:$H$2841,2,FALSE)),"X",$B35)</f>
        <v/>
      </c>
      <c r="H35" s="51" t="str">
        <f>IF(ISTEXT(VLOOKUP(CONCATENATE($A35,"_",H$3),'Unit List'!$A$14:$H$2841,2,FALSE)),"X",$B35)</f>
        <v/>
      </c>
      <c r="I35" s="53" t="str">
        <f>IF(ISTEXT(VLOOKUP(CONCATENATE($A35,"_",I$3),'Unit List'!$A$14:$H$2841,2,FALSE)),"X",$B35)</f>
        <v/>
      </c>
      <c r="J35" s="172" t="str">
        <f>IF(ISTEXT(VLOOKUP(CONCATENATE($A35,"_",J$3),'Unit List'!$A$14:$H$2841,2,FALSE)),"+","")</f>
        <v/>
      </c>
      <c r="K35" s="51" t="str">
        <f>IF(ISTEXT(VLOOKUP(CONCATENATE($A35,"_",K$3),'Unit List'!$A$14:$H$2841,2,FALSE)),"X",$J35)</f>
        <v/>
      </c>
      <c r="L35" s="62" t="str">
        <f>IF(ISTEXT(VLOOKUP(CONCATENATE($A35,"_",L$3),'Unit List'!$A$14:$H$2841,2,FALSE)),"X",$J35)</f>
        <v/>
      </c>
      <c r="M35" s="172" t="str">
        <f>IF(ISTEXT(VLOOKUP(CONCATENATE($A35,"_",M$3),'Unit List'!$A$14:$H$2841,2,FALSE)),"+","")</f>
        <v/>
      </c>
      <c r="N35" s="51" t="str">
        <f>IF(ISTEXT(VLOOKUP(CONCATENATE($A35,"_",N$3),'Unit List'!$A$14:$H$2841,2,FALSE)),"X",$M35)</f>
        <v/>
      </c>
      <c r="O35" s="53" t="str">
        <f>IF(ISTEXT(VLOOKUP(CONCATENATE($A35,"_",O$3),'Unit List'!$A$14:$H$2841,2,FALSE)),"X",$M35)</f>
        <v/>
      </c>
      <c r="P35" s="172" t="str">
        <f>IF(ISTEXT(VLOOKUP(CONCATENATE($A35,"_",P$3),'Unit List'!$A$14:$H$2841,2,FALSE)),"+","")</f>
        <v/>
      </c>
      <c r="Q35" s="51" t="str">
        <f>IF(ISTEXT(VLOOKUP(CONCATENATE($A35,"_",Q$3),'Unit List'!$A$14:$H$2841,2,FALSE)),"X",$P35)</f>
        <v/>
      </c>
      <c r="R35" s="51" t="str">
        <f>IF(ISTEXT(VLOOKUP(CONCATENATE($A35,"_",R$3),'Unit List'!$A$14:$H$2841,2,FALSE)),"X",$P35)</f>
        <v/>
      </c>
      <c r="S35" s="51" t="str">
        <f>IF(ISTEXT(VLOOKUP(CONCATENATE($A35,"_",S$3),'Unit List'!$A$14:$H$2841,2,FALSE)),"X",$P35)</f>
        <v/>
      </c>
      <c r="T35" s="52" t="str">
        <f>IF(ISTEXT(VLOOKUP(CONCATENATE($A35,"_",T$3),'Unit List'!$A$14:$H$2841,2,FALSE)),"X",$P35)</f>
        <v/>
      </c>
      <c r="U35" s="51" t="str">
        <f>IF(ISTEXT(VLOOKUP(CONCATENATE($A35,"_",U$3),'Unit List'!$A$14:$H$2841,2,FALSE)),"X",$P35)</f>
        <v/>
      </c>
      <c r="V35" s="51" t="str">
        <f>IF(ISTEXT(VLOOKUP(CONCATENATE($A35,"_",V$3),'Unit List'!$A$14:$H$2841,2,FALSE)),"X",$P35)</f>
        <v/>
      </c>
      <c r="W35" s="53" t="str">
        <f>IF(ISTEXT(VLOOKUP(CONCATENATE($A35,"_",W$3),'Unit List'!$A$14:$H$2841,2,FALSE)),"X",$P35)</f>
        <v/>
      </c>
      <c r="X35" s="172" t="str">
        <f>IF(ISTEXT(VLOOKUP(CONCATENATE($A35,"_",X$3),'Unit List'!$A$14:$H$2841,2,FALSE)),"+","")</f>
        <v/>
      </c>
      <c r="Y35" s="51" t="str">
        <f>IF(ISTEXT(VLOOKUP(CONCATENATE($A35,"_",Y$3),'Unit List'!$A$14:$H$2841,2,FALSE)),"X",$X35)</f>
        <v/>
      </c>
      <c r="Z35" s="51" t="str">
        <f>IF(ISTEXT(VLOOKUP(CONCATENATE($A35,"_",Z$3),'Unit List'!$A$14:$H$2841,2,FALSE)),"X",$X35)</f>
        <v/>
      </c>
      <c r="AA35" s="51" t="str">
        <f>IF(ISTEXT(VLOOKUP(CONCATENATE($A35,"_",AA$3),'Unit List'!$A$14:$H$2841,2,FALSE)),"X",$X35)</f>
        <v/>
      </c>
      <c r="AB35" s="51" t="str">
        <f>IF(ISTEXT(VLOOKUP(CONCATENATE($A35,"_",AB$3),'Unit List'!$A$14:$H$2841,2,FALSE)),"X",$X35)</f>
        <v/>
      </c>
      <c r="AC35" s="62" t="str">
        <f>IF(ISTEXT(VLOOKUP(CONCATENATE($A35,"_",AC$3),'Unit List'!$A$14:$H$2841,2,FALSE)),"X",$X35)</f>
        <v/>
      </c>
      <c r="AD35" s="172" t="str">
        <f>IF(ISTEXT(VLOOKUP(CONCATENATE($A35,"_",AD$3),'Unit List'!$A$14:$H$2841,2,FALSE)),"+","")</f>
        <v/>
      </c>
      <c r="AE35" s="51" t="str">
        <f>IF(ISTEXT(VLOOKUP(CONCATENATE($A35,"_",AE$3),'Unit List'!$A$14:$H$2841,2,FALSE)),"X",$AD35)</f>
        <v/>
      </c>
      <c r="AF35" s="51" t="str">
        <f>IF(ISTEXT(VLOOKUP(CONCATENATE($A35,"_",AF$3),'Unit List'!$A$14:$H$2841,2,FALSE)),"X",$AD35)</f>
        <v/>
      </c>
      <c r="AG35" s="172" t="str">
        <f>IF(ISTEXT(VLOOKUP(CONCATENATE($A35,"_",AG$3),'Unit List'!$A$14:$H$2841,2,FALSE)),"+","")</f>
        <v/>
      </c>
      <c r="AH35" s="51" t="str">
        <f>IF(ISTEXT(VLOOKUP(CONCATENATE($A35,"_",AH$3),'Unit List'!$A$14:$H$2841,2,FALSE)),"X",$AG35)</f>
        <v/>
      </c>
      <c r="AI35" s="51" t="str">
        <f>IF(ISTEXT(VLOOKUP(CONCATENATE($A35,"_",AI$3),'Unit List'!$A$14:$H$2841,2,FALSE)),"X",$AG35)</f>
        <v/>
      </c>
      <c r="AJ35" s="53" t="str">
        <f>IF(ISTEXT(VLOOKUP(CONCATENATE($A35,"_",AJ$3),'Unit List'!$A$14:$H$2841,2,FALSE)),"X",$AG35)</f>
        <v/>
      </c>
      <c r="AK35" s="172" t="str">
        <f>IF(ISTEXT(VLOOKUP(CONCATENATE($A35,"_",AK$3),'Unit List'!$A$14:$H$2841,2,FALSE)),"+","")</f>
        <v/>
      </c>
      <c r="AL35" s="52" t="str">
        <f>IF(ISTEXT(VLOOKUP(CONCATENATE($A35,"_",AL$3),'Unit List'!$A$14:$H$2841,2,FALSE)),"X",$AK35)</f>
        <v/>
      </c>
      <c r="AM35" s="53" t="str">
        <f>IF(ISTEXT(VLOOKUP(CONCATENATE($A35,"_",AM$3),'Unit List'!$A$14:$H$2841,2,FALSE)),"X",$AK35)</f>
        <v/>
      </c>
      <c r="AN35" s="125" t="str">
        <f>IF(ISTEXT(VLOOKUP(CONCATENATE($A35,"_",AN$3),'Unit List'!$A$14:$H$2841,2,FALSE)),"+","")</f>
        <v/>
      </c>
      <c r="AO35" s="53" t="str">
        <f>IF(ISTEXT(VLOOKUP(CONCATENATE($A35,"_",AO$3),'Unit List'!$A$14:$H$2841,2,FALSE)),"X",$AN35)</f>
        <v/>
      </c>
      <c r="AP35" s="172" t="str">
        <f>IF(ISTEXT(VLOOKUP(CONCATENATE($A35,"_",AP$3),'Unit List'!$A$14:$H$2841,2,FALSE)),"+","")</f>
        <v/>
      </c>
      <c r="AQ35" s="51" t="str">
        <f>IF(ISTEXT(VLOOKUP(CONCATENATE($A35,"_",AQ$3),'Unit List'!$A$14:$H$2841,2,FALSE)),"X",$AP35)</f>
        <v/>
      </c>
      <c r="AR35" s="51" t="str">
        <f>IF(ISTEXT(VLOOKUP(CONCATENATE($A35,"_",AR$3),'Unit List'!$A$14:$H$2841,2,FALSE)),"X",$AP35)</f>
        <v/>
      </c>
      <c r="AS35" s="51" t="str">
        <f>IF(ISTEXT(VLOOKUP(CONCATENATE($A35,"_",AS$3),'Unit List'!$A$14:$H$2841,2,FALSE)),"X",$AP35)</f>
        <v/>
      </c>
      <c r="AT35" s="53" t="str">
        <f>IF(ISTEXT(VLOOKUP(CONCATENATE($A35,"_",AT$3),'Unit List'!$A$14:$H$2841,2,FALSE)),"X",$AP35)</f>
        <v/>
      </c>
      <c r="AU35" s="124" t="str">
        <f>IF(ISTEXT(VLOOKUP(CONCATENATE($A35,"_",AU$3),'Unit List'!$A$14:$H$2841,2,FALSE)),"+","")</f>
        <v/>
      </c>
      <c r="AV35" s="51" t="str">
        <f>IF(ISTEXT(VLOOKUP(CONCATENATE($A35,"_",AV$3),'Unit List'!$A$14:$H$2841,2,FALSE)),"X",$AU35)</f>
        <v/>
      </c>
      <c r="AW35" s="53" t="str">
        <f>IF(ISTEXT(VLOOKUP(CONCATENATE($A35,"_",AW$3),'Unit List'!$A$14:$H$2841,2,FALSE)),"X",$AU35)</f>
        <v/>
      </c>
      <c r="AX35" s="172" t="str">
        <f>IF(ISTEXT(VLOOKUP(CONCATENATE($A35,"_",AX$3),'Unit List'!$A$14:$H$2841,2,FALSE)),"+","")</f>
        <v/>
      </c>
      <c r="AY35" s="51" t="str">
        <f>IF(ISTEXT(VLOOKUP(CONCATENATE($A35,"_",AY$3),'Unit List'!$A$14:$H$2841,2,FALSE)),"X",$AX35)</f>
        <v/>
      </c>
      <c r="AZ35" s="53" t="str">
        <f>IF(ISTEXT(VLOOKUP(CONCATENATE($A35,"_",AZ$3),'Unit List'!$A$14:$H$2841,2,FALSE)),"X",$AX35)</f>
        <v/>
      </c>
      <c r="BA35" s="182" t="str">
        <f>IF(ISTEXT(VLOOKUP(CONCATENATE($A35,"_",BA$3),'Unit List'!$A$14:$H$2841,2,FALSE)),"+","")</f>
        <v/>
      </c>
      <c r="BB35" s="51" t="str">
        <f>IF(ISTEXT(VLOOKUP(CONCATENATE($A35,"_",BB$3),'Unit List'!$A$14:$H$2841,2,FALSE)),"X",$BA35)</f>
        <v/>
      </c>
      <c r="BC35" s="51" t="str">
        <f>IF(ISTEXT(VLOOKUP(CONCATENATE($A35,"_",BC$3),'Unit List'!$A$14:$H$2841,2,FALSE)),"X",$BA35)</f>
        <v/>
      </c>
      <c r="BD35" s="53" t="str">
        <f>IF(ISTEXT(VLOOKUP(CONCATENATE($A35,"_",BD$3),'Unit List'!$A$14:$H$2841,2,FALSE)),"X",$BA35)</f>
        <v/>
      </c>
      <c r="BE35" s="125" t="str">
        <f>IF(ISTEXT(VLOOKUP(CONCATENATE($A35,"_",BE$3),'Unit List'!$A$14:$H$2841,2,FALSE)),"+","")</f>
        <v/>
      </c>
      <c r="BF35" s="62" t="str">
        <f>IF(ISTEXT(VLOOKUP(CONCATENATE($A35,"_",BF$3),'Unit List'!$A$14:$H$2841,2,FALSE)),"X",$BE35)</f>
        <v/>
      </c>
      <c r="BG35" s="75"/>
      <c r="BH35" s="84"/>
      <c r="BI35" s="203"/>
      <c r="BJ35" s="204"/>
      <c r="BK35" s="204"/>
      <c r="BL35" s="204"/>
      <c r="BM35" s="205"/>
      <c r="BN35" s="54"/>
      <c r="BO35" s="54"/>
      <c r="BP35" s="54"/>
      <c r="BQ35" s="54"/>
      <c r="BR35" s="54"/>
      <c r="BS35" s="54"/>
      <c r="DZ35" s="55"/>
      <c r="EA35" s="55"/>
    </row>
    <row r="36" spans="1:131" ht="12.75" customHeight="1" x14ac:dyDescent="0.2">
      <c r="A36" s="56" t="s">
        <v>1145</v>
      </c>
      <c r="B36" s="181" t="str">
        <f>IF(ISTEXT(VLOOKUP(CONCATENATE($A36,"_",B$3),'Unit List'!$A$14:$H$2841,2,FALSE)),"+","")</f>
        <v>+</v>
      </c>
      <c r="C36" s="57" t="str">
        <f>IF(ISTEXT(VLOOKUP(CONCATENATE($A36,"_",C$3),'Unit List'!$A$14:$H$2841,2,FALSE)),"X",$B36)</f>
        <v>X</v>
      </c>
      <c r="D36" s="51" t="str">
        <f>IF(ISTEXT(VLOOKUP(CONCATENATE($A36,"_",D$3),'Unit List'!$A$14:$H$2841,2,FALSE)),"X",$B36)</f>
        <v>X</v>
      </c>
      <c r="E36" s="51" t="str">
        <f>IF(ISTEXT(VLOOKUP(CONCATENATE($A36,"_",E$3),'Unit List'!$A$14:$H$2841,2,FALSE)),"X",$B36)</f>
        <v>X</v>
      </c>
      <c r="F36" s="51" t="str">
        <f>IF(ISTEXT(VLOOKUP(CONCATENATE($A36,"_",F$3),'Unit List'!$A$14:$H$2841,2,FALSE)),"X",$B36)</f>
        <v>X</v>
      </c>
      <c r="G36" s="51" t="str">
        <f>IF(ISTEXT(VLOOKUP(CONCATENATE($A36,"_",G$3),'Unit List'!$A$14:$H$2841,2,FALSE)),"X",$B36)</f>
        <v>+</v>
      </c>
      <c r="H36" s="67" t="str">
        <f>IF(ISTEXT(VLOOKUP(CONCATENATE($A36,"_",H$3),'Unit List'!$A$14:$H$2841,2,FALSE)),"X",$B36)</f>
        <v>X</v>
      </c>
      <c r="I36" s="53" t="str">
        <f>IF(ISTEXT(VLOOKUP(CONCATENATE($A36,"_",I$3),'Unit List'!$A$14:$H$2841,2,FALSE)),"X",$B36)</f>
        <v>+</v>
      </c>
      <c r="J36" s="171" t="str">
        <f>IF(ISTEXT(VLOOKUP(CONCATENATE($A36,"_",J$3),'Unit List'!$A$14:$H$2841,2,FALSE)),"+","")</f>
        <v/>
      </c>
      <c r="K36" s="51" t="str">
        <f>IF(ISTEXT(VLOOKUP(CONCATENATE($A36,"_",K$3),'Unit List'!$A$14:$H$2841,2,FALSE)),"X",$J36)</f>
        <v/>
      </c>
      <c r="L36" s="62" t="str">
        <f>IF(ISTEXT(VLOOKUP(CONCATENATE($A36,"_",L$3),'Unit List'!$A$14:$H$2841,2,FALSE)),"X",$J36)</f>
        <v/>
      </c>
      <c r="M36" s="171" t="str">
        <f>IF(ISTEXT(VLOOKUP(CONCATENATE($A36,"_",M$3),'Unit List'!$A$14:$H$2841,2,FALSE)),"+","")</f>
        <v>+</v>
      </c>
      <c r="N36" s="69" t="str">
        <f>IF(ISTEXT(VLOOKUP(CONCATENATE($A36,"_",N$3),'Unit List'!$A$14:$H$2841,2,FALSE)),"X",$M36)</f>
        <v>+</v>
      </c>
      <c r="O36" s="70" t="str">
        <f>IF(ISTEXT(VLOOKUP(CONCATENATE($A36,"_",O$3),'Unit List'!$A$14:$H$2841,2,FALSE)),"X",$M36)</f>
        <v>X</v>
      </c>
      <c r="P36" s="172" t="str">
        <f>IF(ISTEXT(VLOOKUP(CONCATENATE($A36,"_",P$3),'Unit List'!$A$14:$H$2841,2,FALSE)),"+","")</f>
        <v/>
      </c>
      <c r="Q36" s="51" t="str">
        <f>IF(ISTEXT(VLOOKUP(CONCATENATE($A36,"_",Q$3),'Unit List'!$A$14:$H$2841,2,FALSE)),"X",$P36)</f>
        <v/>
      </c>
      <c r="R36" s="51" t="str">
        <f>IF(ISTEXT(VLOOKUP(CONCATENATE($A36,"_",R$3),'Unit List'!$A$14:$H$2841,2,FALSE)),"X",$P36)</f>
        <v/>
      </c>
      <c r="S36" s="51" t="str">
        <f>IF(ISTEXT(VLOOKUP(CONCATENATE($A36,"_",S$3),'Unit List'!$A$14:$H$2841,2,FALSE)),"X",$P36)</f>
        <v/>
      </c>
      <c r="T36" s="52" t="str">
        <f>IF(ISTEXT(VLOOKUP(CONCATENATE($A36,"_",T$3),'Unit List'!$A$14:$H$2841,2,FALSE)),"X",$P36)</f>
        <v/>
      </c>
      <c r="U36" s="67" t="str">
        <f>IF(ISTEXT(VLOOKUP(CONCATENATE($A36,"_",U$3),'Unit List'!$A$14:$H$2841,2,FALSE)),"X",$P36)</f>
        <v>X</v>
      </c>
      <c r="V36" s="51" t="str">
        <f>IF(ISTEXT(VLOOKUP(CONCATENATE($A36,"_",V$3),'Unit List'!$A$14:$H$2841,2,FALSE)),"X",$P36)</f>
        <v/>
      </c>
      <c r="W36" s="53" t="str">
        <f>IF(ISTEXT(VLOOKUP(CONCATENATE($A36,"_",W$3),'Unit List'!$A$14:$H$2841,2,FALSE)),"X",$P36)</f>
        <v/>
      </c>
      <c r="X36" s="171" t="str">
        <f>IF(ISTEXT(VLOOKUP(CONCATENATE($A36,"_",X$3),'Unit List'!$A$14:$H$2841,2,FALSE)),"+","")</f>
        <v>+</v>
      </c>
      <c r="Y36" s="51" t="str">
        <f>IF(ISTEXT(VLOOKUP(CONCATENATE($A36,"_",Y$3),'Unit List'!$A$14:$H$2841,2,FALSE)),"X",$X36)</f>
        <v>X</v>
      </c>
      <c r="Z36" s="51" t="str">
        <f>IF(ISTEXT(VLOOKUP(CONCATENATE($A36,"_",Z$3),'Unit List'!$A$14:$H$2841,2,FALSE)),"X",$X36)</f>
        <v>+</v>
      </c>
      <c r="AA36" s="67" t="str">
        <f>IF(ISTEXT(VLOOKUP(CONCATENATE($A36,"_",AA$3),'Unit List'!$A$14:$H$2841,2,FALSE)),"X",$X36)</f>
        <v>X</v>
      </c>
      <c r="AB36" s="51" t="str">
        <f>IF(ISTEXT(VLOOKUP(CONCATENATE($A36,"_",AB$3),'Unit List'!$A$14:$H$2841,2,FALSE)),"X",$X36)</f>
        <v>+</v>
      </c>
      <c r="AC36" s="86" t="str">
        <f>IF(ISTEXT(VLOOKUP(CONCATENATE($A36,"_",AC$3),'Unit List'!$A$14:$H$2841,2,FALSE)),"X",$X36)</f>
        <v>X</v>
      </c>
      <c r="AD36" s="171" t="str">
        <f>IF(ISTEXT(VLOOKUP(CONCATENATE($A36,"_",AD$3),'Unit List'!$A$14:$H$2841,2,FALSE)),"+","")</f>
        <v>+</v>
      </c>
      <c r="AE36" s="51" t="str">
        <f>IF(ISTEXT(VLOOKUP(CONCATENATE($A36,"_",AE$3),'Unit List'!$A$14:$H$2841,2,FALSE)),"X",$AD36)</f>
        <v>+</v>
      </c>
      <c r="AF36" s="51" t="str">
        <f>IF(ISTEXT(VLOOKUP(CONCATENATE($A36,"_",AF$3),'Unit List'!$A$14:$H$2841,2,FALSE)),"X",$AD36)</f>
        <v>+</v>
      </c>
      <c r="AG36" s="171" t="str">
        <f>IF(ISTEXT(VLOOKUP(CONCATENATE($A36,"_",AG$3),'Unit List'!$A$14:$H$2841,2,FALSE)),"+","")</f>
        <v>+</v>
      </c>
      <c r="AH36" s="51" t="str">
        <f>IF(ISTEXT(VLOOKUP(CONCATENATE($A36,"_",AH$3),'Unit List'!$A$14:$H$2841,2,FALSE)),"X",$AG36)</f>
        <v>+</v>
      </c>
      <c r="AI36" s="51" t="str">
        <f>IF(ISTEXT(VLOOKUP(CONCATENATE($A36,"_",AI$3),'Unit List'!$A$14:$H$2841,2,FALSE)),"X",$AG36)</f>
        <v>+</v>
      </c>
      <c r="AJ36" s="53" t="str">
        <f>IF(ISTEXT(VLOOKUP(CONCATENATE($A36,"_",AJ$3),'Unit List'!$A$14:$H$2841,2,FALSE)),"X",$AG36)</f>
        <v>+</v>
      </c>
      <c r="AK36" s="172" t="str">
        <f>IF(ISTEXT(VLOOKUP(CONCATENATE($A36,"_",AK$3),'Unit List'!$A$14:$H$2841,2,FALSE)),"+","")</f>
        <v/>
      </c>
      <c r="AL36" s="52" t="str">
        <f>IF(ISTEXT(VLOOKUP(CONCATENATE($A36,"_",AL$3),'Unit List'!$A$14:$H$2841,2,FALSE)),"X",$AK36)</f>
        <v/>
      </c>
      <c r="AM36" s="53" t="str">
        <f>IF(ISTEXT(VLOOKUP(CONCATENATE($A36,"_",AM$3),'Unit List'!$A$14:$H$2841,2,FALSE)),"X",$AK36)</f>
        <v/>
      </c>
      <c r="AN36" s="125" t="str">
        <f>IF(ISTEXT(VLOOKUP(CONCATENATE($A36,"_",AN$3),'Unit List'!$A$14:$H$2841,2,FALSE)),"+","")</f>
        <v>+</v>
      </c>
      <c r="AO36" s="70" t="str">
        <f>IF(ISTEXT(VLOOKUP(CONCATENATE($A36,"_",AO$3),'Unit List'!$A$14:$H$2841,2,FALSE)),"X",$AN36)</f>
        <v>+</v>
      </c>
      <c r="AP36" s="172" t="str">
        <f>IF(ISTEXT(VLOOKUP(CONCATENATE($A36,"_",AP$3),'Unit List'!$A$14:$H$2841,2,FALSE)),"+","")</f>
        <v>+</v>
      </c>
      <c r="AQ36" s="69" t="str">
        <f>IF(ISTEXT(VLOOKUP(CONCATENATE($A36,"_",AQ$3),'Unit List'!$A$14:$H$2841,2,FALSE)),"X",$AP36)</f>
        <v>+</v>
      </c>
      <c r="AR36" s="51" t="str">
        <f>IF(ISTEXT(VLOOKUP(CONCATENATE($A36,"_",AR$3),'Unit List'!$A$14:$H$2841,2,FALSE)),"X",$AP36)</f>
        <v>+</v>
      </c>
      <c r="AS36" s="51" t="str">
        <f>IF(ISTEXT(VLOOKUP(CONCATENATE($A36,"_",AS$3),'Unit List'!$A$14:$H$2841,2,FALSE)),"X",$AP36)</f>
        <v>+</v>
      </c>
      <c r="AT36" s="53" t="str">
        <f>IF(ISTEXT(VLOOKUP(CONCATENATE($A36,"_",AT$3),'Unit List'!$A$14:$H$2841,2,FALSE)),"X",$AP36)</f>
        <v>+</v>
      </c>
      <c r="AU36" s="124" t="str">
        <f>IF(ISTEXT(VLOOKUP(CONCATENATE($A36,"_",AU$3),'Unit List'!$A$14:$H$2841,2,FALSE)),"+","")</f>
        <v>+</v>
      </c>
      <c r="AV36" s="51" t="str">
        <f>IF(ISTEXT(VLOOKUP(CONCATENATE($A36,"_",AV$3),'Unit List'!$A$14:$H$2841,2,FALSE)),"X",$AU36)</f>
        <v>+</v>
      </c>
      <c r="AW36" s="53" t="str">
        <f>IF(ISTEXT(VLOOKUP(CONCATENATE($A36,"_",AW$3),'Unit List'!$A$14:$H$2841,2,FALSE)),"X",$AU36)</f>
        <v>+</v>
      </c>
      <c r="AX36" s="172" t="str">
        <f>IF(ISTEXT(VLOOKUP(CONCATENATE($A36,"_",AX$3),'Unit List'!$A$14:$H$2841,2,FALSE)),"+","")</f>
        <v>+</v>
      </c>
      <c r="AY36" s="51" t="str">
        <f>IF(ISTEXT(VLOOKUP(CONCATENATE($A36,"_",AY$3),'Unit List'!$A$14:$H$2841,2,FALSE)),"X",$AX36)</f>
        <v>+</v>
      </c>
      <c r="AZ36" s="53" t="str">
        <f>IF(ISTEXT(VLOOKUP(CONCATENATE($A36,"_",AZ$3),'Unit List'!$A$14:$H$2841,2,FALSE)),"X",$AX36)</f>
        <v>+</v>
      </c>
      <c r="BA36" s="182" t="str">
        <f>IF(ISTEXT(VLOOKUP(CONCATENATE($A36,"_",BA$3),'Unit List'!$A$14:$H$2841,2,FALSE)),"+","")</f>
        <v/>
      </c>
      <c r="BB36" s="51" t="str">
        <f>IF(ISTEXT(VLOOKUP(CONCATENATE($A36,"_",BB$3),'Unit List'!$A$14:$H$2841,2,FALSE)),"X",$BA36)</f>
        <v/>
      </c>
      <c r="BC36" s="51" t="str">
        <f>IF(ISTEXT(VLOOKUP(CONCATENATE($A36,"_",BC$3),'Unit List'!$A$14:$H$2841,2,FALSE)),"X",$BA36)</f>
        <v/>
      </c>
      <c r="BD36" s="53" t="str">
        <f>IF(ISTEXT(VLOOKUP(CONCATENATE($A36,"_",BD$3),'Unit List'!$A$14:$H$2841,2,FALSE)),"X",$BA36)</f>
        <v/>
      </c>
      <c r="BE36" s="125" t="str">
        <f>IF(ISTEXT(VLOOKUP(CONCATENATE($A36,"_",BE$3),'Unit List'!$A$14:$H$2841,2,FALSE)),"+","")</f>
        <v>+</v>
      </c>
      <c r="BF36" s="62" t="str">
        <f>IF(ISTEXT(VLOOKUP(CONCATENATE($A36,"_",BF$3),'Unit List'!$A$14:$H$2841,2,FALSE)),"X",$BE36)</f>
        <v>+</v>
      </c>
      <c r="BG36" s="64"/>
      <c r="BH36" s="65" t="s">
        <v>0</v>
      </c>
      <c r="BI36" s="203"/>
      <c r="BJ36" s="204"/>
      <c r="BK36" s="204"/>
      <c r="BL36" s="204"/>
      <c r="BM36" s="205"/>
      <c r="BN36" s="54"/>
      <c r="BO36" s="54"/>
      <c r="BP36" s="54"/>
      <c r="BQ36" s="54"/>
      <c r="BR36" s="54"/>
      <c r="BS36" s="54"/>
      <c r="DZ36" s="55"/>
      <c r="EA36" s="55"/>
    </row>
    <row r="37" spans="1:131" ht="12.75" customHeight="1" x14ac:dyDescent="0.2">
      <c r="A37" s="56" t="s">
        <v>1146</v>
      </c>
      <c r="B37" s="181" t="str">
        <f>IF(ISTEXT(VLOOKUP(CONCATENATE($A37,"_",B$3),'Unit List'!$A$14:$H$2841,2,FALSE)),"+","")</f>
        <v/>
      </c>
      <c r="C37" s="93" t="str">
        <f>IF(ISTEXT(VLOOKUP(CONCATENATE($A37,"_",C$3),'Unit List'!$A$14:$H$2841,2,FALSE)),"X",$B37)</f>
        <v/>
      </c>
      <c r="D37" s="51" t="str">
        <f>IF(ISTEXT(VLOOKUP(CONCATENATE($A37,"_",D$3),'Unit List'!$A$14:$H$2841,2,FALSE)),"X",$B37)</f>
        <v/>
      </c>
      <c r="E37" s="51" t="str">
        <f>IF(ISTEXT(VLOOKUP(CONCATENATE($A37,"_",E$3),'Unit List'!$A$14:$H$2841,2,FALSE)),"X",$B37)</f>
        <v/>
      </c>
      <c r="F37" s="51" t="str">
        <f>IF(ISTEXT(VLOOKUP(CONCATENATE($A37,"_",F$3),'Unit List'!$A$14:$H$2841,2,FALSE)),"X",$B37)</f>
        <v/>
      </c>
      <c r="G37" s="51" t="str">
        <f>IF(ISTEXT(VLOOKUP(CONCATENATE($A37,"_",G$3),'Unit List'!$A$14:$H$2841,2,FALSE)),"X",$B37)</f>
        <v/>
      </c>
      <c r="H37" s="51" t="str">
        <f>IF(ISTEXT(VLOOKUP(CONCATENATE($A37,"_",H$3),'Unit List'!$A$14:$H$2841,2,FALSE)),"X",$B37)</f>
        <v/>
      </c>
      <c r="I37" s="53" t="str">
        <f>IF(ISTEXT(VLOOKUP(CONCATENATE($A37,"_",I$3),'Unit List'!$A$14:$H$2841,2,FALSE)),"X",$B37)</f>
        <v/>
      </c>
      <c r="J37" s="172" t="str">
        <f>IF(ISTEXT(VLOOKUP(CONCATENATE($A37,"_",J$3),'Unit List'!$A$14:$H$2841,2,FALSE)),"+","")</f>
        <v/>
      </c>
      <c r="K37" s="51" t="str">
        <f>IF(ISTEXT(VLOOKUP(CONCATENATE($A37,"_",K$3),'Unit List'!$A$14:$H$2841,2,FALSE)),"X",$J37)</f>
        <v/>
      </c>
      <c r="L37" s="62" t="str">
        <f>IF(ISTEXT(VLOOKUP(CONCATENATE($A37,"_",L$3),'Unit List'!$A$14:$H$2841,2,FALSE)),"X",$J37)</f>
        <v/>
      </c>
      <c r="M37" s="172" t="str">
        <f>IF(ISTEXT(VLOOKUP(CONCATENATE($A37,"_",M$3),'Unit List'!$A$14:$H$2841,2,FALSE)),"+","")</f>
        <v>+</v>
      </c>
      <c r="N37" s="51" t="str">
        <f>IF(ISTEXT(VLOOKUP(CONCATENATE($A37,"_",N$3),'Unit List'!$A$14:$H$2841,2,FALSE)),"X",$M37)</f>
        <v>+</v>
      </c>
      <c r="O37" s="61" t="str">
        <f>IF(ISTEXT(VLOOKUP(CONCATENATE($A37,"_",O$3),'Unit List'!$A$14:$H$2841,2,FALSE)),"X",$M37)</f>
        <v>+</v>
      </c>
      <c r="P37" s="172" t="str">
        <f>IF(ISTEXT(VLOOKUP(CONCATENATE($A37,"_",P$3),'Unit List'!$A$14:$H$2841,2,FALSE)),"+","")</f>
        <v/>
      </c>
      <c r="Q37" s="51" t="str">
        <f>IF(ISTEXT(VLOOKUP(CONCATENATE($A37,"_",Q$3),'Unit List'!$A$14:$H$2841,2,FALSE)),"X",$P37)</f>
        <v/>
      </c>
      <c r="R37" s="51" t="str">
        <f>IF(ISTEXT(VLOOKUP(CONCATENATE($A37,"_",R$3),'Unit List'!$A$14:$H$2841,2,FALSE)),"X",$P37)</f>
        <v/>
      </c>
      <c r="S37" s="51" t="str">
        <f>IF(ISTEXT(VLOOKUP(CONCATENATE($A37,"_",S$3),'Unit List'!$A$14:$H$2841,2,FALSE)),"X",$P37)</f>
        <v/>
      </c>
      <c r="T37" s="52" t="str">
        <f>IF(ISTEXT(VLOOKUP(CONCATENATE($A37,"_",T$3),'Unit List'!$A$14:$H$2841,2,FALSE)),"X",$P37)</f>
        <v/>
      </c>
      <c r="U37" s="51" t="str">
        <f>IF(ISTEXT(VLOOKUP(CONCATENATE($A37,"_",U$3),'Unit List'!$A$14:$H$2841,2,FALSE)),"X",$P37)</f>
        <v/>
      </c>
      <c r="V37" s="51" t="str">
        <f>IF(ISTEXT(VLOOKUP(CONCATENATE($A37,"_",V$3),'Unit List'!$A$14:$H$2841,2,FALSE)),"X",$P37)</f>
        <v/>
      </c>
      <c r="W37" s="53" t="str">
        <f>IF(ISTEXT(VLOOKUP(CONCATENATE($A37,"_",W$3),'Unit List'!$A$14:$H$2841,2,FALSE)),"X",$P37)</f>
        <v/>
      </c>
      <c r="X37" s="172" t="str">
        <f>IF(ISTEXT(VLOOKUP(CONCATENATE($A37,"_",X$3),'Unit List'!$A$14:$H$2841,2,FALSE)),"+","")</f>
        <v/>
      </c>
      <c r="Y37" s="51" t="str">
        <f>IF(ISTEXT(VLOOKUP(CONCATENATE($A37,"_",Y$3),'Unit List'!$A$14:$H$2841,2,FALSE)),"X",$X37)</f>
        <v/>
      </c>
      <c r="Z37" s="51" t="str">
        <f>IF(ISTEXT(VLOOKUP(CONCATENATE($A37,"_",Z$3),'Unit List'!$A$14:$H$2841,2,FALSE)),"X",$X37)</f>
        <v/>
      </c>
      <c r="AA37" s="51" t="str">
        <f>IF(ISTEXT(VLOOKUP(CONCATENATE($A37,"_",AA$3),'Unit List'!$A$14:$H$2841,2,FALSE)),"X",$X37)</f>
        <v/>
      </c>
      <c r="AB37" s="51" t="str">
        <f>IF(ISTEXT(VLOOKUP(CONCATENATE($A37,"_",AB$3),'Unit List'!$A$14:$H$2841,2,FALSE)),"X",$X37)</f>
        <v/>
      </c>
      <c r="AC37" s="62" t="str">
        <f>IF(ISTEXT(VLOOKUP(CONCATENATE($A37,"_",AC$3),'Unit List'!$A$14:$H$2841,2,FALSE)),"X",$X37)</f>
        <v/>
      </c>
      <c r="AD37" s="172" t="str">
        <f>IF(ISTEXT(VLOOKUP(CONCATENATE($A37,"_",AD$3),'Unit List'!$A$14:$H$2841,2,FALSE)),"+","")</f>
        <v/>
      </c>
      <c r="AE37" s="51" t="str">
        <f>IF(ISTEXT(VLOOKUP(CONCATENATE($A37,"_",AE$3),'Unit List'!$A$14:$H$2841,2,FALSE)),"X",$AD37)</f>
        <v/>
      </c>
      <c r="AF37" s="51" t="str">
        <f>IF(ISTEXT(VLOOKUP(CONCATENATE($A37,"_",AF$3),'Unit List'!$A$14:$H$2841,2,FALSE)),"X",$AD37)</f>
        <v/>
      </c>
      <c r="AG37" s="172" t="str">
        <f>IF(ISTEXT(VLOOKUP(CONCATENATE($A37,"_",AG$3),'Unit List'!$A$14:$H$2841,2,FALSE)),"+","")</f>
        <v/>
      </c>
      <c r="AH37" s="51" t="str">
        <f>IF(ISTEXT(VLOOKUP(CONCATENATE($A37,"_",AH$3),'Unit List'!$A$14:$H$2841,2,FALSE)),"X",$AG37)</f>
        <v/>
      </c>
      <c r="AI37" s="51" t="str">
        <f>IF(ISTEXT(VLOOKUP(CONCATENATE($A37,"_",AI$3),'Unit List'!$A$14:$H$2841,2,FALSE)),"X",$AG37)</f>
        <v/>
      </c>
      <c r="AJ37" s="53" t="str">
        <f>IF(ISTEXT(VLOOKUP(CONCATENATE($A37,"_",AJ$3),'Unit List'!$A$14:$H$2841,2,FALSE)),"X",$AG37)</f>
        <v/>
      </c>
      <c r="AK37" s="172" t="str">
        <f>IF(ISTEXT(VLOOKUP(CONCATENATE($A37,"_",AK$3),'Unit List'!$A$14:$H$2841,2,FALSE)),"+","")</f>
        <v>+</v>
      </c>
      <c r="AL37" s="52" t="str">
        <f>IF(ISTEXT(VLOOKUP(CONCATENATE($A37,"_",AL$3),'Unit List'!$A$14:$H$2841,2,FALSE)),"X",$AK37)</f>
        <v>+</v>
      </c>
      <c r="AM37" s="53" t="str">
        <f>IF(ISTEXT(VLOOKUP(CONCATENATE($A37,"_",AM$3),'Unit List'!$A$14:$H$2841,2,FALSE)),"X",$AK37)</f>
        <v>+</v>
      </c>
      <c r="AN37" s="125" t="str">
        <f>IF(ISTEXT(VLOOKUP(CONCATENATE($A37,"_",AN$3),'Unit List'!$A$14:$H$2841,2,FALSE)),"+","")</f>
        <v/>
      </c>
      <c r="AO37" s="53" t="str">
        <f>IF(ISTEXT(VLOOKUP(CONCATENATE($A37,"_",AO$3),'Unit List'!$A$14:$H$2841,2,FALSE)),"X",$AN37)</f>
        <v/>
      </c>
      <c r="AP37" s="172" t="str">
        <f>IF(ISTEXT(VLOOKUP(CONCATENATE($A37,"_",AP$3),'Unit List'!$A$14:$H$2841,2,FALSE)),"+","")</f>
        <v>+</v>
      </c>
      <c r="AQ37" s="51" t="str">
        <f>IF(ISTEXT(VLOOKUP(CONCATENATE($A37,"_",AQ$3),'Unit List'!$A$14:$H$2841,2,FALSE)),"X",$AP37)</f>
        <v>+</v>
      </c>
      <c r="AR37" s="51" t="str">
        <f>IF(ISTEXT(VLOOKUP(CONCATENATE($A37,"_",AR$3),'Unit List'!$A$14:$H$2841,2,FALSE)),"X",$AP37)</f>
        <v>+</v>
      </c>
      <c r="AS37" s="51" t="str">
        <f>IF(ISTEXT(VLOOKUP(CONCATENATE($A37,"_",AS$3),'Unit List'!$A$14:$H$2841,2,FALSE)),"X",$AP37)</f>
        <v>+</v>
      </c>
      <c r="AT37" s="53" t="str">
        <f>IF(ISTEXT(VLOOKUP(CONCATENATE($A37,"_",AT$3),'Unit List'!$A$14:$H$2841,2,FALSE)),"X",$AP37)</f>
        <v>+</v>
      </c>
      <c r="AU37" s="124" t="str">
        <f>IF(ISTEXT(VLOOKUP(CONCATENATE($A37,"_",AU$3),'Unit List'!$A$14:$H$2841,2,FALSE)),"+","")</f>
        <v/>
      </c>
      <c r="AV37" s="51" t="str">
        <f>IF(ISTEXT(VLOOKUP(CONCATENATE($A37,"_",AV$3),'Unit List'!$A$14:$H$2841,2,FALSE)),"X",$AU37)</f>
        <v/>
      </c>
      <c r="AW37" s="53" t="str">
        <f>IF(ISTEXT(VLOOKUP(CONCATENATE($A37,"_",AW$3),'Unit List'!$A$14:$H$2841,2,FALSE)),"X",$AU37)</f>
        <v/>
      </c>
      <c r="AX37" s="172" t="str">
        <f>IF(ISTEXT(VLOOKUP(CONCATENATE($A37,"_",AX$3),'Unit List'!$A$14:$H$2841,2,FALSE)),"+","")</f>
        <v/>
      </c>
      <c r="AY37" s="51" t="str">
        <f>IF(ISTEXT(VLOOKUP(CONCATENATE($A37,"_",AY$3),'Unit List'!$A$14:$H$2841,2,FALSE)),"X",$AX37)</f>
        <v/>
      </c>
      <c r="AZ37" s="53" t="str">
        <f>IF(ISTEXT(VLOOKUP(CONCATENATE($A37,"_",AZ$3),'Unit List'!$A$14:$H$2841,2,FALSE)),"X",$AX37)</f>
        <v/>
      </c>
      <c r="BA37" s="182" t="str">
        <f>IF(ISTEXT(VLOOKUP(CONCATENATE($A37,"_",BA$3),'Unit List'!$A$14:$H$2841,2,FALSE)),"+","")</f>
        <v/>
      </c>
      <c r="BB37" s="51" t="str">
        <f>IF(ISTEXT(VLOOKUP(CONCATENATE($A37,"_",BB$3),'Unit List'!$A$14:$H$2841,2,FALSE)),"X",$BA37)</f>
        <v/>
      </c>
      <c r="BC37" s="51" t="str">
        <f>IF(ISTEXT(VLOOKUP(CONCATENATE($A37,"_",BC$3),'Unit List'!$A$14:$H$2841,2,FALSE)),"X",$BA37)</f>
        <v/>
      </c>
      <c r="BD37" s="53" t="str">
        <f>IF(ISTEXT(VLOOKUP(CONCATENATE($A37,"_",BD$3),'Unit List'!$A$14:$H$2841,2,FALSE)),"X",$BA37)</f>
        <v/>
      </c>
      <c r="BE37" s="125" t="str">
        <f>IF(ISTEXT(VLOOKUP(CONCATENATE($A37,"_",BE$3),'Unit List'!$A$14:$H$2841,2,FALSE)),"+","")</f>
        <v/>
      </c>
      <c r="BF37" s="62" t="str">
        <f>IF(ISTEXT(VLOOKUP(CONCATENATE($A37,"_",BF$3),'Unit List'!$A$14:$H$2841,2,FALSE)),"X",$BE37)</f>
        <v/>
      </c>
      <c r="BG37" s="64"/>
      <c r="BH37" s="65" t="s">
        <v>0</v>
      </c>
      <c r="BI37" s="203"/>
      <c r="BJ37" s="204"/>
      <c r="BK37" s="204"/>
      <c r="BL37" s="204"/>
      <c r="BM37" s="205"/>
      <c r="BN37" s="54"/>
      <c r="BO37" s="54"/>
      <c r="BP37" s="54"/>
      <c r="BQ37" s="54"/>
      <c r="BR37" s="54"/>
      <c r="BS37" s="54"/>
      <c r="DZ37" s="55"/>
      <c r="EA37" s="55"/>
    </row>
    <row r="38" spans="1:131" ht="12.75" customHeight="1" x14ac:dyDescent="0.2">
      <c r="A38" s="56" t="s">
        <v>1147</v>
      </c>
      <c r="B38" s="181" t="str">
        <f>IF(ISTEXT(VLOOKUP(CONCATENATE($A38,"_",B$3),'Unit List'!$A$14:$H$2841,2,FALSE)),"+","")</f>
        <v/>
      </c>
      <c r="C38" s="57" t="str">
        <f>IF(ISTEXT(VLOOKUP(CONCATENATE($A38,"_",C$3),'Unit List'!$A$14:$H$2841,2,FALSE)),"X",$B38)</f>
        <v/>
      </c>
      <c r="D38" s="51" t="str">
        <f>IF(ISTEXT(VLOOKUP(CONCATENATE($A38,"_",D$3),'Unit List'!$A$14:$H$2841,2,FALSE)),"X",$B38)</f>
        <v/>
      </c>
      <c r="E38" s="51" t="str">
        <f>IF(ISTEXT(VLOOKUP(CONCATENATE($A38,"_",E$3),'Unit List'!$A$14:$H$2841,2,FALSE)),"X",$B38)</f>
        <v/>
      </c>
      <c r="F38" s="51" t="str">
        <f>IF(ISTEXT(VLOOKUP(CONCATENATE($A38,"_",F$3),'Unit List'!$A$14:$H$2841,2,FALSE)),"X",$B38)</f>
        <v/>
      </c>
      <c r="G38" s="67" t="str">
        <f>IF(ISTEXT(VLOOKUP(CONCATENATE($A38,"_",G$3),'Unit List'!$A$14:$H$2841,2,FALSE)),"X",$B38)</f>
        <v>X</v>
      </c>
      <c r="H38" s="51" t="str">
        <f>IF(ISTEXT(VLOOKUP(CONCATENATE($A38,"_",H$3),'Unit List'!$A$14:$H$2841,2,FALSE)),"X",$B38)</f>
        <v>X</v>
      </c>
      <c r="I38" s="53" t="str">
        <f>IF(ISTEXT(VLOOKUP(CONCATENATE($A38,"_",I$3),'Unit List'!$A$14:$H$2841,2,FALSE)),"X",$B38)</f>
        <v/>
      </c>
      <c r="J38" s="172" t="str">
        <f>IF(ISTEXT(VLOOKUP(CONCATENATE($A38,"_",J$3),'Unit List'!$A$14:$H$2841,2,FALSE)),"+","")</f>
        <v/>
      </c>
      <c r="K38" s="51" t="str">
        <f>IF(ISTEXT(VLOOKUP(CONCATENATE($A38,"_",K$3),'Unit List'!$A$14:$H$2841,2,FALSE)),"X",$J38)</f>
        <v/>
      </c>
      <c r="L38" s="62" t="str">
        <f>IF(ISTEXT(VLOOKUP(CONCATENATE($A38,"_",L$3),'Unit List'!$A$14:$H$2841,2,FALSE)),"X",$J38)</f>
        <v/>
      </c>
      <c r="M38" s="172" t="str">
        <f>IF(ISTEXT(VLOOKUP(CONCATENATE($A38,"_",M$3),'Unit List'!$A$14:$H$2841,2,FALSE)),"+","")</f>
        <v/>
      </c>
      <c r="N38" s="51" t="str">
        <f>IF(ISTEXT(VLOOKUP(CONCATENATE($A38,"_",N$3),'Unit List'!$A$14:$H$2841,2,FALSE)),"X",$M38)</f>
        <v/>
      </c>
      <c r="O38" s="53" t="str">
        <f>IF(ISTEXT(VLOOKUP(CONCATENATE($A38,"_",O$3),'Unit List'!$A$14:$H$2841,2,FALSE)),"X",$M38)</f>
        <v/>
      </c>
      <c r="P38" s="172" t="str">
        <f>IF(ISTEXT(VLOOKUP(CONCATENATE($A38,"_",P$3),'Unit List'!$A$14:$H$2841,2,FALSE)),"+","")</f>
        <v/>
      </c>
      <c r="Q38" s="51" t="str">
        <f>IF(ISTEXT(VLOOKUP(CONCATENATE($A38,"_",Q$3),'Unit List'!$A$14:$H$2841,2,FALSE)),"X",$P38)</f>
        <v/>
      </c>
      <c r="R38" s="51" t="str">
        <f>IF(ISTEXT(VLOOKUP(CONCATENATE($A38,"_",R$3),'Unit List'!$A$14:$H$2841,2,FALSE)),"X",$P38)</f>
        <v/>
      </c>
      <c r="S38" s="51" t="str">
        <f>IF(ISTEXT(VLOOKUP(CONCATENATE($A38,"_",S$3),'Unit List'!$A$14:$H$2841,2,FALSE)),"X",$P38)</f>
        <v/>
      </c>
      <c r="T38" s="52" t="str">
        <f>IF(ISTEXT(VLOOKUP(CONCATENATE($A38,"_",T$3),'Unit List'!$A$14:$H$2841,2,FALSE)),"X",$P38)</f>
        <v/>
      </c>
      <c r="U38" s="51" t="str">
        <f>IF(ISTEXT(VLOOKUP(CONCATENATE($A38,"_",U$3),'Unit List'!$A$14:$H$2841,2,FALSE)),"X",$P38)</f>
        <v/>
      </c>
      <c r="V38" s="67" t="str">
        <f>IF(ISTEXT(VLOOKUP(CONCATENATE($A38,"_",V$3),'Unit List'!$A$14:$H$2841,2,FALSE)),"X",$P38)</f>
        <v>X</v>
      </c>
      <c r="W38" s="53" t="str">
        <f>IF(ISTEXT(VLOOKUP(CONCATENATE($A38,"_",W$3),'Unit List'!$A$14:$H$2841,2,FALSE)),"X",$P38)</f>
        <v/>
      </c>
      <c r="X38" s="172" t="str">
        <f>IF(ISTEXT(VLOOKUP(CONCATENATE($A38,"_",X$3),'Unit List'!$A$14:$H$2841,2,FALSE)),"+","")</f>
        <v>+</v>
      </c>
      <c r="Y38" s="51" t="str">
        <f>IF(ISTEXT(VLOOKUP(CONCATENATE($A38,"_",Y$3),'Unit List'!$A$14:$H$2841,2,FALSE)),"X",$X38)</f>
        <v>+</v>
      </c>
      <c r="Z38" s="51" t="str">
        <f>IF(ISTEXT(VLOOKUP(CONCATENATE($A38,"_",Z$3),'Unit List'!$A$14:$H$2841,2,FALSE)),"X",$X38)</f>
        <v>+</v>
      </c>
      <c r="AA38" s="51" t="str">
        <f>IF(ISTEXT(VLOOKUP(CONCATENATE($A38,"_",AA$3),'Unit List'!$A$14:$H$2841,2,FALSE)),"X",$X38)</f>
        <v>+</v>
      </c>
      <c r="AB38" s="51" t="str">
        <f>IF(ISTEXT(VLOOKUP(CONCATENATE($A38,"_",AB$3),'Unit List'!$A$14:$H$2841,2,FALSE)),"X",$X38)</f>
        <v>+</v>
      </c>
      <c r="AC38" s="62" t="str">
        <f>IF(ISTEXT(VLOOKUP(CONCATENATE($A38,"_",AC$3),'Unit List'!$A$14:$H$2841,2,FALSE)),"X",$X38)</f>
        <v>+</v>
      </c>
      <c r="AD38" s="172" t="str">
        <f>IF(ISTEXT(VLOOKUP(CONCATENATE($A38,"_",AD$3),'Unit List'!$A$14:$H$2841,2,FALSE)),"+","")</f>
        <v/>
      </c>
      <c r="AE38" s="51" t="str">
        <f>IF(ISTEXT(VLOOKUP(CONCATENATE($A38,"_",AE$3),'Unit List'!$A$14:$H$2841,2,FALSE)),"X",$AD38)</f>
        <v/>
      </c>
      <c r="AF38" s="51" t="str">
        <f>IF(ISTEXT(VLOOKUP(CONCATENATE($A38,"_",AF$3),'Unit List'!$A$14:$H$2841,2,FALSE)),"X",$AD38)</f>
        <v/>
      </c>
      <c r="AG38" s="172" t="str">
        <f>IF(ISTEXT(VLOOKUP(CONCATENATE($A38,"_",AG$3),'Unit List'!$A$14:$H$2841,2,FALSE)),"+","")</f>
        <v/>
      </c>
      <c r="AH38" s="51" t="str">
        <f>IF(ISTEXT(VLOOKUP(CONCATENATE($A38,"_",AH$3),'Unit List'!$A$14:$H$2841,2,FALSE)),"X",$AG38)</f>
        <v/>
      </c>
      <c r="AI38" s="51" t="str">
        <f>IF(ISTEXT(VLOOKUP(CONCATENATE($A38,"_",AI$3),'Unit List'!$A$14:$H$2841,2,FALSE)),"X",$AG38)</f>
        <v/>
      </c>
      <c r="AJ38" s="53" t="str">
        <f>IF(ISTEXT(VLOOKUP(CONCATENATE($A38,"_",AJ$3),'Unit List'!$A$14:$H$2841,2,FALSE)),"X",$AG38)</f>
        <v/>
      </c>
      <c r="AK38" s="172" t="str">
        <f>IF(ISTEXT(VLOOKUP(CONCATENATE($A38,"_",AK$3),'Unit List'!$A$14:$H$2841,2,FALSE)),"+","")</f>
        <v/>
      </c>
      <c r="AL38" s="52" t="str">
        <f>IF(ISTEXT(VLOOKUP(CONCATENATE($A38,"_",AL$3),'Unit List'!$A$14:$H$2841,2,FALSE)),"X",$AK38)</f>
        <v/>
      </c>
      <c r="AM38" s="53" t="str">
        <f>IF(ISTEXT(VLOOKUP(CONCATENATE($A38,"_",AM$3),'Unit List'!$A$14:$H$2841,2,FALSE)),"X",$AK38)</f>
        <v/>
      </c>
      <c r="AN38" s="125" t="str">
        <f>IF(ISTEXT(VLOOKUP(CONCATENATE($A38,"_",AN$3),'Unit List'!$A$14:$H$2841,2,FALSE)),"+","")</f>
        <v/>
      </c>
      <c r="AO38" s="53" t="str">
        <f>IF(ISTEXT(VLOOKUP(CONCATENATE($A38,"_",AO$3),'Unit List'!$A$14:$H$2841,2,FALSE)),"X",$AN38)</f>
        <v/>
      </c>
      <c r="AP38" s="172" t="str">
        <f>IF(ISTEXT(VLOOKUP(CONCATENATE($A38,"_",AP$3),'Unit List'!$A$14:$H$2841,2,FALSE)),"+","")</f>
        <v/>
      </c>
      <c r="AQ38" s="51" t="str">
        <f>IF(ISTEXT(VLOOKUP(CONCATENATE($A38,"_",AQ$3),'Unit List'!$A$14:$H$2841,2,FALSE)),"X",$AP38)</f>
        <v/>
      </c>
      <c r="AR38" s="51" t="str">
        <f>IF(ISTEXT(VLOOKUP(CONCATENATE($A38,"_",AR$3),'Unit List'!$A$14:$H$2841,2,FALSE)),"X",$AP38)</f>
        <v/>
      </c>
      <c r="AS38" s="51" t="str">
        <f>IF(ISTEXT(VLOOKUP(CONCATENATE($A38,"_",AS$3),'Unit List'!$A$14:$H$2841,2,FALSE)),"X",$AP38)</f>
        <v/>
      </c>
      <c r="AT38" s="53" t="str">
        <f>IF(ISTEXT(VLOOKUP(CONCATENATE($A38,"_",AT$3),'Unit List'!$A$14:$H$2841,2,FALSE)),"X",$AP38)</f>
        <v/>
      </c>
      <c r="AU38" s="124" t="str">
        <f>IF(ISTEXT(VLOOKUP(CONCATENATE($A38,"_",AU$3),'Unit List'!$A$14:$H$2841,2,FALSE)),"+","")</f>
        <v/>
      </c>
      <c r="AV38" s="51" t="str">
        <f>IF(ISTEXT(VLOOKUP(CONCATENATE($A38,"_",AV$3),'Unit List'!$A$14:$H$2841,2,FALSE)),"X",$AU38)</f>
        <v/>
      </c>
      <c r="AW38" s="53" t="str">
        <f>IF(ISTEXT(VLOOKUP(CONCATENATE($A38,"_",AW$3),'Unit List'!$A$14:$H$2841,2,FALSE)),"X",$AU38)</f>
        <v/>
      </c>
      <c r="AX38" s="172" t="str">
        <f>IF(ISTEXT(VLOOKUP(CONCATENATE($A38,"_",AX$3),'Unit List'!$A$14:$H$2841,2,FALSE)),"+","")</f>
        <v/>
      </c>
      <c r="AY38" s="51" t="str">
        <f>IF(ISTEXT(VLOOKUP(CONCATENATE($A38,"_",AY$3),'Unit List'!$A$14:$H$2841,2,FALSE)),"X",$AX38)</f>
        <v/>
      </c>
      <c r="AZ38" s="53" t="str">
        <f>IF(ISTEXT(VLOOKUP(CONCATENATE($A38,"_",AZ$3),'Unit List'!$A$14:$H$2841,2,FALSE)),"X",$AX38)</f>
        <v/>
      </c>
      <c r="BA38" s="182" t="str">
        <f>IF(ISTEXT(VLOOKUP(CONCATENATE($A38,"_",BA$3),'Unit List'!$A$14:$H$2841,2,FALSE)),"+","")</f>
        <v>+</v>
      </c>
      <c r="BB38" s="51" t="str">
        <f>IF(ISTEXT(VLOOKUP(CONCATENATE($A38,"_",BB$3),'Unit List'!$A$14:$H$2841,2,FALSE)),"X",$BA38)</f>
        <v>+</v>
      </c>
      <c r="BC38" s="51" t="str">
        <f>IF(ISTEXT(VLOOKUP(CONCATENATE($A38,"_",BC$3),'Unit List'!$A$14:$H$2841,2,FALSE)),"X",$BA38)</f>
        <v>+</v>
      </c>
      <c r="BD38" s="53" t="str">
        <f>IF(ISTEXT(VLOOKUP(CONCATENATE($A38,"_",BD$3),'Unit List'!$A$14:$H$2841,2,FALSE)),"X",$BA38)</f>
        <v>+</v>
      </c>
      <c r="BE38" s="125" t="str">
        <f>IF(ISTEXT(VLOOKUP(CONCATENATE($A38,"_",BE$3),'Unit List'!$A$14:$H$2841,2,FALSE)),"+","")</f>
        <v/>
      </c>
      <c r="BF38" s="62" t="str">
        <f>IF(ISTEXT(VLOOKUP(CONCATENATE($A38,"_",BF$3),'Unit List'!$A$14:$H$2841,2,FALSE)),"X",$BE38)</f>
        <v/>
      </c>
      <c r="BG38" s="64"/>
      <c r="BH38" s="65" t="s">
        <v>0</v>
      </c>
      <c r="BI38" s="203"/>
      <c r="BJ38" s="204"/>
      <c r="BK38" s="204"/>
      <c r="BL38" s="204"/>
      <c r="BM38" s="205"/>
      <c r="BN38" s="54"/>
      <c r="BO38" s="54"/>
      <c r="BP38" s="54"/>
      <c r="BQ38" s="54"/>
      <c r="BR38" s="54"/>
      <c r="BS38" s="54"/>
      <c r="DZ38" s="55"/>
      <c r="EA38" s="55"/>
    </row>
    <row r="39" spans="1:131" ht="12.75" customHeight="1" x14ac:dyDescent="0.2">
      <c r="A39" s="56" t="s">
        <v>1148</v>
      </c>
      <c r="B39" s="181" t="str">
        <f>IF(ISTEXT(VLOOKUP(CONCATENATE($A39,"_",B$3),'Unit List'!$A$14:$H$2841,2,FALSE)),"+","")</f>
        <v/>
      </c>
      <c r="C39" s="82" t="str">
        <f>IF(ISTEXT(VLOOKUP(CONCATENATE($A39,"_",C$3),'Unit List'!$A$14:$H$2841,2,FALSE)),"X",$B39)</f>
        <v>X</v>
      </c>
      <c r="D39" s="51" t="str">
        <f>IF(ISTEXT(VLOOKUP(CONCATENATE($A39,"_",D$3),'Unit List'!$A$14:$H$2841,2,FALSE)),"X",$B39)</f>
        <v>X</v>
      </c>
      <c r="E39" s="51" t="str">
        <f>IF(ISTEXT(VLOOKUP(CONCATENATE($A39,"_",E$3),'Unit List'!$A$14:$H$2841,2,FALSE)),"X",$B39)</f>
        <v>X</v>
      </c>
      <c r="F39" s="67" t="str">
        <f>IF(ISTEXT(VLOOKUP(CONCATENATE($A39,"_",F$3),'Unit List'!$A$14:$H$2841,2,FALSE)),"X",$B39)</f>
        <v>X</v>
      </c>
      <c r="G39" s="67" t="str">
        <f>IF(ISTEXT(VLOOKUP(CONCATENATE($A39,"_",G$3),'Unit List'!$A$14:$H$2841,2,FALSE)),"X",$B39)</f>
        <v>X</v>
      </c>
      <c r="H39" s="67" t="str">
        <f>IF(ISTEXT(VLOOKUP(CONCATENATE($A39,"_",H$3),'Unit List'!$A$14:$H$2841,2,FALSE)),"X",$B39)</f>
        <v>X</v>
      </c>
      <c r="I39" s="53" t="str">
        <f>IF(ISTEXT(VLOOKUP(CONCATENATE($A39,"_",I$3),'Unit List'!$A$14:$H$2841,2,FALSE)),"X",$B39)</f>
        <v>X</v>
      </c>
      <c r="J39" s="171" t="str">
        <f>IF(ISTEXT(VLOOKUP(CONCATENATE($A39,"_",J$3),'Unit List'!$A$14:$H$2841,2,FALSE)),"+","")</f>
        <v/>
      </c>
      <c r="K39" s="51" t="str">
        <f>IF(ISTEXT(VLOOKUP(CONCATENATE($A39,"_",K$3),'Unit List'!$A$14:$H$2841,2,FALSE)),"X",$J39)</f>
        <v/>
      </c>
      <c r="L39" s="62" t="str">
        <f>IF(ISTEXT(VLOOKUP(CONCATENATE($A39,"_",L$3),'Unit List'!$A$14:$H$2841,2,FALSE)),"X",$J39)</f>
        <v/>
      </c>
      <c r="M39" s="171" t="str">
        <f>IF(ISTEXT(VLOOKUP(CONCATENATE($A39,"_",M$3),'Unit List'!$A$14:$H$2841,2,FALSE)),"+","")</f>
        <v>+</v>
      </c>
      <c r="N39" s="69" t="str">
        <f>IF(ISTEXT(VLOOKUP(CONCATENATE($A39,"_",N$3),'Unit List'!$A$14:$H$2841,2,FALSE)),"X",$M39)</f>
        <v>+</v>
      </c>
      <c r="O39" s="73" t="str">
        <f>IF(ISTEXT(VLOOKUP(CONCATENATE($A39,"_",O$3),'Unit List'!$A$14:$H$2841,2,FALSE)),"X",$M39)</f>
        <v>X</v>
      </c>
      <c r="P39" s="172" t="str">
        <f>IF(ISTEXT(VLOOKUP(CONCATENATE($A39,"_",P$3),'Unit List'!$A$14:$H$2841,2,FALSE)),"+","")</f>
        <v/>
      </c>
      <c r="Q39" s="51" t="str">
        <f>IF(ISTEXT(VLOOKUP(CONCATENATE($A39,"_",Q$3),'Unit List'!$A$14:$H$2841,2,FALSE)),"X",$P39)</f>
        <v/>
      </c>
      <c r="R39" s="51" t="str">
        <f>IF(ISTEXT(VLOOKUP(CONCATENATE($A39,"_",R$3),'Unit List'!$A$14:$H$2841,2,FALSE)),"X",$P39)</f>
        <v/>
      </c>
      <c r="S39" s="51" t="str">
        <f>IF(ISTEXT(VLOOKUP(CONCATENATE($A39,"_",S$3),'Unit List'!$A$14:$H$2841,2,FALSE)),"X",$P39)</f>
        <v>X</v>
      </c>
      <c r="T39" s="52" t="str">
        <f>IF(ISTEXT(VLOOKUP(CONCATENATE($A39,"_",T$3),'Unit List'!$A$14:$H$2841,2,FALSE)),"X",$P39)</f>
        <v/>
      </c>
      <c r="U39" s="67" t="str">
        <f>IF(ISTEXT(VLOOKUP(CONCATENATE($A39,"_",U$3),'Unit List'!$A$14:$H$2841,2,FALSE)),"X",$P39)</f>
        <v>X</v>
      </c>
      <c r="V39" s="51" t="str">
        <f>IF(ISTEXT(VLOOKUP(CONCATENATE($A39,"_",V$3),'Unit List'!$A$14:$H$2841,2,FALSE)),"X",$P39)</f>
        <v/>
      </c>
      <c r="W39" s="53" t="str">
        <f>IF(ISTEXT(VLOOKUP(CONCATENATE($A39,"_",W$3),'Unit List'!$A$14:$H$2841,2,FALSE)),"X",$P39)</f>
        <v/>
      </c>
      <c r="X39" s="171" t="str">
        <f>IF(ISTEXT(VLOOKUP(CONCATENATE($A39,"_",X$3),'Unit List'!$A$14:$H$2841,2,FALSE)),"+","")</f>
        <v>+</v>
      </c>
      <c r="Y39" s="67" t="str">
        <f>IF(ISTEXT(VLOOKUP(CONCATENATE($A39,"_",Y$3),'Unit List'!$A$14:$H$2841,2,FALSE)),"X",$X39)</f>
        <v>X</v>
      </c>
      <c r="Z39" s="51" t="str">
        <f>IF(ISTEXT(VLOOKUP(CONCATENATE($A39,"_",Z$3),'Unit List'!$A$14:$H$2841,2,FALSE)),"X",$X39)</f>
        <v>+</v>
      </c>
      <c r="AA39" s="67" t="str">
        <f>IF(ISTEXT(VLOOKUP(CONCATENATE($A39,"_",AA$3),'Unit List'!$A$14:$H$2841,2,FALSE)),"X",$X39)</f>
        <v>X</v>
      </c>
      <c r="AB39" s="67" t="str">
        <f>IF(ISTEXT(VLOOKUP(CONCATENATE($A39,"_",AB$3),'Unit List'!$A$14:$H$2841,2,FALSE)),"X",$X39)</f>
        <v>X</v>
      </c>
      <c r="AC39" s="68" t="str">
        <f>IF(ISTEXT(VLOOKUP(CONCATENATE($A39,"_",AC$3),'Unit List'!$A$14:$H$2841,2,FALSE)),"X",$X39)</f>
        <v>X</v>
      </c>
      <c r="AD39" s="171" t="str">
        <f>IF(ISTEXT(VLOOKUP(CONCATENATE($A39,"_",AD$3),'Unit List'!$A$14:$H$2841,2,FALSE)),"+","")</f>
        <v>+</v>
      </c>
      <c r="AE39" s="51" t="str">
        <f>IF(ISTEXT(VLOOKUP(CONCATENATE($A39,"_",AE$3),'Unit List'!$A$14:$H$2841,2,FALSE)),"X",$AD39)</f>
        <v>+</v>
      </c>
      <c r="AF39" s="51" t="str">
        <f>IF(ISTEXT(VLOOKUP(CONCATENATE($A39,"_",AF$3),'Unit List'!$A$14:$H$2841,2,FALSE)),"X",$AD39)</f>
        <v>+</v>
      </c>
      <c r="AG39" s="171" t="str">
        <f>IF(ISTEXT(VLOOKUP(CONCATENATE($A39,"_",AG$3),'Unit List'!$A$14:$H$2841,2,FALSE)),"+","")</f>
        <v>+</v>
      </c>
      <c r="AH39" s="67" t="str">
        <f>IF(ISTEXT(VLOOKUP(CONCATENATE($A39,"_",AH$3),'Unit List'!$A$14:$H$2841,2,FALSE)),"X",$AG39)</f>
        <v>X</v>
      </c>
      <c r="AI39" s="67" t="str">
        <f>IF(ISTEXT(VLOOKUP(CONCATENATE($A39,"_",AI$3),'Unit List'!$A$14:$H$2841,2,FALSE)),"X",$AG39)</f>
        <v>X</v>
      </c>
      <c r="AJ39" s="71" t="str">
        <f>IF(ISTEXT(VLOOKUP(CONCATENATE($A39,"_",AJ$3),'Unit List'!$A$14:$H$2841,2,FALSE)),"X",$AG39)</f>
        <v>+</v>
      </c>
      <c r="AK39" s="171" t="str">
        <f>IF(ISTEXT(VLOOKUP(CONCATENATE($A39,"_",AK$3),'Unit List'!$A$14:$H$2841,2,FALSE)),"+","")</f>
        <v>+</v>
      </c>
      <c r="AL39" s="52" t="str">
        <f>IF(ISTEXT(VLOOKUP(CONCATENATE($A39,"_",AL$3),'Unit List'!$A$14:$H$2841,2,FALSE)),"X",$AK39)</f>
        <v>+</v>
      </c>
      <c r="AM39" s="71" t="str">
        <f>IF(ISTEXT(VLOOKUP(CONCATENATE($A39,"_",AM$3),'Unit List'!$A$14:$H$2841,2,FALSE)),"X",$AK39)</f>
        <v>X</v>
      </c>
      <c r="AN39" s="125" t="str">
        <f>IF(ISTEXT(VLOOKUP(CONCATENATE($A39,"_",AN$3),'Unit List'!$A$14:$H$2841,2,FALSE)),"+","")</f>
        <v>+</v>
      </c>
      <c r="AO39" s="70" t="str">
        <f>IF(ISTEXT(VLOOKUP(CONCATENATE($A39,"_",AO$3),'Unit List'!$A$14:$H$2841,2,FALSE)),"X",$AN39)</f>
        <v>X</v>
      </c>
      <c r="AP39" s="171" t="str">
        <f>IF(ISTEXT(VLOOKUP(CONCATENATE($A39,"_",AP$3),'Unit List'!$A$14:$H$2841,2,FALSE)),"+","")</f>
        <v>+</v>
      </c>
      <c r="AQ39" s="67" t="str">
        <f>IF(ISTEXT(VLOOKUP(CONCATENATE($A39,"_",AQ$3),'Unit List'!$A$14:$H$2841,2,FALSE)),"X",$AP39)</f>
        <v>X</v>
      </c>
      <c r="AR39" s="51" t="str">
        <f>IF(ISTEXT(VLOOKUP(CONCATENATE($A39,"_",AR$3),'Unit List'!$A$14:$H$2841,2,FALSE)),"X",$AP39)</f>
        <v>+</v>
      </c>
      <c r="AS39" s="51" t="str">
        <f>IF(ISTEXT(VLOOKUP(CONCATENATE($A39,"_",AS$3),'Unit List'!$A$14:$H$2841,2,FALSE)),"X",$AP39)</f>
        <v>+</v>
      </c>
      <c r="AT39" s="70" t="str">
        <f>IF(ISTEXT(VLOOKUP(CONCATENATE($A39,"_",AT$3),'Unit List'!$A$14:$H$2841,2,FALSE)),"X",$AP39)</f>
        <v>X</v>
      </c>
      <c r="AU39" s="124" t="str">
        <f>IF(ISTEXT(VLOOKUP(CONCATENATE($A39,"_",AU$3),'Unit List'!$A$14:$H$2841,2,FALSE)),"+","")</f>
        <v>+</v>
      </c>
      <c r="AV39" s="51" t="str">
        <f>IF(ISTEXT(VLOOKUP(CONCATENATE($A39,"_",AV$3),'Unit List'!$A$14:$H$2841,2,FALSE)),"X",$AU39)</f>
        <v>+</v>
      </c>
      <c r="AW39" s="70" t="str">
        <f>IF(ISTEXT(VLOOKUP(CONCATENATE($A39,"_",AW$3),'Unit List'!$A$14:$H$2841,2,FALSE)),"X",$AU39)</f>
        <v>X</v>
      </c>
      <c r="AX39" s="172" t="str">
        <f>IF(ISTEXT(VLOOKUP(CONCATENATE($A39,"_",AX$3),'Unit List'!$A$14:$H$2841,2,FALSE)),"+","")</f>
        <v>+</v>
      </c>
      <c r="AY39" s="51" t="str">
        <f>IF(ISTEXT(VLOOKUP(CONCATENATE($A39,"_",AY$3),'Unit List'!$A$14:$H$2841,2,FALSE)),"X",$AX39)</f>
        <v>+</v>
      </c>
      <c r="AZ39" s="53" t="str">
        <f>IF(ISTEXT(VLOOKUP(CONCATENATE($A39,"_",AZ$3),'Unit List'!$A$14:$H$2841,2,FALSE)),"X",$AX39)</f>
        <v>+</v>
      </c>
      <c r="BA39" s="182" t="str">
        <f>IF(ISTEXT(VLOOKUP(CONCATENATE($A39,"_",BA$3),'Unit List'!$A$14:$H$2841,2,FALSE)),"+","")</f>
        <v/>
      </c>
      <c r="BB39" s="51" t="str">
        <f>IF(ISTEXT(VLOOKUP(CONCATENATE($A39,"_",BB$3),'Unit List'!$A$14:$H$2841,2,FALSE)),"X",$BA39)</f>
        <v/>
      </c>
      <c r="BC39" s="67" t="str">
        <f>IF(ISTEXT(VLOOKUP(CONCATENATE($A39,"_",BC$3),'Unit List'!$A$14:$H$2841,2,FALSE)),"X",$BA39)</f>
        <v>X</v>
      </c>
      <c r="BD39" s="53" t="str">
        <f>IF(ISTEXT(VLOOKUP(CONCATENATE($A39,"_",BD$3),'Unit List'!$A$14:$H$2841,2,FALSE)),"X",$BA39)</f>
        <v/>
      </c>
      <c r="BE39" s="125" t="str">
        <f>IF(ISTEXT(VLOOKUP(CONCATENATE($A39,"_",BE$3),'Unit List'!$A$14:$H$2841,2,FALSE)),"+","")</f>
        <v>+</v>
      </c>
      <c r="BF39" s="62" t="str">
        <f>IF(ISTEXT(VLOOKUP(CONCATENATE($A39,"_",BF$3),'Unit List'!$A$14:$H$2841,2,FALSE)),"X",$BE39)</f>
        <v>+</v>
      </c>
      <c r="BG39" s="64"/>
      <c r="BH39" s="65" t="s">
        <v>0</v>
      </c>
      <c r="BI39" s="203"/>
      <c r="BJ39" s="204"/>
      <c r="BK39" s="204"/>
      <c r="BL39" s="204"/>
      <c r="BM39" s="205"/>
      <c r="BN39" s="54"/>
      <c r="BO39" s="54"/>
      <c r="BP39" s="54"/>
      <c r="BQ39" s="54"/>
      <c r="BR39" s="54"/>
      <c r="BS39" s="54"/>
      <c r="DZ39" s="55"/>
      <c r="EA39" s="55"/>
    </row>
    <row r="40" spans="1:131" ht="12.75" customHeight="1" x14ac:dyDescent="0.2">
      <c r="A40" s="56" t="s">
        <v>25</v>
      </c>
      <c r="B40" s="181" t="str">
        <f>IF(ISTEXT(VLOOKUP(CONCATENATE($A40,"_",B$3),'Unit List'!$A$14:$H$2841,2,FALSE)),"+","")</f>
        <v/>
      </c>
      <c r="C40" s="102" t="s">
        <v>3</v>
      </c>
      <c r="D40" s="51" t="str">
        <f>IF(ISTEXT(VLOOKUP(CONCATENATE($A40,"_",D$3),'Unit List'!$A$14:$H$2841,2,FALSE)),"X",$B40)</f>
        <v>X</v>
      </c>
      <c r="E40" s="51" t="str">
        <f>IF(ISTEXT(VLOOKUP(CONCATENATE($A40,"_",E$3),'Unit List'!$A$14:$H$2841,2,FALSE)),"X",$B40)</f>
        <v/>
      </c>
      <c r="F40" s="67" t="str">
        <f>IF(ISTEXT(VLOOKUP(CONCATENATE($A40,"_",F$3),'Unit List'!$A$14:$H$2841,2,FALSE)),"X",$B40)</f>
        <v>X</v>
      </c>
      <c r="G40" s="89" t="s">
        <v>0</v>
      </c>
      <c r="H40" s="51" t="str">
        <f>IF(ISTEXT(VLOOKUP(CONCATENATE($A40,"_",H$3),'Unit List'!$A$14:$H$2841,2,FALSE)),"X",$B40)</f>
        <v>X</v>
      </c>
      <c r="I40" s="70" t="str">
        <f>IF(ISTEXT(VLOOKUP(CONCATENATE($A40,"_",I$3),'Unit List'!$A$14:$H$2841,2,FALSE)),"X",$B40)</f>
        <v>X</v>
      </c>
      <c r="J40" s="171" t="str">
        <f>IF(ISTEXT(VLOOKUP(CONCATENATE($A40,"_",J$3),'Unit List'!$A$14:$H$2841,2,FALSE)),"+","")</f>
        <v/>
      </c>
      <c r="K40" s="51" t="str">
        <f>IF(ISTEXT(VLOOKUP(CONCATENATE($A40,"_",K$3),'Unit List'!$A$14:$H$2841,2,FALSE)),"X",$J40)</f>
        <v/>
      </c>
      <c r="L40" s="62" t="str">
        <f>IF(ISTEXT(VLOOKUP(CONCATENATE($A40,"_",L$3),'Unit List'!$A$14:$H$2841,2,FALSE)),"X",$J40)</f>
        <v/>
      </c>
      <c r="M40" s="171" t="str">
        <f>IF(ISTEXT(VLOOKUP(CONCATENATE($A40,"_",M$3),'Unit List'!$A$14:$H$2841,2,FALSE)),"+","")</f>
        <v>+</v>
      </c>
      <c r="N40" s="51" t="str">
        <f>IF(ISTEXT(VLOOKUP(CONCATENATE($A40,"_",N$3),'Unit List'!$A$14:$H$2841,2,FALSE)),"X",$M40)</f>
        <v>X</v>
      </c>
      <c r="O40" s="53" t="str">
        <f>IF(ISTEXT(VLOOKUP(CONCATENATE($A40,"_",O$3),'Unit List'!$A$14:$H$2841,2,FALSE)),"X",$M40)</f>
        <v>X</v>
      </c>
      <c r="P40" s="172" t="str">
        <f>IF(ISTEXT(VLOOKUP(CONCATENATE($A40,"_",P$3),'Unit List'!$A$14:$H$2841,2,FALSE)),"+","")</f>
        <v/>
      </c>
      <c r="Q40" s="67" t="str">
        <f>IF(ISTEXT(VLOOKUP(CONCATENATE($A40,"_",Q$3),'Unit List'!$A$14:$H$2841,2,FALSE)),"X",$P40)</f>
        <v>X</v>
      </c>
      <c r="R40" s="51" t="str">
        <f>IF(ISTEXT(VLOOKUP(CONCATENATE($A40,"_",R$3),'Unit List'!$A$14:$H$2841,2,FALSE)),"X",$P40)</f>
        <v/>
      </c>
      <c r="S40" s="51" t="str">
        <f>IF(ISTEXT(VLOOKUP(CONCATENATE($A40,"_",S$3),'Unit List'!$A$14:$H$2841,2,FALSE)),"X",$P40)</f>
        <v/>
      </c>
      <c r="T40" s="52" t="str">
        <f>IF(ISTEXT(VLOOKUP(CONCATENATE($A40,"_",T$3),'Unit List'!$A$14:$H$2841,2,FALSE)),"X",$P40)</f>
        <v/>
      </c>
      <c r="U40" s="51" t="str">
        <f>IF(ISTEXT(VLOOKUP(CONCATENATE($A40,"_",U$3),'Unit List'!$A$14:$H$2841,2,FALSE)),"X",$P40)</f>
        <v/>
      </c>
      <c r="V40" s="72" t="s">
        <v>0</v>
      </c>
      <c r="W40" s="53" t="str">
        <f>IF(ISTEXT(VLOOKUP(CONCATENATE($A40,"_",W$3),'Unit List'!$A$14:$H$2841,2,FALSE)),"X",$P40)</f>
        <v/>
      </c>
      <c r="X40" s="172" t="str">
        <f>IF(ISTEXT(VLOOKUP(CONCATENATE($A40,"_",X$3),'Unit List'!$A$14:$H$2841,2,FALSE)),"+","")</f>
        <v/>
      </c>
      <c r="Y40" s="51" t="str">
        <f>IF(ISTEXT(VLOOKUP(CONCATENATE($A40,"_",Y$3),'Unit List'!$A$14:$H$2841,2,FALSE)),"X",$X40)</f>
        <v/>
      </c>
      <c r="Z40" s="51" t="str">
        <f>IF(ISTEXT(VLOOKUP(CONCATENATE($A40,"_",Z$3),'Unit List'!$A$14:$H$2841,2,FALSE)),"X",$X40)</f>
        <v/>
      </c>
      <c r="AA40" s="51" t="str">
        <f>IF(ISTEXT(VLOOKUP(CONCATENATE($A40,"_",AA$3),'Unit List'!$A$14:$H$2841,2,FALSE)),"X",$X40)</f>
        <v/>
      </c>
      <c r="AB40" s="51" t="str">
        <f>IF(ISTEXT(VLOOKUP(CONCATENATE($A40,"_",AB$3),'Unit List'!$A$14:$H$2841,2,FALSE)),"X",$X40)</f>
        <v/>
      </c>
      <c r="AC40" s="62" t="str">
        <f>IF(ISTEXT(VLOOKUP(CONCATENATE($A40,"_",AC$3),'Unit List'!$A$14:$H$2841,2,FALSE)),"X",$X40)</f>
        <v/>
      </c>
      <c r="AD40" s="171" t="str">
        <f>IF(ISTEXT(VLOOKUP(CONCATENATE($A40,"_",AD$3),'Unit List'!$A$14:$H$2841,2,FALSE)),"+","")</f>
        <v/>
      </c>
      <c r="AE40" s="51" t="str">
        <f>IF(ISTEXT(VLOOKUP(CONCATENATE($A40,"_",AE$3),'Unit List'!$A$14:$H$2841,2,FALSE)),"X",$AD40)</f>
        <v/>
      </c>
      <c r="AF40" s="51" t="str">
        <f>IF(ISTEXT(VLOOKUP(CONCATENATE($A40,"_",AF$3),'Unit List'!$A$14:$H$2841,2,FALSE)),"X",$AD40)</f>
        <v/>
      </c>
      <c r="AG40" s="171" t="str">
        <f>IF(ISTEXT(VLOOKUP(CONCATENATE($A40,"_",AG$3),'Unit List'!$A$14:$H$2841,2,FALSE)),"+","")</f>
        <v/>
      </c>
      <c r="AH40" s="67" t="str">
        <f>IF(ISTEXT(VLOOKUP(CONCATENATE($A40,"_",AH$3),'Unit List'!$A$14:$H$2841,2,FALSE)),"X",$AG40)</f>
        <v>X</v>
      </c>
      <c r="AI40" s="69" t="str">
        <f>IF(ISTEXT(VLOOKUP(CONCATENATE($A40,"_",AI$3),'Unit List'!$A$14:$H$2841,2,FALSE)),"X",$AG40)</f>
        <v/>
      </c>
      <c r="AJ40" s="71" t="str">
        <f>IF(ISTEXT(VLOOKUP(CONCATENATE($A40,"_",AJ$3),'Unit List'!$A$14:$H$2841,2,FALSE)),"X",$AG40)</f>
        <v/>
      </c>
      <c r="AK40" s="172" t="str">
        <f>IF(ISTEXT(VLOOKUP(CONCATENATE($A40,"_",AK$3),'Unit List'!$A$14:$H$2841,2,FALSE)),"+","")</f>
        <v/>
      </c>
      <c r="AL40" s="52" t="str">
        <f>IF(ISTEXT(VLOOKUP(CONCATENATE($A40,"_",AL$3),'Unit List'!$A$14:$H$2841,2,FALSE)),"X",$AK40)</f>
        <v/>
      </c>
      <c r="AM40" s="74" t="s">
        <v>0</v>
      </c>
      <c r="AN40" s="125" t="str">
        <f>IF(ISTEXT(VLOOKUP(CONCATENATE($A40,"_",AN$3),'Unit List'!$A$14:$H$2841,2,FALSE)),"+","")</f>
        <v/>
      </c>
      <c r="AO40" s="53" t="str">
        <f>IF(ISTEXT(VLOOKUP(CONCATENATE($A40,"_",AO$3),'Unit List'!$A$14:$H$2841,2,FALSE)),"X",$AN40)</f>
        <v/>
      </c>
      <c r="AP40" s="172" t="str">
        <f>IF(ISTEXT(VLOOKUP(CONCATENATE($A40,"_",AP$3),'Unit List'!$A$14:$H$2841,2,FALSE)),"+","")</f>
        <v/>
      </c>
      <c r="AQ40" s="51" t="str">
        <f>IF(ISTEXT(VLOOKUP(CONCATENATE($A40,"_",AQ$3),'Unit List'!$A$14:$H$2841,2,FALSE)),"X",$AP40)</f>
        <v/>
      </c>
      <c r="AR40" s="51" t="str">
        <f>IF(ISTEXT(VLOOKUP(CONCATENATE($A40,"_",AR$3),'Unit List'!$A$14:$H$2841,2,FALSE)),"X",$AP40)</f>
        <v/>
      </c>
      <c r="AS40" s="51" t="str">
        <f>IF(ISTEXT(VLOOKUP(CONCATENATE($A40,"_",AS$3),'Unit List'!$A$14:$H$2841,2,FALSE)),"X",$AP40)</f>
        <v/>
      </c>
      <c r="AT40" s="53" t="str">
        <f>IF(ISTEXT(VLOOKUP(CONCATENATE($A40,"_",AT$3),'Unit List'!$A$14:$H$2841,2,FALSE)),"X",$AP40)</f>
        <v/>
      </c>
      <c r="AU40" s="124" t="str">
        <f>IF(ISTEXT(VLOOKUP(CONCATENATE($A40,"_",AU$3),'Unit List'!$A$14:$H$2841,2,FALSE)),"+","")</f>
        <v/>
      </c>
      <c r="AV40" s="51" t="str">
        <f>IF(ISTEXT(VLOOKUP(CONCATENATE($A40,"_",AV$3),'Unit List'!$A$14:$H$2841,2,FALSE)),"X",$AU40)</f>
        <v/>
      </c>
      <c r="AW40" s="53" t="str">
        <f>IF(ISTEXT(VLOOKUP(CONCATENATE($A40,"_",AW$3),'Unit List'!$A$14:$H$2841,2,FALSE)),"X",$AU40)</f>
        <v/>
      </c>
      <c r="AX40" s="171" t="str">
        <f>IF(ISTEXT(VLOOKUP(CONCATENATE($A40,"_",AX$3),'Unit List'!$A$14:$H$2841,2,FALSE)),"+","")</f>
        <v>+</v>
      </c>
      <c r="AY40" s="67" t="str">
        <f>IF(ISTEXT(VLOOKUP(CONCATENATE($A40,"_",AY$3),'Unit List'!$A$14:$H$2841,2,FALSE)),"X",$AX40)</f>
        <v>X</v>
      </c>
      <c r="AZ40" s="70" t="str">
        <f>IF(ISTEXT(VLOOKUP(CONCATENATE($A40,"_",AZ$3),'Unit List'!$A$14:$H$2841,2,FALSE)),"X",$AX40)</f>
        <v>X</v>
      </c>
      <c r="BA40" s="182" t="str">
        <f>IF(ISTEXT(VLOOKUP(CONCATENATE($A40,"_",BA$3),'Unit List'!$A$14:$H$2841,2,FALSE)),"+","")</f>
        <v/>
      </c>
      <c r="BB40" s="51" t="str">
        <f>IF(ISTEXT(VLOOKUP(CONCATENATE($A40,"_",BB$3),'Unit List'!$A$14:$H$2841,2,FALSE)),"X",$BA40)</f>
        <v/>
      </c>
      <c r="BC40" s="51" t="str">
        <f>IF(ISTEXT(VLOOKUP(CONCATENATE($A40,"_",BC$3),'Unit List'!$A$14:$H$2841,2,FALSE)),"X",$BA40)</f>
        <v/>
      </c>
      <c r="BD40" s="53" t="str">
        <f>IF(ISTEXT(VLOOKUP(CONCATENATE($A40,"_",BD$3),'Unit List'!$A$14:$H$2841,2,FALSE)),"X",$BA40)</f>
        <v/>
      </c>
      <c r="BE40" s="125" t="str">
        <f>IF(ISTEXT(VLOOKUP(CONCATENATE($A40,"_",BE$3),'Unit List'!$A$14:$H$2841,2,FALSE)),"+","")</f>
        <v/>
      </c>
      <c r="BF40" s="62" t="str">
        <f>IF(ISTEXT(VLOOKUP(CONCATENATE($A40,"_",BF$3),'Unit List'!$A$14:$H$2841,2,FALSE)),"X",$BE40)</f>
        <v/>
      </c>
      <c r="BG40" s="75"/>
      <c r="BH40" s="84"/>
      <c r="BI40" s="203" t="s">
        <v>24</v>
      </c>
      <c r="BJ40" s="206"/>
      <c r="BK40" s="206"/>
      <c r="BL40" s="206"/>
      <c r="BM40" s="207"/>
      <c r="BN40" s="54"/>
      <c r="BO40" s="54"/>
      <c r="BP40" s="54"/>
      <c r="BQ40" s="54"/>
      <c r="BR40" s="54"/>
      <c r="BS40" s="54"/>
      <c r="DZ40" s="55"/>
      <c r="EA40" s="55"/>
    </row>
    <row r="41" spans="1:131" ht="12.75" customHeight="1" x14ac:dyDescent="0.2">
      <c r="A41" s="56" t="s">
        <v>1275</v>
      </c>
      <c r="B41" s="181" t="str">
        <f>IF(ISTEXT(VLOOKUP(CONCATENATE($A41,"_",B$3),'Unit List'!$A$14:$H$2841,2,FALSE)),"+","")</f>
        <v/>
      </c>
      <c r="C41" s="57" t="str">
        <f>IF(ISTEXT(VLOOKUP(CONCATENATE($A41,"_",C$3),'Unit List'!$A$14:$H$2841,2,FALSE)),"X",$B41)</f>
        <v/>
      </c>
      <c r="D41" s="51" t="str">
        <f>IF(ISTEXT(VLOOKUP(CONCATENATE($A41,"_",D$3),'Unit List'!$A$14:$H$2841,2,FALSE)),"X",$B41)</f>
        <v/>
      </c>
      <c r="E41" s="51" t="str">
        <f>IF(ISTEXT(VLOOKUP(CONCATENATE($A41,"_",E$3),'Unit List'!$A$14:$H$2841,2,FALSE)),"X",$B41)</f>
        <v/>
      </c>
      <c r="F41" s="51" t="str">
        <f>IF(ISTEXT(VLOOKUP(CONCATENATE($A41,"_",F$3),'Unit List'!$A$14:$H$2841,2,FALSE)),"X",$B41)</f>
        <v/>
      </c>
      <c r="G41" s="51" t="str">
        <f>IF(ISTEXT(VLOOKUP(CONCATENATE($A41,"_",G$3),'Unit List'!$A$14:$H$2841,2,FALSE)),"X",$B41)</f>
        <v/>
      </c>
      <c r="H41" s="51" t="str">
        <f>IF(ISTEXT(VLOOKUP(CONCATENATE($A41,"_",H$3),'Unit List'!$A$14:$H$2841,2,FALSE)),"X",$B41)</f>
        <v/>
      </c>
      <c r="I41" s="53" t="str">
        <f>IF(ISTEXT(VLOOKUP(CONCATENATE($A41,"_",I$3),'Unit List'!$A$14:$H$2841,2,FALSE)),"X",$B41)</f>
        <v/>
      </c>
      <c r="J41" s="172" t="str">
        <f>IF(ISTEXT(VLOOKUP(CONCATENATE($A41,"_",J$3),'Unit List'!$A$14:$H$2841,2,FALSE)),"+","")</f>
        <v/>
      </c>
      <c r="K41" s="51" t="str">
        <f>IF(ISTEXT(VLOOKUP(CONCATENATE($A41,"_",K$3),'Unit List'!$A$14:$H$2841,2,FALSE)),"X",$J41)</f>
        <v/>
      </c>
      <c r="L41" s="62" t="str">
        <f>IF(ISTEXT(VLOOKUP(CONCATENATE($A41,"_",L$3),'Unit List'!$A$14:$H$2841,2,FALSE)),"X",$J41)</f>
        <v/>
      </c>
      <c r="M41" s="172" t="str">
        <f>IF(ISTEXT(VLOOKUP(CONCATENATE($A41,"_",M$3),'Unit List'!$A$14:$H$2841,2,FALSE)),"+","")</f>
        <v/>
      </c>
      <c r="N41" s="51" t="str">
        <f>IF(ISTEXT(VLOOKUP(CONCATENATE($A41,"_",N$3),'Unit List'!$A$14:$H$2841,2,FALSE)),"X",$M41)</f>
        <v/>
      </c>
      <c r="O41" s="53" t="str">
        <f>IF(ISTEXT(VLOOKUP(CONCATENATE($A41,"_",O$3),'Unit List'!$A$14:$H$2841,2,FALSE)),"X",$M41)</f>
        <v/>
      </c>
      <c r="P41" s="172" t="str">
        <f>IF(ISTEXT(VLOOKUP(CONCATENATE($A41,"_",P$3),'Unit List'!$A$14:$H$2841,2,FALSE)),"+","")</f>
        <v/>
      </c>
      <c r="Q41" s="51" t="str">
        <f>IF(ISTEXT(VLOOKUP(CONCATENATE($A41,"_",Q$3),'Unit List'!$A$14:$H$2841,2,FALSE)),"X",$P41)</f>
        <v/>
      </c>
      <c r="R41" s="51" t="str">
        <f>IF(ISTEXT(VLOOKUP(CONCATENATE($A41,"_",R$3),'Unit List'!$A$14:$H$2841,2,FALSE)),"X",$P41)</f>
        <v/>
      </c>
      <c r="S41" s="51" t="str">
        <f>IF(ISTEXT(VLOOKUP(CONCATENATE($A41,"_",S$3),'Unit List'!$A$14:$H$2841,2,FALSE)),"X",$P41)</f>
        <v/>
      </c>
      <c r="T41" s="52" t="str">
        <f>IF(ISTEXT(VLOOKUP(CONCATENATE($A41,"_",T$3),'Unit List'!$A$14:$H$2841,2,FALSE)),"X",$P41)</f>
        <v/>
      </c>
      <c r="U41" s="51" t="str">
        <f>IF(ISTEXT(VLOOKUP(CONCATENATE($A41,"_",U$3),'Unit List'!$A$14:$H$2841,2,FALSE)),"X",$P41)</f>
        <v/>
      </c>
      <c r="V41" s="51" t="str">
        <f>IF(ISTEXT(VLOOKUP(CONCATENATE($A41,"_",V$3),'Unit List'!$A$14:$H$2841,2,FALSE)),"X",$P41)</f>
        <v/>
      </c>
      <c r="W41" s="53" t="str">
        <f>IF(ISTEXT(VLOOKUP(CONCATENATE($A41,"_",W$3),'Unit List'!$A$14:$H$2841,2,FALSE)),"X",$P41)</f>
        <v/>
      </c>
      <c r="X41" s="172" t="str">
        <f>IF(ISTEXT(VLOOKUP(CONCATENATE($A41,"_",X$3),'Unit List'!$A$14:$H$2841,2,FALSE)),"+","")</f>
        <v/>
      </c>
      <c r="Y41" s="51" t="str">
        <f>IF(ISTEXT(VLOOKUP(CONCATENATE($A41,"_",Y$3),'Unit List'!$A$14:$H$2841,2,FALSE)),"X",$X41)</f>
        <v/>
      </c>
      <c r="Z41" s="51" t="str">
        <f>IF(ISTEXT(VLOOKUP(CONCATENATE($A41,"_",Z$3),'Unit List'!$A$14:$H$2841,2,FALSE)),"X",$X41)</f>
        <v/>
      </c>
      <c r="AA41" s="51" t="str">
        <f>IF(ISTEXT(VLOOKUP(CONCATENATE($A41,"_",AA$3),'Unit List'!$A$14:$H$2841,2,FALSE)),"X",$X41)</f>
        <v/>
      </c>
      <c r="AB41" s="51" t="str">
        <f>IF(ISTEXT(VLOOKUP(CONCATENATE($A41,"_",AB$3),'Unit List'!$A$14:$H$2841,2,FALSE)),"X",$X41)</f>
        <v/>
      </c>
      <c r="AC41" s="62" t="str">
        <f>IF(ISTEXT(VLOOKUP(CONCATENATE($A41,"_",AC$3),'Unit List'!$A$14:$H$2841,2,FALSE)),"X",$X41)</f>
        <v/>
      </c>
      <c r="AD41" s="172" t="str">
        <f>IF(ISTEXT(VLOOKUP(CONCATENATE($A41,"_",AD$3),'Unit List'!$A$14:$H$2841,2,FALSE)),"+","")</f>
        <v/>
      </c>
      <c r="AE41" s="51" t="str">
        <f>IF(ISTEXT(VLOOKUP(CONCATENATE($A41,"_",AE$3),'Unit List'!$A$14:$H$2841,2,FALSE)),"X",$AD41)</f>
        <v/>
      </c>
      <c r="AF41" s="51" t="str">
        <f>IF(ISTEXT(VLOOKUP(CONCATENATE($A41,"_",AF$3),'Unit List'!$A$14:$H$2841,2,FALSE)),"X",$AD41)</f>
        <v/>
      </c>
      <c r="AG41" s="172" t="str">
        <f>IF(ISTEXT(VLOOKUP(CONCATENATE($A41,"_",AG$3),'Unit List'!$A$14:$H$2841,2,FALSE)),"+","")</f>
        <v/>
      </c>
      <c r="AH41" s="83" t="str">
        <f>IF(ISTEXT(VLOOKUP(CONCATENATE($A41,"_",AH$3),'Unit List'!$A$14:$H$2841,2,FALSE)),"X",$AG41)</f>
        <v/>
      </c>
      <c r="AI41" s="83" t="str">
        <f>IF(ISTEXT(VLOOKUP(CONCATENATE($A41,"_",AI$3),'Unit List'!$A$14:$H$2841,2,FALSE)),"X",$AG41)</f>
        <v/>
      </c>
      <c r="AJ41" s="53" t="str">
        <f>IF(ISTEXT(VLOOKUP(CONCATENATE($A41,"_",AJ$3),'Unit List'!$A$14:$H$2841,2,FALSE)),"X",$AG41)</f>
        <v/>
      </c>
      <c r="AK41" s="172" t="str">
        <f>IF(ISTEXT(VLOOKUP(CONCATENATE($A41,"_",AK$3),'Unit List'!$A$14:$H$2841,2,FALSE)),"+","")</f>
        <v/>
      </c>
      <c r="AL41" s="52" t="str">
        <f>IF(ISTEXT(VLOOKUP(CONCATENATE($A41,"_",AL$3),'Unit List'!$A$14:$H$2841,2,FALSE)),"X",$AK41)</f>
        <v/>
      </c>
      <c r="AM41" s="53" t="str">
        <f>IF(ISTEXT(VLOOKUP(CONCATENATE($A41,"_",AM$3),'Unit List'!$A$14:$H$2841,2,FALSE)),"X",$AK41)</f>
        <v/>
      </c>
      <c r="AN41" s="125" t="str">
        <f>IF(ISTEXT(VLOOKUP(CONCATENATE($A41,"_",AN$3),'Unit List'!$A$14:$H$2841,2,FALSE)),"+","")</f>
        <v/>
      </c>
      <c r="AO41" s="53" t="str">
        <f>IF(ISTEXT(VLOOKUP(CONCATENATE($A41,"_",AO$3),'Unit List'!$A$14:$H$2841,2,FALSE)),"X",$AN41)</f>
        <v/>
      </c>
      <c r="AP41" s="172" t="str">
        <f>IF(ISTEXT(VLOOKUP(CONCATENATE($A41,"_",AP$3),'Unit List'!$A$14:$H$2841,2,FALSE)),"+","")</f>
        <v/>
      </c>
      <c r="AQ41" s="51" t="str">
        <f>IF(ISTEXT(VLOOKUP(CONCATENATE($A41,"_",AQ$3),'Unit List'!$A$14:$H$2841,2,FALSE)),"X",$AP41)</f>
        <v/>
      </c>
      <c r="AR41" s="51" t="str">
        <f>IF(ISTEXT(VLOOKUP(CONCATENATE($A41,"_",AR$3),'Unit List'!$A$14:$H$2841,2,FALSE)),"X",$AP41)</f>
        <v/>
      </c>
      <c r="AS41" s="51" t="str">
        <f>IF(ISTEXT(VLOOKUP(CONCATENATE($A41,"_",AS$3),'Unit List'!$A$14:$H$2841,2,FALSE)),"X",$AP41)</f>
        <v/>
      </c>
      <c r="AT41" s="53" t="str">
        <f>IF(ISTEXT(VLOOKUP(CONCATENATE($A41,"_",AT$3),'Unit List'!$A$14:$H$2841,2,FALSE)),"X",$AP41)</f>
        <v/>
      </c>
      <c r="AU41" s="124" t="str">
        <f>IF(ISTEXT(VLOOKUP(CONCATENATE($A41,"_",AU$3),'Unit List'!$A$14:$H$2841,2,FALSE)),"+","")</f>
        <v/>
      </c>
      <c r="AV41" s="51" t="str">
        <f>IF(ISTEXT(VLOOKUP(CONCATENATE($A41,"_",AV$3),'Unit List'!$A$14:$H$2841,2,FALSE)),"X",$AU41)</f>
        <v/>
      </c>
      <c r="AW41" s="53" t="str">
        <f>IF(ISTEXT(VLOOKUP(CONCATENATE($A41,"_",AW$3),'Unit List'!$A$14:$H$2841,2,FALSE)),"X",$AU41)</f>
        <v/>
      </c>
      <c r="AX41" s="172" t="str">
        <f>IF(ISTEXT(VLOOKUP(CONCATENATE($A41,"_",AX$3),'Unit List'!$A$14:$H$2841,2,FALSE)),"+","")</f>
        <v/>
      </c>
      <c r="AY41" s="51" t="str">
        <f>IF(ISTEXT(VLOOKUP(CONCATENATE($A41,"_",AY$3),'Unit List'!$A$14:$H$2841,2,FALSE)),"X",$AX41)</f>
        <v/>
      </c>
      <c r="AZ41" s="53" t="str">
        <f>IF(ISTEXT(VLOOKUP(CONCATENATE($A41,"_",AZ$3),'Unit List'!$A$14:$H$2841,2,FALSE)),"X",$AX41)</f>
        <v/>
      </c>
      <c r="BA41" s="182" t="str">
        <f>IF(ISTEXT(VLOOKUP(CONCATENATE($A41,"_",BA$3),'Unit List'!$A$14:$H$2841,2,FALSE)),"+","")</f>
        <v/>
      </c>
      <c r="BB41" s="51" t="str">
        <f>IF(ISTEXT(VLOOKUP(CONCATENATE($A41,"_",BB$3),'Unit List'!$A$14:$H$2841,2,FALSE)),"X",$BA41)</f>
        <v/>
      </c>
      <c r="BC41" s="51" t="str">
        <f>IF(ISTEXT(VLOOKUP(CONCATENATE($A41,"_",BC$3),'Unit List'!$A$14:$H$2841,2,FALSE)),"X",$BA41)</f>
        <v/>
      </c>
      <c r="BD41" s="53" t="str">
        <f>IF(ISTEXT(VLOOKUP(CONCATENATE($A41,"_",BD$3),'Unit List'!$A$14:$H$2841,2,FALSE)),"X",$BA41)</f>
        <v/>
      </c>
      <c r="BE41" s="125" t="str">
        <f>IF(ISTEXT(VLOOKUP(CONCATENATE($A41,"_",BE$3),'Unit List'!$A$14:$H$2841,2,FALSE)),"+","")</f>
        <v/>
      </c>
      <c r="BF41" s="62" t="str">
        <f>IF(ISTEXT(VLOOKUP(CONCATENATE($A41,"_",BF$3),'Unit List'!$A$14:$H$2841,2,FALSE)),"X",$BE41)</f>
        <v/>
      </c>
      <c r="BG41" s="64" t="s">
        <v>0</v>
      </c>
      <c r="BH41" s="65" t="s">
        <v>0</v>
      </c>
      <c r="BI41" s="203"/>
      <c r="BJ41" s="204"/>
      <c r="BK41" s="204"/>
      <c r="BL41" s="204"/>
      <c r="BM41" s="205"/>
      <c r="BN41" s="54"/>
      <c r="BO41" s="54"/>
      <c r="BP41" s="54"/>
      <c r="BQ41" s="54"/>
      <c r="BR41" s="54"/>
      <c r="BS41" s="54"/>
      <c r="DZ41" s="55"/>
      <c r="EA41" s="55"/>
    </row>
    <row r="42" spans="1:131" ht="12.75" customHeight="1" x14ac:dyDescent="0.2">
      <c r="A42" s="56" t="s">
        <v>1149</v>
      </c>
      <c r="B42" s="181" t="str">
        <f>IF(ISTEXT(VLOOKUP(CONCATENATE($A42,"_",B$3),'Unit List'!$A$14:$H$2841,2,FALSE)),"+","")</f>
        <v/>
      </c>
      <c r="C42" s="57" t="str">
        <f>IF(ISTEXT(VLOOKUP(CONCATENATE($A42,"_",C$3),'Unit List'!$A$14:$H$2841,2,FALSE)),"X",$B42)</f>
        <v>X</v>
      </c>
      <c r="D42" s="51" t="str">
        <f>IF(ISTEXT(VLOOKUP(CONCATENATE($A42,"_",D$3),'Unit List'!$A$14:$H$2841,2,FALSE)),"X",$B42)</f>
        <v/>
      </c>
      <c r="E42" s="51" t="str">
        <f>IF(ISTEXT(VLOOKUP(CONCATENATE($A42,"_",E$3),'Unit List'!$A$14:$H$2841,2,FALSE)),"X",$B42)</f>
        <v>X</v>
      </c>
      <c r="F42" s="51" t="str">
        <f>IF(ISTEXT(VLOOKUP(CONCATENATE($A42,"_",F$3),'Unit List'!$A$14:$H$2841,2,FALSE)),"X",$B42)</f>
        <v>X</v>
      </c>
      <c r="G42" s="51" t="str">
        <f>IF(ISTEXT(VLOOKUP(CONCATENATE($A42,"_",G$3),'Unit List'!$A$14:$H$2841,2,FALSE)),"X",$B42)</f>
        <v/>
      </c>
      <c r="H42" s="51" t="str">
        <f>IF(ISTEXT(VLOOKUP(CONCATENATE($A42,"_",H$3),'Unit List'!$A$14:$H$2841,2,FALSE)),"X",$B42)</f>
        <v/>
      </c>
      <c r="I42" s="53" t="str">
        <f>IF(ISTEXT(VLOOKUP(CONCATENATE($A42,"_",I$3),'Unit List'!$A$14:$H$2841,2,FALSE)),"X",$B42)</f>
        <v/>
      </c>
      <c r="J42" s="172" t="str">
        <f>IF(ISTEXT(VLOOKUP(CONCATENATE($A42,"_",J$3),'Unit List'!$A$14:$H$2841,2,FALSE)),"+","")</f>
        <v/>
      </c>
      <c r="K42" s="51" t="str">
        <f>IF(ISTEXT(VLOOKUP(CONCATENATE($A42,"_",K$3),'Unit List'!$A$14:$H$2841,2,FALSE)),"X",$J42)</f>
        <v/>
      </c>
      <c r="L42" s="62" t="str">
        <f>IF(ISTEXT(VLOOKUP(CONCATENATE($A42,"_",L$3),'Unit List'!$A$14:$H$2841,2,FALSE)),"X",$J42)</f>
        <v/>
      </c>
      <c r="M42" s="172" t="str">
        <f>IF(ISTEXT(VLOOKUP(CONCATENATE($A42,"_",M$3),'Unit List'!$A$14:$H$2841,2,FALSE)),"+","")</f>
        <v>+</v>
      </c>
      <c r="N42" s="51" t="str">
        <f>IF(ISTEXT(VLOOKUP(CONCATENATE($A42,"_",N$3),'Unit List'!$A$14:$H$2841,2,FALSE)),"X",$M42)</f>
        <v>+</v>
      </c>
      <c r="O42" s="70" t="str">
        <f>IF(ISTEXT(VLOOKUP(CONCATENATE($A42,"_",O$3),'Unit List'!$A$14:$H$2841,2,FALSE)),"X",$M42)</f>
        <v>X</v>
      </c>
      <c r="P42" s="172" t="str">
        <f>IF(ISTEXT(VLOOKUP(CONCATENATE($A42,"_",P$3),'Unit List'!$A$14:$H$2841,2,FALSE)),"+","")</f>
        <v/>
      </c>
      <c r="Q42" s="51" t="str">
        <f>IF(ISTEXT(VLOOKUP(CONCATENATE($A42,"_",Q$3),'Unit List'!$A$14:$H$2841,2,FALSE)),"X",$P42)</f>
        <v/>
      </c>
      <c r="R42" s="51" t="str">
        <f>IF(ISTEXT(VLOOKUP(CONCATENATE($A42,"_",R$3),'Unit List'!$A$14:$H$2841,2,FALSE)),"X",$P42)</f>
        <v/>
      </c>
      <c r="S42" s="51" t="str">
        <f>IF(ISTEXT(VLOOKUP(CONCATENATE($A42,"_",S$3),'Unit List'!$A$14:$H$2841,2,FALSE)),"X",$P42)</f>
        <v/>
      </c>
      <c r="T42" s="52" t="str">
        <f>IF(ISTEXT(VLOOKUP(CONCATENATE($A42,"_",T$3),'Unit List'!$A$14:$H$2841,2,FALSE)),"X",$P42)</f>
        <v/>
      </c>
      <c r="U42" s="51" t="str">
        <f>IF(ISTEXT(VLOOKUP(CONCATENATE($A42,"_",U$3),'Unit List'!$A$14:$H$2841,2,FALSE)),"X",$P42)</f>
        <v/>
      </c>
      <c r="V42" s="51" t="str">
        <f>IF(ISTEXT(VLOOKUP(CONCATENATE($A42,"_",V$3),'Unit List'!$A$14:$H$2841,2,FALSE)),"X",$P42)</f>
        <v/>
      </c>
      <c r="W42" s="53" t="str">
        <f>IF(ISTEXT(VLOOKUP(CONCATENATE($A42,"_",W$3),'Unit List'!$A$14:$H$2841,2,FALSE)),"X",$P42)</f>
        <v/>
      </c>
      <c r="X42" s="172" t="str">
        <f>IF(ISTEXT(VLOOKUP(CONCATENATE($A42,"_",X$3),'Unit List'!$A$14:$H$2841,2,FALSE)),"+","")</f>
        <v/>
      </c>
      <c r="Y42" s="51" t="str">
        <f>IF(ISTEXT(VLOOKUP(CONCATENATE($A42,"_",Y$3),'Unit List'!$A$14:$H$2841,2,FALSE)),"X",$X42)</f>
        <v/>
      </c>
      <c r="Z42" s="51" t="str">
        <f>IF(ISTEXT(VLOOKUP(CONCATENATE($A42,"_",Z$3),'Unit List'!$A$14:$H$2841,2,FALSE)),"X",$X42)</f>
        <v/>
      </c>
      <c r="AA42" s="51" t="str">
        <f>IF(ISTEXT(VLOOKUP(CONCATENATE($A42,"_",AA$3),'Unit List'!$A$14:$H$2841,2,FALSE)),"X",$X42)</f>
        <v/>
      </c>
      <c r="AB42" s="51" t="str">
        <f>IF(ISTEXT(VLOOKUP(CONCATENATE($A42,"_",AB$3),'Unit List'!$A$14:$H$2841,2,FALSE)),"X",$X42)</f>
        <v/>
      </c>
      <c r="AC42" s="62" t="str">
        <f>IF(ISTEXT(VLOOKUP(CONCATENATE($A42,"_",AC$3),'Unit List'!$A$14:$H$2841,2,FALSE)),"X",$X42)</f>
        <v/>
      </c>
      <c r="AD42" s="172" t="str">
        <f>IF(ISTEXT(VLOOKUP(CONCATENATE($A42,"_",AD$3),'Unit List'!$A$14:$H$2841,2,FALSE)),"+","")</f>
        <v/>
      </c>
      <c r="AE42" s="51" t="str">
        <f>IF(ISTEXT(VLOOKUP(CONCATENATE($A42,"_",AE$3),'Unit List'!$A$14:$H$2841,2,FALSE)),"X",$AD42)</f>
        <v/>
      </c>
      <c r="AF42" s="51" t="str">
        <f>IF(ISTEXT(VLOOKUP(CONCATENATE($A42,"_",AF$3),'Unit List'!$A$14:$H$2841,2,FALSE)),"X",$AD42)</f>
        <v/>
      </c>
      <c r="AG42" s="172" t="str">
        <f>IF(ISTEXT(VLOOKUP(CONCATENATE($A42,"_",AG$3),'Unit List'!$A$14:$H$2841,2,FALSE)),"+","")</f>
        <v/>
      </c>
      <c r="AH42" s="51" t="str">
        <f>IF(ISTEXT(VLOOKUP(CONCATENATE($A42,"_",AH$3),'Unit List'!$A$14:$H$2841,2,FALSE)),"X",$AG42)</f>
        <v/>
      </c>
      <c r="AI42" s="51" t="str">
        <f>IF(ISTEXT(VLOOKUP(CONCATENATE($A42,"_",AI$3),'Unit List'!$A$14:$H$2841,2,FALSE)),"X",$AG42)</f>
        <v/>
      </c>
      <c r="AJ42" s="53" t="str">
        <f>IF(ISTEXT(VLOOKUP(CONCATENATE($A42,"_",AJ$3),'Unit List'!$A$14:$H$2841,2,FALSE)),"X",$AG42)</f>
        <v/>
      </c>
      <c r="AK42" s="172" t="str">
        <f>IF(ISTEXT(VLOOKUP(CONCATENATE($A42,"_",AK$3),'Unit List'!$A$14:$H$2841,2,FALSE)),"+","")</f>
        <v/>
      </c>
      <c r="AL42" s="52" t="str">
        <f>IF(ISTEXT(VLOOKUP(CONCATENATE($A42,"_",AL$3),'Unit List'!$A$14:$H$2841,2,FALSE)),"X",$AK42)</f>
        <v/>
      </c>
      <c r="AM42" s="53" t="str">
        <f>IF(ISTEXT(VLOOKUP(CONCATENATE($A42,"_",AM$3),'Unit List'!$A$14:$H$2841,2,FALSE)),"X",$AK42)</f>
        <v/>
      </c>
      <c r="AN42" s="125" t="str">
        <f>IF(ISTEXT(VLOOKUP(CONCATENATE($A42,"_",AN$3),'Unit List'!$A$14:$H$2841,2,FALSE)),"+","")</f>
        <v/>
      </c>
      <c r="AO42" s="53" t="str">
        <f>IF(ISTEXT(VLOOKUP(CONCATENATE($A42,"_",AO$3),'Unit List'!$A$14:$H$2841,2,FALSE)),"X",$AN42)</f>
        <v/>
      </c>
      <c r="AP42" s="172" t="str">
        <f>IF(ISTEXT(VLOOKUP(CONCATENATE($A42,"_",AP$3),'Unit List'!$A$14:$H$2841,2,FALSE)),"+","")</f>
        <v>+</v>
      </c>
      <c r="AQ42" s="51" t="str">
        <f>IF(ISTEXT(VLOOKUP(CONCATENATE($A42,"_",AQ$3),'Unit List'!$A$14:$H$2841,2,FALSE)),"X",$AP42)</f>
        <v>+</v>
      </c>
      <c r="AR42" s="51" t="str">
        <f>IF(ISTEXT(VLOOKUP(CONCATENATE($A42,"_",AR$3),'Unit List'!$A$14:$H$2841,2,FALSE)),"X",$AP42)</f>
        <v>+</v>
      </c>
      <c r="AS42" s="51" t="str">
        <f>IF(ISTEXT(VLOOKUP(CONCATENATE($A42,"_",AS$3),'Unit List'!$A$14:$H$2841,2,FALSE)),"X",$AP42)</f>
        <v>+</v>
      </c>
      <c r="AT42" s="53" t="str">
        <f>IF(ISTEXT(VLOOKUP(CONCATENATE($A42,"_",AT$3),'Unit List'!$A$14:$H$2841,2,FALSE)),"X",$AP42)</f>
        <v>+</v>
      </c>
      <c r="AU42" s="124" t="str">
        <f>IF(ISTEXT(VLOOKUP(CONCATENATE($A42,"_",AU$3),'Unit List'!$A$14:$H$2841,2,FALSE)),"+","")</f>
        <v/>
      </c>
      <c r="AV42" s="51" t="str">
        <f>IF(ISTEXT(VLOOKUP(CONCATENATE($A42,"_",AV$3),'Unit List'!$A$14:$H$2841,2,FALSE)),"X",$AU42)</f>
        <v/>
      </c>
      <c r="AW42" s="53" t="str">
        <f>IF(ISTEXT(VLOOKUP(CONCATENATE($A42,"_",AW$3),'Unit List'!$A$14:$H$2841,2,FALSE)),"X",$AU42)</f>
        <v/>
      </c>
      <c r="AX42" s="172" t="str">
        <f>IF(ISTEXT(VLOOKUP(CONCATENATE($A42,"_",AX$3),'Unit List'!$A$14:$H$2841,2,FALSE)),"+","")</f>
        <v>+</v>
      </c>
      <c r="AY42" s="51" t="str">
        <f>IF(ISTEXT(VLOOKUP(CONCATENATE($A42,"_",AY$3),'Unit List'!$A$14:$H$2841,2,FALSE)),"X",$AX42)</f>
        <v>+</v>
      </c>
      <c r="AZ42" s="53" t="str">
        <f>IF(ISTEXT(VLOOKUP(CONCATENATE($A42,"_",AZ$3),'Unit List'!$A$14:$H$2841,2,FALSE)),"X",$AX42)</f>
        <v>+</v>
      </c>
      <c r="BA42" s="182" t="str">
        <f>IF(ISTEXT(VLOOKUP(CONCATENATE($A42,"_",BA$3),'Unit List'!$A$14:$H$2841,2,FALSE)),"+","")</f>
        <v/>
      </c>
      <c r="BB42" s="51" t="str">
        <f>IF(ISTEXT(VLOOKUP(CONCATENATE($A42,"_",BB$3),'Unit List'!$A$14:$H$2841,2,FALSE)),"X",$BA42)</f>
        <v/>
      </c>
      <c r="BC42" s="51" t="str">
        <f>IF(ISTEXT(VLOOKUP(CONCATENATE($A42,"_",BC$3),'Unit List'!$A$14:$H$2841,2,FALSE)),"X",$BA42)</f>
        <v/>
      </c>
      <c r="BD42" s="53" t="str">
        <f>IF(ISTEXT(VLOOKUP(CONCATENATE($A42,"_",BD$3),'Unit List'!$A$14:$H$2841,2,FALSE)),"X",$BA42)</f>
        <v/>
      </c>
      <c r="BE42" s="125" t="str">
        <f>IF(ISTEXT(VLOOKUP(CONCATENATE($A42,"_",BE$3),'Unit List'!$A$14:$H$2841,2,FALSE)),"+","")</f>
        <v>+</v>
      </c>
      <c r="BF42" s="62" t="str">
        <f>IF(ISTEXT(VLOOKUP(CONCATENATE($A42,"_",BF$3),'Unit List'!$A$14:$H$2841,2,FALSE)),"X",$BE42)</f>
        <v>+</v>
      </c>
      <c r="BG42" s="64"/>
      <c r="BH42" s="65" t="s">
        <v>0</v>
      </c>
      <c r="BI42" s="203"/>
      <c r="BJ42" s="204"/>
      <c r="BK42" s="204"/>
      <c r="BL42" s="204"/>
      <c r="BM42" s="205"/>
      <c r="BN42" s="54"/>
      <c r="BO42" s="54"/>
      <c r="BP42" s="54"/>
      <c r="BQ42" s="54"/>
      <c r="BR42" s="54"/>
      <c r="BS42" s="54"/>
      <c r="DZ42" s="55"/>
      <c r="EA42" s="55"/>
    </row>
    <row r="43" spans="1:131" ht="12.75" customHeight="1" x14ac:dyDescent="0.2">
      <c r="A43" s="56" t="s">
        <v>23</v>
      </c>
      <c r="B43" s="181" t="str">
        <f>IF(ISTEXT(VLOOKUP(CONCATENATE($A43,"_",B$3),'Unit List'!$A$14:$H$2841,2,FALSE)),"+","")</f>
        <v/>
      </c>
      <c r="C43" s="82" t="str">
        <f>IF(ISTEXT(VLOOKUP(CONCATENATE($A43,"_",C$3),'Unit List'!$A$14:$H$2841,2,FALSE)),"X",$B43)</f>
        <v>X</v>
      </c>
      <c r="D43" s="67" t="str">
        <f>IF(ISTEXT(VLOOKUP(CONCATENATE($A43,"_",D$3),'Unit List'!$A$14:$H$2841,2,FALSE)),"X",$B43)</f>
        <v>X</v>
      </c>
      <c r="E43" s="51" t="str">
        <f>IF(ISTEXT(VLOOKUP(CONCATENATE($A43,"_",E$3),'Unit List'!$A$14:$H$2841,2,FALSE)),"X",$B43)</f>
        <v/>
      </c>
      <c r="F43" s="67" t="str">
        <f>IF(ISTEXT(VLOOKUP(CONCATENATE($A43,"_",F$3),'Unit List'!$A$14:$H$2841,2,FALSE)),"X",$B43)</f>
        <v>X</v>
      </c>
      <c r="G43" s="67" t="str">
        <f>IF(ISTEXT(VLOOKUP(CONCATENATE($A43,"_",G$3),'Unit List'!$A$14:$H$2841,2,FALSE)),"X",$B43)</f>
        <v>X</v>
      </c>
      <c r="H43" s="67" t="str">
        <f>IF(ISTEXT(VLOOKUP(CONCATENATE($A43,"_",H$3),'Unit List'!$A$14:$H$2841,2,FALSE)),"X",$B43)</f>
        <v>X</v>
      </c>
      <c r="I43" s="70" t="str">
        <f>IF(ISTEXT(VLOOKUP(CONCATENATE($A43,"_",I$3),'Unit List'!$A$14:$H$2841,2,FALSE)),"X",$B43)</f>
        <v>X</v>
      </c>
      <c r="J43" s="172" t="str">
        <f>IF(ISTEXT(VLOOKUP(CONCATENATE($A43,"_",J$3),'Unit List'!$A$14:$H$2841,2,FALSE)),"+","")</f>
        <v>+</v>
      </c>
      <c r="K43" s="51" t="str">
        <f>IF(ISTEXT(VLOOKUP(CONCATENATE($A43,"_",K$3),'Unit List'!$A$14:$H$2841,2,FALSE)),"X",$J43)</f>
        <v>+</v>
      </c>
      <c r="L43" s="86" t="str">
        <f>IF(ISTEXT(VLOOKUP(CONCATENATE($A43,"_",L$3),'Unit List'!$A$14:$H$2841,2,FALSE)),"X",$J43)</f>
        <v>+</v>
      </c>
      <c r="M43" s="172" t="str">
        <f>IF(ISTEXT(VLOOKUP(CONCATENATE($A43,"_",M$3),'Unit List'!$A$14:$H$2841,2,FALSE)),"+","")</f>
        <v>+</v>
      </c>
      <c r="N43" s="67" t="str">
        <f>IF(ISTEXT(VLOOKUP(CONCATENATE($A43,"_",N$3),'Unit List'!$A$14:$H$2841,2,FALSE)),"X",$M43)</f>
        <v>+</v>
      </c>
      <c r="O43" s="70" t="str">
        <f>IF(ISTEXT(VLOOKUP(CONCATENATE($A43,"_",O$3),'Unit List'!$A$14:$H$2841,2,FALSE)),"X",$M43)</f>
        <v>X</v>
      </c>
      <c r="P43" s="172" t="str">
        <f>IF(ISTEXT(VLOOKUP(CONCATENATE($A43,"_",P$3),'Unit List'!$A$14:$H$2841,2,FALSE)),"+","")</f>
        <v/>
      </c>
      <c r="Q43" s="51" t="str">
        <f>IF(ISTEXT(VLOOKUP(CONCATENATE($A43,"_",Q$3),'Unit List'!$A$14:$H$2841,2,FALSE)),"X",$P43)</f>
        <v/>
      </c>
      <c r="R43" s="51" t="str">
        <f>IF(ISTEXT(VLOOKUP(CONCATENATE($A43,"_",R$3),'Unit List'!$A$14:$H$2841,2,FALSE)),"X",$P43)</f>
        <v/>
      </c>
      <c r="S43" s="67" t="str">
        <f>IF(ISTEXT(VLOOKUP(CONCATENATE($A43,"_",S$3),'Unit List'!$A$14:$H$2841,2,FALSE)),"X",$P43)</f>
        <v>X</v>
      </c>
      <c r="T43" s="52" t="str">
        <f>IF(ISTEXT(VLOOKUP(CONCATENATE($A43,"_",T$3),'Unit List'!$A$14:$H$2841,2,FALSE)),"X",$P43)</f>
        <v/>
      </c>
      <c r="U43" s="67" t="str">
        <f>IF(ISTEXT(VLOOKUP(CONCATENATE($A43,"_",U$3),'Unit List'!$A$14:$H$2841,2,FALSE)),"X",$P43)</f>
        <v>X</v>
      </c>
      <c r="V43" s="67" t="str">
        <f>IF(ISTEXT(VLOOKUP(CONCATENATE($A43,"_",V$3),'Unit List'!$A$14:$H$2841,2,FALSE)),"X",$P43)</f>
        <v>X</v>
      </c>
      <c r="W43" s="53" t="str">
        <f>IF(ISTEXT(VLOOKUP(CONCATENATE($A43,"_",W$3),'Unit List'!$A$14:$H$2841,2,FALSE)),"X",$P43)</f>
        <v/>
      </c>
      <c r="X43" s="172" t="str">
        <f>IF(ISTEXT(VLOOKUP(CONCATENATE($A43,"_",X$3),'Unit List'!$A$14:$H$2841,2,FALSE)),"+","")</f>
        <v/>
      </c>
      <c r="Y43" s="51" t="str">
        <f>IF(ISTEXT(VLOOKUP(CONCATENATE($A43,"_",Y$3),'Unit List'!$A$14:$H$2841,2,FALSE)),"X",$X43)</f>
        <v/>
      </c>
      <c r="Z43" s="51" t="str">
        <f>IF(ISTEXT(VLOOKUP(CONCATENATE($A43,"_",Z$3),'Unit List'!$A$14:$H$2841,2,FALSE)),"X",$X43)</f>
        <v/>
      </c>
      <c r="AA43" s="51" t="str">
        <f>IF(ISTEXT(VLOOKUP(CONCATENATE($A43,"_",AA$3),'Unit List'!$A$14:$H$2841,2,FALSE)),"X",$X43)</f>
        <v/>
      </c>
      <c r="AB43" s="51" t="str">
        <f>IF(ISTEXT(VLOOKUP(CONCATENATE($A43,"_",AB$3),'Unit List'!$A$14:$H$2841,2,FALSE)),"X",$X43)</f>
        <v/>
      </c>
      <c r="AC43" s="62" t="str">
        <f>IF(ISTEXT(VLOOKUP(CONCATENATE($A43,"_",AC$3),'Unit List'!$A$14:$H$2841,2,FALSE)),"X",$X43)</f>
        <v/>
      </c>
      <c r="AD43" s="172" t="str">
        <f>IF(ISTEXT(VLOOKUP(CONCATENATE($A43,"_",AD$3),'Unit List'!$A$14:$H$2841,2,FALSE)),"+","")</f>
        <v/>
      </c>
      <c r="AE43" s="51" t="str">
        <f>IF(ISTEXT(VLOOKUP(CONCATENATE($A43,"_",AE$3),'Unit List'!$A$14:$H$2841,2,FALSE)),"X",$AD43)</f>
        <v/>
      </c>
      <c r="AF43" s="51" t="str">
        <f>IF(ISTEXT(VLOOKUP(CONCATENATE($A43,"_",AF$3),'Unit List'!$A$14:$H$2841,2,FALSE)),"X",$AD43)</f>
        <v/>
      </c>
      <c r="AG43" s="172" t="str">
        <f>IF(ISTEXT(VLOOKUP(CONCATENATE($A43,"_",AG$3),'Unit List'!$A$14:$H$2841,2,FALSE)),"+","")</f>
        <v/>
      </c>
      <c r="AH43" s="51" t="str">
        <f>IF(ISTEXT(VLOOKUP(CONCATENATE($A43,"_",AH$3),'Unit List'!$A$14:$H$2841,2,FALSE)),"X",$AG43)</f>
        <v/>
      </c>
      <c r="AI43" s="51" t="str">
        <f>IF(ISTEXT(VLOOKUP(CONCATENATE($A43,"_",AI$3),'Unit List'!$A$14:$H$2841,2,FALSE)),"X",$AG43)</f>
        <v/>
      </c>
      <c r="AJ43" s="53" t="str">
        <f>IF(ISTEXT(VLOOKUP(CONCATENATE($A43,"_",AJ$3),'Unit List'!$A$14:$H$2841,2,FALSE)),"X",$AG43)</f>
        <v/>
      </c>
      <c r="AK43" s="172" t="str">
        <f>IF(ISTEXT(VLOOKUP(CONCATENATE($A43,"_",AK$3),'Unit List'!$A$14:$H$2841,2,FALSE)),"+","")</f>
        <v/>
      </c>
      <c r="AL43" s="87" t="str">
        <f>IF(ISTEXT(VLOOKUP(CONCATENATE($A43,"_",AL$3),'Unit List'!$A$14:$H$2841,2,FALSE)),"X",$AK43)</f>
        <v>X</v>
      </c>
      <c r="AM43" s="53" t="str">
        <f>IF(ISTEXT(VLOOKUP(CONCATENATE($A43,"_",AM$3),'Unit List'!$A$14:$H$2841,2,FALSE)),"X",$AK43)</f>
        <v/>
      </c>
      <c r="AN43" s="125" t="str">
        <f>IF(ISTEXT(VLOOKUP(CONCATENATE($A43,"_",AN$3),'Unit List'!$A$14:$H$2841,2,FALSE)),"+","")</f>
        <v>+</v>
      </c>
      <c r="AO43" s="53" t="str">
        <f>IF(ISTEXT(VLOOKUP(CONCATENATE($A43,"_",AO$3),'Unit List'!$A$14:$H$2841,2,FALSE)),"X",$AN43)</f>
        <v>+</v>
      </c>
      <c r="AP43" s="172" t="str">
        <f>IF(ISTEXT(VLOOKUP(CONCATENATE($A43,"_",AP$3),'Unit List'!$A$14:$H$2841,2,FALSE)),"+","")</f>
        <v>+</v>
      </c>
      <c r="AQ43" s="51" t="str">
        <f>IF(ISTEXT(VLOOKUP(CONCATENATE($A43,"_",AQ$3),'Unit List'!$A$14:$H$2841,2,FALSE)),"X",$AP43)</f>
        <v>X</v>
      </c>
      <c r="AR43" s="67" t="str">
        <f>IF(ISTEXT(VLOOKUP(CONCATENATE($A43,"_",AR$3),'Unit List'!$A$14:$H$2841,2,FALSE)),"X",$AP43)</f>
        <v>X</v>
      </c>
      <c r="AS43" s="51" t="str">
        <f>IF(ISTEXT(VLOOKUP(CONCATENATE($A43,"_",AS$3),'Unit List'!$A$14:$H$2841,2,FALSE)),"X",$AP43)</f>
        <v>+</v>
      </c>
      <c r="AT43" s="53" t="str">
        <f>IF(ISTEXT(VLOOKUP(CONCATENATE($A43,"_",AT$3),'Unit List'!$A$14:$H$2841,2,FALSE)),"X",$AP43)</f>
        <v>+</v>
      </c>
      <c r="AU43" s="124" t="str">
        <f>IF(ISTEXT(VLOOKUP(CONCATENATE($A43,"_",AU$3),'Unit List'!$A$14:$H$2841,2,FALSE)),"+","")</f>
        <v>+</v>
      </c>
      <c r="AV43" s="51" t="str">
        <f>IF(ISTEXT(VLOOKUP(CONCATENATE($A43,"_",AV$3),'Unit List'!$A$14:$H$2841,2,FALSE)),"X",$AU43)</f>
        <v>+</v>
      </c>
      <c r="AW43" s="53" t="str">
        <f>IF(ISTEXT(VLOOKUP(CONCATENATE($A43,"_",AW$3),'Unit List'!$A$14:$H$2841,2,FALSE)),"X",$AU43)</f>
        <v>+</v>
      </c>
      <c r="AX43" s="172" t="str">
        <f>IF(ISTEXT(VLOOKUP(CONCATENATE($A43,"_",AX$3),'Unit List'!$A$14:$H$2841,2,FALSE)),"+","")</f>
        <v>+</v>
      </c>
      <c r="AY43" s="51" t="str">
        <f>IF(ISTEXT(VLOOKUP(CONCATENATE($A43,"_",AY$3),'Unit List'!$A$14:$H$2841,2,FALSE)),"X",$AX43)</f>
        <v>+</v>
      </c>
      <c r="AZ43" s="53" t="str">
        <f>IF(ISTEXT(VLOOKUP(CONCATENATE($A43,"_",AZ$3),'Unit List'!$A$14:$H$2841,2,FALSE)),"X",$AX43)</f>
        <v>+</v>
      </c>
      <c r="BA43" s="182" t="str">
        <f>IF(ISTEXT(VLOOKUP(CONCATENATE($A43,"_",BA$3),'Unit List'!$A$14:$H$2841,2,FALSE)),"+","")</f>
        <v>+</v>
      </c>
      <c r="BB43" s="51" t="str">
        <f>IF(ISTEXT(VLOOKUP(CONCATENATE($A43,"_",BB$3),'Unit List'!$A$14:$H$2841,2,FALSE)),"X",$BA43)</f>
        <v>+</v>
      </c>
      <c r="BC43" s="51" t="str">
        <f>IF(ISTEXT(VLOOKUP(CONCATENATE($A43,"_",BC$3),'Unit List'!$A$14:$H$2841,2,FALSE)),"X",$BA43)</f>
        <v>+</v>
      </c>
      <c r="BD43" s="53" t="str">
        <f>IF(ISTEXT(VLOOKUP(CONCATENATE($A43,"_",BD$3),'Unit List'!$A$14:$H$2841,2,FALSE)),"X",$BA43)</f>
        <v>+</v>
      </c>
      <c r="BE43" s="125" t="str">
        <f>IF(ISTEXT(VLOOKUP(CONCATENATE($A43,"_",BE$3),'Unit List'!$A$14:$H$2841,2,FALSE)),"+","")</f>
        <v>+</v>
      </c>
      <c r="BF43" s="62" t="str">
        <f>IF(ISTEXT(VLOOKUP(CONCATENATE($A43,"_",BF$3),'Unit List'!$A$14:$H$2841,2,FALSE)),"X",$BE43)</f>
        <v>+</v>
      </c>
      <c r="BG43" s="75"/>
      <c r="BH43" s="84"/>
      <c r="BI43" s="203"/>
      <c r="BJ43" s="204"/>
      <c r="BK43" s="204"/>
      <c r="BL43" s="204"/>
      <c r="BM43" s="205"/>
      <c r="BN43" s="54"/>
      <c r="BO43" s="54"/>
      <c r="BP43" s="54"/>
      <c r="BQ43" s="54"/>
      <c r="BR43" s="54"/>
      <c r="BS43" s="54"/>
      <c r="DZ43" s="55"/>
      <c r="EA43" s="55"/>
    </row>
    <row r="44" spans="1:131" ht="12.75" customHeight="1" x14ac:dyDescent="0.2">
      <c r="A44" s="56" t="s">
        <v>22</v>
      </c>
      <c r="B44" s="181" t="str">
        <f>IF(ISTEXT(VLOOKUP(CONCATENATE($A44,"_",B$3),'Unit List'!$A$14:$H$2841,2,FALSE)),"+","")</f>
        <v/>
      </c>
      <c r="C44" s="82" t="str">
        <f>IF(ISTEXT(VLOOKUP(CONCATENATE($A44,"_",C$3),'Unit List'!$A$14:$H$2841,2,FALSE)),"X",$B44)</f>
        <v>X</v>
      </c>
      <c r="D44" s="60" t="str">
        <f>IF(ISTEXT(VLOOKUP(CONCATENATE($A44,"_",D$3),'Unit List'!$A$14:$H$2841,2,FALSE)),"X",$B44)</f>
        <v/>
      </c>
      <c r="E44" s="51" t="str">
        <f>IF(ISTEXT(VLOOKUP(CONCATENATE($A44,"_",E$3),'Unit List'!$A$14:$H$2841,2,FALSE)),"X",$B44)</f>
        <v/>
      </c>
      <c r="F44" s="67" t="str">
        <f>IF(ISTEXT(VLOOKUP(CONCATENATE($A44,"_",F$3),'Unit List'!$A$14:$H$2841,2,FALSE)),"X",$B44)</f>
        <v>X</v>
      </c>
      <c r="G44" s="67" t="str">
        <f>IF(ISTEXT(VLOOKUP(CONCATENATE($A44,"_",G$3),'Unit List'!$A$14:$H$2841,2,FALSE)),"X",$B44)</f>
        <v>X</v>
      </c>
      <c r="H44" s="67" t="str">
        <f>IF(ISTEXT(VLOOKUP(CONCATENATE($A44,"_",H$3),'Unit List'!$A$14:$H$2841,2,FALSE)),"X",$B44)</f>
        <v>X</v>
      </c>
      <c r="I44" s="53" t="str">
        <f>IF(ISTEXT(VLOOKUP(CONCATENATE($A44,"_",I$3),'Unit List'!$A$14:$H$2841,2,FALSE)),"X",$B44)</f>
        <v/>
      </c>
      <c r="J44" s="172" t="str">
        <f>IF(ISTEXT(VLOOKUP(CONCATENATE($A44,"_",J$3),'Unit List'!$A$14:$H$2841,2,FALSE)),"+","")</f>
        <v>+</v>
      </c>
      <c r="K44" s="103" t="str">
        <f>IF(ISTEXT(VLOOKUP(CONCATENATE($A44,"_",K$3),'Unit List'!$A$14:$H$2841,2,FALSE)),"X",$J44)</f>
        <v>+</v>
      </c>
      <c r="L44" s="104" t="str">
        <f>IF(ISTEXT(VLOOKUP(CONCATENATE($A44,"_",L$3),'Unit List'!$A$14:$H$2841,2,FALSE)),"X",$J44)</f>
        <v>+</v>
      </c>
      <c r="M44" s="172" t="str">
        <f>IF(ISTEXT(VLOOKUP(CONCATENATE($A44,"_",M$3),'Unit List'!$A$14:$H$2841,2,FALSE)),"+","")</f>
        <v>+</v>
      </c>
      <c r="N44" s="51" t="str">
        <f>IF(ISTEXT(VLOOKUP(CONCATENATE($A44,"_",N$3),'Unit List'!$A$14:$H$2841,2,FALSE)),"X",$M44)</f>
        <v>+</v>
      </c>
      <c r="O44" s="70" t="str">
        <f>IF(ISTEXT(VLOOKUP(CONCATENATE($A44,"_",O$3),'Unit List'!$A$14:$H$2841,2,FALSE)),"X",$M44)</f>
        <v>+</v>
      </c>
      <c r="P44" s="171" t="str">
        <f>IF(ISTEXT(VLOOKUP(CONCATENATE($A44,"_",P$3),'Unit List'!$A$14:$H$2841,2,FALSE)),"+","")</f>
        <v>+</v>
      </c>
      <c r="Q44" s="51" t="str">
        <f>IF(ISTEXT(VLOOKUP(CONCATENATE($A44,"_",Q$3),'Unit List'!$A$14:$H$2841,2,FALSE)),"X",$P44)</f>
        <v>+</v>
      </c>
      <c r="R44" s="51" t="str">
        <f>IF(ISTEXT(VLOOKUP(CONCATENATE($A44,"_",R$3),'Unit List'!$A$14:$H$2841,2,FALSE)),"X",$P44)</f>
        <v>+</v>
      </c>
      <c r="S44" s="67" t="str">
        <f>IF(ISTEXT(VLOOKUP(CONCATENATE($A44,"_",S$3),'Unit List'!$A$14:$H$2841,2,FALSE)),"X",$P44)</f>
        <v>X</v>
      </c>
      <c r="T44" s="52" t="str">
        <f>IF(ISTEXT(VLOOKUP(CONCATENATE($A44,"_",T$3),'Unit List'!$A$14:$H$2841,2,FALSE)),"X",$P44)</f>
        <v>+</v>
      </c>
      <c r="U44" s="67" t="str">
        <f>IF(ISTEXT(VLOOKUP(CONCATENATE($A44,"_",U$3),'Unit List'!$A$14:$H$2841,2,FALSE)),"X",$P44)</f>
        <v>X</v>
      </c>
      <c r="V44" s="67" t="str">
        <f>IF(ISTEXT(VLOOKUP(CONCATENATE($A44,"_",V$3),'Unit List'!$A$14:$H$2841,2,FALSE)),"X",$P44)</f>
        <v>X</v>
      </c>
      <c r="W44" s="53" t="str">
        <f>IF(ISTEXT(VLOOKUP(CONCATENATE($A44,"_",W$3),'Unit List'!$A$14:$H$2841,2,FALSE)),"X",$P44)</f>
        <v>+</v>
      </c>
      <c r="X44" s="171" t="str">
        <f>IF(ISTEXT(VLOOKUP(CONCATENATE($A44,"_",X$3),'Unit List'!$A$14:$H$2841,2,FALSE)),"+","")</f>
        <v>+</v>
      </c>
      <c r="Y44" s="67" t="str">
        <f>IF(ISTEXT(VLOOKUP(CONCATENATE($A44,"_",Y$3),'Unit List'!$A$14:$H$2841,2,FALSE)),"X",$X44)</f>
        <v>X</v>
      </c>
      <c r="Z44" s="51" t="str">
        <f>IF(ISTEXT(VLOOKUP(CONCATENATE($A44,"_",Z$3),'Unit List'!$A$14:$H$2841,2,FALSE)),"X",$X44)</f>
        <v>+</v>
      </c>
      <c r="AA44" s="67" t="str">
        <f>IF(ISTEXT(VLOOKUP(CONCATENATE($A44,"_",AA$3),'Unit List'!$A$14:$H$2841,2,FALSE)),"X",$X44)</f>
        <v>X</v>
      </c>
      <c r="AB44" s="67" t="str">
        <f>IF(ISTEXT(VLOOKUP(CONCATENATE($A44,"_",AB$3),'Unit List'!$A$14:$H$2841,2,FALSE)),"X",$X44)</f>
        <v>X</v>
      </c>
      <c r="AC44" s="86" t="str">
        <f>IF(ISTEXT(VLOOKUP(CONCATENATE($A44,"_",AC$3),'Unit List'!$A$14:$H$2841,2,FALSE)),"X",$X44)</f>
        <v>X</v>
      </c>
      <c r="AD44" s="171" t="str">
        <f>IF(ISTEXT(VLOOKUP(CONCATENATE($A44,"_",AD$3),'Unit List'!$A$14:$H$2841,2,FALSE)),"+","")</f>
        <v>+</v>
      </c>
      <c r="AE44" s="51" t="str">
        <f>IF(ISTEXT(VLOOKUP(CONCATENATE($A44,"_",AE$3),'Unit List'!$A$14:$H$2841,2,FALSE)),"X",$AD44)</f>
        <v>X</v>
      </c>
      <c r="AF44" s="51" t="str">
        <f>IF(ISTEXT(VLOOKUP(CONCATENATE($A44,"_",AF$3),'Unit List'!$A$14:$H$2841,2,FALSE)),"X",$AD44)</f>
        <v>+</v>
      </c>
      <c r="AG44" s="171" t="str">
        <f>IF(ISTEXT(VLOOKUP(CONCATENATE($A44,"_",AG$3),'Unit List'!$A$14:$H$2841,2,FALSE)),"+","")</f>
        <v>+</v>
      </c>
      <c r="AH44" s="67" t="str">
        <f>IF(ISTEXT(VLOOKUP(CONCATENATE($A44,"_",AH$3),'Unit List'!$A$14:$H$2841,2,FALSE)),"X",$AG44)</f>
        <v>+</v>
      </c>
      <c r="AI44" s="67" t="str">
        <f>IF(ISTEXT(VLOOKUP(CONCATENATE($A44,"_",AI$3),'Unit List'!$A$14:$H$2841,2,FALSE)),"X",$AG44)</f>
        <v>X</v>
      </c>
      <c r="AJ44" s="91" t="s">
        <v>0</v>
      </c>
      <c r="AK44" s="171" t="str">
        <f>IF(ISTEXT(VLOOKUP(CONCATENATE($A44,"_",AK$3),'Unit List'!$A$14:$H$2841,2,FALSE)),"+","")</f>
        <v>+</v>
      </c>
      <c r="AL44" s="52" t="str">
        <f>IF(ISTEXT(VLOOKUP(CONCATENATE($A44,"_",AL$3),'Unit List'!$A$14:$H$2841,2,FALSE)),"X",$AK44)</f>
        <v>+</v>
      </c>
      <c r="AM44" s="70" t="str">
        <f>IF(ISTEXT(VLOOKUP(CONCATENATE($A44,"_",AM$3),'Unit List'!$A$14:$H$2841,2,FALSE)),"X",$AK44)</f>
        <v>+</v>
      </c>
      <c r="AN44" s="125" t="str">
        <f>IF(ISTEXT(VLOOKUP(CONCATENATE($A44,"_",AN$3),'Unit List'!$A$14:$H$2841,2,FALSE)),"+","")</f>
        <v>+</v>
      </c>
      <c r="AO44" s="70" t="str">
        <f>IF(ISTEXT(VLOOKUP(CONCATENATE($A44,"_",AO$3),'Unit List'!$A$14:$H$2841,2,FALSE)),"X",$AN44)</f>
        <v>+</v>
      </c>
      <c r="AP44" s="171" t="str">
        <f>IF(ISTEXT(VLOOKUP(CONCATENATE($A44,"_",AP$3),'Unit List'!$A$14:$H$2841,2,FALSE)),"+","")</f>
        <v>+</v>
      </c>
      <c r="AQ44" s="67" t="str">
        <f>IF(ISTEXT(VLOOKUP(CONCATENATE($A44,"_",AQ$3),'Unit List'!$A$14:$H$2841,2,FALSE)),"X",$AP44)</f>
        <v>X</v>
      </c>
      <c r="AR44" s="67" t="str">
        <f>IF(ISTEXT(VLOOKUP(CONCATENATE($A44,"_",AR$3),'Unit List'!$A$14:$H$2841,2,FALSE)),"X",$AP44)</f>
        <v>X</v>
      </c>
      <c r="AS44" s="67" t="str">
        <f>IF(ISTEXT(VLOOKUP(CONCATENATE($A44,"_",AS$3),'Unit List'!$A$14:$H$2841,2,FALSE)),"X",$AP44)</f>
        <v>X</v>
      </c>
      <c r="AT44" s="70" t="str">
        <f>IF(ISTEXT(VLOOKUP(CONCATENATE($A44,"_",AT$3),'Unit List'!$A$14:$H$2841,2,FALSE)),"X",$AP44)</f>
        <v>X</v>
      </c>
      <c r="AU44" s="124" t="str">
        <f>IF(ISTEXT(VLOOKUP(CONCATENATE($A44,"_",AU$3),'Unit List'!$A$14:$H$2841,2,FALSE)),"+","")</f>
        <v>+</v>
      </c>
      <c r="AV44" s="51" t="str">
        <f>IF(ISTEXT(VLOOKUP(CONCATENATE($A44,"_",AV$3),'Unit List'!$A$14:$H$2841,2,FALSE)),"X",$AU44)</f>
        <v>+</v>
      </c>
      <c r="AW44" s="53" t="str">
        <f>IF(ISTEXT(VLOOKUP(CONCATENATE($A44,"_",AW$3),'Unit List'!$A$14:$H$2841,2,FALSE)),"X",$AU44)</f>
        <v>+</v>
      </c>
      <c r="AX44" s="171" t="str">
        <f>IF(ISTEXT(VLOOKUP(CONCATENATE($A44,"_",AX$3),'Unit List'!$A$14:$H$2841,2,FALSE)),"+","")</f>
        <v>+</v>
      </c>
      <c r="AY44" s="67" t="str">
        <f>IF(ISTEXT(VLOOKUP(CONCATENATE($A44,"_",AY$3),'Unit List'!$A$14:$H$2841,2,FALSE)),"X",$AX44)</f>
        <v>+</v>
      </c>
      <c r="AZ44" s="70" t="str">
        <f>IF(ISTEXT(VLOOKUP(CONCATENATE($A44,"_",AZ$3),'Unit List'!$A$14:$H$2841,2,FALSE)),"X",$AX44)</f>
        <v>+</v>
      </c>
      <c r="BA44" s="171" t="str">
        <f>IF(ISTEXT(VLOOKUP(CONCATENATE($A44,"_",BA$3),'Unit List'!$A$14:$H$2841,2,FALSE)),"+","")</f>
        <v>+</v>
      </c>
      <c r="BB44" s="67" t="str">
        <f>IF(ISTEXT(VLOOKUP(CONCATENATE($A44,"_",BB$3),'Unit List'!$A$14:$H$2841,2,FALSE)),"X",$BA44)</f>
        <v>X</v>
      </c>
      <c r="BC44" s="67" t="str">
        <f>IF(ISTEXT(VLOOKUP(CONCATENATE($A44,"_",BC$3),'Unit List'!$A$14:$H$2841,2,FALSE)),"X",$BA44)</f>
        <v>X</v>
      </c>
      <c r="BD44" s="70" t="str">
        <f>IF(ISTEXT(VLOOKUP(CONCATENATE($A44,"_",BD$3),'Unit List'!$A$14:$H$2841,2,FALSE)),"X",$BA44)</f>
        <v>X</v>
      </c>
      <c r="BE44" s="125" t="str">
        <f>IF(ISTEXT(VLOOKUP(CONCATENATE($A44,"_",BE$3),'Unit List'!$A$14:$H$2841,2,FALSE)),"+","")</f>
        <v>+</v>
      </c>
      <c r="BF44" s="62" t="str">
        <f>IF(ISTEXT(VLOOKUP(CONCATENATE($A44,"_",BF$3),'Unit List'!$A$14:$H$2841,2,FALSE)),"X",$BE44)</f>
        <v>+</v>
      </c>
      <c r="BG44" s="75"/>
      <c r="BH44" s="84"/>
      <c r="BI44" s="203" t="s">
        <v>1918</v>
      </c>
      <c r="BJ44" s="204"/>
      <c r="BK44" s="204"/>
      <c r="BL44" s="204"/>
      <c r="BM44" s="205"/>
      <c r="BN44" s="54"/>
      <c r="BO44" s="54"/>
      <c r="BP44" s="54"/>
      <c r="BQ44" s="54"/>
      <c r="BR44" s="54"/>
      <c r="BS44" s="54"/>
      <c r="DZ44" s="55"/>
      <c r="EA44" s="55"/>
    </row>
    <row r="45" spans="1:131" ht="12.75" customHeight="1" x14ac:dyDescent="0.2">
      <c r="A45" s="56" t="s">
        <v>21</v>
      </c>
      <c r="B45" s="181" t="str">
        <f>IF(ISTEXT(VLOOKUP(CONCATENATE($A45,"_",B$3),'Unit List'!$A$14:$H$2841,2,FALSE)),"+","")</f>
        <v/>
      </c>
      <c r="C45" s="82" t="str">
        <f>IF(ISTEXT(VLOOKUP(CONCATENATE($A45,"_",C$3),'Unit List'!$A$14:$H$2841,2,FALSE)),"X",$B45)</f>
        <v>X</v>
      </c>
      <c r="D45" s="67" t="str">
        <f>IF(ISTEXT(VLOOKUP(CONCATENATE($A45,"_",D$3),'Unit List'!$A$14:$H$2841,2,FALSE)),"X",$B45)</f>
        <v>X</v>
      </c>
      <c r="E45" s="67" t="str">
        <f>IF(ISTEXT(VLOOKUP(CONCATENATE($A45,"_",E$3),'Unit List'!$A$14:$H$2841,2,FALSE)),"X",$B45)</f>
        <v>X</v>
      </c>
      <c r="F45" s="67" t="str">
        <f>IF(ISTEXT(VLOOKUP(CONCATENATE($A45,"_",F$3),'Unit List'!$A$14:$H$2841,2,FALSE)),"X",$B45)</f>
        <v>X</v>
      </c>
      <c r="G45" s="67" t="str">
        <f>IF(ISTEXT(VLOOKUP(CONCATENATE($A45,"_",G$3),'Unit List'!$A$14:$H$2841,2,FALSE)),"X",$B45)</f>
        <v>X</v>
      </c>
      <c r="H45" s="67" t="str">
        <f>IF(ISTEXT(VLOOKUP(CONCATENATE($A45,"_",H$3),'Unit List'!$A$14:$H$2841,2,FALSE)),"X",$B45)</f>
        <v>X</v>
      </c>
      <c r="I45" s="70" t="str">
        <f>IF(ISTEXT(VLOOKUP(CONCATENATE($A45,"_",I$3),'Unit List'!$A$14:$H$2841,2,FALSE)),"X",$B45)</f>
        <v>X</v>
      </c>
      <c r="J45" s="172" t="str">
        <f>IF(ISTEXT(VLOOKUP(CONCATENATE($A45,"_",J$3),'Unit List'!$A$14:$H$2841,2,FALSE)),"+","")</f>
        <v>+</v>
      </c>
      <c r="K45" s="72" t="s">
        <v>0</v>
      </c>
      <c r="L45" s="105" t="s">
        <v>3</v>
      </c>
      <c r="M45" s="172" t="str">
        <f>IF(ISTEXT(VLOOKUP(CONCATENATE($A45,"_",M$3),'Unit List'!$A$14:$H$2841,2,FALSE)),"+","")</f>
        <v/>
      </c>
      <c r="N45" s="51" t="str">
        <f>IF(ISTEXT(VLOOKUP(CONCATENATE($A45,"_",N$3),'Unit List'!$A$14:$H$2841,2,FALSE)),"X",$M45)</f>
        <v/>
      </c>
      <c r="O45" s="70" t="str">
        <f>IF(ISTEXT(VLOOKUP(CONCATENATE($A45,"_",O$3),'Unit List'!$A$14:$H$2841,2,FALSE)),"X",$M45)</f>
        <v>X</v>
      </c>
      <c r="P45" s="172" t="str">
        <f>IF(ISTEXT(VLOOKUP(CONCATENATE($A45,"_",P$3),'Unit List'!$A$14:$H$2841,2,FALSE)),"+","")</f>
        <v/>
      </c>
      <c r="Q45" s="51" t="str">
        <f>IF(ISTEXT(VLOOKUP(CONCATENATE($A45,"_",Q$3),'Unit List'!$A$14:$H$2841,2,FALSE)),"X",$P45)</f>
        <v/>
      </c>
      <c r="R45" s="51" t="str">
        <f>IF(ISTEXT(VLOOKUP(CONCATENATE($A45,"_",R$3),'Unit List'!$A$14:$H$2841,2,FALSE)),"X",$P45)</f>
        <v/>
      </c>
      <c r="S45" s="67" t="str">
        <f>IF(ISTEXT(VLOOKUP(CONCATENATE($A45,"_",S$3),'Unit List'!$A$14:$H$2841,2,FALSE)),"X",$P45)</f>
        <v>X</v>
      </c>
      <c r="T45" s="52" t="str">
        <f>IF(ISTEXT(VLOOKUP(CONCATENATE($A45,"_",T$3),'Unit List'!$A$14:$H$2841,2,FALSE)),"X",$P45)</f>
        <v/>
      </c>
      <c r="U45" s="51" t="str">
        <f>IF(ISTEXT(VLOOKUP(CONCATENATE($A45,"_",U$3),'Unit List'!$A$14:$H$2841,2,FALSE)),"X",$P45)</f>
        <v/>
      </c>
      <c r="V45" s="67" t="str">
        <f>IF(ISTEXT(VLOOKUP(CONCATENATE($A45,"_",V$3),'Unit List'!$A$14:$H$2841,2,FALSE)),"X",$P45)</f>
        <v>X</v>
      </c>
      <c r="W45" s="53" t="str">
        <f>IF(ISTEXT(VLOOKUP(CONCATENATE($A45,"_",W$3),'Unit List'!$A$14:$H$2841,2,FALSE)),"X",$P45)</f>
        <v/>
      </c>
      <c r="X45" s="171" t="str">
        <f>IF(ISTEXT(VLOOKUP(CONCATENATE($A45,"_",X$3),'Unit List'!$A$14:$H$2841,2,FALSE)),"+","")</f>
        <v>+</v>
      </c>
      <c r="Y45" s="67" t="str">
        <f>IF(ISTEXT(VLOOKUP(CONCATENATE($A45,"_",Y$3),'Unit List'!$A$14:$H$2841,2,FALSE)),"X",$X45)</f>
        <v>X</v>
      </c>
      <c r="Z45" s="51" t="str">
        <f>IF(ISTEXT(VLOOKUP(CONCATENATE($A45,"_",Z$3),'Unit List'!$A$14:$H$2841,2,FALSE)),"X",$X45)</f>
        <v>+</v>
      </c>
      <c r="AA45" s="67" t="str">
        <f>IF(ISTEXT(VLOOKUP(CONCATENATE($A45,"_",AA$3),'Unit List'!$A$14:$H$2841,2,FALSE)),"X",$X45)</f>
        <v>X</v>
      </c>
      <c r="AB45" s="67" t="str">
        <f>IF(ISTEXT(VLOOKUP(CONCATENATE($A45,"_",AB$3),'Unit List'!$A$14:$H$2841,2,FALSE)),"X",$X45)</f>
        <v>X</v>
      </c>
      <c r="AC45" s="86" t="str">
        <f>IF(ISTEXT(VLOOKUP(CONCATENATE($A45,"_",AC$3),'Unit List'!$A$14:$H$2841,2,FALSE)),"X",$X45)</f>
        <v>X</v>
      </c>
      <c r="AD45" s="172" t="str">
        <f>IF(ISTEXT(VLOOKUP(CONCATENATE($A45,"_",AD$3),'Unit List'!$A$14:$H$2841,2,FALSE)),"+","")</f>
        <v>+</v>
      </c>
      <c r="AE45" s="51" t="str">
        <f>IF(ISTEXT(VLOOKUP(CONCATENATE($A45,"_",AE$3),'Unit List'!$A$14:$H$2841,2,FALSE)),"X",$AD45)</f>
        <v>+</v>
      </c>
      <c r="AF45" s="51" t="str">
        <f>IF(ISTEXT(VLOOKUP(CONCATENATE($A45,"_",AF$3),'Unit List'!$A$14:$H$2841,2,FALSE)),"X",$AD45)</f>
        <v>+</v>
      </c>
      <c r="AG45" s="172" t="str">
        <f>IF(ISTEXT(VLOOKUP(CONCATENATE($A45,"_",AG$3),'Unit List'!$A$14:$H$2841,2,FALSE)),"+","")</f>
        <v>+</v>
      </c>
      <c r="AH45" s="89" t="s">
        <v>0</v>
      </c>
      <c r="AI45" s="51" t="str">
        <f>IF(ISTEXT(VLOOKUP(CONCATENATE($A45,"_",AI$3),'Unit List'!$A$14:$H$2841,2,FALSE)),"X",$AG45)</f>
        <v>+</v>
      </c>
      <c r="AJ45" s="53" t="str">
        <f>IF(ISTEXT(VLOOKUP(CONCATENATE($A45,"_",AJ$3),'Unit List'!$A$14:$H$2841,2,FALSE)),"X",$AG45)</f>
        <v>+</v>
      </c>
      <c r="AK45" s="171" t="str">
        <f>IF(ISTEXT(VLOOKUP(CONCATENATE($A45,"_",AK$3),'Unit List'!$A$14:$H$2841,2,FALSE)),"+","")</f>
        <v>+</v>
      </c>
      <c r="AL45" s="52" t="str">
        <f>IF(ISTEXT(VLOOKUP(CONCATENATE($A45,"_",AL$3),'Unit List'!$A$14:$H$2841,2,FALSE)),"X",$AK45)</f>
        <v>X</v>
      </c>
      <c r="AM45" s="70" t="str">
        <f>IF(ISTEXT(VLOOKUP(CONCATENATE($A45,"_",AM$3),'Unit List'!$A$14:$H$2841,2,FALSE)),"X",$AK45)</f>
        <v>+</v>
      </c>
      <c r="AN45" s="125" t="str">
        <f>IF(ISTEXT(VLOOKUP(CONCATENATE($A45,"_",AN$3),'Unit List'!$A$14:$H$2841,2,FALSE)),"+","")</f>
        <v>+</v>
      </c>
      <c r="AO45" s="70" t="str">
        <f>IF(ISTEXT(VLOOKUP(CONCATENATE($A45,"_",AO$3),'Unit List'!$A$14:$H$2841,2,FALSE)),"X",$AN45)</f>
        <v>X</v>
      </c>
      <c r="AP45" s="171" t="str">
        <f>IF(ISTEXT(VLOOKUP(CONCATENATE($A45,"_",AP$3),'Unit List'!$A$14:$H$2841,2,FALSE)),"+","")</f>
        <v>+</v>
      </c>
      <c r="AQ45" s="67" t="str">
        <f>IF(ISTEXT(VLOOKUP(CONCATENATE($A45,"_",AQ$3),'Unit List'!$A$14:$H$2841,2,FALSE)),"X",$AP45)</f>
        <v>X</v>
      </c>
      <c r="AR45" s="67" t="str">
        <f>IF(ISTEXT(VLOOKUP(CONCATENATE($A45,"_",AR$3),'Unit List'!$A$14:$H$2841,2,FALSE)),"X",$AP45)</f>
        <v>X</v>
      </c>
      <c r="AS45" s="51" t="str">
        <f>IF(ISTEXT(VLOOKUP(CONCATENATE($A45,"_",AS$3),'Unit List'!$A$14:$H$2841,2,FALSE)),"X",$AP45)</f>
        <v>+</v>
      </c>
      <c r="AT45" s="70" t="str">
        <f>IF(ISTEXT(VLOOKUP(CONCATENATE($A45,"_",AT$3),'Unit List'!$A$14:$H$2841,2,FALSE)),"X",$AP45)</f>
        <v>+</v>
      </c>
      <c r="AU45" s="124" t="str">
        <f>IF(ISTEXT(VLOOKUP(CONCATENATE($A45,"_",AU$3),'Unit List'!$A$14:$H$2841,2,FALSE)),"+","")</f>
        <v>+</v>
      </c>
      <c r="AV45" s="51" t="str">
        <f>IF(ISTEXT(VLOOKUP(CONCATENATE($A45,"_",AV$3),'Unit List'!$A$14:$H$2841,2,FALSE)),"X",$AU45)</f>
        <v>+</v>
      </c>
      <c r="AW45" s="70" t="str">
        <f>IF(ISTEXT(VLOOKUP(CONCATENATE($A45,"_",AW$3),'Unit List'!$A$14:$H$2841,2,FALSE)),"X",$AU45)</f>
        <v>+</v>
      </c>
      <c r="AX45" s="171" t="str">
        <f>IF(ISTEXT(VLOOKUP(CONCATENATE($A45,"_",AX$3),'Unit List'!$A$14:$H$2841,2,FALSE)),"+","")</f>
        <v>+</v>
      </c>
      <c r="AY45" s="67" t="str">
        <f>IF(ISTEXT(VLOOKUP(CONCATENATE($A45,"_",AY$3),'Unit List'!$A$14:$H$2841,2,FALSE)),"X",$AX45)</f>
        <v>X</v>
      </c>
      <c r="AZ45" s="70" t="str">
        <f>IF(ISTEXT(VLOOKUP(CONCATENATE($A45,"_",AZ$3),'Unit List'!$A$14:$H$2841,2,FALSE)),"X",$AX45)</f>
        <v>+</v>
      </c>
      <c r="BA45" s="171" t="str">
        <f>IF(ISTEXT(VLOOKUP(CONCATENATE($A45,"_",BA$3),'Unit List'!$A$14:$H$2841,2,FALSE)),"+","")</f>
        <v>+</v>
      </c>
      <c r="BB45" s="67" t="str">
        <f>IF(ISTEXT(VLOOKUP(CONCATENATE($A45,"_",BB$3),'Unit List'!$A$14:$H$2841,2,FALSE)),"X",$BA45)</f>
        <v>X</v>
      </c>
      <c r="BC45" s="51" t="str">
        <f>IF(ISTEXT(VLOOKUP(CONCATENATE($A45,"_",BC$3),'Unit List'!$A$14:$H$2841,2,FALSE)),"X",$BA45)</f>
        <v>X</v>
      </c>
      <c r="BD45" s="53" t="str">
        <f>IF(ISTEXT(VLOOKUP(CONCATENATE($A45,"_",BD$3),'Unit List'!$A$14:$H$2841,2,FALSE)),"X",$BA45)</f>
        <v>X</v>
      </c>
      <c r="BE45" s="125" t="str">
        <f>IF(ISTEXT(VLOOKUP(CONCATENATE($A45,"_",BE$3),'Unit List'!$A$14:$H$2841,2,FALSE)),"+","")</f>
        <v>+</v>
      </c>
      <c r="BF45" s="62" t="str">
        <f>IF(ISTEXT(VLOOKUP(CONCATENATE($A45,"_",BF$3),'Unit List'!$A$14:$H$2841,2,FALSE)),"X",$BE45)</f>
        <v>+</v>
      </c>
      <c r="BG45" s="75"/>
      <c r="BH45" s="84"/>
      <c r="BI45" s="203"/>
      <c r="BJ45" s="204"/>
      <c r="BK45" s="204"/>
      <c r="BL45" s="204"/>
      <c r="BM45" s="205"/>
      <c r="BN45" s="54"/>
      <c r="BO45" s="54"/>
      <c r="BP45" s="54"/>
      <c r="BQ45" s="54"/>
      <c r="BR45" s="54"/>
      <c r="BS45" s="54"/>
      <c r="DZ45" s="55"/>
      <c r="EA45" s="55"/>
    </row>
    <row r="46" spans="1:131" ht="12.75" customHeight="1" x14ac:dyDescent="0.2">
      <c r="A46" s="56" t="s">
        <v>1150</v>
      </c>
      <c r="B46" s="181" t="str">
        <f>IF(ISTEXT(VLOOKUP(CONCATENATE($A46,"_",B$3),'Unit List'!$A$14:$H$2841,2,FALSE)),"+","")</f>
        <v/>
      </c>
      <c r="C46" s="57" t="str">
        <f>IF(ISTEXT(VLOOKUP(CONCATENATE($A46,"_",C$3),'Unit List'!$A$14:$H$2841,2,FALSE)),"X",$B46)</f>
        <v/>
      </c>
      <c r="D46" s="51" t="str">
        <f>IF(ISTEXT(VLOOKUP(CONCATENATE($A46,"_",D$3),'Unit List'!$A$14:$H$2841,2,FALSE)),"X",$B46)</f>
        <v/>
      </c>
      <c r="E46" s="51" t="str">
        <f>IF(ISTEXT(VLOOKUP(CONCATENATE($A46,"_",E$3),'Unit List'!$A$14:$H$2841,2,FALSE)),"X",$B46)</f>
        <v/>
      </c>
      <c r="F46" s="51" t="str">
        <f>IF(ISTEXT(VLOOKUP(CONCATENATE($A46,"_",F$3),'Unit List'!$A$14:$H$2841,2,FALSE)),"X",$B46)</f>
        <v/>
      </c>
      <c r="G46" s="51" t="str">
        <f>IF(ISTEXT(VLOOKUP(CONCATENATE($A46,"_",G$3),'Unit List'!$A$14:$H$2841,2,FALSE)),"X",$B46)</f>
        <v/>
      </c>
      <c r="H46" s="51" t="str">
        <f>IF(ISTEXT(VLOOKUP(CONCATENATE($A46,"_",H$3),'Unit List'!$A$14:$H$2841,2,FALSE)),"X",$B46)</f>
        <v/>
      </c>
      <c r="I46" s="53" t="str">
        <f>IF(ISTEXT(VLOOKUP(CONCATENATE($A46,"_",I$3),'Unit List'!$A$14:$H$2841,2,FALSE)),"X",$B46)</f>
        <v/>
      </c>
      <c r="J46" s="172" t="str">
        <f>IF(ISTEXT(VLOOKUP(CONCATENATE($A46,"_",J$3),'Unit List'!$A$14:$H$2841,2,FALSE)),"+","")</f>
        <v/>
      </c>
      <c r="K46" s="51" t="str">
        <f>IF(ISTEXT(VLOOKUP(CONCATENATE($A46,"_",K$3),'Unit List'!$A$14:$H$2841,2,FALSE)),"X",$J46)</f>
        <v/>
      </c>
      <c r="L46" s="62" t="str">
        <f>IF(ISTEXT(VLOOKUP(CONCATENATE($A46,"_",L$3),'Unit List'!$A$14:$H$2841,2,FALSE)),"X",$J46)</f>
        <v/>
      </c>
      <c r="M46" s="172" t="str">
        <f>IF(ISTEXT(VLOOKUP(CONCATENATE($A46,"_",M$3),'Unit List'!$A$14:$H$2841,2,FALSE)),"+","")</f>
        <v/>
      </c>
      <c r="N46" s="51" t="str">
        <f>IF(ISTEXT(VLOOKUP(CONCATENATE($A46,"_",N$3),'Unit List'!$A$14:$H$2841,2,FALSE)),"X",$M46)</f>
        <v/>
      </c>
      <c r="O46" s="53" t="str">
        <f>IF(ISTEXT(VLOOKUP(CONCATENATE($A46,"_",O$3),'Unit List'!$A$14:$H$2841,2,FALSE)),"X",$M46)</f>
        <v/>
      </c>
      <c r="P46" s="172" t="str">
        <f>IF(ISTEXT(VLOOKUP(CONCATENATE($A46,"_",P$3),'Unit List'!$A$14:$H$2841,2,FALSE)),"+","")</f>
        <v/>
      </c>
      <c r="Q46" s="51" t="str">
        <f>IF(ISTEXT(VLOOKUP(CONCATENATE($A46,"_",Q$3),'Unit List'!$A$14:$H$2841,2,FALSE)),"X",$P46)</f>
        <v/>
      </c>
      <c r="R46" s="51" t="str">
        <f>IF(ISTEXT(VLOOKUP(CONCATENATE($A46,"_",R$3),'Unit List'!$A$14:$H$2841,2,FALSE)),"X",$P46)</f>
        <v/>
      </c>
      <c r="S46" s="51" t="str">
        <f>IF(ISTEXT(VLOOKUP(CONCATENATE($A46,"_",S$3),'Unit List'!$A$14:$H$2841,2,FALSE)),"X",$P46)</f>
        <v/>
      </c>
      <c r="T46" s="52" t="str">
        <f>IF(ISTEXT(VLOOKUP(CONCATENATE($A46,"_",T$3),'Unit List'!$A$14:$H$2841,2,FALSE)),"X",$P46)</f>
        <v/>
      </c>
      <c r="U46" s="51" t="str">
        <f>IF(ISTEXT(VLOOKUP(CONCATENATE($A46,"_",U$3),'Unit List'!$A$14:$H$2841,2,FALSE)),"X",$P46)</f>
        <v/>
      </c>
      <c r="V46" s="51" t="str">
        <f>IF(ISTEXT(VLOOKUP(CONCATENATE($A46,"_",V$3),'Unit List'!$A$14:$H$2841,2,FALSE)),"X",$P46)</f>
        <v/>
      </c>
      <c r="W46" s="53" t="str">
        <f>IF(ISTEXT(VLOOKUP(CONCATENATE($A46,"_",W$3),'Unit List'!$A$14:$H$2841,2,FALSE)),"X",$P46)</f>
        <v/>
      </c>
      <c r="X46" s="172" t="str">
        <f>IF(ISTEXT(VLOOKUP(CONCATENATE($A46,"_",X$3),'Unit List'!$A$14:$H$2841,2,FALSE)),"+","")</f>
        <v/>
      </c>
      <c r="Y46" s="51" t="str">
        <f>IF(ISTEXT(VLOOKUP(CONCATENATE($A46,"_",Y$3),'Unit List'!$A$14:$H$2841,2,FALSE)),"X",$X46)</f>
        <v/>
      </c>
      <c r="Z46" s="51" t="str">
        <f>IF(ISTEXT(VLOOKUP(CONCATENATE($A46,"_",Z$3),'Unit List'!$A$14:$H$2841,2,FALSE)),"X",$X46)</f>
        <v/>
      </c>
      <c r="AA46" s="51" t="str">
        <f>IF(ISTEXT(VLOOKUP(CONCATENATE($A46,"_",AA$3),'Unit List'!$A$14:$H$2841,2,FALSE)),"X",$X46)</f>
        <v/>
      </c>
      <c r="AB46" s="51" t="str">
        <f>IF(ISTEXT(VLOOKUP(CONCATENATE($A46,"_",AB$3),'Unit List'!$A$14:$H$2841,2,FALSE)),"X",$X46)</f>
        <v/>
      </c>
      <c r="AC46" s="62" t="str">
        <f>IF(ISTEXT(VLOOKUP(CONCATENATE($A46,"_",AC$3),'Unit List'!$A$14:$H$2841,2,FALSE)),"X",$X46)</f>
        <v/>
      </c>
      <c r="AD46" s="172" t="str">
        <f>IF(ISTEXT(VLOOKUP(CONCATENATE($A46,"_",AD$3),'Unit List'!$A$14:$H$2841,2,FALSE)),"+","")</f>
        <v/>
      </c>
      <c r="AE46" s="51" t="str">
        <f>IF(ISTEXT(VLOOKUP(CONCATENATE($A46,"_",AE$3),'Unit List'!$A$14:$H$2841,2,FALSE)),"X",$AD46)</f>
        <v/>
      </c>
      <c r="AF46" s="51" t="str">
        <f>IF(ISTEXT(VLOOKUP(CONCATENATE($A46,"_",AF$3),'Unit List'!$A$14:$H$2841,2,FALSE)),"X",$AD46)</f>
        <v/>
      </c>
      <c r="AG46" s="172" t="str">
        <f>IF(ISTEXT(VLOOKUP(CONCATENATE($A46,"_",AG$3),'Unit List'!$A$14:$H$2841,2,FALSE)),"+","")</f>
        <v/>
      </c>
      <c r="AH46" s="51" t="str">
        <f>IF(ISTEXT(VLOOKUP(CONCATENATE($A46,"_",AH$3),'Unit List'!$A$14:$H$2841,2,FALSE)),"X",$AG46)</f>
        <v/>
      </c>
      <c r="AI46" s="51" t="str">
        <f>IF(ISTEXT(VLOOKUP(CONCATENATE($A46,"_",AI$3),'Unit List'!$A$14:$H$2841,2,FALSE)),"X",$AG46)</f>
        <v/>
      </c>
      <c r="AJ46" s="53" t="str">
        <f>IF(ISTEXT(VLOOKUP(CONCATENATE($A46,"_",AJ$3),'Unit List'!$A$14:$H$2841,2,FALSE)),"X",$AG46)</f>
        <v/>
      </c>
      <c r="AK46" s="172" t="str">
        <f>IF(ISTEXT(VLOOKUP(CONCATENATE($A46,"_",AK$3),'Unit List'!$A$14:$H$2841,2,FALSE)),"+","")</f>
        <v/>
      </c>
      <c r="AL46" s="52" t="str">
        <f>IF(ISTEXT(VLOOKUP(CONCATENATE($A46,"_",AL$3),'Unit List'!$A$14:$H$2841,2,FALSE)),"X",$AK46)</f>
        <v/>
      </c>
      <c r="AM46" s="53" t="str">
        <f>IF(ISTEXT(VLOOKUP(CONCATENATE($A46,"_",AM$3),'Unit List'!$A$14:$H$2841,2,FALSE)),"X",$AK46)</f>
        <v/>
      </c>
      <c r="AN46" s="125" t="str">
        <f>IF(ISTEXT(VLOOKUP(CONCATENATE($A46,"_",AN$3),'Unit List'!$A$14:$H$2841,2,FALSE)),"+","")</f>
        <v/>
      </c>
      <c r="AO46" s="53" t="str">
        <f>IF(ISTEXT(VLOOKUP(CONCATENATE($A46,"_",AO$3),'Unit List'!$A$14:$H$2841,2,FALSE)),"X",$AN46)</f>
        <v/>
      </c>
      <c r="AP46" s="172" t="str">
        <f>IF(ISTEXT(VLOOKUP(CONCATENATE($A46,"_",AP$3),'Unit List'!$A$14:$H$2841,2,FALSE)),"+","")</f>
        <v/>
      </c>
      <c r="AQ46" s="51" t="str">
        <f>IF(ISTEXT(VLOOKUP(CONCATENATE($A46,"_",AQ$3),'Unit List'!$A$14:$H$2841,2,FALSE)),"X",$AP46)</f>
        <v/>
      </c>
      <c r="AR46" s="51" t="str">
        <f>IF(ISTEXT(VLOOKUP(CONCATENATE($A46,"_",AR$3),'Unit List'!$A$14:$H$2841,2,FALSE)),"X",$AP46)</f>
        <v/>
      </c>
      <c r="AS46" s="51" t="str">
        <f>IF(ISTEXT(VLOOKUP(CONCATENATE($A46,"_",AS$3),'Unit List'!$A$14:$H$2841,2,FALSE)),"X",$AP46)</f>
        <v/>
      </c>
      <c r="AT46" s="53" t="str">
        <f>IF(ISTEXT(VLOOKUP(CONCATENATE($A46,"_",AT$3),'Unit List'!$A$14:$H$2841,2,FALSE)),"X",$AP46)</f>
        <v/>
      </c>
      <c r="AU46" s="124" t="str">
        <f>IF(ISTEXT(VLOOKUP(CONCATENATE($A46,"_",AU$3),'Unit List'!$A$14:$H$2841,2,FALSE)),"+","")</f>
        <v/>
      </c>
      <c r="AV46" s="51" t="str">
        <f>IF(ISTEXT(VLOOKUP(CONCATENATE($A46,"_",AV$3),'Unit List'!$A$14:$H$2841,2,FALSE)),"X",$AU46)</f>
        <v/>
      </c>
      <c r="AW46" s="53" t="str">
        <f>IF(ISTEXT(VLOOKUP(CONCATENATE($A46,"_",AW$3),'Unit List'!$A$14:$H$2841,2,FALSE)),"X",$AU46)</f>
        <v/>
      </c>
      <c r="AX46" s="172" t="str">
        <f>IF(ISTEXT(VLOOKUP(CONCATENATE($A46,"_",AX$3),'Unit List'!$A$14:$H$2841,2,FALSE)),"+","")</f>
        <v/>
      </c>
      <c r="AY46" s="51" t="str">
        <f>IF(ISTEXT(VLOOKUP(CONCATENATE($A46,"_",AY$3),'Unit List'!$A$14:$H$2841,2,FALSE)),"X",$AX46)</f>
        <v/>
      </c>
      <c r="AZ46" s="53" t="str">
        <f>IF(ISTEXT(VLOOKUP(CONCATENATE($A46,"_",AZ$3),'Unit List'!$A$14:$H$2841,2,FALSE)),"X",$AX46)</f>
        <v/>
      </c>
      <c r="BA46" s="182" t="str">
        <f>IF(ISTEXT(VLOOKUP(CONCATENATE($A46,"_",BA$3),'Unit List'!$A$14:$H$2841,2,FALSE)),"+","")</f>
        <v/>
      </c>
      <c r="BB46" s="51" t="str">
        <f>IF(ISTEXT(VLOOKUP(CONCATENATE($A46,"_",BB$3),'Unit List'!$A$14:$H$2841,2,FALSE)),"X",$BA46)</f>
        <v/>
      </c>
      <c r="BC46" s="51" t="str">
        <f>IF(ISTEXT(VLOOKUP(CONCATENATE($A46,"_",BC$3),'Unit List'!$A$14:$H$2841,2,FALSE)),"X",$BA46)</f>
        <v/>
      </c>
      <c r="BD46" s="53" t="str">
        <f>IF(ISTEXT(VLOOKUP(CONCATENATE($A46,"_",BD$3),'Unit List'!$A$14:$H$2841,2,FALSE)),"X",$BA46)</f>
        <v/>
      </c>
      <c r="BE46" s="125" t="str">
        <f>IF(ISTEXT(VLOOKUP(CONCATENATE($A46,"_",BE$3),'Unit List'!$A$14:$H$2841,2,FALSE)),"+","")</f>
        <v/>
      </c>
      <c r="BF46" s="62" t="str">
        <f>IF(ISTEXT(VLOOKUP(CONCATENATE($A46,"_",BF$3),'Unit List'!$A$14:$H$2841,2,FALSE)),"X",$BE46)</f>
        <v/>
      </c>
      <c r="BG46" s="64"/>
      <c r="BH46" s="65" t="s">
        <v>0</v>
      </c>
      <c r="BI46" s="203"/>
      <c r="BJ46" s="204"/>
      <c r="BK46" s="204"/>
      <c r="BL46" s="204"/>
      <c r="BM46" s="205"/>
      <c r="BN46" s="54"/>
      <c r="BO46" s="54"/>
      <c r="BP46" s="54"/>
      <c r="BQ46" s="54"/>
      <c r="BR46" s="54"/>
      <c r="BS46" s="54"/>
      <c r="DZ46" s="55"/>
      <c r="EA46" s="55"/>
    </row>
    <row r="47" spans="1:131" ht="12.75" customHeight="1" x14ac:dyDescent="0.2">
      <c r="A47" s="56" t="s">
        <v>20</v>
      </c>
      <c r="B47" s="181" t="str">
        <f>IF(ISTEXT(VLOOKUP(CONCATENATE($A47,"_",B$3),'Unit List'!$A$14:$H$2841,2,FALSE)),"+","")</f>
        <v/>
      </c>
      <c r="C47" s="57" t="str">
        <f>IF(ISTEXT(VLOOKUP(CONCATENATE($A47,"_",C$3),'Unit List'!$A$14:$H$2841,2,FALSE)),"X",$B47)</f>
        <v/>
      </c>
      <c r="D47" s="51" t="str">
        <f>IF(ISTEXT(VLOOKUP(CONCATENATE($A47,"_",D$3),'Unit List'!$A$14:$H$2841,2,FALSE)),"X",$B47)</f>
        <v/>
      </c>
      <c r="E47" s="51" t="str">
        <f>IF(ISTEXT(VLOOKUP(CONCATENATE($A47,"_",E$3),'Unit List'!$A$14:$H$2841,2,FALSE)),"X",$B47)</f>
        <v>X</v>
      </c>
      <c r="F47" s="51" t="str">
        <f>IF(ISTEXT(VLOOKUP(CONCATENATE($A47,"_",F$3),'Unit List'!$A$14:$H$2841,2,FALSE)),"X",$B47)</f>
        <v>X</v>
      </c>
      <c r="G47" s="51" t="str">
        <f>IF(ISTEXT(VLOOKUP(CONCATENATE($A47,"_",G$3),'Unit List'!$A$14:$H$2841,2,FALSE)),"X",$B47)</f>
        <v>X</v>
      </c>
      <c r="H47" s="51" t="str">
        <f>IF(ISTEXT(VLOOKUP(CONCATENATE($A47,"_",H$3),'Unit List'!$A$14:$H$2841,2,FALSE)),"X",$B47)</f>
        <v/>
      </c>
      <c r="I47" s="53" t="str">
        <f>IF(ISTEXT(VLOOKUP(CONCATENATE($A47,"_",I$3),'Unit List'!$A$14:$H$2841,2,FALSE)),"X",$B47)</f>
        <v>X</v>
      </c>
      <c r="J47" s="172" t="str">
        <f>IF(ISTEXT(VLOOKUP(CONCATENATE($A47,"_",J$3),'Unit List'!$A$14:$H$2841,2,FALSE)),"+","")</f>
        <v>+</v>
      </c>
      <c r="K47" s="51" t="str">
        <f>IF(ISTEXT(VLOOKUP(CONCATENATE($A47,"_",K$3),'Unit List'!$A$14:$H$2841,2,FALSE)),"X",$J47)</f>
        <v>+</v>
      </c>
      <c r="L47" s="62" t="str">
        <f>IF(ISTEXT(VLOOKUP(CONCATENATE($A47,"_",L$3),'Unit List'!$A$14:$H$2841,2,FALSE)),"X",$J47)</f>
        <v>+</v>
      </c>
      <c r="M47" s="172" t="str">
        <f>IF(ISTEXT(VLOOKUP(CONCATENATE($A47,"_",M$3),'Unit List'!$A$14:$H$2841,2,FALSE)),"+","")</f>
        <v/>
      </c>
      <c r="N47" s="51" t="str">
        <f>IF(ISTEXT(VLOOKUP(CONCATENATE($A47,"_",N$3),'Unit List'!$A$14:$H$2841,2,FALSE)),"X",$M47)</f>
        <v/>
      </c>
      <c r="O47" s="53" t="str">
        <f>IF(ISTEXT(VLOOKUP(CONCATENATE($A47,"_",O$3),'Unit List'!$A$14:$H$2841,2,FALSE)),"X",$M47)</f>
        <v/>
      </c>
      <c r="P47" s="172" t="str">
        <f>IF(ISTEXT(VLOOKUP(CONCATENATE($A47,"_",P$3),'Unit List'!$A$14:$H$2841,2,FALSE)),"+","")</f>
        <v>+</v>
      </c>
      <c r="Q47" s="51" t="str">
        <f>IF(ISTEXT(VLOOKUP(CONCATENATE($A47,"_",Q$3),'Unit List'!$A$14:$H$2841,2,FALSE)),"X",$P47)</f>
        <v>+</v>
      </c>
      <c r="R47" s="51" t="str">
        <f>IF(ISTEXT(VLOOKUP(CONCATENATE($A47,"_",R$3),'Unit List'!$A$14:$H$2841,2,FALSE)),"X",$P47)</f>
        <v>+</v>
      </c>
      <c r="S47" s="51" t="str">
        <f>IF(ISTEXT(VLOOKUP(CONCATENATE($A47,"_",S$3),'Unit List'!$A$14:$H$2841,2,FALSE)),"X",$P47)</f>
        <v>+</v>
      </c>
      <c r="T47" s="52" t="str">
        <f>IF(ISTEXT(VLOOKUP(CONCATENATE($A47,"_",T$3),'Unit List'!$A$14:$H$2841,2,FALSE)),"X",$P47)</f>
        <v>+</v>
      </c>
      <c r="U47" s="51" t="str">
        <f>IF(ISTEXT(VLOOKUP(CONCATENATE($A47,"_",U$3),'Unit List'!$A$14:$H$2841,2,FALSE)),"X",$P47)</f>
        <v>+</v>
      </c>
      <c r="V47" s="51" t="str">
        <f>IF(ISTEXT(VLOOKUP(CONCATENATE($A47,"_",V$3),'Unit List'!$A$14:$H$2841,2,FALSE)),"X",$P47)</f>
        <v>+</v>
      </c>
      <c r="W47" s="53" t="str">
        <f>IF(ISTEXT(VLOOKUP(CONCATENATE($A47,"_",W$3),'Unit List'!$A$14:$H$2841,2,FALSE)),"X",$P47)</f>
        <v>+</v>
      </c>
      <c r="X47" s="172" t="str">
        <f>IF(ISTEXT(VLOOKUP(CONCATENATE($A47,"_",X$3),'Unit List'!$A$14:$H$2841,2,FALSE)),"+","")</f>
        <v>+</v>
      </c>
      <c r="Y47" s="51" t="str">
        <f>IF(ISTEXT(VLOOKUP(CONCATENATE($A47,"_",Y$3),'Unit List'!$A$14:$H$2841,2,FALSE)),"X",$X47)</f>
        <v>+</v>
      </c>
      <c r="Z47" s="51" t="str">
        <f>IF(ISTEXT(VLOOKUP(CONCATENATE($A47,"_",Z$3),'Unit List'!$A$14:$H$2841,2,FALSE)),"X",$X47)</f>
        <v>+</v>
      </c>
      <c r="AA47" s="51" t="str">
        <f>IF(ISTEXT(VLOOKUP(CONCATENATE($A47,"_",AA$3),'Unit List'!$A$14:$H$2841,2,FALSE)),"X",$X47)</f>
        <v>+</v>
      </c>
      <c r="AB47" s="51" t="str">
        <f>IF(ISTEXT(VLOOKUP(CONCATENATE($A47,"_",AB$3),'Unit List'!$A$14:$H$2841,2,FALSE)),"X",$X47)</f>
        <v>X</v>
      </c>
      <c r="AC47" s="62" t="str">
        <f>IF(ISTEXT(VLOOKUP(CONCATENATE($A47,"_",AC$3),'Unit List'!$A$14:$H$2841,2,FALSE)),"X",$X47)</f>
        <v>X</v>
      </c>
      <c r="AD47" s="171" t="str">
        <f>IF(ISTEXT(VLOOKUP(CONCATENATE($A47,"_",AD$3),'Unit List'!$A$14:$H$2841,2,FALSE)),"+","")</f>
        <v>+</v>
      </c>
      <c r="AE47" s="51" t="str">
        <f>IF(ISTEXT(VLOOKUP(CONCATENATE($A47,"_",AE$3),'Unit List'!$A$14:$H$2841,2,FALSE)),"X",$AD47)</f>
        <v>+</v>
      </c>
      <c r="AF47" s="51" t="str">
        <f>IF(ISTEXT(VLOOKUP(CONCATENATE($A47,"_",AF$3),'Unit List'!$A$14:$H$2841,2,FALSE)),"X",$AD47)</f>
        <v>+</v>
      </c>
      <c r="AG47" s="171" t="str">
        <f>IF(ISTEXT(VLOOKUP(CONCATENATE($A47,"_",AG$3),'Unit List'!$A$14:$H$2841,2,FALSE)),"+","")</f>
        <v>+</v>
      </c>
      <c r="AH47" s="67" t="str">
        <f>IF(ISTEXT(VLOOKUP(CONCATENATE($A47,"_",AH$3),'Unit List'!$A$14:$H$2841,2,FALSE)),"X",$AG47)</f>
        <v>+</v>
      </c>
      <c r="AI47" s="67" t="str">
        <f>IF(ISTEXT(VLOOKUP(CONCATENATE($A47,"_",AI$3),'Unit List'!$A$14:$H$2841,2,FALSE)),"X",$AG47)</f>
        <v>+</v>
      </c>
      <c r="AJ47" s="70" t="str">
        <f>IF(ISTEXT(VLOOKUP(CONCATENATE($A47,"_",AJ$3),'Unit List'!$A$14:$H$2841,2,FALSE)),"X",$AG47)</f>
        <v>+</v>
      </c>
      <c r="AK47" s="172" t="str">
        <f>IF(ISTEXT(VLOOKUP(CONCATENATE($A47,"_",AK$3),'Unit List'!$A$14:$H$2841,2,FALSE)),"+","")</f>
        <v/>
      </c>
      <c r="AL47" s="52" t="str">
        <f>IF(ISTEXT(VLOOKUP(CONCATENATE($A47,"_",AL$3),'Unit List'!$A$14:$H$2841,2,FALSE)),"X",$AK47)</f>
        <v/>
      </c>
      <c r="AM47" s="53" t="str">
        <f>IF(ISTEXT(VLOOKUP(CONCATENATE($A47,"_",AM$3),'Unit List'!$A$14:$H$2841,2,FALSE)),"X",$AK47)</f>
        <v/>
      </c>
      <c r="AN47" s="125" t="str">
        <f>IF(ISTEXT(VLOOKUP(CONCATENATE($A47,"_",AN$3),'Unit List'!$A$14:$H$2841,2,FALSE)),"+","")</f>
        <v>+</v>
      </c>
      <c r="AO47" s="70" t="str">
        <f>IF(ISTEXT(VLOOKUP(CONCATENATE($A47,"_",AO$3),'Unit List'!$A$14:$H$2841,2,FALSE)),"X",$AN47)</f>
        <v>X</v>
      </c>
      <c r="AP47" s="171" t="str">
        <f>IF(ISTEXT(VLOOKUP(CONCATENATE($A47,"_",AP$3),'Unit List'!$A$14:$H$2841,2,FALSE)),"+","")</f>
        <v>+</v>
      </c>
      <c r="AQ47" s="67" t="str">
        <f>IF(ISTEXT(VLOOKUP(CONCATENATE($A47,"_",AQ$3),'Unit List'!$A$14:$H$2841,2,FALSE)),"X",$AP47)</f>
        <v>+</v>
      </c>
      <c r="AR47" s="67" t="str">
        <f>IF(ISTEXT(VLOOKUP(CONCATENATE($A47,"_",AR$3),'Unit List'!$A$14:$H$2841,2,FALSE)),"X",$AP47)</f>
        <v>+</v>
      </c>
      <c r="AS47" s="67" t="str">
        <f>IF(ISTEXT(VLOOKUP(CONCATENATE($A47,"_",AS$3),'Unit List'!$A$14:$H$2841,2,FALSE)),"X",$AP47)</f>
        <v>+</v>
      </c>
      <c r="AT47" s="70" t="str">
        <f>IF(ISTEXT(VLOOKUP(CONCATENATE($A47,"_",AT$3),'Unit List'!$A$14:$H$2841,2,FALSE)),"X",$AP47)</f>
        <v>+</v>
      </c>
      <c r="AU47" s="124" t="str">
        <f>IF(ISTEXT(VLOOKUP(CONCATENATE($A47,"_",AU$3),'Unit List'!$A$14:$H$2841,2,FALSE)),"+","")</f>
        <v>+</v>
      </c>
      <c r="AV47" s="51" t="str">
        <f>IF(ISTEXT(VLOOKUP(CONCATENATE($A47,"_",AV$3),'Unit List'!$A$14:$H$2841,2,FALSE)),"X",$AU47)</f>
        <v>+</v>
      </c>
      <c r="AW47" s="53" t="str">
        <f>IF(ISTEXT(VLOOKUP(CONCATENATE($A47,"_",AW$3),'Unit List'!$A$14:$H$2841,2,FALSE)),"X",$AU47)</f>
        <v>+</v>
      </c>
      <c r="AX47" s="171" t="str">
        <f>IF(ISTEXT(VLOOKUP(CONCATENATE($A47,"_",AX$3),'Unit List'!$A$14:$H$2841,2,FALSE)),"+","")</f>
        <v>+</v>
      </c>
      <c r="AY47" s="67" t="str">
        <f>IF(ISTEXT(VLOOKUP(CONCATENATE($A47,"_",AY$3),'Unit List'!$A$14:$H$2841,2,FALSE)),"X",$AX47)</f>
        <v>X</v>
      </c>
      <c r="AZ47" s="106" t="s">
        <v>0</v>
      </c>
      <c r="BA47" s="171" t="str">
        <f>IF(ISTEXT(VLOOKUP(CONCATENATE($A47,"_",BA$3),'Unit List'!$A$14:$H$2841,2,FALSE)),"+","")</f>
        <v>+</v>
      </c>
      <c r="BB47" s="67" t="str">
        <f>IF(ISTEXT(VLOOKUP(CONCATENATE($A47,"_",BB$3),'Unit List'!$A$14:$H$2841,2,FALSE)),"X",$BA47)</f>
        <v>X</v>
      </c>
      <c r="BC47" s="67" t="str">
        <f>IF(ISTEXT(VLOOKUP(CONCATENATE($A47,"_",BC$3),'Unit List'!$A$14:$H$2841,2,FALSE)),"X",$BA47)</f>
        <v>X</v>
      </c>
      <c r="BD47" s="53" t="str">
        <f>IF(ISTEXT(VLOOKUP(CONCATENATE($A47,"_",BD$3),'Unit List'!$A$14:$H$2841,2,FALSE)),"X",$BA47)</f>
        <v>+</v>
      </c>
      <c r="BE47" s="125" t="str">
        <f>IF(ISTEXT(VLOOKUP(CONCATENATE($A47,"_",BE$3),'Unit List'!$A$14:$H$2841,2,FALSE)),"+","")</f>
        <v>+</v>
      </c>
      <c r="BF47" s="62" t="str">
        <f>IF(ISTEXT(VLOOKUP(CONCATENATE($A47,"_",BF$3),'Unit List'!$A$14:$H$2841,2,FALSE)),"X",$BE47)</f>
        <v>+</v>
      </c>
      <c r="BG47" s="64" t="s">
        <v>0</v>
      </c>
      <c r="BH47" s="65" t="s">
        <v>0</v>
      </c>
      <c r="BI47" s="203"/>
      <c r="BJ47" s="204"/>
      <c r="BK47" s="204"/>
      <c r="BL47" s="204"/>
      <c r="BM47" s="205"/>
      <c r="BN47" s="54"/>
      <c r="BO47" s="54"/>
      <c r="BP47" s="54"/>
      <c r="BQ47" s="54"/>
      <c r="BR47" s="54"/>
      <c r="BS47" s="54"/>
      <c r="DZ47" s="55"/>
      <c r="EA47" s="55"/>
    </row>
    <row r="48" spans="1:131" ht="12.75" customHeight="1" x14ac:dyDescent="0.2">
      <c r="A48" s="56" t="s">
        <v>19</v>
      </c>
      <c r="B48" s="181" t="str">
        <f>IF(ISTEXT(VLOOKUP(CONCATENATE($A48,"_",B$3),'Unit List'!$A$14:$H$2841,2,FALSE)),"+","")</f>
        <v/>
      </c>
      <c r="C48" s="82" t="str">
        <f>IF(ISTEXT(VLOOKUP(CONCATENATE($A48,"_",C$3),'Unit List'!$A$14:$H$2841,2,FALSE)),"X",$B48)</f>
        <v>X</v>
      </c>
      <c r="D48" s="60" t="str">
        <f>IF(ISTEXT(VLOOKUP(CONCATENATE($A48,"_",D$3),'Unit List'!$A$14:$H$2841,2,FALSE)),"X",$B48)</f>
        <v>X</v>
      </c>
      <c r="E48" s="89" t="s">
        <v>0</v>
      </c>
      <c r="F48" s="67" t="str">
        <f>IF(ISTEXT(VLOOKUP(CONCATENATE($A48,"_",F$3),'Unit List'!$A$14:$H$2841,2,FALSE)),"X",$B48)</f>
        <v>X</v>
      </c>
      <c r="G48" s="67" t="str">
        <f>IF(ISTEXT(VLOOKUP(CONCATENATE($A48,"_",G$3),'Unit List'!$A$14:$H$2841,2,FALSE)),"X",$B48)</f>
        <v>X</v>
      </c>
      <c r="H48" s="67" t="str">
        <f>IF(ISTEXT(VLOOKUP(CONCATENATE($A48,"_",H$3),'Unit List'!$A$14:$H$2841,2,FALSE)),"X",$B48)</f>
        <v>X</v>
      </c>
      <c r="I48" s="53" t="str">
        <f>IF(ISTEXT(VLOOKUP(CONCATENATE($A48,"_",I$3),'Unit List'!$A$14:$H$2841,2,FALSE)),"X",$B48)</f>
        <v>X</v>
      </c>
      <c r="J48" s="172" t="str">
        <f>IF(ISTEXT(VLOOKUP(CONCATENATE($A48,"_",J$3),'Unit List'!$A$14:$H$2841,2,FALSE)),"+","")</f>
        <v>+</v>
      </c>
      <c r="K48" s="94" t="str">
        <f>IF(ISTEXT(VLOOKUP(CONCATENATE($A48,"_",K$3),'Unit List'!$A$14:$H$2841,2,FALSE)),"X",$J48)</f>
        <v>+</v>
      </c>
      <c r="L48" s="68" t="str">
        <f>IF(ISTEXT(VLOOKUP(CONCATENATE($A48,"_",L$3),'Unit List'!$A$14:$H$2841,2,FALSE)),"X",$J48)</f>
        <v>+</v>
      </c>
      <c r="M48" s="172" t="str">
        <f>IF(ISTEXT(VLOOKUP(CONCATENATE($A48,"_",M$3),'Unit List'!$A$14:$H$2841,2,FALSE)),"+","")</f>
        <v>+</v>
      </c>
      <c r="N48" s="51" t="str">
        <f>IF(ISTEXT(VLOOKUP(CONCATENATE($A48,"_",N$3),'Unit List'!$A$14:$H$2841,2,FALSE)),"X",$M48)</f>
        <v>+</v>
      </c>
      <c r="O48" s="70" t="str">
        <f>IF(ISTEXT(VLOOKUP(CONCATENATE($A48,"_",O$3),'Unit List'!$A$14:$H$2841,2,FALSE)),"X",$M48)</f>
        <v>+</v>
      </c>
      <c r="P48" s="171" t="str">
        <f>IF(ISTEXT(VLOOKUP(CONCATENATE($A48,"_",P$3),'Unit List'!$A$14:$H$2841,2,FALSE)),"+","")</f>
        <v>+</v>
      </c>
      <c r="Q48" s="51" t="str">
        <f>IF(ISTEXT(VLOOKUP(CONCATENATE($A48,"_",Q$3),'Unit List'!$A$14:$H$2841,2,FALSE)),"X",$P48)</f>
        <v>+</v>
      </c>
      <c r="R48" s="51" t="str">
        <f>IF(ISTEXT(VLOOKUP(CONCATENATE($A48,"_",R$3),'Unit List'!$A$14:$H$2841,2,FALSE)),"X",$P48)</f>
        <v>+</v>
      </c>
      <c r="S48" s="72" t="str">
        <f>IF(ISTEXT(VLOOKUP(CONCATENATE($A48,"_",S$3),'Unit List'!$A$14:$H$2841,2,FALSE)),"X",$P48)</f>
        <v>X</v>
      </c>
      <c r="T48" s="52" t="str">
        <f>IF(ISTEXT(VLOOKUP(CONCATENATE($A48,"_",T$3),'Unit List'!$A$14:$H$2841,2,FALSE)),"X",$P48)</f>
        <v>X</v>
      </c>
      <c r="U48" s="67" t="str">
        <f>IF(ISTEXT(VLOOKUP(CONCATENATE($A48,"_",U$3),'Unit List'!$A$14:$H$2841,2,FALSE)),"X",$P48)</f>
        <v>X</v>
      </c>
      <c r="V48" s="67" t="str">
        <f>IF(ISTEXT(VLOOKUP(CONCATENATE($A48,"_",V$3),'Unit List'!$A$14:$H$2841,2,FALSE)),"X",$P48)</f>
        <v>X</v>
      </c>
      <c r="W48" s="53" t="str">
        <f>IF(ISTEXT(VLOOKUP(CONCATENATE($A48,"_",W$3),'Unit List'!$A$14:$H$2841,2,FALSE)),"X",$P48)</f>
        <v>+</v>
      </c>
      <c r="X48" s="171" t="str">
        <f>IF(ISTEXT(VLOOKUP(CONCATENATE($A48,"_",X$3),'Unit List'!$A$14:$H$2841,2,FALSE)),"+","")</f>
        <v>+</v>
      </c>
      <c r="Y48" s="67" t="str">
        <f>IF(ISTEXT(VLOOKUP(CONCATENATE($A48,"_",Y$3),'Unit List'!$A$14:$H$2841,2,FALSE)),"X",$X48)</f>
        <v>X</v>
      </c>
      <c r="Z48" s="51" t="str">
        <f>IF(ISTEXT(VLOOKUP(CONCATENATE($A48,"_",Z$3),'Unit List'!$A$14:$H$2841,2,FALSE)),"X",$X48)</f>
        <v>+</v>
      </c>
      <c r="AA48" s="67" t="str">
        <f>IF(ISTEXT(VLOOKUP(CONCATENATE($A48,"_",AA$3),'Unit List'!$A$14:$H$2841,2,FALSE)),"X",$X48)</f>
        <v>X</v>
      </c>
      <c r="AB48" s="67" t="str">
        <f>IF(ISTEXT(VLOOKUP(CONCATENATE($A48,"_",AB$3),'Unit List'!$A$14:$H$2841,2,FALSE)),"X",$X48)</f>
        <v>X</v>
      </c>
      <c r="AC48" s="105" t="s">
        <v>0</v>
      </c>
      <c r="AD48" s="171" t="str">
        <f>IF(ISTEXT(VLOOKUP(CONCATENATE($A48,"_",AD$3),'Unit List'!$A$14:$H$2841,2,FALSE)),"+","")</f>
        <v/>
      </c>
      <c r="AE48" s="51" t="str">
        <f>IF(ISTEXT(VLOOKUP(CONCATENATE($A48,"_",AE$3),'Unit List'!$A$14:$H$2841,2,FALSE)),"X",$AD48)</f>
        <v>X</v>
      </c>
      <c r="AF48" s="51" t="str">
        <f>IF(ISTEXT(VLOOKUP(CONCATENATE($A48,"_",AF$3),'Unit List'!$A$14:$H$2841,2,FALSE)),"X",$AD48)</f>
        <v/>
      </c>
      <c r="AG48" s="171" t="str">
        <f>IF(ISTEXT(VLOOKUP(CONCATENATE($A48,"_",AG$3),'Unit List'!$A$14:$H$2841,2,FALSE)),"+","")</f>
        <v>+</v>
      </c>
      <c r="AH48" s="67" t="str">
        <f>IF(ISTEXT(VLOOKUP(CONCATENATE($A48,"_",AH$3),'Unit List'!$A$14:$H$2841,2,FALSE)),"X",$AG48)</f>
        <v>X</v>
      </c>
      <c r="AI48" s="67" t="str">
        <f>IF(ISTEXT(VLOOKUP(CONCATENATE($A48,"_",AI$3),'Unit List'!$A$14:$H$2841,2,FALSE)),"X",$AG48)</f>
        <v>X</v>
      </c>
      <c r="AJ48" s="53" t="str">
        <f>IF(ISTEXT(VLOOKUP(CONCATENATE($A48,"_",AJ$3),'Unit List'!$A$14:$H$2841,2,FALSE)),"X",$AG48)</f>
        <v>+</v>
      </c>
      <c r="AK48" s="171" t="str">
        <f>IF(ISTEXT(VLOOKUP(CONCATENATE($A48,"_",AK$3),'Unit List'!$A$14:$H$2841,2,FALSE)),"+","")</f>
        <v>+</v>
      </c>
      <c r="AL48" s="107" t="s">
        <v>0</v>
      </c>
      <c r="AM48" s="70" t="str">
        <f>IF(ISTEXT(VLOOKUP(CONCATENATE($A48,"_",AM$3),'Unit List'!$A$14:$H$2841,2,FALSE)),"X",$AK48)</f>
        <v>+</v>
      </c>
      <c r="AN48" s="125" t="str">
        <f>IF(ISTEXT(VLOOKUP(CONCATENATE($A48,"_",AN$3),'Unit List'!$A$14:$H$2841,2,FALSE)),"+","")</f>
        <v>+</v>
      </c>
      <c r="AO48" s="70" t="str">
        <f>IF(ISTEXT(VLOOKUP(CONCATENATE($A48,"_",AO$3),'Unit List'!$A$14:$H$2841,2,FALSE)),"X",$AN48)</f>
        <v>X</v>
      </c>
      <c r="AP48" s="171" t="str">
        <f>IF(ISTEXT(VLOOKUP(CONCATENATE($A48,"_",AP$3),'Unit List'!$A$14:$H$2841,2,FALSE)),"+","")</f>
        <v>+</v>
      </c>
      <c r="AQ48" s="67" t="str">
        <f>IF(ISTEXT(VLOOKUP(CONCATENATE($A48,"_",AQ$3),'Unit List'!$A$14:$H$2841,2,FALSE)),"X",$AP48)</f>
        <v>X</v>
      </c>
      <c r="AR48" s="67" t="str">
        <f>IF(ISTEXT(VLOOKUP(CONCATENATE($A48,"_",AR$3),'Unit List'!$A$14:$H$2841,2,FALSE)),"X",$AP48)</f>
        <v>X</v>
      </c>
      <c r="AS48" s="67" t="str">
        <f>IF(ISTEXT(VLOOKUP(CONCATENATE($A48,"_",AS$3),'Unit List'!$A$14:$H$2841,2,FALSE)),"X",$AP48)</f>
        <v>X</v>
      </c>
      <c r="AT48" s="70" t="str">
        <f>IF(ISTEXT(VLOOKUP(CONCATENATE($A48,"_",AT$3),'Unit List'!$A$14:$H$2841,2,FALSE)),"X",$AP48)</f>
        <v>X</v>
      </c>
      <c r="AU48" s="124" t="str">
        <f>IF(ISTEXT(VLOOKUP(CONCATENATE($A48,"_",AU$3),'Unit List'!$A$14:$H$2841,2,FALSE)),"+","")</f>
        <v>+</v>
      </c>
      <c r="AV48" s="51" t="str">
        <f>IF(ISTEXT(VLOOKUP(CONCATENATE($A48,"_",AV$3),'Unit List'!$A$14:$H$2841,2,FALSE)),"X",$AU48)</f>
        <v>+</v>
      </c>
      <c r="AW48" s="53" t="str">
        <f>IF(ISTEXT(VLOOKUP(CONCATENATE($A48,"_",AW$3),'Unit List'!$A$14:$H$2841,2,FALSE)),"X",$AU48)</f>
        <v>+</v>
      </c>
      <c r="AX48" s="171" t="str">
        <f>IF(ISTEXT(VLOOKUP(CONCATENATE($A48,"_",AX$3),'Unit List'!$A$14:$H$2841,2,FALSE)),"+","")</f>
        <v>+</v>
      </c>
      <c r="AY48" s="67" t="str">
        <f>IF(ISTEXT(VLOOKUP(CONCATENATE($A48,"_",AY$3),'Unit List'!$A$14:$H$2841,2,FALSE)),"X",$AX48)</f>
        <v>X</v>
      </c>
      <c r="AZ48" s="70" t="str">
        <f>IF(ISTEXT(VLOOKUP(CONCATENATE($A48,"_",AZ$3),'Unit List'!$A$14:$H$2841,2,FALSE)),"X",$AX48)</f>
        <v>+</v>
      </c>
      <c r="BA48" s="171" t="str">
        <f>IF(ISTEXT(VLOOKUP(CONCATENATE($A48,"_",BA$3),'Unit List'!$A$14:$H$2841,2,FALSE)),"+","")</f>
        <v>+</v>
      </c>
      <c r="BB48" s="67" t="str">
        <f>IF(ISTEXT(VLOOKUP(CONCATENATE($A48,"_",BB$3),'Unit List'!$A$14:$H$2841,2,FALSE)),"X",$BA48)</f>
        <v>X</v>
      </c>
      <c r="BC48" s="51" t="str">
        <f>IF(ISTEXT(VLOOKUP(CONCATENATE($A48,"_",BC$3),'Unit List'!$A$14:$H$2841,2,FALSE)),"X",$BA48)</f>
        <v>X</v>
      </c>
      <c r="BD48" s="70" t="str">
        <f>IF(ISTEXT(VLOOKUP(CONCATENATE($A48,"_",BD$3),'Unit List'!$A$14:$H$2841,2,FALSE)),"X",$BA48)</f>
        <v>X</v>
      </c>
      <c r="BE48" s="125" t="str">
        <f>IF(ISTEXT(VLOOKUP(CONCATENATE($A48,"_",BE$3),'Unit List'!$A$14:$H$2841,2,FALSE)),"+","")</f>
        <v>+</v>
      </c>
      <c r="BF48" s="62" t="str">
        <f>IF(ISTEXT(VLOOKUP(CONCATENATE($A48,"_",BF$3),'Unit List'!$A$14:$H$2841,2,FALSE)),"X",$BE48)</f>
        <v>+</v>
      </c>
      <c r="BG48" s="75"/>
      <c r="BH48" s="76" t="s">
        <v>0</v>
      </c>
      <c r="BI48" s="203" t="s">
        <v>18</v>
      </c>
      <c r="BJ48" s="204"/>
      <c r="BK48" s="204"/>
      <c r="BL48" s="204"/>
      <c r="BM48" s="205"/>
      <c r="BN48" s="54"/>
      <c r="BO48" s="54"/>
      <c r="BP48" s="54"/>
      <c r="BQ48" s="54"/>
      <c r="BR48" s="54"/>
      <c r="BS48" s="54"/>
      <c r="DZ48" s="55"/>
      <c r="EA48" s="55"/>
    </row>
    <row r="49" spans="1:131" ht="12.75" customHeight="1" x14ac:dyDescent="0.2">
      <c r="A49" s="56" t="s">
        <v>1151</v>
      </c>
      <c r="B49" s="181" t="str">
        <f>IF(ISTEXT(VLOOKUP(CONCATENATE($A49,"_",B$3),'Unit List'!$A$14:$H$2841,2,FALSE)),"+","")</f>
        <v/>
      </c>
      <c r="C49" s="57" t="str">
        <f>IF(ISTEXT(VLOOKUP(CONCATENATE($A49,"_",C$3),'Unit List'!$A$14:$H$2841,2,FALSE)),"X",$B49)</f>
        <v/>
      </c>
      <c r="D49" s="51" t="str">
        <f>IF(ISTEXT(VLOOKUP(CONCATENATE($A49,"_",D$3),'Unit List'!$A$14:$H$2841,2,FALSE)),"X",$B49)</f>
        <v>X</v>
      </c>
      <c r="E49" s="51" t="str">
        <f>IF(ISTEXT(VLOOKUP(CONCATENATE($A49,"_",E$3),'Unit List'!$A$14:$H$2841,2,FALSE)),"X",$B49)</f>
        <v/>
      </c>
      <c r="F49" s="51" t="str">
        <f>IF(ISTEXT(VLOOKUP(CONCATENATE($A49,"_",F$3),'Unit List'!$A$14:$H$2841,2,FALSE)),"X",$B49)</f>
        <v/>
      </c>
      <c r="G49" s="51" t="str">
        <f>IF(ISTEXT(VLOOKUP(CONCATENATE($A49,"_",G$3),'Unit List'!$A$14:$H$2841,2,FALSE)),"X",$B49)</f>
        <v/>
      </c>
      <c r="H49" s="67" t="str">
        <f>IF(ISTEXT(VLOOKUP(CONCATENATE($A49,"_",H$3),'Unit List'!$A$14:$H$2841,2,FALSE)),"X",$B49)</f>
        <v>X</v>
      </c>
      <c r="I49" s="53" t="str">
        <f>IF(ISTEXT(VLOOKUP(CONCATENATE($A49,"_",I$3),'Unit List'!$A$14:$H$2841,2,FALSE)),"X",$B49)</f>
        <v/>
      </c>
      <c r="J49" s="172" t="str">
        <f>IF(ISTEXT(VLOOKUP(CONCATENATE($A49,"_",J$3),'Unit List'!$A$14:$H$2841,2,FALSE)),"+","")</f>
        <v/>
      </c>
      <c r="K49" s="51" t="str">
        <f>IF(ISTEXT(VLOOKUP(CONCATENATE($A49,"_",K$3),'Unit List'!$A$14:$H$2841,2,FALSE)),"X",$J49)</f>
        <v/>
      </c>
      <c r="L49" s="62" t="str">
        <f>IF(ISTEXT(VLOOKUP(CONCATENATE($A49,"_",L$3),'Unit List'!$A$14:$H$2841,2,FALSE)),"X",$J49)</f>
        <v/>
      </c>
      <c r="M49" s="172" t="str">
        <f>IF(ISTEXT(VLOOKUP(CONCATENATE($A49,"_",M$3),'Unit List'!$A$14:$H$2841,2,FALSE)),"+","")</f>
        <v/>
      </c>
      <c r="N49" s="51" t="str">
        <f>IF(ISTEXT(VLOOKUP(CONCATENATE($A49,"_",N$3),'Unit List'!$A$14:$H$2841,2,FALSE)),"X",$M49)</f>
        <v/>
      </c>
      <c r="O49" s="53" t="str">
        <f>IF(ISTEXT(VLOOKUP(CONCATENATE($A49,"_",O$3),'Unit List'!$A$14:$H$2841,2,FALSE)),"X",$M49)</f>
        <v/>
      </c>
      <c r="P49" s="172" t="str">
        <f>IF(ISTEXT(VLOOKUP(CONCATENATE($A49,"_",P$3),'Unit List'!$A$14:$H$2841,2,FALSE)),"+","")</f>
        <v/>
      </c>
      <c r="Q49" s="51" t="str">
        <f>IF(ISTEXT(VLOOKUP(CONCATENATE($A49,"_",Q$3),'Unit List'!$A$14:$H$2841,2,FALSE)),"X",$P49)</f>
        <v/>
      </c>
      <c r="R49" s="51" t="str">
        <f>IF(ISTEXT(VLOOKUP(CONCATENATE($A49,"_",R$3),'Unit List'!$A$14:$H$2841,2,FALSE)),"X",$P49)</f>
        <v/>
      </c>
      <c r="S49" s="51" t="str">
        <f>IF(ISTEXT(VLOOKUP(CONCATENATE($A49,"_",S$3),'Unit List'!$A$14:$H$2841,2,FALSE)),"X",$P49)</f>
        <v/>
      </c>
      <c r="T49" s="52" t="str">
        <f>IF(ISTEXT(VLOOKUP(CONCATENATE($A49,"_",T$3),'Unit List'!$A$14:$H$2841,2,FALSE)),"X",$P49)</f>
        <v/>
      </c>
      <c r="U49" s="51" t="str">
        <f>IF(ISTEXT(VLOOKUP(CONCATENATE($A49,"_",U$3),'Unit List'!$A$14:$H$2841,2,FALSE)),"X",$P49)</f>
        <v/>
      </c>
      <c r="V49" s="51" t="str">
        <f>IF(ISTEXT(VLOOKUP(CONCATENATE($A49,"_",V$3),'Unit List'!$A$14:$H$2841,2,FALSE)),"X",$P49)</f>
        <v/>
      </c>
      <c r="W49" s="53" t="str">
        <f>IF(ISTEXT(VLOOKUP(CONCATENATE($A49,"_",W$3),'Unit List'!$A$14:$H$2841,2,FALSE)),"X",$P49)</f>
        <v/>
      </c>
      <c r="X49" s="172" t="str">
        <f>IF(ISTEXT(VLOOKUP(CONCATENATE($A49,"_",X$3),'Unit List'!$A$14:$H$2841,2,FALSE)),"+","")</f>
        <v/>
      </c>
      <c r="Y49" s="51" t="str">
        <f>IF(ISTEXT(VLOOKUP(CONCATENATE($A49,"_",Y$3),'Unit List'!$A$14:$H$2841,2,FALSE)),"X",$X49)</f>
        <v/>
      </c>
      <c r="Z49" s="51" t="str">
        <f>IF(ISTEXT(VLOOKUP(CONCATENATE($A49,"_",Z$3),'Unit List'!$A$14:$H$2841,2,FALSE)),"X",$X49)</f>
        <v/>
      </c>
      <c r="AA49" s="51" t="str">
        <f>IF(ISTEXT(VLOOKUP(CONCATENATE($A49,"_",AA$3),'Unit List'!$A$14:$H$2841,2,FALSE)),"X",$X49)</f>
        <v/>
      </c>
      <c r="AB49" s="51" t="str">
        <f>IF(ISTEXT(VLOOKUP(CONCATENATE($A49,"_",AB$3),'Unit List'!$A$14:$H$2841,2,FALSE)),"X",$X49)</f>
        <v/>
      </c>
      <c r="AC49" s="62" t="str">
        <f>IF(ISTEXT(VLOOKUP(CONCATENATE($A49,"_",AC$3),'Unit List'!$A$14:$H$2841,2,FALSE)),"X",$X49)</f>
        <v/>
      </c>
      <c r="AD49" s="172" t="str">
        <f>IF(ISTEXT(VLOOKUP(CONCATENATE($A49,"_",AD$3),'Unit List'!$A$14:$H$2841,2,FALSE)),"+","")</f>
        <v/>
      </c>
      <c r="AE49" s="51" t="str">
        <f>IF(ISTEXT(VLOOKUP(CONCATENATE($A49,"_",AE$3),'Unit List'!$A$14:$H$2841,2,FALSE)),"X",$AD49)</f>
        <v/>
      </c>
      <c r="AF49" s="51" t="str">
        <f>IF(ISTEXT(VLOOKUP(CONCATENATE($A49,"_",AF$3),'Unit List'!$A$14:$H$2841,2,FALSE)),"X",$AD49)</f>
        <v/>
      </c>
      <c r="AG49" s="172" t="str">
        <f>IF(ISTEXT(VLOOKUP(CONCATENATE($A49,"_",AG$3),'Unit List'!$A$14:$H$2841,2,FALSE)),"+","")</f>
        <v/>
      </c>
      <c r="AH49" s="51" t="str">
        <f>IF(ISTEXT(VLOOKUP(CONCATENATE($A49,"_",AH$3),'Unit List'!$A$14:$H$2841,2,FALSE)),"X",$AG49)</f>
        <v/>
      </c>
      <c r="AI49" s="51" t="str">
        <f>IF(ISTEXT(VLOOKUP(CONCATENATE($A49,"_",AI$3),'Unit List'!$A$14:$H$2841,2,FALSE)),"X",$AG49)</f>
        <v/>
      </c>
      <c r="AJ49" s="53" t="str">
        <f>IF(ISTEXT(VLOOKUP(CONCATENATE($A49,"_",AJ$3),'Unit List'!$A$14:$H$2841,2,FALSE)),"X",$AG49)</f>
        <v/>
      </c>
      <c r="AK49" s="172" t="str">
        <f>IF(ISTEXT(VLOOKUP(CONCATENATE($A49,"_",AK$3),'Unit List'!$A$14:$H$2841,2,FALSE)),"+","")</f>
        <v/>
      </c>
      <c r="AL49" s="52" t="str">
        <f>IF(ISTEXT(VLOOKUP(CONCATENATE($A49,"_",AL$3),'Unit List'!$A$14:$H$2841,2,FALSE)),"X",$AK49)</f>
        <v/>
      </c>
      <c r="AM49" s="53" t="str">
        <f>IF(ISTEXT(VLOOKUP(CONCATENATE($A49,"_",AM$3),'Unit List'!$A$14:$H$2841,2,FALSE)),"X",$AK49)</f>
        <v/>
      </c>
      <c r="AN49" s="125" t="str">
        <f>IF(ISTEXT(VLOOKUP(CONCATENATE($A49,"_",AN$3),'Unit List'!$A$14:$H$2841,2,FALSE)),"+","")</f>
        <v/>
      </c>
      <c r="AO49" s="53" t="str">
        <f>IF(ISTEXT(VLOOKUP(CONCATENATE($A49,"_",AO$3),'Unit List'!$A$14:$H$2841,2,FALSE)),"X",$AN49)</f>
        <v/>
      </c>
      <c r="AP49" s="172" t="str">
        <f>IF(ISTEXT(VLOOKUP(CONCATENATE($A49,"_",AP$3),'Unit List'!$A$14:$H$2841,2,FALSE)),"+","")</f>
        <v/>
      </c>
      <c r="AQ49" s="51" t="str">
        <f>IF(ISTEXT(VLOOKUP(CONCATENATE($A49,"_",AQ$3),'Unit List'!$A$14:$H$2841,2,FALSE)),"X",$AP49)</f>
        <v/>
      </c>
      <c r="AR49" s="51" t="str">
        <f>IF(ISTEXT(VLOOKUP(CONCATENATE($A49,"_",AR$3),'Unit List'!$A$14:$H$2841,2,FALSE)),"X",$AP49)</f>
        <v/>
      </c>
      <c r="AS49" s="51" t="str">
        <f>IF(ISTEXT(VLOOKUP(CONCATENATE($A49,"_",AS$3),'Unit List'!$A$14:$H$2841,2,FALSE)),"X",$AP49)</f>
        <v/>
      </c>
      <c r="AT49" s="53" t="str">
        <f>IF(ISTEXT(VLOOKUP(CONCATENATE($A49,"_",AT$3),'Unit List'!$A$14:$H$2841,2,FALSE)),"X",$AP49)</f>
        <v/>
      </c>
      <c r="AU49" s="124" t="str">
        <f>IF(ISTEXT(VLOOKUP(CONCATENATE($A49,"_",AU$3),'Unit List'!$A$14:$H$2841,2,FALSE)),"+","")</f>
        <v/>
      </c>
      <c r="AV49" s="51" t="str">
        <f>IF(ISTEXT(VLOOKUP(CONCATENATE($A49,"_",AV$3),'Unit List'!$A$14:$H$2841,2,FALSE)),"X",$AU49)</f>
        <v/>
      </c>
      <c r="AW49" s="53" t="str">
        <f>IF(ISTEXT(VLOOKUP(CONCATENATE($A49,"_",AW$3),'Unit List'!$A$14:$H$2841,2,FALSE)),"X",$AU49)</f>
        <v/>
      </c>
      <c r="AX49" s="172" t="str">
        <f>IF(ISTEXT(VLOOKUP(CONCATENATE($A49,"_",AX$3),'Unit List'!$A$14:$H$2841,2,FALSE)),"+","")</f>
        <v/>
      </c>
      <c r="AY49" s="51" t="str">
        <f>IF(ISTEXT(VLOOKUP(CONCATENATE($A49,"_",AY$3),'Unit List'!$A$14:$H$2841,2,FALSE)),"X",$AX49)</f>
        <v/>
      </c>
      <c r="AZ49" s="53" t="str">
        <f>IF(ISTEXT(VLOOKUP(CONCATENATE($A49,"_",AZ$3),'Unit List'!$A$14:$H$2841,2,FALSE)),"X",$AX49)</f>
        <v/>
      </c>
      <c r="BA49" s="182" t="str">
        <f>IF(ISTEXT(VLOOKUP(CONCATENATE($A49,"_",BA$3),'Unit List'!$A$14:$H$2841,2,FALSE)),"+","")</f>
        <v/>
      </c>
      <c r="BB49" s="51" t="str">
        <f>IF(ISTEXT(VLOOKUP(CONCATENATE($A49,"_",BB$3),'Unit List'!$A$14:$H$2841,2,FALSE)),"X",$BA49)</f>
        <v/>
      </c>
      <c r="BC49" s="51" t="str">
        <f>IF(ISTEXT(VLOOKUP(CONCATENATE($A49,"_",BC$3),'Unit List'!$A$14:$H$2841,2,FALSE)),"X",$BA49)</f>
        <v/>
      </c>
      <c r="BD49" s="53" t="str">
        <f>IF(ISTEXT(VLOOKUP(CONCATENATE($A49,"_",BD$3),'Unit List'!$A$14:$H$2841,2,FALSE)),"X",$BA49)</f>
        <v/>
      </c>
      <c r="BE49" s="125" t="str">
        <f>IF(ISTEXT(VLOOKUP(CONCATENATE($A49,"_",BE$3),'Unit List'!$A$14:$H$2841,2,FALSE)),"+","")</f>
        <v/>
      </c>
      <c r="BF49" s="62" t="str">
        <f>IF(ISTEXT(VLOOKUP(CONCATENATE($A49,"_",BF$3),'Unit List'!$A$14:$H$2841,2,FALSE)),"X",$BE49)</f>
        <v/>
      </c>
      <c r="BG49" s="64"/>
      <c r="BH49" s="65" t="s">
        <v>0</v>
      </c>
      <c r="BI49" s="203"/>
      <c r="BJ49" s="204"/>
      <c r="BK49" s="204"/>
      <c r="BL49" s="204"/>
      <c r="BM49" s="205"/>
      <c r="BN49" s="54"/>
      <c r="BO49" s="54"/>
      <c r="BP49" s="54"/>
      <c r="BQ49" s="54"/>
      <c r="BR49" s="54"/>
      <c r="BS49" s="54"/>
      <c r="DZ49" s="55"/>
      <c r="EA49" s="55"/>
    </row>
    <row r="50" spans="1:131" ht="12.75" customHeight="1" x14ac:dyDescent="0.2">
      <c r="A50" s="56" t="s">
        <v>17</v>
      </c>
      <c r="B50" s="181" t="str">
        <f>IF(ISTEXT(VLOOKUP(CONCATENATE($A50,"_",B$3),'Unit List'!$A$14:$H$2841,2,FALSE)),"+","")</f>
        <v/>
      </c>
      <c r="C50" s="82" t="str">
        <f>IF(ISTEXT(VLOOKUP(CONCATENATE($A50,"_",C$3),'Unit List'!$A$14:$H$2841,2,FALSE)),"X",$B50)</f>
        <v>X</v>
      </c>
      <c r="D50" s="67" t="str">
        <f>IF(ISTEXT(VLOOKUP(CONCATENATE($A50,"_",D$3),'Unit List'!$A$14:$H$2841,2,FALSE)),"X",$B50)</f>
        <v>X</v>
      </c>
      <c r="E50" s="51" t="str">
        <f>IF(ISTEXT(VLOOKUP(CONCATENATE($A50,"_",E$3),'Unit List'!$A$14:$H$2841,2,FALSE)),"X",$B50)</f>
        <v>X</v>
      </c>
      <c r="F50" s="51" t="str">
        <f>IF(ISTEXT(VLOOKUP(CONCATENATE($A50,"_",F$3),'Unit List'!$A$14:$H$2841,2,FALSE)),"X",$B50)</f>
        <v>X</v>
      </c>
      <c r="G50" s="51" t="str">
        <f>IF(ISTEXT(VLOOKUP(CONCATENATE($A50,"_",G$3),'Unit List'!$A$14:$H$2841,2,FALSE)),"X",$B50)</f>
        <v>X</v>
      </c>
      <c r="H50" s="51" t="str">
        <f>IF(ISTEXT(VLOOKUP(CONCATENATE($A50,"_",H$3),'Unit List'!$A$14:$H$2841,2,FALSE)),"X",$B50)</f>
        <v>X</v>
      </c>
      <c r="I50" s="70" t="str">
        <f>IF(ISTEXT(VLOOKUP(CONCATENATE($A50,"_",I$3),'Unit List'!$A$14:$H$2841,2,FALSE)),"X",$B50)</f>
        <v>X</v>
      </c>
      <c r="J50" s="172" t="str">
        <f>IF(ISTEXT(VLOOKUP(CONCATENATE($A50,"_",J$3),'Unit List'!$A$14:$H$2841,2,FALSE)),"+","")</f>
        <v/>
      </c>
      <c r="K50" s="51" t="str">
        <f>IF(ISTEXT(VLOOKUP(CONCATENATE($A50,"_",K$3),'Unit List'!$A$14:$H$2841,2,FALSE)),"X",$J50)</f>
        <v/>
      </c>
      <c r="L50" s="86" t="str">
        <f>IF(ISTEXT(VLOOKUP(CONCATENATE($A50,"_",L$3),'Unit List'!$A$14:$H$2841,2,FALSE)),"X",$J50)</f>
        <v>X</v>
      </c>
      <c r="M50" s="172" t="str">
        <f>IF(ISTEXT(VLOOKUP(CONCATENATE($A50,"_",M$3),'Unit List'!$A$14:$H$2841,2,FALSE)),"+","")</f>
        <v>+</v>
      </c>
      <c r="N50" s="67" t="str">
        <f>IF(ISTEXT(VLOOKUP(CONCATENATE($A50,"_",N$3),'Unit List'!$A$14:$H$2841,2,FALSE)),"X",$M50)</f>
        <v>X</v>
      </c>
      <c r="O50" s="70" t="str">
        <f>IF(ISTEXT(VLOOKUP(CONCATENATE($A50,"_",O$3),'Unit List'!$A$14:$H$2841,2,FALSE)),"X",$M50)</f>
        <v>X</v>
      </c>
      <c r="P50" s="172" t="str">
        <f>IF(ISTEXT(VLOOKUP(CONCATENATE($A50,"_",P$3),'Unit List'!$A$14:$H$2841,2,FALSE)),"+","")</f>
        <v/>
      </c>
      <c r="Q50" s="60" t="str">
        <f>IF(ISTEXT(VLOOKUP(CONCATENATE($A50,"_",Q$3),'Unit List'!$A$14:$H$2841,2,FALSE)),"X",$P50)</f>
        <v/>
      </c>
      <c r="R50" s="51" t="str">
        <f>IF(ISTEXT(VLOOKUP(CONCATENATE($A50,"_",R$3),'Unit List'!$A$14:$H$2841,2,FALSE)),"X",$P50)</f>
        <v/>
      </c>
      <c r="S50" s="67" t="str">
        <f>IF(ISTEXT(VLOOKUP(CONCATENATE($A50,"_",S$3),'Unit List'!$A$14:$H$2841,2,FALSE)),"X",$P50)</f>
        <v>X</v>
      </c>
      <c r="T50" s="52" t="str">
        <f>IF(ISTEXT(VLOOKUP(CONCATENATE($A50,"_",T$3),'Unit List'!$A$14:$H$2841,2,FALSE)),"X",$P50)</f>
        <v/>
      </c>
      <c r="U50" s="67" t="str">
        <f>IF(ISTEXT(VLOOKUP(CONCATENATE($A50,"_",U$3),'Unit List'!$A$14:$H$2841,2,FALSE)),"X",$P50)</f>
        <v>X</v>
      </c>
      <c r="V50" s="51" t="str">
        <f>IF(ISTEXT(VLOOKUP(CONCATENATE($A50,"_",V$3),'Unit List'!$A$14:$H$2841,2,FALSE)),"X",$P50)</f>
        <v/>
      </c>
      <c r="W50" s="53" t="str">
        <f>IF(ISTEXT(VLOOKUP(CONCATENATE($A50,"_",W$3),'Unit List'!$A$14:$H$2841,2,FALSE)),"X",$P50)</f>
        <v/>
      </c>
      <c r="X50" s="172" t="str">
        <f>IF(ISTEXT(VLOOKUP(CONCATENATE($A50,"_",X$3),'Unit List'!$A$14:$H$2841,2,FALSE)),"+","")</f>
        <v/>
      </c>
      <c r="Y50" s="51" t="str">
        <f>IF(ISTEXT(VLOOKUP(CONCATENATE($A50,"_",Y$3),'Unit List'!$A$14:$H$2841,2,FALSE)),"X",$X50)</f>
        <v/>
      </c>
      <c r="Z50" s="51" t="str">
        <f>IF(ISTEXT(VLOOKUP(CONCATENATE($A50,"_",Z$3),'Unit List'!$A$14:$H$2841,2,FALSE)),"X",$X50)</f>
        <v/>
      </c>
      <c r="AA50" s="51" t="str">
        <f>IF(ISTEXT(VLOOKUP(CONCATENATE($A50,"_",AA$3),'Unit List'!$A$14:$H$2841,2,FALSE)),"X",$X50)</f>
        <v/>
      </c>
      <c r="AB50" s="51" t="str">
        <f>IF(ISTEXT(VLOOKUP(CONCATENATE($A50,"_",AB$3),'Unit List'!$A$14:$H$2841,2,FALSE)),"X",$X50)</f>
        <v/>
      </c>
      <c r="AC50" s="62" t="str">
        <f>IF(ISTEXT(VLOOKUP(CONCATENATE($A50,"_",AC$3),'Unit List'!$A$14:$H$2841,2,FALSE)),"X",$X50)</f>
        <v/>
      </c>
      <c r="AD50" s="172" t="str">
        <f>IF(ISTEXT(VLOOKUP(CONCATENATE($A50,"_",AD$3),'Unit List'!$A$14:$H$2841,2,FALSE)),"+","")</f>
        <v/>
      </c>
      <c r="AE50" s="51" t="str">
        <f>IF(ISTEXT(VLOOKUP(CONCATENATE($A50,"_",AE$3),'Unit List'!$A$14:$H$2841,2,FALSE)),"X",$AD50)</f>
        <v/>
      </c>
      <c r="AF50" s="51" t="str">
        <f>IF(ISTEXT(VLOOKUP(CONCATENATE($A50,"_",AF$3),'Unit List'!$A$14:$H$2841,2,FALSE)),"X",$AD50)</f>
        <v/>
      </c>
      <c r="AG50" s="172" t="str">
        <f>IF(ISTEXT(VLOOKUP(CONCATENATE($A50,"_",AG$3),'Unit List'!$A$14:$H$2841,2,FALSE)),"+","")</f>
        <v/>
      </c>
      <c r="AH50" s="51" t="str">
        <f>IF(ISTEXT(VLOOKUP(CONCATENATE($A50,"_",AH$3),'Unit List'!$A$14:$H$2841,2,FALSE)),"X",$AG50)</f>
        <v/>
      </c>
      <c r="AI50" s="51" t="str">
        <f>IF(ISTEXT(VLOOKUP(CONCATENATE($A50,"_",AI$3),'Unit List'!$A$14:$H$2841,2,FALSE)),"X",$AG50)</f>
        <v/>
      </c>
      <c r="AJ50" s="53" t="str">
        <f>IF(ISTEXT(VLOOKUP(CONCATENATE($A50,"_",AJ$3),'Unit List'!$A$14:$H$2841,2,FALSE)),"X",$AG50)</f>
        <v/>
      </c>
      <c r="AK50" s="172" t="str">
        <f>IF(ISTEXT(VLOOKUP(CONCATENATE($A50,"_",AK$3),'Unit List'!$A$14:$H$2841,2,FALSE)),"+","")</f>
        <v/>
      </c>
      <c r="AL50" s="87" t="str">
        <f>IF(ISTEXT(VLOOKUP(CONCATENATE($A50,"_",AL$3),'Unit List'!$A$14:$H$2841,2,FALSE)),"X",$AK50)</f>
        <v>X</v>
      </c>
      <c r="AM50" s="53" t="str">
        <f>IF(ISTEXT(VLOOKUP(CONCATENATE($A50,"_",AM$3),'Unit List'!$A$14:$H$2841,2,FALSE)),"X",$AK50)</f>
        <v/>
      </c>
      <c r="AN50" s="125" t="str">
        <f>IF(ISTEXT(VLOOKUP(CONCATENATE($A50,"_",AN$3),'Unit List'!$A$14:$H$2841,2,FALSE)),"+","")</f>
        <v/>
      </c>
      <c r="AO50" s="61" t="str">
        <f>IF(ISTEXT(VLOOKUP(CONCATENATE($A50,"_",AO$3),'Unit List'!$A$14:$H$2841,2,FALSE)),"X",$AN50)</f>
        <v/>
      </c>
      <c r="AP50" s="172" t="str">
        <f>IF(ISTEXT(VLOOKUP(CONCATENATE($A50,"_",AP$3),'Unit List'!$A$14:$H$2841,2,FALSE)),"+","")</f>
        <v>+</v>
      </c>
      <c r="AQ50" s="51" t="str">
        <f>IF(ISTEXT(VLOOKUP(CONCATENATE($A50,"_",AQ$3),'Unit List'!$A$14:$H$2841,2,FALSE)),"X",$AP50)</f>
        <v>+</v>
      </c>
      <c r="AR50" s="67" t="str">
        <f>IF(ISTEXT(VLOOKUP(CONCATENATE($A50,"_",AR$3),'Unit List'!$A$14:$H$2841,2,FALSE)),"X",$AP50)</f>
        <v>X</v>
      </c>
      <c r="AS50" s="51" t="str">
        <f>IF(ISTEXT(VLOOKUP(CONCATENATE($A50,"_",AS$3),'Unit List'!$A$14:$H$2841,2,FALSE)),"X",$AP50)</f>
        <v>+</v>
      </c>
      <c r="AT50" s="53" t="str">
        <f>IF(ISTEXT(VLOOKUP(CONCATENATE($A50,"_",AT$3),'Unit List'!$A$14:$H$2841,2,FALSE)),"X",$AP50)</f>
        <v>+</v>
      </c>
      <c r="AU50" s="124" t="str">
        <f>IF(ISTEXT(VLOOKUP(CONCATENATE($A50,"_",AU$3),'Unit List'!$A$14:$H$2841,2,FALSE)),"+","")</f>
        <v/>
      </c>
      <c r="AV50" s="51" t="str">
        <f>IF(ISTEXT(VLOOKUP(CONCATENATE($A50,"_",AV$3),'Unit List'!$A$14:$H$2841,2,FALSE)),"X",$AU50)</f>
        <v/>
      </c>
      <c r="AW50" s="53" t="str">
        <f>IF(ISTEXT(VLOOKUP(CONCATENATE($A50,"_",AW$3),'Unit List'!$A$14:$H$2841,2,FALSE)),"X",$AU50)</f>
        <v/>
      </c>
      <c r="AX50" s="172" t="str">
        <f>IF(ISTEXT(VLOOKUP(CONCATENATE($A50,"_",AX$3),'Unit List'!$A$14:$H$2841,2,FALSE)),"+","")</f>
        <v>+</v>
      </c>
      <c r="AY50" s="51" t="str">
        <f>IF(ISTEXT(VLOOKUP(CONCATENATE($A50,"_",AY$3),'Unit List'!$A$14:$H$2841,2,FALSE)),"X",$AX50)</f>
        <v>+</v>
      </c>
      <c r="AZ50" s="53" t="str">
        <f>IF(ISTEXT(VLOOKUP(CONCATENATE($A50,"_",AZ$3),'Unit List'!$A$14:$H$2841,2,FALSE)),"X",$AX50)</f>
        <v>+</v>
      </c>
      <c r="BA50" s="182" t="str">
        <f>IF(ISTEXT(VLOOKUP(CONCATENATE($A50,"_",BA$3),'Unit List'!$A$14:$H$2841,2,FALSE)),"+","")</f>
        <v/>
      </c>
      <c r="BB50" s="51" t="str">
        <f>IF(ISTEXT(VLOOKUP(CONCATENATE($A50,"_",BB$3),'Unit List'!$A$14:$H$2841,2,FALSE)),"X",$BA50)</f>
        <v/>
      </c>
      <c r="BC50" s="51" t="str">
        <f>IF(ISTEXT(VLOOKUP(CONCATENATE($A50,"_",BC$3),'Unit List'!$A$14:$H$2841,2,FALSE)),"X",$BA50)</f>
        <v/>
      </c>
      <c r="BD50" s="53" t="str">
        <f>IF(ISTEXT(VLOOKUP(CONCATENATE($A50,"_",BD$3),'Unit List'!$A$14:$H$2841,2,FALSE)),"X",$BA50)</f>
        <v/>
      </c>
      <c r="BE50" s="125" t="str">
        <f>IF(ISTEXT(VLOOKUP(CONCATENATE($A50,"_",BE$3),'Unit List'!$A$14:$H$2841,2,FALSE)),"+","")</f>
        <v>+</v>
      </c>
      <c r="BF50" s="62" t="str">
        <f>IF(ISTEXT(VLOOKUP(CONCATENATE($A50,"_",BF$3),'Unit List'!$A$14:$H$2841,2,FALSE)),"X",$BE50)</f>
        <v>+</v>
      </c>
      <c r="BG50" s="64"/>
      <c r="BH50" s="65" t="s">
        <v>0</v>
      </c>
      <c r="BI50" s="203"/>
      <c r="BJ50" s="204"/>
      <c r="BK50" s="204"/>
      <c r="BL50" s="204"/>
      <c r="BM50" s="205"/>
      <c r="BN50" s="54"/>
      <c r="BO50" s="54"/>
      <c r="BP50" s="54"/>
      <c r="BQ50" s="54"/>
      <c r="BR50" s="54"/>
      <c r="BS50" s="54"/>
      <c r="DZ50" s="55"/>
      <c r="EA50" s="55"/>
    </row>
    <row r="51" spans="1:131" ht="12.75" customHeight="1" x14ac:dyDescent="0.2">
      <c r="A51" s="56" t="s">
        <v>16</v>
      </c>
      <c r="B51" s="181" t="str">
        <f>IF(ISTEXT(VLOOKUP(CONCATENATE($A51,"_",B$3),'Unit List'!$A$14:$H$2841,2,FALSE)),"+","")</f>
        <v/>
      </c>
      <c r="C51" s="82" t="str">
        <f>IF(ISTEXT(VLOOKUP(CONCATENATE($A51,"_",C$3),'Unit List'!$A$14:$H$2841,2,FALSE)),"X",$B51)</f>
        <v>X</v>
      </c>
      <c r="D51" s="60" t="str">
        <f>IF(ISTEXT(VLOOKUP(CONCATENATE($A51,"_",D$3),'Unit List'!$A$14:$H$2841,2,FALSE)),"X",$B51)</f>
        <v/>
      </c>
      <c r="E51" s="58" t="str">
        <f>IF(ISTEXT(VLOOKUP(CONCATENATE($A51,"_",E$3),'Unit List'!$A$14:$H$2841,2,FALSE)),"X",$B51)</f>
        <v/>
      </c>
      <c r="F51" s="67" t="str">
        <f>IF(ISTEXT(VLOOKUP(CONCATENATE($A51,"_",F$3),'Unit List'!$A$14:$H$2841,2,FALSE)),"X",$B51)</f>
        <v>X</v>
      </c>
      <c r="G51" s="67" t="str">
        <f>IF(ISTEXT(VLOOKUP(CONCATENATE($A51,"_",G$3),'Unit List'!$A$14:$H$2841,2,FALSE)),"X",$B51)</f>
        <v>X</v>
      </c>
      <c r="H51" s="67" t="str">
        <f>IF(ISTEXT(VLOOKUP(CONCATENATE($A51,"_",H$3),'Unit List'!$A$14:$H$2841,2,FALSE)),"X",$B51)</f>
        <v>X</v>
      </c>
      <c r="I51" s="53" t="str">
        <f>IF(ISTEXT(VLOOKUP(CONCATENATE($A51,"_",I$3),'Unit List'!$A$14:$H$2841,2,FALSE)),"X",$B51)</f>
        <v/>
      </c>
      <c r="J51" s="172" t="str">
        <f>IF(ISTEXT(VLOOKUP(CONCATENATE($A51,"_",J$3),'Unit List'!$A$14:$H$2841,2,FALSE)),"+","")</f>
        <v>+</v>
      </c>
      <c r="K51" s="94" t="str">
        <f>IF(ISTEXT(VLOOKUP(CONCATENATE($A51,"_",K$3),'Unit List'!$A$14:$H$2841,2,FALSE)),"X",$J51)</f>
        <v>+</v>
      </c>
      <c r="L51" s="68" t="str">
        <f>IF(ISTEXT(VLOOKUP(CONCATENATE($A51,"_",L$3),'Unit List'!$A$14:$H$2841,2,FALSE)),"X",$J51)</f>
        <v>+</v>
      </c>
      <c r="M51" s="172" t="str">
        <f>IF(ISTEXT(VLOOKUP(CONCATENATE($A51,"_",M$3),'Unit List'!$A$14:$H$2841,2,FALSE)),"+","")</f>
        <v>+</v>
      </c>
      <c r="N51" s="51" t="str">
        <f>IF(ISTEXT(VLOOKUP(CONCATENATE($A51,"_",N$3),'Unit List'!$A$14:$H$2841,2,FALSE)),"X",$M51)</f>
        <v>X</v>
      </c>
      <c r="O51" s="53" t="str">
        <f>IF(ISTEXT(VLOOKUP(CONCATENATE($A51,"_",O$3),'Unit List'!$A$14:$H$2841,2,FALSE)),"X",$M51)</f>
        <v>X</v>
      </c>
      <c r="P51" s="171" t="str">
        <f>IF(ISTEXT(VLOOKUP(CONCATENATE($A51,"_",P$3),'Unit List'!$A$14:$H$2841,2,FALSE)),"+","")</f>
        <v>+</v>
      </c>
      <c r="Q51" s="51" t="str">
        <f>IF(ISTEXT(VLOOKUP(CONCATENATE($A51,"_",Q$3),'Unit List'!$A$14:$H$2841,2,FALSE)),"X",$P51)</f>
        <v>+</v>
      </c>
      <c r="R51" s="51" t="str">
        <f>IF(ISTEXT(VLOOKUP(CONCATENATE($A51,"_",R$3),'Unit List'!$A$14:$H$2841,2,FALSE)),"X",$P51)</f>
        <v>+</v>
      </c>
      <c r="S51" s="67" t="str">
        <f>IF(ISTEXT(VLOOKUP(CONCATENATE($A51,"_",S$3),'Unit List'!$A$14:$H$2841,2,FALSE)),"X",$P51)</f>
        <v>X</v>
      </c>
      <c r="T51" s="52" t="str">
        <f>IF(ISTEXT(VLOOKUP(CONCATENATE($A51,"_",T$3),'Unit List'!$A$14:$H$2841,2,FALSE)),"X",$P51)</f>
        <v>+</v>
      </c>
      <c r="U51" s="89" t="s">
        <v>3</v>
      </c>
      <c r="V51" s="67" t="str">
        <f>IF(ISTEXT(VLOOKUP(CONCATENATE($A51,"_",V$3),'Unit List'!$A$14:$H$2841,2,FALSE)),"X",$P51)</f>
        <v>X</v>
      </c>
      <c r="W51" s="53" t="str">
        <f>IF(ISTEXT(VLOOKUP(CONCATENATE($A51,"_",W$3),'Unit List'!$A$14:$H$2841,2,FALSE)),"X",$P51)</f>
        <v>+</v>
      </c>
      <c r="X51" s="171" t="str">
        <f>IF(ISTEXT(VLOOKUP(CONCATENATE($A51,"_",X$3),'Unit List'!$A$14:$H$2841,2,FALSE)),"+","")</f>
        <v>+</v>
      </c>
      <c r="Y51" s="51" t="str">
        <f>IF(ISTEXT(VLOOKUP(CONCATENATE($A51,"_",Y$3),'Unit List'!$A$14:$H$2841,2,FALSE)),"X",$X51)</f>
        <v>X</v>
      </c>
      <c r="Z51" s="51" t="str">
        <f>IF(ISTEXT(VLOOKUP(CONCATENATE($A51,"_",Z$3),'Unit List'!$A$14:$H$2841,2,FALSE)),"X",$X51)</f>
        <v>+</v>
      </c>
      <c r="AA51" s="67" t="str">
        <f>IF(ISTEXT(VLOOKUP(CONCATENATE($A51,"_",AA$3),'Unit List'!$A$14:$H$2841,2,FALSE)),"X",$X51)</f>
        <v>X</v>
      </c>
      <c r="AB51" s="67" t="str">
        <f>IF(ISTEXT(VLOOKUP(CONCATENATE($A51,"_",AB$3),'Unit List'!$A$14:$H$2841,2,FALSE)),"X",$X51)</f>
        <v>X</v>
      </c>
      <c r="AC51" s="86" t="str">
        <f>IF(ISTEXT(VLOOKUP(CONCATENATE($A51,"_",AC$3),'Unit List'!$A$14:$H$2841,2,FALSE)),"X",$X51)</f>
        <v>X</v>
      </c>
      <c r="AD51" s="171" t="str">
        <f>IF(ISTEXT(VLOOKUP(CONCATENATE($A51,"_",AD$3),'Unit List'!$A$14:$H$2841,2,FALSE)),"+","")</f>
        <v>+</v>
      </c>
      <c r="AE51" s="51" t="str">
        <f>IF(ISTEXT(VLOOKUP(CONCATENATE($A51,"_",AE$3),'Unit List'!$A$14:$H$2841,2,FALSE)),"X",$AD51)</f>
        <v>+</v>
      </c>
      <c r="AF51" s="51" t="str">
        <f>IF(ISTEXT(VLOOKUP(CONCATENATE($A51,"_",AF$3),'Unit List'!$A$14:$H$2841,2,FALSE)),"X",$AD51)</f>
        <v>+</v>
      </c>
      <c r="AG51" s="171" t="str">
        <f>IF(ISTEXT(VLOOKUP(CONCATENATE($A51,"_",AG$3),'Unit List'!$A$14:$H$2841,2,FALSE)),"+","")</f>
        <v>+</v>
      </c>
      <c r="AH51" s="67" t="str">
        <f>IF(ISTEXT(VLOOKUP(CONCATENATE($A51,"_",AH$3),'Unit List'!$A$14:$H$2841,2,FALSE)),"X",$AG51)</f>
        <v>X</v>
      </c>
      <c r="AI51" s="67" t="str">
        <f>IF(ISTEXT(VLOOKUP(CONCATENATE($A51,"_",AI$3),'Unit List'!$A$14:$H$2841,2,FALSE)),"X",$AG51)</f>
        <v>X</v>
      </c>
      <c r="AJ51" s="70" t="str">
        <f>IF(ISTEXT(VLOOKUP(CONCATENATE($A51,"_",AJ$3),'Unit List'!$A$14:$H$2841,2,FALSE)),"X",$AG51)</f>
        <v>+</v>
      </c>
      <c r="AK51" s="171" t="str">
        <f>IF(ISTEXT(VLOOKUP(CONCATENATE($A51,"_",AK$3),'Unit List'!$A$14:$H$2841,2,FALSE)),"+","")</f>
        <v>+</v>
      </c>
      <c r="AL51" s="52" t="str">
        <f>IF(ISTEXT(VLOOKUP(CONCATENATE($A51,"_",AL$3),'Unit List'!$A$14:$H$2841,2,FALSE)),"X",$AK51)</f>
        <v>X</v>
      </c>
      <c r="AM51" s="70" t="str">
        <f>IF(ISTEXT(VLOOKUP(CONCATENATE($A51,"_",AM$3),'Unit List'!$A$14:$H$2841,2,FALSE)),"X",$AK51)</f>
        <v>X</v>
      </c>
      <c r="AN51" s="125" t="str">
        <f>IF(ISTEXT(VLOOKUP(CONCATENATE($A51,"_",AN$3),'Unit List'!$A$14:$H$2841,2,FALSE)),"+","")</f>
        <v>+</v>
      </c>
      <c r="AO51" s="70" t="str">
        <f>IF(ISTEXT(VLOOKUP(CONCATENATE($A51,"_",AO$3),'Unit List'!$A$14:$H$2841,2,FALSE)),"X",$AN51)</f>
        <v>X</v>
      </c>
      <c r="AP51" s="171" t="str">
        <f>IF(ISTEXT(VLOOKUP(CONCATENATE($A51,"_",AP$3),'Unit List'!$A$14:$H$2841,2,FALSE)),"+","")</f>
        <v>+</v>
      </c>
      <c r="AQ51" s="67" t="str">
        <f>IF(ISTEXT(VLOOKUP(CONCATENATE($A51,"_",AQ$3),'Unit List'!$A$14:$H$2841,2,FALSE)),"X",$AP51)</f>
        <v>X</v>
      </c>
      <c r="AR51" s="67" t="str">
        <f>IF(ISTEXT(VLOOKUP(CONCATENATE($A51,"_",AR$3),'Unit List'!$A$14:$H$2841,2,FALSE)),"X",$AP51)</f>
        <v>X</v>
      </c>
      <c r="AS51" s="67" t="str">
        <f>IF(ISTEXT(VLOOKUP(CONCATENATE($A51,"_",AS$3),'Unit List'!$A$14:$H$2841,2,FALSE)),"X",$AP51)</f>
        <v>X</v>
      </c>
      <c r="AT51" s="70" t="str">
        <f>IF(ISTEXT(VLOOKUP(CONCATENATE($A51,"_",AT$3),'Unit List'!$A$14:$H$2841,2,FALSE)),"X",$AP51)</f>
        <v>X</v>
      </c>
      <c r="AU51" s="124" t="str">
        <f>IF(ISTEXT(VLOOKUP(CONCATENATE($A51,"_",AU$3),'Unit List'!$A$14:$H$2841,2,FALSE)),"+","")</f>
        <v>+</v>
      </c>
      <c r="AV51" s="90" t="s">
        <v>0</v>
      </c>
      <c r="AW51" s="53" t="str">
        <f>IF(ISTEXT(VLOOKUP(CONCATENATE($A51,"_",AW$3),'Unit List'!$A$14:$H$2841,2,FALSE)),"X",$AU51)</f>
        <v>+</v>
      </c>
      <c r="AX51" s="172" t="str">
        <f>IF(ISTEXT(VLOOKUP(CONCATENATE($A51,"_",AX$3),'Unit List'!$A$14:$H$2841,2,FALSE)),"+","")</f>
        <v/>
      </c>
      <c r="AY51" s="89" t="s">
        <v>0</v>
      </c>
      <c r="AZ51" s="53" t="str">
        <f>IF(ISTEXT(VLOOKUP(CONCATENATE($A51,"_",AZ$3),'Unit List'!$A$14:$H$2841,2,FALSE)),"X",$AX51)</f>
        <v/>
      </c>
      <c r="BA51" s="171" t="str">
        <f>IF(ISTEXT(VLOOKUP(CONCATENATE($A51,"_",BA$3),'Unit List'!$A$14:$H$2841,2,FALSE)),"+","")</f>
        <v>+</v>
      </c>
      <c r="BB51" s="67" t="str">
        <f>IF(ISTEXT(VLOOKUP(CONCATENATE($A51,"_",BB$3),'Unit List'!$A$14:$H$2841,2,FALSE)),"X",$BA51)</f>
        <v>X</v>
      </c>
      <c r="BC51" s="67" t="str">
        <f>IF(ISTEXT(VLOOKUP(CONCATENATE($A51,"_",BC$3),'Unit List'!$A$14:$H$2841,2,FALSE)),"X",$BA51)</f>
        <v>X</v>
      </c>
      <c r="BD51" s="70" t="str">
        <f>IF(ISTEXT(VLOOKUP(CONCATENATE($A51,"_",BD$3),'Unit List'!$A$14:$H$2841,2,FALSE)),"X",$BA51)</f>
        <v>X</v>
      </c>
      <c r="BE51" s="125" t="str">
        <f>IF(ISTEXT(VLOOKUP(CONCATENATE($A51,"_",BE$3),'Unit List'!$A$14:$H$2841,2,FALSE)),"+","")</f>
        <v>+</v>
      </c>
      <c r="BF51" s="86" t="str">
        <f>IF(ISTEXT(VLOOKUP(CONCATENATE($A51,"_",BF$3),'Unit List'!$A$14:$H$2841,2,FALSE)),"X",$BE51)</f>
        <v>X</v>
      </c>
      <c r="BG51" s="75"/>
      <c r="BH51" s="76" t="s">
        <v>0</v>
      </c>
      <c r="BI51" s="203" t="s">
        <v>12</v>
      </c>
      <c r="BJ51" s="206"/>
      <c r="BK51" s="206"/>
      <c r="BL51" s="206"/>
      <c r="BM51" s="207"/>
      <c r="BN51" s="54"/>
      <c r="BO51" s="54"/>
      <c r="BP51" s="54"/>
      <c r="BQ51" s="54"/>
      <c r="BR51" s="54"/>
      <c r="BS51" s="54"/>
      <c r="DZ51" s="55"/>
      <c r="EA51" s="55"/>
    </row>
    <row r="52" spans="1:131" ht="12.75" customHeight="1" x14ac:dyDescent="0.2">
      <c r="A52" s="56" t="s">
        <v>15</v>
      </c>
      <c r="B52" s="181" t="str">
        <f>IF(ISTEXT(VLOOKUP(CONCATENATE($A52,"_",B$3),'Unit List'!$A$14:$H$2841,2,FALSE)),"+","")</f>
        <v/>
      </c>
      <c r="C52" s="82" t="str">
        <f>IF(ISTEXT(VLOOKUP(CONCATENATE($A52,"_",C$3),'Unit List'!$A$14:$H$2841,2,FALSE)),"X",$B52)</f>
        <v>X</v>
      </c>
      <c r="D52" s="67" t="str">
        <f>IF(ISTEXT(VLOOKUP(CONCATENATE($A52,"_",D$3),'Unit List'!$A$14:$H$2841,2,FALSE)),"X",$B52)</f>
        <v>X</v>
      </c>
      <c r="E52" s="51" t="str">
        <f>IF(ISTEXT(VLOOKUP(CONCATENATE($A52,"_",E$3),'Unit List'!$A$14:$H$2841,2,FALSE)),"X",$B52)</f>
        <v>X</v>
      </c>
      <c r="F52" s="67" t="str">
        <f>IF(ISTEXT(VLOOKUP(CONCATENATE($A52,"_",F$3),'Unit List'!$A$14:$H$2841,2,FALSE)),"X",$B52)</f>
        <v>X</v>
      </c>
      <c r="G52" s="67" t="str">
        <f>IF(ISTEXT(VLOOKUP(CONCATENATE($A52,"_",G$3),'Unit List'!$A$14:$H$2841,2,FALSE)),"X",$B52)</f>
        <v>X</v>
      </c>
      <c r="H52" s="89" t="s">
        <v>3</v>
      </c>
      <c r="I52" s="70" t="str">
        <f>IF(ISTEXT(VLOOKUP(CONCATENATE($A52,"_",I$3),'Unit List'!$A$14:$H$2841,2,FALSE)),"X",$B52)</f>
        <v>X</v>
      </c>
      <c r="J52" s="172" t="str">
        <f>IF(ISTEXT(VLOOKUP(CONCATENATE($A52,"_",J$3),'Unit List'!$A$14:$H$2841,2,FALSE)),"+","")</f>
        <v/>
      </c>
      <c r="K52" s="51" t="str">
        <f>IF(ISTEXT(VLOOKUP(CONCATENATE($A52,"_",K$3),'Unit List'!$A$14:$H$2841,2,FALSE)),"X",$J52)</f>
        <v/>
      </c>
      <c r="L52" s="86" t="str">
        <f>IF(ISTEXT(VLOOKUP(CONCATENATE($A52,"_",L$3),'Unit List'!$A$14:$H$2841,2,FALSE)),"X",$J52)</f>
        <v>X</v>
      </c>
      <c r="M52" s="172" t="str">
        <f>IF(ISTEXT(VLOOKUP(CONCATENATE($A52,"_",M$3),'Unit List'!$A$14:$H$2841,2,FALSE)),"+","")</f>
        <v>+</v>
      </c>
      <c r="N52" s="67" t="str">
        <f>IF(ISTEXT(VLOOKUP(CONCATENATE($A52,"_",N$3),'Unit List'!$A$14:$H$2841,2,FALSE)),"X",$M52)</f>
        <v>X</v>
      </c>
      <c r="O52" s="70" t="str">
        <f>IF(ISTEXT(VLOOKUP(CONCATENATE($A52,"_",O$3),'Unit List'!$A$14:$H$2841,2,FALSE)),"X",$M52)</f>
        <v>X</v>
      </c>
      <c r="P52" s="172" t="str">
        <f>IF(ISTEXT(VLOOKUP(CONCATENATE($A52,"_",P$3),'Unit List'!$A$14:$H$2841,2,FALSE)),"+","")</f>
        <v/>
      </c>
      <c r="Q52" s="51" t="str">
        <f>IF(ISTEXT(VLOOKUP(CONCATENATE($A52,"_",Q$3),'Unit List'!$A$14:$H$2841,2,FALSE)),"X",$P52)</f>
        <v/>
      </c>
      <c r="R52" s="51" t="str">
        <f>IF(ISTEXT(VLOOKUP(CONCATENATE($A52,"_",R$3),'Unit List'!$A$14:$H$2841,2,FALSE)),"X",$P52)</f>
        <v/>
      </c>
      <c r="S52" s="51" t="str">
        <f>IF(ISTEXT(VLOOKUP(CONCATENATE($A52,"_",S$3),'Unit List'!$A$14:$H$2841,2,FALSE)),"X",$P52)</f>
        <v/>
      </c>
      <c r="T52" s="52" t="str">
        <f>IF(ISTEXT(VLOOKUP(CONCATENATE($A52,"_",T$3),'Unit List'!$A$14:$H$2841,2,FALSE)),"X",$P52)</f>
        <v/>
      </c>
      <c r="U52" s="67" t="str">
        <f>IF(ISTEXT(VLOOKUP(CONCATENATE($A52,"_",U$3),'Unit List'!$A$14:$H$2841,2,FALSE)),"X",$P52)</f>
        <v>X</v>
      </c>
      <c r="V52" s="51" t="str">
        <f>IF(ISTEXT(VLOOKUP(CONCATENATE($A52,"_",V$3),'Unit List'!$A$14:$H$2841,2,FALSE)),"X",$P52)</f>
        <v>X</v>
      </c>
      <c r="W52" s="53" t="str">
        <f>IF(ISTEXT(VLOOKUP(CONCATENATE($A52,"_",W$3),'Unit List'!$A$14:$H$2841,2,FALSE)),"X",$P52)</f>
        <v/>
      </c>
      <c r="X52" s="172" t="str">
        <f>IF(ISTEXT(VLOOKUP(CONCATENATE($A52,"_",X$3),'Unit List'!$A$14:$H$2841,2,FALSE)),"+","")</f>
        <v>+</v>
      </c>
      <c r="Y52" s="51" t="str">
        <f>IF(ISTEXT(VLOOKUP(CONCATENATE($A52,"_",Y$3),'Unit List'!$A$14:$H$2841,2,FALSE)),"X",$X52)</f>
        <v>+</v>
      </c>
      <c r="Z52" s="51" t="str">
        <f>IF(ISTEXT(VLOOKUP(CONCATENATE($A52,"_",Z$3),'Unit List'!$A$14:$H$2841,2,FALSE)),"X",$X52)</f>
        <v>+</v>
      </c>
      <c r="AA52" s="51" t="str">
        <f>IF(ISTEXT(VLOOKUP(CONCATENATE($A52,"_",AA$3),'Unit List'!$A$14:$H$2841,2,FALSE)),"X",$X52)</f>
        <v>+</v>
      </c>
      <c r="AB52" s="51" t="str">
        <f>IF(ISTEXT(VLOOKUP(CONCATENATE($A52,"_",AB$3),'Unit List'!$A$14:$H$2841,2,FALSE)),"X",$X52)</f>
        <v>+</v>
      </c>
      <c r="AC52" s="62" t="str">
        <f>IF(ISTEXT(VLOOKUP(CONCATENATE($A52,"_",AC$3),'Unit List'!$A$14:$H$2841,2,FALSE)),"X",$X52)</f>
        <v>+</v>
      </c>
      <c r="AD52" s="171" t="str">
        <f>IF(ISTEXT(VLOOKUP(CONCATENATE($A52,"_",AD$3),'Unit List'!$A$14:$H$2841,2,FALSE)),"+","")</f>
        <v/>
      </c>
      <c r="AE52" s="51" t="str">
        <f>IF(ISTEXT(VLOOKUP(CONCATENATE($A52,"_",AE$3),'Unit List'!$A$14:$H$2841,2,FALSE)),"X",$AD52)</f>
        <v/>
      </c>
      <c r="AF52" s="51" t="str">
        <f>IF(ISTEXT(VLOOKUP(CONCATENATE($A52,"_",AF$3),'Unit List'!$A$14:$H$2841,2,FALSE)),"X",$AD52)</f>
        <v/>
      </c>
      <c r="AG52" s="171" t="str">
        <f>IF(ISTEXT(VLOOKUP(CONCATENATE($A52,"_",AG$3),'Unit List'!$A$14:$H$2841,2,FALSE)),"+","")</f>
        <v>+</v>
      </c>
      <c r="AH52" s="51" t="str">
        <f>IF(ISTEXT(VLOOKUP(CONCATENATE($A52,"_",AH$3),'Unit List'!$A$14:$H$2841,2,FALSE)),"X",$AG52)</f>
        <v>+</v>
      </c>
      <c r="AI52" s="51" t="str">
        <f>IF(ISTEXT(VLOOKUP(CONCATENATE($A52,"_",AI$3),'Unit List'!$A$14:$H$2841,2,FALSE)),"X",$AG52)</f>
        <v>+</v>
      </c>
      <c r="AJ52" s="53" t="str">
        <f>IF(ISTEXT(VLOOKUP(CONCATENATE($A52,"_",AJ$3),'Unit List'!$A$14:$H$2841,2,FALSE)),"X",$AG52)</f>
        <v>+</v>
      </c>
      <c r="AK52" s="172" t="str">
        <f>IF(ISTEXT(VLOOKUP(CONCATENATE($A52,"_",AK$3),'Unit List'!$A$14:$H$2841,2,FALSE)),"+","")</f>
        <v/>
      </c>
      <c r="AL52" s="87" t="str">
        <f>IF(ISTEXT(VLOOKUP(CONCATENATE($A52,"_",AL$3),'Unit List'!$A$14:$H$2841,2,FALSE)),"X",$AK52)</f>
        <v>X</v>
      </c>
      <c r="AM52" s="53" t="str">
        <f>IF(ISTEXT(VLOOKUP(CONCATENATE($A52,"_",AM$3),'Unit List'!$A$14:$H$2841,2,FALSE)),"X",$AK52)</f>
        <v/>
      </c>
      <c r="AN52" s="125" t="str">
        <f>IF(ISTEXT(VLOOKUP(CONCATENATE($A52,"_",AN$3),'Unit List'!$A$14:$H$2841,2,FALSE)),"+","")</f>
        <v/>
      </c>
      <c r="AO52" s="53" t="str">
        <f>IF(ISTEXT(VLOOKUP(CONCATENATE($A52,"_",AO$3),'Unit List'!$A$14:$H$2841,2,FALSE)),"X",$AN52)</f>
        <v/>
      </c>
      <c r="AP52" s="172" t="str">
        <f>IF(ISTEXT(VLOOKUP(CONCATENATE($A52,"_",AP$3),'Unit List'!$A$14:$H$2841,2,FALSE)),"+","")</f>
        <v>+</v>
      </c>
      <c r="AQ52" s="67" t="str">
        <f>IF(ISTEXT(VLOOKUP(CONCATENATE($A52,"_",AQ$3),'Unit List'!$A$14:$H$2841,2,FALSE)),"X",$AP52)</f>
        <v>X</v>
      </c>
      <c r="AR52" s="67" t="str">
        <f>IF(ISTEXT(VLOOKUP(CONCATENATE($A52,"_",AR$3),'Unit List'!$A$14:$H$2841,2,FALSE)),"X",$AP52)</f>
        <v>X</v>
      </c>
      <c r="AS52" s="51" t="str">
        <f>IF(ISTEXT(VLOOKUP(CONCATENATE($A52,"_",AS$3),'Unit List'!$A$14:$H$2841,2,FALSE)),"X",$AP52)</f>
        <v>+</v>
      </c>
      <c r="AT52" s="53" t="str">
        <f>IF(ISTEXT(VLOOKUP(CONCATENATE($A52,"_",AT$3),'Unit List'!$A$14:$H$2841,2,FALSE)),"X",$AP52)</f>
        <v>+</v>
      </c>
      <c r="AU52" s="124" t="str">
        <f>IF(ISTEXT(VLOOKUP(CONCATENATE($A52,"_",AU$3),'Unit List'!$A$14:$H$2841,2,FALSE)),"+","")</f>
        <v/>
      </c>
      <c r="AV52" s="51" t="str">
        <f>IF(ISTEXT(VLOOKUP(CONCATENATE($A52,"_",AV$3),'Unit List'!$A$14:$H$2841,2,FALSE)),"X",$AU52)</f>
        <v/>
      </c>
      <c r="AW52" s="53" t="str">
        <f>IF(ISTEXT(VLOOKUP(CONCATENATE($A52,"_",AW$3),'Unit List'!$A$14:$H$2841,2,FALSE)),"X",$AU52)</f>
        <v/>
      </c>
      <c r="AX52" s="171" t="str">
        <f>IF(ISTEXT(VLOOKUP(CONCATENATE($A52,"_",AX$3),'Unit List'!$A$14:$H$2841,2,FALSE)),"+","")</f>
        <v>+</v>
      </c>
      <c r="AY52" s="69" t="str">
        <f>IF(ISTEXT(VLOOKUP(CONCATENATE($A52,"_",AY$3),'Unit List'!$A$14:$H$2841,2,FALSE)),"X",$AX52)</f>
        <v>+</v>
      </c>
      <c r="AZ52" s="53" t="str">
        <f>IF(ISTEXT(VLOOKUP(CONCATENATE($A52,"_",AZ$3),'Unit List'!$A$14:$H$2841,2,FALSE)),"X",$AX52)</f>
        <v>+</v>
      </c>
      <c r="BA52" s="171" t="str">
        <f>IF(ISTEXT(VLOOKUP(CONCATENATE($A52,"_",BA$3),'Unit List'!$A$14:$H$2841,2,FALSE)),"+","")</f>
        <v>+</v>
      </c>
      <c r="BB52" s="51" t="str">
        <f>IF(ISTEXT(VLOOKUP(CONCATENATE($A52,"_",BB$3),'Unit List'!$A$14:$H$2841,2,FALSE)),"X",$BA52)</f>
        <v>+</v>
      </c>
      <c r="BC52" s="69" t="str">
        <f>IF(ISTEXT(VLOOKUP(CONCATENATE($A52,"_",BC$3),'Unit List'!$A$14:$H$2841,2,FALSE)),"X",$BA52)</f>
        <v>+</v>
      </c>
      <c r="BD52" s="53" t="str">
        <f>IF(ISTEXT(VLOOKUP(CONCATENATE($A52,"_",BD$3),'Unit List'!$A$14:$H$2841,2,FALSE)),"X",$BA52)</f>
        <v>+</v>
      </c>
      <c r="BE52" s="125" t="str">
        <f>IF(ISTEXT(VLOOKUP(CONCATENATE($A52,"_",BE$3),'Unit List'!$A$14:$H$2841,2,FALSE)),"+","")</f>
        <v>+</v>
      </c>
      <c r="BF52" s="62" t="str">
        <f>IF(ISTEXT(VLOOKUP(CONCATENATE($A52,"_",BF$3),'Unit List'!$A$14:$H$2841,2,FALSE)),"X",$BE52)</f>
        <v>+</v>
      </c>
      <c r="BG52" s="64"/>
      <c r="BH52" s="65" t="s">
        <v>0</v>
      </c>
      <c r="BI52" s="203"/>
      <c r="BJ52" s="204"/>
      <c r="BK52" s="204"/>
      <c r="BL52" s="204"/>
      <c r="BM52" s="205"/>
      <c r="BN52" s="54"/>
      <c r="BO52" s="54"/>
      <c r="BP52" s="54"/>
      <c r="BQ52" s="54"/>
      <c r="BR52" s="54"/>
      <c r="BS52" s="54"/>
      <c r="DZ52" s="55"/>
      <c r="EA52" s="55"/>
    </row>
    <row r="53" spans="1:131" ht="12.75" customHeight="1" x14ac:dyDescent="0.2">
      <c r="A53" s="56" t="s">
        <v>14</v>
      </c>
      <c r="B53" s="181" t="str">
        <f>IF(ISTEXT(VLOOKUP(CONCATENATE($A53,"_",B$3),'Unit List'!$A$14:$H$2841,2,FALSE)),"+","")</f>
        <v/>
      </c>
      <c r="C53" s="57" t="str">
        <f>IF(ISTEXT(VLOOKUP(CONCATENATE($A53,"_",C$3),'Unit List'!$A$14:$H$2841,2,FALSE)),"X",$B53)</f>
        <v/>
      </c>
      <c r="D53" s="51" t="str">
        <f>IF(ISTEXT(VLOOKUP(CONCATENATE($A53,"_",D$3),'Unit List'!$A$14:$H$2841,2,FALSE)),"X",$B53)</f>
        <v/>
      </c>
      <c r="E53" s="51" t="str">
        <f>IF(ISTEXT(VLOOKUP(CONCATENATE($A53,"_",E$3),'Unit List'!$A$14:$H$2841,2,FALSE)),"X",$B53)</f>
        <v/>
      </c>
      <c r="F53" s="51" t="str">
        <f>IF(ISTEXT(VLOOKUP(CONCATENATE($A53,"_",F$3),'Unit List'!$A$14:$H$2841,2,FALSE)),"X",$B53)</f>
        <v/>
      </c>
      <c r="G53" s="51" t="str">
        <f>IF(ISTEXT(VLOOKUP(CONCATENATE($A53,"_",G$3),'Unit List'!$A$14:$H$2841,2,FALSE)),"X",$B53)</f>
        <v/>
      </c>
      <c r="H53" s="51" t="str">
        <f>IF(ISTEXT(VLOOKUP(CONCATENATE($A53,"_",H$3),'Unit List'!$A$14:$H$2841,2,FALSE)),"X",$B53)</f>
        <v/>
      </c>
      <c r="I53" s="53" t="str">
        <f>IF(ISTEXT(VLOOKUP(CONCATENATE($A53,"_",I$3),'Unit List'!$A$14:$H$2841,2,FALSE)),"X",$B53)</f>
        <v/>
      </c>
      <c r="J53" s="172" t="str">
        <f>IF(ISTEXT(VLOOKUP(CONCATENATE($A53,"_",J$3),'Unit List'!$A$14:$H$2841,2,FALSE)),"+","")</f>
        <v/>
      </c>
      <c r="K53" s="51" t="str">
        <f>IF(ISTEXT(VLOOKUP(CONCATENATE($A53,"_",K$3),'Unit List'!$A$14:$H$2841,2,FALSE)),"X",$J53)</f>
        <v/>
      </c>
      <c r="L53" s="62" t="str">
        <f>IF(ISTEXT(VLOOKUP(CONCATENATE($A53,"_",L$3),'Unit List'!$A$14:$H$2841,2,FALSE)),"X",$J53)</f>
        <v/>
      </c>
      <c r="M53" s="172" t="str">
        <f>IF(ISTEXT(VLOOKUP(CONCATENATE($A53,"_",M$3),'Unit List'!$A$14:$H$2841,2,FALSE)),"+","")</f>
        <v/>
      </c>
      <c r="N53" s="51" t="str">
        <f>IF(ISTEXT(VLOOKUP(CONCATENATE($A53,"_",N$3),'Unit List'!$A$14:$H$2841,2,FALSE)),"X",$M53)</f>
        <v/>
      </c>
      <c r="O53" s="53" t="str">
        <f>IF(ISTEXT(VLOOKUP(CONCATENATE($A53,"_",O$3),'Unit List'!$A$14:$H$2841,2,FALSE)),"X",$M53)</f>
        <v/>
      </c>
      <c r="P53" s="172" t="str">
        <f>IF(ISTEXT(VLOOKUP(CONCATENATE($A53,"_",P$3),'Unit List'!$A$14:$H$2841,2,FALSE)),"+","")</f>
        <v/>
      </c>
      <c r="Q53" s="51" t="str">
        <f>IF(ISTEXT(VLOOKUP(CONCATENATE($A53,"_",Q$3),'Unit List'!$A$14:$H$2841,2,FALSE)),"X",$P53)</f>
        <v/>
      </c>
      <c r="R53" s="51" t="str">
        <f>IF(ISTEXT(VLOOKUP(CONCATENATE($A53,"_",R$3),'Unit List'!$A$14:$H$2841,2,FALSE)),"X",$P53)</f>
        <v/>
      </c>
      <c r="S53" s="51" t="str">
        <f>IF(ISTEXT(VLOOKUP(CONCATENATE($A53,"_",S$3),'Unit List'!$A$14:$H$2841,2,FALSE)),"X",$P53)</f>
        <v/>
      </c>
      <c r="T53" s="52" t="str">
        <f>IF(ISTEXT(VLOOKUP(CONCATENATE($A53,"_",T$3),'Unit List'!$A$14:$H$2841,2,FALSE)),"X",$P53)</f>
        <v/>
      </c>
      <c r="U53" s="51" t="str">
        <f>IF(ISTEXT(VLOOKUP(CONCATENATE($A53,"_",U$3),'Unit List'!$A$14:$H$2841,2,FALSE)),"X",$P53)</f>
        <v/>
      </c>
      <c r="V53" s="51" t="str">
        <f>IF(ISTEXT(VLOOKUP(CONCATENATE($A53,"_",V$3),'Unit List'!$A$14:$H$2841,2,FALSE)),"X",$P53)</f>
        <v/>
      </c>
      <c r="W53" s="53" t="str">
        <f>IF(ISTEXT(VLOOKUP(CONCATENATE($A53,"_",W$3),'Unit List'!$A$14:$H$2841,2,FALSE)),"X",$P53)</f>
        <v/>
      </c>
      <c r="X53" s="172" t="str">
        <f>IF(ISTEXT(VLOOKUP(CONCATENATE($A53,"_",X$3),'Unit List'!$A$14:$H$2841,2,FALSE)),"+","")</f>
        <v/>
      </c>
      <c r="Y53" s="51" t="str">
        <f>IF(ISTEXT(VLOOKUP(CONCATENATE($A53,"_",Y$3),'Unit List'!$A$14:$H$2841,2,FALSE)),"X",$X53)</f>
        <v/>
      </c>
      <c r="Z53" s="51" t="str">
        <f>IF(ISTEXT(VLOOKUP(CONCATENATE($A53,"_",Z$3),'Unit List'!$A$14:$H$2841,2,FALSE)),"X",$X53)</f>
        <v/>
      </c>
      <c r="AA53" s="51" t="str">
        <f>IF(ISTEXT(VLOOKUP(CONCATENATE($A53,"_",AA$3),'Unit List'!$A$14:$H$2841,2,FALSE)),"X",$X53)</f>
        <v/>
      </c>
      <c r="AB53" s="51" t="str">
        <f>IF(ISTEXT(VLOOKUP(CONCATENATE($A53,"_",AB$3),'Unit List'!$A$14:$H$2841,2,FALSE)),"X",$X53)</f>
        <v/>
      </c>
      <c r="AC53" s="62" t="str">
        <f>IF(ISTEXT(VLOOKUP(CONCATENATE($A53,"_",AC$3),'Unit List'!$A$14:$H$2841,2,FALSE)),"X",$X53)</f>
        <v/>
      </c>
      <c r="AD53" s="172" t="str">
        <f>IF(ISTEXT(VLOOKUP(CONCATENATE($A53,"_",AD$3),'Unit List'!$A$14:$H$2841,2,FALSE)),"+","")</f>
        <v/>
      </c>
      <c r="AE53" s="51" t="str">
        <f>IF(ISTEXT(VLOOKUP(CONCATENATE($A53,"_",AE$3),'Unit List'!$A$14:$H$2841,2,FALSE)),"X",$AD53)</f>
        <v/>
      </c>
      <c r="AF53" s="51" t="str">
        <f>IF(ISTEXT(VLOOKUP(CONCATENATE($A53,"_",AF$3),'Unit List'!$A$14:$H$2841,2,FALSE)),"X",$AD53)</f>
        <v/>
      </c>
      <c r="AG53" s="172" t="str">
        <f>IF(ISTEXT(VLOOKUP(CONCATENATE($A53,"_",AG$3),'Unit List'!$A$14:$H$2841,2,FALSE)),"+","")</f>
        <v/>
      </c>
      <c r="AH53" s="51" t="str">
        <f>IF(ISTEXT(VLOOKUP(CONCATENATE($A53,"_",AH$3),'Unit List'!$A$14:$H$2841,2,FALSE)),"X",$AG53)</f>
        <v/>
      </c>
      <c r="AI53" s="51" t="str">
        <f>IF(ISTEXT(VLOOKUP(CONCATENATE($A53,"_",AI$3),'Unit List'!$A$14:$H$2841,2,FALSE)),"X",$AG53)</f>
        <v/>
      </c>
      <c r="AJ53" s="53" t="str">
        <f>IF(ISTEXT(VLOOKUP(CONCATENATE($A53,"_",AJ$3),'Unit List'!$A$14:$H$2841,2,FALSE)),"X",$AG53)</f>
        <v/>
      </c>
      <c r="AK53" s="172" t="str">
        <f>IF(ISTEXT(VLOOKUP(CONCATENATE($A53,"_",AK$3),'Unit List'!$A$14:$H$2841,2,FALSE)),"+","")</f>
        <v/>
      </c>
      <c r="AL53" s="52" t="str">
        <f>IF(ISTEXT(VLOOKUP(CONCATENATE($A53,"_",AL$3),'Unit List'!$A$14:$H$2841,2,FALSE)),"X",$AK53)</f>
        <v/>
      </c>
      <c r="AM53" s="53" t="str">
        <f>IF(ISTEXT(VLOOKUP(CONCATENATE($A53,"_",AM$3),'Unit List'!$A$14:$H$2841,2,FALSE)),"X",$AK53)</f>
        <v/>
      </c>
      <c r="AN53" s="125" t="str">
        <f>IF(ISTEXT(VLOOKUP(CONCATENATE($A53,"_",AN$3),'Unit List'!$A$14:$H$2841,2,FALSE)),"+","")</f>
        <v/>
      </c>
      <c r="AO53" s="53" t="str">
        <f>IF(ISTEXT(VLOOKUP(CONCATENATE($A53,"_",AO$3),'Unit List'!$A$14:$H$2841,2,FALSE)),"X",$AN53)</f>
        <v/>
      </c>
      <c r="AP53" s="172" t="str">
        <f>IF(ISTEXT(VLOOKUP(CONCATENATE($A53,"_",AP$3),'Unit List'!$A$14:$H$2841,2,FALSE)),"+","")</f>
        <v/>
      </c>
      <c r="AQ53" s="51" t="str">
        <f>IF(ISTEXT(VLOOKUP(CONCATENATE($A53,"_",AQ$3),'Unit List'!$A$14:$H$2841,2,FALSE)),"X",$AP53)</f>
        <v/>
      </c>
      <c r="AR53" s="51" t="str">
        <f>IF(ISTEXT(VLOOKUP(CONCATENATE($A53,"_",AR$3),'Unit List'!$A$14:$H$2841,2,FALSE)),"X",$AP53)</f>
        <v/>
      </c>
      <c r="AS53" s="89" t="s">
        <v>0</v>
      </c>
      <c r="AT53" s="53" t="str">
        <f>IF(ISTEXT(VLOOKUP(CONCATENATE($A53,"_",AT$3),'Unit List'!$A$14:$H$2841,2,FALSE)),"X",$AP53)</f>
        <v/>
      </c>
      <c r="AU53" s="124" t="str">
        <f>IF(ISTEXT(VLOOKUP(CONCATENATE($A53,"_",AU$3),'Unit List'!$A$14:$H$2841,2,FALSE)),"+","")</f>
        <v/>
      </c>
      <c r="AV53" s="51" t="str">
        <f>IF(ISTEXT(VLOOKUP(CONCATENATE($A53,"_",AV$3),'Unit List'!$A$14:$H$2841,2,FALSE)),"X",$AU53)</f>
        <v/>
      </c>
      <c r="AW53" s="53" t="str">
        <f>IF(ISTEXT(VLOOKUP(CONCATENATE($A53,"_",AW$3),'Unit List'!$A$14:$H$2841,2,FALSE)),"X",$AU53)</f>
        <v/>
      </c>
      <c r="AX53" s="172" t="str">
        <f>IF(ISTEXT(VLOOKUP(CONCATENATE($A53,"_",AX$3),'Unit List'!$A$14:$H$2841,2,FALSE)),"+","")</f>
        <v/>
      </c>
      <c r="AY53" s="51" t="str">
        <f>IF(ISTEXT(VLOOKUP(CONCATENATE($A53,"_",AY$3),'Unit List'!$A$14:$H$2841,2,FALSE)),"X",$AX53)</f>
        <v/>
      </c>
      <c r="AZ53" s="53" t="str">
        <f>IF(ISTEXT(VLOOKUP(CONCATENATE($A53,"_",AZ$3),'Unit List'!$A$14:$H$2841,2,FALSE)),"X",$AX53)</f>
        <v/>
      </c>
      <c r="BA53" s="182" t="str">
        <f>IF(ISTEXT(VLOOKUP(CONCATENATE($A53,"_",BA$3),'Unit List'!$A$14:$H$2841,2,FALSE)),"+","")</f>
        <v/>
      </c>
      <c r="BB53" s="51" t="str">
        <f>IF(ISTEXT(VLOOKUP(CONCATENATE($A53,"_",BB$3),'Unit List'!$A$14:$H$2841,2,FALSE)),"X",$BA53)</f>
        <v/>
      </c>
      <c r="BC53" s="51" t="str">
        <f>IF(ISTEXT(VLOOKUP(CONCATENATE($A53,"_",BC$3),'Unit List'!$A$14:$H$2841,2,FALSE)),"X",$BA53)</f>
        <v/>
      </c>
      <c r="BD53" s="53" t="str">
        <f>IF(ISTEXT(VLOOKUP(CONCATENATE($A53,"_",BD$3),'Unit List'!$A$14:$H$2841,2,FALSE)),"X",$BA53)</f>
        <v/>
      </c>
      <c r="BE53" s="125" t="str">
        <f>IF(ISTEXT(VLOOKUP(CONCATENATE($A53,"_",BE$3),'Unit List'!$A$14:$H$2841,2,FALSE)),"+","")</f>
        <v/>
      </c>
      <c r="BF53" s="62" t="str">
        <f>IF(ISTEXT(VLOOKUP(CONCATENATE($A53,"_",BF$3),'Unit List'!$A$14:$H$2841,2,FALSE)),"X",$BE53)</f>
        <v/>
      </c>
      <c r="BG53" s="64"/>
      <c r="BH53" s="65" t="s">
        <v>0</v>
      </c>
      <c r="BI53" s="203"/>
      <c r="BJ53" s="204"/>
      <c r="BK53" s="204"/>
      <c r="BL53" s="204"/>
      <c r="BM53" s="205"/>
      <c r="BN53" s="54"/>
      <c r="BO53" s="54"/>
      <c r="BP53" s="54"/>
      <c r="BQ53" s="54"/>
      <c r="BR53" s="54"/>
      <c r="BS53" s="54"/>
      <c r="DZ53" s="55"/>
      <c r="EA53" s="55"/>
    </row>
    <row r="54" spans="1:131" ht="12.75" customHeight="1" x14ac:dyDescent="0.2">
      <c r="A54" s="108" t="s">
        <v>13</v>
      </c>
      <c r="B54" s="181" t="str">
        <f>IF(ISTEXT(VLOOKUP(CONCATENATE($A54,"_",B$3),'Unit List'!$A$14:$H$2841,2,FALSE)),"+","")</f>
        <v/>
      </c>
      <c r="C54" s="57" t="str">
        <f>IF(ISTEXT(VLOOKUP(CONCATENATE($A54,"_",C$3),'Unit List'!$A$14:$H$2841,2,FALSE)),"X",$B54)</f>
        <v/>
      </c>
      <c r="D54" s="51" t="str">
        <f>IF(ISTEXT(VLOOKUP(CONCATENATE($A54,"_",D$3),'Unit List'!$A$14:$H$2841,2,FALSE)),"X",$B54)</f>
        <v/>
      </c>
      <c r="E54" s="51" t="str">
        <f>IF(ISTEXT(VLOOKUP(CONCATENATE($A54,"_",E$3),'Unit List'!$A$14:$H$2841,2,FALSE)),"X",$B54)</f>
        <v/>
      </c>
      <c r="F54" s="51" t="str">
        <f>IF(ISTEXT(VLOOKUP(CONCATENATE($A54,"_",F$3),'Unit List'!$A$14:$H$2841,2,FALSE)),"X",$B54)</f>
        <v/>
      </c>
      <c r="G54" s="51" t="str">
        <f>IF(ISTEXT(VLOOKUP(CONCATENATE($A54,"_",G$3),'Unit List'!$A$14:$H$2841,2,FALSE)),"X",$B54)</f>
        <v/>
      </c>
      <c r="H54" s="51" t="str">
        <f>IF(ISTEXT(VLOOKUP(CONCATENATE($A54,"_",H$3),'Unit List'!$A$14:$H$2841,2,FALSE)),"X",$B54)</f>
        <v/>
      </c>
      <c r="I54" s="53" t="str">
        <f>IF(ISTEXT(VLOOKUP(CONCATENATE($A54,"_",I$3),'Unit List'!$A$14:$H$2841,2,FALSE)),"X",$B54)</f>
        <v/>
      </c>
      <c r="J54" s="172" t="str">
        <f>IF(ISTEXT(VLOOKUP(CONCATENATE($A54,"_",J$3),'Unit List'!$A$14:$H$2841,2,FALSE)),"+","")</f>
        <v>+</v>
      </c>
      <c r="K54" s="51" t="str">
        <f>IF(ISTEXT(VLOOKUP(CONCATENATE($A54,"_",K$3),'Unit List'!$A$14:$H$2841,2,FALSE)),"X",$J54)</f>
        <v>+</v>
      </c>
      <c r="L54" s="62" t="str">
        <f>IF(ISTEXT(VLOOKUP(CONCATENATE($A54,"_",L$3),'Unit List'!$A$14:$H$2841,2,FALSE)),"X",$J54)</f>
        <v>+</v>
      </c>
      <c r="M54" s="172" t="str">
        <f>IF(ISTEXT(VLOOKUP(CONCATENATE($A54,"_",M$3),'Unit List'!$A$14:$H$2841,2,FALSE)),"+","")</f>
        <v/>
      </c>
      <c r="N54" s="51" t="str">
        <f>IF(ISTEXT(VLOOKUP(CONCATENATE($A54,"_",N$3),'Unit List'!$A$14:$H$2841,2,FALSE)),"X",$M54)</f>
        <v/>
      </c>
      <c r="O54" s="53" t="str">
        <f>IF(ISTEXT(VLOOKUP(CONCATENATE($A54,"_",O$3),'Unit List'!$A$14:$H$2841,2,FALSE)),"X",$M54)</f>
        <v/>
      </c>
      <c r="P54" s="172" t="str">
        <f>IF(ISTEXT(VLOOKUP(CONCATENATE($A54,"_",P$3),'Unit List'!$A$14:$H$2841,2,FALSE)),"+","")</f>
        <v/>
      </c>
      <c r="Q54" s="51" t="str">
        <f>IF(ISTEXT(VLOOKUP(CONCATENATE($A54,"_",Q$3),'Unit List'!$A$14:$H$2841,2,FALSE)),"X",$P54)</f>
        <v/>
      </c>
      <c r="R54" s="89" t="s">
        <v>0</v>
      </c>
      <c r="S54" s="51" t="str">
        <f>IF(ISTEXT(VLOOKUP(CONCATENATE($A54,"_",S$3),'Unit List'!$A$14:$H$2841,2,FALSE)),"X",$P54)</f>
        <v/>
      </c>
      <c r="T54" s="52" t="str">
        <f>IF(ISTEXT(VLOOKUP(CONCATENATE($A54,"_",T$3),'Unit List'!$A$14:$H$2841,2,FALSE)),"X",$P54)</f>
        <v/>
      </c>
      <c r="U54" s="51" t="str">
        <f>IF(ISTEXT(VLOOKUP(CONCATENATE($A54,"_",U$3),'Unit List'!$A$14:$H$2841,2,FALSE)),"X",$P54)</f>
        <v/>
      </c>
      <c r="V54" s="51" t="str">
        <f>IF(ISTEXT(VLOOKUP(CONCATENATE($A54,"_",V$3),'Unit List'!$A$14:$H$2841,2,FALSE)),"X",$P54)</f>
        <v/>
      </c>
      <c r="W54" s="53" t="str">
        <f>IF(ISTEXT(VLOOKUP(CONCATENATE($A54,"_",W$3),'Unit List'!$A$14:$H$2841,2,FALSE)),"X",$P54)</f>
        <v/>
      </c>
      <c r="X54" s="172" t="str">
        <f>IF(ISTEXT(VLOOKUP(CONCATENATE($A54,"_",X$3),'Unit List'!$A$14:$H$2841,2,FALSE)),"+","")</f>
        <v/>
      </c>
      <c r="Y54" s="51" t="str">
        <f>IF(ISTEXT(VLOOKUP(CONCATENATE($A54,"_",Y$3),'Unit List'!$A$14:$H$2841,2,FALSE)),"X",$X54)</f>
        <v/>
      </c>
      <c r="Z54" s="51" t="str">
        <f>IF(ISTEXT(VLOOKUP(CONCATENATE($A54,"_",Z$3),'Unit List'!$A$14:$H$2841,2,FALSE)),"X",$X54)</f>
        <v/>
      </c>
      <c r="AA54" s="51" t="str">
        <f>IF(ISTEXT(VLOOKUP(CONCATENATE($A54,"_",AA$3),'Unit List'!$A$14:$H$2841,2,FALSE)),"X",$X54)</f>
        <v/>
      </c>
      <c r="AB54" s="51" t="str">
        <f>IF(ISTEXT(VLOOKUP(CONCATENATE($A54,"_",AB$3),'Unit List'!$A$14:$H$2841,2,FALSE)),"X",$X54)</f>
        <v/>
      </c>
      <c r="AC54" s="62" t="str">
        <f>IF(ISTEXT(VLOOKUP(CONCATENATE($A54,"_",AC$3),'Unit List'!$A$14:$H$2841,2,FALSE)),"X",$X54)</f>
        <v/>
      </c>
      <c r="AD54" s="172" t="str">
        <f>IF(ISTEXT(VLOOKUP(CONCATENATE($A54,"_",AD$3),'Unit List'!$A$14:$H$2841,2,FALSE)),"+","")</f>
        <v/>
      </c>
      <c r="AE54" s="89" t="s">
        <v>0</v>
      </c>
      <c r="AF54" s="51" t="str">
        <f>IF(ISTEXT(VLOOKUP(CONCATENATE($A54,"_",AF$3),'Unit List'!$A$14:$H$2841,2,FALSE)),"X",$AD54)</f>
        <v/>
      </c>
      <c r="AG54" s="172" t="str">
        <f>IF(ISTEXT(VLOOKUP(CONCATENATE($A54,"_",AG$3),'Unit List'!$A$14:$H$2841,2,FALSE)),"+","")</f>
        <v/>
      </c>
      <c r="AH54" s="51" t="str">
        <f>IF(ISTEXT(VLOOKUP(CONCATENATE($A54,"_",AH$3),'Unit List'!$A$14:$H$2841,2,FALSE)),"X",$AG54)</f>
        <v/>
      </c>
      <c r="AI54" s="51" t="str">
        <f>IF(ISTEXT(VLOOKUP(CONCATENATE($A54,"_",AI$3),'Unit List'!$A$14:$H$2841,2,FALSE)),"X",$AG54)</f>
        <v/>
      </c>
      <c r="AJ54" s="53" t="str">
        <f>IF(ISTEXT(VLOOKUP(CONCATENATE($A54,"_",AJ$3),'Unit List'!$A$14:$H$2841,2,FALSE)),"X",$AG54)</f>
        <v/>
      </c>
      <c r="AK54" s="172" t="str">
        <f>IF(ISTEXT(VLOOKUP(CONCATENATE($A54,"_",AK$3),'Unit List'!$A$14:$H$2841,2,FALSE)),"+","")</f>
        <v/>
      </c>
      <c r="AL54" s="52" t="str">
        <f>IF(ISTEXT(VLOOKUP(CONCATENATE($A54,"_",AL$3),'Unit List'!$A$14:$H$2841,2,FALSE)),"X",$AK54)</f>
        <v/>
      </c>
      <c r="AM54" s="53" t="str">
        <f>IF(ISTEXT(VLOOKUP(CONCATENATE($A54,"_",AM$3),'Unit List'!$A$14:$H$2841,2,FALSE)),"X",$AK54)</f>
        <v/>
      </c>
      <c r="AN54" s="125" t="str">
        <f>IF(ISTEXT(VLOOKUP(CONCATENATE($A54,"_",AN$3),'Unit List'!$A$14:$H$2841,2,FALSE)),"+","")</f>
        <v/>
      </c>
      <c r="AO54" s="53" t="str">
        <f>IF(ISTEXT(VLOOKUP(CONCATENATE($A54,"_",AO$3),'Unit List'!$A$14:$H$2841,2,FALSE)),"X",$AN54)</f>
        <v/>
      </c>
      <c r="AP54" s="172" t="str">
        <f>IF(ISTEXT(VLOOKUP(CONCATENATE($A54,"_",AP$3),'Unit List'!$A$14:$H$2841,2,FALSE)),"+","")</f>
        <v/>
      </c>
      <c r="AQ54" s="51" t="str">
        <f>IF(ISTEXT(VLOOKUP(CONCATENATE($A54,"_",AQ$3),'Unit List'!$A$14:$H$2841,2,FALSE)),"X",$AP54)</f>
        <v/>
      </c>
      <c r="AR54" s="51" t="str">
        <f>IF(ISTEXT(VLOOKUP(CONCATENATE($A54,"_",AR$3),'Unit List'!$A$14:$H$2841,2,FALSE)),"X",$AP54)</f>
        <v/>
      </c>
      <c r="AS54" s="51" t="str">
        <f>IF(ISTEXT(VLOOKUP(CONCATENATE($A54,"_",AS$3),'Unit List'!$A$14:$H$2841,2,FALSE)),"X",$AP54)</f>
        <v/>
      </c>
      <c r="AT54" s="53" t="str">
        <f>IF(ISTEXT(VLOOKUP(CONCATENATE($A54,"_",AT$3),'Unit List'!$A$14:$H$2841,2,FALSE)),"X",$AP54)</f>
        <v/>
      </c>
      <c r="AU54" s="124" t="str">
        <f>IF(ISTEXT(VLOOKUP(CONCATENATE($A54,"_",AU$3),'Unit List'!$A$14:$H$2841,2,FALSE)),"+","")</f>
        <v/>
      </c>
      <c r="AV54" s="51" t="str">
        <f>IF(ISTEXT(VLOOKUP(CONCATENATE($A54,"_",AV$3),'Unit List'!$A$14:$H$2841,2,FALSE)),"X",$AU54)</f>
        <v/>
      </c>
      <c r="AW54" s="53" t="str">
        <f>IF(ISTEXT(VLOOKUP(CONCATENATE($A54,"_",AW$3),'Unit List'!$A$14:$H$2841,2,FALSE)),"X",$AU54)</f>
        <v/>
      </c>
      <c r="AX54" s="172" t="str">
        <f>IF(ISTEXT(VLOOKUP(CONCATENATE($A54,"_",AX$3),'Unit List'!$A$14:$H$2841,2,FALSE)),"+","")</f>
        <v/>
      </c>
      <c r="AY54" s="51" t="str">
        <f>IF(ISTEXT(VLOOKUP(CONCATENATE($A54,"_",AY$3),'Unit List'!$A$14:$H$2841,2,FALSE)),"X",$AX54)</f>
        <v/>
      </c>
      <c r="AZ54" s="53" t="str">
        <f>IF(ISTEXT(VLOOKUP(CONCATENATE($A54,"_",AZ$3),'Unit List'!$A$14:$H$2841,2,FALSE)),"X",$AX54)</f>
        <v/>
      </c>
      <c r="BA54" s="182" t="str">
        <f>IF(ISTEXT(VLOOKUP(CONCATENATE($A54,"_",BA$3),'Unit List'!$A$14:$H$2841,2,FALSE)),"+","")</f>
        <v/>
      </c>
      <c r="BB54" s="51" t="str">
        <f>IF(ISTEXT(VLOOKUP(CONCATENATE($A54,"_",BB$3),'Unit List'!$A$14:$H$2841,2,FALSE)),"X",$BA54)</f>
        <v/>
      </c>
      <c r="BC54" s="51" t="str">
        <f>IF(ISTEXT(VLOOKUP(CONCATENATE($A54,"_",BC$3),'Unit List'!$A$14:$H$2841,2,FALSE)),"X",$BA54)</f>
        <v/>
      </c>
      <c r="BD54" s="53" t="str">
        <f>IF(ISTEXT(VLOOKUP(CONCATENATE($A54,"_",BD$3),'Unit List'!$A$14:$H$2841,2,FALSE)),"X",$BA54)</f>
        <v/>
      </c>
      <c r="BE54" s="125" t="str">
        <f>IF(ISTEXT(VLOOKUP(CONCATENATE($A54,"_",BE$3),'Unit List'!$A$14:$H$2841,2,FALSE)),"+","")</f>
        <v/>
      </c>
      <c r="BF54" s="62" t="str">
        <f>IF(ISTEXT(VLOOKUP(CONCATENATE($A54,"_",BF$3),'Unit List'!$A$14:$H$2841,2,FALSE)),"X",$BE54)</f>
        <v/>
      </c>
      <c r="BG54" s="75"/>
      <c r="BH54" s="84"/>
      <c r="BI54" s="203"/>
      <c r="BJ54" s="204"/>
      <c r="BK54" s="204"/>
      <c r="BL54" s="204"/>
      <c r="BM54" s="205"/>
      <c r="BN54" s="54"/>
      <c r="BO54" s="54"/>
      <c r="BP54" s="54"/>
      <c r="BQ54" s="54"/>
      <c r="BR54" s="54"/>
      <c r="BS54" s="54"/>
      <c r="DZ54" s="55"/>
      <c r="EA54" s="55"/>
    </row>
    <row r="55" spans="1:131" ht="12.75" customHeight="1" x14ac:dyDescent="0.2">
      <c r="A55" s="56" t="s">
        <v>1152</v>
      </c>
      <c r="B55" s="181" t="str">
        <f>IF(ISTEXT(VLOOKUP(CONCATENATE($A55,"_",B$3),'Unit List'!$A$14:$H$2841,2,FALSE)),"+","")</f>
        <v/>
      </c>
      <c r="C55" s="57" t="str">
        <f>IF(ISTEXT(VLOOKUP(CONCATENATE($A55,"_",C$3),'Unit List'!$A$14:$H$2841,2,FALSE)),"X",$B55)</f>
        <v/>
      </c>
      <c r="D55" s="51" t="str">
        <f>IF(ISTEXT(VLOOKUP(CONCATENATE($A55,"_",D$3),'Unit List'!$A$14:$H$2841,2,FALSE)),"X",$B55)</f>
        <v>X</v>
      </c>
      <c r="E55" s="67" t="str">
        <f>IF(ISTEXT(VLOOKUP(CONCATENATE($A55,"_",E$3),'Unit List'!$A$14:$H$2841,2,FALSE)),"X",$B55)</f>
        <v>X</v>
      </c>
      <c r="F55" s="51" t="str">
        <f>IF(ISTEXT(VLOOKUP(CONCATENATE($A55,"_",F$3),'Unit List'!$A$14:$H$2841,2,FALSE)),"X",$B55)</f>
        <v>X</v>
      </c>
      <c r="G55" s="51" t="str">
        <f>IF(ISTEXT(VLOOKUP(CONCATENATE($A55,"_",G$3),'Unit List'!$A$14:$H$2841,2,FALSE)),"X",$B55)</f>
        <v>X</v>
      </c>
      <c r="H55" s="51" t="str">
        <f>IF(ISTEXT(VLOOKUP(CONCATENATE($A55,"_",H$3),'Unit List'!$A$14:$H$2841,2,FALSE)),"X",$B55)</f>
        <v>X</v>
      </c>
      <c r="I55" s="53" t="str">
        <f>IF(ISTEXT(VLOOKUP(CONCATENATE($A55,"_",I$3),'Unit List'!$A$14:$H$2841,2,FALSE)),"X",$B55)</f>
        <v>X</v>
      </c>
      <c r="J55" s="171" t="str">
        <f>IF(ISTEXT(VLOOKUP(CONCATENATE($A55,"_",J$3),'Unit List'!$A$14:$H$2841,2,FALSE)),"+","")</f>
        <v>+</v>
      </c>
      <c r="K55" s="51" t="str">
        <f>IF(ISTEXT(VLOOKUP(CONCATENATE($A55,"_",K$3),'Unit List'!$A$14:$H$2841,2,FALSE)),"X",$J55)</f>
        <v>+</v>
      </c>
      <c r="L55" s="62" t="str">
        <f>IF(ISTEXT(VLOOKUP(CONCATENATE($A55,"_",L$3),'Unit List'!$A$14:$H$2841,2,FALSE)),"X",$J55)</f>
        <v>X</v>
      </c>
      <c r="M55" s="171" t="str">
        <f>IF(ISTEXT(VLOOKUP(CONCATENATE($A55,"_",M$3),'Unit List'!$A$14:$H$2841,2,FALSE)),"+","")</f>
        <v>+</v>
      </c>
      <c r="N55" s="51" t="str">
        <f>IF(ISTEXT(VLOOKUP(CONCATENATE($A55,"_",N$3),'Unit List'!$A$14:$H$2841,2,FALSE)),"X",$M55)</f>
        <v>+</v>
      </c>
      <c r="O55" s="53" t="str">
        <f>IF(ISTEXT(VLOOKUP(CONCATENATE($A55,"_",O$3),'Unit List'!$A$14:$H$2841,2,FALSE)),"X",$M55)</f>
        <v>X</v>
      </c>
      <c r="P55" s="171" t="str">
        <f>IF(ISTEXT(VLOOKUP(CONCATENATE($A55,"_",P$3),'Unit List'!$A$14:$H$2841,2,FALSE)),"+","")</f>
        <v/>
      </c>
      <c r="Q55" s="51" t="str">
        <f>IF(ISTEXT(VLOOKUP(CONCATENATE($A55,"_",Q$3),'Unit List'!$A$14:$H$2841,2,FALSE)),"X",$P55)</f>
        <v/>
      </c>
      <c r="R55" s="51" t="str">
        <f>IF(ISTEXT(VLOOKUP(CONCATENATE($A55,"_",R$3),'Unit List'!$A$14:$H$2841,2,FALSE)),"X",$P55)</f>
        <v>X</v>
      </c>
      <c r="S55" s="51" t="str">
        <f>IF(ISTEXT(VLOOKUP(CONCATENATE($A55,"_",S$3),'Unit List'!$A$14:$H$2841,2,FALSE)),"X",$P55)</f>
        <v>X</v>
      </c>
      <c r="T55" s="52" t="str">
        <f>IF(ISTEXT(VLOOKUP(CONCATENATE($A55,"_",T$3),'Unit List'!$A$14:$H$2841,2,FALSE)),"X",$P55)</f>
        <v>X</v>
      </c>
      <c r="U55" s="51" t="str">
        <f>IF(ISTEXT(VLOOKUP(CONCATENATE($A55,"_",U$3),'Unit List'!$A$14:$H$2841,2,FALSE)),"X",$P55)</f>
        <v>X</v>
      </c>
      <c r="V55" s="51" t="str">
        <f>IF(ISTEXT(VLOOKUP(CONCATENATE($A55,"_",V$3),'Unit List'!$A$14:$H$2841,2,FALSE)),"X",$P55)</f>
        <v>X</v>
      </c>
      <c r="W55" s="53" t="str">
        <f>IF(ISTEXT(VLOOKUP(CONCATENATE($A55,"_",W$3),'Unit List'!$A$14:$H$2841,2,FALSE)),"X",$P55)</f>
        <v/>
      </c>
      <c r="X55" s="172" t="str">
        <f>IF(ISTEXT(VLOOKUP(CONCATENATE($A55,"_",X$3),'Unit List'!$A$14:$H$2841,2,FALSE)),"+","")</f>
        <v>+</v>
      </c>
      <c r="Y55" s="51" t="str">
        <f>IF(ISTEXT(VLOOKUP(CONCATENATE($A55,"_",Y$3),'Unit List'!$A$14:$H$2841,2,FALSE)),"X",$X55)</f>
        <v>+</v>
      </c>
      <c r="Z55" s="51" t="str">
        <f>IF(ISTEXT(VLOOKUP(CONCATENATE($A55,"_",Z$3),'Unit List'!$A$14:$H$2841,2,FALSE)),"X",$X55)</f>
        <v>+</v>
      </c>
      <c r="AA55" s="51" t="str">
        <f>IF(ISTEXT(VLOOKUP(CONCATENATE($A55,"_",AA$3),'Unit List'!$A$14:$H$2841,2,FALSE)),"X",$X55)</f>
        <v>X</v>
      </c>
      <c r="AB55" s="51" t="str">
        <f>IF(ISTEXT(VLOOKUP(CONCATENATE($A55,"_",AB$3),'Unit List'!$A$14:$H$2841,2,FALSE)),"X",$X55)</f>
        <v>X</v>
      </c>
      <c r="AC55" s="62" t="str">
        <f>IF(ISTEXT(VLOOKUP(CONCATENATE($A55,"_",AC$3),'Unit List'!$A$14:$H$2841,2,FALSE)),"X",$X55)</f>
        <v>X</v>
      </c>
      <c r="AD55" s="171" t="str">
        <f>IF(ISTEXT(VLOOKUP(CONCATENATE($A55,"_",AD$3),'Unit List'!$A$14:$H$2841,2,FALSE)),"+","")</f>
        <v>+</v>
      </c>
      <c r="AE55" s="51" t="str">
        <f>IF(ISTEXT(VLOOKUP(CONCATENATE($A55,"_",AE$3),'Unit List'!$A$14:$H$2841,2,FALSE)),"X",$AD55)</f>
        <v>X</v>
      </c>
      <c r="AF55" s="51" t="str">
        <f>IF(ISTEXT(VLOOKUP(CONCATENATE($A55,"_",AF$3),'Unit List'!$A$14:$H$2841,2,FALSE)),"X",$AD55)</f>
        <v>+</v>
      </c>
      <c r="AG55" s="171" t="str">
        <f>IF(ISTEXT(VLOOKUP(CONCATENATE($A55,"_",AG$3),'Unit List'!$A$14:$H$2841,2,FALSE)),"+","")</f>
        <v>+</v>
      </c>
      <c r="AH55" s="67" t="str">
        <f>IF(ISTEXT(VLOOKUP(CONCATENATE($A55,"_",AH$3),'Unit List'!$A$14:$H$2841,2,FALSE)),"X",$AG55)</f>
        <v>X</v>
      </c>
      <c r="AI55" s="67" t="str">
        <f>IF(ISTEXT(VLOOKUP(CONCATENATE($A55,"_",AI$3),'Unit List'!$A$14:$H$2841,2,FALSE)),"X",$AG55)</f>
        <v>+</v>
      </c>
      <c r="AJ55" s="70" t="str">
        <f>IF(ISTEXT(VLOOKUP(CONCATENATE($A55,"_",AJ$3),'Unit List'!$A$14:$H$2841,2,FALSE)),"X",$AG55)</f>
        <v>+</v>
      </c>
      <c r="AK55" s="172" t="str">
        <f>IF(ISTEXT(VLOOKUP(CONCATENATE($A55,"_",AK$3),'Unit List'!$A$14:$H$2841,2,FALSE)),"+","")</f>
        <v/>
      </c>
      <c r="AL55" s="52" t="str">
        <f>IF(ISTEXT(VLOOKUP(CONCATENATE($A55,"_",AL$3),'Unit List'!$A$14:$H$2841,2,FALSE)),"X",$AK55)</f>
        <v/>
      </c>
      <c r="AM55" s="53" t="str">
        <f>IF(ISTEXT(VLOOKUP(CONCATENATE($A55,"_",AM$3),'Unit List'!$A$14:$H$2841,2,FALSE)),"X",$AK55)</f>
        <v/>
      </c>
      <c r="AN55" s="125" t="str">
        <f>IF(ISTEXT(VLOOKUP(CONCATENATE($A55,"_",AN$3),'Unit List'!$A$14:$H$2841,2,FALSE)),"+","")</f>
        <v/>
      </c>
      <c r="AO55" s="53" t="str">
        <f>IF(ISTEXT(VLOOKUP(CONCATENATE($A55,"_",AO$3),'Unit List'!$A$14:$H$2841,2,FALSE)),"X",$AN55)</f>
        <v/>
      </c>
      <c r="AP55" s="172" t="str">
        <f>IF(ISTEXT(VLOOKUP(CONCATENATE($A55,"_",AP$3),'Unit List'!$A$14:$H$2841,2,FALSE)),"+","")</f>
        <v/>
      </c>
      <c r="AQ55" s="51" t="str">
        <f>IF(ISTEXT(VLOOKUP(CONCATENATE($A55,"_",AQ$3),'Unit List'!$A$14:$H$2841,2,FALSE)),"X",$AP55)</f>
        <v/>
      </c>
      <c r="AR55" s="51" t="str">
        <f>IF(ISTEXT(VLOOKUP(CONCATENATE($A55,"_",AR$3),'Unit List'!$A$14:$H$2841,2,FALSE)),"X",$AP55)</f>
        <v/>
      </c>
      <c r="AS55" s="51" t="str">
        <f>IF(ISTEXT(VLOOKUP(CONCATENATE($A55,"_",AS$3),'Unit List'!$A$14:$H$2841,2,FALSE)),"X",$AP55)</f>
        <v/>
      </c>
      <c r="AT55" s="53" t="str">
        <f>IF(ISTEXT(VLOOKUP(CONCATENATE($A55,"_",AT$3),'Unit List'!$A$14:$H$2841,2,FALSE)),"X",$AP55)</f>
        <v/>
      </c>
      <c r="AU55" s="124" t="str">
        <f>IF(ISTEXT(VLOOKUP(CONCATENATE($A55,"_",AU$3),'Unit List'!$A$14:$H$2841,2,FALSE)),"+","")</f>
        <v/>
      </c>
      <c r="AV55" s="51" t="str">
        <f>IF(ISTEXT(VLOOKUP(CONCATENATE($A55,"_",AV$3),'Unit List'!$A$14:$H$2841,2,FALSE)),"X",$AU55)</f>
        <v/>
      </c>
      <c r="AW55" s="53" t="str">
        <f>IF(ISTEXT(VLOOKUP(CONCATENATE($A55,"_",AW$3),'Unit List'!$A$14:$H$2841,2,FALSE)),"X",$AU55)</f>
        <v/>
      </c>
      <c r="AX55" s="171" t="str">
        <f>IF(ISTEXT(VLOOKUP(CONCATENATE($A55,"_",AX$3),'Unit List'!$A$14:$H$2841,2,FALSE)),"+","")</f>
        <v>+</v>
      </c>
      <c r="AY55" s="67" t="str">
        <f>IF(ISTEXT(VLOOKUP(CONCATENATE($A55,"_",AY$3),'Unit List'!$A$14:$H$2841,2,FALSE)),"X",$AX55)</f>
        <v>+</v>
      </c>
      <c r="AZ55" s="70" t="str">
        <f>IF(ISTEXT(VLOOKUP(CONCATENATE($A55,"_",AZ$3),'Unit List'!$A$14:$H$2841,2,FALSE)),"X",$AX55)</f>
        <v>+</v>
      </c>
      <c r="BA55" s="171" t="str">
        <f>IF(ISTEXT(VLOOKUP(CONCATENATE($A55,"_",BA$3),'Unit List'!$A$14:$H$2841,2,FALSE)),"+","")</f>
        <v>+</v>
      </c>
      <c r="BB55" s="89" t="s">
        <v>0</v>
      </c>
      <c r="BC55" s="51" t="str">
        <f>IF(ISTEXT(VLOOKUP(CONCATENATE($A55,"_",BC$3),'Unit List'!$A$14:$H$2841,2,FALSE)),"X",$BA55)</f>
        <v>X</v>
      </c>
      <c r="BD55" s="70" t="str">
        <f>IF(ISTEXT(VLOOKUP(CONCATENATE($A55,"_",BD$3),'Unit List'!$A$14:$H$2841,2,FALSE)),"X",$BA55)</f>
        <v>X</v>
      </c>
      <c r="BE55" s="125" t="str">
        <f>IF(ISTEXT(VLOOKUP(CONCATENATE($A55,"_",BE$3),'Unit List'!$A$14:$H$2841,2,FALSE)),"+","")</f>
        <v>+</v>
      </c>
      <c r="BF55" s="101" t="s">
        <v>0</v>
      </c>
      <c r="BG55" s="75"/>
      <c r="BH55" s="76" t="s">
        <v>0</v>
      </c>
      <c r="BI55" s="203" t="s">
        <v>1919</v>
      </c>
      <c r="BJ55" s="204"/>
      <c r="BK55" s="204"/>
      <c r="BL55" s="204"/>
      <c r="BM55" s="205"/>
      <c r="BN55" s="54"/>
      <c r="BO55" s="54"/>
      <c r="BP55" s="54"/>
      <c r="BQ55" s="54"/>
      <c r="BR55" s="54"/>
      <c r="BS55" s="54"/>
      <c r="DZ55" s="55"/>
      <c r="EA55" s="55"/>
    </row>
    <row r="56" spans="1:131" ht="12.75" customHeight="1" x14ac:dyDescent="0.2">
      <c r="A56" s="56" t="s">
        <v>1160</v>
      </c>
      <c r="B56" s="181" t="str">
        <f>IF(ISTEXT(VLOOKUP(CONCATENATE($A56,"_",B$3),'Unit List'!$A$14:$H$2841,2,FALSE)),"+","")</f>
        <v/>
      </c>
      <c r="C56" s="57" t="str">
        <f>IF(ISTEXT(VLOOKUP(CONCATENATE($A56,"_",C$3),'Unit List'!$A$14:$H$2841,2,FALSE)),"X",$B56)</f>
        <v/>
      </c>
      <c r="D56" s="51" t="str">
        <f>IF(ISTEXT(VLOOKUP(CONCATENATE($A56,"_",D$3),'Unit List'!$A$14:$H$2841,2,FALSE)),"X",$B56)</f>
        <v/>
      </c>
      <c r="E56" s="51" t="str">
        <f>IF(ISTEXT(VLOOKUP(CONCATENATE($A56,"_",E$3),'Unit List'!$A$14:$H$2841,2,FALSE)),"X",$B56)</f>
        <v>X</v>
      </c>
      <c r="F56" s="51" t="str">
        <f>IF(ISTEXT(VLOOKUP(CONCATENATE($A56,"_",F$3),'Unit List'!$A$14:$H$2841,2,FALSE)),"X",$B56)</f>
        <v>X</v>
      </c>
      <c r="G56" s="51" t="str">
        <f>IF(ISTEXT(VLOOKUP(CONCATENATE($A56,"_",G$3),'Unit List'!$A$14:$H$2841,2,FALSE)),"X",$B56)</f>
        <v/>
      </c>
      <c r="H56" s="51" t="str">
        <f>IF(ISTEXT(VLOOKUP(CONCATENATE($A56,"_",H$3),'Unit List'!$A$14:$H$2841,2,FALSE)),"X",$B56)</f>
        <v/>
      </c>
      <c r="I56" s="53" t="str">
        <f>IF(ISTEXT(VLOOKUP(CONCATENATE($A56,"_",I$3),'Unit List'!$A$14:$H$2841,2,FALSE)),"X",$B56)</f>
        <v/>
      </c>
      <c r="J56" s="172" t="str">
        <f>IF(ISTEXT(VLOOKUP(CONCATENATE($A56,"_",J$3),'Unit List'!$A$14:$H$2841,2,FALSE)),"+","")</f>
        <v/>
      </c>
      <c r="K56" s="51" t="str">
        <f>IF(ISTEXT(VLOOKUP(CONCATENATE($A56,"_",K$3),'Unit List'!$A$14:$H$2841,2,FALSE)),"X",$J56)</f>
        <v/>
      </c>
      <c r="L56" s="62" t="str">
        <f>IF(ISTEXT(VLOOKUP(CONCATENATE($A56,"_",L$3),'Unit List'!$A$14:$H$2841,2,FALSE)),"X",$J56)</f>
        <v/>
      </c>
      <c r="M56" s="172" t="str">
        <f>IF(ISTEXT(VLOOKUP(CONCATENATE($A56,"_",M$3),'Unit List'!$A$14:$H$2841,2,FALSE)),"+","")</f>
        <v/>
      </c>
      <c r="N56" s="51" t="str">
        <f>IF(ISTEXT(VLOOKUP(CONCATENATE($A56,"_",N$3),'Unit List'!$A$14:$H$2841,2,FALSE)),"X",$M56)</f>
        <v/>
      </c>
      <c r="O56" s="53" t="str">
        <f>IF(ISTEXT(VLOOKUP(CONCATENATE($A56,"_",O$3),'Unit List'!$A$14:$H$2841,2,FALSE)),"X",$M56)</f>
        <v/>
      </c>
      <c r="P56" s="172" t="str">
        <f>IF(ISTEXT(VLOOKUP(CONCATENATE($A56,"_",P$3),'Unit List'!$A$14:$H$2841,2,FALSE)),"+","")</f>
        <v/>
      </c>
      <c r="Q56" s="51" t="str">
        <f>IF(ISTEXT(VLOOKUP(CONCATENATE($A56,"_",Q$3),'Unit List'!$A$14:$H$2841,2,FALSE)),"X",$P56)</f>
        <v/>
      </c>
      <c r="R56" s="51" t="str">
        <f>IF(ISTEXT(VLOOKUP(CONCATENATE($A56,"_",R$3),'Unit List'!$A$14:$H$2841,2,FALSE)),"X",$P56)</f>
        <v/>
      </c>
      <c r="S56" s="51" t="str">
        <f>IF(ISTEXT(VLOOKUP(CONCATENATE($A56,"_",S$3),'Unit List'!$A$14:$H$2841,2,FALSE)),"X",$P56)</f>
        <v/>
      </c>
      <c r="T56" s="52" t="str">
        <f>IF(ISTEXT(VLOOKUP(CONCATENATE($A56,"_",T$3),'Unit List'!$A$14:$H$2841,2,FALSE)),"X",$P56)</f>
        <v/>
      </c>
      <c r="U56" s="51" t="str">
        <f>IF(ISTEXT(VLOOKUP(CONCATENATE($A56,"_",U$3),'Unit List'!$A$14:$H$2841,2,FALSE)),"X",$P56)</f>
        <v/>
      </c>
      <c r="V56" s="51" t="str">
        <f>IF(ISTEXT(VLOOKUP(CONCATENATE($A56,"_",V$3),'Unit List'!$A$14:$H$2841,2,FALSE)),"X",$P56)</f>
        <v/>
      </c>
      <c r="W56" s="53" t="str">
        <f>IF(ISTEXT(VLOOKUP(CONCATENATE($A56,"_",W$3),'Unit List'!$A$14:$H$2841,2,FALSE)),"X",$P56)</f>
        <v/>
      </c>
      <c r="X56" s="172" t="str">
        <f>IF(ISTEXT(VLOOKUP(CONCATENATE($A56,"_",X$3),'Unit List'!$A$14:$H$2841,2,FALSE)),"+","")</f>
        <v/>
      </c>
      <c r="Y56" s="51" t="str">
        <f>IF(ISTEXT(VLOOKUP(CONCATENATE($A56,"_",Y$3),'Unit List'!$A$14:$H$2841,2,FALSE)),"X",$X56)</f>
        <v/>
      </c>
      <c r="Z56" s="51" t="str">
        <f>IF(ISTEXT(VLOOKUP(CONCATENATE($A56,"_",Z$3),'Unit List'!$A$14:$H$2841,2,FALSE)),"X",$X56)</f>
        <v/>
      </c>
      <c r="AA56" s="51" t="str">
        <f>IF(ISTEXT(VLOOKUP(CONCATENATE($A56,"_",AA$3),'Unit List'!$A$14:$H$2841,2,FALSE)),"X",$X56)</f>
        <v/>
      </c>
      <c r="AB56" s="51" t="str">
        <f>IF(ISTEXT(VLOOKUP(CONCATENATE($A56,"_",AB$3),'Unit List'!$A$14:$H$2841,2,FALSE)),"X",$X56)</f>
        <v/>
      </c>
      <c r="AC56" s="62" t="str">
        <f>IF(ISTEXT(VLOOKUP(CONCATENATE($A56,"_",AC$3),'Unit List'!$A$14:$H$2841,2,FALSE)),"X",$X56)</f>
        <v/>
      </c>
      <c r="AD56" s="172" t="str">
        <f>IF(ISTEXT(VLOOKUP(CONCATENATE($A56,"_",AD$3),'Unit List'!$A$14:$H$2841,2,FALSE)),"+","")</f>
        <v/>
      </c>
      <c r="AE56" s="51" t="str">
        <f>IF(ISTEXT(VLOOKUP(CONCATENATE($A56,"_",AE$3),'Unit List'!$A$14:$H$2841,2,FALSE)),"X",$AD56)</f>
        <v/>
      </c>
      <c r="AF56" s="51" t="str">
        <f>IF(ISTEXT(VLOOKUP(CONCATENATE($A56,"_",AF$3),'Unit List'!$A$14:$H$2841,2,FALSE)),"X",$AD56)</f>
        <v/>
      </c>
      <c r="AG56" s="172" t="str">
        <f>IF(ISTEXT(VLOOKUP(CONCATENATE($A56,"_",AG$3),'Unit List'!$A$14:$H$2841,2,FALSE)),"+","")</f>
        <v/>
      </c>
      <c r="AH56" s="51" t="str">
        <f>IF(ISTEXT(VLOOKUP(CONCATENATE($A56,"_",AH$3),'Unit List'!$A$14:$H$2841,2,FALSE)),"X",$AG56)</f>
        <v/>
      </c>
      <c r="AI56" s="51" t="str">
        <f>IF(ISTEXT(VLOOKUP(CONCATENATE($A56,"_",AI$3),'Unit List'!$A$14:$H$2841,2,FALSE)),"X",$AG56)</f>
        <v/>
      </c>
      <c r="AJ56" s="53" t="str">
        <f>IF(ISTEXT(VLOOKUP(CONCATENATE($A56,"_",AJ$3),'Unit List'!$A$14:$H$2841,2,FALSE)),"X",$AG56)</f>
        <v/>
      </c>
      <c r="AK56" s="172" t="str">
        <f>IF(ISTEXT(VLOOKUP(CONCATENATE($A56,"_",AK$3),'Unit List'!$A$14:$H$2841,2,FALSE)),"+","")</f>
        <v/>
      </c>
      <c r="AL56" s="52" t="str">
        <f>IF(ISTEXT(VLOOKUP(CONCATENATE($A56,"_",AL$3),'Unit List'!$A$14:$H$2841,2,FALSE)),"X",$AK56)</f>
        <v/>
      </c>
      <c r="AM56" s="53" t="str">
        <f>IF(ISTEXT(VLOOKUP(CONCATENATE($A56,"_",AM$3),'Unit List'!$A$14:$H$2841,2,FALSE)),"X",$AK56)</f>
        <v/>
      </c>
      <c r="AN56" s="125" t="str">
        <f>IF(ISTEXT(VLOOKUP(CONCATENATE($A56,"_",AN$3),'Unit List'!$A$14:$H$2841,2,FALSE)),"+","")</f>
        <v/>
      </c>
      <c r="AO56" s="53" t="str">
        <f>IF(ISTEXT(VLOOKUP(CONCATENATE($A56,"_",AO$3),'Unit List'!$A$14:$H$2841,2,FALSE)),"X",$AN56)</f>
        <v/>
      </c>
      <c r="AP56" s="172" t="str">
        <f>IF(ISTEXT(VLOOKUP(CONCATENATE($A56,"_",AP$3),'Unit List'!$A$14:$H$2841,2,FALSE)),"+","")</f>
        <v/>
      </c>
      <c r="AQ56" s="51" t="str">
        <f>IF(ISTEXT(VLOOKUP(CONCATENATE($A56,"_",AQ$3),'Unit List'!$A$14:$H$2841,2,FALSE)),"X",$AP56)</f>
        <v/>
      </c>
      <c r="AR56" s="51" t="str">
        <f>IF(ISTEXT(VLOOKUP(CONCATENATE($A56,"_",AR$3),'Unit List'!$A$14:$H$2841,2,FALSE)),"X",$AP56)</f>
        <v/>
      </c>
      <c r="AS56" s="51" t="str">
        <f>IF(ISTEXT(VLOOKUP(CONCATENATE($A56,"_",AS$3),'Unit List'!$A$14:$H$2841,2,FALSE)),"X",$AP56)</f>
        <v/>
      </c>
      <c r="AT56" s="53" t="str">
        <f>IF(ISTEXT(VLOOKUP(CONCATENATE($A56,"_",AT$3),'Unit List'!$A$14:$H$2841,2,FALSE)),"X",$AP56)</f>
        <v/>
      </c>
      <c r="AU56" s="124" t="str">
        <f>IF(ISTEXT(VLOOKUP(CONCATENATE($A56,"_",AU$3),'Unit List'!$A$14:$H$2841,2,FALSE)),"+","")</f>
        <v/>
      </c>
      <c r="AV56" s="51" t="str">
        <f>IF(ISTEXT(VLOOKUP(CONCATENATE($A56,"_",AV$3),'Unit List'!$A$14:$H$2841,2,FALSE)),"X",$AU56)</f>
        <v/>
      </c>
      <c r="AW56" s="53" t="str">
        <f>IF(ISTEXT(VLOOKUP(CONCATENATE($A56,"_",AW$3),'Unit List'!$A$14:$H$2841,2,FALSE)),"X",$AU56)</f>
        <v/>
      </c>
      <c r="AX56" s="172" t="str">
        <f>IF(ISTEXT(VLOOKUP(CONCATENATE($A56,"_",AX$3),'Unit List'!$A$14:$H$2841,2,FALSE)),"+","")</f>
        <v/>
      </c>
      <c r="AY56" s="51" t="str">
        <f>IF(ISTEXT(VLOOKUP(CONCATENATE($A56,"_",AY$3),'Unit List'!$A$14:$H$2841,2,FALSE)),"X",$AX56)</f>
        <v/>
      </c>
      <c r="AZ56" s="53" t="str">
        <f>IF(ISTEXT(VLOOKUP(CONCATENATE($A56,"_",AZ$3),'Unit List'!$A$14:$H$2841,2,FALSE)),"X",$AX56)</f>
        <v/>
      </c>
      <c r="BA56" s="182" t="str">
        <f>IF(ISTEXT(VLOOKUP(CONCATENATE($A56,"_",BA$3),'Unit List'!$A$14:$H$2841,2,FALSE)),"+","")</f>
        <v/>
      </c>
      <c r="BB56" s="51" t="str">
        <f>IF(ISTEXT(VLOOKUP(CONCATENATE($A56,"_",BB$3),'Unit List'!$A$14:$H$2841,2,FALSE)),"X",$BA56)</f>
        <v/>
      </c>
      <c r="BC56" s="51" t="str">
        <f>IF(ISTEXT(VLOOKUP(CONCATENATE($A56,"_",BC$3),'Unit List'!$A$14:$H$2841,2,FALSE)),"X",$BA56)</f>
        <v/>
      </c>
      <c r="BD56" s="53" t="str">
        <f>IF(ISTEXT(VLOOKUP(CONCATENATE($A56,"_",BD$3),'Unit List'!$A$14:$H$2841,2,FALSE)),"X",$BA56)</f>
        <v/>
      </c>
      <c r="BE56" s="125" t="str">
        <f>IF(ISTEXT(VLOOKUP(CONCATENATE($A56,"_",BE$3),'Unit List'!$A$14:$H$2841,2,FALSE)),"+","")</f>
        <v/>
      </c>
      <c r="BF56" s="62" t="str">
        <f>IF(ISTEXT(VLOOKUP(CONCATENATE($A56,"_",BF$3),'Unit List'!$A$14:$H$2841,2,FALSE)),"X",$BE56)</f>
        <v/>
      </c>
      <c r="BG56" s="75"/>
      <c r="BH56" s="84"/>
      <c r="BI56" s="203"/>
      <c r="BJ56" s="204"/>
      <c r="BK56" s="204"/>
      <c r="BL56" s="204"/>
      <c r="BM56" s="205"/>
      <c r="BN56" s="54"/>
      <c r="BO56" s="54"/>
      <c r="BP56" s="54"/>
      <c r="BQ56" s="54"/>
      <c r="BR56" s="54"/>
      <c r="BS56" s="54"/>
      <c r="DZ56" s="55"/>
      <c r="EA56" s="55"/>
    </row>
    <row r="57" spans="1:131" ht="12.75" customHeight="1" x14ac:dyDescent="0.2">
      <c r="A57" s="56" t="s">
        <v>1159</v>
      </c>
      <c r="B57" s="181" t="str">
        <f>IF(ISTEXT(VLOOKUP(CONCATENATE($A57,"_",B$3),'Unit List'!$A$14:$H$2841,2,FALSE)),"+","")</f>
        <v/>
      </c>
      <c r="C57" s="82" t="str">
        <f>IF(ISTEXT(VLOOKUP(CONCATENATE($A57,"_",C$3),'Unit List'!$A$14:$H$2841,2,FALSE)),"X",$B57)</f>
        <v>X</v>
      </c>
      <c r="D57" s="67" t="str">
        <f>IF(ISTEXT(VLOOKUP(CONCATENATE($A57,"_",D$3),'Unit List'!$A$14:$H$2841,2,FALSE)),"X",$B57)</f>
        <v>X</v>
      </c>
      <c r="E57" s="51" t="str">
        <f>IF(ISTEXT(VLOOKUP(CONCATENATE($A57,"_",E$3),'Unit List'!$A$14:$H$2841,2,FALSE)),"X",$B57)</f>
        <v>X</v>
      </c>
      <c r="F57" s="67" t="str">
        <f>IF(ISTEXT(VLOOKUP(CONCATENATE($A57,"_",F$3),'Unit List'!$A$14:$H$2841,2,FALSE)),"X",$B57)</f>
        <v>X</v>
      </c>
      <c r="G57" s="67" t="str">
        <f>IF(ISTEXT(VLOOKUP(CONCATENATE($A57,"_",G$3),'Unit List'!$A$14:$H$2841,2,FALSE)),"X",$B57)</f>
        <v>X</v>
      </c>
      <c r="H57" s="67" t="str">
        <f>IF(ISTEXT(VLOOKUP(CONCATENATE($A57,"_",H$3),'Unit List'!$A$14:$H$2841,2,FALSE)),"X",$B57)</f>
        <v>X</v>
      </c>
      <c r="I57" s="53" t="str">
        <f>IF(ISTEXT(VLOOKUP(CONCATENATE($A57,"_",I$3),'Unit List'!$A$14:$H$2841,2,FALSE)),"X",$B57)</f>
        <v/>
      </c>
      <c r="J57" s="172" t="str">
        <f>IF(ISTEXT(VLOOKUP(CONCATENATE($A57,"_",J$3),'Unit List'!$A$14:$H$2841,2,FALSE)),"+","")</f>
        <v/>
      </c>
      <c r="K57" s="51" t="str">
        <f>IF(ISTEXT(VLOOKUP(CONCATENATE($A57,"_",K$3),'Unit List'!$A$14:$H$2841,2,FALSE)),"X",$J57)</f>
        <v/>
      </c>
      <c r="L57" s="62" t="str">
        <f>IF(ISTEXT(VLOOKUP(CONCATENATE($A57,"_",L$3),'Unit List'!$A$14:$H$2841,2,FALSE)),"X",$J57)</f>
        <v/>
      </c>
      <c r="M57" s="172" t="str">
        <f>IF(ISTEXT(VLOOKUP(CONCATENATE($A57,"_",M$3),'Unit List'!$A$14:$H$2841,2,FALSE)),"+","")</f>
        <v>+</v>
      </c>
      <c r="N57" s="67" t="str">
        <f>IF(ISTEXT(VLOOKUP(CONCATENATE($A57,"_",N$3),'Unit List'!$A$14:$H$2841,2,FALSE)),"X",$M57)</f>
        <v>+</v>
      </c>
      <c r="O57" s="70" t="str">
        <f>IF(ISTEXT(VLOOKUP(CONCATENATE($A57,"_",O$3),'Unit List'!$A$14:$H$2841,2,FALSE)),"X",$M57)</f>
        <v>X</v>
      </c>
      <c r="P57" s="172" t="str">
        <f>IF(ISTEXT(VLOOKUP(CONCATENATE($A57,"_",P$3),'Unit List'!$A$14:$H$2841,2,FALSE)),"+","")</f>
        <v>+</v>
      </c>
      <c r="Q57" s="51" t="str">
        <f>IF(ISTEXT(VLOOKUP(CONCATENATE($A57,"_",Q$3),'Unit List'!$A$14:$H$2841,2,FALSE)),"X",$P57)</f>
        <v>+</v>
      </c>
      <c r="R57" s="51" t="str">
        <f>IF(ISTEXT(VLOOKUP(CONCATENATE($A57,"_",R$3),'Unit List'!$A$14:$H$2841,2,FALSE)),"X",$P57)</f>
        <v>+</v>
      </c>
      <c r="S57" s="51" t="str">
        <f>IF(ISTEXT(VLOOKUP(CONCATENATE($A57,"_",S$3),'Unit List'!$A$14:$H$2841,2,FALSE)),"X",$P57)</f>
        <v>+</v>
      </c>
      <c r="T57" s="52" t="str">
        <f>IF(ISTEXT(VLOOKUP(CONCATENATE($A57,"_",T$3),'Unit List'!$A$14:$H$2841,2,FALSE)),"X",$P57)</f>
        <v>+</v>
      </c>
      <c r="U57" s="67" t="str">
        <f>IF(ISTEXT(VLOOKUP(CONCATENATE($A57,"_",U$3),'Unit List'!$A$14:$H$2841,2,FALSE)),"X",$P57)</f>
        <v>X</v>
      </c>
      <c r="V57" s="51" t="str">
        <f>IF(ISTEXT(VLOOKUP(CONCATENATE($A57,"_",V$3),'Unit List'!$A$14:$H$2841,2,FALSE)),"X",$P57)</f>
        <v>+</v>
      </c>
      <c r="W57" s="53" t="str">
        <f>IF(ISTEXT(VLOOKUP(CONCATENATE($A57,"_",W$3),'Unit List'!$A$14:$H$2841,2,FALSE)),"X",$P57)</f>
        <v>+</v>
      </c>
      <c r="X57" s="172" t="str">
        <f>IF(ISTEXT(VLOOKUP(CONCATENATE($A57,"_",X$3),'Unit List'!$A$14:$H$2841,2,FALSE)),"+","")</f>
        <v/>
      </c>
      <c r="Y57" s="51" t="str">
        <f>IF(ISTEXT(VLOOKUP(CONCATENATE($A57,"_",Y$3),'Unit List'!$A$14:$H$2841,2,FALSE)),"X",$X57)</f>
        <v/>
      </c>
      <c r="Z57" s="51" t="str">
        <f>IF(ISTEXT(VLOOKUP(CONCATENATE($A57,"_",Z$3),'Unit List'!$A$14:$H$2841,2,FALSE)),"X",$X57)</f>
        <v/>
      </c>
      <c r="AA57" s="51" t="str">
        <f>IF(ISTEXT(VLOOKUP(CONCATENATE($A57,"_",AA$3),'Unit List'!$A$14:$H$2841,2,FALSE)),"X",$X57)</f>
        <v/>
      </c>
      <c r="AB57" s="51" t="str">
        <f>IF(ISTEXT(VLOOKUP(CONCATENATE($A57,"_",AB$3),'Unit List'!$A$14:$H$2841,2,FALSE)),"X",$X57)</f>
        <v/>
      </c>
      <c r="AC57" s="62" t="str">
        <f>IF(ISTEXT(VLOOKUP(CONCATENATE($A57,"_",AC$3),'Unit List'!$A$14:$H$2841,2,FALSE)),"X",$X57)</f>
        <v/>
      </c>
      <c r="AD57" s="172" t="str">
        <f>IF(ISTEXT(VLOOKUP(CONCATENATE($A57,"_",AD$3),'Unit List'!$A$14:$H$2841,2,FALSE)),"+","")</f>
        <v/>
      </c>
      <c r="AE57" s="51" t="str">
        <f>IF(ISTEXT(VLOOKUP(CONCATENATE($A57,"_",AE$3),'Unit List'!$A$14:$H$2841,2,FALSE)),"X",$AD57)</f>
        <v/>
      </c>
      <c r="AF57" s="51" t="str">
        <f>IF(ISTEXT(VLOOKUP(CONCATENATE($A57,"_",AF$3),'Unit List'!$A$14:$H$2841,2,FALSE)),"X",$AD57)</f>
        <v/>
      </c>
      <c r="AG57" s="172" t="str">
        <f>IF(ISTEXT(VLOOKUP(CONCATENATE($A57,"_",AG$3),'Unit List'!$A$14:$H$2841,2,FALSE)),"+","")</f>
        <v/>
      </c>
      <c r="AH57" s="51" t="str">
        <f>IF(ISTEXT(VLOOKUP(CONCATENATE($A57,"_",AH$3),'Unit List'!$A$14:$H$2841,2,FALSE)),"X",$AG57)</f>
        <v/>
      </c>
      <c r="AI57" s="51" t="str">
        <f>IF(ISTEXT(VLOOKUP(CONCATENATE($A57,"_",AI$3),'Unit List'!$A$14:$H$2841,2,FALSE)),"X",$AG57)</f>
        <v/>
      </c>
      <c r="AJ57" s="53" t="str">
        <f>IF(ISTEXT(VLOOKUP(CONCATENATE($A57,"_",AJ$3),'Unit List'!$A$14:$H$2841,2,FALSE)),"X",$AG57)</f>
        <v/>
      </c>
      <c r="AK57" s="172" t="str">
        <f>IF(ISTEXT(VLOOKUP(CONCATENATE($A57,"_",AK$3),'Unit List'!$A$14:$H$2841,2,FALSE)),"+","")</f>
        <v>+</v>
      </c>
      <c r="AL57" s="87" t="str">
        <f>IF(ISTEXT(VLOOKUP(CONCATENATE($A57,"_",AL$3),'Unit List'!$A$14:$H$2841,2,FALSE)),"X",$AK57)</f>
        <v>X</v>
      </c>
      <c r="AM57" s="53" t="str">
        <f>IF(ISTEXT(VLOOKUP(CONCATENATE($A57,"_",AM$3),'Unit List'!$A$14:$H$2841,2,FALSE)),"X",$AK57)</f>
        <v>X</v>
      </c>
      <c r="AN57" s="125" t="str">
        <f>IF(ISTEXT(VLOOKUP(CONCATENATE($A57,"_",AN$3),'Unit List'!$A$14:$H$2841,2,FALSE)),"+","")</f>
        <v>+</v>
      </c>
      <c r="AO57" s="53" t="str">
        <f>IF(ISTEXT(VLOOKUP(CONCATENATE($A57,"_",AO$3),'Unit List'!$A$14:$H$2841,2,FALSE)),"X",$AN57)</f>
        <v>+</v>
      </c>
      <c r="AP57" s="172" t="str">
        <f>IF(ISTEXT(VLOOKUP(CONCATENATE($A57,"_",AP$3),'Unit List'!$A$14:$H$2841,2,FALSE)),"+","")</f>
        <v>+</v>
      </c>
      <c r="AQ57" s="67" t="str">
        <f>IF(ISTEXT(VLOOKUP(CONCATENATE($A57,"_",AQ$3),'Unit List'!$A$14:$H$2841,2,FALSE)),"X",$AP57)</f>
        <v>X</v>
      </c>
      <c r="AR57" s="67" t="str">
        <f>IF(ISTEXT(VLOOKUP(CONCATENATE($A57,"_",AR$3),'Unit List'!$A$14:$H$2841,2,FALSE)),"X",$AP57)</f>
        <v>X</v>
      </c>
      <c r="AS57" s="51" t="str">
        <f>IF(ISTEXT(VLOOKUP(CONCATENATE($A57,"_",AS$3),'Unit List'!$A$14:$H$2841,2,FALSE)),"X",$AP57)</f>
        <v>+</v>
      </c>
      <c r="AT57" s="53" t="str">
        <f>IF(ISTEXT(VLOOKUP(CONCATENATE($A57,"_",AT$3),'Unit List'!$A$14:$H$2841,2,FALSE)),"X",$AP57)</f>
        <v>+</v>
      </c>
      <c r="AU57" s="124" t="str">
        <f>IF(ISTEXT(VLOOKUP(CONCATENATE($A57,"_",AU$3),'Unit List'!$A$14:$H$2841,2,FALSE)),"+","")</f>
        <v/>
      </c>
      <c r="AV57" s="51" t="str">
        <f>IF(ISTEXT(VLOOKUP(CONCATENATE($A57,"_",AV$3),'Unit List'!$A$14:$H$2841,2,FALSE)),"X",$AU57)</f>
        <v/>
      </c>
      <c r="AW57" s="53" t="str">
        <f>IF(ISTEXT(VLOOKUP(CONCATENATE($A57,"_",AW$3),'Unit List'!$A$14:$H$2841,2,FALSE)),"X",$AU57)</f>
        <v/>
      </c>
      <c r="AX57" s="172" t="str">
        <f>IF(ISTEXT(VLOOKUP(CONCATENATE($A57,"_",AX$3),'Unit List'!$A$14:$H$2841,2,FALSE)),"+","")</f>
        <v>+</v>
      </c>
      <c r="AY57" s="51" t="str">
        <f>IF(ISTEXT(VLOOKUP(CONCATENATE($A57,"_",AY$3),'Unit List'!$A$14:$H$2841,2,FALSE)),"X",$AX57)</f>
        <v>+</v>
      </c>
      <c r="AZ57" s="53" t="str">
        <f>IF(ISTEXT(VLOOKUP(CONCATENATE($A57,"_",AZ$3),'Unit List'!$A$14:$H$2841,2,FALSE)),"X",$AX57)</f>
        <v>+</v>
      </c>
      <c r="BA57" s="182" t="str">
        <f>IF(ISTEXT(VLOOKUP(CONCATENATE($A57,"_",BA$3),'Unit List'!$A$14:$H$2841,2,FALSE)),"+","")</f>
        <v>+</v>
      </c>
      <c r="BB57" s="51" t="str">
        <f>IF(ISTEXT(VLOOKUP(CONCATENATE($A57,"_",BB$3),'Unit List'!$A$14:$H$2841,2,FALSE)),"X",$BA57)</f>
        <v>+</v>
      </c>
      <c r="BC57" s="51" t="str">
        <f>IF(ISTEXT(VLOOKUP(CONCATENATE($A57,"_",BC$3),'Unit List'!$A$14:$H$2841,2,FALSE)),"X",$BA57)</f>
        <v>+</v>
      </c>
      <c r="BD57" s="53" t="str">
        <f>IF(ISTEXT(VLOOKUP(CONCATENATE($A57,"_",BD$3),'Unit List'!$A$14:$H$2841,2,FALSE)),"X",$BA57)</f>
        <v>+</v>
      </c>
      <c r="BE57" s="125" t="str">
        <f>IF(ISTEXT(VLOOKUP(CONCATENATE($A57,"_",BE$3),'Unit List'!$A$14:$H$2841,2,FALSE)),"+","")</f>
        <v/>
      </c>
      <c r="BF57" s="62" t="str">
        <f>IF(ISTEXT(VLOOKUP(CONCATENATE($A57,"_",BF$3),'Unit List'!$A$14:$H$2841,2,FALSE)),"X",$BE57)</f>
        <v/>
      </c>
      <c r="BG57" s="75"/>
      <c r="BH57" s="84"/>
      <c r="BI57" s="203"/>
      <c r="BJ57" s="204"/>
      <c r="BK57" s="204"/>
      <c r="BL57" s="204"/>
      <c r="BM57" s="205"/>
      <c r="BN57" s="54"/>
      <c r="BO57" s="54"/>
      <c r="BP57" s="54"/>
      <c r="BQ57" s="54"/>
      <c r="BR57" s="54"/>
      <c r="BS57" s="54"/>
      <c r="DZ57" s="55"/>
      <c r="EA57" s="55"/>
    </row>
    <row r="58" spans="1:131" ht="12.75" customHeight="1" x14ac:dyDescent="0.2">
      <c r="A58" s="56" t="s">
        <v>1158</v>
      </c>
      <c r="B58" s="181" t="str">
        <f>IF(ISTEXT(VLOOKUP(CONCATENATE($A58,"_",B$3),'Unit List'!$A$14:$H$2841,2,FALSE)),"+","")</f>
        <v/>
      </c>
      <c r="C58" s="82" t="str">
        <f>IF(ISTEXT(VLOOKUP(CONCATENATE($A58,"_",C$3),'Unit List'!$A$14:$H$2841,2,FALSE)),"X",$B58)</f>
        <v>X</v>
      </c>
      <c r="D58" s="67" t="str">
        <f>IF(ISTEXT(VLOOKUP(CONCATENATE($A58,"_",D$3),'Unit List'!$A$14:$H$2841,2,FALSE)),"X",$B58)</f>
        <v>X</v>
      </c>
      <c r="E58" s="51" t="str">
        <f>IF(ISTEXT(VLOOKUP(CONCATENATE($A58,"_",E$3),'Unit List'!$A$14:$H$2841,2,FALSE)),"X",$B58)</f>
        <v>X</v>
      </c>
      <c r="F58" s="67" t="str">
        <f>IF(ISTEXT(VLOOKUP(CONCATENATE($A58,"_",F$3),'Unit List'!$A$14:$H$2841,2,FALSE)),"X",$B58)</f>
        <v>X</v>
      </c>
      <c r="G58" s="67" t="str">
        <f>IF(ISTEXT(VLOOKUP(CONCATENATE($A58,"_",G$3),'Unit List'!$A$14:$H$2841,2,FALSE)),"X",$B58)</f>
        <v>X</v>
      </c>
      <c r="H58" s="67" t="str">
        <f>IF(ISTEXT(VLOOKUP(CONCATENATE($A58,"_",H$3),'Unit List'!$A$14:$H$2841,2,FALSE)),"X",$B58)</f>
        <v>X</v>
      </c>
      <c r="I58" s="53" t="str">
        <f>IF(ISTEXT(VLOOKUP(CONCATENATE($A58,"_",I$3),'Unit List'!$A$14:$H$2841,2,FALSE)),"X",$B58)</f>
        <v/>
      </c>
      <c r="J58" s="172" t="str">
        <f>IF(ISTEXT(VLOOKUP(CONCATENATE($A58,"_",J$3),'Unit List'!$A$14:$H$2841,2,FALSE)),"+","")</f>
        <v/>
      </c>
      <c r="K58" s="51" t="str">
        <f>IF(ISTEXT(VLOOKUP(CONCATENATE($A58,"_",K$3),'Unit List'!$A$14:$H$2841,2,FALSE)),"X",$J58)</f>
        <v/>
      </c>
      <c r="L58" s="62" t="str">
        <f>IF(ISTEXT(VLOOKUP(CONCATENATE($A58,"_",L$3),'Unit List'!$A$14:$H$2841,2,FALSE)),"X",$J58)</f>
        <v/>
      </c>
      <c r="M58" s="172" t="str">
        <f>IF(ISTEXT(VLOOKUP(CONCATENATE($A58,"_",M$3),'Unit List'!$A$14:$H$2841,2,FALSE)),"+","")</f>
        <v>+</v>
      </c>
      <c r="N58" s="51" t="str">
        <f>IF(ISTEXT(VLOOKUP(CONCATENATE($A58,"_",N$3),'Unit List'!$A$14:$H$2841,2,FALSE)),"X",$M58)</f>
        <v>+</v>
      </c>
      <c r="O58" s="70" t="str">
        <f>IF(ISTEXT(VLOOKUP(CONCATENATE($A58,"_",O$3),'Unit List'!$A$14:$H$2841,2,FALSE)),"X",$M58)</f>
        <v>+</v>
      </c>
      <c r="P58" s="172" t="str">
        <f>IF(ISTEXT(VLOOKUP(CONCATENATE($A58,"_",P$3),'Unit List'!$A$14:$H$2841,2,FALSE)),"+","")</f>
        <v>+</v>
      </c>
      <c r="Q58" s="51" t="str">
        <f>IF(ISTEXT(VLOOKUP(CONCATENATE($A58,"_",Q$3),'Unit List'!$A$14:$H$2841,2,FALSE)),"X",$P58)</f>
        <v>+</v>
      </c>
      <c r="R58" s="51" t="str">
        <f>IF(ISTEXT(VLOOKUP(CONCATENATE($A58,"_",R$3),'Unit List'!$A$14:$H$2841,2,FALSE)),"X",$P58)</f>
        <v>+</v>
      </c>
      <c r="S58" s="67" t="str">
        <f>IF(ISTEXT(VLOOKUP(CONCATENATE($A58,"_",S$3),'Unit List'!$A$14:$H$2841,2,FALSE)),"X",$P58)</f>
        <v>+</v>
      </c>
      <c r="T58" s="52" t="str">
        <f>IF(ISTEXT(VLOOKUP(CONCATENATE($A58,"_",T$3),'Unit List'!$A$14:$H$2841,2,FALSE)),"X",$P58)</f>
        <v>+</v>
      </c>
      <c r="U58" s="67" t="str">
        <f>IF(ISTEXT(VLOOKUP(CONCATENATE($A58,"_",U$3),'Unit List'!$A$14:$H$2841,2,FALSE)),"X",$P58)</f>
        <v>X</v>
      </c>
      <c r="V58" s="51" t="str">
        <f>IF(ISTEXT(VLOOKUP(CONCATENATE($A58,"_",V$3),'Unit List'!$A$14:$H$2841,2,FALSE)),"X",$P58)</f>
        <v>+</v>
      </c>
      <c r="W58" s="53" t="str">
        <f>IF(ISTEXT(VLOOKUP(CONCATENATE($A58,"_",W$3),'Unit List'!$A$14:$H$2841,2,FALSE)),"X",$P58)</f>
        <v>+</v>
      </c>
      <c r="X58" s="172" t="str">
        <f>IF(ISTEXT(VLOOKUP(CONCATENATE($A58,"_",X$3),'Unit List'!$A$14:$H$2841,2,FALSE)),"+","")</f>
        <v>+</v>
      </c>
      <c r="Y58" s="67" t="str">
        <f>IF(ISTEXT(VLOOKUP(CONCATENATE($A58,"_",Y$3),'Unit List'!$A$14:$H$2841,2,FALSE)),"X",$X58)</f>
        <v>+</v>
      </c>
      <c r="Z58" s="51" t="str">
        <f>IF(ISTEXT(VLOOKUP(CONCATENATE($A58,"_",Z$3),'Unit List'!$A$14:$H$2841,2,FALSE)),"X",$X58)</f>
        <v>+</v>
      </c>
      <c r="AA58" s="51" t="str">
        <f>IF(ISTEXT(VLOOKUP(CONCATENATE($A58,"_",AA$3),'Unit List'!$A$14:$H$2841,2,FALSE)),"X",$X58)</f>
        <v>+</v>
      </c>
      <c r="AB58" s="51" t="str">
        <f>IF(ISTEXT(VLOOKUP(CONCATENATE($A58,"_",AB$3),'Unit List'!$A$14:$H$2841,2,FALSE)),"X",$X58)</f>
        <v>+</v>
      </c>
      <c r="AC58" s="62" t="str">
        <f>IF(ISTEXT(VLOOKUP(CONCATENATE($A58,"_",AC$3),'Unit List'!$A$14:$H$2841,2,FALSE)),"X",$X58)</f>
        <v>+</v>
      </c>
      <c r="AD58" s="172" t="str">
        <f>IF(ISTEXT(VLOOKUP(CONCATENATE($A58,"_",AD$3),'Unit List'!$A$14:$H$2841,2,FALSE)),"+","")</f>
        <v/>
      </c>
      <c r="AE58" s="51" t="str">
        <f>IF(ISTEXT(VLOOKUP(CONCATENATE($A58,"_",AE$3),'Unit List'!$A$14:$H$2841,2,FALSE)),"X",$AD58)</f>
        <v/>
      </c>
      <c r="AF58" s="51" t="str">
        <f>IF(ISTEXT(VLOOKUP(CONCATENATE($A58,"_",AF$3),'Unit List'!$A$14:$H$2841,2,FALSE)),"X",$AD58)</f>
        <v/>
      </c>
      <c r="AG58" s="172" t="str">
        <f>IF(ISTEXT(VLOOKUP(CONCATENATE($A58,"_",AG$3),'Unit List'!$A$14:$H$2841,2,FALSE)),"+","")</f>
        <v/>
      </c>
      <c r="AH58" s="51" t="str">
        <f>IF(ISTEXT(VLOOKUP(CONCATENATE($A58,"_",AH$3),'Unit List'!$A$14:$H$2841,2,FALSE)),"X",$AG58)</f>
        <v/>
      </c>
      <c r="AI58" s="51" t="str">
        <f>IF(ISTEXT(VLOOKUP(CONCATENATE($A58,"_",AI$3),'Unit List'!$A$14:$H$2841,2,FALSE)),"X",$AG58)</f>
        <v/>
      </c>
      <c r="AJ58" s="53" t="str">
        <f>IF(ISTEXT(VLOOKUP(CONCATENATE($A58,"_",AJ$3),'Unit List'!$A$14:$H$2841,2,FALSE)),"X",$AG58)</f>
        <v/>
      </c>
      <c r="AK58" s="172" t="str">
        <f>IF(ISTEXT(VLOOKUP(CONCATENATE($A58,"_",AK$3),'Unit List'!$A$14:$H$2841,2,FALSE)),"+","")</f>
        <v>+</v>
      </c>
      <c r="AL58" s="52" t="str">
        <f>IF(ISTEXT(VLOOKUP(CONCATENATE($A58,"_",AL$3),'Unit List'!$A$14:$H$2841,2,FALSE)),"X",$AK58)</f>
        <v>X</v>
      </c>
      <c r="AM58" s="70" t="str">
        <f>IF(ISTEXT(VLOOKUP(CONCATENATE($A58,"_",AM$3),'Unit List'!$A$14:$H$2841,2,FALSE)),"X",$AK58)</f>
        <v>+</v>
      </c>
      <c r="AN58" s="125" t="str">
        <f>IF(ISTEXT(VLOOKUP(CONCATENATE($A58,"_",AN$3),'Unit List'!$A$14:$H$2841,2,FALSE)),"+","")</f>
        <v>+</v>
      </c>
      <c r="AO58" s="70" t="str">
        <f>IF(ISTEXT(VLOOKUP(CONCATENATE($A58,"_",AO$3),'Unit List'!$A$14:$H$2841,2,FALSE)),"X",$AN58)</f>
        <v>+</v>
      </c>
      <c r="AP58" s="172" t="str">
        <f>IF(ISTEXT(VLOOKUP(CONCATENATE($A58,"_",AP$3),'Unit List'!$A$14:$H$2841,2,FALSE)),"+","")</f>
        <v/>
      </c>
      <c r="AQ58" s="51" t="str">
        <f>IF(ISTEXT(VLOOKUP(CONCATENATE($A58,"_",AQ$3),'Unit List'!$A$14:$H$2841,2,FALSE)),"X",$AP58)</f>
        <v/>
      </c>
      <c r="AR58" s="67" t="str">
        <f>IF(ISTEXT(VLOOKUP(CONCATENATE($A58,"_",AR$3),'Unit List'!$A$14:$H$2841,2,FALSE)),"X",$AP58)</f>
        <v>X</v>
      </c>
      <c r="AS58" s="51" t="str">
        <f>IF(ISTEXT(VLOOKUP(CONCATENATE($A58,"_",AS$3),'Unit List'!$A$14:$H$2841,2,FALSE)),"X",$AP58)</f>
        <v/>
      </c>
      <c r="AT58" s="53" t="str">
        <f>IF(ISTEXT(VLOOKUP(CONCATENATE($A58,"_",AT$3),'Unit List'!$A$14:$H$2841,2,FALSE)),"X",$AP58)</f>
        <v/>
      </c>
      <c r="AU58" s="124" t="str">
        <f>IF(ISTEXT(VLOOKUP(CONCATENATE($A58,"_",AU$3),'Unit List'!$A$14:$H$2841,2,FALSE)),"+","")</f>
        <v/>
      </c>
      <c r="AV58" s="51" t="str">
        <f>IF(ISTEXT(VLOOKUP(CONCATENATE($A58,"_",AV$3),'Unit List'!$A$14:$H$2841,2,FALSE)),"X",$AU58)</f>
        <v/>
      </c>
      <c r="AW58" s="53" t="str">
        <f>IF(ISTEXT(VLOOKUP(CONCATENATE($A58,"_",AW$3),'Unit List'!$A$14:$H$2841,2,FALSE)),"X",$AU58)</f>
        <v/>
      </c>
      <c r="AX58" s="171" t="str">
        <f>IF(ISTEXT(VLOOKUP(CONCATENATE($A58,"_",AX$3),'Unit List'!$A$14:$H$2841,2,FALSE)),"+","")</f>
        <v>+</v>
      </c>
      <c r="AY58" s="67" t="str">
        <f>IF(ISTEXT(VLOOKUP(CONCATENATE($A58,"_",AY$3),'Unit List'!$A$14:$H$2841,2,FALSE)),"X",$AX58)</f>
        <v>+</v>
      </c>
      <c r="AZ58" s="70" t="str">
        <f>IF(ISTEXT(VLOOKUP(CONCATENATE($A58,"_",AZ$3),'Unit List'!$A$14:$H$2841,2,FALSE)),"X",$AX58)</f>
        <v>+</v>
      </c>
      <c r="BA58" s="182" t="str">
        <f>IF(ISTEXT(VLOOKUP(CONCATENATE($A58,"_",BA$3),'Unit List'!$A$14:$H$2841,2,FALSE)),"+","")</f>
        <v/>
      </c>
      <c r="BB58" s="51" t="str">
        <f>IF(ISTEXT(VLOOKUP(CONCATENATE($A58,"_",BB$3),'Unit List'!$A$14:$H$2841,2,FALSE)),"X",$BA58)</f>
        <v/>
      </c>
      <c r="BC58" s="51" t="str">
        <f>IF(ISTEXT(VLOOKUP(CONCATENATE($A58,"_",BC$3),'Unit List'!$A$14:$H$2841,2,FALSE)),"X",$BA58)</f>
        <v/>
      </c>
      <c r="BD58" s="53" t="str">
        <f>IF(ISTEXT(VLOOKUP(CONCATENATE($A58,"_",BD$3),'Unit List'!$A$14:$H$2841,2,FALSE)),"X",$BA58)</f>
        <v/>
      </c>
      <c r="BE58" s="125" t="str">
        <f>IF(ISTEXT(VLOOKUP(CONCATENATE($A58,"_",BE$3),'Unit List'!$A$14:$H$2841,2,FALSE)),"+","")</f>
        <v/>
      </c>
      <c r="BF58" s="62" t="str">
        <f>IF(ISTEXT(VLOOKUP(CONCATENATE($A58,"_",BF$3),'Unit List'!$A$14:$H$2841,2,FALSE)),"X",$BE58)</f>
        <v/>
      </c>
      <c r="BG58" s="75"/>
      <c r="BH58" s="84"/>
      <c r="BI58" s="203" t="s">
        <v>10</v>
      </c>
      <c r="BJ58" s="204"/>
      <c r="BK58" s="204"/>
      <c r="BL58" s="204"/>
      <c r="BM58" s="205"/>
      <c r="BN58" s="54"/>
      <c r="BO58" s="54"/>
      <c r="BP58" s="54"/>
      <c r="BQ58" s="54"/>
      <c r="BR58" s="54"/>
      <c r="BS58" s="54"/>
      <c r="DZ58" s="55"/>
      <c r="EA58" s="55"/>
    </row>
    <row r="59" spans="1:131" ht="12.75" customHeight="1" x14ac:dyDescent="0.2">
      <c r="A59" s="56" t="s">
        <v>1157</v>
      </c>
      <c r="B59" s="181" t="str">
        <f>IF(ISTEXT(VLOOKUP(CONCATENATE($A59,"_",B$3),'Unit List'!$A$14:$H$2841,2,FALSE)),"+","")</f>
        <v/>
      </c>
      <c r="C59" s="82" t="str">
        <f>IF(ISTEXT(VLOOKUP(CONCATENATE($A59,"_",C$3),'Unit List'!$A$14:$H$2841,2,FALSE)),"X",$B59)</f>
        <v>X</v>
      </c>
      <c r="D59" s="67" t="str">
        <f>IF(ISTEXT(VLOOKUP(CONCATENATE($A59,"_",D$3),'Unit List'!$A$14:$H$2841,2,FALSE)),"X",$B59)</f>
        <v>X</v>
      </c>
      <c r="E59" s="51" t="str">
        <f>IF(ISTEXT(VLOOKUP(CONCATENATE($A59,"_",E$3),'Unit List'!$A$14:$H$2841,2,FALSE)),"X",$B59)</f>
        <v>X</v>
      </c>
      <c r="F59" s="67" t="str">
        <f>IF(ISTEXT(VLOOKUP(CONCATENATE($A59,"_",F$3),'Unit List'!$A$14:$H$2841,2,FALSE)),"X",$B59)</f>
        <v>X</v>
      </c>
      <c r="G59" s="67" t="str">
        <f>IF(ISTEXT(VLOOKUP(CONCATENATE($A59,"_",G$3),'Unit List'!$A$14:$H$2841,2,FALSE)),"X",$B59)</f>
        <v>X</v>
      </c>
      <c r="H59" s="67" t="str">
        <f>IF(ISTEXT(VLOOKUP(CONCATENATE($A59,"_",H$3),'Unit List'!$A$14:$H$2841,2,FALSE)),"X",$B59)</f>
        <v>X</v>
      </c>
      <c r="I59" s="53" t="str">
        <f>IF(ISTEXT(VLOOKUP(CONCATENATE($A59,"_",I$3),'Unit List'!$A$14:$H$2841,2,FALSE)),"X",$B59)</f>
        <v/>
      </c>
      <c r="J59" s="171" t="str">
        <f>IF(ISTEXT(VLOOKUP(CONCATENATE($A59,"_",J$3),'Unit List'!$A$14:$H$2841,2,FALSE)),"+","")</f>
        <v/>
      </c>
      <c r="K59" s="51" t="str">
        <f>IF(ISTEXT(VLOOKUP(CONCATENATE($A59,"_",K$3),'Unit List'!$A$14:$H$2841,2,FALSE)),"X",$J59)</f>
        <v/>
      </c>
      <c r="L59" s="86" t="str">
        <f>IF(ISTEXT(VLOOKUP(CONCATENATE($A59,"_",L$3),'Unit List'!$A$14:$H$2841,2,FALSE)),"X",$J59)</f>
        <v>X</v>
      </c>
      <c r="M59" s="171" t="str">
        <f>IF(ISTEXT(VLOOKUP(CONCATENATE($A59,"_",M$3),'Unit List'!$A$14:$H$2841,2,FALSE)),"+","")</f>
        <v>+</v>
      </c>
      <c r="N59" s="67" t="str">
        <f>IF(ISTEXT(VLOOKUP(CONCATENATE($A59,"_",N$3),'Unit List'!$A$14:$H$2841,2,FALSE)),"X",$M59)</f>
        <v>X</v>
      </c>
      <c r="O59" s="70" t="str">
        <f>IF(ISTEXT(VLOOKUP(CONCATENATE($A59,"_",O$3),'Unit List'!$A$14:$H$2841,2,FALSE)),"X",$M59)</f>
        <v>X</v>
      </c>
      <c r="P59" s="172" t="str">
        <f>IF(ISTEXT(VLOOKUP(CONCATENATE($A59,"_",P$3),'Unit List'!$A$14:$H$2841,2,FALSE)),"+","")</f>
        <v/>
      </c>
      <c r="Q59" s="51" t="str">
        <f>IF(ISTEXT(VLOOKUP(CONCATENATE($A59,"_",Q$3),'Unit List'!$A$14:$H$2841,2,FALSE)),"X",$P59)</f>
        <v>X</v>
      </c>
      <c r="R59" s="51" t="str">
        <f>IF(ISTEXT(VLOOKUP(CONCATENATE($A59,"_",R$3),'Unit List'!$A$14:$H$2841,2,FALSE)),"X",$P59)</f>
        <v/>
      </c>
      <c r="S59" s="67" t="str">
        <f>IF(ISTEXT(VLOOKUP(CONCATENATE($A59,"_",S$3),'Unit List'!$A$14:$H$2841,2,FALSE)),"X",$P59)</f>
        <v>X</v>
      </c>
      <c r="T59" s="52" t="str">
        <f>IF(ISTEXT(VLOOKUP(CONCATENATE($A59,"_",T$3),'Unit List'!$A$14:$H$2841,2,FALSE)),"X",$P59)</f>
        <v/>
      </c>
      <c r="U59" s="67" t="str">
        <f>IF(ISTEXT(VLOOKUP(CONCATENATE($A59,"_",U$3),'Unit List'!$A$14:$H$2841,2,FALSE)),"X",$P59)</f>
        <v>X</v>
      </c>
      <c r="V59" s="51" t="str">
        <f>IF(ISTEXT(VLOOKUP(CONCATENATE($A59,"_",V$3),'Unit List'!$A$14:$H$2841,2,FALSE)),"X",$P59)</f>
        <v>X</v>
      </c>
      <c r="W59" s="53" t="str">
        <f>IF(ISTEXT(VLOOKUP(CONCATENATE($A59,"_",W$3),'Unit List'!$A$14:$H$2841,2,FALSE)),"X",$P59)</f>
        <v/>
      </c>
      <c r="X59" s="172" t="str">
        <f>IF(ISTEXT(VLOOKUP(CONCATENATE($A59,"_",X$3),'Unit List'!$A$14:$H$2841,2,FALSE)),"+","")</f>
        <v/>
      </c>
      <c r="Y59" s="51" t="str">
        <f>IF(ISTEXT(VLOOKUP(CONCATENATE($A59,"_",Y$3),'Unit List'!$A$14:$H$2841,2,FALSE)),"X",$X59)</f>
        <v/>
      </c>
      <c r="Z59" s="51" t="str">
        <f>IF(ISTEXT(VLOOKUP(CONCATENATE($A59,"_",Z$3),'Unit List'!$A$14:$H$2841,2,FALSE)),"X",$X59)</f>
        <v/>
      </c>
      <c r="AA59" s="51" t="str">
        <f>IF(ISTEXT(VLOOKUP(CONCATENATE($A59,"_",AA$3),'Unit List'!$A$14:$H$2841,2,FALSE)),"X",$X59)</f>
        <v/>
      </c>
      <c r="AB59" s="51" t="str">
        <f>IF(ISTEXT(VLOOKUP(CONCATENATE($A59,"_",AB$3),'Unit List'!$A$14:$H$2841,2,FALSE)),"X",$X59)</f>
        <v/>
      </c>
      <c r="AC59" s="62" t="str">
        <f>IF(ISTEXT(VLOOKUP(CONCATENATE($A59,"_",AC$3),'Unit List'!$A$14:$H$2841,2,FALSE)),"X",$X59)</f>
        <v/>
      </c>
      <c r="AD59" s="172" t="str">
        <f>IF(ISTEXT(VLOOKUP(CONCATENATE($A59,"_",AD$3),'Unit List'!$A$14:$H$2841,2,FALSE)),"+","")</f>
        <v/>
      </c>
      <c r="AE59" s="51" t="str">
        <f>IF(ISTEXT(VLOOKUP(CONCATENATE($A59,"_",AE$3),'Unit List'!$A$14:$H$2841,2,FALSE)),"X",$AD59)</f>
        <v/>
      </c>
      <c r="AF59" s="51" t="str">
        <f>IF(ISTEXT(VLOOKUP(CONCATENATE($A59,"_",AF$3),'Unit List'!$A$14:$H$2841,2,FALSE)),"X",$AD59)</f>
        <v/>
      </c>
      <c r="AG59" s="172" t="str">
        <f>IF(ISTEXT(VLOOKUP(CONCATENATE($A59,"_",AG$3),'Unit List'!$A$14:$H$2841,2,FALSE)),"+","")</f>
        <v/>
      </c>
      <c r="AH59" s="51" t="str">
        <f>IF(ISTEXT(VLOOKUP(CONCATENATE($A59,"_",AH$3),'Unit List'!$A$14:$H$2841,2,FALSE)),"X",$AG59)</f>
        <v/>
      </c>
      <c r="AI59" s="51" t="str">
        <f>IF(ISTEXT(VLOOKUP(CONCATENATE($A59,"_",AI$3),'Unit List'!$A$14:$H$2841,2,FALSE)),"X",$AG59)</f>
        <v/>
      </c>
      <c r="AJ59" s="53" t="str">
        <f>IF(ISTEXT(VLOOKUP(CONCATENATE($A59,"_",AJ$3),'Unit List'!$A$14:$H$2841,2,FALSE)),"X",$AG59)</f>
        <v/>
      </c>
      <c r="AK59" s="172" t="str">
        <f>IF(ISTEXT(VLOOKUP(CONCATENATE($A59,"_",AK$3),'Unit List'!$A$14:$H$2841,2,FALSE)),"+","")</f>
        <v/>
      </c>
      <c r="AL59" s="87" t="str">
        <f>IF(ISTEXT(VLOOKUP(CONCATENATE($A59,"_",AL$3),'Unit List'!$A$14:$H$2841,2,FALSE)),"X",$AK59)</f>
        <v>X</v>
      </c>
      <c r="AM59" s="53" t="str">
        <f>IF(ISTEXT(VLOOKUP(CONCATENATE($A59,"_",AM$3),'Unit List'!$A$14:$H$2841,2,FALSE)),"X",$AK59)</f>
        <v/>
      </c>
      <c r="AN59" s="125" t="str">
        <f>IF(ISTEXT(VLOOKUP(CONCATENATE($A59,"_",AN$3),'Unit List'!$A$14:$H$2841,2,FALSE)),"+","")</f>
        <v/>
      </c>
      <c r="AO59" s="53" t="str">
        <f>IF(ISTEXT(VLOOKUP(CONCATENATE($A59,"_",AO$3),'Unit List'!$A$14:$H$2841,2,FALSE)),"X",$AN59)</f>
        <v/>
      </c>
      <c r="AP59" s="172" t="str">
        <f>IF(ISTEXT(VLOOKUP(CONCATENATE($A59,"_",AP$3),'Unit List'!$A$14:$H$2841,2,FALSE)),"+","")</f>
        <v/>
      </c>
      <c r="AQ59" s="51" t="str">
        <f>IF(ISTEXT(VLOOKUP(CONCATENATE($A59,"_",AQ$3),'Unit List'!$A$14:$H$2841,2,FALSE)),"X",$AP59)</f>
        <v>X</v>
      </c>
      <c r="AR59" s="67" t="str">
        <f>IF(ISTEXT(VLOOKUP(CONCATENATE($A59,"_",AR$3),'Unit List'!$A$14:$H$2841,2,FALSE)),"X",$AP59)</f>
        <v>X</v>
      </c>
      <c r="AS59" s="51" t="str">
        <f>IF(ISTEXT(VLOOKUP(CONCATENATE($A59,"_",AS$3),'Unit List'!$A$14:$H$2841,2,FALSE)),"X",$AP59)</f>
        <v/>
      </c>
      <c r="AT59" s="53" t="str">
        <f>IF(ISTEXT(VLOOKUP(CONCATENATE($A59,"_",AT$3),'Unit List'!$A$14:$H$2841,2,FALSE)),"X",$AP59)</f>
        <v/>
      </c>
      <c r="AU59" s="124" t="str">
        <f>IF(ISTEXT(VLOOKUP(CONCATENATE($A59,"_",AU$3),'Unit List'!$A$14:$H$2841,2,FALSE)),"+","")</f>
        <v/>
      </c>
      <c r="AV59" s="51" t="str">
        <f>IF(ISTEXT(VLOOKUP(CONCATENATE($A59,"_",AV$3),'Unit List'!$A$14:$H$2841,2,FALSE)),"X",$AU59)</f>
        <v/>
      </c>
      <c r="AW59" s="53" t="str">
        <f>IF(ISTEXT(VLOOKUP(CONCATENATE($A59,"_",AW$3),'Unit List'!$A$14:$H$2841,2,FALSE)),"X",$AU59)</f>
        <v/>
      </c>
      <c r="AX59" s="172" t="str">
        <f>IF(ISTEXT(VLOOKUP(CONCATENATE($A59,"_",AX$3),'Unit List'!$A$14:$H$2841,2,FALSE)),"+","")</f>
        <v>+</v>
      </c>
      <c r="AY59" s="51" t="str">
        <f>IF(ISTEXT(VLOOKUP(CONCATENATE($A59,"_",AY$3),'Unit List'!$A$14:$H$2841,2,FALSE)),"X",$AX59)</f>
        <v>+</v>
      </c>
      <c r="AZ59" s="53" t="str">
        <f>IF(ISTEXT(VLOOKUP(CONCATENATE($A59,"_",AZ$3),'Unit List'!$A$14:$H$2841,2,FALSE)),"X",$AX59)</f>
        <v>+</v>
      </c>
      <c r="BA59" s="182" t="str">
        <f>IF(ISTEXT(VLOOKUP(CONCATENATE($A59,"_",BA$3),'Unit List'!$A$14:$H$2841,2,FALSE)),"+","")</f>
        <v/>
      </c>
      <c r="BB59" s="51" t="str">
        <f>IF(ISTEXT(VLOOKUP(CONCATENATE($A59,"_",BB$3),'Unit List'!$A$14:$H$2841,2,FALSE)),"X",$BA59)</f>
        <v/>
      </c>
      <c r="BC59" s="51" t="str">
        <f>IF(ISTEXT(VLOOKUP(CONCATENATE($A59,"_",BC$3),'Unit List'!$A$14:$H$2841,2,FALSE)),"X",$BA59)</f>
        <v/>
      </c>
      <c r="BD59" s="53" t="str">
        <f>IF(ISTEXT(VLOOKUP(CONCATENATE($A59,"_",BD$3),'Unit List'!$A$14:$H$2841,2,FALSE)),"X",$BA59)</f>
        <v/>
      </c>
      <c r="BE59" s="125" t="str">
        <f>IF(ISTEXT(VLOOKUP(CONCATENATE($A59,"_",BE$3),'Unit List'!$A$14:$H$2841,2,FALSE)),"+","")</f>
        <v/>
      </c>
      <c r="BF59" s="62" t="str">
        <f>IF(ISTEXT(VLOOKUP(CONCATENATE($A59,"_",BF$3),'Unit List'!$A$14:$H$2841,2,FALSE)),"X",$BE59)</f>
        <v/>
      </c>
      <c r="BG59" s="75"/>
      <c r="BH59" s="84"/>
      <c r="BI59" s="203" t="s">
        <v>9</v>
      </c>
      <c r="BJ59" s="206"/>
      <c r="BK59" s="206"/>
      <c r="BL59" s="206"/>
      <c r="BM59" s="207"/>
      <c r="BN59" s="54"/>
      <c r="BO59" s="54"/>
      <c r="BP59" s="54"/>
      <c r="BQ59" s="54"/>
      <c r="BR59" s="54"/>
      <c r="BS59" s="54"/>
      <c r="DZ59" s="55"/>
      <c r="EA59" s="55"/>
    </row>
    <row r="60" spans="1:131" ht="12.75" customHeight="1" x14ac:dyDescent="0.2">
      <c r="A60" s="56" t="s">
        <v>2408</v>
      </c>
      <c r="B60" s="181" t="str">
        <f>IF(ISTEXT(VLOOKUP(CONCATENATE($A60,"_",B$3),'Unit List'!$A$14:$H$2841,2,FALSE)),"+","")</f>
        <v/>
      </c>
      <c r="C60" s="82" t="str">
        <f>IF(ISTEXT(VLOOKUP(CONCATENATE($A60,"_",C$3),'Unit List'!$A$14:$H$2841,2,FALSE)),"X",$B60)</f>
        <v>X</v>
      </c>
      <c r="D60" s="67" t="str">
        <f>IF(ISTEXT(VLOOKUP(CONCATENATE($A60,"_",D$3),'Unit List'!$A$14:$H$2841,2,FALSE)),"X",$B60)</f>
        <v>X</v>
      </c>
      <c r="E60" s="51" t="str">
        <f>IF(ISTEXT(VLOOKUP(CONCATENATE($A60,"_",E$3),'Unit List'!$A$14:$H$2841,2,FALSE)),"X",$B60)</f>
        <v>X</v>
      </c>
      <c r="F60" s="67" t="str">
        <f>IF(ISTEXT(VLOOKUP(CONCATENATE($A60,"_",F$3),'Unit List'!$A$14:$H$2841,2,FALSE)),"X",$B60)</f>
        <v>X</v>
      </c>
      <c r="G60" s="99" t="str">
        <f>IF(ISTEXT(VLOOKUP(CONCATENATE($A60,"_",G$3),'Unit List'!$A$14:$H$2841,2,FALSE)),"X",$B60)</f>
        <v>X</v>
      </c>
      <c r="H60" s="67" t="str">
        <f>IF(ISTEXT(VLOOKUP(CONCATENATE($A60,"_",H$3),'Unit List'!$A$14:$H$2841,2,FALSE)),"X",$B60)</f>
        <v>X</v>
      </c>
      <c r="I60" s="70" t="str">
        <f>IF(ISTEXT(VLOOKUP(CONCATENATE($A60,"_",I$3),'Unit List'!$A$14:$H$2841,2,FALSE)),"X",$B60)</f>
        <v>X</v>
      </c>
      <c r="J60" s="171" t="str">
        <f>IF(ISTEXT(VLOOKUP(CONCATENATE($A60,"_",J$3),'Unit List'!$A$14:$H$2841,2,FALSE)),"+","")</f>
        <v/>
      </c>
      <c r="K60" s="51" t="str">
        <f>IF(ISTEXT(VLOOKUP(CONCATENATE($A60,"_",K$3),'Unit List'!$A$14:$H$2841,2,FALSE)),"X",$J60)</f>
        <v/>
      </c>
      <c r="L60" s="86" t="str">
        <f>IF(ISTEXT(VLOOKUP(CONCATENATE($A60,"_",L$3),'Unit List'!$A$14:$H$2841,2,FALSE)),"X",$J60)</f>
        <v>X</v>
      </c>
      <c r="M60" s="171" t="str">
        <f>IF(ISTEXT(VLOOKUP(CONCATENATE($A60,"_",M$3),'Unit List'!$A$14:$H$2841,2,FALSE)),"+","")</f>
        <v>+</v>
      </c>
      <c r="N60" s="67" t="str">
        <f>IF(ISTEXT(VLOOKUP(CONCATENATE($A60,"_",N$3),'Unit List'!$A$14:$H$2841,2,FALSE)),"X",$M60)</f>
        <v>+</v>
      </c>
      <c r="O60" s="70" t="str">
        <f>IF(ISTEXT(VLOOKUP(CONCATENATE($A60,"_",O$3),'Unit List'!$A$14:$H$2841,2,FALSE)),"X",$M60)</f>
        <v>X</v>
      </c>
      <c r="P60" s="172" t="str">
        <f>IF(ISTEXT(VLOOKUP(CONCATENATE($A60,"_",P$3),'Unit List'!$A$14:$H$2841,2,FALSE)),"+","")</f>
        <v/>
      </c>
      <c r="Q60" s="90" t="s">
        <v>0</v>
      </c>
      <c r="R60" s="51" t="str">
        <f>IF(ISTEXT(VLOOKUP(CONCATENATE($A60,"_",R$3),'Unit List'!$A$14:$H$2841,2,FALSE)),"X",$P60)</f>
        <v/>
      </c>
      <c r="S60" s="67" t="str">
        <f>IF(ISTEXT(VLOOKUP(CONCATENATE($A60,"_",S$3),'Unit List'!$A$14:$H$2841,2,FALSE)),"X",$P60)</f>
        <v>X</v>
      </c>
      <c r="T60" s="52" t="str">
        <f>IF(ISTEXT(VLOOKUP(CONCATENATE($A60,"_",T$3),'Unit List'!$A$14:$H$2841,2,FALSE)),"X",$P60)</f>
        <v/>
      </c>
      <c r="U60" s="67" t="str">
        <f>IF(ISTEXT(VLOOKUP(CONCATENATE($A60,"_",U$3),'Unit List'!$A$14:$H$2841,2,FALSE)),"X",$P60)</f>
        <v>X</v>
      </c>
      <c r="V60" s="67" t="str">
        <f>IF(ISTEXT(VLOOKUP(CONCATENATE($A60,"_",V$3),'Unit List'!$A$14:$H$2841,2,FALSE)),"X",$P60)</f>
        <v>X</v>
      </c>
      <c r="W60" s="53" t="str">
        <f>IF(ISTEXT(VLOOKUP(CONCATENATE($A60,"_",W$3),'Unit List'!$A$14:$H$2841,2,FALSE)),"X",$P60)</f>
        <v/>
      </c>
      <c r="X60" s="172" t="str">
        <f>IF(ISTEXT(VLOOKUP(CONCATENATE($A60,"_",X$3),'Unit List'!$A$14:$H$2841,2,FALSE)),"+","")</f>
        <v/>
      </c>
      <c r="Y60" s="51" t="str">
        <f>IF(ISTEXT(VLOOKUP(CONCATENATE($A60,"_",Y$3),'Unit List'!$A$14:$H$2841,2,FALSE)),"X",$X60)</f>
        <v/>
      </c>
      <c r="Z60" s="51" t="str">
        <f>IF(ISTEXT(VLOOKUP(CONCATENATE($A60,"_",Z$3),'Unit List'!$A$14:$H$2841,2,FALSE)),"X",$X60)</f>
        <v/>
      </c>
      <c r="AA60" s="51" t="str">
        <f>IF(ISTEXT(VLOOKUP(CONCATENATE($A60,"_",AA$3),'Unit List'!$A$14:$H$2841,2,FALSE)),"X",$X60)</f>
        <v/>
      </c>
      <c r="AB60" s="51" t="str">
        <f>IF(ISTEXT(VLOOKUP(CONCATENATE($A60,"_",AB$3),'Unit List'!$A$14:$H$2841,2,FALSE)),"X",$X60)</f>
        <v/>
      </c>
      <c r="AC60" s="62" t="str">
        <f>IF(ISTEXT(VLOOKUP(CONCATENATE($A60,"_",AC$3),'Unit List'!$A$14:$H$2841,2,FALSE)),"X",$X60)</f>
        <v/>
      </c>
      <c r="AD60" s="171" t="str">
        <f>IF(ISTEXT(VLOOKUP(CONCATENATE($A60,"_",AD$3),'Unit List'!$A$14:$H$2841,2,FALSE)),"+","")</f>
        <v/>
      </c>
      <c r="AE60" s="51" t="str">
        <f>IF(ISTEXT(VLOOKUP(CONCATENATE($A60,"_",AE$3),'Unit List'!$A$14:$H$2841,2,FALSE)),"X",$AD60)</f>
        <v/>
      </c>
      <c r="AF60" s="51" t="str">
        <f>IF(ISTEXT(VLOOKUP(CONCATENATE($A60,"_",AF$3),'Unit List'!$A$14:$H$2841,2,FALSE)),"X",$AD60)</f>
        <v/>
      </c>
      <c r="AG60" s="171" t="str">
        <f>IF(ISTEXT(VLOOKUP(CONCATENATE($A60,"_",AG$3),'Unit List'!$A$14:$H$2841,2,FALSE)),"+","")</f>
        <v>+</v>
      </c>
      <c r="AH60" s="67" t="str">
        <f>IF(ISTEXT(VLOOKUP(CONCATENATE($A60,"_",AH$3),'Unit List'!$A$14:$H$2841,2,FALSE)),"X",$AG60)</f>
        <v>+</v>
      </c>
      <c r="AI60" s="67" t="str">
        <f>IF(ISTEXT(VLOOKUP(CONCATENATE($A60,"_",AI$3),'Unit List'!$A$14:$H$2841,2,FALSE)),"X",$AG60)</f>
        <v>+</v>
      </c>
      <c r="AJ60" s="70" t="str">
        <f>IF(ISTEXT(VLOOKUP(CONCATENATE($A60,"_",AJ$3),'Unit List'!$A$14:$H$2841,2,FALSE)),"X",$AG60)</f>
        <v>+</v>
      </c>
      <c r="AK60" s="172" t="str">
        <f>IF(ISTEXT(VLOOKUP(CONCATENATE($A60,"_",AK$3),'Unit List'!$A$14:$H$2841,2,FALSE)),"+","")</f>
        <v>+</v>
      </c>
      <c r="AL60" s="87" t="str">
        <f>IF(ISTEXT(VLOOKUP(CONCATENATE($A60,"_",AL$3),'Unit List'!$A$14:$H$2841,2,FALSE)),"X",$AK60)</f>
        <v>+</v>
      </c>
      <c r="AM60" s="53" t="str">
        <f>IF(ISTEXT(VLOOKUP(CONCATENATE($A60,"_",AM$3),'Unit List'!$A$14:$H$2841,2,FALSE)),"X",$AK60)</f>
        <v>+</v>
      </c>
      <c r="AN60" s="125" t="str">
        <f>IF(ISTEXT(VLOOKUP(CONCATENATE($A60,"_",AN$3),'Unit List'!$A$14:$H$2841,2,FALSE)),"+","")</f>
        <v/>
      </c>
      <c r="AO60" s="53" t="str">
        <f>IF(ISTEXT(VLOOKUP(CONCATENATE($A60,"_",AO$3),'Unit List'!$A$14:$H$2841,2,FALSE)),"X",$AN60)</f>
        <v/>
      </c>
      <c r="AP60" s="171" t="str">
        <f>IF(ISTEXT(VLOOKUP(CONCATENATE($A60,"_",AP$3),'Unit List'!$A$14:$H$2841,2,FALSE)),"+","")</f>
        <v>+</v>
      </c>
      <c r="AQ60" s="67" t="str">
        <f>IF(ISTEXT(VLOOKUP(CONCATENATE($A60,"_",AQ$3),'Unit List'!$A$14:$H$2841,2,FALSE)),"X",$AP60)</f>
        <v>X</v>
      </c>
      <c r="AR60" s="67" t="str">
        <f>IF(ISTEXT(VLOOKUP(CONCATENATE($A60,"_",AR$3),'Unit List'!$A$14:$H$2841,2,FALSE)),"X",$AP60)</f>
        <v>X</v>
      </c>
      <c r="AS60" s="94" t="str">
        <f>IF(ISTEXT(VLOOKUP(CONCATENATE($A60,"_",AS$3),'Unit List'!$A$14:$H$2841,2,FALSE)),"X",$AP60)</f>
        <v>+</v>
      </c>
      <c r="AT60" s="53" t="str">
        <f>IF(ISTEXT(VLOOKUP(CONCATENATE($A60,"_",AT$3),'Unit List'!$A$14:$H$2841,2,FALSE)),"X",$AP60)</f>
        <v>+</v>
      </c>
      <c r="AU60" s="124" t="str">
        <f>IF(ISTEXT(VLOOKUP(CONCATENATE($A60,"_",AU$3),'Unit List'!$A$14:$H$2841,2,FALSE)),"+","")</f>
        <v>+</v>
      </c>
      <c r="AV60" s="51" t="str">
        <f>IF(ISTEXT(VLOOKUP(CONCATENATE($A60,"_",AV$3),'Unit List'!$A$14:$H$2841,2,FALSE)),"X",$AU60)</f>
        <v>+</v>
      </c>
      <c r="AW60" s="70" t="str">
        <f>IF(ISTEXT(VLOOKUP(CONCATENATE($A60,"_",AW$3),'Unit List'!$A$14:$H$2841,2,FALSE)),"X",$AU60)</f>
        <v>X</v>
      </c>
      <c r="AX60" s="171" t="str">
        <f>IF(ISTEXT(VLOOKUP(CONCATENATE($A60,"_",AX$3),'Unit List'!$A$14:$H$2841,2,FALSE)),"+","")</f>
        <v>+</v>
      </c>
      <c r="AY60" s="67" t="str">
        <f>IF(ISTEXT(VLOOKUP(CONCATENATE($A60,"_",AY$3),'Unit List'!$A$14:$H$2841,2,FALSE)),"X",$AX60)</f>
        <v>+</v>
      </c>
      <c r="AZ60" s="70" t="str">
        <f>IF(ISTEXT(VLOOKUP(CONCATENATE($A60,"_",AZ$3),'Unit List'!$A$14:$H$2841,2,FALSE)),"X",$AX60)</f>
        <v>+</v>
      </c>
      <c r="BA60" s="182" t="str">
        <f>IF(ISTEXT(VLOOKUP(CONCATENATE($A60,"_",BA$3),'Unit List'!$A$14:$H$2841,2,FALSE)),"+","")</f>
        <v/>
      </c>
      <c r="BB60" s="51" t="str">
        <f>IF(ISTEXT(VLOOKUP(CONCATENATE($A60,"_",BB$3),'Unit List'!$A$14:$H$2841,2,FALSE)),"X",$BA60)</f>
        <v/>
      </c>
      <c r="BC60" s="51" t="str">
        <f>IF(ISTEXT(VLOOKUP(CONCATENATE($A60,"_",BC$3),'Unit List'!$A$14:$H$2841,2,FALSE)),"X",$BA60)</f>
        <v/>
      </c>
      <c r="BD60" s="53" t="str">
        <f>IF(ISTEXT(VLOOKUP(CONCATENATE($A60,"_",BD$3),'Unit List'!$A$14:$H$2841,2,FALSE)),"X",$BA60)</f>
        <v/>
      </c>
      <c r="BE60" s="125" t="str">
        <f>IF(ISTEXT(VLOOKUP(CONCATENATE($A60,"_",BE$3),'Unit List'!$A$14:$H$2841,2,FALSE)),"+","")</f>
        <v/>
      </c>
      <c r="BF60" s="68" t="str">
        <f>IF(ISTEXT(VLOOKUP(CONCATENATE($A60,"_",BF$3),'Unit List'!$A$14:$H$2841,2,FALSE)),"X",$BE60)</f>
        <v/>
      </c>
      <c r="BG60" s="75"/>
      <c r="BH60" s="84"/>
      <c r="BI60" s="203"/>
      <c r="BJ60" s="204"/>
      <c r="BK60" s="204"/>
      <c r="BL60" s="204"/>
      <c r="BM60" s="205"/>
      <c r="BN60" s="54"/>
      <c r="BO60" s="54"/>
      <c r="BP60" s="54"/>
      <c r="BQ60" s="54"/>
      <c r="BR60" s="54"/>
      <c r="BS60" s="54"/>
      <c r="DZ60" s="55"/>
      <c r="EA60" s="55"/>
    </row>
    <row r="61" spans="1:131" ht="12.75" customHeight="1" x14ac:dyDescent="0.2">
      <c r="A61" s="56" t="s">
        <v>1274</v>
      </c>
      <c r="B61" s="181" t="str">
        <f>IF(ISTEXT(VLOOKUP(CONCATENATE($A61,"_",B$3),'Unit List'!$A$14:$H$2841,2,FALSE)),"+","")</f>
        <v/>
      </c>
      <c r="C61" s="57" t="str">
        <f>IF(ISTEXT(VLOOKUP(CONCATENATE($A61,"_",C$3),'Unit List'!$A$14:$H$2841,2,FALSE)),"X",$B61)</f>
        <v/>
      </c>
      <c r="D61" s="51" t="str">
        <f>IF(ISTEXT(VLOOKUP(CONCATENATE($A61,"_",D$3),'Unit List'!$A$14:$H$2841,2,FALSE)),"X",$B61)</f>
        <v/>
      </c>
      <c r="E61" s="51" t="str">
        <f>IF(ISTEXT(VLOOKUP(CONCATENATE($A61,"_",E$3),'Unit List'!$A$14:$H$2841,2,FALSE)),"X",$B61)</f>
        <v/>
      </c>
      <c r="F61" s="60" t="str">
        <f>IF(ISTEXT(VLOOKUP(CONCATENATE($A61,"_",F$3),'Unit List'!$A$14:$H$2841,2,FALSE)),"X",$B61)</f>
        <v/>
      </c>
      <c r="G61" s="51" t="str">
        <f>IF(ISTEXT(VLOOKUP(CONCATENATE($A61,"_",G$3),'Unit List'!$A$14:$H$2841,2,FALSE)),"X",$B61)</f>
        <v/>
      </c>
      <c r="H61" s="51" t="str">
        <f>IF(ISTEXT(VLOOKUP(CONCATENATE($A61,"_",H$3),'Unit List'!$A$14:$H$2841,2,FALSE)),"X",$B61)</f>
        <v/>
      </c>
      <c r="I61" s="53" t="str">
        <f>IF(ISTEXT(VLOOKUP(CONCATENATE($A61,"_",I$3),'Unit List'!$A$14:$H$2841,2,FALSE)),"X",$B61)</f>
        <v/>
      </c>
      <c r="J61" s="172" t="str">
        <f>IF(ISTEXT(VLOOKUP(CONCATENATE($A61,"_",J$3),'Unit List'!$A$14:$H$2841,2,FALSE)),"+","")</f>
        <v/>
      </c>
      <c r="K61" s="51" t="str">
        <f>IF(ISTEXT(VLOOKUP(CONCATENATE($A61,"_",K$3),'Unit List'!$A$14:$H$2841,2,FALSE)),"X",$J61)</f>
        <v/>
      </c>
      <c r="L61" s="62" t="str">
        <f>IF(ISTEXT(VLOOKUP(CONCATENATE($A61,"_",L$3),'Unit List'!$A$14:$H$2841,2,FALSE)),"X",$J61)</f>
        <v/>
      </c>
      <c r="M61" s="172" t="str">
        <f>IF(ISTEXT(VLOOKUP(CONCATENATE($A61,"_",M$3),'Unit List'!$A$14:$H$2841,2,FALSE)),"+","")</f>
        <v/>
      </c>
      <c r="N61" s="51" t="str">
        <f>IF(ISTEXT(VLOOKUP(CONCATENATE($A61,"_",N$3),'Unit List'!$A$14:$H$2841,2,FALSE)),"X",$M61)</f>
        <v/>
      </c>
      <c r="O61" s="53" t="str">
        <f>IF(ISTEXT(VLOOKUP(CONCATENATE($A61,"_",O$3),'Unit List'!$A$14:$H$2841,2,FALSE)),"X",$M61)</f>
        <v/>
      </c>
      <c r="P61" s="172" t="str">
        <f>IF(ISTEXT(VLOOKUP(CONCATENATE($A61,"_",P$3),'Unit List'!$A$14:$H$2841,2,FALSE)),"+","")</f>
        <v/>
      </c>
      <c r="Q61" s="51" t="str">
        <f>IF(ISTEXT(VLOOKUP(CONCATENATE($A61,"_",Q$3),'Unit List'!$A$14:$H$2841,2,FALSE)),"X",$P61)</f>
        <v/>
      </c>
      <c r="R61" s="51" t="str">
        <f>IF(ISTEXT(VLOOKUP(CONCATENATE($A61,"_",R$3),'Unit List'!$A$14:$H$2841,2,FALSE)),"X",$P61)</f>
        <v/>
      </c>
      <c r="S61" s="51" t="str">
        <f>IF(ISTEXT(VLOOKUP(CONCATENATE($A61,"_",S$3),'Unit List'!$A$14:$H$2841,2,FALSE)),"X",$P61)</f>
        <v/>
      </c>
      <c r="T61" s="52" t="str">
        <f>IF(ISTEXT(VLOOKUP(CONCATENATE($A61,"_",T$3),'Unit List'!$A$14:$H$2841,2,FALSE)),"X",$P61)</f>
        <v/>
      </c>
      <c r="U61" s="51" t="str">
        <f>IF(ISTEXT(VLOOKUP(CONCATENATE($A61,"_",U$3),'Unit List'!$A$14:$H$2841,2,FALSE)),"X",$P61)</f>
        <v/>
      </c>
      <c r="V61" s="60" t="str">
        <f>IF(ISTEXT(VLOOKUP(CONCATENATE($A61,"_",V$3),'Unit List'!$A$14:$H$2841,2,FALSE)),"X",$P61)</f>
        <v/>
      </c>
      <c r="W61" s="53" t="str">
        <f>IF(ISTEXT(VLOOKUP(CONCATENATE($A61,"_",W$3),'Unit List'!$A$14:$H$2841,2,FALSE)),"X",$P61)</f>
        <v/>
      </c>
      <c r="X61" s="172" t="str">
        <f>IF(ISTEXT(VLOOKUP(CONCATENATE($A61,"_",X$3),'Unit List'!$A$14:$H$2841,2,FALSE)),"+","")</f>
        <v/>
      </c>
      <c r="Y61" s="51" t="str">
        <f>IF(ISTEXT(VLOOKUP(CONCATENATE($A61,"_",Y$3),'Unit List'!$A$14:$H$2841,2,FALSE)),"X",$X61)</f>
        <v/>
      </c>
      <c r="Z61" s="51" t="str">
        <f>IF(ISTEXT(VLOOKUP(CONCATENATE($A61,"_",Z$3),'Unit List'!$A$14:$H$2841,2,FALSE)),"X",$X61)</f>
        <v/>
      </c>
      <c r="AA61" s="51" t="str">
        <f>IF(ISTEXT(VLOOKUP(CONCATENATE($A61,"_",AA$3),'Unit List'!$A$14:$H$2841,2,FALSE)),"X",$X61)</f>
        <v/>
      </c>
      <c r="AB61" s="51" t="str">
        <f>IF(ISTEXT(VLOOKUP(CONCATENATE($A61,"_",AB$3),'Unit List'!$A$14:$H$2841,2,FALSE)),"X",$X61)</f>
        <v/>
      </c>
      <c r="AC61" s="62" t="str">
        <f>IF(ISTEXT(VLOOKUP(CONCATENATE($A61,"_",AC$3),'Unit List'!$A$14:$H$2841,2,FALSE)),"X",$X61)</f>
        <v/>
      </c>
      <c r="AD61" s="172" t="str">
        <f>IF(ISTEXT(VLOOKUP(CONCATENATE($A61,"_",AD$3),'Unit List'!$A$14:$H$2841,2,FALSE)),"+","")</f>
        <v/>
      </c>
      <c r="AE61" s="51" t="str">
        <f>IF(ISTEXT(VLOOKUP(CONCATENATE($A61,"_",AE$3),'Unit List'!$A$14:$H$2841,2,FALSE)),"X",$AD61)</f>
        <v/>
      </c>
      <c r="AF61" s="51" t="str">
        <f>IF(ISTEXT(VLOOKUP(CONCATENATE($A61,"_",AF$3),'Unit List'!$A$14:$H$2841,2,FALSE)),"X",$AD61)</f>
        <v/>
      </c>
      <c r="AG61" s="172" t="str">
        <f>IF(ISTEXT(VLOOKUP(CONCATENATE($A61,"_",AG$3),'Unit List'!$A$14:$H$2841,2,FALSE)),"+","")</f>
        <v/>
      </c>
      <c r="AH61" s="51" t="str">
        <f>IF(ISTEXT(VLOOKUP(CONCATENATE($A61,"_",AH$3),'Unit List'!$A$14:$H$2841,2,FALSE)),"X",$AG61)</f>
        <v/>
      </c>
      <c r="AI61" s="51" t="str">
        <f>IF(ISTEXT(VLOOKUP(CONCATENATE($A61,"_",AI$3),'Unit List'!$A$14:$H$2841,2,FALSE)),"X",$AG61)</f>
        <v/>
      </c>
      <c r="AJ61" s="53" t="str">
        <f>IF(ISTEXT(VLOOKUP(CONCATENATE($A61,"_",AJ$3),'Unit List'!$A$14:$H$2841,2,FALSE)),"X",$AG61)</f>
        <v/>
      </c>
      <c r="AK61" s="172" t="str">
        <f>IF(ISTEXT(VLOOKUP(CONCATENATE($A61,"_",AK$3),'Unit List'!$A$14:$H$2841,2,FALSE)),"+","")</f>
        <v/>
      </c>
      <c r="AL61" s="52" t="str">
        <f>IF(ISTEXT(VLOOKUP(CONCATENATE($A61,"_",AL$3),'Unit List'!$A$14:$H$2841,2,FALSE)),"X",$AK61)</f>
        <v/>
      </c>
      <c r="AM61" s="53" t="str">
        <f>IF(ISTEXT(VLOOKUP(CONCATENATE($A61,"_",AM$3),'Unit List'!$A$14:$H$2841,2,FALSE)),"X",$AK61)</f>
        <v/>
      </c>
      <c r="AN61" s="125" t="str">
        <f>IF(ISTEXT(VLOOKUP(CONCATENATE($A61,"_",AN$3),'Unit List'!$A$14:$H$2841,2,FALSE)),"+","")</f>
        <v/>
      </c>
      <c r="AO61" s="53" t="str">
        <f>IF(ISTEXT(VLOOKUP(CONCATENATE($A61,"_",AO$3),'Unit List'!$A$14:$H$2841,2,FALSE)),"X",$AN61)</f>
        <v/>
      </c>
      <c r="AP61" s="172" t="str">
        <f>IF(ISTEXT(VLOOKUP(CONCATENATE($A61,"_",AP$3),'Unit List'!$A$14:$H$2841,2,FALSE)),"+","")</f>
        <v/>
      </c>
      <c r="AQ61" s="51" t="str">
        <f>IF(ISTEXT(VLOOKUP(CONCATENATE($A61,"_",AQ$3),'Unit List'!$A$14:$H$2841,2,FALSE)),"X",$AP61)</f>
        <v/>
      </c>
      <c r="AR61" s="51" t="str">
        <f>IF(ISTEXT(VLOOKUP(CONCATENATE($A61,"_",AR$3),'Unit List'!$A$14:$H$2841,2,FALSE)),"X",$AP61)</f>
        <v/>
      </c>
      <c r="AS61" s="51" t="str">
        <f>IF(ISTEXT(VLOOKUP(CONCATENATE($A61,"_",AS$3),'Unit List'!$A$14:$H$2841,2,FALSE)),"X",$AP61)</f>
        <v/>
      </c>
      <c r="AT61" s="53" t="str">
        <f>IF(ISTEXT(VLOOKUP(CONCATENATE($A61,"_",AT$3),'Unit List'!$A$14:$H$2841,2,FALSE)),"X",$AP61)</f>
        <v/>
      </c>
      <c r="AU61" s="124" t="str">
        <f>IF(ISTEXT(VLOOKUP(CONCATENATE($A61,"_",AU$3),'Unit List'!$A$14:$H$2841,2,FALSE)),"+","")</f>
        <v/>
      </c>
      <c r="AV61" s="51" t="str">
        <f>IF(ISTEXT(VLOOKUP(CONCATENATE($A61,"_",AV$3),'Unit List'!$A$14:$H$2841,2,FALSE)),"X",$AU61)</f>
        <v/>
      </c>
      <c r="AW61" s="53" t="str">
        <f>IF(ISTEXT(VLOOKUP(CONCATENATE($A61,"_",AW$3),'Unit List'!$A$14:$H$2841,2,FALSE)),"X",$AU61)</f>
        <v/>
      </c>
      <c r="AX61" s="172" t="str">
        <f>IF(ISTEXT(VLOOKUP(CONCATENATE($A61,"_",AX$3),'Unit List'!$A$14:$H$2841,2,FALSE)),"+","")</f>
        <v/>
      </c>
      <c r="AY61" s="51" t="str">
        <f>IF(ISTEXT(VLOOKUP(CONCATENATE($A61,"_",AY$3),'Unit List'!$A$14:$H$2841,2,FALSE)),"X",$AX61)</f>
        <v/>
      </c>
      <c r="AZ61" s="53" t="str">
        <f>IF(ISTEXT(VLOOKUP(CONCATENATE($A61,"_",AZ$3),'Unit List'!$A$14:$H$2841,2,FALSE)),"X",$AX61)</f>
        <v/>
      </c>
      <c r="BA61" s="182" t="str">
        <f>IF(ISTEXT(VLOOKUP(CONCATENATE($A61,"_",BA$3),'Unit List'!$A$14:$H$2841,2,FALSE)),"+","")</f>
        <v/>
      </c>
      <c r="BB61" s="51" t="str">
        <f>IF(ISTEXT(VLOOKUP(CONCATENATE($A61,"_",BB$3),'Unit List'!$A$14:$H$2841,2,FALSE)),"X",$BA61)</f>
        <v/>
      </c>
      <c r="BC61" s="51" t="str">
        <f>IF(ISTEXT(VLOOKUP(CONCATENATE($A61,"_",BC$3),'Unit List'!$A$14:$H$2841,2,FALSE)),"X",$BA61)</f>
        <v/>
      </c>
      <c r="BD61" s="53" t="str">
        <f>IF(ISTEXT(VLOOKUP(CONCATENATE($A61,"_",BD$3),'Unit List'!$A$14:$H$2841,2,FALSE)),"X",$BA61)</f>
        <v/>
      </c>
      <c r="BE61" s="125" t="str">
        <f>IF(ISTEXT(VLOOKUP(CONCATENATE($A61,"_",BE$3),'Unit List'!$A$14:$H$2841,2,FALSE)),"+","")</f>
        <v/>
      </c>
      <c r="BF61" s="62" t="str">
        <f>IF(ISTEXT(VLOOKUP(CONCATENATE($A61,"_",BF$3),'Unit List'!$A$14:$H$2841,2,FALSE)),"X",$BE61)</f>
        <v/>
      </c>
      <c r="BG61" s="75"/>
      <c r="BH61" s="84"/>
      <c r="BI61" s="203"/>
      <c r="BJ61" s="204"/>
      <c r="BK61" s="204"/>
      <c r="BL61" s="204"/>
      <c r="BM61" s="205"/>
      <c r="BN61" s="54"/>
      <c r="BO61" s="54"/>
      <c r="BP61" s="54"/>
      <c r="BQ61" s="54"/>
      <c r="BR61" s="54"/>
      <c r="BS61" s="54"/>
      <c r="DZ61" s="55"/>
      <c r="EA61" s="55"/>
    </row>
    <row r="62" spans="1:131" ht="12.75" customHeight="1" x14ac:dyDescent="0.2">
      <c r="A62" s="109" t="s">
        <v>1161</v>
      </c>
      <c r="B62" s="185" t="str">
        <f>IF(ISTEXT(VLOOKUP(CONCATENATE($A62,"_",B$3),'Unit List'!$A$14:$H$2841,2,FALSE)),"+","")</f>
        <v/>
      </c>
      <c r="C62" s="110" t="str">
        <f>IF(ISTEXT(VLOOKUP(CONCATENATE($A62,"_",C$3),'Unit List'!$A$14:$H$2841,2,FALSE)),"X",$B62)</f>
        <v/>
      </c>
      <c r="D62" s="111" t="str">
        <f>IF(ISTEXT(VLOOKUP(CONCATENATE($A62,"_",D$3),'Unit List'!$A$14:$H$2841,2,FALSE)),"X",$B62)</f>
        <v/>
      </c>
      <c r="E62" s="111" t="str">
        <f>IF(ISTEXT(VLOOKUP(CONCATENATE($A62,"_",E$3),'Unit List'!$A$14:$H$2841,2,FALSE)),"X",$B62)</f>
        <v/>
      </c>
      <c r="F62" s="111" t="str">
        <f>IF(ISTEXT(VLOOKUP(CONCATENATE($A62,"_",F$3),'Unit List'!$A$14:$H$2841,2,FALSE)),"X",$B62)</f>
        <v/>
      </c>
      <c r="G62" s="111" t="str">
        <f>IF(ISTEXT(VLOOKUP(CONCATENATE($A62,"_",G$3),'Unit List'!$A$14:$H$2841,2,FALSE)),"X",$B62)</f>
        <v/>
      </c>
      <c r="H62" s="111" t="str">
        <f>IF(ISTEXT(VLOOKUP(CONCATENATE($A62,"_",H$3),'Unit List'!$A$14:$H$2841,2,FALSE)),"X",$B62)</f>
        <v/>
      </c>
      <c r="I62" s="112" t="s">
        <v>0</v>
      </c>
      <c r="J62" s="173" t="str">
        <f>IF(ISTEXT(VLOOKUP(CONCATENATE($A62,"_",J$3),'Unit List'!$A$14:$H$2841,2,FALSE)),"+","")</f>
        <v/>
      </c>
      <c r="K62" s="111" t="str">
        <f>IF(ISTEXT(VLOOKUP(CONCATENATE($A62,"_",K$3),'Unit List'!$A$14:$H$2841,2,FALSE)),"X",$J62)</f>
        <v/>
      </c>
      <c r="L62" s="113" t="str">
        <f>IF(ISTEXT(VLOOKUP(CONCATENATE($A62,"_",L$3),'Unit List'!$A$14:$H$2841,2,FALSE)),"X",$J62)</f>
        <v/>
      </c>
      <c r="M62" s="173" t="str">
        <f>IF(ISTEXT(VLOOKUP(CONCATENATE($A62,"_",M$3),'Unit List'!$A$14:$H$2841,2,FALSE)),"+","")</f>
        <v/>
      </c>
      <c r="N62" s="111" t="str">
        <f>IF(ISTEXT(VLOOKUP(CONCATENATE($A62,"_",N$3),'Unit List'!$A$14:$H$2841,2,FALSE)),"X",$M62)</f>
        <v/>
      </c>
      <c r="O62" s="114" t="str">
        <f>IF(ISTEXT(VLOOKUP(CONCATENATE($A62,"_",O$3),'Unit List'!$A$14:$H$2841,2,FALSE)),"X",$M62)</f>
        <v/>
      </c>
      <c r="P62" s="173" t="str">
        <f>IF(ISTEXT(VLOOKUP(CONCATENATE($A62,"_",P$3),'Unit List'!$A$14:$H$2841,2,FALSE)),"+","")</f>
        <v/>
      </c>
      <c r="Q62" s="111" t="str">
        <f>IF(ISTEXT(VLOOKUP(CONCATENATE($A62,"_",Q$3),'Unit List'!$A$14:$H$2841,2,FALSE)),"X",$P62)</f>
        <v/>
      </c>
      <c r="R62" s="111" t="str">
        <f>IF(ISTEXT(VLOOKUP(CONCATENATE($A62,"_",R$3),'Unit List'!$A$14:$H$2841,2,FALSE)),"X",$P62)</f>
        <v/>
      </c>
      <c r="S62" s="111" t="str">
        <f>IF(ISTEXT(VLOOKUP(CONCATENATE($A62,"_",S$3),'Unit List'!$A$14:$H$2841,2,FALSE)),"X",$P62)</f>
        <v/>
      </c>
      <c r="T62" s="115" t="str">
        <f>IF(ISTEXT(VLOOKUP(CONCATENATE($A62,"_",T$3),'Unit List'!$A$14:$H$2841,2,FALSE)),"X",$P62)</f>
        <v/>
      </c>
      <c r="U62" s="111" t="str">
        <f>IF(ISTEXT(VLOOKUP(CONCATENATE($A62,"_",U$3),'Unit List'!$A$14:$H$2841,2,FALSE)),"X",$P62)</f>
        <v/>
      </c>
      <c r="V62" s="111" t="str">
        <f>IF(ISTEXT(VLOOKUP(CONCATENATE($A62,"_",V$3),'Unit List'!$A$14:$H$2841,2,FALSE)),"X",$P62)</f>
        <v/>
      </c>
      <c r="W62" s="114" t="str">
        <f>IF(ISTEXT(VLOOKUP(CONCATENATE($A62,"_",W$3),'Unit List'!$A$14:$H$2841,2,FALSE)),"X",$P62)</f>
        <v/>
      </c>
      <c r="X62" s="173" t="str">
        <f>IF(ISTEXT(VLOOKUP(CONCATENATE($A62,"_",X$3),'Unit List'!$A$14:$H$2841,2,FALSE)),"+","")</f>
        <v/>
      </c>
      <c r="Y62" s="111" t="str">
        <f>IF(ISTEXT(VLOOKUP(CONCATENATE($A62,"_",Y$3),'Unit List'!$A$14:$H$2841,2,FALSE)),"X",$X62)</f>
        <v/>
      </c>
      <c r="Z62" s="111" t="str">
        <f>IF(ISTEXT(VLOOKUP(CONCATENATE($A62,"_",Z$3),'Unit List'!$A$14:$H$2841,2,FALSE)),"X",$X62)</f>
        <v/>
      </c>
      <c r="AA62" s="111" t="str">
        <f>IF(ISTEXT(VLOOKUP(CONCATENATE($A62,"_",AA$3),'Unit List'!$A$14:$H$2841,2,FALSE)),"X",$X62)</f>
        <v/>
      </c>
      <c r="AB62" s="111" t="str">
        <f>IF(ISTEXT(VLOOKUP(CONCATENATE($A62,"_",AB$3),'Unit List'!$A$14:$H$2841,2,FALSE)),"X",$X62)</f>
        <v/>
      </c>
      <c r="AC62" s="113" t="str">
        <f>IF(ISTEXT(VLOOKUP(CONCATENATE($A62,"_",AC$3),'Unit List'!$A$14:$H$2841,2,FALSE)),"X",$X62)</f>
        <v/>
      </c>
      <c r="AD62" s="173" t="str">
        <f>IF(ISTEXT(VLOOKUP(CONCATENATE($A62,"_",AD$3),'Unit List'!$A$14:$H$2841,2,FALSE)),"+","")</f>
        <v/>
      </c>
      <c r="AE62" s="111" t="str">
        <f>IF(ISTEXT(VLOOKUP(CONCATENATE($A62,"_",AE$3),'Unit List'!$A$14:$H$2841,2,FALSE)),"X",$AD62)</f>
        <v/>
      </c>
      <c r="AF62" s="114" t="str">
        <f>IF(ISTEXT(VLOOKUP(CONCATENATE($A62,"_",AF$3),'Unit List'!$A$14:$H$2841,2,FALSE)),"X",$AD62)</f>
        <v/>
      </c>
      <c r="AG62" s="173" t="str">
        <f>IF(ISTEXT(VLOOKUP(CONCATENATE($A62,"_",AG$3),'Unit List'!$A$14:$H$2841,2,FALSE)),"+","")</f>
        <v/>
      </c>
      <c r="AH62" s="111" t="str">
        <f>IF(ISTEXT(VLOOKUP(CONCATENATE($A62,"_",AH$3),'Unit List'!$A$14:$H$2841,2,FALSE)),"X",$AG62)</f>
        <v/>
      </c>
      <c r="AI62" s="111" t="str">
        <f>IF(ISTEXT(VLOOKUP(CONCATENATE($A62,"_",AI$3),'Unit List'!$A$14:$H$2841,2,FALSE)),"X",$AG62)</f>
        <v/>
      </c>
      <c r="AJ62" s="114" t="str">
        <f>IF(ISTEXT(VLOOKUP(CONCATENATE($A62,"_",AJ$3),'Unit List'!$A$14:$H$2841,2,FALSE)),"X",$AG62)</f>
        <v/>
      </c>
      <c r="AK62" s="173" t="str">
        <f>IF(ISTEXT(VLOOKUP(CONCATENATE($A62,"_",AK$3),'Unit List'!$A$14:$H$2841,2,FALSE)),"+","")</f>
        <v/>
      </c>
      <c r="AL62" s="115" t="str">
        <f>IF(ISTEXT(VLOOKUP(CONCATENATE($A62,"_",AL$3),'Unit List'!$A$14:$H$2841,2,FALSE)),"X",$AK62)</f>
        <v/>
      </c>
      <c r="AM62" s="114" t="str">
        <f>IF(ISTEXT(VLOOKUP(CONCATENATE($A62,"_",AM$3),'Unit List'!$A$14:$H$2841,2,FALSE)),"X",$AK62)</f>
        <v/>
      </c>
      <c r="AN62" s="186" t="str">
        <f>IF(ISTEXT(VLOOKUP(CONCATENATE($A62,"_",AN$3),'Unit List'!$A$14:$H$2841,2,FALSE)),"+","")</f>
        <v/>
      </c>
      <c r="AO62" s="114" t="str">
        <f>IF(ISTEXT(VLOOKUP(CONCATENATE($A62,"_",AO$3),'Unit List'!$A$14:$H$2841,2,FALSE)),"X",$AN62)</f>
        <v/>
      </c>
      <c r="AP62" s="173" t="str">
        <f>IF(ISTEXT(VLOOKUP(CONCATENATE($A62,"_",AP$3),'Unit List'!$A$14:$H$2841,2,FALSE)),"+","")</f>
        <v/>
      </c>
      <c r="AQ62" s="111" t="str">
        <f>IF(ISTEXT(VLOOKUP(CONCATENATE($A62,"_",AQ$3),'Unit List'!$A$14:$H$2841,2,FALSE)),"X",$AP62)</f>
        <v/>
      </c>
      <c r="AR62" s="111" t="str">
        <f>IF(ISTEXT(VLOOKUP(CONCATENATE($A62,"_",AR$3),'Unit List'!$A$14:$H$2841,2,FALSE)),"X",$AP62)</f>
        <v/>
      </c>
      <c r="AS62" s="111" t="str">
        <f>IF(ISTEXT(VLOOKUP(CONCATENATE($A62,"_",AS$3),'Unit List'!$A$14:$H$2841,2,FALSE)),"X",$AP62)</f>
        <v/>
      </c>
      <c r="AT62" s="114" t="str">
        <f>IF(ISTEXT(VLOOKUP(CONCATENATE($A62,"_",AT$3),'Unit List'!$A$14:$H$2841,2,FALSE)),"X",$AP62)</f>
        <v/>
      </c>
      <c r="AU62" s="187" t="str">
        <f>IF(ISTEXT(VLOOKUP(CONCATENATE($A62,"_",AU$3),'Unit List'!$A$14:$H$2841,2,FALSE)),"+","")</f>
        <v/>
      </c>
      <c r="AV62" s="111" t="str">
        <f>IF(ISTEXT(VLOOKUP(CONCATENATE($A62,"_",AV$3),'Unit List'!$A$14:$H$2841,2,FALSE)),"X",$AU62)</f>
        <v/>
      </c>
      <c r="AW62" s="114" t="str">
        <f>IF(ISTEXT(VLOOKUP(CONCATENATE($A62,"_",AW$3),'Unit List'!$A$14:$H$2841,2,FALSE)),"X",$AU62)</f>
        <v/>
      </c>
      <c r="AX62" s="173" t="str">
        <f>IF(ISTEXT(VLOOKUP(CONCATENATE($A62,"_",AX$3),'Unit List'!$A$14:$H$2841,2,FALSE)),"+","")</f>
        <v/>
      </c>
      <c r="AY62" s="111" t="str">
        <f>IF(ISTEXT(VLOOKUP(CONCATENATE($A62,"_",AY$3),'Unit List'!$A$14:$H$2841,2,FALSE)),"X",$AX62)</f>
        <v/>
      </c>
      <c r="AZ62" s="114" t="str">
        <f>IF(ISTEXT(VLOOKUP(CONCATENATE($A62,"_",AZ$3),'Unit List'!$A$14:$H$2841,2,FALSE)),"X",$AX62)</f>
        <v/>
      </c>
      <c r="BA62" s="188" t="str">
        <f>IF(ISTEXT(VLOOKUP(CONCATENATE($A62,"_",BA$3),'Unit List'!$A$14:$H$2841,2,FALSE)),"+","")</f>
        <v/>
      </c>
      <c r="BB62" s="111" t="str">
        <f>IF(ISTEXT(VLOOKUP(CONCATENATE($A62,"_",BB$3),'Unit List'!$A$14:$H$2841,2,FALSE)),"X",$BA62)</f>
        <v/>
      </c>
      <c r="BC62" s="111" t="str">
        <f>IF(ISTEXT(VLOOKUP(CONCATENATE($A62,"_",BC$3),'Unit List'!$A$14:$H$2841,2,FALSE)),"X",$BA62)</f>
        <v/>
      </c>
      <c r="BD62" s="114" t="str">
        <f>IF(ISTEXT(VLOOKUP(CONCATENATE($A62,"_",BD$3),'Unit List'!$A$14:$H$2841,2,FALSE)),"X",$BA62)</f>
        <v/>
      </c>
      <c r="BE62" s="186" t="str">
        <f>IF(ISTEXT(VLOOKUP(CONCATENATE($A62,"_",BE$3),'Unit List'!$A$14:$H$2841,2,FALSE)),"+","")</f>
        <v/>
      </c>
      <c r="BF62" s="113" t="str">
        <f>IF(ISTEXT(VLOOKUP(CONCATENATE($A62,"_",BF$3),'Unit List'!$A$14:$H$2841,2,FALSE)),"X",$BE62)</f>
        <v/>
      </c>
      <c r="BG62" s="116"/>
      <c r="BH62" s="117"/>
      <c r="BI62" s="211"/>
      <c r="BJ62" s="214"/>
      <c r="BK62" s="214"/>
      <c r="BL62" s="214"/>
      <c r="BM62" s="215"/>
      <c r="BN62" s="54"/>
      <c r="BO62" s="54"/>
      <c r="BP62" s="54"/>
      <c r="BQ62" s="54"/>
      <c r="BR62" s="54"/>
      <c r="BS62" s="54"/>
      <c r="DZ62" s="55"/>
      <c r="EA62" s="55"/>
    </row>
    <row r="63" spans="1:131" ht="12.75" customHeight="1" x14ac:dyDescent="0.2">
      <c r="A63" s="118" t="s">
        <v>1913</v>
      </c>
      <c r="B63" s="181"/>
      <c r="C63" s="119"/>
      <c r="D63" s="120"/>
      <c r="E63" s="120"/>
      <c r="F63" s="120"/>
      <c r="G63" s="120"/>
      <c r="H63" s="120"/>
      <c r="I63" s="75"/>
      <c r="J63" s="172"/>
      <c r="K63" s="121"/>
      <c r="L63" s="122"/>
      <c r="M63" s="182" t="str">
        <f>IF(ISTEXT(VLOOKUP(CONCATENATE($A63,"_",M$3),'Unit List'!$A$14:$H$2841,2,FALSE)),"+","")</f>
        <v/>
      </c>
      <c r="N63" s="120"/>
      <c r="O63" s="75"/>
      <c r="P63" s="182"/>
      <c r="Q63" s="120"/>
      <c r="R63" s="120"/>
      <c r="S63" s="121"/>
      <c r="T63" s="121"/>
      <c r="U63" s="120"/>
      <c r="V63" s="120"/>
      <c r="W63" s="75"/>
      <c r="X63" s="182"/>
      <c r="Y63" s="120"/>
      <c r="Z63" s="191"/>
      <c r="AA63" s="191"/>
      <c r="AB63" s="120"/>
      <c r="AC63" s="75"/>
      <c r="AD63" s="182"/>
      <c r="AE63" s="120"/>
      <c r="AF63" s="123"/>
      <c r="AG63" s="182"/>
      <c r="AH63" s="120"/>
      <c r="AI63" s="120"/>
      <c r="AJ63" s="75"/>
      <c r="AK63" s="192"/>
      <c r="AL63" s="191"/>
      <c r="AM63" s="75"/>
      <c r="AN63" s="192"/>
      <c r="AO63" s="193"/>
      <c r="AP63" s="182"/>
      <c r="AQ63" s="120"/>
      <c r="AR63" s="120"/>
      <c r="AS63" s="120"/>
      <c r="AT63" s="75"/>
      <c r="AU63" s="124"/>
      <c r="AV63" s="120"/>
      <c r="AW63" s="122"/>
      <c r="AX63" s="182"/>
      <c r="AY63" s="120"/>
      <c r="AZ63" s="75"/>
      <c r="BA63" s="182"/>
      <c r="BB63" s="120"/>
      <c r="BC63" s="120"/>
      <c r="BD63" s="122"/>
      <c r="BE63" s="125"/>
      <c r="BF63" s="122"/>
      <c r="BG63" s="75"/>
      <c r="BH63" s="65"/>
      <c r="BI63" s="216"/>
      <c r="BJ63" s="217"/>
      <c r="BK63" s="217"/>
      <c r="BL63" s="217"/>
      <c r="BM63" s="218"/>
      <c r="BN63" s="54"/>
      <c r="BO63" s="54"/>
      <c r="BP63" s="54"/>
      <c r="BQ63" s="54"/>
      <c r="BR63" s="54"/>
      <c r="BS63" s="54"/>
      <c r="DZ63" s="55"/>
      <c r="EA63" s="55"/>
    </row>
    <row r="64" spans="1:131" ht="12.75" customHeight="1" x14ac:dyDescent="0.2">
      <c r="A64" s="126" t="s">
        <v>6</v>
      </c>
      <c r="B64" s="181" t="str">
        <f>IF(ISTEXT(VLOOKUP(CONCATENATE($A64,"_",B$3),'Unit List'!$A$14:$H$2841,2,FALSE)),"+","")</f>
        <v/>
      </c>
      <c r="C64" s="119" t="str">
        <f>IF(ISTEXT(VLOOKUP(CONCATENATE($A64,"_",C$3),'Unit List'!$A$14:$H$2841,2,FALSE)),"X",$B64)</f>
        <v/>
      </c>
      <c r="D64" s="120" t="str">
        <f>IF(ISTEXT(VLOOKUP(CONCATENATE($A64,"_",D$3),'Unit List'!$A$14:$H$2841,2,FALSE)),"X",$B64)</f>
        <v/>
      </c>
      <c r="E64" s="120" t="str">
        <f>IF(ISTEXT(VLOOKUP(CONCATENATE($A64,"_",E$3),'Unit List'!$A$14:$H$2841,2,FALSE)),"X",$B64)</f>
        <v/>
      </c>
      <c r="F64" s="120" t="str">
        <f>IF(ISTEXT(VLOOKUP(CONCATENATE($A64,"_",F$3),'Unit List'!$A$14:$H$2841,2,FALSE)),"X",$B64)</f>
        <v/>
      </c>
      <c r="G64" s="120" t="str">
        <f>IF(ISTEXT(VLOOKUP(CONCATENATE($A64,"_",G$3),'Unit List'!$A$14:$H$2841,2,FALSE)),"X",$B64)</f>
        <v/>
      </c>
      <c r="H64" s="120" t="str">
        <f>IF(ISTEXT(VLOOKUP(CONCATENATE($A64,"_",H$3),'Unit List'!$A$14:$H$2841,2,FALSE)),"X",$B64)</f>
        <v/>
      </c>
      <c r="I64" s="122" t="str">
        <f>IF(ISTEXT(VLOOKUP(CONCATENATE($A64,"_",I$3),'Unit List'!$A$14:$H$2841,2,FALSE)),"X",$B64)</f>
        <v/>
      </c>
      <c r="J64" s="172" t="str">
        <f>IF(ISTEXT(VLOOKUP(CONCATENATE($A64,"_",J$3),'Unit List'!$A$14:$H$2841,2,FALSE)),"+","")</f>
        <v/>
      </c>
      <c r="K64" s="120" t="str">
        <f>IF(ISTEXT(VLOOKUP(CONCATENATE($A64,"_",K$3),'Unit List'!$A$14:$H$2841,2,FALSE)),"X",$J64)</f>
        <v/>
      </c>
      <c r="L64" s="75" t="str">
        <f>IF(ISTEXT(VLOOKUP(CONCATENATE($A64,"_",L$3),'Unit List'!$A$14:$H$2841,2,FALSE)),"X",$J64)</f>
        <v/>
      </c>
      <c r="M64" s="172" t="str">
        <f>IF(ISTEXT(VLOOKUP(CONCATENATE($A64,"_",M$3),'Unit List'!$A$14:$H$2841,2,FALSE)),"+","")</f>
        <v/>
      </c>
      <c r="N64" s="120" t="str">
        <f>IF(ISTEXT(VLOOKUP(CONCATENATE($A64,"_",N$3),'Unit List'!$A$14:$H$2841,2,FALSE)),"X",$M64)</f>
        <v/>
      </c>
      <c r="O64" s="122" t="str">
        <f>IF(ISTEXT(VLOOKUP(CONCATENATE($A64,"_",O$3),'Unit List'!$A$14:$H$2841,2,FALSE)),"X",$M64)</f>
        <v/>
      </c>
      <c r="P64" s="172" t="str">
        <f>IF(ISTEXT(VLOOKUP(CONCATENATE($A64,"_",P$3),'Unit List'!$A$14:$H$2841,2,FALSE)),"+","")</f>
        <v/>
      </c>
      <c r="Q64" s="120" t="str">
        <f>IF(ISTEXT(VLOOKUP(CONCATENATE($A64,"_",Q$3),'Unit List'!$A$14:$H$2841,2,FALSE)),"X",$P64)</f>
        <v/>
      </c>
      <c r="R64" s="120" t="str">
        <f>IF(ISTEXT(VLOOKUP(CONCATENATE($A64,"_",R$3),'Unit List'!$A$14:$H$2841,2,FALSE)),"X",$P64)</f>
        <v/>
      </c>
      <c r="S64" s="120" t="str">
        <f>IF(ISTEXT(VLOOKUP(CONCATENATE($A64,"_",S$3),'Unit List'!$A$14:$H$2841,2,FALSE)),"X",$P64)</f>
        <v/>
      </c>
      <c r="T64" s="121" t="str">
        <f>IF(ISTEXT(VLOOKUP(CONCATENATE($A64,"_",T$3),'Unit List'!$A$14:$H$2841,2,FALSE)),"X",$P64)</f>
        <v/>
      </c>
      <c r="U64" s="120" t="str">
        <f>IF(ISTEXT(VLOOKUP(CONCATENATE($A64,"_",U$3),'Unit List'!$A$14:$H$2841,2,FALSE)),"X",$P64)</f>
        <v/>
      </c>
      <c r="V64" s="120" t="str">
        <f>IF(ISTEXT(VLOOKUP(CONCATENATE($A64,"_",V$3),'Unit List'!$A$14:$H$2841,2,FALSE)),"X",$P64)</f>
        <v/>
      </c>
      <c r="W64" s="122" t="str">
        <f>IF(ISTEXT(VLOOKUP(CONCATENATE($A64,"_",W$3),'Unit List'!$A$14:$H$2841,2,FALSE)),"X",$P64)</f>
        <v/>
      </c>
      <c r="X64" s="172" t="str">
        <f>IF(ISTEXT(VLOOKUP(CONCATENATE($A64,"_",X$3),'Unit List'!$A$14:$H$2841,2,FALSE)),"+","")</f>
        <v/>
      </c>
      <c r="Y64" s="120" t="str">
        <f>IF(ISTEXT(VLOOKUP(CONCATENATE($A64,"_",Y$3),'Unit List'!$A$14:$H$2841,2,FALSE)),"X",$X64)</f>
        <v/>
      </c>
      <c r="Z64" s="120" t="str">
        <f>IF(ISTEXT(VLOOKUP(CONCATENATE($A64,"_",Z$3),'Unit List'!$A$14:$H$2841,2,FALSE)),"X",$X64)</f>
        <v/>
      </c>
      <c r="AA64" s="120" t="str">
        <f>IF(ISTEXT(VLOOKUP(CONCATENATE($A64,"_",AA$3),'Unit List'!$A$14:$H$2841,2,FALSE)),"X",$X64)</f>
        <v/>
      </c>
      <c r="AB64" s="120" t="str">
        <f>IF(ISTEXT(VLOOKUP(CONCATENATE($A64,"_",AB$3),'Unit List'!$A$14:$H$2841,2,FALSE)),"X",$X64)</f>
        <v/>
      </c>
      <c r="AC64" s="75" t="str">
        <f>IF(ISTEXT(VLOOKUP(CONCATENATE($A64,"_",AC$3),'Unit List'!$A$14:$H$2841,2,FALSE)),"X",$X64)</f>
        <v/>
      </c>
      <c r="AD64" s="172" t="str">
        <f>IF(ISTEXT(VLOOKUP(CONCATENATE($A64,"_",AD$3),'Unit List'!$A$14:$H$2841,2,FALSE)),"+","")</f>
        <v/>
      </c>
      <c r="AE64" s="120" t="str">
        <f>IF(ISTEXT(VLOOKUP(CONCATENATE($A64,"_",AE$3),'Unit List'!$A$14:$H$2841,2,FALSE)),"X",$AD64)</f>
        <v/>
      </c>
      <c r="AF64" s="120" t="str">
        <f>IF(ISTEXT(VLOOKUP(CONCATENATE($A64,"_",AF$3),'Unit List'!$A$14:$H$2841,2,FALSE)),"X",$AD64)</f>
        <v/>
      </c>
      <c r="AG64" s="172" t="str">
        <f>IF(ISTEXT(VLOOKUP(CONCATENATE($A64,"_",AG$3),'Unit List'!$A$14:$H$2841,2,FALSE)),"+","")</f>
        <v/>
      </c>
      <c r="AH64" s="120" t="str">
        <f>IF(ISTEXT(VLOOKUP(CONCATENATE($A64,"_",AH$3),'Unit List'!$A$14:$H$2841,2,FALSE)),"X",$AG64)</f>
        <v/>
      </c>
      <c r="AI64" s="120" t="str">
        <f>IF(ISTEXT(VLOOKUP(CONCATENATE($A64,"_",AI$3),'Unit List'!$A$14:$H$2841,2,FALSE)),"X",$AG64)</f>
        <v/>
      </c>
      <c r="AJ64" s="122" t="str">
        <f>IF(ISTEXT(VLOOKUP(CONCATENATE($A64,"_",AJ$3),'Unit List'!$A$14:$H$2841,2,FALSE)),"X",$AG64)</f>
        <v/>
      </c>
      <c r="AK64" s="172" t="str">
        <f>IF(ISTEXT(VLOOKUP(CONCATENATE($A64,"_",AK$3),'Unit List'!$A$14:$H$2841,2,FALSE)),"+","")</f>
        <v/>
      </c>
      <c r="AL64" s="121" t="str">
        <f>IF(ISTEXT(VLOOKUP(CONCATENATE($A64,"_",AL$3),'Unit List'!$A$14:$H$2841,2,FALSE)),"X",$AK64)</f>
        <v/>
      </c>
      <c r="AM64" s="122" t="str">
        <f>IF(ISTEXT(VLOOKUP(CONCATENATE($A64,"_",AM$3),'Unit List'!$A$14:$H$2841,2,FALSE)),"X",$AK64)</f>
        <v/>
      </c>
      <c r="AN64" s="125" t="str">
        <f>IF(ISTEXT(VLOOKUP(CONCATENATE($A64,"_",AN$3),'Unit List'!$A$14:$H$2841,2,FALSE)),"+","")</f>
        <v/>
      </c>
      <c r="AO64" s="122" t="str">
        <f>IF(ISTEXT(VLOOKUP(CONCATENATE($A64,"_",AO$3),'Unit List'!$A$14:$H$2841,2,FALSE)),"X",$AN64)</f>
        <v/>
      </c>
      <c r="AP64" s="172" t="str">
        <f>IF(ISTEXT(VLOOKUP(CONCATENATE($A64,"_",AP$3),'Unit List'!$A$14:$H$2841,2,FALSE)),"+","")</f>
        <v/>
      </c>
      <c r="AQ64" s="120" t="str">
        <f>IF(ISTEXT(VLOOKUP(CONCATENATE($A64,"_",AQ$3),'Unit List'!$A$14:$H$2841,2,FALSE)),"X",$AP64)</f>
        <v/>
      </c>
      <c r="AR64" s="120" t="str">
        <f>IF(ISTEXT(VLOOKUP(CONCATENATE($A64,"_",AR$3),'Unit List'!$A$14:$H$2841,2,FALSE)),"X",$AP64)</f>
        <v/>
      </c>
      <c r="AS64" s="120" t="str">
        <f>IF(ISTEXT(VLOOKUP(CONCATENATE($A64,"_",AS$3),'Unit List'!$A$14:$H$2841,2,FALSE)),"X",$AP64)</f>
        <v/>
      </c>
      <c r="AT64" s="122" t="str">
        <f>IF(ISTEXT(VLOOKUP(CONCATENATE($A64,"_",AT$3),'Unit List'!$A$14:$H$2841,2,FALSE)),"X",$AP64)</f>
        <v/>
      </c>
      <c r="AU64" s="124" t="str">
        <f>IF(ISTEXT(VLOOKUP(CONCATENATE($A64,"_",AU$3),'Unit List'!$A$14:$H$2841,2,FALSE)),"+","")</f>
        <v/>
      </c>
      <c r="AV64" s="120" t="str">
        <f>IF(ISTEXT(VLOOKUP(CONCATENATE($A64,"_",AV$3),'Unit List'!$A$14:$H$2841,2,FALSE)),"X",$AU64)</f>
        <v/>
      </c>
      <c r="AW64" s="122" t="str">
        <f>IF(ISTEXT(VLOOKUP(CONCATENATE($A64,"_",AW$3),'Unit List'!$A$14:$H$2841,2,FALSE)),"X",$AU64)</f>
        <v/>
      </c>
      <c r="AX64" s="172" t="str">
        <f>IF(ISTEXT(VLOOKUP(CONCATENATE($A64,"_",AX$3),'Unit List'!$A$14:$H$2841,2,FALSE)),"+","")</f>
        <v/>
      </c>
      <c r="AY64" s="120" t="str">
        <f>IF(ISTEXT(VLOOKUP(CONCATENATE($A64,"_",AY$3),'Unit List'!$A$14:$H$2841,2,FALSE)),"X",$AX64)</f>
        <v/>
      </c>
      <c r="AZ64" s="122" t="str">
        <f>IF(ISTEXT(VLOOKUP(CONCATENATE($A64,"_",AZ$3),'Unit List'!$A$14:$H$2841,2,FALSE)),"X",$AX64)</f>
        <v/>
      </c>
      <c r="BA64" s="172" t="str">
        <f>IF(ISTEXT(VLOOKUP(CONCATENATE($A64,"_",BA$3),'Unit List'!$A$14:$H$2841,2,FALSE)),"+","")</f>
        <v/>
      </c>
      <c r="BB64" s="120" t="str">
        <f>IF(ISTEXT(VLOOKUP(CONCATENATE($A64,"_",BB$3),'Unit List'!$A$14:$H$2841,2,FALSE)),"X",$BA64)</f>
        <v/>
      </c>
      <c r="BC64" s="120" t="str">
        <f>IF(ISTEXT(VLOOKUP(CONCATENATE($A64,"_",BC$3),'Unit List'!$A$14:$H$2841,2,FALSE)),"X",$BA64)</f>
        <v/>
      </c>
      <c r="BD64" s="122" t="str">
        <f>IF(ISTEXT(VLOOKUP(CONCATENATE($A64,"_",BD$3),'Unit List'!$A$14:$H$2841,2,FALSE)),"X",$BA64)</f>
        <v/>
      </c>
      <c r="BE64" s="125" t="str">
        <f>IF(ISTEXT(VLOOKUP(CONCATENATE($A64,"_",BE$3),'Unit List'!$A$14:$H$2841,2,FALSE)),"+","")</f>
        <v/>
      </c>
      <c r="BF64" s="75" t="str">
        <f>IF(ISTEXT(VLOOKUP(CONCATENATE($A64,"_",BF$3),'Unit List'!$A$14:$H$2841,2,FALSE)),"X",$BE64)</f>
        <v/>
      </c>
      <c r="BG64" s="64" t="s">
        <v>0</v>
      </c>
      <c r="BH64" s="65" t="s">
        <v>0</v>
      </c>
      <c r="BI64" s="203"/>
      <c r="BJ64" s="204"/>
      <c r="BK64" s="204"/>
      <c r="BL64" s="204"/>
      <c r="BM64" s="205"/>
      <c r="BN64" s="127"/>
      <c r="BO64" s="127"/>
      <c r="BP64" s="54"/>
      <c r="BQ64" s="54"/>
      <c r="BR64" s="54"/>
      <c r="BS64" s="54"/>
      <c r="BT64" s="54"/>
      <c r="BU64" s="54"/>
      <c r="DZ64" s="55"/>
      <c r="EA64" s="55"/>
    </row>
    <row r="65" spans="1:131" ht="12.75" customHeight="1" x14ac:dyDescent="0.2">
      <c r="A65" s="128" t="s">
        <v>1113</v>
      </c>
      <c r="B65" s="181" t="str">
        <f>IF(ISTEXT(VLOOKUP(CONCATENATE($A65,"_",B$3),'Unit List'!$A$14:$H$2841,2,FALSE)),"+","")</f>
        <v/>
      </c>
      <c r="C65" s="119" t="str">
        <f>IF(ISTEXT(VLOOKUP(CONCATENATE($A65,"_",C$3),'Unit List'!$A$14:$H$2841,2,FALSE)),"X",$B65)</f>
        <v/>
      </c>
      <c r="D65" s="120" t="str">
        <f>IF(ISTEXT(VLOOKUP(CONCATENATE($A65,"_",D$3),'Unit List'!$A$14:$H$2841,2,FALSE)),"X",$B65)</f>
        <v/>
      </c>
      <c r="E65" s="120" t="str">
        <f>IF(ISTEXT(VLOOKUP(CONCATENATE($A65,"_",E$3),'Unit List'!$A$14:$H$2841,2,FALSE)),"X",$B65)</f>
        <v/>
      </c>
      <c r="F65" s="120" t="str">
        <f>IF(ISTEXT(VLOOKUP(CONCATENATE($A65,"_",F$3),'Unit List'!$A$14:$H$2841,2,FALSE)),"X",$B65)</f>
        <v/>
      </c>
      <c r="G65" s="120" t="str">
        <f>IF(ISTEXT(VLOOKUP(CONCATENATE($A65,"_",G$3),'Unit List'!$A$14:$H$2841,2,FALSE)),"X",$B65)</f>
        <v/>
      </c>
      <c r="H65" s="120" t="str">
        <f>IF(ISTEXT(VLOOKUP(CONCATENATE($A65,"_",H$3),'Unit List'!$A$14:$H$2841,2,FALSE)),"X",$B65)</f>
        <v/>
      </c>
      <c r="I65" s="122" t="str">
        <f>IF(ISTEXT(VLOOKUP(CONCATENATE($A65,"_",I$3),'Unit List'!$A$14:$H$2841,2,FALSE)),"X",$B65)</f>
        <v/>
      </c>
      <c r="J65" s="172" t="str">
        <f>IF(ISTEXT(VLOOKUP(CONCATENATE($A65,"_",J$3),'Unit List'!$A$14:$H$2841,2,FALSE)),"+","")</f>
        <v/>
      </c>
      <c r="K65" s="120" t="str">
        <f>IF(ISTEXT(VLOOKUP(CONCATENATE($A65,"_",K$3),'Unit List'!$A$14:$H$2841,2,FALSE)),"X",$J65)</f>
        <v/>
      </c>
      <c r="L65" s="75" t="str">
        <f>IF(ISTEXT(VLOOKUP(CONCATENATE($A65,"_",L$3),'Unit List'!$A$14:$H$2841,2,FALSE)),"X",$J65)</f>
        <v/>
      </c>
      <c r="M65" s="172" t="str">
        <f>IF(ISTEXT(VLOOKUP(CONCATENATE($A65,"_",M$3),'Unit List'!$A$14:$H$2841,2,FALSE)),"+","")</f>
        <v/>
      </c>
      <c r="N65" s="120" t="str">
        <f>IF(ISTEXT(VLOOKUP(CONCATENATE($A65,"_",N$3),'Unit List'!$A$14:$H$2841,2,FALSE)),"X",$M65)</f>
        <v/>
      </c>
      <c r="O65" s="122" t="str">
        <f>IF(ISTEXT(VLOOKUP(CONCATENATE($A65,"_",O$3),'Unit List'!$A$14:$H$2841,2,FALSE)),"X",$M65)</f>
        <v/>
      </c>
      <c r="P65" s="172" t="str">
        <f>IF(ISTEXT(VLOOKUP(CONCATENATE($A65,"_",P$3),'Unit List'!$A$14:$H$2841,2,FALSE)),"+","")</f>
        <v/>
      </c>
      <c r="Q65" s="120" t="str">
        <f>IF(ISTEXT(VLOOKUP(CONCATENATE($A65,"_",Q$3),'Unit List'!$A$14:$H$2841,2,FALSE)),"X",$P65)</f>
        <v/>
      </c>
      <c r="R65" s="120" t="str">
        <f>IF(ISTEXT(VLOOKUP(CONCATENATE($A65,"_",R$3),'Unit List'!$A$14:$H$2841,2,FALSE)),"X",$P65)</f>
        <v/>
      </c>
      <c r="S65" s="120" t="str">
        <f>IF(ISTEXT(VLOOKUP(CONCATENATE($A65,"_",S$3),'Unit List'!$A$14:$H$2841,2,FALSE)),"X",$P65)</f>
        <v/>
      </c>
      <c r="T65" s="121" t="str">
        <f>IF(ISTEXT(VLOOKUP(CONCATENATE($A65,"_",T$3),'Unit List'!$A$14:$H$2841,2,FALSE)),"X",$P65)</f>
        <v/>
      </c>
      <c r="U65" s="120" t="str">
        <f>IF(ISTEXT(VLOOKUP(CONCATENATE($A65,"_",U$3),'Unit List'!$A$14:$H$2841,2,FALSE)),"X",$P65)</f>
        <v/>
      </c>
      <c r="V65" s="120" t="str">
        <f>IF(ISTEXT(VLOOKUP(CONCATENATE($A65,"_",V$3),'Unit List'!$A$14:$H$2841,2,FALSE)),"X",$P65)</f>
        <v/>
      </c>
      <c r="W65" s="122" t="str">
        <f>IF(ISTEXT(VLOOKUP(CONCATENATE($A65,"_",W$3),'Unit List'!$A$14:$H$2841,2,FALSE)),"X",$P65)</f>
        <v/>
      </c>
      <c r="X65" s="172" t="str">
        <f>IF(ISTEXT(VLOOKUP(CONCATENATE($A65,"_",X$3),'Unit List'!$A$14:$H$2841,2,FALSE)),"+","")</f>
        <v/>
      </c>
      <c r="Y65" s="120" t="str">
        <f>IF(ISTEXT(VLOOKUP(CONCATENATE($A65,"_",Y$3),'Unit List'!$A$14:$H$2841,2,FALSE)),"X",$X65)</f>
        <v/>
      </c>
      <c r="Z65" s="120" t="str">
        <f>IF(ISTEXT(VLOOKUP(CONCATENATE($A65,"_",Z$3),'Unit List'!$A$14:$H$2841,2,FALSE)),"X",$X65)</f>
        <v/>
      </c>
      <c r="AA65" s="120" t="str">
        <f>IF(ISTEXT(VLOOKUP(CONCATENATE($A65,"_",AA$3),'Unit List'!$A$14:$H$2841,2,FALSE)),"X",$X65)</f>
        <v/>
      </c>
      <c r="AB65" s="120" t="str">
        <f>IF(ISTEXT(VLOOKUP(CONCATENATE($A65,"_",AB$3),'Unit List'!$A$14:$H$2841,2,FALSE)),"X",$X65)</f>
        <v/>
      </c>
      <c r="AC65" s="75" t="str">
        <f>IF(ISTEXT(VLOOKUP(CONCATENATE($A65,"_",AC$3),'Unit List'!$A$14:$H$2841,2,FALSE)),"X",$X65)</f>
        <v/>
      </c>
      <c r="AD65" s="172" t="str">
        <f>IF(ISTEXT(VLOOKUP(CONCATENATE($A65,"_",AD$3),'Unit List'!$A$14:$H$2841,2,FALSE)),"+","")</f>
        <v/>
      </c>
      <c r="AE65" s="120" t="str">
        <f>IF(ISTEXT(VLOOKUP(CONCATENATE($A65,"_",AE$3),'Unit List'!$A$14:$H$2841,2,FALSE)),"X",$AD65)</f>
        <v/>
      </c>
      <c r="AF65" s="120" t="str">
        <f>IF(ISTEXT(VLOOKUP(CONCATENATE($A65,"_",AF$3),'Unit List'!$A$14:$H$2841,2,FALSE)),"X",$AD65)</f>
        <v/>
      </c>
      <c r="AG65" s="172" t="str">
        <f>IF(ISTEXT(VLOOKUP(CONCATENATE($A65,"_",AG$3),'Unit List'!$A$14:$H$2841,2,FALSE)),"+","")</f>
        <v/>
      </c>
      <c r="AH65" s="120" t="str">
        <f>IF(ISTEXT(VLOOKUP(CONCATENATE($A65,"_",AH$3),'Unit List'!$A$14:$H$2841,2,FALSE)),"X",$AG65)</f>
        <v/>
      </c>
      <c r="AI65" s="120" t="str">
        <f>IF(ISTEXT(VLOOKUP(CONCATENATE($A65,"_",AI$3),'Unit List'!$A$14:$H$2841,2,FALSE)),"X",$AG65)</f>
        <v/>
      </c>
      <c r="AJ65" s="122" t="str">
        <f>IF(ISTEXT(VLOOKUP(CONCATENATE($A65,"_",AJ$3),'Unit List'!$A$14:$H$2841,2,FALSE)),"X",$AG65)</f>
        <v/>
      </c>
      <c r="AK65" s="172" t="str">
        <f>IF(ISTEXT(VLOOKUP(CONCATENATE($A65,"_",AK$3),'Unit List'!$A$14:$H$2841,2,FALSE)),"+","")</f>
        <v/>
      </c>
      <c r="AL65" s="121" t="str">
        <f>IF(ISTEXT(VLOOKUP(CONCATENATE($A65,"_",AL$3),'Unit List'!$A$14:$H$2841,2,FALSE)),"X",$AK65)</f>
        <v/>
      </c>
      <c r="AM65" s="122" t="str">
        <f>IF(ISTEXT(VLOOKUP(CONCATENATE($A65,"_",AM$3),'Unit List'!$A$14:$H$2841,2,FALSE)),"X",$AK65)</f>
        <v/>
      </c>
      <c r="AN65" s="125" t="str">
        <f>IF(ISTEXT(VLOOKUP(CONCATENATE($A65,"_",AN$3),'Unit List'!$A$14:$H$2841,2,FALSE)),"+","")</f>
        <v/>
      </c>
      <c r="AO65" s="122" t="str">
        <f>IF(ISTEXT(VLOOKUP(CONCATENATE($A65,"_",AO$3),'Unit List'!$A$14:$H$2841,2,FALSE)),"X",$AN65)</f>
        <v/>
      </c>
      <c r="AP65" s="172" t="str">
        <f>IF(ISTEXT(VLOOKUP(CONCATENATE($A65,"_",AP$3),'Unit List'!$A$14:$H$2841,2,FALSE)),"+","")</f>
        <v/>
      </c>
      <c r="AQ65" s="120" t="str">
        <f>IF(ISTEXT(VLOOKUP(CONCATENATE($A65,"_",AQ$3),'Unit List'!$A$14:$H$2841,2,FALSE)),"X",$AP65)</f>
        <v/>
      </c>
      <c r="AR65" s="120" t="str">
        <f>IF(ISTEXT(VLOOKUP(CONCATENATE($A65,"_",AR$3),'Unit List'!$A$14:$H$2841,2,FALSE)),"X",$AP65)</f>
        <v/>
      </c>
      <c r="AS65" s="120" t="str">
        <f>IF(ISTEXT(VLOOKUP(CONCATENATE($A65,"_",AS$3),'Unit List'!$A$14:$H$2841,2,FALSE)),"X",$AP65)</f>
        <v/>
      </c>
      <c r="AT65" s="122" t="str">
        <f>IF(ISTEXT(VLOOKUP(CONCATENATE($A65,"_",AT$3),'Unit List'!$A$14:$H$2841,2,FALSE)),"X",$AP65)</f>
        <v/>
      </c>
      <c r="AU65" s="124" t="str">
        <f>IF(ISTEXT(VLOOKUP(CONCATENATE($A65,"_",AU$3),'Unit List'!$A$14:$H$2841,2,FALSE)),"+","")</f>
        <v/>
      </c>
      <c r="AV65" s="120" t="str">
        <f>IF(ISTEXT(VLOOKUP(CONCATENATE($A65,"_",AV$3),'Unit List'!$A$14:$H$2841,2,FALSE)),"X",$AU65)</f>
        <v/>
      </c>
      <c r="AW65" s="122" t="str">
        <f>IF(ISTEXT(VLOOKUP(CONCATENATE($A65,"_",AW$3),'Unit List'!$A$14:$H$2841,2,FALSE)),"X",$AU65)</f>
        <v/>
      </c>
      <c r="AX65" s="172" t="str">
        <f>IF(ISTEXT(VLOOKUP(CONCATENATE($A65,"_",AX$3),'Unit List'!$A$14:$H$2841,2,FALSE)),"+","")</f>
        <v/>
      </c>
      <c r="AY65" s="120" t="str">
        <f>IF(ISTEXT(VLOOKUP(CONCATENATE($A65,"_",AY$3),'Unit List'!$A$14:$H$2841,2,FALSE)),"X",$AX65)</f>
        <v/>
      </c>
      <c r="AZ65" s="122" t="str">
        <f>IF(ISTEXT(VLOOKUP(CONCATENATE($A65,"_",AZ$3),'Unit List'!$A$14:$H$2841,2,FALSE)),"X",$AX65)</f>
        <v/>
      </c>
      <c r="BA65" s="182" t="str">
        <f>IF(ISTEXT(VLOOKUP(CONCATENATE($A65,"_",BA$3),'Unit List'!$A$14:$H$2841,2,FALSE)),"+","")</f>
        <v/>
      </c>
      <c r="BB65" s="120" t="str">
        <f>IF(ISTEXT(VLOOKUP(CONCATENATE($A65,"_",BB$3),'Unit List'!$A$14:$H$2841,2,FALSE)),"X",$BA65)</f>
        <v/>
      </c>
      <c r="BC65" s="120" t="str">
        <f>IF(ISTEXT(VLOOKUP(CONCATENATE($A65,"_",BC$3),'Unit List'!$A$14:$H$2841,2,FALSE)),"X",$BA65)</f>
        <v/>
      </c>
      <c r="BD65" s="122" t="str">
        <f>IF(ISTEXT(VLOOKUP(CONCATENATE($A65,"_",BD$3),'Unit List'!$A$14:$H$2841,2,FALSE)),"X",$BA65)</f>
        <v/>
      </c>
      <c r="BE65" s="125" t="str">
        <f>IF(ISTEXT(VLOOKUP(CONCATENATE($A65,"_",BE$3),'Unit List'!$A$14:$H$2841,2,FALSE)),"+","")</f>
        <v/>
      </c>
      <c r="BF65" s="75" t="str">
        <f>IF(ISTEXT(VLOOKUP(CONCATENATE($A65,"_",BF$3),'Unit List'!$A$14:$H$2841,2,FALSE)),"X",$BE65)</f>
        <v/>
      </c>
      <c r="BG65" s="75"/>
      <c r="BH65" s="84"/>
      <c r="BI65" s="203"/>
      <c r="BJ65" s="204"/>
      <c r="BK65" s="204"/>
      <c r="BL65" s="204"/>
      <c r="BM65" s="205"/>
      <c r="BN65" s="54"/>
      <c r="BO65" s="54"/>
      <c r="BP65" s="54"/>
      <c r="BQ65" s="54"/>
      <c r="BR65" s="54"/>
      <c r="BS65" s="54"/>
      <c r="DZ65" s="55"/>
      <c r="EA65" s="55"/>
    </row>
    <row r="66" spans="1:131" ht="12.75" customHeight="1" x14ac:dyDescent="0.2">
      <c r="A66" s="126" t="s">
        <v>7</v>
      </c>
      <c r="B66" s="181" t="str">
        <f>IF(ISTEXT(VLOOKUP(CONCATENATE($A66,"_",B$3),'Unit List'!$A$14:$H$2841,2,FALSE)),"+","")</f>
        <v/>
      </c>
      <c r="C66" s="119" t="str">
        <f>IF(ISTEXT(VLOOKUP(CONCATENATE($A66,"_",C$3),'Unit List'!$A$14:$H$2841,2,FALSE)),"X",$B66)</f>
        <v/>
      </c>
      <c r="D66" s="120" t="str">
        <f>IF(ISTEXT(VLOOKUP(CONCATENATE($A66,"_",D$3),'Unit List'!$A$14:$H$2841,2,FALSE)),"X",$B66)</f>
        <v/>
      </c>
      <c r="E66" s="120" t="str">
        <f>IF(ISTEXT(VLOOKUP(CONCATENATE($A66,"_",E$3),'Unit List'!$A$14:$H$2841,2,FALSE)),"X",$B66)</f>
        <v>X</v>
      </c>
      <c r="F66" s="120" t="str">
        <f>IF(ISTEXT(VLOOKUP(CONCATENATE($A66,"_",F$3),'Unit List'!$A$14:$H$2841,2,FALSE)),"X",$B66)</f>
        <v/>
      </c>
      <c r="G66" s="120" t="str">
        <f>IF(ISTEXT(VLOOKUP(CONCATENATE($A66,"_",G$3),'Unit List'!$A$14:$H$2841,2,FALSE)),"X",$B66)</f>
        <v/>
      </c>
      <c r="H66" s="120" t="str">
        <f>IF(ISTEXT(VLOOKUP(CONCATENATE($A66,"_",H$3),'Unit List'!$A$14:$H$2841,2,FALSE)),"X",$B66)</f>
        <v/>
      </c>
      <c r="I66" s="122" t="str">
        <f>IF(ISTEXT(VLOOKUP(CONCATENATE($A66,"_",I$3),'Unit List'!$A$14:$H$2841,2,FALSE)),"X",$B66)</f>
        <v/>
      </c>
      <c r="J66" s="172" t="str">
        <f>IF(ISTEXT(VLOOKUP(CONCATENATE($A66,"_",J$3),'Unit List'!$A$14:$H$2841,2,FALSE)),"+","")</f>
        <v/>
      </c>
      <c r="K66" s="120" t="str">
        <f>IF(ISTEXT(VLOOKUP(CONCATENATE($A66,"_",K$3),'Unit List'!$A$14:$H$2841,2,FALSE)),"X",$J66)</f>
        <v/>
      </c>
      <c r="L66" s="75" t="str">
        <f>IF(ISTEXT(VLOOKUP(CONCATENATE($A66,"_",L$3),'Unit List'!$A$14:$H$2841,2,FALSE)),"X",$J66)</f>
        <v/>
      </c>
      <c r="M66" s="172" t="str">
        <f>IF(ISTEXT(VLOOKUP(CONCATENATE($A66,"_",M$3),'Unit List'!$A$14:$H$2841,2,FALSE)),"+","")</f>
        <v/>
      </c>
      <c r="N66" s="120" t="str">
        <f>IF(ISTEXT(VLOOKUP(CONCATENATE($A66,"_",N$3),'Unit List'!$A$14:$H$2841,2,FALSE)),"X",$M66)</f>
        <v/>
      </c>
      <c r="O66" s="122" t="str">
        <f>IF(ISTEXT(VLOOKUP(CONCATENATE($A66,"_",O$3),'Unit List'!$A$14:$H$2841,2,FALSE)),"X",$M66)</f>
        <v/>
      </c>
      <c r="P66" s="172" t="str">
        <f>IF(ISTEXT(VLOOKUP(CONCATENATE($A66,"_",P$3),'Unit List'!$A$14:$H$2841,2,FALSE)),"+","")</f>
        <v/>
      </c>
      <c r="Q66" s="120" t="str">
        <f>IF(ISTEXT(VLOOKUP(CONCATENATE($A66,"_",Q$3),'Unit List'!$A$14:$H$2841,2,FALSE)),"X",$P66)</f>
        <v/>
      </c>
      <c r="R66" s="120" t="str">
        <f>IF(ISTEXT(VLOOKUP(CONCATENATE($A66,"_",R$3),'Unit List'!$A$14:$H$2841,2,FALSE)),"X",$P66)</f>
        <v/>
      </c>
      <c r="S66" s="120" t="str">
        <f>IF(ISTEXT(VLOOKUP(CONCATENATE($A66,"_",S$3),'Unit List'!$A$14:$H$2841,2,FALSE)),"X",$P66)</f>
        <v/>
      </c>
      <c r="T66" s="121" t="str">
        <f>IF(ISTEXT(VLOOKUP(CONCATENATE($A66,"_",T$3),'Unit List'!$A$14:$H$2841,2,FALSE)),"X",$P66)</f>
        <v/>
      </c>
      <c r="U66" s="120" t="str">
        <f>IF(ISTEXT(VLOOKUP(CONCATENATE($A66,"_",U$3),'Unit List'!$A$14:$H$2841,2,FALSE)),"X",$P66)</f>
        <v/>
      </c>
      <c r="V66" s="120" t="str">
        <f>IF(ISTEXT(VLOOKUP(CONCATENATE($A66,"_",V$3),'Unit List'!$A$14:$H$2841,2,FALSE)),"X",$P66)</f>
        <v/>
      </c>
      <c r="W66" s="122" t="str">
        <f>IF(ISTEXT(VLOOKUP(CONCATENATE($A66,"_",W$3),'Unit List'!$A$14:$H$2841,2,FALSE)),"X",$P66)</f>
        <v/>
      </c>
      <c r="X66" s="172" t="str">
        <f>IF(ISTEXT(VLOOKUP(CONCATENATE($A66,"_",X$3),'Unit List'!$A$14:$H$2841,2,FALSE)),"+","")</f>
        <v>+</v>
      </c>
      <c r="Y66" s="120" t="str">
        <f>IF(ISTEXT(VLOOKUP(CONCATENATE($A66,"_",Y$3),'Unit List'!$A$14:$H$2841,2,FALSE)),"X",$X66)</f>
        <v>+</v>
      </c>
      <c r="Z66" s="120" t="str">
        <f>IF(ISTEXT(VLOOKUP(CONCATENATE($A66,"_",Z$3),'Unit List'!$A$14:$H$2841,2,FALSE)),"X",$X66)</f>
        <v>+</v>
      </c>
      <c r="AA66" s="120" t="str">
        <f>IF(ISTEXT(VLOOKUP(CONCATENATE($A66,"_",AA$3),'Unit List'!$A$14:$H$2841,2,FALSE)),"X",$X66)</f>
        <v>+</v>
      </c>
      <c r="AB66" s="120" t="str">
        <f>IF(ISTEXT(VLOOKUP(CONCATENATE($A66,"_",AB$3),'Unit List'!$A$14:$H$2841,2,FALSE)),"X",$X66)</f>
        <v>+</v>
      </c>
      <c r="AC66" s="75" t="str">
        <f>IF(ISTEXT(VLOOKUP(CONCATENATE($A66,"_",AC$3),'Unit List'!$A$14:$H$2841,2,FALSE)),"X",$X66)</f>
        <v>+</v>
      </c>
      <c r="AD66" s="172" t="s">
        <v>2313</v>
      </c>
      <c r="AE66" s="120" t="str">
        <f>IF(ISTEXT(VLOOKUP(CONCATENATE($A66,"_",AE$3),'Unit List'!$A$14:$H$2841,2,FALSE)),"X",$AD66)</f>
        <v>*</v>
      </c>
      <c r="AF66" s="120" t="str">
        <f>IF(ISTEXT(VLOOKUP(CONCATENATE($A66,"_",AF$3),'Unit List'!$A$14:$H$2841,2,FALSE)),"X",$AD66)</f>
        <v>*</v>
      </c>
      <c r="AG66" s="172" t="str">
        <f>IF(ISTEXT(VLOOKUP(CONCATENATE($A66,"_",AG$3),'Unit List'!$A$14:$H$2841,2,FALSE)),"+","")</f>
        <v>+</v>
      </c>
      <c r="AH66" s="120" t="str">
        <f>IF(ISTEXT(VLOOKUP(CONCATENATE($A66,"_",AH$3),'Unit List'!$A$14:$H$2841,2,FALSE)),"X",$AG66)</f>
        <v>+</v>
      </c>
      <c r="AI66" s="120" t="str">
        <f>IF(ISTEXT(VLOOKUP(CONCATENATE($A66,"_",AI$3),'Unit List'!$A$14:$H$2841,2,FALSE)),"X",$AG66)</f>
        <v>+</v>
      </c>
      <c r="AJ66" s="122" t="str">
        <f>IF(ISTEXT(VLOOKUP(CONCATENATE($A66,"_",AJ$3),'Unit List'!$A$14:$H$2841,2,FALSE)),"X",$AG66)</f>
        <v>+</v>
      </c>
      <c r="AK66" s="172" t="str">
        <f>IF(ISTEXT(VLOOKUP(CONCATENATE($A66,"_",AK$3),'Unit List'!$A$14:$H$2841,2,FALSE)),"+","")</f>
        <v>+</v>
      </c>
      <c r="AL66" s="121" t="str">
        <f>IF(ISTEXT(VLOOKUP(CONCATENATE($A66,"_",AL$3),'Unit List'!$A$14:$H$2841,2,FALSE)),"X",$AK66)</f>
        <v>+</v>
      </c>
      <c r="AM66" s="122" t="str">
        <f>IF(ISTEXT(VLOOKUP(CONCATENATE($A66,"_",AM$3),'Unit List'!$A$14:$H$2841,2,FALSE)),"X",$AK66)</f>
        <v>+</v>
      </c>
      <c r="AN66" s="125" t="str">
        <f>IF(ISTEXT(VLOOKUP(CONCATENATE($A66,"_",AN$3),'Unit List'!$A$14:$H$2841,2,FALSE)),"+","")</f>
        <v>+</v>
      </c>
      <c r="AO66" s="122" t="str">
        <f>IF(ISTEXT(VLOOKUP(CONCATENATE($A66,"_",AO$3),'Unit List'!$A$14:$H$2841,2,FALSE)),"X",$AN66)</f>
        <v>+</v>
      </c>
      <c r="AP66" s="172" t="str">
        <f>IF(ISTEXT(VLOOKUP(CONCATENATE($A66,"_",AP$3),'Unit List'!$A$14:$H$2841,2,FALSE)),"+","")</f>
        <v>+</v>
      </c>
      <c r="AQ66" s="120" t="str">
        <f>IF(ISTEXT(VLOOKUP(CONCATENATE($A66,"_",AQ$3),'Unit List'!$A$14:$H$2841,2,FALSE)),"X",$AP66)</f>
        <v>+</v>
      </c>
      <c r="AR66" s="120" t="str">
        <f>IF(ISTEXT(VLOOKUP(CONCATENATE($A66,"_",AR$3),'Unit List'!$A$14:$H$2841,2,FALSE)),"X",$AP66)</f>
        <v>+</v>
      </c>
      <c r="AS66" s="120" t="str">
        <f>IF(ISTEXT(VLOOKUP(CONCATENATE($A66,"_",AS$3),'Unit List'!$A$14:$H$2841,2,FALSE)),"X",$AP66)</f>
        <v>+</v>
      </c>
      <c r="AT66" s="122" t="str">
        <f>IF(ISTEXT(VLOOKUP(CONCATENATE($A66,"_",AT$3),'Unit List'!$A$14:$H$2841,2,FALSE)),"X",$AP66)</f>
        <v>+</v>
      </c>
      <c r="AU66" s="124" t="str">
        <f>IF(ISTEXT(VLOOKUP(CONCATENATE($A66,"_",AU$3),'Unit List'!$A$14:$H$2841,2,FALSE)),"+","")</f>
        <v>+</v>
      </c>
      <c r="AV66" s="120" t="str">
        <f>IF(ISTEXT(VLOOKUP(CONCATENATE($A66,"_",AV$3),'Unit List'!$A$14:$H$2841,2,FALSE)),"X",$AU66)</f>
        <v>+</v>
      </c>
      <c r="AW66" s="122" t="str">
        <f>IF(ISTEXT(VLOOKUP(CONCATENATE($A66,"_",AW$3),'Unit List'!$A$14:$H$2841,2,FALSE)),"X",$AU66)</f>
        <v>+</v>
      </c>
      <c r="AX66" s="171" t="str">
        <f>IF(ISTEXT(VLOOKUP(CONCATENATE($A66,"_",AX$3),'Unit List'!$A$14:$H$2841,2,FALSE)),"+","")</f>
        <v>+</v>
      </c>
      <c r="AY66" s="120" t="str">
        <f>IF(ISTEXT(VLOOKUP(CONCATENATE($A66,"_",AY$3),'Unit List'!$A$14:$H$2841,2,FALSE)),"X",$AX66)</f>
        <v>+</v>
      </c>
      <c r="AZ66" s="122" t="str">
        <f>IF(ISTEXT(VLOOKUP(CONCATENATE($A66,"_",AZ$3),'Unit List'!$A$14:$H$2841,2,FALSE)),"X",$AX66)</f>
        <v>+</v>
      </c>
      <c r="BA66" s="174" t="str">
        <f>IF(ISTEXT(VLOOKUP(CONCATENATE($A66,"_",BA$3),'Unit List'!$A$14:$H$2841,2,FALSE)),"+","")</f>
        <v>+</v>
      </c>
      <c r="BB66" s="120" t="str">
        <f>IF(ISTEXT(VLOOKUP(CONCATENATE($A66,"_",BB$3),'Unit List'!$A$14:$H$2841,2,FALSE)),"X",$BA66)</f>
        <v>+</v>
      </c>
      <c r="BC66" s="120" t="str">
        <f>IF(ISTEXT(VLOOKUP(CONCATENATE($A66,"_",BC$3),'Unit List'!$A$14:$H$2841,2,FALSE)),"X",$BA66)</f>
        <v>+</v>
      </c>
      <c r="BD66" s="122" t="str">
        <f>IF(ISTEXT(VLOOKUP(CONCATENATE($A66,"_",BD$3),'Unit List'!$A$14:$H$2841,2,FALSE)),"X",$BA66)</f>
        <v>+</v>
      </c>
      <c r="BE66" s="175" t="str">
        <f>IF(ISTEXT(VLOOKUP(CONCATENATE($A66,"_",BE$3),'Unit List'!$A$14:$H$2841,2,FALSE)),"+","")</f>
        <v>+</v>
      </c>
      <c r="BF66" s="75" t="str">
        <f>IF(ISTEXT(VLOOKUP(CONCATENATE($A66,"_",BF$3),'Unit List'!$A$14:$H$2841,2,FALSE)),"X",$BE66)</f>
        <v>+</v>
      </c>
      <c r="BG66" s="75"/>
      <c r="BH66" s="84"/>
      <c r="BI66" s="203"/>
      <c r="BJ66" s="204"/>
      <c r="BK66" s="204"/>
      <c r="BL66" s="204"/>
      <c r="BM66" s="205"/>
      <c r="BN66" s="54"/>
      <c r="BO66" s="54"/>
      <c r="BP66" s="54"/>
      <c r="BQ66" s="54"/>
      <c r="BR66" s="54"/>
      <c r="BS66" s="54"/>
      <c r="DZ66" s="55"/>
      <c r="EA66" s="55"/>
    </row>
    <row r="67" spans="1:131" ht="12.75" customHeight="1" x14ac:dyDescent="0.2">
      <c r="A67" s="128" t="s">
        <v>8</v>
      </c>
      <c r="B67" s="181" t="str">
        <f>IF(ISTEXT(VLOOKUP(CONCATENATE($A67,"_",B$3),'Unit List'!$A$14:$H$2841,2,FALSE)),"+","")</f>
        <v/>
      </c>
      <c r="C67" s="119" t="str">
        <f>IF(ISTEXT(VLOOKUP(CONCATENATE($A67,"_",C$3),'Unit List'!$A$14:$H$2841,2,FALSE)),"X",$B67)</f>
        <v/>
      </c>
      <c r="D67" s="120" t="str">
        <f>IF(ISTEXT(VLOOKUP(CONCATENATE($A67,"_",D$3),'Unit List'!$A$14:$H$2841,2,FALSE)),"X",$B67)</f>
        <v/>
      </c>
      <c r="E67" s="120" t="str">
        <f>IF(ISTEXT(VLOOKUP(CONCATENATE($A67,"_",E$3),'Unit List'!$A$14:$H$2841,2,FALSE)),"X",$B67)</f>
        <v>X</v>
      </c>
      <c r="F67" s="120" t="str">
        <f>IF(ISTEXT(VLOOKUP(CONCATENATE($A67,"_",F$3),'Unit List'!$A$14:$H$2841,2,FALSE)),"X",$B67)</f>
        <v/>
      </c>
      <c r="G67" s="120" t="str">
        <f>IF(ISTEXT(VLOOKUP(CONCATENATE($A67,"_",G$3),'Unit List'!$A$14:$H$2841,2,FALSE)),"X",$B67)</f>
        <v/>
      </c>
      <c r="H67" s="120" t="str">
        <f>IF(ISTEXT(VLOOKUP(CONCATENATE($A67,"_",H$3),'Unit List'!$A$14:$H$2841,2,FALSE)),"X",$B67)</f>
        <v/>
      </c>
      <c r="I67" s="122" t="str">
        <f>IF(ISTEXT(VLOOKUP(CONCATENATE($A67,"_",I$3),'Unit List'!$A$14:$H$2841,2,FALSE)),"X",$B67)</f>
        <v/>
      </c>
      <c r="J67" s="172" t="str">
        <f>IF(ISTEXT(VLOOKUP(CONCATENATE($A67,"_",J$3),'Unit List'!$A$14:$H$2841,2,FALSE)),"+","")</f>
        <v/>
      </c>
      <c r="K67" s="120" t="str">
        <f>IF(ISTEXT(VLOOKUP(CONCATENATE($A67,"_",K$3),'Unit List'!$A$14:$H$2841,2,FALSE)),"X",$J67)</f>
        <v/>
      </c>
      <c r="L67" s="75" t="str">
        <f>IF(ISTEXT(VLOOKUP(CONCATENATE($A67,"_",L$3),'Unit List'!$A$14:$H$2841,2,FALSE)),"X",$J67)</f>
        <v/>
      </c>
      <c r="M67" s="172" t="str">
        <f>IF(ISTEXT(VLOOKUP(CONCATENATE($A67,"_",M$3),'Unit List'!$A$14:$H$2841,2,FALSE)),"+","")</f>
        <v/>
      </c>
      <c r="N67" s="120" t="str">
        <f>IF(ISTEXT(VLOOKUP(CONCATENATE($A67,"_",N$3),'Unit List'!$A$14:$H$2841,2,FALSE)),"X",$M67)</f>
        <v/>
      </c>
      <c r="O67" s="122" t="str">
        <f>IF(ISTEXT(VLOOKUP(CONCATENATE($A67,"_",O$3),'Unit List'!$A$14:$H$2841,2,FALSE)),"X",$M67)</f>
        <v/>
      </c>
      <c r="P67" s="172" t="str">
        <f>IF(ISTEXT(VLOOKUP(CONCATENATE($A67,"_",P$3),'Unit List'!$A$14:$H$2841,2,FALSE)),"+","")</f>
        <v/>
      </c>
      <c r="Q67" s="120" t="str">
        <f>IF(ISTEXT(VLOOKUP(CONCATENATE($A67,"_",Q$3),'Unit List'!$A$14:$H$2841,2,FALSE)),"X",$P67)</f>
        <v/>
      </c>
      <c r="R67" s="120" t="str">
        <f>IF(ISTEXT(VLOOKUP(CONCATENATE($A67,"_",R$3),'Unit List'!$A$14:$H$2841,2,FALSE)),"X",$P67)</f>
        <v/>
      </c>
      <c r="S67" s="120" t="str">
        <f>IF(ISTEXT(VLOOKUP(CONCATENATE($A67,"_",S$3),'Unit List'!$A$14:$H$2841,2,FALSE)),"X",$P67)</f>
        <v/>
      </c>
      <c r="T67" s="121" t="str">
        <f>IF(ISTEXT(VLOOKUP(CONCATENATE($A67,"_",T$3),'Unit List'!$A$14:$H$2841,2,FALSE)),"X",$P67)</f>
        <v/>
      </c>
      <c r="U67" s="120" t="str">
        <f>IF(ISTEXT(VLOOKUP(CONCATENATE($A67,"_",U$3),'Unit List'!$A$14:$H$2841,2,FALSE)),"X",$P67)</f>
        <v/>
      </c>
      <c r="V67" s="120" t="str">
        <f>IF(ISTEXT(VLOOKUP(CONCATENATE($A67,"_",V$3),'Unit List'!$A$14:$H$2841,2,FALSE)),"X",$P67)</f>
        <v/>
      </c>
      <c r="W67" s="122" t="str">
        <f>IF(ISTEXT(VLOOKUP(CONCATENATE($A67,"_",W$3),'Unit List'!$A$14:$H$2841,2,FALSE)),"X",$P67)</f>
        <v/>
      </c>
      <c r="X67" s="172" t="str">
        <f>IF(ISTEXT(VLOOKUP(CONCATENATE($A67,"_",X$3),'Unit List'!$A$14:$H$2841,2,FALSE)),"+","")</f>
        <v/>
      </c>
      <c r="Y67" s="120" t="str">
        <f>IF(ISTEXT(VLOOKUP(CONCATENATE($A67,"_",Y$3),'Unit List'!$A$14:$H$2841,2,FALSE)),"X",$X67)</f>
        <v/>
      </c>
      <c r="Z67" s="120" t="str">
        <f>IF(ISTEXT(VLOOKUP(CONCATENATE($A67,"_",Z$3),'Unit List'!$A$14:$H$2841,2,FALSE)),"X",$X67)</f>
        <v/>
      </c>
      <c r="AA67" s="120" t="str">
        <f>IF(ISTEXT(VLOOKUP(CONCATENATE($A67,"_",AA$3),'Unit List'!$A$14:$H$2841,2,FALSE)),"X",$X67)</f>
        <v/>
      </c>
      <c r="AB67" s="120" t="str">
        <f>IF(ISTEXT(VLOOKUP(CONCATENATE($A67,"_",AB$3),'Unit List'!$A$14:$H$2841,2,FALSE)),"X",$X67)</f>
        <v/>
      </c>
      <c r="AC67" s="75" t="str">
        <f>IF(ISTEXT(VLOOKUP(CONCATENATE($A67,"_",AC$3),'Unit List'!$A$14:$H$2841,2,FALSE)),"X",$X67)</f>
        <v/>
      </c>
      <c r="AD67" s="172" t="str">
        <f>IF(ISTEXT(VLOOKUP(CONCATENATE($A67,"_",AD$3),'Unit List'!$A$14:$H$2841,2,FALSE)),"+","")</f>
        <v/>
      </c>
      <c r="AE67" s="120" t="str">
        <f>IF(ISTEXT(VLOOKUP(CONCATENATE($A67,"_",AE$3),'Unit List'!$A$14:$H$2841,2,FALSE)),"X",$AD67)</f>
        <v/>
      </c>
      <c r="AF67" s="120" t="str">
        <f>IF(ISTEXT(VLOOKUP(CONCATENATE($A67,"_",AF$3),'Unit List'!$A$14:$H$2841,2,FALSE)),"X",$AD67)</f>
        <v/>
      </c>
      <c r="AG67" s="172" t="str">
        <f>IF(ISTEXT(VLOOKUP(CONCATENATE($A67,"_",AG$3),'Unit List'!$A$14:$H$2841,2,FALSE)),"+","")</f>
        <v>+</v>
      </c>
      <c r="AH67" s="120" t="str">
        <f>IF(ISTEXT(VLOOKUP(CONCATENATE($A67,"_",AH$3),'Unit List'!$A$14:$H$2841,2,FALSE)),"X",$AG67)</f>
        <v>+</v>
      </c>
      <c r="AI67" s="120" t="str">
        <f>IF(ISTEXT(VLOOKUP(CONCATENATE($A67,"_",AI$3),'Unit List'!$A$14:$H$2841,2,FALSE)),"X",$AG67)</f>
        <v>+</v>
      </c>
      <c r="AJ67" s="122" t="str">
        <f>IF(ISTEXT(VLOOKUP(CONCATENATE($A67,"_",AJ$3),'Unit List'!$A$14:$H$2841,2,FALSE)),"X",$AG67)</f>
        <v>+</v>
      </c>
      <c r="AK67" s="172" t="str">
        <f>IF(ISTEXT(VLOOKUP(CONCATENATE($A67,"_",AK$3),'Unit List'!$A$14:$H$2841,2,FALSE)),"+","")</f>
        <v/>
      </c>
      <c r="AL67" s="176" t="str">
        <f>IF(ISTEXT(VLOOKUP(CONCATENATE($A67,"_",AL$3),'Unit List'!$A$14:$H$2841,2,FALSE)),"X",$AK67)</f>
        <v/>
      </c>
      <c r="AM67" s="122" t="str">
        <f>IF(ISTEXT(VLOOKUP(CONCATENATE($A67,"_",AM$3),'Unit List'!$A$14:$H$2841,2,FALSE)),"X",$AK67)</f>
        <v/>
      </c>
      <c r="AN67" s="125" t="str">
        <f>IF(ISTEXT(VLOOKUP(CONCATENATE($A67,"_",AN$3),'Unit List'!$A$14:$H$2841,2,FALSE)),"+","")</f>
        <v>+</v>
      </c>
      <c r="AO67" s="189" t="str">
        <f>IF(ISTEXT(VLOOKUP(CONCATENATE($A67,"_",AO$3),'Unit List'!$A$14:$H$2841,2,FALSE)),"X",$AN67)</f>
        <v>+</v>
      </c>
      <c r="AP67" s="171" t="str">
        <f>IF(ISTEXT(VLOOKUP(CONCATENATE($A67,"_",AP$3),'Unit List'!$A$14:$H$2841,2,FALSE)),"+","")</f>
        <v>+</v>
      </c>
      <c r="AQ67" s="178" t="str">
        <f>IF(ISTEXT(VLOOKUP(CONCATENATE($A67,"_",AQ$3),'Unit List'!$A$14:$H$2841,2,FALSE)),"X",$AP67)</f>
        <v>+</v>
      </c>
      <c r="AR67" s="178" t="str">
        <f>IF(ISTEXT(VLOOKUP(CONCATENATE($A67,"_",AR$3),'Unit List'!$A$14:$H$2841,2,FALSE)),"X",$AP67)</f>
        <v>+</v>
      </c>
      <c r="AS67" s="178" t="str">
        <f>IF(ISTEXT(VLOOKUP(CONCATENATE($A67,"_",AS$3),'Unit List'!$A$14:$H$2841,2,FALSE)),"X",$AP67)</f>
        <v>+</v>
      </c>
      <c r="AT67" s="189" t="str">
        <f>IF(ISTEXT(VLOOKUP(CONCATENATE($A67,"_",AT$3),'Unit List'!$A$14:$H$2841,2,FALSE)),"X",$AP67)</f>
        <v>+</v>
      </c>
      <c r="AU67" s="177" t="str">
        <f>IF(ISTEXT(VLOOKUP(CONCATENATE($A67,"_",AU$3),'Unit List'!$A$14:$H$2841,2,FALSE)),"+","")</f>
        <v>+</v>
      </c>
      <c r="AV67" s="178" t="str">
        <f>IF(ISTEXT(VLOOKUP(CONCATENATE($A67,"_",AV$3),'Unit List'!$A$14:$H$2841,2,FALSE)),"X",$AU67)</f>
        <v>+</v>
      </c>
      <c r="AW67" s="189" t="str">
        <f>IF(ISTEXT(VLOOKUP(CONCATENATE($A67,"_",AW$3),'Unit List'!$A$14:$H$2841,2,FALSE)),"X",$AU67)</f>
        <v>+</v>
      </c>
      <c r="AX67" s="171" t="str">
        <f>IF(ISTEXT(VLOOKUP(CONCATENATE($A67,"_",AX$3),'Unit List'!$A$14:$H$2841,2,FALSE)),"+","")</f>
        <v>+</v>
      </c>
      <c r="AY67" s="120" t="str">
        <f>IF(ISTEXT(VLOOKUP(CONCATENATE($A67,"_",AY$3),'Unit List'!$A$14:$H$2841,2,FALSE)),"X",$AX67)</f>
        <v>+</v>
      </c>
      <c r="AZ67" s="122" t="str">
        <f>IF(ISTEXT(VLOOKUP(CONCATENATE($A67,"_",AZ$3),'Unit List'!$A$14:$H$2841,2,FALSE)),"X",$AX67)</f>
        <v>+</v>
      </c>
      <c r="BA67" s="174" t="str">
        <f>IF(ISTEXT(VLOOKUP(CONCATENATE($A67,"_",BA$3),'Unit List'!$A$14:$H$2841,2,FALSE)),"+","")</f>
        <v>+</v>
      </c>
      <c r="BB67" s="120" t="str">
        <f>IF(ISTEXT(VLOOKUP(CONCATENATE($A67,"_",BB$3),'Unit List'!$A$14:$H$2841,2,FALSE)),"X",$BA67)</f>
        <v>+</v>
      </c>
      <c r="BC67" s="120" t="str">
        <f>IF(ISTEXT(VLOOKUP(CONCATENATE($A67,"_",BC$3),'Unit List'!$A$14:$H$2841,2,FALSE)),"X",$BA67)</f>
        <v>+</v>
      </c>
      <c r="BD67" s="122" t="str">
        <f>IF(ISTEXT(VLOOKUP(CONCATENATE($A67,"_",BD$3),'Unit List'!$A$14:$H$2841,2,FALSE)),"X",$BA67)</f>
        <v>+</v>
      </c>
      <c r="BE67" s="175" t="str">
        <f>IF(ISTEXT(VLOOKUP(CONCATENATE($A67,"_",BE$3),'Unit List'!$A$14:$H$2841,2,FALSE)),"+","")</f>
        <v>+</v>
      </c>
      <c r="BF67" s="75" t="str">
        <f>IF(ISTEXT(VLOOKUP(CONCATENATE($A67,"_",BF$3),'Unit List'!$A$14:$H$2841,2,FALSE)),"X",$BE67)</f>
        <v>+</v>
      </c>
      <c r="BG67" s="75"/>
      <c r="BH67" s="84"/>
      <c r="BI67" s="203"/>
      <c r="BJ67" s="204"/>
      <c r="BK67" s="204"/>
      <c r="BL67" s="204"/>
      <c r="BM67" s="205"/>
      <c r="BN67" s="54"/>
      <c r="BO67" s="54"/>
      <c r="BP67" s="54"/>
      <c r="BQ67" s="54"/>
      <c r="BR67" s="54"/>
      <c r="BS67" s="54"/>
      <c r="DZ67" s="55"/>
      <c r="EA67" s="55"/>
    </row>
    <row r="68" spans="1:131" ht="12.75" customHeight="1" x14ac:dyDescent="0.2">
      <c r="A68" s="128" t="s">
        <v>1153</v>
      </c>
      <c r="B68" s="179" t="str">
        <f>IF(ISTEXT(VLOOKUP(CONCATENATE($A68,"_",B$3),'Unit List'!$A$14:$H$2841,2,FALSE)),"+","")</f>
        <v/>
      </c>
      <c r="C68" s="180" t="str">
        <f>IF(ISTEXT(VLOOKUP(CONCATENATE($A68,"_",C$3),'Unit List'!$A$14:$H$2841,2,FALSE)),"X",$B68)</f>
        <v/>
      </c>
      <c r="D68" s="178" t="str">
        <f>IF(ISTEXT(VLOOKUP(CONCATENATE($A68,"_",D$3),'Unit List'!$A$14:$H$2841,2,FALSE)),"X",$B68)</f>
        <v/>
      </c>
      <c r="E68" s="178" t="str">
        <f>IF(ISTEXT(VLOOKUP(CONCATENATE($A68,"_",E$3),'Unit List'!$A$14:$H$2841,2,FALSE)),"X",$B68)</f>
        <v/>
      </c>
      <c r="F68" s="178" t="str">
        <f>IF(ISTEXT(VLOOKUP(CONCATENATE($A68,"_",F$3),'Unit List'!$A$14:$H$2841,2,FALSE)),"X",$B68)</f>
        <v/>
      </c>
      <c r="G68" s="178" t="str">
        <f>IF(ISTEXT(VLOOKUP(CONCATENATE($A68,"_",G$3),'Unit List'!$A$14:$H$2841,2,FALSE)),"X",$B68)</f>
        <v/>
      </c>
      <c r="H68" s="178" t="str">
        <f>IF(ISTEXT(VLOOKUP(CONCATENATE($A68,"_",H$3),'Unit List'!$A$14:$H$2841,2,FALSE)),"X",$B68)</f>
        <v/>
      </c>
      <c r="I68" s="189" t="str">
        <f>IF(ISTEXT(VLOOKUP(CONCATENATE($A68,"_",I$3),'Unit List'!$A$14:$H$2841,2,FALSE)),"X",$B68)</f>
        <v/>
      </c>
      <c r="J68" s="171" t="str">
        <f>IF(ISTEXT(VLOOKUP(CONCATENATE($A68,"_",J$3),'Unit List'!$A$14:$H$2841,2,FALSE)),"+","")</f>
        <v/>
      </c>
      <c r="K68" s="178" t="str">
        <f>IF(ISTEXT(VLOOKUP(CONCATENATE($A68,"_",K$3),'Unit List'!$A$14:$H$2841,2,FALSE)),"X",$J68)</f>
        <v/>
      </c>
      <c r="L68" s="95" t="str">
        <f>IF(ISTEXT(VLOOKUP(CONCATENATE($A68,"_",L$3),'Unit List'!$A$14:$H$2841,2,FALSE)),"X",$J68)</f>
        <v/>
      </c>
      <c r="M68" s="171" t="str">
        <f>IF(ISTEXT(VLOOKUP(CONCATENATE($A68,"_",M$3),'Unit List'!$A$14:$H$2841,2,FALSE)),"+","")</f>
        <v/>
      </c>
      <c r="N68" s="178" t="str">
        <f>IF(ISTEXT(VLOOKUP(CONCATENATE($A68,"_",N$3),'Unit List'!$A$14:$H$2841,2,FALSE)),"X",$M68)</f>
        <v/>
      </c>
      <c r="O68" s="189" t="str">
        <f>IF(ISTEXT(VLOOKUP(CONCATENATE($A68,"_",O$3),'Unit List'!$A$14:$H$2841,2,FALSE)),"X",$M68)</f>
        <v/>
      </c>
      <c r="P68" s="171" t="str">
        <f>IF(ISTEXT(VLOOKUP(CONCATENATE($A68,"_",P$3),'Unit List'!$A$14:$H$2841,2,FALSE)),"+","")</f>
        <v/>
      </c>
      <c r="Q68" s="178" t="str">
        <f>IF(ISTEXT(VLOOKUP(CONCATENATE($A68,"_",Q$3),'Unit List'!$A$14:$H$2841,2,FALSE)),"X",$P68)</f>
        <v/>
      </c>
      <c r="R68" s="178" t="str">
        <f>IF(ISTEXT(VLOOKUP(CONCATENATE($A68,"_",R$3),'Unit List'!$A$14:$H$2841,2,FALSE)),"X",$P68)</f>
        <v/>
      </c>
      <c r="S68" s="178" t="str">
        <f>IF(ISTEXT(VLOOKUP(CONCATENATE($A68,"_",S$3),'Unit List'!$A$14:$H$2841,2,FALSE)),"X",$P68)</f>
        <v/>
      </c>
      <c r="T68" s="176" t="str">
        <f>IF(ISTEXT(VLOOKUP(CONCATENATE($A68,"_",T$3),'Unit List'!$A$14:$H$2841,2,FALSE)),"X",$P68)</f>
        <v/>
      </c>
      <c r="U68" s="178" t="str">
        <f>IF(ISTEXT(VLOOKUP(CONCATENATE($A68,"_",U$3),'Unit List'!$A$14:$H$2841,2,FALSE)),"X",$P68)</f>
        <v/>
      </c>
      <c r="V68" s="178" t="str">
        <f>IF(ISTEXT(VLOOKUP(CONCATENATE($A68,"_",V$3),'Unit List'!$A$14:$H$2841,2,FALSE)),"X",$P68)</f>
        <v/>
      </c>
      <c r="W68" s="189" t="str">
        <f>IF(ISTEXT(VLOOKUP(CONCATENATE($A68,"_",W$3),'Unit List'!$A$14:$H$2841,2,FALSE)),"X",$P68)</f>
        <v/>
      </c>
      <c r="X68" s="171" t="str">
        <f>IF(ISTEXT(VLOOKUP(CONCATENATE($A68,"_",X$3),'Unit List'!$A$14:$H$2841,2,FALSE)),"+","")</f>
        <v>+</v>
      </c>
      <c r="Y68" s="178" t="str">
        <f>IF(ISTEXT(VLOOKUP(CONCATENATE($A68,"_",Y$3),'Unit List'!$A$14:$H$2841,2,FALSE)),"X",$X68)</f>
        <v>+</v>
      </c>
      <c r="Z68" s="178" t="str">
        <f>IF(ISTEXT(VLOOKUP(CONCATENATE($A68,"_",Z$3),'Unit List'!$A$14:$H$2841,2,FALSE)),"X",$X68)</f>
        <v>+</v>
      </c>
      <c r="AA68" s="178" t="str">
        <f>IF(ISTEXT(VLOOKUP(CONCATENATE($A68,"_",AA$3),'Unit List'!$A$14:$H$2841,2,FALSE)),"X",$X68)</f>
        <v>+</v>
      </c>
      <c r="AB68" s="178" t="str">
        <f>IF(ISTEXT(VLOOKUP(CONCATENATE($A68,"_",AB$3),'Unit List'!$A$14:$H$2841,2,FALSE)),"X",$X68)</f>
        <v>+</v>
      </c>
      <c r="AC68" s="95" t="str">
        <f>IF(ISTEXT(VLOOKUP(CONCATENATE($A68,"_",AC$3),'Unit List'!$A$14:$H$2841,2,FALSE)),"X",$X68)</f>
        <v>+</v>
      </c>
      <c r="AD68" s="171" t="str">
        <f>IF(ISTEXT(VLOOKUP(CONCATENATE($A68,"_",AD$3),'Unit List'!$A$14:$H$2841,2,FALSE)),"+","")</f>
        <v>+</v>
      </c>
      <c r="AE68" s="120" t="str">
        <f>IF(ISTEXT(VLOOKUP(CONCATENATE($A68,"_",AE$3),'Unit List'!$A$14:$H$2841,2,FALSE)),"X",$AD68)</f>
        <v>+</v>
      </c>
      <c r="AF68" s="120" t="str">
        <f>IF(ISTEXT(VLOOKUP(CONCATENATE($A68,"_",AF$3),'Unit List'!$A$14:$H$2841,2,FALSE)),"X",$AD68)</f>
        <v>+</v>
      </c>
      <c r="AG68" s="171" t="str">
        <f>IF(ISTEXT(VLOOKUP(CONCATENATE($A68,"_",AG$3),'Unit List'!$A$14:$H$2841,2,FALSE)),"+","")</f>
        <v>+</v>
      </c>
      <c r="AH68" s="178" t="str">
        <f>IF(ISTEXT(VLOOKUP(CONCATENATE($A68,"_",AH$3),'Unit List'!$A$14:$H$2841,2,FALSE)),"X",$AG68)</f>
        <v>+</v>
      </c>
      <c r="AI68" s="178" t="str">
        <f>IF(ISTEXT(VLOOKUP(CONCATENATE($A68,"_",AI$3),'Unit List'!$A$14:$H$2841,2,FALSE)),"X",$AG68)</f>
        <v>+</v>
      </c>
      <c r="AJ68" s="189" t="str">
        <f>IF(ISTEXT(VLOOKUP(CONCATENATE($A68,"_",AJ$3),'Unit List'!$A$14:$H$2841,2,FALSE)),"X",$AG68)</f>
        <v>+</v>
      </c>
      <c r="AK68" s="171" t="str">
        <f>IF(ISTEXT(VLOOKUP(CONCATENATE($A68,"_",AK$3),'Unit List'!$A$14:$H$2841,2,FALSE)),"+","")</f>
        <v>+</v>
      </c>
      <c r="AL68" s="176" t="str">
        <f>IF(ISTEXT(VLOOKUP(CONCATENATE($A68,"_",AL$3),'Unit List'!$A$14:$H$2841,2,FALSE)),"X",$AK68)</f>
        <v>+</v>
      </c>
      <c r="AM68" s="189" t="str">
        <f>IF(ISTEXT(VLOOKUP(CONCATENATE($A68,"_",AM$3),'Unit List'!$A$14:$H$2841,2,FALSE)),"X",$AK68)</f>
        <v>+</v>
      </c>
      <c r="AN68" s="175" t="str">
        <f>IF(ISTEXT(VLOOKUP(CONCATENATE($A68,"_",AN$3),'Unit List'!$A$14:$H$2841,2,FALSE)),"+","")</f>
        <v>+</v>
      </c>
      <c r="AO68" s="189" t="str">
        <f>IF(ISTEXT(VLOOKUP(CONCATENATE($A68,"_",AO$3),'Unit List'!$A$14:$H$2841,2,FALSE)),"X",$AN68)</f>
        <v>+</v>
      </c>
      <c r="AP68" s="171" t="str">
        <f>IF(ISTEXT(VLOOKUP(CONCATENATE($A68,"_",AP$3),'Unit List'!$A$14:$H$2841,2,FALSE)),"+","")</f>
        <v>+</v>
      </c>
      <c r="AQ68" s="178" t="str">
        <f>IF(ISTEXT(VLOOKUP(CONCATENATE($A68,"_",AQ$3),'Unit List'!$A$14:$H$2841,2,FALSE)),"X",$AP68)</f>
        <v>+</v>
      </c>
      <c r="AR68" s="178" t="str">
        <f>IF(ISTEXT(VLOOKUP(CONCATENATE($A68,"_",AR$3),'Unit List'!$A$14:$H$2841,2,FALSE)),"X",$AP68)</f>
        <v>+</v>
      </c>
      <c r="AS68" s="178" t="str">
        <f>IF(ISTEXT(VLOOKUP(CONCATENATE($A68,"_",AS$3),'Unit List'!$A$14:$H$2841,2,FALSE)),"X",$AP68)</f>
        <v>+</v>
      </c>
      <c r="AT68" s="189" t="str">
        <f>IF(ISTEXT(VLOOKUP(CONCATENATE($A68,"_",AT$3),'Unit List'!$A$14:$H$2841,2,FALSE)),"X",$AP68)</f>
        <v>+</v>
      </c>
      <c r="AU68" s="177" t="str">
        <f>IF(ISTEXT(VLOOKUP(CONCATENATE($A68,"_",AU$3),'Unit List'!$A$14:$H$2841,2,FALSE)),"+","")</f>
        <v>+</v>
      </c>
      <c r="AV68" s="178" t="str">
        <f>IF(ISTEXT(VLOOKUP(CONCATENATE($A68,"_",AV$3),'Unit List'!$A$14:$H$2841,2,FALSE)),"X",$AU68)</f>
        <v>+</v>
      </c>
      <c r="AW68" s="189" t="str">
        <f>IF(ISTEXT(VLOOKUP(CONCATENATE($A68,"_",AW$3),'Unit List'!$A$14:$H$2841,2,FALSE)),"X",$AU68)</f>
        <v>+</v>
      </c>
      <c r="AX68" s="171" t="str">
        <f>IF(ISTEXT(VLOOKUP(CONCATENATE($A68,"_",AX$3),'Unit List'!$A$14:$H$2841,2,FALSE)),"+","")</f>
        <v>+</v>
      </c>
      <c r="AY68" s="178" t="str">
        <f>IF(ISTEXT(VLOOKUP(CONCATENATE($A68,"_",AY$3),'Unit List'!$A$14:$H$2841,2,FALSE)),"X",$AX68)</f>
        <v>+</v>
      </c>
      <c r="AZ68" s="189" t="str">
        <f>IF(ISTEXT(VLOOKUP(CONCATENATE($A68,"_",AZ$3),'Unit List'!$A$14:$H$2841,2,FALSE)),"X",$AX68)</f>
        <v>+</v>
      </c>
      <c r="BA68" s="171" t="str">
        <f>IF(ISTEXT(VLOOKUP(CONCATENATE($A68,"_",BA$3),'Unit List'!$A$14:$H$2841,2,FALSE)),"+","")</f>
        <v>+</v>
      </c>
      <c r="BB68" s="178" t="str">
        <f>IF(ISTEXT(VLOOKUP(CONCATENATE($A68,"_",BB$3),'Unit List'!$A$14:$H$2841,2,FALSE)),"X",$BA68)</f>
        <v>+</v>
      </c>
      <c r="BC68" s="178" t="str">
        <f>IF(ISTEXT(VLOOKUP(CONCATENATE($A68,"_",BC$3),'Unit List'!$A$14:$H$2841,2,FALSE)),"X",$BA68)</f>
        <v>+</v>
      </c>
      <c r="BD68" s="189" t="str">
        <f>IF(ISTEXT(VLOOKUP(CONCATENATE($A68,"_",BD$3),'Unit List'!$A$14:$H$2841,2,FALSE)),"X",$BA68)</f>
        <v>+</v>
      </c>
      <c r="BE68" s="175" t="str">
        <f>IF(ISTEXT(VLOOKUP(CONCATENATE($A68,"_",BE$3),'Unit List'!$A$14:$H$2841,2,FALSE)),"+","")</f>
        <v>+</v>
      </c>
      <c r="BF68" s="95" t="str">
        <f>IF(ISTEXT(VLOOKUP(CONCATENATE($A68,"_",BF$3),'Unit List'!$A$14:$H$2841,2,FALSE)),"X",$BE68)</f>
        <v>+</v>
      </c>
      <c r="BG68" s="97"/>
      <c r="BH68" s="98" t="s">
        <v>0</v>
      </c>
      <c r="BI68" s="203" t="s">
        <v>1162</v>
      </c>
      <c r="BJ68" s="206"/>
      <c r="BK68" s="206"/>
      <c r="BL68" s="206"/>
      <c r="BM68" s="207"/>
      <c r="BN68" s="54"/>
      <c r="BO68" s="54"/>
      <c r="BP68" s="54"/>
      <c r="BQ68" s="54"/>
      <c r="BR68" s="54"/>
      <c r="BS68" s="54"/>
      <c r="DZ68" s="55"/>
      <c r="EA68" s="55"/>
    </row>
    <row r="69" spans="1:131" ht="12.75" customHeight="1" x14ac:dyDescent="0.2">
      <c r="A69" s="128" t="s">
        <v>1114</v>
      </c>
      <c r="B69" s="181" t="str">
        <f>IF(ISTEXT(VLOOKUP(CONCATENATE($A69,"_",B$3),'Unit List'!$A$14:$H$2841,2,FALSE)),"+","")</f>
        <v/>
      </c>
      <c r="C69" s="119" t="str">
        <f>IF(ISTEXT(VLOOKUP(CONCATENATE($A69,"_",C$3),'Unit List'!$A$14:$H$2841,2,FALSE)),"X",$B69)</f>
        <v/>
      </c>
      <c r="D69" s="120" t="str">
        <f>IF(ISTEXT(VLOOKUP(CONCATENATE($A69,"_",D$3),'Unit List'!$A$14:$H$2841,2,FALSE)),"X",$B69)</f>
        <v/>
      </c>
      <c r="E69" s="120" t="str">
        <f>IF(ISTEXT(VLOOKUP(CONCATENATE($A69,"_",E$3),'Unit List'!$A$14:$H$2841,2,FALSE)),"X",$B69)</f>
        <v/>
      </c>
      <c r="F69" s="120" t="str">
        <f>IF(ISTEXT(VLOOKUP(CONCATENATE($A69,"_",F$3),'Unit List'!$A$14:$H$2841,2,FALSE)),"X",$B69)</f>
        <v/>
      </c>
      <c r="G69" s="120" t="str">
        <f>IF(ISTEXT(VLOOKUP(CONCATENATE($A69,"_",G$3),'Unit List'!$A$14:$H$2841,2,FALSE)),"X",$B69)</f>
        <v/>
      </c>
      <c r="H69" s="120" t="str">
        <f>IF(ISTEXT(VLOOKUP(CONCATENATE($A69,"_",H$3),'Unit List'!$A$14:$H$2841,2,FALSE)),"X",$B69)</f>
        <v/>
      </c>
      <c r="I69" s="122" t="str">
        <f>IF(ISTEXT(VLOOKUP(CONCATENATE($A69,"_",I$3),'Unit List'!$A$14:$H$2841,2,FALSE)),"X",$B69)</f>
        <v/>
      </c>
      <c r="J69" s="172" t="str">
        <f>IF(ISTEXT(VLOOKUP(CONCATENATE($A69,"_",J$3),'Unit List'!$A$14:$H$2841,2,FALSE)),"+","")</f>
        <v/>
      </c>
      <c r="K69" s="120" t="str">
        <f>IF(ISTEXT(VLOOKUP(CONCATENATE($A69,"_",K$3),'Unit List'!$A$14:$H$2841,2,FALSE)),"X",$J69)</f>
        <v/>
      </c>
      <c r="L69" s="75" t="str">
        <f>IF(ISTEXT(VLOOKUP(CONCATENATE($A69,"_",L$3),'Unit List'!$A$14:$H$2841,2,FALSE)),"X",$J69)</f>
        <v/>
      </c>
      <c r="M69" s="172" t="str">
        <f>IF(ISTEXT(VLOOKUP(CONCATENATE($A69,"_",M$3),'Unit List'!$A$14:$H$2841,2,FALSE)),"+","")</f>
        <v/>
      </c>
      <c r="N69" s="120" t="str">
        <f>IF(ISTEXT(VLOOKUP(CONCATENATE($A69,"_",N$3),'Unit List'!$A$14:$H$2841,2,FALSE)),"X",$M69)</f>
        <v/>
      </c>
      <c r="O69" s="122" t="str">
        <f>IF(ISTEXT(VLOOKUP(CONCATENATE($A69,"_",O$3),'Unit List'!$A$14:$H$2841,2,FALSE)),"X",$M69)</f>
        <v/>
      </c>
      <c r="P69" s="172" t="str">
        <f>IF(ISTEXT(VLOOKUP(CONCATENATE($A69,"_",P$3),'Unit List'!$A$14:$H$2841,2,FALSE)),"+","")</f>
        <v/>
      </c>
      <c r="Q69" s="120" t="str">
        <f>IF(ISTEXT(VLOOKUP(CONCATENATE($A69,"_",Q$3),'Unit List'!$A$14:$H$2841,2,FALSE)),"X",$P69)</f>
        <v/>
      </c>
      <c r="R69" s="120" t="str">
        <f>IF(ISTEXT(VLOOKUP(CONCATENATE($A69,"_",R$3),'Unit List'!$A$14:$H$2841,2,FALSE)),"X",$P69)</f>
        <v/>
      </c>
      <c r="S69" s="120" t="str">
        <f>IF(ISTEXT(VLOOKUP(CONCATENATE($A69,"_",S$3),'Unit List'!$A$14:$H$2841,2,FALSE)),"X",$P69)</f>
        <v/>
      </c>
      <c r="T69" s="121" t="str">
        <f>IF(ISTEXT(VLOOKUP(CONCATENATE($A69,"_",T$3),'Unit List'!$A$14:$H$2841,2,FALSE)),"X",$P69)</f>
        <v/>
      </c>
      <c r="U69" s="120" t="str">
        <f>IF(ISTEXT(VLOOKUP(CONCATENATE($A69,"_",U$3),'Unit List'!$A$14:$H$2841,2,FALSE)),"X",$P69)</f>
        <v/>
      </c>
      <c r="V69" s="120" t="str">
        <f>IF(ISTEXT(VLOOKUP(CONCATENATE($A69,"_",V$3),'Unit List'!$A$14:$H$2841,2,FALSE)),"X",$P69)</f>
        <v/>
      </c>
      <c r="W69" s="122" t="str">
        <f>IF(ISTEXT(VLOOKUP(CONCATENATE($A69,"_",W$3),'Unit List'!$A$14:$H$2841,2,FALSE)),"X",$P69)</f>
        <v/>
      </c>
      <c r="X69" s="172" t="str">
        <f>IF(ISTEXT(VLOOKUP(CONCATENATE($A69,"_",X$3),'Unit List'!$A$14:$H$2841,2,FALSE)),"+","")</f>
        <v/>
      </c>
      <c r="Y69" s="120" t="str">
        <f>IF(ISTEXT(VLOOKUP(CONCATENATE($A69,"_",Y$3),'Unit List'!$A$14:$H$2841,2,FALSE)),"X",$X69)</f>
        <v/>
      </c>
      <c r="Z69" s="120" t="str">
        <f>IF(ISTEXT(VLOOKUP(CONCATENATE($A69,"_",Z$3),'Unit List'!$A$14:$H$2841,2,FALSE)),"X",$X69)</f>
        <v/>
      </c>
      <c r="AA69" s="120" t="str">
        <f>IF(ISTEXT(VLOOKUP(CONCATENATE($A69,"_",AA$3),'Unit List'!$A$14:$H$2841,2,FALSE)),"X",$X69)</f>
        <v/>
      </c>
      <c r="AB69" s="120" t="str">
        <f>IF(ISTEXT(VLOOKUP(CONCATENATE($A69,"_",AB$3),'Unit List'!$A$14:$H$2841,2,FALSE)),"X",$X69)</f>
        <v/>
      </c>
      <c r="AC69" s="75" t="str">
        <f>IF(ISTEXT(VLOOKUP(CONCATENATE($A69,"_",AC$3),'Unit List'!$A$14:$H$2841,2,FALSE)),"X",$X69)</f>
        <v/>
      </c>
      <c r="AD69" s="172" t="str">
        <f>IF(ISTEXT(VLOOKUP(CONCATENATE($A69,"_",AD$3),'Unit List'!$A$14:$H$2841,2,FALSE)),"+","")</f>
        <v/>
      </c>
      <c r="AE69" s="120" t="str">
        <f>IF(ISTEXT(VLOOKUP(CONCATENATE($A69,"_",AE$3),'Unit List'!$A$14:$H$2841,2,FALSE)),"X",$AD69)</f>
        <v/>
      </c>
      <c r="AF69" s="120" t="str">
        <f>IF(ISTEXT(VLOOKUP(CONCATENATE($A69,"_",AF$3),'Unit List'!$A$14:$H$2841,2,FALSE)),"X",$AD69)</f>
        <v/>
      </c>
      <c r="AG69" s="172" t="str">
        <f>IF(ISTEXT(VLOOKUP(CONCATENATE($A69,"_",AG$3),'Unit List'!$A$14:$H$2841,2,FALSE)),"+","")</f>
        <v/>
      </c>
      <c r="AH69" s="120" t="str">
        <f>IF(ISTEXT(VLOOKUP(CONCATENATE($A69,"_",AH$3),'Unit List'!$A$14:$H$2841,2,FALSE)),"X",$AG69)</f>
        <v/>
      </c>
      <c r="AI69" s="120" t="str">
        <f>IF(ISTEXT(VLOOKUP(CONCATENATE($A69,"_",AI$3),'Unit List'!$A$14:$H$2841,2,FALSE)),"X",$AG69)</f>
        <v/>
      </c>
      <c r="AJ69" s="122" t="str">
        <f>IF(ISTEXT(VLOOKUP(CONCATENATE($A69,"_",AJ$3),'Unit List'!$A$14:$H$2841,2,FALSE)),"X",$AG69)</f>
        <v/>
      </c>
      <c r="AK69" s="172" t="str">
        <f>IF(ISTEXT(VLOOKUP(CONCATENATE($A69,"_",AK$3),'Unit List'!$A$14:$H$2841,2,FALSE)),"+","")</f>
        <v/>
      </c>
      <c r="AL69" s="121" t="str">
        <f>IF(ISTEXT(VLOOKUP(CONCATENATE($A69,"_",AL$3),'Unit List'!$A$14:$H$2841,2,FALSE)),"X",$AK69)</f>
        <v/>
      </c>
      <c r="AM69" s="122" t="str">
        <f>IF(ISTEXT(VLOOKUP(CONCATENATE($A69,"_",AM$3),'Unit List'!$A$14:$H$2841,2,FALSE)),"X",$AK69)</f>
        <v/>
      </c>
      <c r="AN69" s="125" t="str">
        <f>IF(ISTEXT(VLOOKUP(CONCATENATE($A69,"_",AN$3),'Unit List'!$A$14:$H$2841,2,FALSE)),"+","")</f>
        <v/>
      </c>
      <c r="AO69" s="122" t="str">
        <f>IF(ISTEXT(VLOOKUP(CONCATENATE($A69,"_",AO$3),'Unit List'!$A$14:$H$2841,2,FALSE)),"X",$AN69)</f>
        <v/>
      </c>
      <c r="AP69" s="172" t="str">
        <f>IF(ISTEXT(VLOOKUP(CONCATENATE($A69,"_",AP$3),'Unit List'!$A$14:$H$2841,2,FALSE)),"+","")</f>
        <v/>
      </c>
      <c r="AQ69" s="120" t="str">
        <f>IF(ISTEXT(VLOOKUP(CONCATENATE($A69,"_",AQ$3),'Unit List'!$A$14:$H$2841,2,FALSE)),"X",$AP69)</f>
        <v/>
      </c>
      <c r="AR69" s="120" t="str">
        <f>IF(ISTEXT(VLOOKUP(CONCATENATE($A69,"_",AR$3),'Unit List'!$A$14:$H$2841,2,FALSE)),"X",$AP69)</f>
        <v/>
      </c>
      <c r="AS69" s="120" t="str">
        <f>IF(ISTEXT(VLOOKUP(CONCATENATE($A69,"_",AS$3),'Unit List'!$A$14:$H$2841,2,FALSE)),"X",$AP69)</f>
        <v/>
      </c>
      <c r="AT69" s="122" t="str">
        <f>IF(ISTEXT(VLOOKUP(CONCATENATE($A69,"_",AT$3),'Unit List'!$A$14:$H$2841,2,FALSE)),"X",$AP69)</f>
        <v/>
      </c>
      <c r="AU69" s="124" t="str">
        <f>IF(ISTEXT(VLOOKUP(CONCATENATE($A69,"_",AU$3),'Unit List'!$A$14:$H$2841,2,FALSE)),"+","")</f>
        <v/>
      </c>
      <c r="AV69" s="120" t="str">
        <f>IF(ISTEXT(VLOOKUP(CONCATENATE($A69,"_",AV$3),'Unit List'!$A$14:$H$2841,2,FALSE)),"X",$AU69)</f>
        <v/>
      </c>
      <c r="AW69" s="122" t="str">
        <f>IF(ISTEXT(VLOOKUP(CONCATENATE($A69,"_",AW$3),'Unit List'!$A$14:$H$2841,2,FALSE)),"X",$AU69)</f>
        <v/>
      </c>
      <c r="AX69" s="172" t="str">
        <f>IF(ISTEXT(VLOOKUP(CONCATENATE($A69,"_",AX$3),'Unit List'!$A$14:$H$2841,2,FALSE)),"+","")</f>
        <v/>
      </c>
      <c r="AY69" s="120" t="str">
        <f>IF(ISTEXT(VLOOKUP(CONCATENATE($A69,"_",AY$3),'Unit List'!$A$14:$H$2841,2,FALSE)),"X",$AX69)</f>
        <v/>
      </c>
      <c r="AZ69" s="122" t="str">
        <f>IF(ISTEXT(VLOOKUP(CONCATENATE($A69,"_",AZ$3),'Unit List'!$A$14:$H$2841,2,FALSE)),"X",$AX69)</f>
        <v/>
      </c>
      <c r="BA69" s="182" t="str">
        <f>IF(ISTEXT(VLOOKUP(CONCATENATE($A69,"_",BA$3),'Unit List'!$A$14:$H$2841,2,FALSE)),"+","")</f>
        <v/>
      </c>
      <c r="BB69" s="120" t="str">
        <f>IF(ISTEXT(VLOOKUP(CONCATENATE($A69,"_",BB$3),'Unit List'!$A$14:$H$2841,2,FALSE)),"X",$BA69)</f>
        <v/>
      </c>
      <c r="BC69" s="120" t="str">
        <f>IF(ISTEXT(VLOOKUP(CONCATENATE($A69,"_",BC$3),'Unit List'!$A$14:$H$2841,2,FALSE)),"X",$BA69)</f>
        <v/>
      </c>
      <c r="BD69" s="122" t="str">
        <f>IF(ISTEXT(VLOOKUP(CONCATENATE($A69,"_",BD$3),'Unit List'!$A$14:$H$2841,2,FALSE)),"X",$BA69)</f>
        <v/>
      </c>
      <c r="BE69" s="125" t="str">
        <f>IF(ISTEXT(VLOOKUP(CONCATENATE($A69,"_",BE$3),'Unit List'!$A$14:$H$2841,2,FALSE)),"+","")</f>
        <v/>
      </c>
      <c r="BF69" s="75" t="str">
        <f>IF(ISTEXT(VLOOKUP(CONCATENATE($A69,"_",BF$3),'Unit List'!$A$14:$H$2841,2,FALSE)),"X",$BE69)</f>
        <v/>
      </c>
      <c r="BG69" s="75"/>
      <c r="BH69" s="84"/>
      <c r="BI69" s="203"/>
      <c r="BJ69" s="204"/>
      <c r="BK69" s="204"/>
      <c r="BL69" s="204"/>
      <c r="BM69" s="205"/>
      <c r="BN69" s="54"/>
      <c r="BO69" s="54"/>
      <c r="BP69" s="54"/>
      <c r="BQ69" s="54"/>
      <c r="BR69" s="54"/>
      <c r="BS69" s="54"/>
      <c r="DZ69" s="55"/>
      <c r="EA69" s="55"/>
    </row>
    <row r="70" spans="1:131" ht="12.75" customHeight="1" x14ac:dyDescent="0.2">
      <c r="A70" s="128" t="s">
        <v>1115</v>
      </c>
      <c r="B70" s="181" t="str">
        <f>IF(ISTEXT(VLOOKUP(CONCATENATE($A70,"_",B$3),'Unit List'!$A$14:$H$2841,2,FALSE)),"+","")</f>
        <v/>
      </c>
      <c r="C70" s="119" t="str">
        <f>IF(ISTEXT(VLOOKUP(CONCATENATE($A70,"_",C$3),'Unit List'!$A$14:$H$2841,2,FALSE)),"X",$B70)</f>
        <v/>
      </c>
      <c r="D70" s="120" t="str">
        <f>IF(ISTEXT(VLOOKUP(CONCATENATE($A70,"_",D$3),'Unit List'!$A$14:$H$2841,2,FALSE)),"X",$B70)</f>
        <v/>
      </c>
      <c r="E70" s="120" t="str">
        <f>IF(ISTEXT(VLOOKUP(CONCATENATE($A70,"_",E$3),'Unit List'!$A$14:$H$2841,2,FALSE)),"X",$B70)</f>
        <v/>
      </c>
      <c r="F70" s="120" t="str">
        <f>IF(ISTEXT(VLOOKUP(CONCATENATE($A70,"_",F$3),'Unit List'!$A$14:$H$2841,2,FALSE)),"X",$B70)</f>
        <v/>
      </c>
      <c r="G70" s="120" t="str">
        <f>IF(ISTEXT(VLOOKUP(CONCATENATE($A70,"_",G$3),'Unit List'!$A$14:$H$2841,2,FALSE)),"X",$B70)</f>
        <v/>
      </c>
      <c r="H70" s="120" t="str">
        <f>IF(ISTEXT(VLOOKUP(CONCATENATE($A70,"_",H$3),'Unit List'!$A$14:$H$2841,2,FALSE)),"X",$B70)</f>
        <v/>
      </c>
      <c r="I70" s="122" t="str">
        <f>IF(ISTEXT(VLOOKUP(CONCATENATE($A70,"_",I$3),'Unit List'!$A$14:$H$2841,2,FALSE)),"X",$B70)</f>
        <v/>
      </c>
      <c r="J70" s="172" t="str">
        <f>IF(ISTEXT(VLOOKUP(CONCATENATE($A70,"_",J$3),'Unit List'!$A$14:$H$2841,2,FALSE)),"+","")</f>
        <v/>
      </c>
      <c r="K70" s="120" t="str">
        <f>IF(ISTEXT(VLOOKUP(CONCATENATE($A70,"_",K$3),'Unit List'!$A$14:$H$2841,2,FALSE)),"X",$J70)</f>
        <v/>
      </c>
      <c r="L70" s="75" t="str">
        <f>IF(ISTEXT(VLOOKUP(CONCATENATE($A70,"_",L$3),'Unit List'!$A$14:$H$2841,2,FALSE)),"X",$J70)</f>
        <v/>
      </c>
      <c r="M70" s="172" t="str">
        <f>IF(ISTEXT(VLOOKUP(CONCATENATE($A70,"_",M$3),'Unit List'!$A$14:$H$2841,2,FALSE)),"+","")</f>
        <v/>
      </c>
      <c r="N70" s="120" t="str">
        <f>IF(ISTEXT(VLOOKUP(CONCATENATE($A70,"_",N$3),'Unit List'!$A$14:$H$2841,2,FALSE)),"X",$M70)</f>
        <v/>
      </c>
      <c r="O70" s="122" t="str">
        <f>IF(ISTEXT(VLOOKUP(CONCATENATE($A70,"_",O$3),'Unit List'!$A$14:$H$2841,2,FALSE)),"X",$M70)</f>
        <v/>
      </c>
      <c r="P70" s="172" t="str">
        <f>IF(ISTEXT(VLOOKUP(CONCATENATE($A70,"_",P$3),'Unit List'!$A$14:$H$2841,2,FALSE)),"+","")</f>
        <v/>
      </c>
      <c r="Q70" s="120" t="str">
        <f>IF(ISTEXT(VLOOKUP(CONCATENATE($A70,"_",Q$3),'Unit List'!$A$14:$H$2841,2,FALSE)),"X",$P70)</f>
        <v/>
      </c>
      <c r="R70" s="120" t="str">
        <f>IF(ISTEXT(VLOOKUP(CONCATENATE($A70,"_",R$3),'Unit List'!$A$14:$H$2841,2,FALSE)),"X",$P70)</f>
        <v/>
      </c>
      <c r="S70" s="120" t="str">
        <f>IF(ISTEXT(VLOOKUP(CONCATENATE($A70,"_",S$3),'Unit List'!$A$14:$H$2841,2,FALSE)),"X",$P70)</f>
        <v/>
      </c>
      <c r="T70" s="121" t="str">
        <f>IF(ISTEXT(VLOOKUP(CONCATENATE($A70,"_",T$3),'Unit List'!$A$14:$H$2841,2,FALSE)),"X",$P70)</f>
        <v/>
      </c>
      <c r="U70" s="120" t="str">
        <f>IF(ISTEXT(VLOOKUP(CONCATENATE($A70,"_",U$3),'Unit List'!$A$14:$H$2841,2,FALSE)),"X",$P70)</f>
        <v/>
      </c>
      <c r="V70" s="120" t="str">
        <f>IF(ISTEXT(VLOOKUP(CONCATENATE($A70,"_",V$3),'Unit List'!$A$14:$H$2841,2,FALSE)),"X",$P70)</f>
        <v/>
      </c>
      <c r="W70" s="122" t="str">
        <f>IF(ISTEXT(VLOOKUP(CONCATENATE($A70,"_",W$3),'Unit List'!$A$14:$H$2841,2,FALSE)),"X",$P70)</f>
        <v/>
      </c>
      <c r="X70" s="172" t="str">
        <f>IF(ISTEXT(VLOOKUP(CONCATENATE($A70,"_",X$3),'Unit List'!$A$14:$H$2841,2,FALSE)),"+","")</f>
        <v/>
      </c>
      <c r="Y70" s="120" t="str">
        <f>IF(ISTEXT(VLOOKUP(CONCATENATE($A70,"_",Y$3),'Unit List'!$A$14:$H$2841,2,FALSE)),"X",$X70)</f>
        <v/>
      </c>
      <c r="Z70" s="120" t="str">
        <f>IF(ISTEXT(VLOOKUP(CONCATENATE($A70,"_",Z$3),'Unit List'!$A$14:$H$2841,2,FALSE)),"X",$X70)</f>
        <v/>
      </c>
      <c r="AA70" s="120" t="str">
        <f>IF(ISTEXT(VLOOKUP(CONCATENATE($A70,"_",AA$3),'Unit List'!$A$14:$H$2841,2,FALSE)),"X",$X70)</f>
        <v/>
      </c>
      <c r="AB70" s="120" t="str">
        <f>IF(ISTEXT(VLOOKUP(CONCATENATE($A70,"_",AB$3),'Unit List'!$A$14:$H$2841,2,FALSE)),"X",$X70)</f>
        <v/>
      </c>
      <c r="AC70" s="75" t="str">
        <f>IF(ISTEXT(VLOOKUP(CONCATENATE($A70,"_",AC$3),'Unit List'!$A$14:$H$2841,2,FALSE)),"X",$X70)</f>
        <v/>
      </c>
      <c r="AD70" s="172" t="str">
        <f>IF(ISTEXT(VLOOKUP(CONCATENATE($A70,"_",AD$3),'Unit List'!$A$14:$H$2841,2,FALSE)),"+","")</f>
        <v/>
      </c>
      <c r="AE70" s="120" t="str">
        <f>IF(ISTEXT(VLOOKUP(CONCATENATE($A70,"_",AE$3),'Unit List'!$A$14:$H$2841,2,FALSE)),"X",$AD70)</f>
        <v/>
      </c>
      <c r="AF70" s="120" t="str">
        <f>IF(ISTEXT(VLOOKUP(CONCATENATE($A70,"_",AF$3),'Unit List'!$A$14:$H$2841,2,FALSE)),"X",$AD70)</f>
        <v/>
      </c>
      <c r="AG70" s="172" t="str">
        <f>IF(ISTEXT(VLOOKUP(CONCATENATE($A70,"_",AG$3),'Unit List'!$A$14:$H$2841,2,FALSE)),"+","")</f>
        <v/>
      </c>
      <c r="AH70" s="120" t="str">
        <f>IF(ISTEXT(VLOOKUP(CONCATENATE($A70,"_",AH$3),'Unit List'!$A$14:$H$2841,2,FALSE)),"X",$AG70)</f>
        <v/>
      </c>
      <c r="AI70" s="120" t="str">
        <f>IF(ISTEXT(VLOOKUP(CONCATENATE($A70,"_",AI$3),'Unit List'!$A$14:$H$2841,2,FALSE)),"X",$AG70)</f>
        <v/>
      </c>
      <c r="AJ70" s="122" t="str">
        <f>IF(ISTEXT(VLOOKUP(CONCATENATE($A70,"_",AJ$3),'Unit List'!$A$14:$H$2841,2,FALSE)),"X",$AG70)</f>
        <v/>
      </c>
      <c r="AK70" s="172" t="str">
        <f>IF(ISTEXT(VLOOKUP(CONCATENATE($A70,"_",AK$3),'Unit List'!$A$14:$H$2841,2,FALSE)),"+","")</f>
        <v/>
      </c>
      <c r="AL70" s="121" t="str">
        <f>IF(ISTEXT(VLOOKUP(CONCATENATE($A70,"_",AL$3),'Unit List'!$A$14:$H$2841,2,FALSE)),"X",$AK70)</f>
        <v/>
      </c>
      <c r="AM70" s="122" t="str">
        <f>IF(ISTEXT(VLOOKUP(CONCATENATE($A70,"_",AM$3),'Unit List'!$A$14:$H$2841,2,FALSE)),"X",$AK70)</f>
        <v/>
      </c>
      <c r="AN70" s="125" t="str">
        <f>IF(ISTEXT(VLOOKUP(CONCATENATE($A70,"_",AN$3),'Unit List'!$A$14:$H$2841,2,FALSE)),"+","")</f>
        <v/>
      </c>
      <c r="AO70" s="122" t="str">
        <f>IF(ISTEXT(VLOOKUP(CONCATENATE($A70,"_",AO$3),'Unit List'!$A$14:$H$2841,2,FALSE)),"X",$AN70)</f>
        <v/>
      </c>
      <c r="AP70" s="172" t="str">
        <f>IF(ISTEXT(VLOOKUP(CONCATENATE($A70,"_",AP$3),'Unit List'!$A$14:$H$2841,2,FALSE)),"+","")</f>
        <v/>
      </c>
      <c r="AQ70" s="120" t="str">
        <f>IF(ISTEXT(VLOOKUP(CONCATENATE($A70,"_",AQ$3),'Unit List'!$A$14:$H$2841,2,FALSE)),"X",$AP70)</f>
        <v/>
      </c>
      <c r="AR70" s="120" t="str">
        <f>IF(ISTEXT(VLOOKUP(CONCATENATE($A70,"_",AR$3),'Unit List'!$A$14:$H$2841,2,FALSE)),"X",$AP70)</f>
        <v/>
      </c>
      <c r="AS70" s="120" t="str">
        <f>IF(ISTEXT(VLOOKUP(CONCATENATE($A70,"_",AS$3),'Unit List'!$A$14:$H$2841,2,FALSE)),"X",$AP70)</f>
        <v/>
      </c>
      <c r="AT70" s="122" t="str">
        <f>IF(ISTEXT(VLOOKUP(CONCATENATE($A70,"_",AT$3),'Unit List'!$A$14:$H$2841,2,FALSE)),"X",$AP70)</f>
        <v/>
      </c>
      <c r="AU70" s="124" t="str">
        <f>IF(ISTEXT(VLOOKUP(CONCATENATE($A70,"_",AU$3),'Unit List'!$A$14:$H$2841,2,FALSE)),"+","")</f>
        <v/>
      </c>
      <c r="AV70" s="120" t="str">
        <f>IF(ISTEXT(VLOOKUP(CONCATENATE($A70,"_",AV$3),'Unit List'!$A$14:$H$2841,2,FALSE)),"X",$AU70)</f>
        <v/>
      </c>
      <c r="AW70" s="122" t="str">
        <f>IF(ISTEXT(VLOOKUP(CONCATENATE($A70,"_",AW$3),'Unit List'!$A$14:$H$2841,2,FALSE)),"X",$AU70)</f>
        <v/>
      </c>
      <c r="AX70" s="172" t="str">
        <f>IF(ISTEXT(VLOOKUP(CONCATENATE($A70,"_",AX$3),'Unit List'!$A$14:$H$2841,2,FALSE)),"+","")</f>
        <v/>
      </c>
      <c r="AY70" s="120" t="str">
        <f>IF(ISTEXT(VLOOKUP(CONCATENATE($A70,"_",AY$3),'Unit List'!$A$14:$H$2841,2,FALSE)),"X",$AX70)</f>
        <v/>
      </c>
      <c r="AZ70" s="122" t="str">
        <f>IF(ISTEXT(VLOOKUP(CONCATENATE($A70,"_",AZ$3),'Unit List'!$A$14:$H$2841,2,FALSE)),"X",$AX70)</f>
        <v/>
      </c>
      <c r="BA70" s="182" t="str">
        <f>IF(ISTEXT(VLOOKUP(CONCATENATE($A70,"_",BA$3),'Unit List'!$A$14:$H$2841,2,FALSE)),"+","")</f>
        <v/>
      </c>
      <c r="BB70" s="120" t="str">
        <f>IF(ISTEXT(VLOOKUP(CONCATENATE($A70,"_",BB$3),'Unit List'!$A$14:$H$2841,2,FALSE)),"X",$BA70)</f>
        <v/>
      </c>
      <c r="BC70" s="120" t="str">
        <f>IF(ISTEXT(VLOOKUP(CONCATENATE($A70,"_",BC$3),'Unit List'!$A$14:$H$2841,2,FALSE)),"X",$BA70)</f>
        <v/>
      </c>
      <c r="BD70" s="122" t="str">
        <f>IF(ISTEXT(VLOOKUP(CONCATENATE($A70,"_",BD$3),'Unit List'!$A$14:$H$2841,2,FALSE)),"X",$BA70)</f>
        <v/>
      </c>
      <c r="BE70" s="125" t="str">
        <f>IF(ISTEXT(VLOOKUP(CONCATENATE($A70,"_",BE$3),'Unit List'!$A$14:$H$2841,2,FALSE)),"+","")</f>
        <v/>
      </c>
      <c r="BF70" s="75" t="str">
        <f>IF(ISTEXT(VLOOKUP(CONCATENATE($A70,"_",BF$3),'Unit List'!$A$14:$H$2841,2,FALSE)),"X",$BE70)</f>
        <v/>
      </c>
      <c r="BG70" s="75"/>
      <c r="BH70" s="84"/>
      <c r="BI70" s="203"/>
      <c r="BJ70" s="204"/>
      <c r="BK70" s="204"/>
      <c r="BL70" s="204"/>
      <c r="BM70" s="205"/>
      <c r="BN70" s="54"/>
      <c r="BO70" s="54"/>
      <c r="BP70" s="54"/>
      <c r="BQ70" s="54"/>
      <c r="BR70" s="54"/>
      <c r="BS70" s="54"/>
      <c r="DZ70" s="55"/>
      <c r="EA70" s="55"/>
    </row>
    <row r="71" spans="1:131" ht="12.75" customHeight="1" x14ac:dyDescent="0.2">
      <c r="A71" s="128" t="s">
        <v>1116</v>
      </c>
      <c r="B71" s="181" t="str">
        <f>IF(ISTEXT(VLOOKUP(CONCATENATE($A71,"_",B$3),'Unit List'!$A$14:$H$2841,2,FALSE)),"+","")</f>
        <v/>
      </c>
      <c r="C71" s="119" t="str">
        <f>IF(ISTEXT(VLOOKUP(CONCATENATE($A71,"_",C$3),'Unit List'!$A$14:$H$2841,2,FALSE)),"X",$B71)</f>
        <v/>
      </c>
      <c r="D71" s="120" t="str">
        <f>IF(ISTEXT(VLOOKUP(CONCATENATE($A71,"_",D$3),'Unit List'!$A$14:$H$2841,2,FALSE)),"X",$B71)</f>
        <v/>
      </c>
      <c r="E71" s="120" t="str">
        <f>IF(ISTEXT(VLOOKUP(CONCATENATE($A71,"_",E$3),'Unit List'!$A$14:$H$2841,2,FALSE)),"X",$B71)</f>
        <v/>
      </c>
      <c r="F71" s="120" t="str">
        <f>IF(ISTEXT(VLOOKUP(CONCATENATE($A71,"_",F$3),'Unit List'!$A$14:$H$2841,2,FALSE)),"X",$B71)</f>
        <v/>
      </c>
      <c r="G71" s="120" t="str">
        <f>IF(ISTEXT(VLOOKUP(CONCATENATE($A71,"_",G$3),'Unit List'!$A$14:$H$2841,2,FALSE)),"X",$B71)</f>
        <v/>
      </c>
      <c r="H71" s="120" t="str">
        <f>IF(ISTEXT(VLOOKUP(CONCATENATE($A71,"_",H$3),'Unit List'!$A$14:$H$2841,2,FALSE)),"X",$B71)</f>
        <v/>
      </c>
      <c r="I71" s="122" t="str">
        <f>IF(ISTEXT(VLOOKUP(CONCATENATE($A71,"_",I$3),'Unit List'!$A$14:$H$2841,2,FALSE)),"X",$B71)</f>
        <v/>
      </c>
      <c r="J71" s="172" t="str">
        <f>IF(ISTEXT(VLOOKUP(CONCATENATE($A71,"_",J$3),'Unit List'!$A$14:$H$2841,2,FALSE)),"+","")</f>
        <v/>
      </c>
      <c r="K71" s="120" t="str">
        <f>IF(ISTEXT(VLOOKUP(CONCATENATE($A71,"_",K$3),'Unit List'!$A$14:$H$2841,2,FALSE)),"X",$J71)</f>
        <v/>
      </c>
      <c r="L71" s="75" t="str">
        <f>IF(ISTEXT(VLOOKUP(CONCATENATE($A71,"_",L$3),'Unit List'!$A$14:$H$2841,2,FALSE)),"X",$J71)</f>
        <v/>
      </c>
      <c r="M71" s="172" t="str">
        <f>IF(ISTEXT(VLOOKUP(CONCATENATE($A71,"_",M$3),'Unit List'!$A$14:$H$2841,2,FALSE)),"+","")</f>
        <v/>
      </c>
      <c r="N71" s="120" t="str">
        <f>IF(ISTEXT(VLOOKUP(CONCATENATE($A71,"_",N$3),'Unit List'!$A$14:$H$2841,2,FALSE)),"X",$M71)</f>
        <v/>
      </c>
      <c r="O71" s="122" t="str">
        <f>IF(ISTEXT(VLOOKUP(CONCATENATE($A71,"_",O$3),'Unit List'!$A$14:$H$2841,2,FALSE)),"X",$M71)</f>
        <v/>
      </c>
      <c r="P71" s="172" t="str">
        <f>IF(ISTEXT(VLOOKUP(CONCATENATE($A71,"_",P$3),'Unit List'!$A$14:$H$2841,2,FALSE)),"+","")</f>
        <v/>
      </c>
      <c r="Q71" s="120" t="str">
        <f>IF(ISTEXT(VLOOKUP(CONCATENATE($A71,"_",Q$3),'Unit List'!$A$14:$H$2841,2,FALSE)),"X",$P71)</f>
        <v/>
      </c>
      <c r="R71" s="120" t="str">
        <f>IF(ISTEXT(VLOOKUP(CONCATENATE($A71,"_",R$3),'Unit List'!$A$14:$H$2841,2,FALSE)),"X",$P71)</f>
        <v/>
      </c>
      <c r="S71" s="120" t="str">
        <f>IF(ISTEXT(VLOOKUP(CONCATENATE($A71,"_",S$3),'Unit List'!$A$14:$H$2841,2,FALSE)),"X",$P71)</f>
        <v/>
      </c>
      <c r="T71" s="121" t="str">
        <f>IF(ISTEXT(VLOOKUP(CONCATENATE($A71,"_",T$3),'Unit List'!$A$14:$H$2841,2,FALSE)),"X",$P71)</f>
        <v/>
      </c>
      <c r="U71" s="120" t="str">
        <f>IF(ISTEXT(VLOOKUP(CONCATENATE($A71,"_",U$3),'Unit List'!$A$14:$H$2841,2,FALSE)),"X",$P71)</f>
        <v/>
      </c>
      <c r="V71" s="120" t="str">
        <f>IF(ISTEXT(VLOOKUP(CONCATENATE($A71,"_",V$3),'Unit List'!$A$14:$H$2841,2,FALSE)),"X",$P71)</f>
        <v/>
      </c>
      <c r="W71" s="122" t="str">
        <f>IF(ISTEXT(VLOOKUP(CONCATENATE($A71,"_",W$3),'Unit List'!$A$14:$H$2841,2,FALSE)),"X",$P71)</f>
        <v/>
      </c>
      <c r="X71" s="172" t="str">
        <f>IF(ISTEXT(VLOOKUP(CONCATENATE($A71,"_",X$3),'Unit List'!$A$14:$H$2841,2,FALSE)),"+","")</f>
        <v/>
      </c>
      <c r="Y71" s="120" t="str">
        <f>IF(ISTEXT(VLOOKUP(CONCATENATE($A71,"_",Y$3),'Unit List'!$A$14:$H$2841,2,FALSE)),"X",$X71)</f>
        <v/>
      </c>
      <c r="Z71" s="120" t="str">
        <f>IF(ISTEXT(VLOOKUP(CONCATENATE($A71,"_",Z$3),'Unit List'!$A$14:$H$2841,2,FALSE)),"X",$X71)</f>
        <v/>
      </c>
      <c r="AA71" s="120" t="str">
        <f>IF(ISTEXT(VLOOKUP(CONCATENATE($A71,"_",AA$3),'Unit List'!$A$14:$H$2841,2,FALSE)),"X",$X71)</f>
        <v/>
      </c>
      <c r="AB71" s="120" t="str">
        <f>IF(ISTEXT(VLOOKUP(CONCATENATE($A71,"_",AB$3),'Unit List'!$A$14:$H$2841,2,FALSE)),"X",$X71)</f>
        <v/>
      </c>
      <c r="AC71" s="75" t="str">
        <f>IF(ISTEXT(VLOOKUP(CONCATENATE($A71,"_",AC$3),'Unit List'!$A$14:$H$2841,2,FALSE)),"X",$X71)</f>
        <v/>
      </c>
      <c r="AD71" s="172" t="str">
        <f>IF(ISTEXT(VLOOKUP(CONCATENATE($A71,"_",AD$3),'Unit List'!$A$14:$H$2841,2,FALSE)),"+","")</f>
        <v/>
      </c>
      <c r="AE71" s="120" t="str">
        <f>IF(ISTEXT(VLOOKUP(CONCATENATE($A71,"_",AE$3),'Unit List'!$A$14:$H$2841,2,FALSE)),"X",$AD71)</f>
        <v/>
      </c>
      <c r="AF71" s="120" t="str">
        <f>IF(ISTEXT(VLOOKUP(CONCATENATE($A71,"_",AF$3),'Unit List'!$A$14:$H$2841,2,FALSE)),"X",$AD71)</f>
        <v/>
      </c>
      <c r="AG71" s="172" t="str">
        <f>IF(ISTEXT(VLOOKUP(CONCATENATE($A71,"_",AG$3),'Unit List'!$A$14:$H$2841,2,FALSE)),"+","")</f>
        <v/>
      </c>
      <c r="AH71" s="120" t="str">
        <f>IF(ISTEXT(VLOOKUP(CONCATENATE($A71,"_",AH$3),'Unit List'!$A$14:$H$2841,2,FALSE)),"X",$AG71)</f>
        <v/>
      </c>
      <c r="AI71" s="120" t="str">
        <f>IF(ISTEXT(VLOOKUP(CONCATENATE($A71,"_",AI$3),'Unit List'!$A$14:$H$2841,2,FALSE)),"X",$AG71)</f>
        <v/>
      </c>
      <c r="AJ71" s="122" t="str">
        <f>IF(ISTEXT(VLOOKUP(CONCATENATE($A71,"_",AJ$3),'Unit List'!$A$14:$H$2841,2,FALSE)),"X",$AG71)</f>
        <v/>
      </c>
      <c r="AK71" s="172" t="str">
        <f>IF(ISTEXT(VLOOKUP(CONCATENATE($A71,"_",AK$3),'Unit List'!$A$14:$H$2841,2,FALSE)),"+","")</f>
        <v/>
      </c>
      <c r="AL71" s="121" t="str">
        <f>IF(ISTEXT(VLOOKUP(CONCATENATE($A71,"_",AL$3),'Unit List'!$A$14:$H$2841,2,FALSE)),"X",$AK71)</f>
        <v/>
      </c>
      <c r="AM71" s="122" t="str">
        <f>IF(ISTEXT(VLOOKUP(CONCATENATE($A71,"_",AM$3),'Unit List'!$A$14:$H$2841,2,FALSE)),"X",$AK71)</f>
        <v/>
      </c>
      <c r="AN71" s="125" t="str">
        <f>IF(ISTEXT(VLOOKUP(CONCATENATE($A71,"_",AN$3),'Unit List'!$A$14:$H$2841,2,FALSE)),"+","")</f>
        <v/>
      </c>
      <c r="AO71" s="122" t="str">
        <f>IF(ISTEXT(VLOOKUP(CONCATENATE($A71,"_",AO$3),'Unit List'!$A$14:$H$2841,2,FALSE)),"X",$AN71)</f>
        <v/>
      </c>
      <c r="AP71" s="172" t="str">
        <f>IF(ISTEXT(VLOOKUP(CONCATENATE($A71,"_",AP$3),'Unit List'!$A$14:$H$2841,2,FALSE)),"+","")</f>
        <v/>
      </c>
      <c r="AQ71" s="120" t="str">
        <f>IF(ISTEXT(VLOOKUP(CONCATENATE($A71,"_",AQ$3),'Unit List'!$A$14:$H$2841,2,FALSE)),"X",$AP71)</f>
        <v/>
      </c>
      <c r="AR71" s="120" t="str">
        <f>IF(ISTEXT(VLOOKUP(CONCATENATE($A71,"_",AR$3),'Unit List'!$A$14:$H$2841,2,FALSE)),"X",$AP71)</f>
        <v/>
      </c>
      <c r="AS71" s="120" t="str">
        <f>IF(ISTEXT(VLOOKUP(CONCATENATE($A71,"_",AS$3),'Unit List'!$A$14:$H$2841,2,FALSE)),"X",$AP71)</f>
        <v/>
      </c>
      <c r="AT71" s="122" t="str">
        <f>IF(ISTEXT(VLOOKUP(CONCATENATE($A71,"_",AT$3),'Unit List'!$A$14:$H$2841,2,FALSE)),"X",$AP71)</f>
        <v/>
      </c>
      <c r="AU71" s="124" t="str">
        <f>IF(ISTEXT(VLOOKUP(CONCATENATE($A71,"_",AU$3),'Unit List'!$A$14:$H$2841,2,FALSE)),"+","")</f>
        <v/>
      </c>
      <c r="AV71" s="120" t="str">
        <f>IF(ISTEXT(VLOOKUP(CONCATENATE($A71,"_",AV$3),'Unit List'!$A$14:$H$2841,2,FALSE)),"X",$AU71)</f>
        <v/>
      </c>
      <c r="AW71" s="122" t="str">
        <f>IF(ISTEXT(VLOOKUP(CONCATENATE($A71,"_",AW$3),'Unit List'!$A$14:$H$2841,2,FALSE)),"X",$AU71)</f>
        <v/>
      </c>
      <c r="AX71" s="172" t="str">
        <f>IF(ISTEXT(VLOOKUP(CONCATENATE($A71,"_",AX$3),'Unit List'!$A$14:$H$2841,2,FALSE)),"+","")</f>
        <v/>
      </c>
      <c r="AY71" s="120" t="str">
        <f>IF(ISTEXT(VLOOKUP(CONCATENATE($A71,"_",AY$3),'Unit List'!$A$14:$H$2841,2,FALSE)),"X",$AX71)</f>
        <v/>
      </c>
      <c r="AZ71" s="122" t="str">
        <f>IF(ISTEXT(VLOOKUP(CONCATENATE($A71,"_",AZ$3),'Unit List'!$A$14:$H$2841,2,FALSE)),"X",$AX71)</f>
        <v/>
      </c>
      <c r="BA71" s="182" t="str">
        <f>IF(ISTEXT(VLOOKUP(CONCATENATE($A71,"_",BA$3),'Unit List'!$A$14:$H$2841,2,FALSE)),"+","")</f>
        <v/>
      </c>
      <c r="BB71" s="120" t="str">
        <f>IF(ISTEXT(VLOOKUP(CONCATENATE($A71,"_",BB$3),'Unit List'!$A$14:$H$2841,2,FALSE)),"X",$BA71)</f>
        <v/>
      </c>
      <c r="BC71" s="120" t="str">
        <f>IF(ISTEXT(VLOOKUP(CONCATENATE($A71,"_",BC$3),'Unit List'!$A$14:$H$2841,2,FALSE)),"X",$BA71)</f>
        <v/>
      </c>
      <c r="BD71" s="122" t="str">
        <f>IF(ISTEXT(VLOOKUP(CONCATENATE($A71,"_",BD$3),'Unit List'!$A$14:$H$2841,2,FALSE)),"X",$BA71)</f>
        <v/>
      </c>
      <c r="BE71" s="125" t="str">
        <f>IF(ISTEXT(VLOOKUP(CONCATENATE($A71,"_",BE$3),'Unit List'!$A$14:$H$2841,2,FALSE)),"+","")</f>
        <v/>
      </c>
      <c r="BF71" s="75" t="str">
        <f>IF(ISTEXT(VLOOKUP(CONCATENATE($A71,"_",BF$3),'Unit List'!$A$14:$H$2841,2,FALSE)),"X",$BE71)</f>
        <v/>
      </c>
      <c r="BG71" s="75"/>
      <c r="BH71" s="84"/>
      <c r="BI71" s="203"/>
      <c r="BJ71" s="204"/>
      <c r="BK71" s="204"/>
      <c r="BL71" s="204"/>
      <c r="BM71" s="205"/>
      <c r="BN71" s="54"/>
      <c r="BO71" s="54"/>
      <c r="BP71" s="54"/>
      <c r="BQ71" s="54"/>
      <c r="BR71" s="54"/>
      <c r="BS71" s="54"/>
      <c r="DZ71" s="55"/>
      <c r="EA71" s="55"/>
    </row>
    <row r="72" spans="1:131" ht="12.75" customHeight="1" x14ac:dyDescent="0.2">
      <c r="A72" s="129" t="s">
        <v>1117</v>
      </c>
      <c r="B72" s="185" t="str">
        <f>IF(ISTEXT(VLOOKUP(CONCATENATE($A72,"_",B$3),'Unit List'!$A$14:$H$2841,2,FALSE)),"+","")</f>
        <v/>
      </c>
      <c r="C72" s="130" t="str">
        <f>IF(ISTEXT(VLOOKUP(CONCATENATE($A72,"_",C$3),'Unit List'!$A$14:$H$2841,2,FALSE)),"X",$B72)</f>
        <v/>
      </c>
      <c r="D72" s="131" t="str">
        <f>IF(ISTEXT(VLOOKUP(CONCATENATE($A72,"_",D$3),'Unit List'!$A$14:$H$2841,2,FALSE)),"X",$B72)</f>
        <v/>
      </c>
      <c r="E72" s="131" t="str">
        <f>IF(ISTEXT(VLOOKUP(CONCATENATE($A72,"_",E$3),'Unit List'!$A$14:$H$2841,2,FALSE)),"X",$B72)</f>
        <v/>
      </c>
      <c r="F72" s="131" t="str">
        <f>IF(ISTEXT(VLOOKUP(CONCATENATE($A72,"_",F$3),'Unit List'!$A$14:$H$2841,2,FALSE)),"X",$B72)</f>
        <v/>
      </c>
      <c r="G72" s="131" t="str">
        <f>IF(ISTEXT(VLOOKUP(CONCATENATE($A72,"_",G$3),'Unit List'!$A$14:$H$2841,2,FALSE)),"X",$B72)</f>
        <v/>
      </c>
      <c r="H72" s="131" t="str">
        <f>IF(ISTEXT(VLOOKUP(CONCATENATE($A72,"_",H$3),'Unit List'!$A$14:$H$2841,2,FALSE)),"X",$B72)</f>
        <v/>
      </c>
      <c r="I72" s="132" t="str">
        <f>IF(ISTEXT(VLOOKUP(CONCATENATE($A72,"_",I$3),'Unit List'!$A$14:$H$2841,2,FALSE)),"X",$B72)</f>
        <v/>
      </c>
      <c r="J72" s="173" t="str">
        <f>IF(ISTEXT(VLOOKUP(CONCATENATE($A72,"_",J$3),'Unit List'!$A$14:$H$2841,2,FALSE)),"+","")</f>
        <v/>
      </c>
      <c r="K72" s="131" t="str">
        <f>IF(ISTEXT(VLOOKUP(CONCATENATE($A72,"_",K$3),'Unit List'!$A$14:$H$2841,2,FALSE)),"X",$J72)</f>
        <v/>
      </c>
      <c r="L72" s="116" t="str">
        <f>IF(ISTEXT(VLOOKUP(CONCATENATE($A72,"_",L$3),'Unit List'!$A$14:$H$2841,2,FALSE)),"X",$J72)</f>
        <v/>
      </c>
      <c r="M72" s="173" t="str">
        <f>IF(ISTEXT(VLOOKUP(CONCATENATE($A72,"_",M$3),'Unit List'!$A$14:$H$2841,2,FALSE)),"+","")</f>
        <v/>
      </c>
      <c r="N72" s="131" t="str">
        <f>IF(ISTEXT(VLOOKUP(CONCATENATE($A72,"_",N$3),'Unit List'!$A$14:$H$2841,2,FALSE)),"X",$M72)</f>
        <v/>
      </c>
      <c r="O72" s="132" t="str">
        <f>IF(ISTEXT(VLOOKUP(CONCATENATE($A72,"_",O$3),'Unit List'!$A$14:$H$2841,2,FALSE)),"X",$M72)</f>
        <v/>
      </c>
      <c r="P72" s="173" t="str">
        <f>IF(ISTEXT(VLOOKUP(CONCATENATE($A72,"_",P$3),'Unit List'!$A$14:$H$2841,2,FALSE)),"+","")</f>
        <v/>
      </c>
      <c r="Q72" s="131" t="str">
        <f>IF(ISTEXT(VLOOKUP(CONCATENATE($A72,"_",Q$3),'Unit List'!$A$14:$H$2841,2,FALSE)),"X",$P72)</f>
        <v/>
      </c>
      <c r="R72" s="131" t="str">
        <f>IF(ISTEXT(VLOOKUP(CONCATENATE($A72,"_",R$3),'Unit List'!$A$14:$H$2841,2,FALSE)),"X",$P72)</f>
        <v/>
      </c>
      <c r="S72" s="131" t="str">
        <f>IF(ISTEXT(VLOOKUP(CONCATENATE($A72,"_",S$3),'Unit List'!$A$14:$H$2841,2,FALSE)),"X",$P72)</f>
        <v/>
      </c>
      <c r="T72" s="133" t="str">
        <f>IF(ISTEXT(VLOOKUP(CONCATENATE($A72,"_",T$3),'Unit List'!$A$14:$H$2841,2,FALSE)),"X",$P72)</f>
        <v/>
      </c>
      <c r="U72" s="131" t="str">
        <f>IF(ISTEXT(VLOOKUP(CONCATENATE($A72,"_",U$3),'Unit List'!$A$14:$H$2841,2,FALSE)),"X",$P72)</f>
        <v/>
      </c>
      <c r="V72" s="131" t="str">
        <f>IF(ISTEXT(VLOOKUP(CONCATENATE($A72,"_",V$3),'Unit List'!$A$14:$H$2841,2,FALSE)),"X",$P72)</f>
        <v/>
      </c>
      <c r="W72" s="132" t="str">
        <f>IF(ISTEXT(VLOOKUP(CONCATENATE($A72,"_",W$3),'Unit List'!$A$14:$H$2841,2,FALSE)),"X",$P72)</f>
        <v/>
      </c>
      <c r="X72" s="173" t="str">
        <f>IF(ISTEXT(VLOOKUP(CONCATENATE($A72,"_",X$3),'Unit List'!$A$14:$H$2841,2,FALSE)),"+","")</f>
        <v/>
      </c>
      <c r="Y72" s="131" t="str">
        <f>IF(ISTEXT(VLOOKUP(CONCATENATE($A72,"_",Y$3),'Unit List'!$A$14:$H$2841,2,FALSE)),"X",$X72)</f>
        <v/>
      </c>
      <c r="Z72" s="131" t="str">
        <f>IF(ISTEXT(VLOOKUP(CONCATENATE($A72,"_",Z$3),'Unit List'!$A$14:$H$2841,2,FALSE)),"X",$X72)</f>
        <v/>
      </c>
      <c r="AA72" s="131" t="str">
        <f>IF(ISTEXT(VLOOKUP(CONCATENATE($A72,"_",AA$3),'Unit List'!$A$14:$H$2841,2,FALSE)),"X",$X72)</f>
        <v/>
      </c>
      <c r="AB72" s="131" t="str">
        <f>IF(ISTEXT(VLOOKUP(CONCATENATE($A72,"_",AB$3),'Unit List'!$A$14:$H$2841,2,FALSE)),"X",$X72)</f>
        <v/>
      </c>
      <c r="AC72" s="116" t="str">
        <f>IF(ISTEXT(VLOOKUP(CONCATENATE($A72,"_",AC$3),'Unit List'!$A$14:$H$2841,2,FALSE)),"X",$X72)</f>
        <v/>
      </c>
      <c r="AD72" s="173" t="str">
        <f>IF(ISTEXT(VLOOKUP(CONCATENATE($A72,"_",AD$3),'Unit List'!$A$14:$H$2841,2,FALSE)),"+","")</f>
        <v/>
      </c>
      <c r="AE72" s="131" t="str">
        <f>IF(ISTEXT(VLOOKUP(CONCATENATE($A72,"_",AE$3),'Unit List'!$A$14:$H$2841,2,FALSE)),"X",$AD72)</f>
        <v/>
      </c>
      <c r="AF72" s="132" t="str">
        <f>IF(ISTEXT(VLOOKUP(CONCATENATE($A72,"_",AF$3),'Unit List'!$A$14:$H$2841,2,FALSE)),"X",$AD72)</f>
        <v/>
      </c>
      <c r="AG72" s="173" t="str">
        <f>IF(ISTEXT(VLOOKUP(CONCATENATE($A72,"_",AG$3),'Unit List'!$A$14:$H$2841,2,FALSE)),"+","")</f>
        <v/>
      </c>
      <c r="AH72" s="131" t="str">
        <f>IF(ISTEXT(VLOOKUP(CONCATENATE($A72,"_",AH$3),'Unit List'!$A$14:$H$2841,2,FALSE)),"X",$AG72)</f>
        <v/>
      </c>
      <c r="AI72" s="131" t="str">
        <f>IF(ISTEXT(VLOOKUP(CONCATENATE($A72,"_",AI$3),'Unit List'!$A$14:$H$2841,2,FALSE)),"X",$AG72)</f>
        <v/>
      </c>
      <c r="AJ72" s="132" t="str">
        <f>IF(ISTEXT(VLOOKUP(CONCATENATE($A72,"_",AJ$3),'Unit List'!$A$14:$H$2841,2,FALSE)),"X",$AG72)</f>
        <v/>
      </c>
      <c r="AK72" s="173" t="str">
        <f>IF(ISTEXT(VLOOKUP(CONCATENATE($A72,"_",AK$3),'Unit List'!$A$14:$H$2841,2,FALSE)),"+","")</f>
        <v/>
      </c>
      <c r="AL72" s="133" t="str">
        <f>IF(ISTEXT(VLOOKUP(CONCATENATE($A72,"_",AL$3),'Unit List'!$A$14:$H$2841,2,FALSE)),"X",$AK72)</f>
        <v/>
      </c>
      <c r="AM72" s="132" t="str">
        <f>IF(ISTEXT(VLOOKUP(CONCATENATE($A72,"_",AM$3),'Unit List'!$A$14:$H$2841,2,FALSE)),"X",$AK72)</f>
        <v/>
      </c>
      <c r="AN72" s="186" t="str">
        <f>IF(ISTEXT(VLOOKUP(CONCATENATE($A72,"_",AN$3),'Unit List'!$A$14:$H$2841,2,FALSE)),"+","")</f>
        <v/>
      </c>
      <c r="AO72" s="132" t="str">
        <f>IF(ISTEXT(VLOOKUP(CONCATENATE($A72,"_",AO$3),'Unit List'!$A$14:$H$2841,2,FALSE)),"X",$AN72)</f>
        <v/>
      </c>
      <c r="AP72" s="173" t="str">
        <f>IF(ISTEXT(VLOOKUP(CONCATENATE($A72,"_",AP$3),'Unit List'!$A$14:$H$2841,2,FALSE)),"+","")</f>
        <v/>
      </c>
      <c r="AQ72" s="131" t="str">
        <f>IF(ISTEXT(VLOOKUP(CONCATENATE($A72,"_",AQ$3),'Unit List'!$A$14:$H$2841,2,FALSE)),"X",$AP72)</f>
        <v/>
      </c>
      <c r="AR72" s="131" t="str">
        <f>IF(ISTEXT(VLOOKUP(CONCATENATE($A72,"_",AR$3),'Unit List'!$A$14:$H$2841,2,FALSE)),"X",$AP72)</f>
        <v/>
      </c>
      <c r="AS72" s="131" t="str">
        <f>IF(ISTEXT(VLOOKUP(CONCATENATE($A72,"_",AS$3),'Unit List'!$A$14:$H$2841,2,FALSE)),"X",$AP72)</f>
        <v/>
      </c>
      <c r="AT72" s="132" t="str">
        <f>IF(ISTEXT(VLOOKUP(CONCATENATE($A72,"_",AT$3),'Unit List'!$A$14:$H$2841,2,FALSE)),"X",$AP72)</f>
        <v/>
      </c>
      <c r="AU72" s="187" t="str">
        <f>IF(ISTEXT(VLOOKUP(CONCATENATE($A72,"_",AU$3),'Unit List'!$A$14:$H$2841,2,FALSE)),"+","")</f>
        <v/>
      </c>
      <c r="AV72" s="131" t="str">
        <f>IF(ISTEXT(VLOOKUP(CONCATENATE($A72,"_",AV$3),'Unit List'!$A$14:$H$2841,2,FALSE)),"X",$AU72)</f>
        <v/>
      </c>
      <c r="AW72" s="132" t="str">
        <f>IF(ISTEXT(VLOOKUP(CONCATENATE($A72,"_",AW$3),'Unit List'!$A$14:$H$2841,2,FALSE)),"X",$AU72)</f>
        <v/>
      </c>
      <c r="AX72" s="173" t="str">
        <f>IF(ISTEXT(VLOOKUP(CONCATENATE($A72,"_",AX$3),'Unit List'!$A$14:$H$2841,2,FALSE)),"+","")</f>
        <v/>
      </c>
      <c r="AY72" s="131" t="str">
        <f>IF(ISTEXT(VLOOKUP(CONCATENATE($A72,"_",AY$3),'Unit List'!$A$14:$H$2841,2,FALSE)),"X",$AX72)</f>
        <v/>
      </c>
      <c r="AZ72" s="132" t="str">
        <f>IF(ISTEXT(VLOOKUP(CONCATENATE($A72,"_",AZ$3),'Unit List'!$A$14:$H$2841,2,FALSE)),"X",$AX72)</f>
        <v/>
      </c>
      <c r="BA72" s="188" t="str">
        <f>IF(ISTEXT(VLOOKUP(CONCATENATE($A72,"_",BA$3),'Unit List'!$A$14:$H$2841,2,FALSE)),"+","")</f>
        <v/>
      </c>
      <c r="BB72" s="131" t="str">
        <f>IF(ISTEXT(VLOOKUP(CONCATENATE($A72,"_",BB$3),'Unit List'!$A$14:$H$2841,2,FALSE)),"X",$BA72)</f>
        <v/>
      </c>
      <c r="BC72" s="131" t="str">
        <f>IF(ISTEXT(VLOOKUP(CONCATENATE($A72,"_",BC$3),'Unit List'!$A$14:$H$2841,2,FALSE)),"X",$BA72)</f>
        <v/>
      </c>
      <c r="BD72" s="132" t="str">
        <f>IF(ISTEXT(VLOOKUP(CONCATENATE($A72,"_",BD$3),'Unit List'!$A$14:$H$2841,2,FALSE)),"X",$BA72)</f>
        <v/>
      </c>
      <c r="BE72" s="186" t="str">
        <f>IF(ISTEXT(VLOOKUP(CONCATENATE($A72,"_",BE$3),'Unit List'!$A$14:$H$2841,2,FALSE)),"+","")</f>
        <v/>
      </c>
      <c r="BF72" s="116" t="str">
        <f>IF(ISTEXT(VLOOKUP(CONCATENATE($A72,"_",BF$3),'Unit List'!$A$14:$H$2841,2,FALSE)),"X",$BE72)</f>
        <v/>
      </c>
      <c r="BG72" s="116"/>
      <c r="BH72" s="117"/>
      <c r="BI72" s="211"/>
      <c r="BJ72" s="214"/>
      <c r="BK72" s="214"/>
      <c r="BL72" s="214"/>
      <c r="BM72" s="215"/>
      <c r="BN72" s="54"/>
      <c r="BO72" s="54"/>
      <c r="BP72" s="54"/>
      <c r="BQ72" s="54"/>
      <c r="BR72" s="54"/>
      <c r="BS72" s="54"/>
      <c r="DZ72" s="55"/>
      <c r="EA72" s="55"/>
    </row>
    <row r="73" spans="1:131" ht="12.75" customHeight="1" x14ac:dyDescent="0.2">
      <c r="A73" s="118" t="s">
        <v>1912</v>
      </c>
      <c r="B73" s="181"/>
      <c r="C73" s="119"/>
      <c r="D73" s="120"/>
      <c r="E73" s="120"/>
      <c r="F73" s="120"/>
      <c r="G73" s="120"/>
      <c r="H73" s="120"/>
      <c r="I73" s="75"/>
      <c r="J73" s="172"/>
      <c r="K73" s="121"/>
      <c r="L73" s="122"/>
      <c r="M73" s="182" t="str">
        <f>IF(ISTEXT(VLOOKUP(CONCATENATE($A73,"_",M$3),'Unit List'!$A$14:$H$2841,2,FALSE)),"+","")</f>
        <v/>
      </c>
      <c r="N73" s="120"/>
      <c r="O73" s="75"/>
      <c r="P73" s="182"/>
      <c r="Q73" s="120"/>
      <c r="R73" s="120"/>
      <c r="S73" s="121"/>
      <c r="T73" s="121"/>
      <c r="U73" s="120"/>
      <c r="V73" s="120"/>
      <c r="W73" s="75"/>
      <c r="X73" s="182"/>
      <c r="Y73" s="120"/>
      <c r="Z73" s="191"/>
      <c r="AA73" s="191"/>
      <c r="AB73" s="120"/>
      <c r="AC73" s="75"/>
      <c r="AD73" s="182"/>
      <c r="AE73" s="120"/>
      <c r="AF73" s="123"/>
      <c r="AG73" s="182"/>
      <c r="AH73" s="120"/>
      <c r="AI73" s="120"/>
      <c r="AJ73" s="75"/>
      <c r="AK73" s="192"/>
      <c r="AL73" s="191"/>
      <c r="AM73" s="75"/>
      <c r="AN73" s="192"/>
      <c r="AO73" s="193"/>
      <c r="AP73" s="182"/>
      <c r="AQ73" s="120"/>
      <c r="AR73" s="120"/>
      <c r="AS73" s="120"/>
      <c r="AT73" s="75"/>
      <c r="AU73" s="124"/>
      <c r="AV73" s="120"/>
      <c r="AW73" s="122"/>
      <c r="AX73" s="182"/>
      <c r="AY73" s="120"/>
      <c r="AZ73" s="75"/>
      <c r="BA73" s="182"/>
      <c r="BB73" s="120"/>
      <c r="BC73" s="120"/>
      <c r="BD73" s="122"/>
      <c r="BE73" s="125"/>
      <c r="BF73" s="122"/>
      <c r="BG73" s="75"/>
      <c r="BH73" s="65"/>
      <c r="BI73" s="216"/>
      <c r="BJ73" s="217"/>
      <c r="BK73" s="217"/>
      <c r="BL73" s="217"/>
      <c r="BM73" s="218"/>
      <c r="BN73" s="54"/>
      <c r="BO73" s="54"/>
      <c r="BP73" s="54"/>
      <c r="BQ73" s="54"/>
      <c r="BR73" s="54"/>
      <c r="BS73" s="54"/>
      <c r="DZ73" s="55"/>
      <c r="EA73" s="55"/>
    </row>
    <row r="74" spans="1:131" ht="12.75" customHeight="1" x14ac:dyDescent="0.2">
      <c r="A74" s="128" t="s">
        <v>1118</v>
      </c>
      <c r="B74" s="181" t="str">
        <f>IF(ISTEXT(VLOOKUP(CONCATENATE($A74,"_",B$3),'Unit List'!$A$14:$H$2841,2,FALSE)),"+","")</f>
        <v/>
      </c>
      <c r="C74" s="119" t="str">
        <f>IF(ISTEXT(VLOOKUP(CONCATENATE($A74,"_",C$3),'Unit List'!$A$14:$H$2841,2,FALSE)),"X",$B74)</f>
        <v/>
      </c>
      <c r="D74" s="120" t="str">
        <f>IF(ISTEXT(VLOOKUP(CONCATENATE($A74,"_",D$3),'Unit List'!$A$14:$H$2841,2,FALSE)),"X",$B74)</f>
        <v/>
      </c>
      <c r="E74" s="120" t="str">
        <f>IF(ISTEXT(VLOOKUP(CONCATENATE($A74,"_",E$3),'Unit List'!$A$14:$H$2841,2,FALSE)),"X",$B74)</f>
        <v/>
      </c>
      <c r="F74" s="120" t="str">
        <f>IF(ISTEXT(VLOOKUP(CONCATENATE($A74,"_",F$3),'Unit List'!$A$14:$H$2841,2,FALSE)),"X",$B74)</f>
        <v/>
      </c>
      <c r="G74" s="120" t="str">
        <f>IF(ISTEXT(VLOOKUP(CONCATENATE($A74,"_",G$3),'Unit List'!$A$14:$H$2841,2,FALSE)),"X",$B74)</f>
        <v/>
      </c>
      <c r="H74" s="120" t="str">
        <f>IF(ISTEXT(VLOOKUP(CONCATENATE($A74,"_",H$3),'Unit List'!$A$14:$H$2841,2,FALSE)),"X",$B74)</f>
        <v/>
      </c>
      <c r="I74" s="122" t="str">
        <f>IF(ISTEXT(VLOOKUP(CONCATENATE($A74,"_",I$3),'Unit List'!$A$14:$H$2841,2,FALSE)),"X",$B74)</f>
        <v/>
      </c>
      <c r="J74" s="171" t="str">
        <f>IF(ISTEXT(VLOOKUP(CONCATENATE($A74,"_",J$3),'Unit List'!$A$14:$H$2841,2,FALSE)),"+","")</f>
        <v/>
      </c>
      <c r="K74" s="134" t="s">
        <v>0</v>
      </c>
      <c r="L74" s="75" t="str">
        <f>IF(ISTEXT(VLOOKUP(CONCATENATE($A74,"_",L$3),'Unit List'!$A$14:$H$2841,2,FALSE)),"X",$J74)</f>
        <v/>
      </c>
      <c r="M74" s="171" t="str">
        <f>IF(ISTEXT(VLOOKUP(CONCATENATE($A74,"_",M$3),'Unit List'!$A$14:$H$2841,2,FALSE)),"+","")</f>
        <v/>
      </c>
      <c r="N74" s="120" t="str">
        <f>IF(ISTEXT(VLOOKUP(CONCATENATE($A74,"_",N$3),'Unit List'!$A$14:$H$2841,2,FALSE)),"X",$M74)</f>
        <v/>
      </c>
      <c r="O74" s="122" t="str">
        <f>IF(ISTEXT(VLOOKUP(CONCATENATE($A74,"_",O$3),'Unit List'!$A$14:$H$2841,2,FALSE)),"X",$M74)</f>
        <v/>
      </c>
      <c r="P74" s="172" t="str">
        <f>IF(ISTEXT(VLOOKUP(CONCATENATE($A74,"_",P$3),'Unit List'!$A$14:$H$2841,2,FALSE)),"+","")</f>
        <v/>
      </c>
      <c r="Q74" s="120" t="str">
        <f>IF(ISTEXT(VLOOKUP(CONCATENATE($A74,"_",Q$3),'Unit List'!$A$14:$H$2841,2,FALSE)),"X",$P74)</f>
        <v/>
      </c>
      <c r="R74" s="120" t="str">
        <f>IF(ISTEXT(VLOOKUP(CONCATENATE($A74,"_",R$3),'Unit List'!$A$14:$H$2841,2,FALSE)),"X",$P74)</f>
        <v/>
      </c>
      <c r="S74" s="120" t="str">
        <f>IF(ISTEXT(VLOOKUP(CONCATENATE($A74,"_",S$3),'Unit List'!$A$14:$H$2841,2,FALSE)),"X",$P74)</f>
        <v/>
      </c>
      <c r="T74" s="121" t="str">
        <f>IF(ISTEXT(VLOOKUP(CONCATENATE($A74,"_",T$3),'Unit List'!$A$14:$H$2841,2,FALSE)),"X",$P74)</f>
        <v/>
      </c>
      <c r="U74" s="120" t="str">
        <f>IF(ISTEXT(VLOOKUP(CONCATENATE($A74,"_",U$3),'Unit List'!$A$14:$H$2841,2,FALSE)),"X",$P74)</f>
        <v/>
      </c>
      <c r="V74" s="120" t="str">
        <f>IF(ISTEXT(VLOOKUP(CONCATENATE($A74,"_",V$3),'Unit List'!$A$14:$H$2841,2,FALSE)),"X",$P74)</f>
        <v/>
      </c>
      <c r="W74" s="122" t="str">
        <f>IF(ISTEXT(VLOOKUP(CONCATENATE($A74,"_",W$3),'Unit List'!$A$14:$H$2841,2,FALSE)),"X",$P74)</f>
        <v/>
      </c>
      <c r="X74" s="172" t="str">
        <f>IF(ISTEXT(VLOOKUP(CONCATENATE($A74,"_",X$3),'Unit List'!$A$14:$H$2841,2,FALSE)),"+","")</f>
        <v/>
      </c>
      <c r="Y74" s="120" t="str">
        <f>IF(ISTEXT(VLOOKUP(CONCATENATE($A74,"_",Y$3),'Unit List'!$A$14:$H$2841,2,FALSE)),"X",$X74)</f>
        <v/>
      </c>
      <c r="Z74" s="120" t="str">
        <f>IF(ISTEXT(VLOOKUP(CONCATENATE($A74,"_",Z$3),'Unit List'!$A$14:$H$2841,2,FALSE)),"X",$X74)</f>
        <v/>
      </c>
      <c r="AA74" s="120" t="str">
        <f>IF(ISTEXT(VLOOKUP(CONCATENATE($A74,"_",AA$3),'Unit List'!$A$14:$H$2841,2,FALSE)),"X",$X74)</f>
        <v/>
      </c>
      <c r="AB74" s="120" t="str">
        <f>IF(ISTEXT(VLOOKUP(CONCATENATE($A74,"_",AB$3),'Unit List'!$A$14:$H$2841,2,FALSE)),"X",$X74)</f>
        <v/>
      </c>
      <c r="AC74" s="75" t="str">
        <f>IF(ISTEXT(VLOOKUP(CONCATENATE($A74,"_",AC$3),'Unit List'!$A$14:$H$2841,2,FALSE)),"X",$X74)</f>
        <v/>
      </c>
      <c r="AD74" s="171" t="str">
        <f>IF(ISTEXT(VLOOKUP(CONCATENATE($A74,"_",AD$3),'Unit List'!$A$14:$H$2841,2,FALSE)),"+","")</f>
        <v/>
      </c>
      <c r="AE74" s="120" t="str">
        <f>IF(ISTEXT(VLOOKUP(CONCATENATE($A74,"_",AE$3),'Unit List'!$A$14:$H$2841,2,FALSE)),"X",$AD74)</f>
        <v/>
      </c>
      <c r="AF74" s="120" t="str">
        <f>IF(ISTEXT(VLOOKUP(CONCATENATE($A74,"_",AF$3),'Unit List'!$A$14:$H$2841,2,FALSE)),"X",$AD74)</f>
        <v/>
      </c>
      <c r="AG74" s="171" t="str">
        <f>IF(ISTEXT(VLOOKUP(CONCATENATE($A74,"_",AG$3),'Unit List'!$A$14:$H$2841,2,FALSE)),"+","")</f>
        <v/>
      </c>
      <c r="AH74" s="120" t="str">
        <f>IF(ISTEXT(VLOOKUP(CONCATENATE($A74,"_",AH$3),'Unit List'!$A$14:$H$2841,2,FALSE)),"X",$AG74)</f>
        <v/>
      </c>
      <c r="AI74" s="120" t="str">
        <f>IF(ISTEXT(VLOOKUP(CONCATENATE($A74,"_",AI$3),'Unit List'!$A$14:$H$2841,2,FALSE)),"X",$AG74)</f>
        <v/>
      </c>
      <c r="AJ74" s="122" t="str">
        <f>IF(ISTEXT(VLOOKUP(CONCATENATE($A74,"_",AJ$3),'Unit List'!$A$14:$H$2841,2,FALSE)),"X",$AG74)</f>
        <v/>
      </c>
      <c r="AK74" s="172" t="str">
        <f>IF(ISTEXT(VLOOKUP(CONCATENATE($A74,"_",AK$3),'Unit List'!$A$14:$H$2841,2,FALSE)),"+","")</f>
        <v/>
      </c>
      <c r="AL74" s="121" t="str">
        <f>IF(ISTEXT(VLOOKUP(CONCATENATE($A74,"_",AL$3),'Unit List'!$A$14:$H$2841,2,FALSE)),"X",$AK74)</f>
        <v/>
      </c>
      <c r="AM74" s="122" t="str">
        <f>IF(ISTEXT(VLOOKUP(CONCATENATE($A74,"_",AM$3),'Unit List'!$A$14:$H$2841,2,FALSE)),"X",$AK74)</f>
        <v/>
      </c>
      <c r="AN74" s="125" t="str">
        <f>IF(ISTEXT(VLOOKUP(CONCATENATE($A74,"_",AN$3),'Unit List'!$A$14:$H$2841,2,FALSE)),"+","")</f>
        <v/>
      </c>
      <c r="AO74" s="122" t="str">
        <f>IF(ISTEXT(VLOOKUP(CONCATENATE($A74,"_",AO$3),'Unit List'!$A$14:$H$2841,2,FALSE)),"X",$AN74)</f>
        <v/>
      </c>
      <c r="AP74" s="171" t="str">
        <f>IF(ISTEXT(VLOOKUP(CONCATENATE($A74,"_",AP$3),'Unit List'!$A$14:$H$2841,2,FALSE)),"+","")</f>
        <v/>
      </c>
      <c r="AQ74" s="120" t="str">
        <f>IF(ISTEXT(VLOOKUP(CONCATENATE($A74,"_",AQ$3),'Unit List'!$A$14:$H$2841,2,FALSE)),"X",$AP74)</f>
        <v/>
      </c>
      <c r="AR74" s="120" t="str">
        <f>IF(ISTEXT(VLOOKUP(CONCATENATE($A74,"_",AR$3),'Unit List'!$A$14:$H$2841,2,FALSE)),"X",$AP74)</f>
        <v/>
      </c>
      <c r="AS74" s="120" t="str">
        <f>IF(ISTEXT(VLOOKUP(CONCATENATE($A74,"_",AS$3),'Unit List'!$A$14:$H$2841,2,FALSE)),"X",$AP74)</f>
        <v/>
      </c>
      <c r="AT74" s="122" t="str">
        <f>IF(ISTEXT(VLOOKUP(CONCATENATE($A74,"_",AT$3),'Unit List'!$A$14:$H$2841,2,FALSE)),"X",$AP74)</f>
        <v/>
      </c>
      <c r="AU74" s="124" t="str">
        <f>IF(ISTEXT(VLOOKUP(CONCATENATE($A74,"_",AU$3),'Unit List'!$A$14:$H$2841,2,FALSE)),"+","")</f>
        <v/>
      </c>
      <c r="AV74" s="120" t="str">
        <f>IF(ISTEXT(VLOOKUP(CONCATENATE($A74,"_",AV$3),'Unit List'!$A$14:$H$2841,2,FALSE)),"X",$AU74)</f>
        <v/>
      </c>
      <c r="AW74" s="122" t="str">
        <f>IF(ISTEXT(VLOOKUP(CONCATENATE($A74,"_",AW$3),'Unit List'!$A$14:$H$2841,2,FALSE)),"X",$AU74)</f>
        <v/>
      </c>
      <c r="AX74" s="171" t="str">
        <f>IF(ISTEXT(VLOOKUP(CONCATENATE($A74,"_",AX$3),'Unit List'!$A$14:$H$2841,2,FALSE)),"+","")</f>
        <v/>
      </c>
      <c r="AY74" s="120" t="str">
        <f>IF(ISTEXT(VLOOKUP(CONCATENATE($A74,"_",AY$3),'Unit List'!$A$14:$H$2841,2,FALSE)),"X",$AX74)</f>
        <v/>
      </c>
      <c r="AZ74" s="122" t="str">
        <f>IF(ISTEXT(VLOOKUP(CONCATENATE($A74,"_",AZ$3),'Unit List'!$A$14:$H$2841,2,FALSE)),"X",$AX74)</f>
        <v/>
      </c>
      <c r="BA74" s="182" t="str">
        <f>IF(ISTEXT(VLOOKUP(CONCATENATE($A74,"_",BA$3),'Unit List'!$A$14:$H$2841,2,FALSE)),"+","")</f>
        <v/>
      </c>
      <c r="BB74" s="178" t="str">
        <f>IF(ISTEXT(VLOOKUP(CONCATENATE($A74,"_",BB$3),'Unit List'!$A$14:$H$2841,2,FALSE)),"X",$BA74)</f>
        <v/>
      </c>
      <c r="BC74" s="178" t="str">
        <f>IF(ISTEXT(VLOOKUP(CONCATENATE($A74,"_",BC$3),'Unit List'!$A$14:$H$2841,2,FALSE)),"X",$BA74)</f>
        <v/>
      </c>
      <c r="BD74" s="122" t="str">
        <f>IF(ISTEXT(VLOOKUP(CONCATENATE($A74,"_",BD$3),'Unit List'!$A$14:$H$2841,2,FALSE)),"X",$BA74)</f>
        <v/>
      </c>
      <c r="BE74" s="125" t="str">
        <f>IF(ISTEXT(VLOOKUP(CONCATENATE($A74,"_",BE$3),'Unit List'!$A$14:$H$2841,2,FALSE)),"+","")</f>
        <v/>
      </c>
      <c r="BF74" s="135" t="s">
        <v>0</v>
      </c>
      <c r="BG74" s="75"/>
      <c r="BH74" s="65" t="s">
        <v>0</v>
      </c>
      <c r="BI74" s="203"/>
      <c r="BJ74" s="204"/>
      <c r="BK74" s="204"/>
      <c r="BL74" s="204"/>
      <c r="BM74" s="205"/>
      <c r="BN74" s="54"/>
      <c r="BO74" s="54"/>
      <c r="BP74" s="54"/>
      <c r="BQ74" s="54"/>
      <c r="BR74" s="54"/>
      <c r="BS74" s="54"/>
      <c r="DZ74" s="55"/>
      <c r="EA74" s="55"/>
    </row>
    <row r="75" spans="1:131" ht="12.75" customHeight="1" x14ac:dyDescent="0.2">
      <c r="A75" s="128" t="s">
        <v>1119</v>
      </c>
      <c r="B75" s="179" t="str">
        <f>IF(ISTEXT(VLOOKUP(CONCATENATE($A75,"_",B$3),'Unit List'!$A$14:$H$2841,2,FALSE)),"+","")</f>
        <v/>
      </c>
      <c r="C75" s="180" t="str">
        <f>IF(ISTEXT(VLOOKUP(CONCATENATE($A75,"_",C$3),'Unit List'!$A$14:$H$2841,2,FALSE)),"X",$B75)</f>
        <v/>
      </c>
      <c r="D75" s="120" t="str">
        <f>IF(ISTEXT(VLOOKUP(CONCATENATE($A75,"_",D$3),'Unit List'!$A$14:$H$2841,2,FALSE)),"X",$B75)</f>
        <v/>
      </c>
      <c r="E75" s="120" t="str">
        <f>IF(ISTEXT(VLOOKUP(CONCATENATE($A75,"_",E$3),'Unit List'!$A$14:$H$2841,2,FALSE)),"X",$B75)</f>
        <v/>
      </c>
      <c r="F75" s="120" t="str">
        <f>IF(ISTEXT(VLOOKUP(CONCATENATE($A75,"_",F$3),'Unit List'!$A$14:$H$2841,2,FALSE)),"X",$B75)</f>
        <v/>
      </c>
      <c r="G75" s="120" t="str">
        <f>IF(ISTEXT(VLOOKUP(CONCATENATE($A75,"_",G$3),'Unit List'!$A$14:$H$2841,2,FALSE)),"X",$B75)</f>
        <v/>
      </c>
      <c r="H75" s="120" t="str">
        <f>IF(ISTEXT(VLOOKUP(CONCATENATE($A75,"_",H$3),'Unit List'!$A$14:$H$2841,2,FALSE)),"X",$B75)</f>
        <v/>
      </c>
      <c r="I75" s="122" t="str">
        <f>IF(ISTEXT(VLOOKUP(CONCATENATE($A75,"_",I$3),'Unit List'!$A$14:$H$2841,2,FALSE)),"X",$B75)</f>
        <v/>
      </c>
      <c r="J75" s="172" t="str">
        <f>IF(ISTEXT(VLOOKUP(CONCATENATE($A75,"_",J$3),'Unit List'!$A$14:$H$2841,2,FALSE)),"+","")</f>
        <v/>
      </c>
      <c r="K75" s="120" t="str">
        <f>IF(ISTEXT(VLOOKUP(CONCATENATE($A75,"_",K$3),'Unit List'!$A$14:$H$2841,2,FALSE)),"X",$J75)</f>
        <v/>
      </c>
      <c r="L75" s="75" t="str">
        <f>IF(ISTEXT(VLOOKUP(CONCATENATE($A75,"_",L$3),'Unit List'!$A$14:$H$2841,2,FALSE)),"X",$J75)</f>
        <v/>
      </c>
      <c r="M75" s="172" t="str">
        <f>IF(ISTEXT(VLOOKUP(CONCATENATE($A75,"_",M$3),'Unit List'!$A$14:$H$2841,2,FALSE)),"+","")</f>
        <v/>
      </c>
      <c r="N75" s="120" t="str">
        <f>IF(ISTEXT(VLOOKUP(CONCATENATE($A75,"_",N$3),'Unit List'!$A$14:$H$2841,2,FALSE)),"X",$M75)</f>
        <v/>
      </c>
      <c r="O75" s="122" t="str">
        <f>IF(ISTEXT(VLOOKUP(CONCATENATE($A75,"_",O$3),'Unit List'!$A$14:$H$2841,2,FALSE)),"X",$M75)</f>
        <v/>
      </c>
      <c r="P75" s="172" t="str">
        <f>IF(ISTEXT(VLOOKUP(CONCATENATE($A75,"_",P$3),'Unit List'!$A$14:$H$2841,2,FALSE)),"+","")</f>
        <v/>
      </c>
      <c r="Q75" s="120" t="str">
        <f>IF(ISTEXT(VLOOKUP(CONCATENATE($A75,"_",Q$3),'Unit List'!$A$14:$H$2841,2,FALSE)),"X",$P75)</f>
        <v/>
      </c>
      <c r="R75" s="120" t="str">
        <f>IF(ISTEXT(VLOOKUP(CONCATENATE($A75,"_",R$3),'Unit List'!$A$14:$H$2841,2,FALSE)),"X",$P75)</f>
        <v/>
      </c>
      <c r="S75" s="120" t="str">
        <f>IF(ISTEXT(VLOOKUP(CONCATENATE($A75,"_",S$3),'Unit List'!$A$14:$H$2841,2,FALSE)),"X",$P75)</f>
        <v/>
      </c>
      <c r="T75" s="121" t="str">
        <f>IF(ISTEXT(VLOOKUP(CONCATENATE($A75,"_",T$3),'Unit List'!$A$14:$H$2841,2,FALSE)),"X",$P75)</f>
        <v/>
      </c>
      <c r="U75" s="120" t="str">
        <f>IF(ISTEXT(VLOOKUP(CONCATENATE($A75,"_",U$3),'Unit List'!$A$14:$H$2841,2,FALSE)),"X",$P75)</f>
        <v/>
      </c>
      <c r="V75" s="120" t="str">
        <f>IF(ISTEXT(VLOOKUP(CONCATENATE($A75,"_",V$3),'Unit List'!$A$14:$H$2841,2,FALSE)),"X",$P75)</f>
        <v/>
      </c>
      <c r="W75" s="122" t="str">
        <f>IF(ISTEXT(VLOOKUP(CONCATENATE($A75,"_",W$3),'Unit List'!$A$14:$H$2841,2,FALSE)),"X",$P75)</f>
        <v/>
      </c>
      <c r="X75" s="172" t="str">
        <f>IF(ISTEXT(VLOOKUP(CONCATENATE($A75,"_",X$3),'Unit List'!$A$14:$H$2841,2,FALSE)),"+","")</f>
        <v/>
      </c>
      <c r="Y75" s="120" t="str">
        <f>IF(ISTEXT(VLOOKUP(CONCATENATE($A75,"_",Y$3),'Unit List'!$A$14:$H$2841,2,FALSE)),"X",$X75)</f>
        <v/>
      </c>
      <c r="Z75" s="120" t="str">
        <f>IF(ISTEXT(VLOOKUP(CONCATENATE($A75,"_",Z$3),'Unit List'!$A$14:$H$2841,2,FALSE)),"X",$X75)</f>
        <v/>
      </c>
      <c r="AA75" s="120" t="str">
        <f>IF(ISTEXT(VLOOKUP(CONCATENATE($A75,"_",AA$3),'Unit List'!$A$14:$H$2841,2,FALSE)),"X",$X75)</f>
        <v/>
      </c>
      <c r="AB75" s="120" t="str">
        <f>IF(ISTEXT(VLOOKUP(CONCATENATE($A75,"_",AB$3),'Unit List'!$A$14:$H$2841,2,FALSE)),"X",$X75)</f>
        <v/>
      </c>
      <c r="AC75" s="75" t="str">
        <f>IF(ISTEXT(VLOOKUP(CONCATENATE($A75,"_",AC$3),'Unit List'!$A$14:$H$2841,2,FALSE)),"X",$X75)</f>
        <v/>
      </c>
      <c r="AD75" s="172" t="str">
        <f>IF(ISTEXT(VLOOKUP(CONCATENATE($A75,"_",AD$3),'Unit List'!$A$14:$H$2841,2,FALSE)),"+","")</f>
        <v/>
      </c>
      <c r="AE75" s="120" t="str">
        <f>IF(ISTEXT(VLOOKUP(CONCATENATE($A75,"_",AE$3),'Unit List'!$A$14:$H$2841,2,FALSE)),"X",$AD75)</f>
        <v/>
      </c>
      <c r="AF75" s="120" t="str">
        <f>IF(ISTEXT(VLOOKUP(CONCATENATE($A75,"_",AF$3),'Unit List'!$A$14:$H$2841,2,FALSE)),"X",$AD75)</f>
        <v/>
      </c>
      <c r="AG75" s="172" t="str">
        <f>IF(ISTEXT(VLOOKUP(CONCATENATE($A75,"_",AG$3),'Unit List'!$A$14:$H$2841,2,FALSE)),"+","")</f>
        <v/>
      </c>
      <c r="AH75" s="120" t="str">
        <f>IF(ISTEXT(VLOOKUP(CONCATENATE($A75,"_",AH$3),'Unit List'!$A$14:$H$2841,2,FALSE)),"X",$AG75)</f>
        <v/>
      </c>
      <c r="AI75" s="120" t="str">
        <f>IF(ISTEXT(VLOOKUP(CONCATENATE($A75,"_",AI$3),'Unit List'!$A$14:$H$2841,2,FALSE)),"X",$AG75)</f>
        <v/>
      </c>
      <c r="AJ75" s="122" t="str">
        <f>IF(ISTEXT(VLOOKUP(CONCATENATE($A75,"_",AJ$3),'Unit List'!$A$14:$H$2841,2,FALSE)),"X",$AG75)</f>
        <v/>
      </c>
      <c r="AK75" s="172" t="str">
        <f>IF(ISTEXT(VLOOKUP(CONCATENATE($A75,"_",AK$3),'Unit List'!$A$14:$H$2841,2,FALSE)),"+","")</f>
        <v/>
      </c>
      <c r="AL75" s="121" t="str">
        <f>IF(ISTEXT(VLOOKUP(CONCATENATE($A75,"_",AL$3),'Unit List'!$A$14:$H$2841,2,FALSE)),"X",$AK75)</f>
        <v/>
      </c>
      <c r="AM75" s="122" t="str">
        <f>IF(ISTEXT(VLOOKUP(CONCATENATE($A75,"_",AM$3),'Unit List'!$A$14:$H$2841,2,FALSE)),"X",$AK75)</f>
        <v/>
      </c>
      <c r="AN75" s="125" t="str">
        <f>IF(ISTEXT(VLOOKUP(CONCATENATE($A75,"_",AN$3),'Unit List'!$A$14:$H$2841,2,FALSE)),"+","")</f>
        <v/>
      </c>
      <c r="AO75" s="122" t="str">
        <f>IF(ISTEXT(VLOOKUP(CONCATENATE($A75,"_",AO$3),'Unit List'!$A$14:$H$2841,2,FALSE)),"X",$AN75)</f>
        <v/>
      </c>
      <c r="AP75" s="172" t="str">
        <f>IF(ISTEXT(VLOOKUP(CONCATENATE($A75,"_",AP$3),'Unit List'!$A$14:$H$2841,2,FALSE)),"+","")</f>
        <v/>
      </c>
      <c r="AQ75" s="120" t="str">
        <f>IF(ISTEXT(VLOOKUP(CONCATENATE($A75,"_",AQ$3),'Unit List'!$A$14:$H$2841,2,FALSE)),"X",$AP75)</f>
        <v/>
      </c>
      <c r="AR75" s="120" t="str">
        <f>IF(ISTEXT(VLOOKUP(CONCATENATE($A75,"_",AR$3),'Unit List'!$A$14:$H$2841,2,FALSE)),"X",$AP75)</f>
        <v/>
      </c>
      <c r="AS75" s="120" t="str">
        <f>IF(ISTEXT(VLOOKUP(CONCATENATE($A75,"_",AS$3),'Unit List'!$A$14:$H$2841,2,FALSE)),"X",$AP75)</f>
        <v/>
      </c>
      <c r="AT75" s="122" t="str">
        <f>IF(ISTEXT(VLOOKUP(CONCATENATE($A75,"_",AT$3),'Unit List'!$A$14:$H$2841,2,FALSE)),"X",$AP75)</f>
        <v/>
      </c>
      <c r="AU75" s="124" t="str">
        <f>IF(ISTEXT(VLOOKUP(CONCATENATE($A75,"_",AU$3),'Unit List'!$A$14:$H$2841,2,FALSE)),"+","")</f>
        <v/>
      </c>
      <c r="AV75" s="120" t="str">
        <f>IF(ISTEXT(VLOOKUP(CONCATENATE($A75,"_",AV$3),'Unit List'!$A$14:$H$2841,2,FALSE)),"X",$AU75)</f>
        <v/>
      </c>
      <c r="AW75" s="122" t="str">
        <f>IF(ISTEXT(VLOOKUP(CONCATENATE($A75,"_",AW$3),'Unit List'!$A$14:$H$2841,2,FALSE)),"X",$AU75)</f>
        <v/>
      </c>
      <c r="AX75" s="172" t="str">
        <f>IF(ISTEXT(VLOOKUP(CONCATENATE($A75,"_",AX$3),'Unit List'!$A$14:$H$2841,2,FALSE)),"+","")</f>
        <v/>
      </c>
      <c r="AY75" s="120" t="str">
        <f>IF(ISTEXT(VLOOKUP(CONCATENATE($A75,"_",AY$3),'Unit List'!$A$14:$H$2841,2,FALSE)),"X",$AX75)</f>
        <v/>
      </c>
      <c r="AZ75" s="122" t="str">
        <f>IF(ISTEXT(VLOOKUP(CONCATENATE($A75,"_",AZ$3),'Unit List'!$A$14:$H$2841,2,FALSE)),"X",$AX75)</f>
        <v/>
      </c>
      <c r="BA75" s="182" t="str">
        <f>IF(ISTEXT(VLOOKUP(CONCATENATE($A75,"_",BA$3),'Unit List'!$A$14:$H$2841,2,FALSE)),"+","")</f>
        <v/>
      </c>
      <c r="BB75" s="120" t="str">
        <f>IF(ISTEXT(VLOOKUP(CONCATENATE($A75,"_",BB$3),'Unit List'!$A$14:$H$2841,2,FALSE)),"X",$BA75)</f>
        <v/>
      </c>
      <c r="BC75" s="120" t="str">
        <f>IF(ISTEXT(VLOOKUP(CONCATENATE($A75,"_",BC$3),'Unit List'!$A$14:$H$2841,2,FALSE)),"X",$BA75)</f>
        <v/>
      </c>
      <c r="BD75" s="122" t="str">
        <f>IF(ISTEXT(VLOOKUP(CONCATENATE($A75,"_",BD$3),'Unit List'!$A$14:$H$2841,2,FALSE)),"X",$BA75)</f>
        <v/>
      </c>
      <c r="BE75" s="125" t="str">
        <f>IF(ISTEXT(VLOOKUP(CONCATENATE($A75,"_",BE$3),'Unit List'!$A$14:$H$2841,2,FALSE)),"+","")</f>
        <v/>
      </c>
      <c r="BF75" s="75" t="str">
        <f>IF(ISTEXT(VLOOKUP(CONCATENATE($A75,"_",BF$3),'Unit List'!$A$14:$H$2841,2,FALSE)),"X",$BE75)</f>
        <v/>
      </c>
      <c r="BG75" s="64"/>
      <c r="BH75" s="65" t="s">
        <v>0</v>
      </c>
      <c r="BI75" s="203" t="s">
        <v>5</v>
      </c>
      <c r="BJ75" s="206"/>
      <c r="BK75" s="206"/>
      <c r="BL75" s="206"/>
      <c r="BM75" s="207"/>
      <c r="BN75" s="54"/>
      <c r="BO75" s="54"/>
      <c r="BP75" s="54"/>
      <c r="BQ75" s="54"/>
      <c r="BR75" s="54"/>
      <c r="BS75" s="54"/>
      <c r="DZ75" s="55"/>
      <c r="EA75" s="55"/>
    </row>
    <row r="76" spans="1:131" ht="12.75" customHeight="1" x14ac:dyDescent="0.2">
      <c r="A76" s="129" t="s">
        <v>1120</v>
      </c>
      <c r="B76" s="185" t="str">
        <f>IF(ISTEXT(VLOOKUP(CONCATENATE($A76,"_",B$3),'Unit List'!$A$14:$H$2841,2,FALSE)),"+","")</f>
        <v/>
      </c>
      <c r="C76" s="130" t="str">
        <f>IF(ISTEXT(VLOOKUP(CONCATENATE($A76,"_",C$3),'Unit List'!$A$14:$H$2841,2,FALSE)),"X",$B76)</f>
        <v/>
      </c>
      <c r="D76" s="131" t="str">
        <f>IF(ISTEXT(VLOOKUP(CONCATENATE($A76,"_",D$3),'Unit List'!$A$14:$H$2841,2,FALSE)),"X",$B76)</f>
        <v/>
      </c>
      <c r="E76" s="131" t="str">
        <f>IF(ISTEXT(VLOOKUP(CONCATENATE($A76,"_",E$3),'Unit List'!$A$14:$H$2841,2,FALSE)),"X",$B76)</f>
        <v/>
      </c>
      <c r="F76" s="131" t="str">
        <f>IF(ISTEXT(VLOOKUP(CONCATENATE($A76,"_",F$3),'Unit List'!$A$14:$H$2841,2,FALSE)),"X",$B76)</f>
        <v/>
      </c>
      <c r="G76" s="131" t="str">
        <f>IF(ISTEXT(VLOOKUP(CONCATENATE($A76,"_",G$3),'Unit List'!$A$14:$H$2841,2,FALSE)),"X",$B76)</f>
        <v/>
      </c>
      <c r="H76" s="131" t="str">
        <f>IF(ISTEXT(VLOOKUP(CONCATENATE($A76,"_",H$3),'Unit List'!$A$14:$H$2841,2,FALSE)),"X",$B76)</f>
        <v/>
      </c>
      <c r="I76" s="132" t="str">
        <f>IF(ISTEXT(VLOOKUP(CONCATENATE($A76,"_",I$3),'Unit List'!$A$14:$H$2841,2,FALSE)),"X",$B76)</f>
        <v/>
      </c>
      <c r="J76" s="173" t="str">
        <f>IF(ISTEXT(VLOOKUP(CONCATENATE($A76,"_",J$3),'Unit List'!$A$14:$H$2841,2,FALSE)),"+","")</f>
        <v/>
      </c>
      <c r="K76" s="131" t="str">
        <f>IF(ISTEXT(VLOOKUP(CONCATENATE($A76,"_",K$3),'Unit List'!$A$14:$H$2841,2,FALSE)),"X",$J76)</f>
        <v/>
      </c>
      <c r="L76" s="116" t="str">
        <f>IF(ISTEXT(VLOOKUP(CONCATENATE($A76,"_",L$3),'Unit List'!$A$14:$H$2841,2,FALSE)),"X",$J76)</f>
        <v/>
      </c>
      <c r="M76" s="173" t="str">
        <f>IF(ISTEXT(VLOOKUP(CONCATENATE($A76,"_",M$3),'Unit List'!$A$14:$H$2841,2,FALSE)),"+","")</f>
        <v/>
      </c>
      <c r="N76" s="131" t="str">
        <f>IF(ISTEXT(VLOOKUP(CONCATENATE($A76,"_",N$3),'Unit List'!$A$14:$H$2841,2,FALSE)),"X",$M76)</f>
        <v/>
      </c>
      <c r="O76" s="132" t="str">
        <f>IF(ISTEXT(VLOOKUP(CONCATENATE($A76,"_",O$3),'Unit List'!$A$14:$H$2841,2,FALSE)),"X",$M76)</f>
        <v/>
      </c>
      <c r="P76" s="173" t="str">
        <f>IF(ISTEXT(VLOOKUP(CONCATENATE($A76,"_",P$3),'Unit List'!$A$14:$H$2841,2,FALSE)),"+","")</f>
        <v/>
      </c>
      <c r="Q76" s="131" t="str">
        <f>IF(ISTEXT(VLOOKUP(CONCATENATE($A76,"_",Q$3),'Unit List'!$A$14:$H$2841,2,FALSE)),"X",$P76)</f>
        <v/>
      </c>
      <c r="R76" s="131" t="str">
        <f>IF(ISTEXT(VLOOKUP(CONCATENATE($A76,"_",R$3),'Unit List'!$A$14:$H$2841,2,FALSE)),"X",$P76)</f>
        <v/>
      </c>
      <c r="S76" s="131" t="str">
        <f>IF(ISTEXT(VLOOKUP(CONCATENATE($A76,"_",S$3),'Unit List'!$A$14:$H$2841,2,FALSE)),"X",$P76)</f>
        <v/>
      </c>
      <c r="T76" s="133" t="str">
        <f>IF(ISTEXT(VLOOKUP(CONCATENATE($A76,"_",T$3),'Unit List'!$A$14:$H$2841,2,FALSE)),"X",$P76)</f>
        <v/>
      </c>
      <c r="U76" s="131" t="str">
        <f>IF(ISTEXT(VLOOKUP(CONCATENATE($A76,"_",U$3),'Unit List'!$A$14:$H$2841,2,FALSE)),"X",$P76)</f>
        <v/>
      </c>
      <c r="V76" s="131" t="str">
        <f>IF(ISTEXT(VLOOKUP(CONCATENATE($A76,"_",V$3),'Unit List'!$A$14:$H$2841,2,FALSE)),"X",$P76)</f>
        <v/>
      </c>
      <c r="W76" s="132" t="str">
        <f>IF(ISTEXT(VLOOKUP(CONCATENATE($A76,"_",W$3),'Unit List'!$A$14:$H$2841,2,FALSE)),"X",$P76)</f>
        <v/>
      </c>
      <c r="X76" s="173" t="str">
        <f>IF(ISTEXT(VLOOKUP(CONCATENATE($A76,"_",X$3),'Unit List'!$A$14:$H$2841,2,FALSE)),"+","")</f>
        <v/>
      </c>
      <c r="Y76" s="131" t="str">
        <f>IF(ISTEXT(VLOOKUP(CONCATENATE($A76,"_",Y$3),'Unit List'!$A$14:$H$2841,2,FALSE)),"X",$X76)</f>
        <v/>
      </c>
      <c r="Z76" s="131" t="str">
        <f>IF(ISTEXT(VLOOKUP(CONCATENATE($A76,"_",Z$3),'Unit List'!$A$14:$H$2841,2,FALSE)),"X",$X76)</f>
        <v/>
      </c>
      <c r="AA76" s="131" t="str">
        <f>IF(ISTEXT(VLOOKUP(CONCATENATE($A76,"_",AA$3),'Unit List'!$A$14:$H$2841,2,FALSE)),"X",$X76)</f>
        <v/>
      </c>
      <c r="AB76" s="131" t="str">
        <f>IF(ISTEXT(VLOOKUP(CONCATENATE($A76,"_",AB$3),'Unit List'!$A$14:$H$2841,2,FALSE)),"X",$X76)</f>
        <v/>
      </c>
      <c r="AC76" s="116" t="str">
        <f>IF(ISTEXT(VLOOKUP(CONCATENATE($A76,"_",AC$3),'Unit List'!$A$14:$H$2841,2,FALSE)),"X",$X76)</f>
        <v/>
      </c>
      <c r="AD76" s="173" t="str">
        <f>IF(ISTEXT(VLOOKUP(CONCATENATE($A76,"_",AD$3),'Unit List'!$A$14:$H$2841,2,FALSE)),"+","")</f>
        <v/>
      </c>
      <c r="AE76" s="131" t="str">
        <f>IF(ISTEXT(VLOOKUP(CONCATENATE($A76,"_",AE$3),'Unit List'!$A$14:$H$2841,2,FALSE)),"X",$AD76)</f>
        <v/>
      </c>
      <c r="AF76" s="131" t="str">
        <f>IF(ISTEXT(VLOOKUP(CONCATENATE($A76,"_",AF$3),'Unit List'!$A$14:$H$2841,2,FALSE)),"X",$AD76)</f>
        <v/>
      </c>
      <c r="AG76" s="173" t="str">
        <f>IF(ISTEXT(VLOOKUP(CONCATENATE($A76,"_",AG$3),'Unit List'!$A$14:$H$2841,2,FALSE)),"+","")</f>
        <v/>
      </c>
      <c r="AH76" s="131" t="str">
        <f>IF(ISTEXT(VLOOKUP(CONCATENATE($A76,"_",AH$3),'Unit List'!$A$14:$H$2841,2,FALSE)),"X",$AG76)</f>
        <v/>
      </c>
      <c r="AI76" s="131" t="str">
        <f>IF(ISTEXT(VLOOKUP(CONCATENATE($A76,"_",AI$3),'Unit List'!$A$14:$H$2841,2,FALSE)),"X",$AG76)</f>
        <v/>
      </c>
      <c r="AJ76" s="132" t="str">
        <f>IF(ISTEXT(VLOOKUP(CONCATENATE($A76,"_",AJ$3),'Unit List'!$A$14:$H$2841,2,FALSE)),"X",$AG76)</f>
        <v/>
      </c>
      <c r="AK76" s="173" t="str">
        <f>IF(ISTEXT(VLOOKUP(CONCATENATE($A76,"_",AK$3),'Unit List'!$A$14:$H$2841,2,FALSE)),"+","")</f>
        <v/>
      </c>
      <c r="AL76" s="133" t="str">
        <f>IF(ISTEXT(VLOOKUP(CONCATENATE($A76,"_",AL$3),'Unit List'!$A$14:$H$2841,2,FALSE)),"X",$AK76)</f>
        <v/>
      </c>
      <c r="AM76" s="132" t="str">
        <f>IF(ISTEXT(VLOOKUP(CONCATENATE($A76,"_",AM$3),'Unit List'!$A$14:$H$2841,2,FALSE)),"X",$AK76)</f>
        <v/>
      </c>
      <c r="AN76" s="186" t="str">
        <f>IF(ISTEXT(VLOOKUP(CONCATENATE($A76,"_",AN$3),'Unit List'!$A$14:$H$2841,2,FALSE)),"+","")</f>
        <v/>
      </c>
      <c r="AO76" s="132" t="str">
        <f>IF(ISTEXT(VLOOKUP(CONCATENATE($A76,"_",AO$3),'Unit List'!$A$14:$H$2841,2,FALSE)),"X",$AN76)</f>
        <v/>
      </c>
      <c r="AP76" s="173" t="str">
        <f>IF(ISTEXT(VLOOKUP(CONCATENATE($A76,"_",AP$3),'Unit List'!$A$14:$H$2841,2,FALSE)),"+","")</f>
        <v/>
      </c>
      <c r="AQ76" s="131" t="str">
        <f>IF(ISTEXT(VLOOKUP(CONCATENATE($A76,"_",AQ$3),'Unit List'!$A$14:$H$2841,2,FALSE)),"X",$AP76)</f>
        <v/>
      </c>
      <c r="AR76" s="131" t="str">
        <f>IF(ISTEXT(VLOOKUP(CONCATENATE($A76,"_",AR$3),'Unit List'!$A$14:$H$2841,2,FALSE)),"X",$AP76)</f>
        <v/>
      </c>
      <c r="AS76" s="131" t="str">
        <f>IF(ISTEXT(VLOOKUP(CONCATENATE($A76,"_",AS$3),'Unit List'!$A$14:$H$2841,2,FALSE)),"X",$AP76)</f>
        <v/>
      </c>
      <c r="AT76" s="132" t="str">
        <f>IF(ISTEXT(VLOOKUP(CONCATENATE($A76,"_",AT$3),'Unit List'!$A$14:$H$2841,2,FALSE)),"X",$AP76)</f>
        <v/>
      </c>
      <c r="AU76" s="187" t="str">
        <f>IF(ISTEXT(VLOOKUP(CONCATENATE($A76,"_",AU$3),'Unit List'!$A$14:$H$2841,2,FALSE)),"+","")</f>
        <v/>
      </c>
      <c r="AV76" s="131" t="str">
        <f>IF(ISTEXT(VLOOKUP(CONCATENATE($A76,"_",AV$3),'Unit List'!$A$14:$H$2841,2,FALSE)),"X",$AU76)</f>
        <v/>
      </c>
      <c r="AW76" s="132" t="str">
        <f>IF(ISTEXT(VLOOKUP(CONCATENATE($A76,"_",AW$3),'Unit List'!$A$14:$H$2841,2,FALSE)),"X",$AU76)</f>
        <v/>
      </c>
      <c r="AX76" s="173" t="str">
        <f>IF(ISTEXT(VLOOKUP(CONCATENATE($A76,"_",AX$3),'Unit List'!$A$14:$H$2841,2,FALSE)),"+","")</f>
        <v/>
      </c>
      <c r="AY76" s="131" t="str">
        <f>IF(ISTEXT(VLOOKUP(CONCATENATE($A76,"_",AY$3),'Unit List'!$A$14:$H$2841,2,FALSE)),"X",$AX76)</f>
        <v/>
      </c>
      <c r="AZ76" s="132" t="str">
        <f>IF(ISTEXT(VLOOKUP(CONCATENATE($A76,"_",AZ$3),'Unit List'!$A$14:$H$2841,2,FALSE)),"X",$AX76)</f>
        <v/>
      </c>
      <c r="BA76" s="188" t="str">
        <f>IF(ISTEXT(VLOOKUP(CONCATENATE($A76,"_",BA$3),'Unit List'!$A$14:$H$2841,2,FALSE)),"+","")</f>
        <v/>
      </c>
      <c r="BB76" s="131" t="str">
        <f>IF(ISTEXT(VLOOKUP(CONCATENATE($A76,"_",BB$3),'Unit List'!$A$14:$H$2841,2,FALSE)),"X",$BA76)</f>
        <v/>
      </c>
      <c r="BC76" s="131" t="str">
        <f>IF(ISTEXT(VLOOKUP(CONCATENATE($A76,"_",BC$3),'Unit List'!$A$14:$H$2841,2,FALSE)),"X",$BA76)</f>
        <v/>
      </c>
      <c r="BD76" s="132" t="str">
        <f>IF(ISTEXT(VLOOKUP(CONCATENATE($A76,"_",BD$3),'Unit List'!$A$14:$H$2841,2,FALSE)),"X",$BA76)</f>
        <v/>
      </c>
      <c r="BE76" s="186" t="str">
        <f>IF(ISTEXT(VLOOKUP(CONCATENATE($A76,"_",BE$3),'Unit List'!$A$14:$H$2841,2,FALSE)),"+","")</f>
        <v/>
      </c>
      <c r="BF76" s="116" t="str">
        <f>IF(ISTEXT(VLOOKUP(CONCATENATE($A76,"_",BF$3),'Unit List'!$A$14:$H$2841,2,FALSE)),"X",$BE76)</f>
        <v/>
      </c>
      <c r="BG76" s="136"/>
      <c r="BH76" s="137" t="s">
        <v>0</v>
      </c>
      <c r="BI76" s="211"/>
      <c r="BJ76" s="212"/>
      <c r="BK76" s="212"/>
      <c r="BL76" s="212"/>
      <c r="BM76" s="213"/>
      <c r="BN76" s="54"/>
      <c r="BO76" s="54"/>
      <c r="BP76" s="54"/>
      <c r="BQ76" s="54"/>
      <c r="BR76" s="54"/>
      <c r="BS76" s="54"/>
      <c r="DZ76" s="55"/>
      <c r="EA76" s="55"/>
    </row>
    <row r="77" spans="1:131" ht="12.75" customHeight="1" x14ac:dyDescent="0.2">
      <c r="A77" s="118" t="s">
        <v>1914</v>
      </c>
      <c r="B77" s="181"/>
      <c r="C77" s="119"/>
      <c r="D77" s="120"/>
      <c r="E77" s="120"/>
      <c r="F77" s="120"/>
      <c r="G77" s="120"/>
      <c r="H77" s="120"/>
      <c r="I77" s="75"/>
      <c r="J77" s="172"/>
      <c r="K77" s="121"/>
      <c r="L77" s="122"/>
      <c r="M77" s="182"/>
      <c r="N77" s="120"/>
      <c r="O77" s="75"/>
      <c r="P77" s="182"/>
      <c r="Q77" s="120"/>
      <c r="R77" s="120"/>
      <c r="S77" s="121"/>
      <c r="T77" s="121"/>
      <c r="U77" s="120"/>
      <c r="V77" s="120"/>
      <c r="W77" s="75"/>
      <c r="X77" s="182"/>
      <c r="Y77" s="120"/>
      <c r="Z77" s="191"/>
      <c r="AA77" s="191"/>
      <c r="AB77" s="120"/>
      <c r="AC77" s="75"/>
      <c r="AD77" s="182"/>
      <c r="AE77" s="120"/>
      <c r="AF77" s="123"/>
      <c r="AG77" s="182"/>
      <c r="AH77" s="120"/>
      <c r="AI77" s="120"/>
      <c r="AJ77" s="75"/>
      <c r="AK77" s="192"/>
      <c r="AL77" s="191"/>
      <c r="AM77" s="75"/>
      <c r="AN77" s="192"/>
      <c r="AO77" s="193"/>
      <c r="AP77" s="182"/>
      <c r="AQ77" s="120"/>
      <c r="AR77" s="120"/>
      <c r="AS77" s="120"/>
      <c r="AT77" s="75"/>
      <c r="AU77" s="124"/>
      <c r="AV77" s="120"/>
      <c r="AW77" s="122"/>
      <c r="AX77" s="182"/>
      <c r="AY77" s="120"/>
      <c r="AZ77" s="75"/>
      <c r="BA77" s="182"/>
      <c r="BB77" s="120"/>
      <c r="BC77" s="120"/>
      <c r="BD77" s="122"/>
      <c r="BE77" s="125"/>
      <c r="BF77" s="122"/>
      <c r="BG77" s="75"/>
      <c r="BH77" s="65"/>
      <c r="BI77" s="169"/>
      <c r="BJ77" s="170"/>
      <c r="BK77" s="170"/>
      <c r="BL77" s="170"/>
      <c r="BM77" s="170"/>
      <c r="BN77" s="54"/>
      <c r="BO77" s="54"/>
      <c r="BP77" s="54"/>
      <c r="BQ77" s="54"/>
      <c r="BR77" s="54"/>
      <c r="BS77" s="54"/>
      <c r="DZ77" s="55"/>
      <c r="EA77" s="55"/>
    </row>
    <row r="78" spans="1:131" ht="12.75" customHeight="1" x14ac:dyDescent="0.2">
      <c r="A78" s="138" t="s">
        <v>1124</v>
      </c>
      <c r="B78" s="181" t="str">
        <f>IF(ISTEXT(VLOOKUP(CONCATENATE($A78,"_",B$3),'Unit List'!$A$14:$H$2841,2,FALSE)),"+","")</f>
        <v/>
      </c>
      <c r="C78" s="119" t="str">
        <f>IF(ISTEXT(VLOOKUP(CONCATENATE($A78,"_",C$3),'Unit List'!$A$14:$H$2841,2,FALSE)),"X",$B78)</f>
        <v/>
      </c>
      <c r="D78" s="120" t="str">
        <f>IF(ISTEXT(VLOOKUP(CONCATENATE($A78,"_",D$3),'Unit List'!$A$14:$H$2841,2,FALSE)),"X",$B78)</f>
        <v/>
      </c>
      <c r="E78" s="120" t="str">
        <f>IF(ISTEXT(VLOOKUP(CONCATENATE($A78,"_",E$3),'Unit List'!$A$14:$H$2841,2,FALSE)),"X",$B78)</f>
        <v/>
      </c>
      <c r="F78" s="120" t="str">
        <f>IF(ISTEXT(VLOOKUP(CONCATENATE($A78,"_",F$3),'Unit List'!$A$14:$H$2841,2,FALSE)),"X",$B78)</f>
        <v/>
      </c>
      <c r="G78" s="120" t="str">
        <f>IF(ISTEXT(VLOOKUP(CONCATENATE($A78,"_",G$3),'Unit List'!$A$14:$H$2841,2,FALSE)),"X",$B78)</f>
        <v/>
      </c>
      <c r="H78" s="120" t="str">
        <f>IF(ISTEXT(VLOOKUP(CONCATENATE($A78,"_",H$3),'Unit List'!$A$14:$H$2841,2,FALSE)),"X",$B78)</f>
        <v/>
      </c>
      <c r="I78" s="122" t="str">
        <f>IF(ISTEXT(VLOOKUP(CONCATENATE($A78,"_",I$3),'Unit List'!$A$14:$H$2841,2,FALSE)),"X",$B78)</f>
        <v/>
      </c>
      <c r="J78" s="172" t="str">
        <f>IF(ISTEXT(VLOOKUP(CONCATENATE($A78,"_",J$3),'Unit List'!$A$14:$H$2841,2,FALSE)),"+","")</f>
        <v/>
      </c>
      <c r="K78" s="120" t="str">
        <f>IF(ISTEXT(VLOOKUP(CONCATENATE($A78,"_",K$3),'Unit List'!$A$14:$H$2841,2,FALSE)),"X",$J78)</f>
        <v/>
      </c>
      <c r="L78" s="75" t="str">
        <f>IF(ISTEXT(VLOOKUP(CONCATENATE($A78,"_",L$3),'Unit List'!$A$14:$H$2841,2,FALSE)),"X",$J78)</f>
        <v/>
      </c>
      <c r="M78" s="172" t="str">
        <f>IF(ISTEXT(VLOOKUP(CONCATENATE($A78,"_",M$3),'Unit List'!$A$14:$H$2841,2,FALSE)),"+","")</f>
        <v/>
      </c>
      <c r="N78" s="120" t="str">
        <f>IF(ISTEXT(VLOOKUP(CONCATENATE($A78,"_",N$3),'Unit List'!$A$14:$H$2841,2,FALSE)),"X",$M78)</f>
        <v/>
      </c>
      <c r="O78" s="122" t="str">
        <f>IF(ISTEXT(VLOOKUP(CONCATENATE($A78,"_",O$3),'Unit List'!$A$14:$H$2841,2,FALSE)),"X",$M78)</f>
        <v/>
      </c>
      <c r="P78" s="172" t="str">
        <f>IF(ISTEXT(VLOOKUP(CONCATENATE($A78,"_",P$3),'Unit List'!$A$14:$H$2841,2,FALSE)),"+","")</f>
        <v/>
      </c>
      <c r="Q78" s="120" t="str">
        <f>IF(ISTEXT(VLOOKUP(CONCATENATE($A78,"_",Q$3),'Unit List'!$A$14:$H$2841,2,FALSE)),"X",$P78)</f>
        <v/>
      </c>
      <c r="R78" s="120" t="str">
        <f>IF(ISTEXT(VLOOKUP(CONCATENATE($A78,"_",R$3),'Unit List'!$A$14:$H$2841,2,FALSE)),"X",$P78)</f>
        <v/>
      </c>
      <c r="S78" s="120" t="str">
        <f>IF(ISTEXT(VLOOKUP(CONCATENATE($A78,"_",S$3),'Unit List'!$A$14:$H$2841,2,FALSE)),"X",$P78)</f>
        <v/>
      </c>
      <c r="T78" s="121" t="str">
        <f>IF(ISTEXT(VLOOKUP(CONCATENATE($A78,"_",T$3),'Unit List'!$A$14:$H$2841,2,FALSE)),"X",$P78)</f>
        <v/>
      </c>
      <c r="U78" s="120" t="str">
        <f>IF(ISTEXT(VLOOKUP(CONCATENATE($A78,"_",U$3),'Unit List'!$A$14:$H$2841,2,FALSE)),"X",$P78)</f>
        <v/>
      </c>
      <c r="V78" s="120" t="str">
        <f>IF(ISTEXT(VLOOKUP(CONCATENATE($A78,"_",V$3),'Unit List'!$A$14:$H$2841,2,FALSE)),"X",$P78)</f>
        <v/>
      </c>
      <c r="W78" s="122" t="str">
        <f>IF(ISTEXT(VLOOKUP(CONCATENATE($A78,"_",W$3),'Unit List'!$A$14:$H$2841,2,FALSE)),"X",$P78)</f>
        <v/>
      </c>
      <c r="X78" s="172" t="str">
        <f>IF(ISTEXT(VLOOKUP(CONCATENATE($A78,"_",X$3),'Unit List'!$A$14:$H$2841,2,FALSE)),"+","")</f>
        <v/>
      </c>
      <c r="Y78" s="120" t="str">
        <f>IF(ISTEXT(VLOOKUP(CONCATENATE($A78,"_",Y$3),'Unit List'!$A$14:$H$2841,2,FALSE)),"X",$X78)</f>
        <v/>
      </c>
      <c r="Z78" s="120" t="str">
        <f>IF(ISTEXT(VLOOKUP(CONCATENATE($A78,"_",Z$3),'Unit List'!$A$14:$H$2841,2,FALSE)),"X",$X78)</f>
        <v/>
      </c>
      <c r="AA78" s="120" t="str">
        <f>IF(ISTEXT(VLOOKUP(CONCATENATE($A78,"_",AA$3),'Unit List'!$A$14:$H$2841,2,FALSE)),"X",$X78)</f>
        <v/>
      </c>
      <c r="AB78" s="120" t="str">
        <f>IF(ISTEXT(VLOOKUP(CONCATENATE($A78,"_",AB$3),'Unit List'!$A$14:$H$2841,2,FALSE)),"X",$X78)</f>
        <v/>
      </c>
      <c r="AC78" s="75" t="str">
        <f>IF(ISTEXT(VLOOKUP(CONCATENATE($A78,"_",AC$3),'Unit List'!$A$14:$H$2841,2,FALSE)),"X",$X78)</f>
        <v/>
      </c>
      <c r="AD78" s="172" t="str">
        <f>IF(ISTEXT(VLOOKUP(CONCATENATE($A78,"_",AD$3),'Unit List'!$A$14:$H$2841,2,FALSE)),"+","")</f>
        <v/>
      </c>
      <c r="AE78" s="120" t="str">
        <f>IF(ISTEXT(VLOOKUP(CONCATENATE($A78,"_",AE$3),'Unit List'!$A$14:$H$2841,2,FALSE)),"X",$AD78)</f>
        <v/>
      </c>
      <c r="AF78" s="120" t="str">
        <f>IF(ISTEXT(VLOOKUP(CONCATENATE($A78,"_",AF$3),'Unit List'!$A$14:$H$2841,2,FALSE)),"X",$AD78)</f>
        <v/>
      </c>
      <c r="AG78" s="172" t="str">
        <f>IF(ISTEXT(VLOOKUP(CONCATENATE($A78,"_",AG$3),'Unit List'!$A$14:$H$2841,2,FALSE)),"+","")</f>
        <v/>
      </c>
      <c r="AH78" s="120" t="str">
        <f>IF(ISTEXT(VLOOKUP(CONCATENATE($A78,"_",AH$3),'Unit List'!$A$14:$H$2841,2,FALSE)),"X",$AG78)</f>
        <v/>
      </c>
      <c r="AI78" s="120" t="str">
        <f>IF(ISTEXT(VLOOKUP(CONCATENATE($A78,"_",AI$3),'Unit List'!$A$14:$H$2841,2,FALSE)),"X",$AG78)</f>
        <v/>
      </c>
      <c r="AJ78" s="122" t="str">
        <f>IF(ISTEXT(VLOOKUP(CONCATENATE($A78,"_",AJ$3),'Unit List'!$A$14:$H$2841,2,FALSE)),"X",$AG78)</f>
        <v/>
      </c>
      <c r="AK78" s="172" t="str">
        <f>IF(ISTEXT(VLOOKUP(CONCATENATE($A78,"_",AK$3),'Unit List'!$A$14:$H$2841,2,FALSE)),"+","")</f>
        <v/>
      </c>
      <c r="AL78" s="121" t="str">
        <f>IF(ISTEXT(VLOOKUP(CONCATENATE($A78,"_",AL$3),'Unit List'!$A$14:$H$2841,2,FALSE)),"X",$AK78)</f>
        <v/>
      </c>
      <c r="AM78" s="122" t="str">
        <f>IF(ISTEXT(VLOOKUP(CONCATENATE($A78,"_",AM$3),'Unit List'!$A$14:$H$2841,2,FALSE)),"X",$AK78)</f>
        <v/>
      </c>
      <c r="AN78" s="125" t="str">
        <f>IF(ISTEXT(VLOOKUP(CONCATENATE($A78,"_",AN$3),'Unit List'!$A$14:$H$2841,2,FALSE)),"+","")</f>
        <v/>
      </c>
      <c r="AO78" s="122" t="str">
        <f>IF(ISTEXT(VLOOKUP(CONCATENATE($A78,"_",AO$3),'Unit List'!$A$14:$H$2841,2,FALSE)),"X",$AN78)</f>
        <v/>
      </c>
      <c r="AP78" s="172" t="str">
        <f>IF(ISTEXT(VLOOKUP(CONCATENATE($A78,"_",AP$3),'Unit List'!$A$14:$H$2841,2,FALSE)),"+","")</f>
        <v/>
      </c>
      <c r="AQ78" s="120" t="str">
        <f>IF(ISTEXT(VLOOKUP(CONCATENATE($A78,"_",AQ$3),'Unit List'!$A$14:$H$2841,2,FALSE)),"X",$AP78)</f>
        <v/>
      </c>
      <c r="AR78" s="120" t="str">
        <f>IF(ISTEXT(VLOOKUP(CONCATENATE($A78,"_",AR$3),'Unit List'!$A$14:$H$2841,2,FALSE)),"X",$AP78)</f>
        <v/>
      </c>
      <c r="AS78" s="120" t="str">
        <f>IF(ISTEXT(VLOOKUP(CONCATENATE($A78,"_",AS$3),'Unit List'!$A$14:$H$2841,2,FALSE)),"X",$AP78)</f>
        <v/>
      </c>
      <c r="AT78" s="122" t="str">
        <f>IF(ISTEXT(VLOOKUP(CONCATENATE($A78,"_",AT$3),'Unit List'!$A$14:$H$2841,2,FALSE)),"X",$AP78)</f>
        <v/>
      </c>
      <c r="AU78" s="124" t="str">
        <f>IF(ISTEXT(VLOOKUP(CONCATENATE($A78,"_",AU$3),'Unit List'!$A$14:$H$2841,2,FALSE)),"+","")</f>
        <v/>
      </c>
      <c r="AV78" s="120" t="str">
        <f>IF(ISTEXT(VLOOKUP(CONCATENATE($A78,"_",AV$3),'Unit List'!$A$14:$H$2841,2,FALSE)),"X",$AU78)</f>
        <v/>
      </c>
      <c r="AW78" s="122" t="str">
        <f>IF(ISTEXT(VLOOKUP(CONCATENATE($A78,"_",AW$3),'Unit List'!$A$14:$H$2841,2,FALSE)),"X",$AU78)</f>
        <v/>
      </c>
      <c r="AX78" s="172" t="str">
        <f>IF(ISTEXT(VLOOKUP(CONCATENATE($A78,"_",AX$3),'Unit List'!$A$14:$H$2841,2,FALSE)),"+","")</f>
        <v/>
      </c>
      <c r="AY78" s="120" t="str">
        <f>IF(ISTEXT(VLOOKUP(CONCATENATE($A78,"_",AY$3),'Unit List'!$A$14:$H$2841,2,FALSE)),"X",$AX78)</f>
        <v/>
      </c>
      <c r="AZ78" s="122" t="str">
        <f>IF(ISTEXT(VLOOKUP(CONCATENATE($A78,"_",AZ$3),'Unit List'!$A$14:$H$2841,2,FALSE)),"X",$AX78)</f>
        <v/>
      </c>
      <c r="BA78" s="182" t="str">
        <f>IF(ISTEXT(VLOOKUP(CONCATENATE($A78,"_",BA$3),'Unit List'!$A$14:$H$2841,2,FALSE)),"+","")</f>
        <v/>
      </c>
      <c r="BB78" s="120" t="str">
        <f>IF(ISTEXT(VLOOKUP(CONCATENATE($A78,"_",BB$3),'Unit List'!$A$14:$H$2841,2,FALSE)),"X",$BA78)</f>
        <v/>
      </c>
      <c r="BC78" s="120" t="str">
        <f>IF(ISTEXT(VLOOKUP(CONCATENATE($A78,"_",BC$3),'Unit List'!$A$14:$H$2841,2,FALSE)),"X",$BA78)</f>
        <v/>
      </c>
      <c r="BD78" s="122" t="str">
        <f>IF(ISTEXT(VLOOKUP(CONCATENATE($A78,"_",BD$3),'Unit List'!$A$14:$H$2841,2,FALSE)),"X",$BA78)</f>
        <v/>
      </c>
      <c r="BE78" s="125" t="str">
        <f>IF(ISTEXT(VLOOKUP(CONCATENATE($A78,"_",BE$3),'Unit List'!$A$14:$H$2841,2,FALSE)),"+","")</f>
        <v/>
      </c>
      <c r="BF78" s="75" t="str">
        <f>IF(ISTEXT(VLOOKUP(CONCATENATE($A78,"_",BF$3),'Unit List'!$A$14:$H$2841,2,FALSE)),"X",$BE78)</f>
        <v/>
      </c>
      <c r="BG78" s="122"/>
      <c r="BH78" s="65" t="s">
        <v>0</v>
      </c>
      <c r="BI78" s="139"/>
      <c r="BJ78" s="140"/>
      <c r="BK78" s="140"/>
      <c r="BL78" s="140"/>
      <c r="BM78" s="140"/>
      <c r="BN78" s="54"/>
      <c r="BO78" s="54"/>
      <c r="BP78" s="54"/>
      <c r="BQ78" s="54"/>
      <c r="BR78" s="54"/>
      <c r="BS78" s="54"/>
      <c r="DZ78" s="55"/>
      <c r="EA78" s="55"/>
    </row>
    <row r="79" spans="1:131" ht="12.75" customHeight="1" x14ac:dyDescent="0.2">
      <c r="A79" s="138" t="s">
        <v>1125</v>
      </c>
      <c r="B79" s="190" t="str">
        <f>IF(ISTEXT(VLOOKUP(CONCATENATE($A79,"_",B$3),'Unit List'!$A$14:$H$2841,2,FALSE)),"+","")</f>
        <v/>
      </c>
      <c r="C79" s="119" t="str">
        <f>IF(ISTEXT(VLOOKUP(CONCATENATE($A79,"_",C$3),'Unit List'!$A$14:$H$2841,2,FALSE)),"X",$B79)</f>
        <v/>
      </c>
      <c r="D79" s="120" t="str">
        <f>IF(ISTEXT(VLOOKUP(CONCATENATE($A79,"_",D$3),'Unit List'!$A$14:$H$2841,2,FALSE)),"X",$B79)</f>
        <v/>
      </c>
      <c r="E79" s="120" t="str">
        <f>IF(ISTEXT(VLOOKUP(CONCATENATE($A79,"_",E$3),'Unit List'!$A$14:$H$2841,2,FALSE)),"X",$B79)</f>
        <v/>
      </c>
      <c r="F79" s="120" t="str">
        <f>IF(ISTEXT(VLOOKUP(CONCATENATE($A79,"_",F$3),'Unit List'!$A$14:$H$2841,2,FALSE)),"X",$B79)</f>
        <v/>
      </c>
      <c r="G79" s="120" t="str">
        <f>IF(ISTEXT(VLOOKUP(CONCATENATE($A79,"_",G$3),'Unit List'!$A$14:$H$2841,2,FALSE)),"X",$B79)</f>
        <v/>
      </c>
      <c r="H79" s="120" t="str">
        <f>IF(ISTEXT(VLOOKUP(CONCATENATE($A79,"_",H$3),'Unit List'!$A$14:$H$2841,2,FALSE)),"X",$B79)</f>
        <v/>
      </c>
      <c r="I79" s="122" t="str">
        <f>IF(ISTEXT(VLOOKUP(CONCATENATE($A79,"_",I$3),'Unit List'!$A$14:$H$2841,2,FALSE)),"X",$B79)</f>
        <v/>
      </c>
      <c r="J79" s="172" t="str">
        <f>IF(ISTEXT(VLOOKUP(CONCATENATE($A79,"_",J$3),'Unit List'!$A$14:$H$2841,2,FALSE)),"+","")</f>
        <v/>
      </c>
      <c r="K79" s="120" t="str">
        <f>IF(ISTEXT(VLOOKUP(CONCATENATE($A79,"_",K$3),'Unit List'!$A$14:$H$2841,2,FALSE)),"X",$J79)</f>
        <v/>
      </c>
      <c r="L79" s="75" t="str">
        <f>IF(ISTEXT(VLOOKUP(CONCATENATE($A79,"_",L$3),'Unit List'!$A$14:$H$2841,2,FALSE)),"X",$J79)</f>
        <v/>
      </c>
      <c r="M79" s="172" t="str">
        <f>IF(ISTEXT(VLOOKUP(CONCATENATE($A79,"_",M$3),'Unit List'!$A$14:$H$2841,2,FALSE)),"+","")</f>
        <v/>
      </c>
      <c r="N79" s="120" t="str">
        <f>IF(ISTEXT(VLOOKUP(CONCATENATE($A79,"_",N$3),'Unit List'!$A$14:$H$2841,2,FALSE)),"X",$M79)</f>
        <v/>
      </c>
      <c r="O79" s="122" t="str">
        <f>IF(ISTEXT(VLOOKUP(CONCATENATE($A79,"_",O$3),'Unit List'!$A$14:$H$2841,2,FALSE)),"X",$M79)</f>
        <v/>
      </c>
      <c r="P79" s="172" t="str">
        <f>IF(ISTEXT(VLOOKUP(CONCATENATE($A79,"_",P$3),'Unit List'!$A$14:$H$2841,2,FALSE)),"+","")</f>
        <v/>
      </c>
      <c r="Q79" s="120" t="str">
        <f>IF(ISTEXT(VLOOKUP(CONCATENATE($A79,"_",Q$3),'Unit List'!$A$14:$H$2841,2,FALSE)),"X",$P79)</f>
        <v/>
      </c>
      <c r="R79" s="120" t="str">
        <f>IF(ISTEXT(VLOOKUP(CONCATENATE($A79,"_",R$3),'Unit List'!$A$14:$H$2841,2,FALSE)),"X",$P79)</f>
        <v/>
      </c>
      <c r="S79" s="120" t="str">
        <f>IF(ISTEXT(VLOOKUP(CONCATENATE($A79,"_",S$3),'Unit List'!$A$14:$H$2841,2,FALSE)),"X",$P79)</f>
        <v/>
      </c>
      <c r="T79" s="121" t="str">
        <f>IF(ISTEXT(VLOOKUP(CONCATENATE($A79,"_",T$3),'Unit List'!$A$14:$H$2841,2,FALSE)),"X",$P79)</f>
        <v/>
      </c>
      <c r="U79" s="120" t="str">
        <f>IF(ISTEXT(VLOOKUP(CONCATENATE($A79,"_",U$3),'Unit List'!$A$14:$H$2841,2,FALSE)),"X",$P79)</f>
        <v/>
      </c>
      <c r="V79" s="120" t="str">
        <f>IF(ISTEXT(VLOOKUP(CONCATENATE($A79,"_",V$3),'Unit List'!$A$14:$H$2841,2,FALSE)),"X",$P79)</f>
        <v/>
      </c>
      <c r="W79" s="122" t="str">
        <f>IF(ISTEXT(VLOOKUP(CONCATENATE($A79,"_",W$3),'Unit List'!$A$14:$H$2841,2,FALSE)),"X",$P79)</f>
        <v/>
      </c>
      <c r="X79" s="172" t="str">
        <f>IF(ISTEXT(VLOOKUP(CONCATENATE($A79,"_",X$3),'Unit List'!$A$14:$H$2841,2,FALSE)),"+","")</f>
        <v/>
      </c>
      <c r="Y79" s="120" t="str">
        <f>IF(ISTEXT(VLOOKUP(CONCATENATE($A79,"_",Y$3),'Unit List'!$A$14:$H$2841,2,FALSE)),"X",$X79)</f>
        <v/>
      </c>
      <c r="Z79" s="120" t="str">
        <f>IF(ISTEXT(VLOOKUP(CONCATENATE($A79,"_",Z$3),'Unit List'!$A$14:$H$2841,2,FALSE)),"X",$X79)</f>
        <v/>
      </c>
      <c r="AA79" s="120" t="str">
        <f>IF(ISTEXT(VLOOKUP(CONCATENATE($A79,"_",AA$3),'Unit List'!$A$14:$H$2841,2,FALSE)),"X",$X79)</f>
        <v/>
      </c>
      <c r="AB79" s="120" t="str">
        <f>IF(ISTEXT(VLOOKUP(CONCATENATE($A79,"_",AB$3),'Unit List'!$A$14:$H$2841,2,FALSE)),"X",$X79)</f>
        <v/>
      </c>
      <c r="AC79" s="75" t="str">
        <f>IF(ISTEXT(VLOOKUP(CONCATENATE($A79,"_",AC$3),'Unit List'!$A$14:$H$2841,2,FALSE)),"X",$X79)</f>
        <v/>
      </c>
      <c r="AD79" s="172" t="str">
        <f>IF(ISTEXT(VLOOKUP(CONCATENATE($A79,"_",AD$3),'Unit List'!$A$14:$H$2841,2,FALSE)),"+","")</f>
        <v/>
      </c>
      <c r="AE79" s="120" t="str">
        <f>IF(ISTEXT(VLOOKUP(CONCATENATE($A79,"_",AE$3),'Unit List'!$A$14:$H$2841,2,FALSE)),"X",$AD79)</f>
        <v/>
      </c>
      <c r="AF79" s="120" t="str">
        <f>IF(ISTEXT(VLOOKUP(CONCATENATE($A79,"_",AF$3),'Unit List'!$A$14:$H$2841,2,FALSE)),"X",$AD79)</f>
        <v/>
      </c>
      <c r="AG79" s="172" t="str">
        <f>IF(ISTEXT(VLOOKUP(CONCATENATE($A79,"_",AG$3),'Unit List'!$A$14:$H$2841,2,FALSE)),"+","")</f>
        <v/>
      </c>
      <c r="AH79" s="120" t="str">
        <f>IF(ISTEXT(VLOOKUP(CONCATENATE($A79,"_",AH$3),'Unit List'!$A$14:$H$2841,2,FALSE)),"X",$AG79)</f>
        <v/>
      </c>
      <c r="AI79" s="120" t="str">
        <f>IF(ISTEXT(VLOOKUP(CONCATENATE($A79,"_",AI$3),'Unit List'!$A$14:$H$2841,2,FALSE)),"X",$AG79)</f>
        <v/>
      </c>
      <c r="AJ79" s="122" t="str">
        <f>IF(ISTEXT(VLOOKUP(CONCATENATE($A79,"_",AJ$3),'Unit List'!$A$14:$H$2841,2,FALSE)),"X",$AG79)</f>
        <v/>
      </c>
      <c r="AK79" s="172" t="str">
        <f>IF(ISTEXT(VLOOKUP(CONCATENATE($A79,"_",AK$3),'Unit List'!$A$14:$H$2841,2,FALSE)),"+","")</f>
        <v/>
      </c>
      <c r="AL79" s="121" t="str">
        <f>IF(ISTEXT(VLOOKUP(CONCATENATE($A79,"_",AL$3),'Unit List'!$A$14:$H$2841,2,FALSE)),"X",$AK79)</f>
        <v/>
      </c>
      <c r="AM79" s="122" t="str">
        <f>IF(ISTEXT(VLOOKUP(CONCATENATE($A79,"_",AM$3),'Unit List'!$A$14:$H$2841,2,FALSE)),"X",$AK79)</f>
        <v/>
      </c>
      <c r="AN79" s="125" t="str">
        <f>IF(ISTEXT(VLOOKUP(CONCATENATE($A79,"_",AN$3),'Unit List'!$A$14:$H$2841,2,FALSE)),"+","")</f>
        <v/>
      </c>
      <c r="AO79" s="122" t="str">
        <f>IF(ISTEXT(VLOOKUP(CONCATENATE($A79,"_",AO$3),'Unit List'!$A$14:$H$2841,2,FALSE)),"X",$AN79)</f>
        <v/>
      </c>
      <c r="AP79" s="172" t="str">
        <f>IF(ISTEXT(VLOOKUP(CONCATENATE($A79,"_",AP$3),'Unit List'!$A$14:$H$2841,2,FALSE)),"+","")</f>
        <v/>
      </c>
      <c r="AQ79" s="120" t="str">
        <f>IF(ISTEXT(VLOOKUP(CONCATENATE($A79,"_",AQ$3),'Unit List'!$A$14:$H$2841,2,FALSE)),"X",$AP79)</f>
        <v/>
      </c>
      <c r="AR79" s="120" t="str">
        <f>IF(ISTEXT(VLOOKUP(CONCATENATE($A79,"_",AR$3),'Unit List'!$A$14:$H$2841,2,FALSE)),"X",$AP79)</f>
        <v/>
      </c>
      <c r="AS79" s="120" t="str">
        <f>IF(ISTEXT(VLOOKUP(CONCATENATE($A79,"_",AS$3),'Unit List'!$A$14:$H$2841,2,FALSE)),"X",$AP79)</f>
        <v/>
      </c>
      <c r="AT79" s="122" t="str">
        <f>IF(ISTEXT(VLOOKUP(CONCATENATE($A79,"_",AT$3),'Unit List'!$A$14:$H$2841,2,FALSE)),"X",$AP79)</f>
        <v/>
      </c>
      <c r="AU79" s="124" t="str">
        <f>IF(ISTEXT(VLOOKUP(CONCATENATE($A79,"_",AU$3),'Unit List'!$A$14:$H$2841,2,FALSE)),"+","")</f>
        <v/>
      </c>
      <c r="AV79" s="120" t="str">
        <f>IF(ISTEXT(VLOOKUP(CONCATENATE($A79,"_",AV$3),'Unit List'!$A$14:$H$2841,2,FALSE)),"X",$AU79)</f>
        <v/>
      </c>
      <c r="AW79" s="122" t="str">
        <f>IF(ISTEXT(VLOOKUP(CONCATENATE($A79,"_",AW$3),'Unit List'!$A$14:$H$2841,2,FALSE)),"X",$AU79)</f>
        <v/>
      </c>
      <c r="AX79" s="172" t="str">
        <f>IF(ISTEXT(VLOOKUP(CONCATENATE($A79,"_",AX$3),'Unit List'!$A$14:$H$2841,2,FALSE)),"+","")</f>
        <v/>
      </c>
      <c r="AY79" s="120" t="str">
        <f>IF(ISTEXT(VLOOKUP(CONCATENATE($A79,"_",AY$3),'Unit List'!$A$14:$H$2841,2,FALSE)),"X",$AX79)</f>
        <v/>
      </c>
      <c r="AZ79" s="122" t="str">
        <f>IF(ISTEXT(VLOOKUP(CONCATENATE($A79,"_",AZ$3),'Unit List'!$A$14:$H$2841,2,FALSE)),"X",$AX79)</f>
        <v/>
      </c>
      <c r="BA79" s="182" t="str">
        <f>IF(ISTEXT(VLOOKUP(CONCATENATE($A79,"_",BA$3),'Unit List'!$A$14:$H$2841,2,FALSE)),"+","")</f>
        <v/>
      </c>
      <c r="BB79" s="120" t="str">
        <f>IF(ISTEXT(VLOOKUP(CONCATENATE($A79,"_",BB$3),'Unit List'!$A$14:$H$2841,2,FALSE)),"X",$BA79)</f>
        <v/>
      </c>
      <c r="BC79" s="120" t="str">
        <f>IF(ISTEXT(VLOOKUP(CONCATENATE($A79,"_",BC$3),'Unit List'!$A$14:$H$2841,2,FALSE)),"X",$BA79)</f>
        <v/>
      </c>
      <c r="BD79" s="122" t="str">
        <f>IF(ISTEXT(VLOOKUP(CONCATENATE($A79,"_",BD$3),'Unit List'!$A$14:$H$2841,2,FALSE)),"X",$BA79)</f>
        <v/>
      </c>
      <c r="BE79" s="125" t="str">
        <f>IF(ISTEXT(VLOOKUP(CONCATENATE($A79,"_",BE$3),'Unit List'!$A$14:$H$2841,2,FALSE)),"+","")</f>
        <v/>
      </c>
      <c r="BF79" s="75" t="str">
        <f>IF(ISTEXT(VLOOKUP(CONCATENATE($A79,"_",BF$3),'Unit List'!$A$14:$H$2841,2,FALSE)),"X",$BE79)</f>
        <v/>
      </c>
      <c r="BG79" s="122"/>
      <c r="BH79" s="65" t="s">
        <v>0</v>
      </c>
      <c r="BI79" s="139"/>
      <c r="BJ79" s="140"/>
      <c r="BK79" s="140"/>
      <c r="BL79" s="140"/>
      <c r="BM79" s="140"/>
      <c r="BN79" s="54"/>
      <c r="BO79" s="54"/>
      <c r="BP79" s="54"/>
      <c r="BQ79" s="54"/>
      <c r="BR79" s="54"/>
      <c r="BS79" s="54"/>
      <c r="DZ79" s="55"/>
      <c r="EA79" s="55"/>
    </row>
    <row r="80" spans="1:131" ht="12.75" customHeight="1" x14ac:dyDescent="0.2">
      <c r="A80" s="141" t="s">
        <v>2</v>
      </c>
      <c r="B80" s="181" t="str">
        <f>IF(ISTEXT(VLOOKUP(CONCATENATE($A80,"_",B$3),'Unit List'!$A$14:$H$2841,2,FALSE)),"+","")</f>
        <v>+</v>
      </c>
      <c r="C80" s="119" t="str">
        <f>IF(ISTEXT(VLOOKUP(CONCATENATE($A80,"_",C$3),'Unit List'!$A$14:$H$2841,2,FALSE)),"X",$B80)</f>
        <v>+</v>
      </c>
      <c r="D80" s="120" t="str">
        <f>IF(ISTEXT(VLOOKUP(CONCATENATE($A80,"_",D$3),'Unit List'!$A$14:$H$2841,2,FALSE)),"X",$B80)</f>
        <v>+</v>
      </c>
      <c r="E80" s="120" t="str">
        <f>IF(ISTEXT(VLOOKUP(CONCATENATE($A80,"_",E$3),'Unit List'!$A$14:$H$2841,2,FALSE)),"X",$B80)</f>
        <v>+</v>
      </c>
      <c r="F80" s="120" t="str">
        <f>IF(ISTEXT(VLOOKUP(CONCATENATE($A80,"_",F$3),'Unit List'!$A$14:$H$2841,2,FALSE)),"X",$B80)</f>
        <v>+</v>
      </c>
      <c r="G80" s="120" t="str">
        <f>IF(ISTEXT(VLOOKUP(CONCATENATE($A80,"_",G$3),'Unit List'!$A$14:$H$2841,2,FALSE)),"X",$B80)</f>
        <v>+</v>
      </c>
      <c r="H80" s="120" t="str">
        <f>IF(ISTEXT(VLOOKUP(CONCATENATE($A80,"_",H$3),'Unit List'!$A$14:$H$2841,2,FALSE)),"X",$B80)</f>
        <v>+</v>
      </c>
      <c r="I80" s="122" t="str">
        <f>IF(ISTEXT(VLOOKUP(CONCATENATE($A80,"_",I$3),'Unit List'!$A$14:$H$2841,2,FALSE)),"X",$B80)</f>
        <v>+</v>
      </c>
      <c r="J80" s="172" t="str">
        <f>IF(ISTEXT(VLOOKUP(CONCATENATE($A80,"_",J$3),'Unit List'!$A$14:$H$2841,2,FALSE)),"+","")</f>
        <v>+</v>
      </c>
      <c r="K80" s="120" t="str">
        <f>IF(ISTEXT(VLOOKUP(CONCATENATE($A80,"_",K$3),'Unit List'!$A$14:$H$2841,2,FALSE)),"X",$J80)</f>
        <v>+</v>
      </c>
      <c r="L80" s="75" t="str">
        <f>IF(ISTEXT(VLOOKUP(CONCATENATE($A80,"_",L$3),'Unit List'!$A$14:$H$2841,2,FALSE)),"X",$J80)</f>
        <v>+</v>
      </c>
      <c r="M80" s="172" t="str">
        <f>IF(ISTEXT(VLOOKUP(CONCATENATE($A80,"_",M$3),'Unit List'!$A$14:$H$2841,2,FALSE)),"+","")</f>
        <v>+</v>
      </c>
      <c r="N80" s="120" t="str">
        <f>IF(ISTEXT(VLOOKUP(CONCATENATE($A80,"_",N$3),'Unit List'!$A$14:$H$2841,2,FALSE)),"X",$M80)</f>
        <v>+</v>
      </c>
      <c r="O80" s="122" t="str">
        <f>IF(ISTEXT(VLOOKUP(CONCATENATE($A80,"_",O$3),'Unit List'!$A$14:$H$2841,2,FALSE)),"X",$M80)</f>
        <v>+</v>
      </c>
      <c r="P80" s="172" t="str">
        <f>IF(ISTEXT(VLOOKUP(CONCATENATE($A80,"_",P$3),'Unit List'!$A$14:$H$2841,2,FALSE)),"+","")</f>
        <v/>
      </c>
      <c r="Q80" s="120" t="str">
        <f>IF(ISTEXT(VLOOKUP(CONCATENATE($A80,"_",Q$3),'Unit List'!$A$14:$H$2841,2,FALSE)),"X",$P80)</f>
        <v/>
      </c>
      <c r="R80" s="120" t="str">
        <f>IF(ISTEXT(VLOOKUP(CONCATENATE($A80,"_",R$3),'Unit List'!$A$14:$H$2841,2,FALSE)),"X",$P80)</f>
        <v/>
      </c>
      <c r="S80" s="120" t="str">
        <f>IF(ISTEXT(VLOOKUP(CONCATENATE($A80,"_",S$3),'Unit List'!$A$14:$H$2841,2,FALSE)),"X",$P80)</f>
        <v/>
      </c>
      <c r="T80" s="121" t="str">
        <f>IF(ISTEXT(VLOOKUP(CONCATENATE($A80,"_",T$3),'Unit List'!$A$14:$H$2841,2,FALSE)),"X",$P80)</f>
        <v/>
      </c>
      <c r="U80" s="120" t="str">
        <f>IF(ISTEXT(VLOOKUP(CONCATENATE($A80,"_",U$3),'Unit List'!$A$14:$H$2841,2,FALSE)),"X",$P80)</f>
        <v/>
      </c>
      <c r="V80" s="120" t="str">
        <f>IF(ISTEXT(VLOOKUP(CONCATENATE($A80,"_",V$3),'Unit List'!$A$14:$H$2841,2,FALSE)),"X",$P80)</f>
        <v/>
      </c>
      <c r="W80" s="122" t="str">
        <f>IF(ISTEXT(VLOOKUP(CONCATENATE($A80,"_",W$3),'Unit List'!$A$14:$H$2841,2,FALSE)),"X",$P80)</f>
        <v/>
      </c>
      <c r="X80" s="172" t="str">
        <f>IF(ISTEXT(VLOOKUP(CONCATENATE($A80,"_",X$3),'Unit List'!$A$14:$H$2841,2,FALSE)),"+","")</f>
        <v/>
      </c>
      <c r="Y80" s="120" t="str">
        <f>IF(ISTEXT(VLOOKUP(CONCATENATE($A80,"_",Y$3),'Unit List'!$A$14:$H$2841,2,FALSE)),"X",$X80)</f>
        <v/>
      </c>
      <c r="Z80" s="120" t="str">
        <f>IF(ISTEXT(VLOOKUP(CONCATENATE($A80,"_",Z$3),'Unit List'!$A$14:$H$2841,2,FALSE)),"X",$X80)</f>
        <v/>
      </c>
      <c r="AA80" s="120" t="str">
        <f>IF(ISTEXT(VLOOKUP(CONCATENATE($A80,"_",AA$3),'Unit List'!$A$14:$H$2841,2,FALSE)),"X",$X80)</f>
        <v/>
      </c>
      <c r="AB80" s="120" t="str">
        <f>IF(ISTEXT(VLOOKUP(CONCATENATE($A80,"_",AB$3),'Unit List'!$A$14:$H$2841,2,FALSE)),"X",$X80)</f>
        <v/>
      </c>
      <c r="AC80" s="75" t="str">
        <f>IF(ISTEXT(VLOOKUP(CONCATENATE($A80,"_",AC$3),'Unit List'!$A$14:$H$2841,2,FALSE)),"X",$X80)</f>
        <v/>
      </c>
      <c r="AD80" s="172" t="str">
        <f>IF(ISTEXT(VLOOKUP(CONCATENATE($A80,"_",AD$3),'Unit List'!$A$14:$H$2841,2,FALSE)),"+","")</f>
        <v/>
      </c>
      <c r="AE80" s="120" t="str">
        <f>IF(ISTEXT(VLOOKUP(CONCATENATE($A80,"_",AE$3),'Unit List'!$A$14:$H$2841,2,FALSE)),"X",$AD80)</f>
        <v/>
      </c>
      <c r="AF80" s="120" t="str">
        <f>IF(ISTEXT(VLOOKUP(CONCATENATE($A80,"_",AF$3),'Unit List'!$A$14:$H$2841,2,FALSE)),"X",$AD80)</f>
        <v/>
      </c>
      <c r="AG80" s="172" t="str">
        <f>IF(ISTEXT(VLOOKUP(CONCATENATE($A80,"_",AG$3),'Unit List'!$A$14:$H$2841,2,FALSE)),"+","")</f>
        <v/>
      </c>
      <c r="AH80" s="120" t="str">
        <f>IF(ISTEXT(VLOOKUP(CONCATENATE($A80,"_",AH$3),'Unit List'!$A$14:$H$2841,2,FALSE)),"X",$AG80)</f>
        <v/>
      </c>
      <c r="AI80" s="120" t="str">
        <f>IF(ISTEXT(VLOOKUP(CONCATENATE($A80,"_",AI$3),'Unit List'!$A$14:$H$2841,2,FALSE)),"X",$AG80)</f>
        <v/>
      </c>
      <c r="AJ80" s="122" t="str">
        <f>IF(ISTEXT(VLOOKUP(CONCATENATE($A80,"_",AJ$3),'Unit List'!$A$14:$H$2841,2,FALSE)),"X",$AG80)</f>
        <v/>
      </c>
      <c r="AK80" s="172" t="str">
        <f>IF(ISTEXT(VLOOKUP(CONCATENATE($A80,"_",AK$3),'Unit List'!$A$14:$H$2841,2,FALSE)),"+","")</f>
        <v>+</v>
      </c>
      <c r="AL80" s="121" t="str">
        <f>IF(ISTEXT(VLOOKUP(CONCATENATE($A80,"_",AL$3),'Unit List'!$A$14:$H$2841,2,FALSE)),"X",$AK80)</f>
        <v>+</v>
      </c>
      <c r="AM80" s="122" t="str">
        <f>IF(ISTEXT(VLOOKUP(CONCATENATE($A80,"_",AM$3),'Unit List'!$A$14:$H$2841,2,FALSE)),"X",$AK80)</f>
        <v>+</v>
      </c>
      <c r="AN80" s="125" t="str">
        <f>IF(ISTEXT(VLOOKUP(CONCATENATE($A80,"_",AN$3),'Unit List'!$A$14:$H$2841,2,FALSE)),"+","")</f>
        <v/>
      </c>
      <c r="AO80" s="122" t="str">
        <f>IF(ISTEXT(VLOOKUP(CONCATENATE($A80,"_",AO$3),'Unit List'!$A$14:$H$2841,2,FALSE)),"X",$AN80)</f>
        <v/>
      </c>
      <c r="AP80" s="172" t="str">
        <f>IF(ISTEXT(VLOOKUP(CONCATENATE($A80,"_",AP$3),'Unit List'!$A$14:$H$2841,2,FALSE)),"+","")</f>
        <v/>
      </c>
      <c r="AQ80" s="120" t="str">
        <f>IF(ISTEXT(VLOOKUP(CONCATENATE($A80,"_",AQ$3),'Unit List'!$A$14:$H$2841,2,FALSE)),"X",$AP80)</f>
        <v/>
      </c>
      <c r="AR80" s="120" t="str">
        <f>IF(ISTEXT(VLOOKUP(CONCATENATE($A80,"_",AR$3),'Unit List'!$A$14:$H$2841,2,FALSE)),"X",$AP80)</f>
        <v/>
      </c>
      <c r="AS80" s="120" t="str">
        <f>IF(ISTEXT(VLOOKUP(CONCATENATE($A80,"_",AS$3),'Unit List'!$A$14:$H$2841,2,FALSE)),"X",$AP80)</f>
        <v/>
      </c>
      <c r="AT80" s="122" t="str">
        <f>IF(ISTEXT(VLOOKUP(CONCATENATE($A80,"_",AT$3),'Unit List'!$A$14:$H$2841,2,FALSE)),"X",$AP80)</f>
        <v/>
      </c>
      <c r="AU80" s="124" t="str">
        <f>IF(ISTEXT(VLOOKUP(CONCATENATE($A80,"_",AU$3),'Unit List'!$A$14:$H$2841,2,FALSE)),"+","")</f>
        <v/>
      </c>
      <c r="AV80" s="120" t="str">
        <f>IF(ISTEXT(VLOOKUP(CONCATENATE($A80,"_",AV$3),'Unit List'!$A$14:$H$2841,2,FALSE)),"X",$AU80)</f>
        <v/>
      </c>
      <c r="AW80" s="122" t="str">
        <f>IF(ISTEXT(VLOOKUP(CONCATENATE($A80,"_",AW$3),'Unit List'!$A$14:$H$2841,2,FALSE)),"X",$AU80)</f>
        <v/>
      </c>
      <c r="AX80" s="172" t="str">
        <f>IF(ISTEXT(VLOOKUP(CONCATENATE($A80,"_",AX$3),'Unit List'!$A$14:$H$2841,2,FALSE)),"+","")</f>
        <v/>
      </c>
      <c r="AY80" s="120" t="str">
        <f>IF(ISTEXT(VLOOKUP(CONCATENATE($A80,"_",AY$3),'Unit List'!$A$14:$H$2841,2,FALSE)),"X",$AX80)</f>
        <v/>
      </c>
      <c r="AZ80" s="122" t="str">
        <f>IF(ISTEXT(VLOOKUP(CONCATENATE($A80,"_",AZ$3),'Unit List'!$A$14:$H$2841,2,FALSE)),"X",$AX80)</f>
        <v/>
      </c>
      <c r="BA80" s="182" t="str">
        <f>IF(ISTEXT(VLOOKUP(CONCATENATE($A80,"_",BA$3),'Unit List'!$A$14:$H$2841,2,FALSE)),"+","")</f>
        <v/>
      </c>
      <c r="BB80" s="120" t="str">
        <f>IF(ISTEXT(VLOOKUP(CONCATENATE($A80,"_",BB$3),'Unit List'!$A$14:$H$2841,2,FALSE)),"X",$BA80)</f>
        <v/>
      </c>
      <c r="BC80" s="120" t="str">
        <f>IF(ISTEXT(VLOOKUP(CONCATENATE($A80,"_",BC$3),'Unit List'!$A$14:$H$2841,2,FALSE)),"X",$BA80)</f>
        <v/>
      </c>
      <c r="BD80" s="122" t="str">
        <f>IF(ISTEXT(VLOOKUP(CONCATENATE($A80,"_",BD$3),'Unit List'!$A$14:$H$2841,2,FALSE)),"X",$BA80)</f>
        <v/>
      </c>
      <c r="BE80" s="125" t="str">
        <f>IF(ISTEXT(VLOOKUP(CONCATENATE($A80,"_",BE$3),'Unit List'!$A$14:$H$2841,2,FALSE)),"+","")</f>
        <v/>
      </c>
      <c r="BF80" s="75" t="str">
        <f>IF(ISTEXT(VLOOKUP(CONCATENATE($A80,"_",BF$3),'Unit List'!$A$14:$H$2841,2,FALSE)),"X",$BE80)</f>
        <v/>
      </c>
      <c r="BG80" s="142" t="s">
        <v>0</v>
      </c>
      <c r="BH80" s="84"/>
      <c r="BI80" s="143"/>
      <c r="BJ80" s="144"/>
      <c r="BK80" s="144"/>
      <c r="BL80" s="145"/>
      <c r="BM80" s="145"/>
      <c r="BN80" s="54"/>
      <c r="BO80" s="54"/>
      <c r="BP80" s="54"/>
      <c r="BQ80" s="54"/>
      <c r="BR80" s="54"/>
      <c r="BS80" s="54"/>
      <c r="DZ80" s="55"/>
      <c r="EA80" s="55"/>
    </row>
    <row r="81" spans="1:131" ht="12.75" customHeight="1" x14ac:dyDescent="0.2">
      <c r="A81" s="138" t="s">
        <v>1126</v>
      </c>
      <c r="B81" s="181" t="str">
        <f>IF(ISTEXT(VLOOKUP(CONCATENATE($A81,"_",B$3),'Unit List'!$A$14:$H$2841,2,FALSE)),"+","")</f>
        <v/>
      </c>
      <c r="C81" s="119" t="str">
        <f>IF(ISTEXT(VLOOKUP(CONCATENATE($A81,"_",C$3),'Unit List'!$A$14:$H$2841,2,FALSE)),"X",$B81)</f>
        <v/>
      </c>
      <c r="D81" s="120" t="str">
        <f>IF(ISTEXT(VLOOKUP(CONCATENATE($A81,"_",D$3),'Unit List'!$A$14:$H$2841,2,FALSE)),"X",$B81)</f>
        <v/>
      </c>
      <c r="E81" s="120" t="str">
        <f>IF(ISTEXT(VLOOKUP(CONCATENATE($A81,"_",E$3),'Unit List'!$A$14:$H$2841,2,FALSE)),"X",$B81)</f>
        <v/>
      </c>
      <c r="F81" s="120" t="str">
        <f>IF(ISTEXT(VLOOKUP(CONCATENATE($A81,"_",F$3),'Unit List'!$A$14:$H$2841,2,FALSE)),"X",$B81)</f>
        <v/>
      </c>
      <c r="G81" s="120" t="str">
        <f>IF(ISTEXT(VLOOKUP(CONCATENATE($A81,"_",G$3),'Unit List'!$A$14:$H$2841,2,FALSE)),"X",$B81)</f>
        <v/>
      </c>
      <c r="H81" s="120" t="str">
        <f>IF(ISTEXT(VLOOKUP(CONCATENATE($A81,"_",H$3),'Unit List'!$A$14:$H$2841,2,FALSE)),"X",$B81)</f>
        <v/>
      </c>
      <c r="I81" s="122" t="str">
        <f>IF(ISTEXT(VLOOKUP(CONCATENATE($A81,"_",I$3),'Unit List'!$A$14:$H$2841,2,FALSE)),"X",$B81)</f>
        <v/>
      </c>
      <c r="J81" s="172" t="str">
        <f>IF(ISTEXT(VLOOKUP(CONCATENATE($A81,"_",J$3),'Unit List'!$A$14:$H$2841,2,FALSE)),"+","")</f>
        <v/>
      </c>
      <c r="K81" s="120" t="str">
        <f>IF(ISTEXT(VLOOKUP(CONCATENATE($A81,"_",K$3),'Unit List'!$A$14:$H$2841,2,FALSE)),"X",$J81)</f>
        <v/>
      </c>
      <c r="L81" s="75" t="str">
        <f>IF(ISTEXT(VLOOKUP(CONCATENATE($A81,"_",L$3),'Unit List'!$A$14:$H$2841,2,FALSE)),"X",$J81)</f>
        <v/>
      </c>
      <c r="M81" s="172" t="str">
        <f>IF(ISTEXT(VLOOKUP(CONCATENATE($A81,"_",M$3),'Unit List'!$A$14:$H$2841,2,FALSE)),"+","")</f>
        <v/>
      </c>
      <c r="N81" s="120" t="str">
        <f>IF(ISTEXT(VLOOKUP(CONCATENATE($A81,"_",N$3),'Unit List'!$A$14:$H$2841,2,FALSE)),"X",$M81)</f>
        <v/>
      </c>
      <c r="O81" s="122" t="str">
        <f>IF(ISTEXT(VLOOKUP(CONCATENATE($A81,"_",O$3),'Unit List'!$A$14:$H$2841,2,FALSE)),"X",$M81)</f>
        <v/>
      </c>
      <c r="P81" s="172" t="str">
        <f>IF(ISTEXT(VLOOKUP(CONCATENATE($A81,"_",P$3),'Unit List'!$A$14:$H$2841,2,FALSE)),"+","")</f>
        <v/>
      </c>
      <c r="Q81" s="120" t="str">
        <f>IF(ISTEXT(VLOOKUP(CONCATENATE($A81,"_",Q$3),'Unit List'!$A$14:$H$2841,2,FALSE)),"X",$P81)</f>
        <v/>
      </c>
      <c r="R81" s="120" t="str">
        <f>IF(ISTEXT(VLOOKUP(CONCATENATE($A81,"_",R$3),'Unit List'!$A$14:$H$2841,2,FALSE)),"X",$P81)</f>
        <v/>
      </c>
      <c r="S81" s="120" t="str">
        <f>IF(ISTEXT(VLOOKUP(CONCATENATE($A81,"_",S$3),'Unit List'!$A$14:$H$2841,2,FALSE)),"X",$P81)</f>
        <v/>
      </c>
      <c r="T81" s="121" t="str">
        <f>IF(ISTEXT(VLOOKUP(CONCATENATE($A81,"_",T$3),'Unit List'!$A$14:$H$2841,2,FALSE)),"X",$P81)</f>
        <v/>
      </c>
      <c r="U81" s="120" t="str">
        <f>IF(ISTEXT(VLOOKUP(CONCATENATE($A81,"_",U$3),'Unit List'!$A$14:$H$2841,2,FALSE)),"X",$P81)</f>
        <v/>
      </c>
      <c r="V81" s="120" t="str">
        <f>IF(ISTEXT(VLOOKUP(CONCATENATE($A81,"_",V$3),'Unit List'!$A$14:$H$2841,2,FALSE)),"X",$P81)</f>
        <v/>
      </c>
      <c r="W81" s="122" t="str">
        <f>IF(ISTEXT(VLOOKUP(CONCATENATE($A81,"_",W$3),'Unit List'!$A$14:$H$2841,2,FALSE)),"X",$P81)</f>
        <v/>
      </c>
      <c r="X81" s="172" t="str">
        <f>IF(ISTEXT(VLOOKUP(CONCATENATE($A81,"_",X$3),'Unit List'!$A$14:$H$2841,2,FALSE)),"+","")</f>
        <v/>
      </c>
      <c r="Y81" s="120" t="str">
        <f>IF(ISTEXT(VLOOKUP(CONCATENATE($A81,"_",Y$3),'Unit List'!$A$14:$H$2841,2,FALSE)),"X",$X81)</f>
        <v/>
      </c>
      <c r="Z81" s="120" t="str">
        <f>IF(ISTEXT(VLOOKUP(CONCATENATE($A81,"_",Z$3),'Unit List'!$A$14:$H$2841,2,FALSE)),"X",$X81)</f>
        <v/>
      </c>
      <c r="AA81" s="120" t="str">
        <f>IF(ISTEXT(VLOOKUP(CONCATENATE($A81,"_",AA$3),'Unit List'!$A$14:$H$2841,2,FALSE)),"X",$X81)</f>
        <v/>
      </c>
      <c r="AB81" s="120" t="str">
        <f>IF(ISTEXT(VLOOKUP(CONCATENATE($A81,"_",AB$3),'Unit List'!$A$14:$H$2841,2,FALSE)),"X",$X81)</f>
        <v/>
      </c>
      <c r="AC81" s="75" t="str">
        <f>IF(ISTEXT(VLOOKUP(CONCATENATE($A81,"_",AC$3),'Unit List'!$A$14:$H$2841,2,FALSE)),"X",$X81)</f>
        <v/>
      </c>
      <c r="AD81" s="172" t="str">
        <f>IF(ISTEXT(VLOOKUP(CONCATENATE($A81,"_",AD$3),'Unit List'!$A$14:$H$2841,2,FALSE)),"+","")</f>
        <v/>
      </c>
      <c r="AE81" s="120" t="str">
        <f>IF(ISTEXT(VLOOKUP(CONCATENATE($A81,"_",AE$3),'Unit List'!$A$14:$H$2841,2,FALSE)),"X",$AD81)</f>
        <v/>
      </c>
      <c r="AF81" s="120" t="str">
        <f>IF(ISTEXT(VLOOKUP(CONCATENATE($A81,"_",AF$3),'Unit List'!$A$14:$H$2841,2,FALSE)),"X",$AD81)</f>
        <v/>
      </c>
      <c r="AG81" s="172" t="str">
        <f>IF(ISTEXT(VLOOKUP(CONCATENATE($A81,"_",AG$3),'Unit List'!$A$14:$H$2841,2,FALSE)),"+","")</f>
        <v/>
      </c>
      <c r="AH81" s="120" t="str">
        <f>IF(ISTEXT(VLOOKUP(CONCATENATE($A81,"_",AH$3),'Unit List'!$A$14:$H$2841,2,FALSE)),"X",$AG81)</f>
        <v/>
      </c>
      <c r="AI81" s="120" t="str">
        <f>IF(ISTEXT(VLOOKUP(CONCATENATE($A81,"_",AI$3),'Unit List'!$A$14:$H$2841,2,FALSE)),"X",$AG81)</f>
        <v/>
      </c>
      <c r="AJ81" s="122" t="str">
        <f>IF(ISTEXT(VLOOKUP(CONCATENATE($A81,"_",AJ$3),'Unit List'!$A$14:$H$2841,2,FALSE)),"X",$AG81)</f>
        <v/>
      </c>
      <c r="AK81" s="172" t="str">
        <f>IF(ISTEXT(VLOOKUP(CONCATENATE($A81,"_",AK$3),'Unit List'!$A$14:$H$2841,2,FALSE)),"+","")</f>
        <v/>
      </c>
      <c r="AL81" s="121" t="str">
        <f>IF(ISTEXT(VLOOKUP(CONCATENATE($A81,"_",AL$3),'Unit List'!$A$14:$H$2841,2,FALSE)),"X",$AK81)</f>
        <v/>
      </c>
      <c r="AM81" s="122" t="str">
        <f>IF(ISTEXT(VLOOKUP(CONCATENATE($A81,"_",AM$3),'Unit List'!$A$14:$H$2841,2,FALSE)),"X",$AK81)</f>
        <v/>
      </c>
      <c r="AN81" s="125" t="str">
        <f>IF(ISTEXT(VLOOKUP(CONCATENATE($A81,"_",AN$3),'Unit List'!$A$14:$H$2841,2,FALSE)),"+","")</f>
        <v/>
      </c>
      <c r="AO81" s="122" t="str">
        <f>IF(ISTEXT(VLOOKUP(CONCATENATE($A81,"_",AO$3),'Unit List'!$A$14:$H$2841,2,FALSE)),"X",$AN81)</f>
        <v/>
      </c>
      <c r="AP81" s="172" t="str">
        <f>IF(ISTEXT(VLOOKUP(CONCATENATE($A81,"_",AP$3),'Unit List'!$A$14:$H$2841,2,FALSE)),"+","")</f>
        <v/>
      </c>
      <c r="AQ81" s="120" t="str">
        <f>IF(ISTEXT(VLOOKUP(CONCATENATE($A81,"_",AQ$3),'Unit List'!$A$14:$H$2841,2,FALSE)),"X",$AP81)</f>
        <v/>
      </c>
      <c r="AR81" s="120" t="str">
        <f>IF(ISTEXT(VLOOKUP(CONCATENATE($A81,"_",AR$3),'Unit List'!$A$14:$H$2841,2,FALSE)),"X",$AP81)</f>
        <v/>
      </c>
      <c r="AS81" s="120" t="str">
        <f>IF(ISTEXT(VLOOKUP(CONCATENATE($A81,"_",AS$3),'Unit List'!$A$14:$H$2841,2,FALSE)),"X",$AP81)</f>
        <v/>
      </c>
      <c r="AT81" s="122" t="str">
        <f>IF(ISTEXT(VLOOKUP(CONCATENATE($A81,"_",AT$3),'Unit List'!$A$14:$H$2841,2,FALSE)),"X",$AP81)</f>
        <v/>
      </c>
      <c r="AU81" s="124" t="str">
        <f>IF(ISTEXT(VLOOKUP(CONCATENATE($A81,"_",AU$3),'Unit List'!$A$14:$H$2841,2,FALSE)),"+","")</f>
        <v/>
      </c>
      <c r="AV81" s="120" t="str">
        <f>IF(ISTEXT(VLOOKUP(CONCATENATE($A81,"_",AV$3),'Unit List'!$A$14:$H$2841,2,FALSE)),"X",$AU81)</f>
        <v/>
      </c>
      <c r="AW81" s="122" t="str">
        <f>IF(ISTEXT(VLOOKUP(CONCATENATE($A81,"_",AW$3),'Unit List'!$A$14:$H$2841,2,FALSE)),"X",$AU81)</f>
        <v/>
      </c>
      <c r="AX81" s="172" t="str">
        <f>IF(ISTEXT(VLOOKUP(CONCATENATE($A81,"_",AX$3),'Unit List'!$A$14:$H$2841,2,FALSE)),"+","")</f>
        <v/>
      </c>
      <c r="AY81" s="120" t="str">
        <f>IF(ISTEXT(VLOOKUP(CONCATENATE($A81,"_",AY$3),'Unit List'!$A$14:$H$2841,2,FALSE)),"X",$AX81)</f>
        <v/>
      </c>
      <c r="AZ81" s="122" t="str">
        <f>IF(ISTEXT(VLOOKUP(CONCATENATE($A81,"_",AZ$3),'Unit List'!$A$14:$H$2841,2,FALSE)),"X",$AX81)</f>
        <v/>
      </c>
      <c r="BA81" s="182" t="str">
        <f>IF(ISTEXT(VLOOKUP(CONCATENATE($A81,"_",BA$3),'Unit List'!$A$14:$H$2841,2,FALSE)),"+","")</f>
        <v/>
      </c>
      <c r="BB81" s="120" t="str">
        <f>IF(ISTEXT(VLOOKUP(CONCATENATE($A81,"_",BB$3),'Unit List'!$A$14:$H$2841,2,FALSE)),"X",$BA81)</f>
        <v/>
      </c>
      <c r="BC81" s="120" t="str">
        <f>IF(ISTEXT(VLOOKUP(CONCATENATE($A81,"_",BC$3),'Unit List'!$A$14:$H$2841,2,FALSE)),"X",$BA81)</f>
        <v/>
      </c>
      <c r="BD81" s="122" t="str">
        <f>IF(ISTEXT(VLOOKUP(CONCATENATE($A81,"_",BD$3),'Unit List'!$A$14:$H$2841,2,FALSE)),"X",$BA81)</f>
        <v/>
      </c>
      <c r="BE81" s="125" t="str">
        <f>IF(ISTEXT(VLOOKUP(CONCATENATE($A81,"_",BE$3),'Unit List'!$A$14:$H$2841,2,FALSE)),"+","")</f>
        <v/>
      </c>
      <c r="BF81" s="75" t="str">
        <f>IF(ISTEXT(VLOOKUP(CONCATENATE($A81,"_",BF$3),'Unit List'!$A$14:$H$2841,2,FALSE)),"X",$BE81)</f>
        <v/>
      </c>
      <c r="BG81" s="142" t="s">
        <v>0</v>
      </c>
      <c r="BH81" s="84"/>
      <c r="BI81" s="143"/>
      <c r="BJ81" s="144"/>
      <c r="BK81" s="144"/>
      <c r="BL81" s="145"/>
      <c r="BM81" s="145"/>
      <c r="BN81" s="54"/>
      <c r="BO81" s="54"/>
      <c r="BP81" s="54"/>
      <c r="BQ81" s="54"/>
      <c r="BR81" s="54"/>
      <c r="BS81" s="54"/>
      <c r="DZ81" s="55"/>
      <c r="EA81" s="55"/>
    </row>
    <row r="82" spans="1:131" ht="12.75" customHeight="1" x14ac:dyDescent="0.2">
      <c r="A82" s="138" t="s">
        <v>1127</v>
      </c>
      <c r="B82" s="181" t="str">
        <f>IF(ISTEXT(VLOOKUP(CONCATENATE($A82,"_",B$3),'Unit List'!$A$14:$H$2841,2,FALSE)),"+","")</f>
        <v/>
      </c>
      <c r="C82" s="119" t="str">
        <f>IF(ISTEXT(VLOOKUP(CONCATENATE($A82,"_",C$3),'Unit List'!$A$14:$H$2841,2,FALSE)),"X",$B82)</f>
        <v/>
      </c>
      <c r="D82" s="120" t="str">
        <f>IF(ISTEXT(VLOOKUP(CONCATENATE($A82,"_",D$3),'Unit List'!$A$14:$H$2841,2,FALSE)),"X",$B82)</f>
        <v/>
      </c>
      <c r="E82" s="120" t="str">
        <f>IF(ISTEXT(VLOOKUP(CONCATENATE($A82,"_",E$3),'Unit List'!$A$14:$H$2841,2,FALSE)),"X",$B82)</f>
        <v/>
      </c>
      <c r="F82" s="120" t="str">
        <f>IF(ISTEXT(VLOOKUP(CONCATENATE($A82,"_",F$3),'Unit List'!$A$14:$H$2841,2,FALSE)),"X",$B82)</f>
        <v/>
      </c>
      <c r="G82" s="120" t="str">
        <f>IF(ISTEXT(VLOOKUP(CONCATENATE($A82,"_",G$3),'Unit List'!$A$14:$H$2841,2,FALSE)),"X",$B82)</f>
        <v/>
      </c>
      <c r="H82" s="120" t="str">
        <f>IF(ISTEXT(VLOOKUP(CONCATENATE($A82,"_",H$3),'Unit List'!$A$14:$H$2841,2,FALSE)),"X",$B82)</f>
        <v/>
      </c>
      <c r="I82" s="122" t="str">
        <f>IF(ISTEXT(VLOOKUP(CONCATENATE($A82,"_",I$3),'Unit List'!$A$14:$H$2841,2,FALSE)),"X",$B82)</f>
        <v/>
      </c>
      <c r="J82" s="172" t="str">
        <f>IF(ISTEXT(VLOOKUP(CONCATENATE($A82,"_",J$3),'Unit List'!$A$14:$H$2841,2,FALSE)),"+","")</f>
        <v/>
      </c>
      <c r="K82" s="120" t="str">
        <f>IF(ISTEXT(VLOOKUP(CONCATENATE($A82,"_",K$3),'Unit List'!$A$14:$H$2841,2,FALSE)),"X",$J82)</f>
        <v/>
      </c>
      <c r="L82" s="75" t="str">
        <f>IF(ISTEXT(VLOOKUP(CONCATENATE($A82,"_",L$3),'Unit List'!$A$14:$H$2841,2,FALSE)),"X",$J82)</f>
        <v/>
      </c>
      <c r="M82" s="172" t="str">
        <f>IF(ISTEXT(VLOOKUP(CONCATENATE($A82,"_",M$3),'Unit List'!$A$14:$H$2841,2,FALSE)),"+","")</f>
        <v/>
      </c>
      <c r="N82" s="120" t="str">
        <f>IF(ISTEXT(VLOOKUP(CONCATENATE($A82,"_",N$3),'Unit List'!$A$14:$H$2841,2,FALSE)),"X",$M82)</f>
        <v/>
      </c>
      <c r="O82" s="122" t="str">
        <f>IF(ISTEXT(VLOOKUP(CONCATENATE($A82,"_",O$3),'Unit List'!$A$14:$H$2841,2,FALSE)),"X",$M82)</f>
        <v/>
      </c>
      <c r="P82" s="172" t="str">
        <f>IF(ISTEXT(VLOOKUP(CONCATENATE($A82,"_",P$3),'Unit List'!$A$14:$H$2841,2,FALSE)),"+","")</f>
        <v/>
      </c>
      <c r="Q82" s="120" t="str">
        <f>IF(ISTEXT(VLOOKUP(CONCATENATE($A82,"_",Q$3),'Unit List'!$A$14:$H$2841,2,FALSE)),"X",$P82)</f>
        <v/>
      </c>
      <c r="R82" s="120" t="str">
        <f>IF(ISTEXT(VLOOKUP(CONCATENATE($A82,"_",R$3),'Unit List'!$A$14:$H$2841,2,FALSE)),"X",$P82)</f>
        <v/>
      </c>
      <c r="S82" s="120" t="str">
        <f>IF(ISTEXT(VLOOKUP(CONCATENATE($A82,"_",S$3),'Unit List'!$A$14:$H$2841,2,FALSE)),"X",$P82)</f>
        <v/>
      </c>
      <c r="T82" s="121" t="str">
        <f>IF(ISTEXT(VLOOKUP(CONCATENATE($A82,"_",T$3),'Unit List'!$A$14:$H$2841,2,FALSE)),"X",$P82)</f>
        <v/>
      </c>
      <c r="U82" s="120" t="str">
        <f>IF(ISTEXT(VLOOKUP(CONCATENATE($A82,"_",U$3),'Unit List'!$A$14:$H$2841,2,FALSE)),"X",$P82)</f>
        <v/>
      </c>
      <c r="V82" s="120" t="str">
        <f>IF(ISTEXT(VLOOKUP(CONCATENATE($A82,"_",V$3),'Unit List'!$A$14:$H$2841,2,FALSE)),"X",$P82)</f>
        <v/>
      </c>
      <c r="W82" s="122" t="str">
        <f>IF(ISTEXT(VLOOKUP(CONCATENATE($A82,"_",W$3),'Unit List'!$A$14:$H$2841,2,FALSE)),"X",$P82)</f>
        <v/>
      </c>
      <c r="X82" s="172" t="str">
        <f>IF(ISTEXT(VLOOKUP(CONCATENATE($A82,"_",X$3),'Unit List'!$A$14:$H$2841,2,FALSE)),"+","")</f>
        <v/>
      </c>
      <c r="Y82" s="120" t="str">
        <f>IF(ISTEXT(VLOOKUP(CONCATENATE($A82,"_",Y$3),'Unit List'!$A$14:$H$2841,2,FALSE)),"X",$X82)</f>
        <v/>
      </c>
      <c r="Z82" s="120" t="str">
        <f>IF(ISTEXT(VLOOKUP(CONCATENATE($A82,"_",Z$3),'Unit List'!$A$14:$H$2841,2,FALSE)),"X",$X82)</f>
        <v/>
      </c>
      <c r="AA82" s="120" t="str">
        <f>IF(ISTEXT(VLOOKUP(CONCATENATE($A82,"_",AA$3),'Unit List'!$A$14:$H$2841,2,FALSE)),"X",$X82)</f>
        <v/>
      </c>
      <c r="AB82" s="120" t="str">
        <f>IF(ISTEXT(VLOOKUP(CONCATENATE($A82,"_",AB$3),'Unit List'!$A$14:$H$2841,2,FALSE)),"X",$X82)</f>
        <v/>
      </c>
      <c r="AC82" s="75" t="str">
        <f>IF(ISTEXT(VLOOKUP(CONCATENATE($A82,"_",AC$3),'Unit List'!$A$14:$H$2841,2,FALSE)),"X",$X82)</f>
        <v/>
      </c>
      <c r="AD82" s="172" t="str">
        <f>IF(ISTEXT(VLOOKUP(CONCATENATE($A82,"_",AD$3),'Unit List'!$A$14:$H$2841,2,FALSE)),"+","")</f>
        <v/>
      </c>
      <c r="AE82" s="120" t="str">
        <f>IF(ISTEXT(VLOOKUP(CONCATENATE($A82,"_",AE$3),'Unit List'!$A$14:$H$2841,2,FALSE)),"X",$AD82)</f>
        <v/>
      </c>
      <c r="AF82" s="120" t="str">
        <f>IF(ISTEXT(VLOOKUP(CONCATENATE($A82,"_",AF$3),'Unit List'!$A$14:$H$2841,2,FALSE)),"X",$AD82)</f>
        <v/>
      </c>
      <c r="AG82" s="172" t="str">
        <f>IF(ISTEXT(VLOOKUP(CONCATENATE($A82,"_",AG$3),'Unit List'!$A$14:$H$2841,2,FALSE)),"+","")</f>
        <v/>
      </c>
      <c r="AH82" s="120" t="str">
        <f>IF(ISTEXT(VLOOKUP(CONCATENATE($A82,"_",AH$3),'Unit List'!$A$14:$H$2841,2,FALSE)),"X",$AG82)</f>
        <v/>
      </c>
      <c r="AI82" s="120" t="str">
        <f>IF(ISTEXT(VLOOKUP(CONCATENATE($A82,"_",AI$3),'Unit List'!$A$14:$H$2841,2,FALSE)),"X",$AG82)</f>
        <v/>
      </c>
      <c r="AJ82" s="122" t="str">
        <f>IF(ISTEXT(VLOOKUP(CONCATENATE($A82,"_",AJ$3),'Unit List'!$A$14:$H$2841,2,FALSE)),"X",$AG82)</f>
        <v/>
      </c>
      <c r="AK82" s="172" t="str">
        <f>IF(ISTEXT(VLOOKUP(CONCATENATE($A82,"_",AK$3),'Unit List'!$A$14:$H$2841,2,FALSE)),"+","")</f>
        <v/>
      </c>
      <c r="AL82" s="121" t="str">
        <f>IF(ISTEXT(VLOOKUP(CONCATENATE($A82,"_",AL$3),'Unit List'!$A$14:$H$2841,2,FALSE)),"X",$AK82)</f>
        <v/>
      </c>
      <c r="AM82" s="122" t="str">
        <f>IF(ISTEXT(VLOOKUP(CONCATENATE($A82,"_",AM$3),'Unit List'!$A$14:$H$2841,2,FALSE)),"X",$AK82)</f>
        <v/>
      </c>
      <c r="AN82" s="125" t="str">
        <f>IF(ISTEXT(VLOOKUP(CONCATENATE($A82,"_",AN$3),'Unit List'!$A$14:$H$2841,2,FALSE)),"+","")</f>
        <v/>
      </c>
      <c r="AO82" s="122" t="str">
        <f>IF(ISTEXT(VLOOKUP(CONCATENATE($A82,"_",AO$3),'Unit List'!$A$14:$H$2841,2,FALSE)),"X",$AN82)</f>
        <v/>
      </c>
      <c r="AP82" s="172" t="str">
        <f>IF(ISTEXT(VLOOKUP(CONCATENATE($A82,"_",AP$3),'Unit List'!$A$14:$H$2841,2,FALSE)),"+","")</f>
        <v/>
      </c>
      <c r="AQ82" s="120" t="str">
        <f>IF(ISTEXT(VLOOKUP(CONCATENATE($A82,"_",AQ$3),'Unit List'!$A$14:$H$2841,2,FALSE)),"X",$AP82)</f>
        <v/>
      </c>
      <c r="AR82" s="120" t="str">
        <f>IF(ISTEXT(VLOOKUP(CONCATENATE($A82,"_",AR$3),'Unit List'!$A$14:$H$2841,2,FALSE)),"X",$AP82)</f>
        <v/>
      </c>
      <c r="AS82" s="120" t="str">
        <f>IF(ISTEXT(VLOOKUP(CONCATENATE($A82,"_",AS$3),'Unit List'!$A$14:$H$2841,2,FALSE)),"X",$AP82)</f>
        <v/>
      </c>
      <c r="AT82" s="122" t="str">
        <f>IF(ISTEXT(VLOOKUP(CONCATENATE($A82,"_",AT$3),'Unit List'!$A$14:$H$2841,2,FALSE)),"X",$AP82)</f>
        <v/>
      </c>
      <c r="AU82" s="124" t="str">
        <f>IF(ISTEXT(VLOOKUP(CONCATENATE($A82,"_",AU$3),'Unit List'!$A$14:$H$2841,2,FALSE)),"+","")</f>
        <v/>
      </c>
      <c r="AV82" s="120" t="str">
        <f>IF(ISTEXT(VLOOKUP(CONCATENATE($A82,"_",AV$3),'Unit List'!$A$14:$H$2841,2,FALSE)),"X",$AU82)</f>
        <v/>
      </c>
      <c r="AW82" s="122" t="str">
        <f>IF(ISTEXT(VLOOKUP(CONCATENATE($A82,"_",AW$3),'Unit List'!$A$14:$H$2841,2,FALSE)),"X",$AU82)</f>
        <v/>
      </c>
      <c r="AX82" s="172" t="str">
        <f>IF(ISTEXT(VLOOKUP(CONCATENATE($A82,"_",AX$3),'Unit List'!$A$14:$H$2841,2,FALSE)),"+","")</f>
        <v/>
      </c>
      <c r="AY82" s="120" t="str">
        <f>IF(ISTEXT(VLOOKUP(CONCATENATE($A82,"_",AY$3),'Unit List'!$A$14:$H$2841,2,FALSE)),"X",$AX82)</f>
        <v/>
      </c>
      <c r="AZ82" s="122" t="str">
        <f>IF(ISTEXT(VLOOKUP(CONCATENATE($A82,"_",AZ$3),'Unit List'!$A$14:$H$2841,2,FALSE)),"X",$AX82)</f>
        <v/>
      </c>
      <c r="BA82" s="182" t="str">
        <f>IF(ISTEXT(VLOOKUP(CONCATENATE($A82,"_",BA$3),'Unit List'!$A$14:$H$2841,2,FALSE)),"+","")</f>
        <v/>
      </c>
      <c r="BB82" s="120" t="str">
        <f>IF(ISTEXT(VLOOKUP(CONCATENATE($A82,"_",BB$3),'Unit List'!$A$14:$H$2841,2,FALSE)),"X",$BA82)</f>
        <v/>
      </c>
      <c r="BC82" s="120" t="str">
        <f>IF(ISTEXT(VLOOKUP(CONCATENATE($A82,"_",BC$3),'Unit List'!$A$14:$H$2841,2,FALSE)),"X",$BA82)</f>
        <v/>
      </c>
      <c r="BD82" s="122" t="str">
        <f>IF(ISTEXT(VLOOKUP(CONCATENATE($A82,"_",BD$3),'Unit List'!$A$14:$H$2841,2,FALSE)),"X",$BA82)</f>
        <v/>
      </c>
      <c r="BE82" s="125" t="str">
        <f>IF(ISTEXT(VLOOKUP(CONCATENATE($A82,"_",BE$3),'Unit List'!$A$14:$H$2841,2,FALSE)),"+","")</f>
        <v/>
      </c>
      <c r="BF82" s="75" t="str">
        <f>IF(ISTEXT(VLOOKUP(CONCATENATE($A82,"_",BF$3),'Unit List'!$A$14:$H$2841,2,FALSE)),"X",$BE82)</f>
        <v/>
      </c>
      <c r="BG82" s="142" t="s">
        <v>0</v>
      </c>
      <c r="BH82" s="84"/>
      <c r="BI82" s="143"/>
      <c r="BJ82" s="144"/>
      <c r="BK82" s="144"/>
      <c r="BL82" s="145"/>
      <c r="BM82" s="145"/>
      <c r="BN82" s="54"/>
      <c r="BO82" s="54"/>
      <c r="BP82" s="54"/>
      <c r="BQ82" s="54"/>
      <c r="BR82" s="54"/>
      <c r="BS82" s="54"/>
      <c r="DZ82" s="55"/>
      <c r="EA82" s="55"/>
    </row>
    <row r="83" spans="1:131" ht="12.75" customHeight="1" x14ac:dyDescent="0.2">
      <c r="A83" s="138" t="s">
        <v>1128</v>
      </c>
      <c r="B83" s="181" t="str">
        <f>IF(ISTEXT(VLOOKUP(CONCATENATE($A83,"_",B$3),'Unit List'!$A$14:$H$2841,2,FALSE)),"+","")</f>
        <v/>
      </c>
      <c r="C83" s="119" t="str">
        <f>IF(ISTEXT(VLOOKUP(CONCATENATE($A83,"_",C$3),'Unit List'!$A$14:$H$2841,2,FALSE)),"X",$B83)</f>
        <v/>
      </c>
      <c r="D83" s="120" t="str">
        <f>IF(ISTEXT(VLOOKUP(CONCATENATE($A83,"_",D$3),'Unit List'!$A$14:$H$2841,2,FALSE)),"X",$B83)</f>
        <v/>
      </c>
      <c r="E83" s="120" t="str">
        <f>IF(ISTEXT(VLOOKUP(CONCATENATE($A83,"_",E$3),'Unit List'!$A$14:$H$2841,2,FALSE)),"X",$B83)</f>
        <v/>
      </c>
      <c r="F83" s="120" t="str">
        <f>IF(ISTEXT(VLOOKUP(CONCATENATE($A83,"_",F$3),'Unit List'!$A$14:$H$2841,2,FALSE)),"X",$B83)</f>
        <v>X</v>
      </c>
      <c r="G83" s="120" t="str">
        <f>IF(ISTEXT(VLOOKUP(CONCATENATE($A83,"_",G$3),'Unit List'!$A$14:$H$2841,2,FALSE)),"X",$B83)</f>
        <v>X</v>
      </c>
      <c r="H83" s="120" t="str">
        <f>IF(ISTEXT(VLOOKUP(CONCATENATE($A83,"_",H$3),'Unit List'!$A$14:$H$2841,2,FALSE)),"X",$B83)</f>
        <v>X</v>
      </c>
      <c r="I83" s="122" t="str">
        <f>IF(ISTEXT(VLOOKUP(CONCATENATE($A83,"_",I$3),'Unit List'!$A$14:$H$2841,2,FALSE)),"X",$B83)</f>
        <v>X</v>
      </c>
      <c r="J83" s="172" t="str">
        <f>IF(ISTEXT(VLOOKUP(CONCATENATE($A83,"_",J$3),'Unit List'!$A$14:$H$2841,2,FALSE)),"+","")</f>
        <v/>
      </c>
      <c r="K83" s="120" t="str">
        <f>IF(ISTEXT(VLOOKUP(CONCATENATE($A83,"_",K$3),'Unit List'!$A$14:$H$2841,2,FALSE)),"X",$J83)</f>
        <v/>
      </c>
      <c r="L83" s="75" t="str">
        <f>IF(ISTEXT(VLOOKUP(CONCATENATE($A83,"_",L$3),'Unit List'!$A$14:$H$2841,2,FALSE)),"X",$J83)</f>
        <v>X</v>
      </c>
      <c r="M83" s="172" t="str">
        <f>IF(ISTEXT(VLOOKUP(CONCATENATE($A83,"_",M$3),'Unit List'!$A$14:$H$2841,2,FALSE)),"+","")</f>
        <v/>
      </c>
      <c r="N83" s="120" t="str">
        <f>IF(ISTEXT(VLOOKUP(CONCATENATE($A83,"_",N$3),'Unit List'!$A$14:$H$2841,2,FALSE)),"X",$M83)</f>
        <v>X</v>
      </c>
      <c r="O83" s="122" t="str">
        <f>IF(ISTEXT(VLOOKUP(CONCATENATE($A83,"_",O$3),'Unit List'!$A$14:$H$2841,2,FALSE)),"X",$M83)</f>
        <v>X</v>
      </c>
      <c r="P83" s="172" t="str">
        <f>IF(ISTEXT(VLOOKUP(CONCATENATE($A83,"_",P$3),'Unit List'!$A$14:$H$2841,2,FALSE)),"+","")</f>
        <v>+</v>
      </c>
      <c r="Q83" s="120" t="str">
        <f>IF(ISTEXT(VLOOKUP(CONCATENATE($A83,"_",Q$3),'Unit List'!$A$14:$H$2841,2,FALSE)),"X",$P83)</f>
        <v>+</v>
      </c>
      <c r="R83" s="120" t="str">
        <f>IF(ISTEXT(VLOOKUP(CONCATENATE($A83,"_",R$3),'Unit List'!$A$14:$H$2841,2,FALSE)),"X",$P83)</f>
        <v>+</v>
      </c>
      <c r="S83" s="120" t="str">
        <f>IF(ISTEXT(VLOOKUP(CONCATENATE($A83,"_",S$3),'Unit List'!$A$14:$H$2841,2,FALSE)),"X",$P83)</f>
        <v>+</v>
      </c>
      <c r="T83" s="121" t="str">
        <f>IF(ISTEXT(VLOOKUP(CONCATENATE($A83,"_",T$3),'Unit List'!$A$14:$H$2841,2,FALSE)),"X",$P83)</f>
        <v>+</v>
      </c>
      <c r="U83" s="120" t="str">
        <f>IF(ISTEXT(VLOOKUP(CONCATENATE($A83,"_",U$3),'Unit List'!$A$14:$H$2841,2,FALSE)),"X",$P83)</f>
        <v>X</v>
      </c>
      <c r="V83" s="120" t="str">
        <f>IF(ISTEXT(VLOOKUP(CONCATENATE($A83,"_",V$3),'Unit List'!$A$14:$H$2841,2,FALSE)),"X",$P83)</f>
        <v>X</v>
      </c>
      <c r="W83" s="122" t="str">
        <f>IF(ISTEXT(VLOOKUP(CONCATENATE($A83,"_",W$3),'Unit List'!$A$14:$H$2841,2,FALSE)),"X",$P83)</f>
        <v>+</v>
      </c>
      <c r="X83" s="172" t="str">
        <f>IF(ISTEXT(VLOOKUP(CONCATENATE($A83,"_",X$3),'Unit List'!$A$14:$H$2841,2,FALSE)),"+","")</f>
        <v/>
      </c>
      <c r="Y83" s="120" t="str">
        <f>IF(ISTEXT(VLOOKUP(CONCATENATE($A83,"_",Y$3),'Unit List'!$A$14:$H$2841,2,FALSE)),"X",$X83)</f>
        <v/>
      </c>
      <c r="Z83" s="120" t="str">
        <f>IF(ISTEXT(VLOOKUP(CONCATENATE($A83,"_",Z$3),'Unit List'!$A$14:$H$2841,2,FALSE)),"X",$X83)</f>
        <v/>
      </c>
      <c r="AA83" s="120" t="str">
        <f>IF(ISTEXT(VLOOKUP(CONCATENATE($A83,"_",AA$3),'Unit List'!$A$14:$H$2841,2,FALSE)),"X",$X83)</f>
        <v/>
      </c>
      <c r="AB83" s="120" t="str">
        <f>IF(ISTEXT(VLOOKUP(CONCATENATE($A83,"_",AB$3),'Unit List'!$A$14:$H$2841,2,FALSE)),"X",$X83)</f>
        <v/>
      </c>
      <c r="AC83" s="75" t="str">
        <f>IF(ISTEXT(VLOOKUP(CONCATENATE($A83,"_",AC$3),'Unit List'!$A$14:$H$2841,2,FALSE)),"X",$X83)</f>
        <v/>
      </c>
      <c r="AD83" s="172" t="str">
        <f>IF(ISTEXT(VLOOKUP(CONCATENATE($A83,"_",AD$3),'Unit List'!$A$14:$H$2841,2,FALSE)),"+","")</f>
        <v>+</v>
      </c>
      <c r="AE83" s="120" t="str">
        <f>IF(ISTEXT(VLOOKUP(CONCATENATE($A83,"_",AE$3),'Unit List'!$A$14:$H$2841,2,FALSE)),"X",$AD83)</f>
        <v>+</v>
      </c>
      <c r="AF83" s="120" t="str">
        <f>IF(ISTEXT(VLOOKUP(CONCATENATE($A83,"_",AF$3),'Unit List'!$A$14:$H$2841,2,FALSE)),"X",$AD83)</f>
        <v>+</v>
      </c>
      <c r="AG83" s="172" t="str">
        <f>IF(ISTEXT(VLOOKUP(CONCATENATE($A83,"_",AG$3),'Unit List'!$A$14:$H$2841,2,FALSE)),"+","")</f>
        <v/>
      </c>
      <c r="AH83" s="120" t="str">
        <f>IF(ISTEXT(VLOOKUP(CONCATENATE($A83,"_",AH$3),'Unit List'!$A$14:$H$2841,2,FALSE)),"X",$AG83)</f>
        <v/>
      </c>
      <c r="AI83" s="120" t="str">
        <f>IF(ISTEXT(VLOOKUP(CONCATENATE($A83,"_",AI$3),'Unit List'!$A$14:$H$2841,2,FALSE)),"X",$AG83)</f>
        <v/>
      </c>
      <c r="AJ83" s="122" t="str">
        <f>IF(ISTEXT(VLOOKUP(CONCATENATE($A83,"_",AJ$3),'Unit List'!$A$14:$H$2841,2,FALSE)),"X",$AG83)</f>
        <v/>
      </c>
      <c r="AK83" s="172" t="str">
        <f>IF(ISTEXT(VLOOKUP(CONCATENATE($A83,"_",AK$3),'Unit List'!$A$14:$H$2841,2,FALSE)),"+","")</f>
        <v/>
      </c>
      <c r="AL83" s="121" t="str">
        <f>IF(ISTEXT(VLOOKUP(CONCATENATE($A83,"_",AL$3),'Unit List'!$A$14:$H$2841,2,FALSE)),"X",$AK83)</f>
        <v/>
      </c>
      <c r="AM83" s="122" t="str">
        <f>IF(ISTEXT(VLOOKUP(CONCATENATE($A83,"_",AM$3),'Unit List'!$A$14:$H$2841,2,FALSE)),"X",$AK83)</f>
        <v>X</v>
      </c>
      <c r="AN83" s="125" t="str">
        <f>IF(ISTEXT(VLOOKUP(CONCATENATE($A83,"_",AN$3),'Unit List'!$A$14:$H$2841,2,FALSE)),"+","")</f>
        <v/>
      </c>
      <c r="AO83" s="122" t="str">
        <f>IF(ISTEXT(VLOOKUP(CONCATENATE($A83,"_",AO$3),'Unit List'!$A$14:$H$2841,2,FALSE)),"X",$AN83)</f>
        <v/>
      </c>
      <c r="AP83" s="172" t="str">
        <f>IF(ISTEXT(VLOOKUP(CONCATENATE($A83,"_",AP$3),'Unit List'!$A$14:$H$2841,2,FALSE)),"+","")</f>
        <v/>
      </c>
      <c r="AQ83" s="120" t="str">
        <f>IF(ISTEXT(VLOOKUP(CONCATENATE($A83,"_",AQ$3),'Unit List'!$A$14:$H$2841,2,FALSE)),"X",$AP83)</f>
        <v/>
      </c>
      <c r="AR83" s="120" t="str">
        <f>IF(ISTEXT(VLOOKUP(CONCATENATE($A83,"_",AR$3),'Unit List'!$A$14:$H$2841,2,FALSE)),"X",$AP83)</f>
        <v/>
      </c>
      <c r="AS83" s="120" t="str">
        <f>IF(ISTEXT(VLOOKUP(CONCATENATE($A83,"_",AS$3),'Unit List'!$A$14:$H$2841,2,FALSE)),"X",$AP83)</f>
        <v/>
      </c>
      <c r="AT83" s="122" t="str">
        <f>IF(ISTEXT(VLOOKUP(CONCATENATE($A83,"_",AT$3),'Unit List'!$A$14:$H$2841,2,FALSE)),"X",$AP83)</f>
        <v/>
      </c>
      <c r="AU83" s="124" t="str">
        <f>IF(ISTEXT(VLOOKUP(CONCATENATE($A83,"_",AU$3),'Unit List'!$A$14:$H$2841,2,FALSE)),"+","")</f>
        <v/>
      </c>
      <c r="AV83" s="120" t="str">
        <f>IF(ISTEXT(VLOOKUP(CONCATENATE($A83,"_",AV$3),'Unit List'!$A$14:$H$2841,2,FALSE)),"X",$AU83)</f>
        <v/>
      </c>
      <c r="AW83" s="122" t="str">
        <f>IF(ISTEXT(VLOOKUP(CONCATENATE($A83,"_",AW$3),'Unit List'!$A$14:$H$2841,2,FALSE)),"X",$AU83)</f>
        <v/>
      </c>
      <c r="AX83" s="172" t="str">
        <f>IF(ISTEXT(VLOOKUP(CONCATENATE($A83,"_",AX$3),'Unit List'!$A$14:$H$2841,2,FALSE)),"+","")</f>
        <v/>
      </c>
      <c r="AY83" s="120" t="str">
        <f>IF(ISTEXT(VLOOKUP(CONCATENATE($A83,"_",AY$3),'Unit List'!$A$14:$H$2841,2,FALSE)),"X",$AX83)</f>
        <v/>
      </c>
      <c r="AZ83" s="122" t="str">
        <f>IF(ISTEXT(VLOOKUP(CONCATENATE($A83,"_",AZ$3),'Unit List'!$A$14:$H$2841,2,FALSE)),"X",$AX83)</f>
        <v/>
      </c>
      <c r="BA83" s="182" t="str">
        <f>IF(ISTEXT(VLOOKUP(CONCATENATE($A83,"_",BA$3),'Unit List'!$A$14:$H$2841,2,FALSE)),"+","")</f>
        <v/>
      </c>
      <c r="BB83" s="120" t="str">
        <f>IF(ISTEXT(VLOOKUP(CONCATENATE($A83,"_",BB$3),'Unit List'!$A$14:$H$2841,2,FALSE)),"X",$BA83)</f>
        <v/>
      </c>
      <c r="BC83" s="120" t="str">
        <f>IF(ISTEXT(VLOOKUP(CONCATENATE($A83,"_",BC$3),'Unit List'!$A$14:$H$2841,2,FALSE)),"X",$BA83)</f>
        <v/>
      </c>
      <c r="BD83" s="122" t="str">
        <f>IF(ISTEXT(VLOOKUP(CONCATENATE($A83,"_",BD$3),'Unit List'!$A$14:$H$2841,2,FALSE)),"X",$BA83)</f>
        <v/>
      </c>
      <c r="BE83" s="125" t="str">
        <f>IF(ISTEXT(VLOOKUP(CONCATENATE($A83,"_",BE$3),'Unit List'!$A$14:$H$2841,2,FALSE)),"+","")</f>
        <v/>
      </c>
      <c r="BF83" s="75" t="str">
        <f>IF(ISTEXT(VLOOKUP(CONCATENATE($A83,"_",BF$3),'Unit List'!$A$14:$H$2841,2,FALSE)),"X",$BE83)</f>
        <v/>
      </c>
      <c r="BG83" s="142" t="s">
        <v>0</v>
      </c>
      <c r="BH83" s="84"/>
      <c r="BI83" s="143"/>
      <c r="BJ83" s="144"/>
      <c r="BK83" s="144"/>
      <c r="BL83" s="145"/>
      <c r="BM83" s="145"/>
      <c r="BN83" s="54"/>
      <c r="BO83" s="54"/>
      <c r="BP83" s="54"/>
      <c r="BQ83" s="54"/>
      <c r="BR83" s="54"/>
      <c r="BS83" s="54"/>
      <c r="DZ83" s="55"/>
      <c r="EA83" s="55"/>
    </row>
    <row r="84" spans="1:131" ht="12.75" customHeight="1" x14ac:dyDescent="0.2">
      <c r="A84" s="138" t="s">
        <v>1129</v>
      </c>
      <c r="B84" s="181" t="str">
        <f>IF(ISTEXT(VLOOKUP(CONCATENATE($A84,"_",B$3),'Unit List'!$A$14:$H$2841,2,FALSE)),"+","")</f>
        <v/>
      </c>
      <c r="C84" s="119" t="str">
        <f>IF(ISTEXT(VLOOKUP(CONCATENATE($A84,"_",C$3),'Unit List'!$A$14:$H$2841,2,FALSE)),"X",$B84)</f>
        <v/>
      </c>
      <c r="D84" s="120" t="str">
        <f>IF(ISTEXT(VLOOKUP(CONCATENATE($A84,"_",D$3),'Unit List'!$A$14:$H$2841,2,FALSE)),"X",$B84)</f>
        <v/>
      </c>
      <c r="E84" s="120" t="str">
        <f>IF(ISTEXT(VLOOKUP(CONCATENATE($A84,"_",E$3),'Unit List'!$A$14:$H$2841,2,FALSE)),"X",$B84)</f>
        <v/>
      </c>
      <c r="F84" s="120" t="str">
        <f>IF(ISTEXT(VLOOKUP(CONCATENATE($A84,"_",F$3),'Unit List'!$A$14:$H$2841,2,FALSE)),"X",$B84)</f>
        <v/>
      </c>
      <c r="G84" s="120" t="str">
        <f>IF(ISTEXT(VLOOKUP(CONCATENATE($A84,"_",G$3),'Unit List'!$A$14:$H$2841,2,FALSE)),"X",$B84)</f>
        <v/>
      </c>
      <c r="H84" s="120" t="str">
        <f>IF(ISTEXT(VLOOKUP(CONCATENATE($A84,"_",H$3),'Unit List'!$A$14:$H$2841,2,FALSE)),"X",$B84)</f>
        <v/>
      </c>
      <c r="I84" s="122" t="str">
        <f>IF(ISTEXT(VLOOKUP(CONCATENATE($A84,"_",I$3),'Unit List'!$A$14:$H$2841,2,FALSE)),"X",$B84)</f>
        <v/>
      </c>
      <c r="J84" s="172" t="str">
        <f>IF(ISTEXT(VLOOKUP(CONCATENATE($A84,"_",J$3),'Unit List'!$A$14:$H$2841,2,FALSE)),"+","")</f>
        <v/>
      </c>
      <c r="K84" s="120" t="str">
        <f>IF(ISTEXT(VLOOKUP(CONCATENATE($A84,"_",K$3),'Unit List'!$A$14:$H$2841,2,FALSE)),"X",$J84)</f>
        <v/>
      </c>
      <c r="L84" s="75" t="str">
        <f>IF(ISTEXT(VLOOKUP(CONCATENATE($A84,"_",L$3),'Unit List'!$A$14:$H$2841,2,FALSE)),"X",$J84)</f>
        <v/>
      </c>
      <c r="M84" s="172" t="str">
        <f>IF(ISTEXT(VLOOKUP(CONCATENATE($A84,"_",M$3),'Unit List'!$A$14:$H$2841,2,FALSE)),"+","")</f>
        <v/>
      </c>
      <c r="N84" s="120" t="str">
        <f>IF(ISTEXT(VLOOKUP(CONCATENATE($A84,"_",N$3),'Unit List'!$A$14:$H$2841,2,FALSE)),"X",$M84)</f>
        <v/>
      </c>
      <c r="O84" s="122" t="str">
        <f>IF(ISTEXT(VLOOKUP(CONCATENATE($A84,"_",O$3),'Unit List'!$A$14:$H$2841,2,FALSE)),"X",$M84)</f>
        <v/>
      </c>
      <c r="P84" s="172" t="str">
        <f>IF(ISTEXT(VLOOKUP(CONCATENATE($A84,"_",P$3),'Unit List'!$A$14:$H$2841,2,FALSE)),"+","")</f>
        <v/>
      </c>
      <c r="Q84" s="120" t="str">
        <f>IF(ISTEXT(VLOOKUP(CONCATENATE($A84,"_",Q$3),'Unit List'!$A$14:$H$2841,2,FALSE)),"X",$P84)</f>
        <v/>
      </c>
      <c r="R84" s="120" t="str">
        <f>IF(ISTEXT(VLOOKUP(CONCATENATE($A84,"_",R$3),'Unit List'!$A$14:$H$2841,2,FALSE)),"X",$P84)</f>
        <v/>
      </c>
      <c r="S84" s="120" t="str">
        <f>IF(ISTEXT(VLOOKUP(CONCATENATE($A84,"_",S$3),'Unit List'!$A$14:$H$2841,2,FALSE)),"X",$P84)</f>
        <v/>
      </c>
      <c r="T84" s="121" t="str">
        <f>IF(ISTEXT(VLOOKUP(CONCATENATE($A84,"_",T$3),'Unit List'!$A$14:$H$2841,2,FALSE)),"X",$P84)</f>
        <v/>
      </c>
      <c r="U84" s="120" t="str">
        <f>IF(ISTEXT(VLOOKUP(CONCATENATE($A84,"_",U$3),'Unit List'!$A$14:$H$2841,2,FALSE)),"X",$P84)</f>
        <v/>
      </c>
      <c r="V84" s="120" t="str">
        <f>IF(ISTEXT(VLOOKUP(CONCATENATE($A84,"_",V$3),'Unit List'!$A$14:$H$2841,2,FALSE)),"X",$P84)</f>
        <v/>
      </c>
      <c r="W84" s="122" t="str">
        <f>IF(ISTEXT(VLOOKUP(CONCATENATE($A84,"_",W$3),'Unit List'!$A$14:$H$2841,2,FALSE)),"X",$P84)</f>
        <v/>
      </c>
      <c r="X84" s="172" t="str">
        <f>IF(ISTEXT(VLOOKUP(CONCATENATE($A84,"_",X$3),'Unit List'!$A$14:$H$2841,2,FALSE)),"+","")</f>
        <v/>
      </c>
      <c r="Y84" s="120" t="str">
        <f>IF(ISTEXT(VLOOKUP(CONCATENATE($A84,"_",Y$3),'Unit List'!$A$14:$H$2841,2,FALSE)),"X",$X84)</f>
        <v/>
      </c>
      <c r="Z84" s="120" t="str">
        <f>IF(ISTEXT(VLOOKUP(CONCATENATE($A84,"_",Z$3),'Unit List'!$A$14:$H$2841,2,FALSE)),"X",$X84)</f>
        <v/>
      </c>
      <c r="AA84" s="120" t="str">
        <f>IF(ISTEXT(VLOOKUP(CONCATENATE($A84,"_",AA$3),'Unit List'!$A$14:$H$2841,2,FALSE)),"X",$X84)</f>
        <v/>
      </c>
      <c r="AB84" s="120" t="str">
        <f>IF(ISTEXT(VLOOKUP(CONCATENATE($A84,"_",AB$3),'Unit List'!$A$14:$H$2841,2,FALSE)),"X",$X84)</f>
        <v/>
      </c>
      <c r="AC84" s="75" t="str">
        <f>IF(ISTEXT(VLOOKUP(CONCATENATE($A84,"_",AC$3),'Unit List'!$A$14:$H$2841,2,FALSE)),"X",$X84)</f>
        <v/>
      </c>
      <c r="AD84" s="172" t="str">
        <f>IF(ISTEXT(VLOOKUP(CONCATENATE($A84,"_",AD$3),'Unit List'!$A$14:$H$2841,2,FALSE)),"+","")</f>
        <v/>
      </c>
      <c r="AE84" s="120" t="str">
        <f>IF(ISTEXT(VLOOKUP(CONCATENATE($A84,"_",AE$3),'Unit List'!$A$14:$H$2841,2,FALSE)),"X",$AD84)</f>
        <v/>
      </c>
      <c r="AF84" s="120" t="str">
        <f>IF(ISTEXT(VLOOKUP(CONCATENATE($A84,"_",AF$3),'Unit List'!$A$14:$H$2841,2,FALSE)),"X",$AD84)</f>
        <v/>
      </c>
      <c r="AG84" s="172" t="str">
        <f>IF(ISTEXT(VLOOKUP(CONCATENATE($A84,"_",AG$3),'Unit List'!$A$14:$H$2841,2,FALSE)),"+","")</f>
        <v/>
      </c>
      <c r="AH84" s="120" t="str">
        <f>IF(ISTEXT(VLOOKUP(CONCATENATE($A84,"_",AH$3),'Unit List'!$A$14:$H$2841,2,FALSE)),"X",$AG84)</f>
        <v/>
      </c>
      <c r="AI84" s="120" t="str">
        <f>IF(ISTEXT(VLOOKUP(CONCATENATE($A84,"_",AI$3),'Unit List'!$A$14:$H$2841,2,FALSE)),"X",$AG84)</f>
        <v/>
      </c>
      <c r="AJ84" s="122" t="str">
        <f>IF(ISTEXT(VLOOKUP(CONCATENATE($A84,"_",AJ$3),'Unit List'!$A$14:$H$2841,2,FALSE)),"X",$AG84)</f>
        <v/>
      </c>
      <c r="AK84" s="172" t="str">
        <f>IF(ISTEXT(VLOOKUP(CONCATENATE($A84,"_",AK$3),'Unit List'!$A$14:$H$2841,2,FALSE)),"+","")</f>
        <v/>
      </c>
      <c r="AL84" s="121" t="str">
        <f>IF(ISTEXT(VLOOKUP(CONCATENATE($A84,"_",AL$3),'Unit List'!$A$14:$H$2841,2,FALSE)),"X",$AK84)</f>
        <v/>
      </c>
      <c r="AM84" s="122" t="str">
        <f>IF(ISTEXT(VLOOKUP(CONCATENATE($A84,"_",AM$3),'Unit List'!$A$14:$H$2841,2,FALSE)),"X",$AK84)</f>
        <v/>
      </c>
      <c r="AN84" s="125" t="str">
        <f>IF(ISTEXT(VLOOKUP(CONCATENATE($A84,"_",AN$3),'Unit List'!$A$14:$H$2841,2,FALSE)),"+","")</f>
        <v/>
      </c>
      <c r="AO84" s="122" t="str">
        <f>IF(ISTEXT(VLOOKUP(CONCATENATE($A84,"_",AO$3),'Unit List'!$A$14:$H$2841,2,FALSE)),"X",$AN84)</f>
        <v/>
      </c>
      <c r="AP84" s="172" t="str">
        <f>IF(ISTEXT(VLOOKUP(CONCATENATE($A84,"_",AP$3),'Unit List'!$A$14:$H$2841,2,FALSE)),"+","")</f>
        <v/>
      </c>
      <c r="AQ84" s="120" t="str">
        <f>IF(ISTEXT(VLOOKUP(CONCATENATE($A84,"_",AQ$3),'Unit List'!$A$14:$H$2841,2,FALSE)),"X",$AP84)</f>
        <v/>
      </c>
      <c r="AR84" s="120" t="str">
        <f>IF(ISTEXT(VLOOKUP(CONCATENATE($A84,"_",AR$3),'Unit List'!$A$14:$H$2841,2,FALSE)),"X",$AP84)</f>
        <v/>
      </c>
      <c r="AS84" s="120" t="str">
        <f>IF(ISTEXT(VLOOKUP(CONCATENATE($A84,"_",AS$3),'Unit List'!$A$14:$H$2841,2,FALSE)),"X",$AP84)</f>
        <v/>
      </c>
      <c r="AT84" s="122" t="str">
        <f>IF(ISTEXT(VLOOKUP(CONCATENATE($A84,"_",AT$3),'Unit List'!$A$14:$H$2841,2,FALSE)),"X",$AP84)</f>
        <v/>
      </c>
      <c r="AU84" s="124" t="str">
        <f>IF(ISTEXT(VLOOKUP(CONCATENATE($A84,"_",AU$3),'Unit List'!$A$14:$H$2841,2,FALSE)),"+","")</f>
        <v/>
      </c>
      <c r="AV84" s="120" t="str">
        <f>IF(ISTEXT(VLOOKUP(CONCATENATE($A84,"_",AV$3),'Unit List'!$A$14:$H$2841,2,FALSE)),"X",$AU84)</f>
        <v/>
      </c>
      <c r="AW84" s="122" t="str">
        <f>IF(ISTEXT(VLOOKUP(CONCATENATE($A84,"_",AW$3),'Unit List'!$A$14:$H$2841,2,FALSE)),"X",$AU84)</f>
        <v/>
      </c>
      <c r="AX84" s="172" t="str">
        <f>IF(ISTEXT(VLOOKUP(CONCATENATE($A84,"_",AX$3),'Unit List'!$A$14:$H$2841,2,FALSE)),"+","")</f>
        <v/>
      </c>
      <c r="AY84" s="120" t="str">
        <f>IF(ISTEXT(VLOOKUP(CONCATENATE($A84,"_",AY$3),'Unit List'!$A$14:$H$2841,2,FALSE)),"X",$AX84)</f>
        <v/>
      </c>
      <c r="AZ84" s="122" t="str">
        <f>IF(ISTEXT(VLOOKUP(CONCATENATE($A84,"_",AZ$3),'Unit List'!$A$14:$H$2841,2,FALSE)),"X",$AX84)</f>
        <v/>
      </c>
      <c r="BA84" s="182" t="str">
        <f>IF(ISTEXT(VLOOKUP(CONCATENATE($A84,"_",BA$3),'Unit List'!$A$14:$H$2841,2,FALSE)),"+","")</f>
        <v/>
      </c>
      <c r="BB84" s="120" t="str">
        <f>IF(ISTEXT(VLOOKUP(CONCATENATE($A84,"_",BB$3),'Unit List'!$A$14:$H$2841,2,FALSE)),"X",$BA84)</f>
        <v/>
      </c>
      <c r="BC84" s="120" t="str">
        <f>IF(ISTEXT(VLOOKUP(CONCATENATE($A84,"_",BC$3),'Unit List'!$A$14:$H$2841,2,FALSE)),"X",$BA84)</f>
        <v/>
      </c>
      <c r="BD84" s="122" t="str">
        <f>IF(ISTEXT(VLOOKUP(CONCATENATE($A84,"_",BD$3),'Unit List'!$A$14:$H$2841,2,FALSE)),"X",$BA84)</f>
        <v/>
      </c>
      <c r="BE84" s="125" t="str">
        <f>IF(ISTEXT(VLOOKUP(CONCATENATE($A84,"_",BE$3),'Unit List'!$A$14:$H$2841,2,FALSE)),"+","")</f>
        <v/>
      </c>
      <c r="BF84" s="75" t="str">
        <f>IF(ISTEXT(VLOOKUP(CONCATENATE($A84,"_",BF$3),'Unit List'!$A$14:$H$2841,2,FALSE)),"X",$BE84)</f>
        <v/>
      </c>
      <c r="BG84" s="142" t="s">
        <v>0</v>
      </c>
      <c r="BH84" s="84"/>
      <c r="BI84" s="143"/>
      <c r="BJ84" s="144"/>
      <c r="BK84" s="144"/>
      <c r="BL84" s="145"/>
      <c r="BM84" s="145"/>
      <c r="BN84" s="54"/>
      <c r="BO84" s="54"/>
      <c r="BP84" s="54"/>
      <c r="BQ84" s="54"/>
      <c r="BR84" s="54"/>
      <c r="BS84" s="54"/>
      <c r="DZ84" s="55"/>
      <c r="EA84" s="55"/>
    </row>
    <row r="85" spans="1:131" ht="12.75" customHeight="1" x14ac:dyDescent="0.2">
      <c r="A85" s="138" t="s">
        <v>1133</v>
      </c>
      <c r="B85" s="181" t="str">
        <f>IF(ISTEXT(VLOOKUP(CONCATENATE($A85,"_",B$3),'Unit List'!$A$14:$H$2841,2,FALSE)),"+","")</f>
        <v/>
      </c>
      <c r="C85" s="119" t="str">
        <f>IF(ISTEXT(VLOOKUP(CONCATENATE($A85,"_",C$3),'Unit List'!$A$14:$H$2841,2,FALSE)),"X",$B85)</f>
        <v/>
      </c>
      <c r="D85" s="120" t="str">
        <f>IF(ISTEXT(VLOOKUP(CONCATENATE($A85,"_",D$3),'Unit List'!$A$14:$H$2841,2,FALSE)),"X",$B85)</f>
        <v/>
      </c>
      <c r="E85" s="120" t="str">
        <f>IF(ISTEXT(VLOOKUP(CONCATENATE($A85,"_",E$3),'Unit List'!$A$14:$H$2841,2,FALSE)),"X",$B85)</f>
        <v/>
      </c>
      <c r="F85" s="120" t="str">
        <f>IF(ISTEXT(VLOOKUP(CONCATENATE($A85,"_",F$3),'Unit List'!$A$14:$H$2841,2,FALSE)),"X",$B85)</f>
        <v/>
      </c>
      <c r="G85" s="120" t="str">
        <f>IF(ISTEXT(VLOOKUP(CONCATENATE($A85,"_",G$3),'Unit List'!$A$14:$H$2841,2,FALSE)),"X",$B85)</f>
        <v/>
      </c>
      <c r="H85" s="120" t="str">
        <f>IF(ISTEXT(VLOOKUP(CONCATENATE($A85,"_",H$3),'Unit List'!$A$14:$H$2841,2,FALSE)),"X",$B85)</f>
        <v/>
      </c>
      <c r="I85" s="122" t="str">
        <f>IF(ISTEXT(VLOOKUP(CONCATENATE($A85,"_",I$3),'Unit List'!$A$14:$H$2841,2,FALSE)),"X",$B85)</f>
        <v/>
      </c>
      <c r="J85" s="172" t="str">
        <f>IF(ISTEXT(VLOOKUP(CONCATENATE($A85,"_",J$3),'Unit List'!$A$14:$H$2841,2,FALSE)),"+","")</f>
        <v/>
      </c>
      <c r="K85" s="120" t="str">
        <f>IF(ISTEXT(VLOOKUP(CONCATENATE($A85,"_",K$3),'Unit List'!$A$14:$H$2841,2,FALSE)),"X",$J85)</f>
        <v/>
      </c>
      <c r="L85" s="75" t="str">
        <f>IF(ISTEXT(VLOOKUP(CONCATENATE($A85,"_",L$3),'Unit List'!$A$14:$H$2841,2,FALSE)),"X",$J85)</f>
        <v/>
      </c>
      <c r="M85" s="172" t="str">
        <f>IF(ISTEXT(VLOOKUP(CONCATENATE($A85,"_",M$3),'Unit List'!$A$14:$H$2841,2,FALSE)),"+","")</f>
        <v/>
      </c>
      <c r="N85" s="120" t="str">
        <f>IF(ISTEXT(VLOOKUP(CONCATENATE($A85,"_",N$3),'Unit List'!$A$14:$H$2841,2,FALSE)),"X",$M85)</f>
        <v/>
      </c>
      <c r="O85" s="122" t="str">
        <f>IF(ISTEXT(VLOOKUP(CONCATENATE($A85,"_",O$3),'Unit List'!$A$14:$H$2841,2,FALSE)),"X",$M85)</f>
        <v/>
      </c>
      <c r="P85" s="172" t="str">
        <f>IF(ISTEXT(VLOOKUP(CONCATENATE($A85,"_",P$3),'Unit List'!$A$14:$H$2841,2,FALSE)),"+","")</f>
        <v/>
      </c>
      <c r="Q85" s="120" t="str">
        <f>IF(ISTEXT(VLOOKUP(CONCATENATE($A85,"_",Q$3),'Unit List'!$A$14:$H$2841,2,FALSE)),"X",$P85)</f>
        <v/>
      </c>
      <c r="R85" s="120" t="str">
        <f>IF(ISTEXT(VLOOKUP(CONCATENATE($A85,"_",R$3),'Unit List'!$A$14:$H$2841,2,FALSE)),"X",$P85)</f>
        <v/>
      </c>
      <c r="S85" s="120" t="str">
        <f>IF(ISTEXT(VLOOKUP(CONCATENATE($A85,"_",S$3),'Unit List'!$A$14:$H$2841,2,FALSE)),"X",$P85)</f>
        <v/>
      </c>
      <c r="T85" s="121" t="str">
        <f>IF(ISTEXT(VLOOKUP(CONCATENATE($A85,"_",T$3),'Unit List'!$A$14:$H$2841,2,FALSE)),"X",$P85)</f>
        <v/>
      </c>
      <c r="U85" s="120" t="str">
        <f>IF(ISTEXT(VLOOKUP(CONCATENATE($A85,"_",U$3),'Unit List'!$A$14:$H$2841,2,FALSE)),"X",$P85)</f>
        <v/>
      </c>
      <c r="V85" s="120" t="str">
        <f>IF(ISTEXT(VLOOKUP(CONCATENATE($A85,"_",V$3),'Unit List'!$A$14:$H$2841,2,FALSE)),"X",$P85)</f>
        <v/>
      </c>
      <c r="W85" s="122" t="str">
        <f>IF(ISTEXT(VLOOKUP(CONCATENATE($A85,"_",W$3),'Unit List'!$A$14:$H$2841,2,FALSE)),"X",$P85)</f>
        <v/>
      </c>
      <c r="X85" s="172" t="str">
        <f>IF(ISTEXT(VLOOKUP(CONCATENATE($A85,"_",X$3),'Unit List'!$A$14:$H$2841,2,FALSE)),"+","")</f>
        <v/>
      </c>
      <c r="Y85" s="120" t="str">
        <f>IF(ISTEXT(VLOOKUP(CONCATENATE($A85,"_",Y$3),'Unit List'!$A$14:$H$2841,2,FALSE)),"X",$X85)</f>
        <v/>
      </c>
      <c r="Z85" s="120" t="str">
        <f>IF(ISTEXT(VLOOKUP(CONCATENATE($A85,"_",Z$3),'Unit List'!$A$14:$H$2841,2,FALSE)),"X",$X85)</f>
        <v/>
      </c>
      <c r="AA85" s="120" t="str">
        <f>IF(ISTEXT(VLOOKUP(CONCATENATE($A85,"_",AA$3),'Unit List'!$A$14:$H$2841,2,FALSE)),"X",$X85)</f>
        <v/>
      </c>
      <c r="AB85" s="120" t="str">
        <f>IF(ISTEXT(VLOOKUP(CONCATENATE($A85,"_",AB$3),'Unit List'!$A$14:$H$2841,2,FALSE)),"X",$X85)</f>
        <v/>
      </c>
      <c r="AC85" s="75" t="str">
        <f>IF(ISTEXT(VLOOKUP(CONCATENATE($A85,"_",AC$3),'Unit List'!$A$14:$H$2841,2,FALSE)),"X",$X85)</f>
        <v/>
      </c>
      <c r="AD85" s="172" t="str">
        <f>IF(ISTEXT(VLOOKUP(CONCATENATE($A85,"_",AD$3),'Unit List'!$A$14:$H$2841,2,FALSE)),"+","")</f>
        <v/>
      </c>
      <c r="AE85" s="120" t="str">
        <f>IF(ISTEXT(VLOOKUP(CONCATENATE($A85,"_",AE$3),'Unit List'!$A$14:$H$2841,2,FALSE)),"X",$AD85)</f>
        <v/>
      </c>
      <c r="AF85" s="120" t="str">
        <f>IF(ISTEXT(VLOOKUP(CONCATENATE($A85,"_",AF$3),'Unit List'!$A$14:$H$2841,2,FALSE)),"X",$AD85)</f>
        <v/>
      </c>
      <c r="AG85" s="172" t="str">
        <f>IF(ISTEXT(VLOOKUP(CONCATENATE($A85,"_",AG$3),'Unit List'!$A$14:$H$2841,2,FALSE)),"+","")</f>
        <v/>
      </c>
      <c r="AH85" s="120" t="str">
        <f>IF(ISTEXT(VLOOKUP(CONCATENATE($A85,"_",AH$3),'Unit List'!$A$14:$H$2841,2,FALSE)),"X",$AG85)</f>
        <v/>
      </c>
      <c r="AI85" s="120" t="str">
        <f>IF(ISTEXT(VLOOKUP(CONCATENATE($A85,"_",AI$3),'Unit List'!$A$14:$H$2841,2,FALSE)),"X",$AG85)</f>
        <v/>
      </c>
      <c r="AJ85" s="122" t="str">
        <f>IF(ISTEXT(VLOOKUP(CONCATENATE($A85,"_",AJ$3),'Unit List'!$A$14:$H$2841,2,FALSE)),"X",$AG85)</f>
        <v/>
      </c>
      <c r="AK85" s="172" t="str">
        <f>IF(ISTEXT(VLOOKUP(CONCATENATE($A85,"_",AK$3),'Unit List'!$A$14:$H$2841,2,FALSE)),"+","")</f>
        <v/>
      </c>
      <c r="AL85" s="121" t="str">
        <f>IF(ISTEXT(VLOOKUP(CONCATENATE($A85,"_",AL$3),'Unit List'!$A$14:$H$2841,2,FALSE)),"X",$AK85)</f>
        <v/>
      </c>
      <c r="AM85" s="122" t="str">
        <f>IF(ISTEXT(VLOOKUP(CONCATENATE($A85,"_",AM$3),'Unit List'!$A$14:$H$2841,2,FALSE)),"X",$AK85)</f>
        <v/>
      </c>
      <c r="AN85" s="125" t="str">
        <f>IF(ISTEXT(VLOOKUP(CONCATENATE($A85,"_",AN$3),'Unit List'!$A$14:$H$2841,2,FALSE)),"+","")</f>
        <v/>
      </c>
      <c r="AO85" s="122" t="str">
        <f>IF(ISTEXT(VLOOKUP(CONCATENATE($A85,"_",AO$3),'Unit List'!$A$14:$H$2841,2,FALSE)),"X",$AN85)</f>
        <v/>
      </c>
      <c r="AP85" s="172" t="str">
        <f>IF(ISTEXT(VLOOKUP(CONCATENATE($A85,"_",AP$3),'Unit List'!$A$14:$H$2841,2,FALSE)),"+","")</f>
        <v/>
      </c>
      <c r="AQ85" s="120" t="str">
        <f>IF(ISTEXT(VLOOKUP(CONCATENATE($A85,"_",AQ$3),'Unit List'!$A$14:$H$2841,2,FALSE)),"X",$AP85)</f>
        <v/>
      </c>
      <c r="AR85" s="120" t="str">
        <f>IF(ISTEXT(VLOOKUP(CONCATENATE($A85,"_",AR$3),'Unit List'!$A$14:$H$2841,2,FALSE)),"X",$AP85)</f>
        <v/>
      </c>
      <c r="AS85" s="120" t="str">
        <f>IF(ISTEXT(VLOOKUP(CONCATENATE($A85,"_",AS$3),'Unit List'!$A$14:$H$2841,2,FALSE)),"X",$AP85)</f>
        <v/>
      </c>
      <c r="AT85" s="122" t="str">
        <f>IF(ISTEXT(VLOOKUP(CONCATENATE($A85,"_",AT$3),'Unit List'!$A$14:$H$2841,2,FALSE)),"X",$AP85)</f>
        <v/>
      </c>
      <c r="AU85" s="124" t="str">
        <f>IF(ISTEXT(VLOOKUP(CONCATENATE($A85,"_",AU$3),'Unit List'!$A$14:$H$2841,2,FALSE)),"+","")</f>
        <v/>
      </c>
      <c r="AV85" s="120" t="str">
        <f>IF(ISTEXT(VLOOKUP(CONCATENATE($A85,"_",AV$3),'Unit List'!$A$14:$H$2841,2,FALSE)),"X",$AU85)</f>
        <v/>
      </c>
      <c r="AW85" s="122" t="str">
        <f>IF(ISTEXT(VLOOKUP(CONCATENATE($A85,"_",AW$3),'Unit List'!$A$14:$H$2841,2,FALSE)),"X",$AU85)</f>
        <v/>
      </c>
      <c r="AX85" s="172" t="str">
        <f>IF(ISTEXT(VLOOKUP(CONCATENATE($A85,"_",AX$3),'Unit List'!$A$14:$H$2841,2,FALSE)),"+","")</f>
        <v/>
      </c>
      <c r="AY85" s="120" t="str">
        <f>IF(ISTEXT(VLOOKUP(CONCATENATE($A85,"_",AY$3),'Unit List'!$A$14:$H$2841,2,FALSE)),"X",$AX85)</f>
        <v/>
      </c>
      <c r="AZ85" s="122" t="str">
        <f>IF(ISTEXT(VLOOKUP(CONCATENATE($A85,"_",AZ$3),'Unit List'!$A$14:$H$2841,2,FALSE)),"X",$AX85)</f>
        <v/>
      </c>
      <c r="BA85" s="182" t="str">
        <f>IF(ISTEXT(VLOOKUP(CONCATENATE($A85,"_",BA$3),'Unit List'!$A$14:$H$2841,2,FALSE)),"+","")</f>
        <v/>
      </c>
      <c r="BB85" s="120" t="str">
        <f>IF(ISTEXT(VLOOKUP(CONCATENATE($A85,"_",BB$3),'Unit List'!$A$14:$H$2841,2,FALSE)),"X",$BA85)</f>
        <v/>
      </c>
      <c r="BC85" s="120" t="str">
        <f>IF(ISTEXT(VLOOKUP(CONCATENATE($A85,"_",BC$3),'Unit List'!$A$14:$H$2841,2,FALSE)),"X",$BA85)</f>
        <v/>
      </c>
      <c r="BD85" s="122" t="str">
        <f>IF(ISTEXT(VLOOKUP(CONCATENATE($A85,"_",BD$3),'Unit List'!$A$14:$H$2841,2,FALSE)),"X",$BA85)</f>
        <v/>
      </c>
      <c r="BE85" s="125" t="str">
        <f>IF(ISTEXT(VLOOKUP(CONCATENATE($A85,"_",BE$3),'Unit List'!$A$14:$H$2841,2,FALSE)),"+","")</f>
        <v/>
      </c>
      <c r="BF85" s="75" t="str">
        <f>IF(ISTEXT(VLOOKUP(CONCATENATE($A85,"_",BF$3),'Unit List'!$A$14:$H$2841,2,FALSE)),"X",$BE85)</f>
        <v/>
      </c>
      <c r="BG85" s="122"/>
      <c r="BH85" s="65" t="s">
        <v>0</v>
      </c>
      <c r="BI85" s="143"/>
      <c r="BJ85" s="144"/>
      <c r="BK85" s="144"/>
      <c r="BL85" s="145"/>
      <c r="BM85" s="145"/>
      <c r="BN85" s="54"/>
      <c r="BO85" s="54"/>
      <c r="BP85" s="54"/>
      <c r="BQ85" s="54"/>
      <c r="BR85" s="54"/>
      <c r="BS85" s="54"/>
      <c r="DZ85" s="55"/>
      <c r="EA85" s="55"/>
    </row>
    <row r="86" spans="1:131" ht="12.75" customHeight="1" x14ac:dyDescent="0.2">
      <c r="A86" s="138" t="s">
        <v>1134</v>
      </c>
      <c r="B86" s="190" t="str">
        <f>IF(ISTEXT(VLOOKUP(CONCATENATE($A86,"_",B$3),'Unit List'!$A$14:$H$2841,2,FALSE)),"+","")</f>
        <v/>
      </c>
      <c r="C86" s="119" t="str">
        <f>IF(ISTEXT(VLOOKUP(CONCATENATE($A86,"_",C$3),'Unit List'!$A$14:$H$2841,2,FALSE)),"X",$B86)</f>
        <v/>
      </c>
      <c r="D86" s="120" t="str">
        <f>IF(ISTEXT(VLOOKUP(CONCATENATE($A86,"_",D$3),'Unit List'!$A$14:$H$2841,2,FALSE)),"X",$B86)</f>
        <v/>
      </c>
      <c r="E86" s="120" t="str">
        <f>IF(ISTEXT(VLOOKUP(CONCATENATE($A86,"_",E$3),'Unit List'!$A$14:$H$2841,2,FALSE)),"X",$B86)</f>
        <v/>
      </c>
      <c r="F86" s="120" t="str">
        <f>IF(ISTEXT(VLOOKUP(CONCATENATE($A86,"_",F$3),'Unit List'!$A$14:$H$2841,2,FALSE)),"X",$B86)</f>
        <v/>
      </c>
      <c r="G86" s="120" t="str">
        <f>IF(ISTEXT(VLOOKUP(CONCATENATE($A86,"_",G$3),'Unit List'!$A$14:$H$2841,2,FALSE)),"X",$B86)</f>
        <v/>
      </c>
      <c r="H86" s="120" t="str">
        <f>IF(ISTEXT(VLOOKUP(CONCATENATE($A86,"_",H$3),'Unit List'!$A$14:$H$2841,2,FALSE)),"X",$B86)</f>
        <v/>
      </c>
      <c r="I86" s="122" t="str">
        <f>IF(ISTEXT(VLOOKUP(CONCATENATE($A86,"_",I$3),'Unit List'!$A$14:$H$2841,2,FALSE)),"X",$B86)</f>
        <v/>
      </c>
      <c r="J86" s="172" t="str">
        <f>IF(ISTEXT(VLOOKUP(CONCATENATE($A86,"_",J$3),'Unit List'!$A$14:$H$2841,2,FALSE)),"+","")</f>
        <v/>
      </c>
      <c r="K86" s="120" t="str">
        <f>IF(ISTEXT(VLOOKUP(CONCATENATE($A86,"_",K$3),'Unit List'!$A$14:$H$2841,2,FALSE)),"X",$J86)</f>
        <v/>
      </c>
      <c r="L86" s="75" t="str">
        <f>IF(ISTEXT(VLOOKUP(CONCATENATE($A86,"_",L$3),'Unit List'!$A$14:$H$2841,2,FALSE)),"X",$J86)</f>
        <v/>
      </c>
      <c r="M86" s="172" t="str">
        <f>IF(ISTEXT(VLOOKUP(CONCATENATE($A86,"_",M$3),'Unit List'!$A$14:$H$2841,2,FALSE)),"+","")</f>
        <v/>
      </c>
      <c r="N86" s="120" t="str">
        <f>IF(ISTEXT(VLOOKUP(CONCATENATE($A86,"_",N$3),'Unit List'!$A$14:$H$2841,2,FALSE)),"X",$M86)</f>
        <v/>
      </c>
      <c r="O86" s="122" t="str">
        <f>IF(ISTEXT(VLOOKUP(CONCATENATE($A86,"_",O$3),'Unit List'!$A$14:$H$2841,2,FALSE)),"X",$M86)</f>
        <v/>
      </c>
      <c r="P86" s="172" t="str">
        <f>IF(ISTEXT(VLOOKUP(CONCATENATE($A86,"_",P$3),'Unit List'!$A$14:$H$2841,2,FALSE)),"+","")</f>
        <v/>
      </c>
      <c r="Q86" s="120" t="str">
        <f>IF(ISTEXT(VLOOKUP(CONCATENATE($A86,"_",Q$3),'Unit List'!$A$14:$H$2841,2,FALSE)),"X",$P86)</f>
        <v/>
      </c>
      <c r="R86" s="120" t="str">
        <f>IF(ISTEXT(VLOOKUP(CONCATENATE($A86,"_",R$3),'Unit List'!$A$14:$H$2841,2,FALSE)),"X",$P86)</f>
        <v/>
      </c>
      <c r="S86" s="120" t="str">
        <f>IF(ISTEXT(VLOOKUP(CONCATENATE($A86,"_",S$3),'Unit List'!$A$14:$H$2841,2,FALSE)),"X",$P86)</f>
        <v/>
      </c>
      <c r="T86" s="121" t="str">
        <f>IF(ISTEXT(VLOOKUP(CONCATENATE($A86,"_",T$3),'Unit List'!$A$14:$H$2841,2,FALSE)),"X",$P86)</f>
        <v/>
      </c>
      <c r="U86" s="120" t="str">
        <f>IF(ISTEXT(VLOOKUP(CONCATENATE($A86,"_",U$3),'Unit List'!$A$14:$H$2841,2,FALSE)),"X",$P86)</f>
        <v/>
      </c>
      <c r="V86" s="120" t="str">
        <f>IF(ISTEXT(VLOOKUP(CONCATENATE($A86,"_",V$3),'Unit List'!$A$14:$H$2841,2,FALSE)),"X",$P86)</f>
        <v/>
      </c>
      <c r="W86" s="122" t="str">
        <f>IF(ISTEXT(VLOOKUP(CONCATENATE($A86,"_",W$3),'Unit List'!$A$14:$H$2841,2,FALSE)),"X",$P86)</f>
        <v/>
      </c>
      <c r="X86" s="172" t="str">
        <f>IF(ISTEXT(VLOOKUP(CONCATENATE($A86,"_",X$3),'Unit List'!$A$14:$H$2841,2,FALSE)),"+","")</f>
        <v/>
      </c>
      <c r="Y86" s="120" t="str">
        <f>IF(ISTEXT(VLOOKUP(CONCATENATE($A86,"_",Y$3),'Unit List'!$A$14:$H$2841,2,FALSE)),"X",$X86)</f>
        <v/>
      </c>
      <c r="Z86" s="120" t="str">
        <f>IF(ISTEXT(VLOOKUP(CONCATENATE($A86,"_",Z$3),'Unit List'!$A$14:$H$2841,2,FALSE)),"X",$X86)</f>
        <v/>
      </c>
      <c r="AA86" s="120" t="str">
        <f>IF(ISTEXT(VLOOKUP(CONCATENATE($A86,"_",AA$3),'Unit List'!$A$14:$H$2841,2,FALSE)),"X",$X86)</f>
        <v/>
      </c>
      <c r="AB86" s="120" t="str">
        <f>IF(ISTEXT(VLOOKUP(CONCATENATE($A86,"_",AB$3),'Unit List'!$A$14:$H$2841,2,FALSE)),"X",$X86)</f>
        <v/>
      </c>
      <c r="AC86" s="75" t="str">
        <f>IF(ISTEXT(VLOOKUP(CONCATENATE($A86,"_",AC$3),'Unit List'!$A$14:$H$2841,2,FALSE)),"X",$X86)</f>
        <v/>
      </c>
      <c r="AD86" s="172" t="str">
        <f>IF(ISTEXT(VLOOKUP(CONCATENATE($A86,"_",AD$3),'Unit List'!$A$14:$H$2841,2,FALSE)),"+","")</f>
        <v/>
      </c>
      <c r="AE86" s="120" t="str">
        <f>IF(ISTEXT(VLOOKUP(CONCATENATE($A86,"_",AE$3),'Unit List'!$A$14:$H$2841,2,FALSE)),"X",$AD86)</f>
        <v/>
      </c>
      <c r="AF86" s="120" t="str">
        <f>IF(ISTEXT(VLOOKUP(CONCATENATE($A86,"_",AF$3),'Unit List'!$A$14:$H$2841,2,FALSE)),"X",$AD86)</f>
        <v/>
      </c>
      <c r="AG86" s="172" t="str">
        <f>IF(ISTEXT(VLOOKUP(CONCATENATE($A86,"_",AG$3),'Unit List'!$A$14:$H$2841,2,FALSE)),"+","")</f>
        <v/>
      </c>
      <c r="AH86" s="120" t="str">
        <f>IF(ISTEXT(VLOOKUP(CONCATENATE($A86,"_",AH$3),'Unit List'!$A$14:$H$2841,2,FALSE)),"X",$AG86)</f>
        <v/>
      </c>
      <c r="AI86" s="120" t="str">
        <f>IF(ISTEXT(VLOOKUP(CONCATENATE($A86,"_",AI$3),'Unit List'!$A$14:$H$2841,2,FALSE)),"X",$AG86)</f>
        <v/>
      </c>
      <c r="AJ86" s="122" t="str">
        <f>IF(ISTEXT(VLOOKUP(CONCATENATE($A86,"_",AJ$3),'Unit List'!$A$14:$H$2841,2,FALSE)),"X",$AG86)</f>
        <v/>
      </c>
      <c r="AK86" s="172" t="str">
        <f>IF(ISTEXT(VLOOKUP(CONCATENATE($A86,"_",AK$3),'Unit List'!$A$14:$H$2841,2,FALSE)),"+","")</f>
        <v/>
      </c>
      <c r="AL86" s="121" t="str">
        <f>IF(ISTEXT(VLOOKUP(CONCATENATE($A86,"_",AL$3),'Unit List'!$A$14:$H$2841,2,FALSE)),"X",$AK86)</f>
        <v/>
      </c>
      <c r="AM86" s="122" t="str">
        <f>IF(ISTEXT(VLOOKUP(CONCATENATE($A86,"_",AM$3),'Unit List'!$A$14:$H$2841,2,FALSE)),"X",$AK86)</f>
        <v/>
      </c>
      <c r="AN86" s="125" t="str">
        <f>IF(ISTEXT(VLOOKUP(CONCATENATE($A86,"_",AN$3),'Unit List'!$A$14:$H$2841,2,FALSE)),"+","")</f>
        <v/>
      </c>
      <c r="AO86" s="122" t="str">
        <f>IF(ISTEXT(VLOOKUP(CONCATENATE($A86,"_",AO$3),'Unit List'!$A$14:$H$2841,2,FALSE)),"X",$AN86)</f>
        <v/>
      </c>
      <c r="AP86" s="172" t="str">
        <f>IF(ISTEXT(VLOOKUP(CONCATENATE($A86,"_",AP$3),'Unit List'!$A$14:$H$2841,2,FALSE)),"+","")</f>
        <v/>
      </c>
      <c r="AQ86" s="120" t="str">
        <f>IF(ISTEXT(VLOOKUP(CONCATENATE($A86,"_",AQ$3),'Unit List'!$A$14:$H$2841,2,FALSE)),"X",$AP86)</f>
        <v/>
      </c>
      <c r="AR86" s="120" t="str">
        <f>IF(ISTEXT(VLOOKUP(CONCATENATE($A86,"_",AR$3),'Unit List'!$A$14:$H$2841,2,FALSE)),"X",$AP86)</f>
        <v/>
      </c>
      <c r="AS86" s="120" t="str">
        <f>IF(ISTEXT(VLOOKUP(CONCATENATE($A86,"_",AS$3),'Unit List'!$A$14:$H$2841,2,FALSE)),"X",$AP86)</f>
        <v/>
      </c>
      <c r="AT86" s="122" t="str">
        <f>IF(ISTEXT(VLOOKUP(CONCATENATE($A86,"_",AT$3),'Unit List'!$A$14:$H$2841,2,FALSE)),"X",$AP86)</f>
        <v/>
      </c>
      <c r="AU86" s="124" t="str">
        <f>IF(ISTEXT(VLOOKUP(CONCATENATE($A86,"_",AU$3),'Unit List'!$A$14:$H$2841,2,FALSE)),"+","")</f>
        <v/>
      </c>
      <c r="AV86" s="120" t="str">
        <f>IF(ISTEXT(VLOOKUP(CONCATENATE($A86,"_",AV$3),'Unit List'!$A$14:$H$2841,2,FALSE)),"X",$AU86)</f>
        <v/>
      </c>
      <c r="AW86" s="122" t="str">
        <f>IF(ISTEXT(VLOOKUP(CONCATENATE($A86,"_",AW$3),'Unit List'!$A$14:$H$2841,2,FALSE)),"X",$AU86)</f>
        <v/>
      </c>
      <c r="AX86" s="172" t="str">
        <f>IF(ISTEXT(VLOOKUP(CONCATENATE($A86,"_",AX$3),'Unit List'!$A$14:$H$2841,2,FALSE)),"+","")</f>
        <v/>
      </c>
      <c r="AY86" s="120" t="str">
        <f>IF(ISTEXT(VLOOKUP(CONCATENATE($A86,"_",AY$3),'Unit List'!$A$14:$H$2841,2,FALSE)),"X",$AX86)</f>
        <v/>
      </c>
      <c r="AZ86" s="122" t="str">
        <f>IF(ISTEXT(VLOOKUP(CONCATENATE($A86,"_",AZ$3),'Unit List'!$A$14:$H$2841,2,FALSE)),"X",$AX86)</f>
        <v/>
      </c>
      <c r="BA86" s="182" t="str">
        <f>IF(ISTEXT(VLOOKUP(CONCATENATE($A86,"_",BA$3),'Unit List'!$A$14:$H$2841,2,FALSE)),"+","")</f>
        <v/>
      </c>
      <c r="BB86" s="120" t="str">
        <f>IF(ISTEXT(VLOOKUP(CONCATENATE($A86,"_",BB$3),'Unit List'!$A$14:$H$2841,2,FALSE)),"X",$BA86)</f>
        <v/>
      </c>
      <c r="BC86" s="120" t="str">
        <f>IF(ISTEXT(VLOOKUP(CONCATENATE($A86,"_",BC$3),'Unit List'!$A$14:$H$2841,2,FALSE)),"X",$BA86)</f>
        <v/>
      </c>
      <c r="BD86" s="122" t="str">
        <f>IF(ISTEXT(VLOOKUP(CONCATENATE($A86,"_",BD$3),'Unit List'!$A$14:$H$2841,2,FALSE)),"X",$BA86)</f>
        <v/>
      </c>
      <c r="BE86" s="125" t="str">
        <f>IF(ISTEXT(VLOOKUP(CONCATENATE($A86,"_",BE$3),'Unit List'!$A$14:$H$2841,2,FALSE)),"+","")</f>
        <v/>
      </c>
      <c r="BF86" s="75" t="str">
        <f>IF(ISTEXT(VLOOKUP(CONCATENATE($A86,"_",BF$3),'Unit List'!$A$14:$H$2841,2,FALSE)),"X",$BE86)</f>
        <v/>
      </c>
      <c r="BG86" s="122"/>
      <c r="BH86" s="65" t="s">
        <v>0</v>
      </c>
      <c r="BI86" s="143"/>
      <c r="BJ86" s="144"/>
      <c r="BK86" s="144"/>
      <c r="BL86" s="145"/>
      <c r="BM86" s="145"/>
      <c r="BN86" s="54"/>
      <c r="BO86" s="54"/>
      <c r="BP86" s="54"/>
      <c r="BQ86" s="54"/>
      <c r="BR86" s="54"/>
      <c r="BS86" s="54"/>
      <c r="DZ86" s="55"/>
      <c r="EA86" s="55"/>
    </row>
    <row r="87" spans="1:131" ht="12.75" customHeight="1" x14ac:dyDescent="0.2">
      <c r="A87" s="138" t="s">
        <v>1135</v>
      </c>
      <c r="B87" s="190" t="str">
        <f>IF(ISTEXT(VLOOKUP(CONCATENATE($A87,"_",B$3),'Unit List'!$A$14:$H$2841,2,FALSE)),"+","")</f>
        <v/>
      </c>
      <c r="C87" s="119" t="str">
        <f>IF(ISTEXT(VLOOKUP(CONCATENATE($A87,"_",C$3),'Unit List'!$A$14:$H$2841,2,FALSE)),"X",$B87)</f>
        <v/>
      </c>
      <c r="D87" s="120" t="str">
        <f>IF(ISTEXT(VLOOKUP(CONCATENATE($A87,"_",D$3),'Unit List'!$A$14:$H$2841,2,FALSE)),"X",$B87)</f>
        <v/>
      </c>
      <c r="E87" s="120" t="str">
        <f>IF(ISTEXT(VLOOKUP(CONCATENATE($A87,"_",E$3),'Unit List'!$A$14:$H$2841,2,FALSE)),"X",$B87)</f>
        <v/>
      </c>
      <c r="F87" s="120" t="str">
        <f>IF(ISTEXT(VLOOKUP(CONCATENATE($A87,"_",F$3),'Unit List'!$A$14:$H$2841,2,FALSE)),"X",$B87)</f>
        <v/>
      </c>
      <c r="G87" s="120" t="str">
        <f>IF(ISTEXT(VLOOKUP(CONCATENATE($A87,"_",G$3),'Unit List'!$A$14:$H$2841,2,FALSE)),"X",$B87)</f>
        <v/>
      </c>
      <c r="H87" s="120" t="str">
        <f>IF(ISTEXT(VLOOKUP(CONCATENATE($A87,"_",H$3),'Unit List'!$A$14:$H$2841,2,FALSE)),"X",$B87)</f>
        <v/>
      </c>
      <c r="I87" s="122" t="str">
        <f>IF(ISTEXT(VLOOKUP(CONCATENATE($A87,"_",I$3),'Unit List'!$A$14:$H$2841,2,FALSE)),"X",$B87)</f>
        <v/>
      </c>
      <c r="J87" s="172" t="str">
        <f>IF(ISTEXT(VLOOKUP(CONCATENATE($A87,"_",J$3),'Unit List'!$A$14:$H$2841,2,FALSE)),"+","")</f>
        <v/>
      </c>
      <c r="K87" s="120" t="str">
        <f>IF(ISTEXT(VLOOKUP(CONCATENATE($A87,"_",K$3),'Unit List'!$A$14:$H$2841,2,FALSE)),"X",$J87)</f>
        <v/>
      </c>
      <c r="L87" s="75" t="str">
        <f>IF(ISTEXT(VLOOKUP(CONCATENATE($A87,"_",L$3),'Unit List'!$A$14:$H$2841,2,FALSE)),"X",$J87)</f>
        <v/>
      </c>
      <c r="M87" s="172" t="str">
        <f>IF(ISTEXT(VLOOKUP(CONCATENATE($A87,"_",M$3),'Unit List'!$A$14:$H$2841,2,FALSE)),"+","")</f>
        <v/>
      </c>
      <c r="N87" s="120" t="str">
        <f>IF(ISTEXT(VLOOKUP(CONCATENATE($A87,"_",N$3),'Unit List'!$A$14:$H$2841,2,FALSE)),"X",$M87)</f>
        <v/>
      </c>
      <c r="O87" s="122" t="str">
        <f>IF(ISTEXT(VLOOKUP(CONCATENATE($A87,"_",O$3),'Unit List'!$A$14:$H$2841,2,FALSE)),"X",$M87)</f>
        <v/>
      </c>
      <c r="P87" s="172" t="str">
        <f>IF(ISTEXT(VLOOKUP(CONCATENATE($A87,"_",P$3),'Unit List'!$A$14:$H$2841,2,FALSE)),"+","")</f>
        <v/>
      </c>
      <c r="Q87" s="120" t="str">
        <f>IF(ISTEXT(VLOOKUP(CONCATENATE($A87,"_",Q$3),'Unit List'!$A$14:$H$2841,2,FALSE)),"X",$P87)</f>
        <v/>
      </c>
      <c r="R87" s="120" t="str">
        <f>IF(ISTEXT(VLOOKUP(CONCATENATE($A87,"_",R$3),'Unit List'!$A$14:$H$2841,2,FALSE)),"X",$P87)</f>
        <v/>
      </c>
      <c r="S87" s="120" t="str">
        <f>IF(ISTEXT(VLOOKUP(CONCATENATE($A87,"_",S$3),'Unit List'!$A$14:$H$2841,2,FALSE)),"X",$P87)</f>
        <v/>
      </c>
      <c r="T87" s="121" t="str">
        <f>IF(ISTEXT(VLOOKUP(CONCATENATE($A87,"_",T$3),'Unit List'!$A$14:$H$2841,2,FALSE)),"X",$P87)</f>
        <v/>
      </c>
      <c r="U87" s="120" t="str">
        <f>IF(ISTEXT(VLOOKUP(CONCATENATE($A87,"_",U$3),'Unit List'!$A$14:$H$2841,2,FALSE)),"X",$P87)</f>
        <v>X</v>
      </c>
      <c r="V87" s="120" t="str">
        <f>IF(ISTEXT(VLOOKUP(CONCATENATE($A87,"_",V$3),'Unit List'!$A$14:$H$2841,2,FALSE)),"X",$P87)</f>
        <v/>
      </c>
      <c r="W87" s="122" t="str">
        <f>IF(ISTEXT(VLOOKUP(CONCATENATE($A87,"_",W$3),'Unit List'!$A$14:$H$2841,2,FALSE)),"X",$P87)</f>
        <v/>
      </c>
      <c r="X87" s="172" t="str">
        <f>IF(ISTEXT(VLOOKUP(CONCATENATE($A87,"_",X$3),'Unit List'!$A$14:$H$2841,2,FALSE)),"+","")</f>
        <v/>
      </c>
      <c r="Y87" s="120" t="str">
        <f>IF(ISTEXT(VLOOKUP(CONCATENATE($A87,"_",Y$3),'Unit List'!$A$14:$H$2841,2,FALSE)),"X",$X87)</f>
        <v/>
      </c>
      <c r="Z87" s="120" t="str">
        <f>IF(ISTEXT(VLOOKUP(CONCATENATE($A87,"_",Z$3),'Unit List'!$A$14:$H$2841,2,FALSE)),"X",$X87)</f>
        <v/>
      </c>
      <c r="AA87" s="120" t="str">
        <f>IF(ISTEXT(VLOOKUP(CONCATENATE($A87,"_",AA$3),'Unit List'!$A$14:$H$2841,2,FALSE)),"X",$X87)</f>
        <v/>
      </c>
      <c r="AB87" s="120" t="str">
        <f>IF(ISTEXT(VLOOKUP(CONCATENATE($A87,"_",AB$3),'Unit List'!$A$14:$H$2841,2,FALSE)),"X",$X87)</f>
        <v/>
      </c>
      <c r="AC87" s="75" t="str">
        <f>IF(ISTEXT(VLOOKUP(CONCATENATE($A87,"_",AC$3),'Unit List'!$A$14:$H$2841,2,FALSE)),"X",$X87)</f>
        <v/>
      </c>
      <c r="AD87" s="172" t="str">
        <f>IF(ISTEXT(VLOOKUP(CONCATENATE($A87,"_",AD$3),'Unit List'!$A$14:$H$2841,2,FALSE)),"+","")</f>
        <v/>
      </c>
      <c r="AE87" s="120" t="str">
        <f>IF(ISTEXT(VLOOKUP(CONCATENATE($A87,"_",AE$3),'Unit List'!$A$14:$H$2841,2,FALSE)),"X",$AD87)</f>
        <v/>
      </c>
      <c r="AF87" s="120" t="str">
        <f>IF(ISTEXT(VLOOKUP(CONCATENATE($A87,"_",AF$3),'Unit List'!$A$14:$H$2841,2,FALSE)),"X",$AD87)</f>
        <v/>
      </c>
      <c r="AG87" s="172" t="str">
        <f>IF(ISTEXT(VLOOKUP(CONCATENATE($A87,"_",AG$3),'Unit List'!$A$14:$H$2841,2,FALSE)),"+","")</f>
        <v/>
      </c>
      <c r="AH87" s="120" t="str">
        <f>IF(ISTEXT(VLOOKUP(CONCATENATE($A87,"_",AH$3),'Unit List'!$A$14:$H$2841,2,FALSE)),"X",$AG87)</f>
        <v/>
      </c>
      <c r="AI87" s="120" t="str">
        <f>IF(ISTEXT(VLOOKUP(CONCATENATE($A87,"_",AI$3),'Unit List'!$A$14:$H$2841,2,FALSE)),"X",$AG87)</f>
        <v/>
      </c>
      <c r="AJ87" s="122" t="str">
        <f>IF(ISTEXT(VLOOKUP(CONCATENATE($A87,"_",AJ$3),'Unit List'!$A$14:$H$2841,2,FALSE)),"X",$AG87)</f>
        <v/>
      </c>
      <c r="AK87" s="172" t="str">
        <f>IF(ISTEXT(VLOOKUP(CONCATENATE($A87,"_",AK$3),'Unit List'!$A$14:$H$2841,2,FALSE)),"+","")</f>
        <v/>
      </c>
      <c r="AL87" s="121" t="str">
        <f>IF(ISTEXT(VLOOKUP(CONCATENATE($A87,"_",AL$3),'Unit List'!$A$14:$H$2841,2,FALSE)),"X",$AK87)</f>
        <v/>
      </c>
      <c r="AM87" s="122" t="str">
        <f>IF(ISTEXT(VLOOKUP(CONCATENATE($A87,"_",AM$3),'Unit List'!$A$14:$H$2841,2,FALSE)),"X",$AK87)</f>
        <v/>
      </c>
      <c r="AN87" s="125" t="str">
        <f>IF(ISTEXT(VLOOKUP(CONCATENATE($A87,"_",AN$3),'Unit List'!$A$14:$H$2841,2,FALSE)),"+","")</f>
        <v/>
      </c>
      <c r="AO87" s="122" t="str">
        <f>IF(ISTEXT(VLOOKUP(CONCATENATE($A87,"_",AO$3),'Unit List'!$A$14:$H$2841,2,FALSE)),"X",$AN87)</f>
        <v/>
      </c>
      <c r="AP87" s="172" t="str">
        <f>IF(ISTEXT(VLOOKUP(CONCATENATE($A87,"_",AP$3),'Unit List'!$A$14:$H$2841,2,FALSE)),"+","")</f>
        <v/>
      </c>
      <c r="AQ87" s="120" t="str">
        <f>IF(ISTEXT(VLOOKUP(CONCATENATE($A87,"_",AQ$3),'Unit List'!$A$14:$H$2841,2,FALSE)),"X",$AP87)</f>
        <v/>
      </c>
      <c r="AR87" s="120" t="str">
        <f>IF(ISTEXT(VLOOKUP(CONCATENATE($A87,"_",AR$3),'Unit List'!$A$14:$H$2841,2,FALSE)),"X",$AP87)</f>
        <v/>
      </c>
      <c r="AS87" s="120" t="str">
        <f>IF(ISTEXT(VLOOKUP(CONCATENATE($A87,"_",AS$3),'Unit List'!$A$14:$H$2841,2,FALSE)),"X",$AP87)</f>
        <v/>
      </c>
      <c r="AT87" s="146" t="s">
        <v>0</v>
      </c>
      <c r="AU87" s="124" t="str">
        <f>IF(ISTEXT(VLOOKUP(CONCATENATE($A87,"_",AU$3),'Unit List'!$A$14:$H$2841,2,FALSE)),"+","")</f>
        <v/>
      </c>
      <c r="AV87" s="120" t="str">
        <f>IF(ISTEXT(VLOOKUP(CONCATENATE($A87,"_",AV$3),'Unit List'!$A$14:$H$2841,2,FALSE)),"X",$AU87)</f>
        <v/>
      </c>
      <c r="AW87" s="122" t="str">
        <f>IF(ISTEXT(VLOOKUP(CONCATENATE($A87,"_",AW$3),'Unit List'!$A$14:$H$2841,2,FALSE)),"X",$AU87)</f>
        <v/>
      </c>
      <c r="AX87" s="172" t="str">
        <f>IF(ISTEXT(VLOOKUP(CONCATENATE($A87,"_",AX$3),'Unit List'!$A$14:$H$2841,2,FALSE)),"+","")</f>
        <v/>
      </c>
      <c r="AY87" s="120" t="str">
        <f>IF(ISTEXT(VLOOKUP(CONCATENATE($A87,"_",AY$3),'Unit List'!$A$14:$H$2841,2,FALSE)),"X",$AX87)</f>
        <v/>
      </c>
      <c r="AZ87" s="122" t="str">
        <f>IF(ISTEXT(VLOOKUP(CONCATENATE($A87,"_",AZ$3),'Unit List'!$A$14:$H$2841,2,FALSE)),"X",$AX87)</f>
        <v/>
      </c>
      <c r="BA87" s="182" t="str">
        <f>IF(ISTEXT(VLOOKUP(CONCATENATE($A87,"_",BA$3),'Unit List'!$A$14:$H$2841,2,FALSE)),"+","")</f>
        <v/>
      </c>
      <c r="BB87" s="120" t="str">
        <f>IF(ISTEXT(VLOOKUP(CONCATENATE($A87,"_",BB$3),'Unit List'!$A$14:$H$2841,2,FALSE)),"X",$BA87)</f>
        <v/>
      </c>
      <c r="BC87" s="120" t="str">
        <f>IF(ISTEXT(VLOOKUP(CONCATENATE($A87,"_",BC$3),'Unit List'!$A$14:$H$2841,2,FALSE)),"X",$BA87)</f>
        <v/>
      </c>
      <c r="BD87" s="122" t="str">
        <f>IF(ISTEXT(VLOOKUP(CONCATENATE($A87,"_",BD$3),'Unit List'!$A$14:$H$2841,2,FALSE)),"X",$BA87)</f>
        <v/>
      </c>
      <c r="BE87" s="125" t="str">
        <f>IF(ISTEXT(VLOOKUP(CONCATENATE($A87,"_",BE$3),'Unit List'!$A$14:$H$2841,2,FALSE)),"+","")</f>
        <v/>
      </c>
      <c r="BF87" s="75" t="str">
        <f>IF(ISTEXT(VLOOKUP(CONCATENATE($A87,"_",BF$3),'Unit List'!$A$14:$H$2841,2,FALSE)),"X",$BE87)</f>
        <v/>
      </c>
      <c r="BG87" s="122"/>
      <c r="BH87" s="84"/>
      <c r="BI87" s="143"/>
      <c r="BJ87" s="144"/>
      <c r="BK87" s="144"/>
      <c r="BL87" s="145"/>
      <c r="BM87" s="145"/>
      <c r="BN87" s="54"/>
      <c r="BO87" s="54"/>
      <c r="BP87" s="54"/>
      <c r="BQ87" s="54"/>
      <c r="BR87" s="54"/>
      <c r="BS87" s="54"/>
      <c r="DZ87" s="55"/>
      <c r="EA87" s="55"/>
    </row>
    <row r="88" spans="1:131" ht="12.75" customHeight="1" x14ac:dyDescent="0.2">
      <c r="A88" s="138" t="s">
        <v>1136</v>
      </c>
      <c r="B88" s="190" t="str">
        <f>IF(ISTEXT(VLOOKUP(CONCATENATE($A88,"_",B$3),'Unit List'!$A$14:$H$2841,2,FALSE)),"+","")</f>
        <v/>
      </c>
      <c r="C88" s="119" t="str">
        <f>IF(ISTEXT(VLOOKUP(CONCATENATE($A88,"_",C$3),'Unit List'!$A$14:$H$2841,2,FALSE)),"X",$B88)</f>
        <v/>
      </c>
      <c r="D88" s="120" t="str">
        <f>IF(ISTEXT(VLOOKUP(CONCATENATE($A88,"_",D$3),'Unit List'!$A$14:$H$2841,2,FALSE)),"X",$B88)</f>
        <v/>
      </c>
      <c r="E88" s="120" t="str">
        <f>IF(ISTEXT(VLOOKUP(CONCATENATE($A88,"_",E$3),'Unit List'!$A$14:$H$2841,2,FALSE)),"X",$B88)</f>
        <v/>
      </c>
      <c r="F88" s="120" t="str">
        <f>IF(ISTEXT(VLOOKUP(CONCATENATE($A88,"_",F$3),'Unit List'!$A$14:$H$2841,2,FALSE)),"X",$B88)</f>
        <v/>
      </c>
      <c r="G88" s="120" t="str">
        <f>IF(ISTEXT(VLOOKUP(CONCATENATE($A88,"_",G$3),'Unit List'!$A$14:$H$2841,2,FALSE)),"X",$B88)</f>
        <v/>
      </c>
      <c r="H88" s="120" t="str">
        <f>IF(ISTEXT(VLOOKUP(CONCATENATE($A88,"_",H$3),'Unit List'!$A$14:$H$2841,2,FALSE)),"X",$B88)</f>
        <v/>
      </c>
      <c r="I88" s="122" t="str">
        <f>IF(ISTEXT(VLOOKUP(CONCATENATE($A88,"_",I$3),'Unit List'!$A$14:$H$2841,2,FALSE)),"X",$B88)</f>
        <v/>
      </c>
      <c r="J88" s="172" t="str">
        <f>IF(ISTEXT(VLOOKUP(CONCATENATE($A88,"_",J$3),'Unit List'!$A$14:$H$2841,2,FALSE)),"+","")</f>
        <v/>
      </c>
      <c r="K88" s="120" t="str">
        <f>IF(ISTEXT(VLOOKUP(CONCATENATE($A88,"_",K$3),'Unit List'!$A$14:$H$2841,2,FALSE)),"X",$J88)</f>
        <v/>
      </c>
      <c r="L88" s="75" t="str">
        <f>IF(ISTEXT(VLOOKUP(CONCATENATE($A88,"_",L$3),'Unit List'!$A$14:$H$2841,2,FALSE)),"X",$J88)</f>
        <v/>
      </c>
      <c r="M88" s="172" t="str">
        <f>IF(ISTEXT(VLOOKUP(CONCATENATE($A88,"_",M$3),'Unit List'!$A$14:$H$2841,2,FALSE)),"+","")</f>
        <v/>
      </c>
      <c r="N88" s="120" t="str">
        <f>IF(ISTEXT(VLOOKUP(CONCATENATE($A88,"_",N$3),'Unit List'!$A$14:$H$2841,2,FALSE)),"X",$M88)</f>
        <v/>
      </c>
      <c r="O88" s="122" t="str">
        <f>IF(ISTEXT(VLOOKUP(CONCATENATE($A88,"_",O$3),'Unit List'!$A$14:$H$2841,2,FALSE)),"X",$M88)</f>
        <v/>
      </c>
      <c r="P88" s="172" t="str">
        <f>IF(ISTEXT(VLOOKUP(CONCATENATE($A88,"_",P$3),'Unit List'!$A$14:$H$2841,2,FALSE)),"+","")</f>
        <v/>
      </c>
      <c r="Q88" s="120" t="str">
        <f>IF(ISTEXT(VLOOKUP(CONCATENATE($A88,"_",Q$3),'Unit List'!$A$14:$H$2841,2,FALSE)),"X",$P88)</f>
        <v/>
      </c>
      <c r="R88" s="120" t="str">
        <f>IF(ISTEXT(VLOOKUP(CONCATENATE($A88,"_",R$3),'Unit List'!$A$14:$H$2841,2,FALSE)),"X",$P88)</f>
        <v/>
      </c>
      <c r="S88" s="120" t="str">
        <f>IF(ISTEXT(VLOOKUP(CONCATENATE($A88,"_",S$3),'Unit List'!$A$14:$H$2841,2,FALSE)),"X",$P88)</f>
        <v/>
      </c>
      <c r="T88" s="121" t="str">
        <f>IF(ISTEXT(VLOOKUP(CONCATENATE($A88,"_",T$3),'Unit List'!$A$14:$H$2841,2,FALSE)),"X",$P88)</f>
        <v/>
      </c>
      <c r="U88" s="120" t="str">
        <f>IF(ISTEXT(VLOOKUP(CONCATENATE($A88,"_",U$3),'Unit List'!$A$14:$H$2841,2,FALSE)),"X",$P88)</f>
        <v/>
      </c>
      <c r="V88" s="120" t="str">
        <f>IF(ISTEXT(VLOOKUP(CONCATENATE($A88,"_",V$3),'Unit List'!$A$14:$H$2841,2,FALSE)),"X",$P88)</f>
        <v/>
      </c>
      <c r="W88" s="122" t="str">
        <f>IF(ISTEXT(VLOOKUP(CONCATENATE($A88,"_",W$3),'Unit List'!$A$14:$H$2841,2,FALSE)),"X",$P88)</f>
        <v/>
      </c>
      <c r="X88" s="172" t="str">
        <f>IF(ISTEXT(VLOOKUP(CONCATENATE($A88,"_",X$3),'Unit List'!$A$14:$H$2841,2,FALSE)),"+","")</f>
        <v/>
      </c>
      <c r="Y88" s="120" t="str">
        <f>IF(ISTEXT(VLOOKUP(CONCATENATE($A88,"_",Y$3),'Unit List'!$A$14:$H$2841,2,FALSE)),"X",$X88)</f>
        <v/>
      </c>
      <c r="Z88" s="120" t="str">
        <f>IF(ISTEXT(VLOOKUP(CONCATENATE($A88,"_",Z$3),'Unit List'!$A$14:$H$2841,2,FALSE)),"X",$X88)</f>
        <v/>
      </c>
      <c r="AA88" s="120" t="str">
        <f>IF(ISTEXT(VLOOKUP(CONCATENATE($A88,"_",AA$3),'Unit List'!$A$14:$H$2841,2,FALSE)),"X",$X88)</f>
        <v/>
      </c>
      <c r="AB88" s="120" t="str">
        <f>IF(ISTEXT(VLOOKUP(CONCATENATE($A88,"_",AB$3),'Unit List'!$A$14:$H$2841,2,FALSE)),"X",$X88)</f>
        <v/>
      </c>
      <c r="AC88" s="75" t="str">
        <f>IF(ISTEXT(VLOOKUP(CONCATENATE($A88,"_",AC$3),'Unit List'!$A$14:$H$2841,2,FALSE)),"X",$X88)</f>
        <v/>
      </c>
      <c r="AD88" s="172" t="str">
        <f>IF(ISTEXT(VLOOKUP(CONCATENATE($A88,"_",AD$3),'Unit List'!$A$14:$H$2841,2,FALSE)),"+","")</f>
        <v/>
      </c>
      <c r="AE88" s="120" t="str">
        <f>IF(ISTEXT(VLOOKUP(CONCATENATE($A88,"_",AE$3),'Unit List'!$A$14:$H$2841,2,FALSE)),"X",$AD88)</f>
        <v/>
      </c>
      <c r="AF88" s="120" t="str">
        <f>IF(ISTEXT(VLOOKUP(CONCATENATE($A88,"_",AF$3),'Unit List'!$A$14:$H$2841,2,FALSE)),"X",$AD88)</f>
        <v/>
      </c>
      <c r="AG88" s="172" t="str">
        <f>IF(ISTEXT(VLOOKUP(CONCATENATE($A88,"_",AG$3),'Unit List'!$A$14:$H$2841,2,FALSE)),"+","")</f>
        <v/>
      </c>
      <c r="AH88" s="120" t="str">
        <f>IF(ISTEXT(VLOOKUP(CONCATENATE($A88,"_",AH$3),'Unit List'!$A$14:$H$2841,2,FALSE)),"X",$AG88)</f>
        <v/>
      </c>
      <c r="AI88" s="120" t="str">
        <f>IF(ISTEXT(VLOOKUP(CONCATENATE($A88,"_",AI$3),'Unit List'!$A$14:$H$2841,2,FALSE)),"X",$AG88)</f>
        <v/>
      </c>
      <c r="AJ88" s="122" t="str">
        <f>IF(ISTEXT(VLOOKUP(CONCATENATE($A88,"_",AJ$3),'Unit List'!$A$14:$H$2841,2,FALSE)),"X",$AG88)</f>
        <v/>
      </c>
      <c r="AK88" s="172" t="str">
        <f>IF(ISTEXT(VLOOKUP(CONCATENATE($A88,"_",AK$3),'Unit List'!$A$14:$H$2841,2,FALSE)),"+","")</f>
        <v/>
      </c>
      <c r="AL88" s="121" t="str">
        <f>IF(ISTEXT(VLOOKUP(CONCATENATE($A88,"_",AL$3),'Unit List'!$A$14:$H$2841,2,FALSE)),"X",$AK88)</f>
        <v/>
      </c>
      <c r="AM88" s="122" t="str">
        <f>IF(ISTEXT(VLOOKUP(CONCATENATE($A88,"_",AM$3),'Unit List'!$A$14:$H$2841,2,FALSE)),"X",$AK88)</f>
        <v/>
      </c>
      <c r="AN88" s="125" t="str">
        <f>IF(ISTEXT(VLOOKUP(CONCATENATE($A88,"_",AN$3),'Unit List'!$A$14:$H$2841,2,FALSE)),"+","")</f>
        <v/>
      </c>
      <c r="AO88" s="122" t="str">
        <f>IF(ISTEXT(VLOOKUP(CONCATENATE($A88,"_",AO$3),'Unit List'!$A$14:$H$2841,2,FALSE)),"X",$AN88)</f>
        <v/>
      </c>
      <c r="AP88" s="172" t="str">
        <f>IF(ISTEXT(VLOOKUP(CONCATENATE($A88,"_",AP$3),'Unit List'!$A$14:$H$2841,2,FALSE)),"+","")</f>
        <v/>
      </c>
      <c r="AQ88" s="120" t="str">
        <f>IF(ISTEXT(VLOOKUP(CONCATENATE($A88,"_",AQ$3),'Unit List'!$A$14:$H$2841,2,FALSE)),"X",$AP88)</f>
        <v/>
      </c>
      <c r="AR88" s="120" t="str">
        <f>IF(ISTEXT(VLOOKUP(CONCATENATE($A88,"_",AR$3),'Unit List'!$A$14:$H$2841,2,FALSE)),"X",$AP88)</f>
        <v/>
      </c>
      <c r="AS88" s="120" t="str">
        <f>IF(ISTEXT(VLOOKUP(CONCATENATE($A88,"_",AS$3),'Unit List'!$A$14:$H$2841,2,FALSE)),"X",$AP88)</f>
        <v/>
      </c>
      <c r="AT88" s="122" t="str">
        <f>IF(ISTEXT(VLOOKUP(CONCATENATE($A88,"_",AT$3),'Unit List'!$A$14:$H$2841,2,FALSE)),"X",$AP88)</f>
        <v/>
      </c>
      <c r="AU88" s="124" t="str">
        <f>IF(ISTEXT(VLOOKUP(CONCATENATE($A88,"_",AU$3),'Unit List'!$A$14:$H$2841,2,FALSE)),"+","")</f>
        <v/>
      </c>
      <c r="AV88" s="120" t="str">
        <f>IF(ISTEXT(VLOOKUP(CONCATENATE($A88,"_",AV$3),'Unit List'!$A$14:$H$2841,2,FALSE)),"X",$AU88)</f>
        <v/>
      </c>
      <c r="AW88" s="122" t="str">
        <f>IF(ISTEXT(VLOOKUP(CONCATENATE($A88,"_",AW$3),'Unit List'!$A$14:$H$2841,2,FALSE)),"X",$AU88)</f>
        <v/>
      </c>
      <c r="AX88" s="172" t="str">
        <f>IF(ISTEXT(VLOOKUP(CONCATENATE($A88,"_",AX$3),'Unit List'!$A$14:$H$2841,2,FALSE)),"+","")</f>
        <v/>
      </c>
      <c r="AY88" s="120" t="str">
        <f>IF(ISTEXT(VLOOKUP(CONCATENATE($A88,"_",AY$3),'Unit List'!$A$14:$H$2841,2,FALSE)),"X",$AX88)</f>
        <v/>
      </c>
      <c r="AZ88" s="122" t="str">
        <f>IF(ISTEXT(VLOOKUP(CONCATENATE($A88,"_",AZ$3),'Unit List'!$A$14:$H$2841,2,FALSE)),"X",$AX88)</f>
        <v/>
      </c>
      <c r="BA88" s="182" t="str">
        <f>IF(ISTEXT(VLOOKUP(CONCATENATE($A88,"_",BA$3),'Unit List'!$A$14:$H$2841,2,FALSE)),"+","")</f>
        <v/>
      </c>
      <c r="BB88" s="120" t="str">
        <f>IF(ISTEXT(VLOOKUP(CONCATENATE($A88,"_",BB$3),'Unit List'!$A$14:$H$2841,2,FALSE)),"X",$BA88)</f>
        <v/>
      </c>
      <c r="BC88" s="120" t="str">
        <f>IF(ISTEXT(VLOOKUP(CONCATENATE($A88,"_",BC$3),'Unit List'!$A$14:$H$2841,2,FALSE)),"X",$BA88)</f>
        <v/>
      </c>
      <c r="BD88" s="122" t="str">
        <f>IF(ISTEXT(VLOOKUP(CONCATENATE($A88,"_",BD$3),'Unit List'!$A$14:$H$2841,2,FALSE)),"X",$BA88)</f>
        <v/>
      </c>
      <c r="BE88" s="125" t="str">
        <f>IF(ISTEXT(VLOOKUP(CONCATENATE($A88,"_",BE$3),'Unit List'!$A$14:$H$2841,2,FALSE)),"+","")</f>
        <v/>
      </c>
      <c r="BF88" s="75" t="str">
        <f>IF(ISTEXT(VLOOKUP(CONCATENATE($A88,"_",BF$3),'Unit List'!$A$14:$H$2841,2,FALSE)),"X",$BE88)</f>
        <v/>
      </c>
      <c r="BG88" s="122"/>
      <c r="BH88" s="84"/>
      <c r="BI88" s="143"/>
      <c r="BJ88" s="144"/>
      <c r="BK88" s="144"/>
      <c r="BL88" s="145"/>
      <c r="BM88" s="145"/>
      <c r="BN88" s="54"/>
      <c r="BO88" s="54"/>
      <c r="BP88" s="54"/>
      <c r="BQ88" s="54"/>
      <c r="BR88" s="54"/>
      <c r="BS88" s="54"/>
      <c r="DZ88" s="55"/>
      <c r="EA88" s="55"/>
    </row>
    <row r="89" spans="1:131" ht="12.75" customHeight="1" x14ac:dyDescent="0.2">
      <c r="A89" s="138" t="s">
        <v>1122</v>
      </c>
      <c r="B89" s="181" t="str">
        <f>IF(ISTEXT(VLOOKUP(CONCATENATE($A89,"_",B$3),'Unit List'!$A$14:$H$2841,2,FALSE)),"+","")</f>
        <v/>
      </c>
      <c r="C89" s="119" t="str">
        <f>IF(ISTEXT(VLOOKUP(CONCATENATE($A89,"_",C$3),'Unit List'!$A$14:$H$2841,2,FALSE)),"X",$B89)</f>
        <v/>
      </c>
      <c r="D89" s="120" t="str">
        <f>IF(ISTEXT(VLOOKUP(CONCATENATE($A89,"_",D$3),'Unit List'!$A$14:$H$2841,2,FALSE)),"X",$B89)</f>
        <v/>
      </c>
      <c r="E89" s="120" t="str">
        <f>IF(ISTEXT(VLOOKUP(CONCATENATE($A89,"_",E$3),'Unit List'!$A$14:$H$2841,2,FALSE)),"X",$B89)</f>
        <v/>
      </c>
      <c r="F89" s="120" t="str">
        <f>IF(ISTEXT(VLOOKUP(CONCATENATE($A89,"_",F$3),'Unit List'!$A$14:$H$2841,2,FALSE)),"X",$B89)</f>
        <v/>
      </c>
      <c r="G89" s="120" t="str">
        <f>IF(ISTEXT(VLOOKUP(CONCATENATE($A89,"_",G$3),'Unit List'!$A$14:$H$2841,2,FALSE)),"X",$B89)</f>
        <v/>
      </c>
      <c r="H89" s="120" t="str">
        <f>IF(ISTEXT(VLOOKUP(CONCATENATE($A89,"_",H$3),'Unit List'!$A$14:$H$2841,2,FALSE)),"X",$B89)</f>
        <v/>
      </c>
      <c r="I89" s="122" t="str">
        <f>IF(ISTEXT(VLOOKUP(CONCATENATE($A89,"_",I$3),'Unit List'!$A$14:$H$2841,2,FALSE)),"X",$B89)</f>
        <v/>
      </c>
      <c r="J89" s="172" t="str">
        <f>IF(ISTEXT(VLOOKUP(CONCATENATE($A89,"_",J$3),'Unit List'!$A$14:$H$2841,2,FALSE)),"+","")</f>
        <v/>
      </c>
      <c r="K89" s="120" t="str">
        <f>IF(ISTEXT(VLOOKUP(CONCATENATE($A89,"_",K$3),'Unit List'!$A$14:$H$2841,2,FALSE)),"X",$J89)</f>
        <v/>
      </c>
      <c r="L89" s="75" t="str">
        <f>IF(ISTEXT(VLOOKUP(CONCATENATE($A89,"_",L$3),'Unit List'!$A$14:$H$2841,2,FALSE)),"X",$J89)</f>
        <v/>
      </c>
      <c r="M89" s="172" t="str">
        <f>IF(ISTEXT(VLOOKUP(CONCATENATE($A89,"_",M$3),'Unit List'!$A$14:$H$2841,2,FALSE)),"+","")</f>
        <v/>
      </c>
      <c r="N89" s="120" t="str">
        <f>IF(ISTEXT(VLOOKUP(CONCATENATE($A89,"_",N$3),'Unit List'!$A$14:$H$2841,2,FALSE)),"X",$M89)</f>
        <v/>
      </c>
      <c r="O89" s="122" t="str">
        <f>IF(ISTEXT(VLOOKUP(CONCATENATE($A89,"_",O$3),'Unit List'!$A$14:$H$2841,2,FALSE)),"X",$M89)</f>
        <v/>
      </c>
      <c r="P89" s="172" t="str">
        <f>IF(ISTEXT(VLOOKUP(CONCATENATE($A89,"_",P$3),'Unit List'!$A$14:$H$2841,2,FALSE)),"+","")</f>
        <v/>
      </c>
      <c r="Q89" s="120" t="str">
        <f>IF(ISTEXT(VLOOKUP(CONCATENATE($A89,"_",Q$3),'Unit List'!$A$14:$H$2841,2,FALSE)),"X",$P89)</f>
        <v/>
      </c>
      <c r="R89" s="120" t="str">
        <f>IF(ISTEXT(VLOOKUP(CONCATENATE($A89,"_",R$3),'Unit List'!$A$14:$H$2841,2,FALSE)),"X",$P89)</f>
        <v/>
      </c>
      <c r="S89" s="120" t="str">
        <f>IF(ISTEXT(VLOOKUP(CONCATENATE($A89,"_",S$3),'Unit List'!$A$14:$H$2841,2,FALSE)),"X",$P89)</f>
        <v/>
      </c>
      <c r="T89" s="121" t="str">
        <f>IF(ISTEXT(VLOOKUP(CONCATENATE($A89,"_",T$3),'Unit List'!$A$14:$H$2841,2,FALSE)),"X",$P89)</f>
        <v/>
      </c>
      <c r="U89" s="120" t="str">
        <f>IF(ISTEXT(VLOOKUP(CONCATENATE($A89,"_",U$3),'Unit List'!$A$14:$H$2841,2,FALSE)),"X",$P89)</f>
        <v/>
      </c>
      <c r="V89" s="120" t="str">
        <f>IF(ISTEXT(VLOOKUP(CONCATENATE($A89,"_",V$3),'Unit List'!$A$14:$H$2841,2,FALSE)),"X",$P89)</f>
        <v/>
      </c>
      <c r="W89" s="122" t="str">
        <f>IF(ISTEXT(VLOOKUP(CONCATENATE($A89,"_",W$3),'Unit List'!$A$14:$H$2841,2,FALSE)),"X",$P89)</f>
        <v/>
      </c>
      <c r="X89" s="172" t="str">
        <f>IF(ISTEXT(VLOOKUP(CONCATENATE($A89,"_",X$3),'Unit List'!$A$14:$H$2841,2,FALSE)),"+","")</f>
        <v/>
      </c>
      <c r="Y89" s="120" t="str">
        <f>IF(ISTEXT(VLOOKUP(CONCATENATE($A89,"_",Y$3),'Unit List'!$A$14:$H$2841,2,FALSE)),"X",$X89)</f>
        <v/>
      </c>
      <c r="Z89" s="120" t="str">
        <f>IF(ISTEXT(VLOOKUP(CONCATENATE($A89,"_",Z$3),'Unit List'!$A$14:$H$2841,2,FALSE)),"X",$X89)</f>
        <v/>
      </c>
      <c r="AA89" s="120" t="str">
        <f>IF(ISTEXT(VLOOKUP(CONCATENATE($A89,"_",AA$3),'Unit List'!$A$14:$H$2841,2,FALSE)),"X",$X89)</f>
        <v/>
      </c>
      <c r="AB89" s="120" t="str">
        <f>IF(ISTEXT(VLOOKUP(CONCATENATE($A89,"_",AB$3),'Unit List'!$A$14:$H$2841,2,FALSE)),"X",$X89)</f>
        <v/>
      </c>
      <c r="AC89" s="75" t="str">
        <f>IF(ISTEXT(VLOOKUP(CONCATENATE($A89,"_",AC$3),'Unit List'!$A$14:$H$2841,2,FALSE)),"X",$X89)</f>
        <v/>
      </c>
      <c r="AD89" s="172" t="str">
        <f>IF(ISTEXT(VLOOKUP(CONCATENATE($A89,"_",AD$3),'Unit List'!$A$14:$H$2841,2,FALSE)),"+","")</f>
        <v/>
      </c>
      <c r="AE89" s="120" t="str">
        <f>IF(ISTEXT(VLOOKUP(CONCATENATE($A89,"_",AE$3),'Unit List'!$A$14:$H$2841,2,FALSE)),"X",$AD89)</f>
        <v/>
      </c>
      <c r="AF89" s="120" t="str">
        <f>IF(ISTEXT(VLOOKUP(CONCATENATE($A89,"_",AF$3),'Unit List'!$A$14:$H$2841,2,FALSE)),"X",$AD89)</f>
        <v/>
      </c>
      <c r="AG89" s="172" t="str">
        <f>IF(ISTEXT(VLOOKUP(CONCATENATE($A89,"_",AG$3),'Unit List'!$A$14:$H$2841,2,FALSE)),"+","")</f>
        <v/>
      </c>
      <c r="AH89" s="120" t="str">
        <f>IF(ISTEXT(VLOOKUP(CONCATENATE($A89,"_",AH$3),'Unit List'!$A$14:$H$2841,2,FALSE)),"X",$AG89)</f>
        <v/>
      </c>
      <c r="AI89" s="120" t="str">
        <f>IF(ISTEXT(VLOOKUP(CONCATENATE($A89,"_",AI$3),'Unit List'!$A$14:$H$2841,2,FALSE)),"X",$AG89)</f>
        <v/>
      </c>
      <c r="AJ89" s="122" t="str">
        <f>IF(ISTEXT(VLOOKUP(CONCATENATE($A89,"_",AJ$3),'Unit List'!$A$14:$H$2841,2,FALSE)),"X",$AG89)</f>
        <v/>
      </c>
      <c r="AK89" s="172" t="str">
        <f>IF(ISTEXT(VLOOKUP(CONCATENATE($A89,"_",AK$3),'Unit List'!$A$14:$H$2841,2,FALSE)),"+","")</f>
        <v/>
      </c>
      <c r="AL89" s="121" t="str">
        <f>IF(ISTEXT(VLOOKUP(CONCATENATE($A89,"_",AL$3),'Unit List'!$A$14:$H$2841,2,FALSE)),"X",$AK89)</f>
        <v/>
      </c>
      <c r="AM89" s="122" t="str">
        <f>IF(ISTEXT(VLOOKUP(CONCATENATE($A89,"_",AM$3),'Unit List'!$A$14:$H$2841,2,FALSE)),"X",$AK89)</f>
        <v/>
      </c>
      <c r="AN89" s="125" t="str">
        <f>IF(ISTEXT(VLOOKUP(CONCATENATE($A89,"_",AN$3),'Unit List'!$A$14:$H$2841,2,FALSE)),"+","")</f>
        <v/>
      </c>
      <c r="AO89" s="122" t="str">
        <f>IF(ISTEXT(VLOOKUP(CONCATENATE($A89,"_",AO$3),'Unit List'!$A$14:$H$2841,2,FALSE)),"X",$AN89)</f>
        <v/>
      </c>
      <c r="AP89" s="172" t="str">
        <f>IF(ISTEXT(VLOOKUP(CONCATENATE($A89,"_",AP$3),'Unit List'!$A$14:$H$2841,2,FALSE)),"+","")</f>
        <v/>
      </c>
      <c r="AQ89" s="120" t="str">
        <f>IF(ISTEXT(VLOOKUP(CONCATENATE($A89,"_",AQ$3),'Unit List'!$A$14:$H$2841,2,FALSE)),"X",$AP89)</f>
        <v/>
      </c>
      <c r="AR89" s="120" t="str">
        <f>IF(ISTEXT(VLOOKUP(CONCATENATE($A89,"_",AR$3),'Unit List'!$A$14:$H$2841,2,FALSE)),"X",$AP89)</f>
        <v/>
      </c>
      <c r="AS89" s="120" t="str">
        <f>IF(ISTEXT(VLOOKUP(CONCATENATE($A89,"_",AS$3),'Unit List'!$A$14:$H$2841,2,FALSE)),"X",$AP89)</f>
        <v/>
      </c>
      <c r="AT89" s="122" t="str">
        <f>IF(ISTEXT(VLOOKUP(CONCATENATE($A89,"_",AT$3),'Unit List'!$A$14:$H$2841,2,FALSE)),"X",$AP89)</f>
        <v/>
      </c>
      <c r="AU89" s="124" t="str">
        <f>IF(ISTEXT(VLOOKUP(CONCATENATE($A89,"_",AU$3),'Unit List'!$A$14:$H$2841,2,FALSE)),"+","")</f>
        <v/>
      </c>
      <c r="AV89" s="120" t="str">
        <f>IF(ISTEXT(VLOOKUP(CONCATENATE($A89,"_",AV$3),'Unit List'!$A$14:$H$2841,2,FALSE)),"X",$AU89)</f>
        <v/>
      </c>
      <c r="AW89" s="122" t="str">
        <f>IF(ISTEXT(VLOOKUP(CONCATENATE($A89,"_",AW$3),'Unit List'!$A$14:$H$2841,2,FALSE)),"X",$AU89)</f>
        <v/>
      </c>
      <c r="AX89" s="172" t="str">
        <f>IF(ISTEXT(VLOOKUP(CONCATENATE($A89,"_",AX$3),'Unit List'!$A$14:$H$2841,2,FALSE)),"+","")</f>
        <v/>
      </c>
      <c r="AY89" s="120" t="str">
        <f>IF(ISTEXT(VLOOKUP(CONCATENATE($A89,"_",AY$3),'Unit List'!$A$14:$H$2841,2,FALSE)),"X",$AX89)</f>
        <v/>
      </c>
      <c r="AZ89" s="122" t="str">
        <f>IF(ISTEXT(VLOOKUP(CONCATENATE($A89,"_",AZ$3),'Unit List'!$A$14:$H$2841,2,FALSE)),"X",$AX89)</f>
        <v/>
      </c>
      <c r="BA89" s="182" t="str">
        <f>IF(ISTEXT(VLOOKUP(CONCATENATE($A89,"_",BA$3),'Unit List'!$A$14:$H$2841,2,FALSE)),"+","")</f>
        <v/>
      </c>
      <c r="BB89" s="120" t="str">
        <f>IF(ISTEXT(VLOOKUP(CONCATENATE($A89,"_",BB$3),'Unit List'!$A$14:$H$2841,2,FALSE)),"X",$BA89)</f>
        <v/>
      </c>
      <c r="BC89" s="120" t="str">
        <f>IF(ISTEXT(VLOOKUP(CONCATENATE($A89,"_",BC$3),'Unit List'!$A$14:$H$2841,2,FALSE)),"X",$BA89)</f>
        <v/>
      </c>
      <c r="BD89" s="122" t="str">
        <f>IF(ISTEXT(VLOOKUP(CONCATENATE($A89,"_",BD$3),'Unit List'!$A$14:$H$2841,2,FALSE)),"X",$BA89)</f>
        <v/>
      </c>
      <c r="BE89" s="125" t="str">
        <f>IF(ISTEXT(VLOOKUP(CONCATENATE($A89,"_",BE$3),'Unit List'!$A$14:$H$2841,2,FALSE)),"+","")</f>
        <v/>
      </c>
      <c r="BF89" s="75" t="str">
        <f>IF(ISTEXT(VLOOKUP(CONCATENATE($A89,"_",BF$3),'Unit List'!$A$14:$H$2841,2,FALSE)),"X",$BE89)</f>
        <v/>
      </c>
      <c r="BG89" s="122"/>
      <c r="BH89" s="84"/>
      <c r="BI89" s="143"/>
      <c r="BJ89" s="144"/>
      <c r="BK89" s="144"/>
      <c r="BL89" s="145"/>
      <c r="BM89" s="145"/>
      <c r="BN89" s="54"/>
      <c r="BO89" s="54"/>
      <c r="BP89" s="54"/>
      <c r="BQ89" s="54"/>
      <c r="BR89" s="54"/>
      <c r="BS89" s="54"/>
      <c r="DZ89" s="55"/>
      <c r="EA89" s="55"/>
    </row>
    <row r="90" spans="1:131" ht="12.75" customHeight="1" x14ac:dyDescent="0.2">
      <c r="A90" s="138" t="s">
        <v>1123</v>
      </c>
      <c r="B90" s="181" t="str">
        <f>IF(ISTEXT(VLOOKUP(CONCATENATE($A90,"_",B$3),'Unit List'!$A$14:$H$2841,2,FALSE)),"+","")</f>
        <v/>
      </c>
      <c r="C90" s="119" t="str">
        <f>IF(ISTEXT(VLOOKUP(CONCATENATE($A90,"_",C$3),'Unit List'!$A$14:$H$2841,2,FALSE)),"X",$B90)</f>
        <v/>
      </c>
      <c r="D90" s="120" t="str">
        <f>IF(ISTEXT(VLOOKUP(CONCATENATE($A90,"_",D$3),'Unit List'!$A$14:$H$2841,2,FALSE)),"X",$B90)</f>
        <v/>
      </c>
      <c r="E90" s="120" t="str">
        <f>IF(ISTEXT(VLOOKUP(CONCATENATE($A90,"_",E$3),'Unit List'!$A$14:$H$2841,2,FALSE)),"X",$B90)</f>
        <v/>
      </c>
      <c r="F90" s="120" t="str">
        <f>IF(ISTEXT(VLOOKUP(CONCATENATE($A90,"_",F$3),'Unit List'!$A$14:$H$2841,2,FALSE)),"X",$B90)</f>
        <v/>
      </c>
      <c r="G90" s="120" t="str">
        <f>IF(ISTEXT(VLOOKUP(CONCATENATE($A90,"_",G$3),'Unit List'!$A$14:$H$2841,2,FALSE)),"X",$B90)</f>
        <v/>
      </c>
      <c r="H90" s="120" t="str">
        <f>IF(ISTEXT(VLOOKUP(CONCATENATE($A90,"_",H$3),'Unit List'!$A$14:$H$2841,2,FALSE)),"X",$B90)</f>
        <v/>
      </c>
      <c r="I90" s="122" t="str">
        <f>IF(ISTEXT(VLOOKUP(CONCATENATE($A90,"_",I$3),'Unit List'!$A$14:$H$2841,2,FALSE)),"X",$B90)</f>
        <v/>
      </c>
      <c r="J90" s="172" t="str">
        <f>IF(ISTEXT(VLOOKUP(CONCATENATE($A90,"_",J$3),'Unit List'!$A$14:$H$2841,2,FALSE)),"+","")</f>
        <v/>
      </c>
      <c r="K90" s="120" t="str">
        <f>IF(ISTEXT(VLOOKUP(CONCATENATE($A90,"_",K$3),'Unit List'!$A$14:$H$2841,2,FALSE)),"X",$J90)</f>
        <v/>
      </c>
      <c r="L90" s="75" t="str">
        <f>IF(ISTEXT(VLOOKUP(CONCATENATE($A90,"_",L$3),'Unit List'!$A$14:$H$2841,2,FALSE)),"X",$J90)</f>
        <v/>
      </c>
      <c r="M90" s="172" t="str">
        <f>IF(ISTEXT(VLOOKUP(CONCATENATE($A90,"_",M$3),'Unit List'!$A$14:$H$2841,2,FALSE)),"+","")</f>
        <v/>
      </c>
      <c r="N90" s="120" t="str">
        <f>IF(ISTEXT(VLOOKUP(CONCATENATE($A90,"_",N$3),'Unit List'!$A$14:$H$2841,2,FALSE)),"X",$M90)</f>
        <v/>
      </c>
      <c r="O90" s="122" t="str">
        <f>IF(ISTEXT(VLOOKUP(CONCATENATE($A90,"_",O$3),'Unit List'!$A$14:$H$2841,2,FALSE)),"X",$M90)</f>
        <v/>
      </c>
      <c r="P90" s="172" t="str">
        <f>IF(ISTEXT(VLOOKUP(CONCATENATE($A90,"_",P$3),'Unit List'!$A$14:$H$2841,2,FALSE)),"+","")</f>
        <v/>
      </c>
      <c r="Q90" s="120" t="str">
        <f>IF(ISTEXT(VLOOKUP(CONCATENATE($A90,"_",Q$3),'Unit List'!$A$14:$H$2841,2,FALSE)),"X",$P90)</f>
        <v/>
      </c>
      <c r="R90" s="120" t="str">
        <f>IF(ISTEXT(VLOOKUP(CONCATENATE($A90,"_",R$3),'Unit List'!$A$14:$H$2841,2,FALSE)),"X",$P90)</f>
        <v/>
      </c>
      <c r="S90" s="120" t="str">
        <f>IF(ISTEXT(VLOOKUP(CONCATENATE($A90,"_",S$3),'Unit List'!$A$14:$H$2841,2,FALSE)),"X",$P90)</f>
        <v/>
      </c>
      <c r="T90" s="121" t="str">
        <f>IF(ISTEXT(VLOOKUP(CONCATENATE($A90,"_",T$3),'Unit List'!$A$14:$H$2841,2,FALSE)),"X",$P90)</f>
        <v/>
      </c>
      <c r="U90" s="120" t="str">
        <f>IF(ISTEXT(VLOOKUP(CONCATENATE($A90,"_",U$3),'Unit List'!$A$14:$H$2841,2,FALSE)),"X",$P90)</f>
        <v/>
      </c>
      <c r="V90" s="120" t="str">
        <f>IF(ISTEXT(VLOOKUP(CONCATENATE($A90,"_",V$3),'Unit List'!$A$14:$H$2841,2,FALSE)),"X",$P90)</f>
        <v/>
      </c>
      <c r="W90" s="122" t="str">
        <f>IF(ISTEXT(VLOOKUP(CONCATENATE($A90,"_",W$3),'Unit List'!$A$14:$H$2841,2,FALSE)),"X",$P90)</f>
        <v/>
      </c>
      <c r="X90" s="172" t="str">
        <f>IF(ISTEXT(VLOOKUP(CONCATENATE($A90,"_",X$3),'Unit List'!$A$14:$H$2841,2,FALSE)),"+","")</f>
        <v/>
      </c>
      <c r="Y90" s="120" t="str">
        <f>IF(ISTEXT(VLOOKUP(CONCATENATE($A90,"_",Y$3),'Unit List'!$A$14:$H$2841,2,FALSE)),"X",$X90)</f>
        <v/>
      </c>
      <c r="Z90" s="120" t="str">
        <f>IF(ISTEXT(VLOOKUP(CONCATENATE($A90,"_",Z$3),'Unit List'!$A$14:$H$2841,2,FALSE)),"X",$X90)</f>
        <v/>
      </c>
      <c r="AA90" s="120" t="str">
        <f>IF(ISTEXT(VLOOKUP(CONCATENATE($A90,"_",AA$3),'Unit List'!$A$14:$H$2841,2,FALSE)),"X",$X90)</f>
        <v/>
      </c>
      <c r="AB90" s="120" t="str">
        <f>IF(ISTEXT(VLOOKUP(CONCATENATE($A90,"_",AB$3),'Unit List'!$A$14:$H$2841,2,FALSE)),"X",$X90)</f>
        <v/>
      </c>
      <c r="AC90" s="75" t="str">
        <f>IF(ISTEXT(VLOOKUP(CONCATENATE($A90,"_",AC$3),'Unit List'!$A$14:$H$2841,2,FALSE)),"X",$X90)</f>
        <v/>
      </c>
      <c r="AD90" s="172" t="str">
        <f>IF(ISTEXT(VLOOKUP(CONCATENATE($A90,"_",AD$3),'Unit List'!$A$14:$H$2841,2,FALSE)),"+","")</f>
        <v/>
      </c>
      <c r="AE90" s="120" t="str">
        <f>IF(ISTEXT(VLOOKUP(CONCATENATE($A90,"_",AE$3),'Unit List'!$A$14:$H$2841,2,FALSE)),"X",$AD90)</f>
        <v/>
      </c>
      <c r="AF90" s="120" t="str">
        <f>IF(ISTEXT(VLOOKUP(CONCATENATE($A90,"_",AF$3),'Unit List'!$A$14:$H$2841,2,FALSE)),"X",$AD90)</f>
        <v/>
      </c>
      <c r="AG90" s="172" t="str">
        <f>IF(ISTEXT(VLOOKUP(CONCATENATE($A90,"_",AG$3),'Unit List'!$A$14:$H$2841,2,FALSE)),"+","")</f>
        <v/>
      </c>
      <c r="AH90" s="120" t="str">
        <f>IF(ISTEXT(VLOOKUP(CONCATENATE($A90,"_",AH$3),'Unit List'!$A$14:$H$2841,2,FALSE)),"X",$AG90)</f>
        <v/>
      </c>
      <c r="AI90" s="120" t="str">
        <f>IF(ISTEXT(VLOOKUP(CONCATENATE($A90,"_",AI$3),'Unit List'!$A$14:$H$2841,2,FALSE)),"X",$AG90)</f>
        <v/>
      </c>
      <c r="AJ90" s="122" t="str">
        <f>IF(ISTEXT(VLOOKUP(CONCATENATE($A90,"_",AJ$3),'Unit List'!$A$14:$H$2841,2,FALSE)),"X",$AG90)</f>
        <v/>
      </c>
      <c r="AK90" s="172" t="str">
        <f>IF(ISTEXT(VLOOKUP(CONCATENATE($A90,"_",AK$3),'Unit List'!$A$14:$H$2841,2,FALSE)),"+","")</f>
        <v/>
      </c>
      <c r="AL90" s="121" t="str">
        <f>IF(ISTEXT(VLOOKUP(CONCATENATE($A90,"_",AL$3),'Unit List'!$A$14:$H$2841,2,FALSE)),"X",$AK90)</f>
        <v/>
      </c>
      <c r="AM90" s="122" t="str">
        <f>IF(ISTEXT(VLOOKUP(CONCATENATE($A90,"_",AM$3),'Unit List'!$A$14:$H$2841,2,FALSE)),"X",$AK90)</f>
        <v/>
      </c>
      <c r="AN90" s="125" t="str">
        <f>IF(ISTEXT(VLOOKUP(CONCATENATE($A90,"_",AN$3),'Unit List'!$A$14:$H$2841,2,FALSE)),"+","")</f>
        <v/>
      </c>
      <c r="AO90" s="122" t="str">
        <f>IF(ISTEXT(VLOOKUP(CONCATENATE($A90,"_",AO$3),'Unit List'!$A$14:$H$2841,2,FALSE)),"X",$AN90)</f>
        <v/>
      </c>
      <c r="AP90" s="172" t="str">
        <f>IF(ISTEXT(VLOOKUP(CONCATENATE($A90,"_",AP$3),'Unit List'!$A$14:$H$2841,2,FALSE)),"+","")</f>
        <v/>
      </c>
      <c r="AQ90" s="120" t="str">
        <f>IF(ISTEXT(VLOOKUP(CONCATENATE($A90,"_",AQ$3),'Unit List'!$A$14:$H$2841,2,FALSE)),"X",$AP90)</f>
        <v/>
      </c>
      <c r="AR90" s="120" t="str">
        <f>IF(ISTEXT(VLOOKUP(CONCATENATE($A90,"_",AR$3),'Unit List'!$A$14:$H$2841,2,FALSE)),"X",$AP90)</f>
        <v/>
      </c>
      <c r="AS90" s="120" t="str">
        <f>IF(ISTEXT(VLOOKUP(CONCATENATE($A90,"_",AS$3),'Unit List'!$A$14:$H$2841,2,FALSE)),"X",$AP90)</f>
        <v/>
      </c>
      <c r="AT90" s="122" t="str">
        <f>IF(ISTEXT(VLOOKUP(CONCATENATE($A90,"_",AT$3),'Unit List'!$A$14:$H$2841,2,FALSE)),"X",$AP90)</f>
        <v/>
      </c>
      <c r="AU90" s="124" t="str">
        <f>IF(ISTEXT(VLOOKUP(CONCATENATE($A90,"_",AU$3),'Unit List'!$A$14:$H$2841,2,FALSE)),"+","")</f>
        <v/>
      </c>
      <c r="AV90" s="120" t="str">
        <f>IF(ISTEXT(VLOOKUP(CONCATENATE($A90,"_",AV$3),'Unit List'!$A$14:$H$2841,2,FALSE)),"X",$AU90)</f>
        <v/>
      </c>
      <c r="AW90" s="122" t="str">
        <f>IF(ISTEXT(VLOOKUP(CONCATENATE($A90,"_",AW$3),'Unit List'!$A$14:$H$2841,2,FALSE)),"X",$AU90)</f>
        <v/>
      </c>
      <c r="AX90" s="172" t="str">
        <f>IF(ISTEXT(VLOOKUP(CONCATENATE($A90,"_",AX$3),'Unit List'!$A$14:$H$2841,2,FALSE)),"+","")</f>
        <v/>
      </c>
      <c r="AY90" s="120" t="str">
        <f>IF(ISTEXT(VLOOKUP(CONCATENATE($A90,"_",AY$3),'Unit List'!$A$14:$H$2841,2,FALSE)),"X",$AX90)</f>
        <v/>
      </c>
      <c r="AZ90" s="122" t="str">
        <f>IF(ISTEXT(VLOOKUP(CONCATENATE($A90,"_",AZ$3),'Unit List'!$A$14:$H$2841,2,FALSE)),"X",$AX90)</f>
        <v/>
      </c>
      <c r="BA90" s="182" t="str">
        <f>IF(ISTEXT(VLOOKUP(CONCATENATE($A90,"_",BA$3),'Unit List'!$A$14:$H$2841,2,FALSE)),"+","")</f>
        <v/>
      </c>
      <c r="BB90" s="120" t="str">
        <f>IF(ISTEXT(VLOOKUP(CONCATENATE($A90,"_",BB$3),'Unit List'!$A$14:$H$2841,2,FALSE)),"X",$BA90)</f>
        <v/>
      </c>
      <c r="BC90" s="120" t="str">
        <f>IF(ISTEXT(VLOOKUP(CONCATENATE($A90,"_",BC$3),'Unit List'!$A$14:$H$2841,2,FALSE)),"X",$BA90)</f>
        <v/>
      </c>
      <c r="BD90" s="122" t="str">
        <f>IF(ISTEXT(VLOOKUP(CONCATENATE($A90,"_",BD$3),'Unit List'!$A$14:$H$2841,2,FALSE)),"X",$BA90)</f>
        <v/>
      </c>
      <c r="BE90" s="125" t="str">
        <f>IF(ISTEXT(VLOOKUP(CONCATENATE($A90,"_",BE$3),'Unit List'!$A$14:$H$2841,2,FALSE)),"+","")</f>
        <v/>
      </c>
      <c r="BF90" s="75" t="str">
        <f>IF(ISTEXT(VLOOKUP(CONCATENATE($A90,"_",BF$3),'Unit List'!$A$14:$H$2841,2,FALSE)),"X",$BE90)</f>
        <v/>
      </c>
      <c r="BG90" s="122"/>
      <c r="BH90" s="84"/>
      <c r="BI90" s="143"/>
      <c r="BJ90" s="144"/>
      <c r="BK90" s="144"/>
      <c r="BL90" s="145"/>
      <c r="BM90" s="145"/>
      <c r="BN90" s="54"/>
      <c r="BO90" s="54"/>
      <c r="BP90" s="54"/>
      <c r="BQ90" s="54"/>
      <c r="BR90" s="54"/>
      <c r="BS90" s="54"/>
      <c r="DZ90" s="55"/>
      <c r="EA90" s="55"/>
    </row>
    <row r="91" spans="1:131" ht="12.75" customHeight="1" x14ac:dyDescent="0.2">
      <c r="A91" s="138" t="s">
        <v>1132</v>
      </c>
      <c r="B91" s="181" t="str">
        <f>IF(ISTEXT(VLOOKUP(CONCATENATE($A91,"_",B$3),'Unit List'!$A$14:$H$2841,2,FALSE)),"+","")</f>
        <v/>
      </c>
      <c r="C91" s="119" t="str">
        <f>IF(ISTEXT(VLOOKUP(CONCATENATE($A91,"_",C$3),'Unit List'!$A$14:$H$2841,2,FALSE)),"X",$B91)</f>
        <v/>
      </c>
      <c r="D91" s="120" t="str">
        <f>IF(ISTEXT(VLOOKUP(CONCATENATE($A91,"_",D$3),'Unit List'!$A$14:$H$2841,2,FALSE)),"X",$B91)</f>
        <v/>
      </c>
      <c r="E91" s="120" t="str">
        <f>IF(ISTEXT(VLOOKUP(CONCATENATE($A91,"_",E$3),'Unit List'!$A$14:$H$2841,2,FALSE)),"X",$B91)</f>
        <v/>
      </c>
      <c r="F91" s="120" t="str">
        <f>IF(ISTEXT(VLOOKUP(CONCATENATE($A91,"_",F$3),'Unit List'!$A$14:$H$2841,2,FALSE)),"X",$B91)</f>
        <v/>
      </c>
      <c r="G91" s="120" t="str">
        <f>IF(ISTEXT(VLOOKUP(CONCATENATE($A91,"_",G$3),'Unit List'!$A$14:$H$2841,2,FALSE)),"X",$B91)</f>
        <v/>
      </c>
      <c r="H91" s="120" t="str">
        <f>IF(ISTEXT(VLOOKUP(CONCATENATE($A91,"_",H$3),'Unit List'!$A$14:$H$2841,2,FALSE)),"X",$B91)</f>
        <v/>
      </c>
      <c r="I91" s="122" t="str">
        <f>IF(ISTEXT(VLOOKUP(CONCATENATE($A91,"_",I$3),'Unit List'!$A$14:$H$2841,2,FALSE)),"X",$B91)</f>
        <v/>
      </c>
      <c r="J91" s="172" t="str">
        <f>IF(ISTEXT(VLOOKUP(CONCATENATE($A91,"_",J$3),'Unit List'!$A$14:$H$2841,2,FALSE)),"+","")</f>
        <v/>
      </c>
      <c r="K91" s="120" t="str">
        <f>IF(ISTEXT(VLOOKUP(CONCATENATE($A91,"_",K$3),'Unit List'!$A$14:$H$2841,2,FALSE)),"X",$J91)</f>
        <v/>
      </c>
      <c r="L91" s="75" t="str">
        <f>IF(ISTEXT(VLOOKUP(CONCATENATE($A91,"_",L$3),'Unit List'!$A$14:$H$2841,2,FALSE)),"X",$J91)</f>
        <v/>
      </c>
      <c r="M91" s="172" t="str">
        <f>IF(ISTEXT(VLOOKUP(CONCATENATE($A91,"_",M$3),'Unit List'!$A$14:$H$2841,2,FALSE)),"+","")</f>
        <v/>
      </c>
      <c r="N91" s="120" t="str">
        <f>IF(ISTEXT(VLOOKUP(CONCATENATE($A91,"_",N$3),'Unit List'!$A$14:$H$2841,2,FALSE)),"X",$M91)</f>
        <v/>
      </c>
      <c r="O91" s="122" t="str">
        <f>IF(ISTEXT(VLOOKUP(CONCATENATE($A91,"_",O$3),'Unit List'!$A$14:$H$2841,2,FALSE)),"X",$M91)</f>
        <v/>
      </c>
      <c r="P91" s="172" t="str">
        <f>IF(ISTEXT(VLOOKUP(CONCATENATE($A91,"_",P$3),'Unit List'!$A$14:$H$2841,2,FALSE)),"+","")</f>
        <v/>
      </c>
      <c r="Q91" s="120" t="str">
        <f>IF(ISTEXT(VLOOKUP(CONCATENATE($A91,"_",Q$3),'Unit List'!$A$14:$H$2841,2,FALSE)),"X",$P91)</f>
        <v/>
      </c>
      <c r="R91" s="120" t="str">
        <f>IF(ISTEXT(VLOOKUP(CONCATENATE($A91,"_",R$3),'Unit List'!$A$14:$H$2841,2,FALSE)),"X",$P91)</f>
        <v/>
      </c>
      <c r="S91" s="120" t="str">
        <f>IF(ISTEXT(VLOOKUP(CONCATENATE($A91,"_",S$3),'Unit List'!$A$14:$H$2841,2,FALSE)),"X",$P91)</f>
        <v/>
      </c>
      <c r="T91" s="121" t="str">
        <f>IF(ISTEXT(VLOOKUP(CONCATENATE($A91,"_",T$3),'Unit List'!$A$14:$H$2841,2,FALSE)),"X",$P91)</f>
        <v/>
      </c>
      <c r="U91" s="120" t="str">
        <f>IF(ISTEXT(VLOOKUP(CONCATENATE($A91,"_",U$3),'Unit List'!$A$14:$H$2841,2,FALSE)),"X",$P91)</f>
        <v/>
      </c>
      <c r="V91" s="120" t="str">
        <f>IF(ISTEXT(VLOOKUP(CONCATENATE($A91,"_",V$3),'Unit List'!$A$14:$H$2841,2,FALSE)),"X",$P91)</f>
        <v/>
      </c>
      <c r="W91" s="122" t="str">
        <f>IF(ISTEXT(VLOOKUP(CONCATENATE($A91,"_",W$3),'Unit List'!$A$14:$H$2841,2,FALSE)),"X",$P91)</f>
        <v/>
      </c>
      <c r="X91" s="172" t="str">
        <f>IF(ISTEXT(VLOOKUP(CONCATENATE($A91,"_",X$3),'Unit List'!$A$14:$H$2841,2,FALSE)),"+","")</f>
        <v/>
      </c>
      <c r="Y91" s="120" t="str">
        <f>IF(ISTEXT(VLOOKUP(CONCATENATE($A91,"_",Y$3),'Unit List'!$A$14:$H$2841,2,FALSE)),"X",$X91)</f>
        <v/>
      </c>
      <c r="Z91" s="120" t="str">
        <f>IF(ISTEXT(VLOOKUP(CONCATENATE($A91,"_",Z$3),'Unit List'!$A$14:$H$2841,2,FALSE)),"X",$X91)</f>
        <v/>
      </c>
      <c r="AA91" s="120" t="str">
        <f>IF(ISTEXT(VLOOKUP(CONCATENATE($A91,"_",AA$3),'Unit List'!$A$14:$H$2841,2,FALSE)),"X",$X91)</f>
        <v/>
      </c>
      <c r="AB91" s="120" t="str">
        <f>IF(ISTEXT(VLOOKUP(CONCATENATE($A91,"_",AB$3),'Unit List'!$A$14:$H$2841,2,FALSE)),"X",$X91)</f>
        <v/>
      </c>
      <c r="AC91" s="75" t="str">
        <f>IF(ISTEXT(VLOOKUP(CONCATENATE($A91,"_",AC$3),'Unit List'!$A$14:$H$2841,2,FALSE)),"X",$X91)</f>
        <v/>
      </c>
      <c r="AD91" s="172" t="str">
        <f>IF(ISTEXT(VLOOKUP(CONCATENATE($A91,"_",AD$3),'Unit List'!$A$14:$H$2841,2,FALSE)),"+","")</f>
        <v/>
      </c>
      <c r="AE91" s="120" t="str">
        <f>IF(ISTEXT(VLOOKUP(CONCATENATE($A91,"_",AE$3),'Unit List'!$A$14:$H$2841,2,FALSE)),"X",$AD91)</f>
        <v/>
      </c>
      <c r="AF91" s="120" t="str">
        <f>IF(ISTEXT(VLOOKUP(CONCATENATE($A91,"_",AF$3),'Unit List'!$A$14:$H$2841,2,FALSE)),"X",$AD91)</f>
        <v/>
      </c>
      <c r="AG91" s="172" t="str">
        <f>IF(ISTEXT(VLOOKUP(CONCATENATE($A91,"_",AG$3),'Unit List'!$A$14:$H$2841,2,FALSE)),"+","")</f>
        <v/>
      </c>
      <c r="AH91" s="120" t="str">
        <f>IF(ISTEXT(VLOOKUP(CONCATENATE($A91,"_",AH$3),'Unit List'!$A$14:$H$2841,2,FALSE)),"X",$AG91)</f>
        <v/>
      </c>
      <c r="AI91" s="120" t="str">
        <f>IF(ISTEXT(VLOOKUP(CONCATENATE($A91,"_",AI$3),'Unit List'!$A$14:$H$2841,2,FALSE)),"X",$AG91)</f>
        <v/>
      </c>
      <c r="AJ91" s="122" t="str">
        <f>IF(ISTEXT(VLOOKUP(CONCATENATE($A91,"_",AJ$3),'Unit List'!$A$14:$H$2841,2,FALSE)),"X",$AG91)</f>
        <v/>
      </c>
      <c r="AK91" s="172" t="str">
        <f>IF(ISTEXT(VLOOKUP(CONCATENATE($A91,"_",AK$3),'Unit List'!$A$14:$H$2841,2,FALSE)),"+","")</f>
        <v/>
      </c>
      <c r="AL91" s="121" t="str">
        <f>IF(ISTEXT(VLOOKUP(CONCATENATE($A91,"_",AL$3),'Unit List'!$A$14:$H$2841,2,FALSE)),"X",$AK91)</f>
        <v/>
      </c>
      <c r="AM91" s="122" t="str">
        <f>IF(ISTEXT(VLOOKUP(CONCATENATE($A91,"_",AM$3),'Unit List'!$A$14:$H$2841,2,FALSE)),"X",$AK91)</f>
        <v/>
      </c>
      <c r="AN91" s="125" t="str">
        <f>IF(ISTEXT(VLOOKUP(CONCATENATE($A91,"_",AN$3),'Unit List'!$A$14:$H$2841,2,FALSE)),"+","")</f>
        <v/>
      </c>
      <c r="AO91" s="122" t="str">
        <f>IF(ISTEXT(VLOOKUP(CONCATENATE($A91,"_",AO$3),'Unit List'!$A$14:$H$2841,2,FALSE)),"X",$AN91)</f>
        <v/>
      </c>
      <c r="AP91" s="172" t="str">
        <f>IF(ISTEXT(VLOOKUP(CONCATENATE($A91,"_",AP$3),'Unit List'!$A$14:$H$2841,2,FALSE)),"+","")</f>
        <v/>
      </c>
      <c r="AQ91" s="120" t="str">
        <f>IF(ISTEXT(VLOOKUP(CONCATENATE($A91,"_",AQ$3),'Unit List'!$A$14:$H$2841,2,FALSE)),"X",$AP91)</f>
        <v/>
      </c>
      <c r="AR91" s="120" t="str">
        <f>IF(ISTEXT(VLOOKUP(CONCATENATE($A91,"_",AR$3),'Unit List'!$A$14:$H$2841,2,FALSE)),"X",$AP91)</f>
        <v/>
      </c>
      <c r="AS91" s="120" t="str">
        <f>IF(ISTEXT(VLOOKUP(CONCATENATE($A91,"_",AS$3),'Unit List'!$A$14:$H$2841,2,FALSE)),"X",$AP91)</f>
        <v/>
      </c>
      <c r="AT91" s="122" t="str">
        <f>IF(ISTEXT(VLOOKUP(CONCATENATE($A91,"_",AT$3),'Unit List'!$A$14:$H$2841,2,FALSE)),"X",$AP91)</f>
        <v/>
      </c>
      <c r="AU91" s="124" t="str">
        <f>IF(ISTEXT(VLOOKUP(CONCATENATE($A91,"_",AU$3),'Unit List'!$A$14:$H$2841,2,FALSE)),"+","")</f>
        <v/>
      </c>
      <c r="AV91" s="120" t="str">
        <f>IF(ISTEXT(VLOOKUP(CONCATENATE($A91,"_",AV$3),'Unit List'!$A$14:$H$2841,2,FALSE)),"X",$AU91)</f>
        <v/>
      </c>
      <c r="AW91" s="122" t="str">
        <f>IF(ISTEXT(VLOOKUP(CONCATENATE($A91,"_",AW$3),'Unit List'!$A$14:$H$2841,2,FALSE)),"X",$AU91)</f>
        <v/>
      </c>
      <c r="AX91" s="172" t="str">
        <f>IF(ISTEXT(VLOOKUP(CONCATENATE($A91,"_",AX$3),'Unit List'!$A$14:$H$2841,2,FALSE)),"+","")</f>
        <v/>
      </c>
      <c r="AY91" s="120" t="str">
        <f>IF(ISTEXT(VLOOKUP(CONCATENATE($A91,"_",AY$3),'Unit List'!$A$14:$H$2841,2,FALSE)),"X",$AX91)</f>
        <v/>
      </c>
      <c r="AZ91" s="122" t="str">
        <f>IF(ISTEXT(VLOOKUP(CONCATENATE($A91,"_",AZ$3),'Unit List'!$A$14:$H$2841,2,FALSE)),"X",$AX91)</f>
        <v/>
      </c>
      <c r="BA91" s="182" t="str">
        <f>IF(ISTEXT(VLOOKUP(CONCATENATE($A91,"_",BA$3),'Unit List'!$A$14:$H$2841,2,FALSE)),"+","")</f>
        <v/>
      </c>
      <c r="BB91" s="120" t="str">
        <f>IF(ISTEXT(VLOOKUP(CONCATENATE($A91,"_",BB$3),'Unit List'!$A$14:$H$2841,2,FALSE)),"X",$BA91)</f>
        <v/>
      </c>
      <c r="BC91" s="120" t="str">
        <f>IF(ISTEXT(VLOOKUP(CONCATENATE($A91,"_",BC$3),'Unit List'!$A$14:$H$2841,2,FALSE)),"X",$BA91)</f>
        <v/>
      </c>
      <c r="BD91" s="122" t="str">
        <f>IF(ISTEXT(VLOOKUP(CONCATENATE($A91,"_",BD$3),'Unit List'!$A$14:$H$2841,2,FALSE)),"X",$BA91)</f>
        <v/>
      </c>
      <c r="BE91" s="125" t="str">
        <f>IF(ISTEXT(VLOOKUP(CONCATENATE($A91,"_",BE$3),'Unit List'!$A$14:$H$2841,2,FALSE)),"+","")</f>
        <v/>
      </c>
      <c r="BF91" s="75" t="str">
        <f>IF(ISTEXT(VLOOKUP(CONCATENATE($A91,"_",BF$3),'Unit List'!$A$14:$H$2841,2,FALSE)),"X",$BE91)</f>
        <v/>
      </c>
      <c r="BG91" s="122"/>
      <c r="BH91" s="65" t="s">
        <v>0</v>
      </c>
      <c r="BI91" s="143"/>
      <c r="BJ91" s="144"/>
      <c r="BK91" s="144"/>
      <c r="BL91" s="145"/>
      <c r="BM91" s="145"/>
      <c r="BN91" s="54"/>
      <c r="BO91" s="54"/>
      <c r="BP91" s="54"/>
      <c r="BQ91" s="54"/>
      <c r="BR91" s="54"/>
      <c r="BS91" s="54"/>
      <c r="DZ91" s="55"/>
      <c r="EA91" s="55"/>
    </row>
    <row r="92" spans="1:131" ht="12.75" customHeight="1" x14ac:dyDescent="0.2">
      <c r="A92" s="138" t="s">
        <v>1137</v>
      </c>
      <c r="B92" s="181" t="str">
        <f>IF(ISTEXT(VLOOKUP(CONCATENATE($A92,"_",B$3),'Unit List'!$A$14:$H$2841,2,FALSE)),"+","")</f>
        <v/>
      </c>
      <c r="C92" s="119" t="str">
        <f>IF(ISTEXT(VLOOKUP(CONCATENATE($A92,"_",C$3),'Unit List'!$A$14:$H$2841,2,FALSE)),"X",$B92)</f>
        <v/>
      </c>
      <c r="D92" s="120" t="str">
        <f>IF(ISTEXT(VLOOKUP(CONCATENATE($A92,"_",D$3),'Unit List'!$A$14:$H$2841,2,FALSE)),"X",$B92)</f>
        <v/>
      </c>
      <c r="E92" s="120" t="str">
        <f>IF(ISTEXT(VLOOKUP(CONCATENATE($A92,"_",E$3),'Unit List'!$A$14:$H$2841,2,FALSE)),"X",$B92)</f>
        <v/>
      </c>
      <c r="F92" s="120" t="str">
        <f>IF(ISTEXT(VLOOKUP(CONCATENATE($A92,"_",F$3),'Unit List'!$A$14:$H$2841,2,FALSE)),"X",$B92)</f>
        <v/>
      </c>
      <c r="G92" s="120" t="str">
        <f>IF(ISTEXT(VLOOKUP(CONCATENATE($A92,"_",G$3),'Unit List'!$A$14:$H$2841,2,FALSE)),"X",$B92)</f>
        <v/>
      </c>
      <c r="H92" s="120" t="str">
        <f>IF(ISTEXT(VLOOKUP(CONCATENATE($A92,"_",H$3),'Unit List'!$A$14:$H$2841,2,FALSE)),"X",$B92)</f>
        <v/>
      </c>
      <c r="I92" s="122" t="str">
        <f>IF(ISTEXT(VLOOKUP(CONCATENATE($A92,"_",I$3),'Unit List'!$A$14:$H$2841,2,FALSE)),"X",$B92)</f>
        <v/>
      </c>
      <c r="J92" s="172" t="str">
        <f>IF(ISTEXT(VLOOKUP(CONCATENATE($A92,"_",J$3),'Unit List'!$A$14:$H$2841,2,FALSE)),"+","")</f>
        <v/>
      </c>
      <c r="K92" s="120" t="str">
        <f>IF(ISTEXT(VLOOKUP(CONCATENATE($A92,"_",K$3),'Unit List'!$A$14:$H$2841,2,FALSE)),"X",$J92)</f>
        <v/>
      </c>
      <c r="L92" s="75" t="str">
        <f>IF(ISTEXT(VLOOKUP(CONCATENATE($A92,"_",L$3),'Unit List'!$A$14:$H$2841,2,FALSE)),"X",$J92)</f>
        <v/>
      </c>
      <c r="M92" s="172" t="str">
        <f>IF(ISTEXT(VLOOKUP(CONCATENATE($A92,"_",M$3),'Unit List'!$A$14:$H$2841,2,FALSE)),"+","")</f>
        <v/>
      </c>
      <c r="N92" s="120" t="str">
        <f>IF(ISTEXT(VLOOKUP(CONCATENATE($A92,"_",N$3),'Unit List'!$A$14:$H$2841,2,FALSE)),"X",$M92)</f>
        <v/>
      </c>
      <c r="O92" s="122" t="str">
        <f>IF(ISTEXT(VLOOKUP(CONCATENATE($A92,"_",O$3),'Unit List'!$A$14:$H$2841,2,FALSE)),"X",$M92)</f>
        <v/>
      </c>
      <c r="P92" s="172" t="str">
        <f>IF(ISTEXT(VLOOKUP(CONCATENATE($A92,"_",P$3),'Unit List'!$A$14:$H$2841,2,FALSE)),"+","")</f>
        <v/>
      </c>
      <c r="Q92" s="120" t="str">
        <f>IF(ISTEXT(VLOOKUP(CONCATENATE($A92,"_",Q$3),'Unit List'!$A$14:$H$2841,2,FALSE)),"X",$P92)</f>
        <v/>
      </c>
      <c r="R92" s="120" t="str">
        <f>IF(ISTEXT(VLOOKUP(CONCATENATE($A92,"_",R$3),'Unit List'!$A$14:$H$2841,2,FALSE)),"X",$P92)</f>
        <v/>
      </c>
      <c r="S92" s="120" t="str">
        <f>IF(ISTEXT(VLOOKUP(CONCATENATE($A92,"_",S$3),'Unit List'!$A$14:$H$2841,2,FALSE)),"X",$P92)</f>
        <v/>
      </c>
      <c r="T92" s="121" t="str">
        <f>IF(ISTEXT(VLOOKUP(CONCATENATE($A92,"_",T$3),'Unit List'!$A$14:$H$2841,2,FALSE)),"X",$P92)</f>
        <v/>
      </c>
      <c r="U92" s="120" t="str">
        <f>IF(ISTEXT(VLOOKUP(CONCATENATE($A92,"_",U$3),'Unit List'!$A$14:$H$2841,2,FALSE)),"X",$P92)</f>
        <v/>
      </c>
      <c r="V92" s="120" t="str">
        <f>IF(ISTEXT(VLOOKUP(CONCATENATE($A92,"_",V$3),'Unit List'!$A$14:$H$2841,2,FALSE)),"X",$P92)</f>
        <v/>
      </c>
      <c r="W92" s="122" t="str">
        <f>IF(ISTEXT(VLOOKUP(CONCATENATE($A92,"_",W$3),'Unit List'!$A$14:$H$2841,2,FALSE)),"X",$P92)</f>
        <v/>
      </c>
      <c r="X92" s="172" t="str">
        <f>IF(ISTEXT(VLOOKUP(CONCATENATE($A92,"_",X$3),'Unit List'!$A$14:$H$2841,2,FALSE)),"+","")</f>
        <v/>
      </c>
      <c r="Y92" s="120" t="str">
        <f>IF(ISTEXT(VLOOKUP(CONCATENATE($A92,"_",Y$3),'Unit List'!$A$14:$H$2841,2,FALSE)),"X",$X92)</f>
        <v/>
      </c>
      <c r="Z92" s="120" t="str">
        <f>IF(ISTEXT(VLOOKUP(CONCATENATE($A92,"_",Z$3),'Unit List'!$A$14:$H$2841,2,FALSE)),"X",$X92)</f>
        <v/>
      </c>
      <c r="AA92" s="120" t="str">
        <f>IF(ISTEXT(VLOOKUP(CONCATENATE($A92,"_",AA$3),'Unit List'!$A$14:$H$2841,2,FALSE)),"X",$X92)</f>
        <v/>
      </c>
      <c r="AB92" s="120" t="str">
        <f>IF(ISTEXT(VLOOKUP(CONCATENATE($A92,"_",AB$3),'Unit List'!$A$14:$H$2841,2,FALSE)),"X",$X92)</f>
        <v/>
      </c>
      <c r="AC92" s="75" t="str">
        <f>IF(ISTEXT(VLOOKUP(CONCATENATE($A92,"_",AC$3),'Unit List'!$A$14:$H$2841,2,FALSE)),"X",$X92)</f>
        <v/>
      </c>
      <c r="AD92" s="172" t="str">
        <f>IF(ISTEXT(VLOOKUP(CONCATENATE($A92,"_",AD$3),'Unit List'!$A$14:$H$2841,2,FALSE)),"+","")</f>
        <v/>
      </c>
      <c r="AE92" s="120" t="str">
        <f>IF(ISTEXT(VLOOKUP(CONCATENATE($A92,"_",AE$3),'Unit List'!$A$14:$H$2841,2,FALSE)),"X",$AD92)</f>
        <v/>
      </c>
      <c r="AF92" s="120" t="str">
        <f>IF(ISTEXT(VLOOKUP(CONCATENATE($A92,"_",AF$3),'Unit List'!$A$14:$H$2841,2,FALSE)),"X",$AD92)</f>
        <v/>
      </c>
      <c r="AG92" s="172" t="str">
        <f>IF(ISTEXT(VLOOKUP(CONCATENATE($A92,"_",AG$3),'Unit List'!$A$14:$H$2841,2,FALSE)),"+","")</f>
        <v/>
      </c>
      <c r="AH92" s="120" t="str">
        <f>IF(ISTEXT(VLOOKUP(CONCATENATE($A92,"_",AH$3),'Unit List'!$A$14:$H$2841,2,FALSE)),"X",$AG92)</f>
        <v/>
      </c>
      <c r="AI92" s="120" t="str">
        <f>IF(ISTEXT(VLOOKUP(CONCATENATE($A92,"_",AI$3),'Unit List'!$A$14:$H$2841,2,FALSE)),"X",$AG92)</f>
        <v/>
      </c>
      <c r="AJ92" s="122" t="str">
        <f>IF(ISTEXT(VLOOKUP(CONCATENATE($A92,"_",AJ$3),'Unit List'!$A$14:$H$2841,2,FALSE)),"X",$AG92)</f>
        <v/>
      </c>
      <c r="AK92" s="172" t="str">
        <f>IF(ISTEXT(VLOOKUP(CONCATENATE($A92,"_",AK$3),'Unit List'!$A$14:$H$2841,2,FALSE)),"+","")</f>
        <v/>
      </c>
      <c r="AL92" s="121" t="str">
        <f>IF(ISTEXT(VLOOKUP(CONCATENATE($A92,"_",AL$3),'Unit List'!$A$14:$H$2841,2,FALSE)),"X",$AK92)</f>
        <v/>
      </c>
      <c r="AM92" s="122" t="str">
        <f>IF(ISTEXT(VLOOKUP(CONCATENATE($A92,"_",AM$3),'Unit List'!$A$14:$H$2841,2,FALSE)),"X",$AK92)</f>
        <v/>
      </c>
      <c r="AN92" s="125" t="str">
        <f>IF(ISTEXT(VLOOKUP(CONCATENATE($A92,"_",AN$3),'Unit List'!$A$14:$H$2841,2,FALSE)),"+","")</f>
        <v/>
      </c>
      <c r="AO92" s="122" t="str">
        <f>IF(ISTEXT(VLOOKUP(CONCATENATE($A92,"_",AO$3),'Unit List'!$A$14:$H$2841,2,FALSE)),"X",$AN92)</f>
        <v/>
      </c>
      <c r="AP92" s="172" t="str">
        <f>IF(ISTEXT(VLOOKUP(CONCATENATE($A92,"_",AP$3),'Unit List'!$A$14:$H$2841,2,FALSE)),"+","")</f>
        <v/>
      </c>
      <c r="AQ92" s="120" t="str">
        <f>IF(ISTEXT(VLOOKUP(CONCATENATE($A92,"_",AQ$3),'Unit List'!$A$14:$H$2841,2,FALSE)),"X",$AP92)</f>
        <v/>
      </c>
      <c r="AR92" s="120" t="str">
        <f>IF(ISTEXT(VLOOKUP(CONCATENATE($A92,"_",AR$3),'Unit List'!$A$14:$H$2841,2,FALSE)),"X",$AP92)</f>
        <v/>
      </c>
      <c r="AS92" s="120" t="str">
        <f>IF(ISTEXT(VLOOKUP(CONCATENATE($A92,"_",AS$3),'Unit List'!$A$14:$H$2841,2,FALSE)),"X",$AP92)</f>
        <v/>
      </c>
      <c r="AT92" s="122" t="str">
        <f>IF(ISTEXT(VLOOKUP(CONCATENATE($A92,"_",AT$3),'Unit List'!$A$14:$H$2841,2,FALSE)),"X",$AP92)</f>
        <v/>
      </c>
      <c r="AU92" s="124" t="str">
        <f>IF(ISTEXT(VLOOKUP(CONCATENATE($A92,"_",AU$3),'Unit List'!$A$14:$H$2841,2,FALSE)),"+","")</f>
        <v/>
      </c>
      <c r="AV92" s="120" t="str">
        <f>IF(ISTEXT(VLOOKUP(CONCATENATE($A92,"_",AV$3),'Unit List'!$A$14:$H$2841,2,FALSE)),"X",$AU92)</f>
        <v/>
      </c>
      <c r="AW92" s="122" t="str">
        <f>IF(ISTEXT(VLOOKUP(CONCATENATE($A92,"_",AW$3),'Unit List'!$A$14:$H$2841,2,FALSE)),"X",$AU92)</f>
        <v/>
      </c>
      <c r="AX92" s="172" t="str">
        <f>IF(ISTEXT(VLOOKUP(CONCATENATE($A92,"_",AX$3),'Unit List'!$A$14:$H$2841,2,FALSE)),"+","")</f>
        <v/>
      </c>
      <c r="AY92" s="120" t="str">
        <f>IF(ISTEXT(VLOOKUP(CONCATENATE($A92,"_",AY$3),'Unit List'!$A$14:$H$2841,2,FALSE)),"X",$AX92)</f>
        <v/>
      </c>
      <c r="AZ92" s="122" t="str">
        <f>IF(ISTEXT(VLOOKUP(CONCATENATE($A92,"_",AZ$3),'Unit List'!$A$14:$H$2841,2,FALSE)),"X",$AX92)</f>
        <v/>
      </c>
      <c r="BA92" s="182" t="str">
        <f>IF(ISTEXT(VLOOKUP(CONCATENATE($A92,"_",BA$3),'Unit List'!$A$14:$H$2841,2,FALSE)),"+","")</f>
        <v/>
      </c>
      <c r="BB92" s="120" t="str">
        <f>IF(ISTEXT(VLOOKUP(CONCATENATE($A92,"_",BB$3),'Unit List'!$A$14:$H$2841,2,FALSE)),"X",$BA92)</f>
        <v/>
      </c>
      <c r="BC92" s="120" t="str">
        <f>IF(ISTEXT(VLOOKUP(CONCATENATE($A92,"_",BC$3),'Unit List'!$A$14:$H$2841,2,FALSE)),"X",$BA92)</f>
        <v/>
      </c>
      <c r="BD92" s="122" t="str">
        <f>IF(ISTEXT(VLOOKUP(CONCATENATE($A92,"_",BD$3),'Unit List'!$A$14:$H$2841,2,FALSE)),"X",$BA92)</f>
        <v/>
      </c>
      <c r="BE92" s="125" t="str">
        <f>IF(ISTEXT(VLOOKUP(CONCATENATE($A92,"_",BE$3),'Unit List'!$A$14:$H$2841,2,FALSE)),"+","")</f>
        <v/>
      </c>
      <c r="BF92" s="75" t="str">
        <f>IF(ISTEXT(VLOOKUP(CONCATENATE($A92,"_",BF$3),'Unit List'!$A$14:$H$2841,2,FALSE)),"X",$BE92)</f>
        <v/>
      </c>
      <c r="BG92" s="122"/>
      <c r="BH92" s="65" t="s">
        <v>0</v>
      </c>
      <c r="BI92" s="143"/>
      <c r="BJ92" s="144"/>
      <c r="BK92" s="144"/>
      <c r="BL92" s="145"/>
      <c r="BM92" s="145"/>
      <c r="BN92" s="54"/>
      <c r="BO92" s="54"/>
      <c r="BP92" s="54"/>
      <c r="BQ92" s="54"/>
      <c r="BR92" s="54"/>
      <c r="BS92" s="54"/>
      <c r="DZ92" s="55"/>
      <c r="EA92" s="55"/>
    </row>
    <row r="93" spans="1:131" ht="12.75" customHeight="1" x14ac:dyDescent="0.2">
      <c r="A93" s="138" t="s">
        <v>1138</v>
      </c>
      <c r="B93" s="181" t="str">
        <f>IF(ISTEXT(VLOOKUP(CONCATENATE($A93,"_",B$3),'Unit List'!$A$14:$H$2841,2,FALSE)),"+","")</f>
        <v/>
      </c>
      <c r="C93" s="119" t="str">
        <f>IF(ISTEXT(VLOOKUP(CONCATENATE($A93,"_",C$3),'Unit List'!$A$14:$H$2841,2,FALSE)),"X",$B93)</f>
        <v/>
      </c>
      <c r="D93" s="120" t="str">
        <f>IF(ISTEXT(VLOOKUP(CONCATENATE($A93,"_",D$3),'Unit List'!$A$14:$H$2841,2,FALSE)),"X",$B93)</f>
        <v/>
      </c>
      <c r="E93" s="120" t="str">
        <f>IF(ISTEXT(VLOOKUP(CONCATENATE($A93,"_",E$3),'Unit List'!$A$14:$H$2841,2,FALSE)),"X",$B93)</f>
        <v/>
      </c>
      <c r="F93" s="120" t="str">
        <f>IF(ISTEXT(VLOOKUP(CONCATENATE($A93,"_",F$3),'Unit List'!$A$14:$H$2841,2,FALSE)),"X",$B93)</f>
        <v/>
      </c>
      <c r="G93" s="120" t="str">
        <f>IF(ISTEXT(VLOOKUP(CONCATENATE($A93,"_",G$3),'Unit List'!$A$14:$H$2841,2,FALSE)),"X",$B93)</f>
        <v/>
      </c>
      <c r="H93" s="120" t="str">
        <f>IF(ISTEXT(VLOOKUP(CONCATENATE($A93,"_",H$3),'Unit List'!$A$14:$H$2841,2,FALSE)),"X",$B93)</f>
        <v/>
      </c>
      <c r="I93" s="122" t="str">
        <f>IF(ISTEXT(VLOOKUP(CONCATENATE($A93,"_",I$3),'Unit List'!$A$14:$H$2841,2,FALSE)),"X",$B93)</f>
        <v/>
      </c>
      <c r="J93" s="172" t="str">
        <f>IF(ISTEXT(VLOOKUP(CONCATENATE($A93,"_",J$3),'Unit List'!$A$14:$H$2841,2,FALSE)),"+","")</f>
        <v/>
      </c>
      <c r="K93" s="120" t="str">
        <f>IF(ISTEXT(VLOOKUP(CONCATENATE($A93,"_",K$3),'Unit List'!$A$14:$H$2841,2,FALSE)),"X",$J93)</f>
        <v/>
      </c>
      <c r="L93" s="75" t="str">
        <f>IF(ISTEXT(VLOOKUP(CONCATENATE($A93,"_",L$3),'Unit List'!$A$14:$H$2841,2,FALSE)),"X",$J93)</f>
        <v/>
      </c>
      <c r="M93" s="172" t="str">
        <f>IF(ISTEXT(VLOOKUP(CONCATENATE($A93,"_",M$3),'Unit List'!$A$14:$H$2841,2,FALSE)),"+","")</f>
        <v/>
      </c>
      <c r="N93" s="120" t="str">
        <f>IF(ISTEXT(VLOOKUP(CONCATENATE($A93,"_",N$3),'Unit List'!$A$14:$H$2841,2,FALSE)),"X",$M93)</f>
        <v/>
      </c>
      <c r="O93" s="122" t="str">
        <f>IF(ISTEXT(VLOOKUP(CONCATENATE($A93,"_",O$3),'Unit List'!$A$14:$H$2841,2,FALSE)),"X",$M93)</f>
        <v/>
      </c>
      <c r="P93" s="172" t="str">
        <f>IF(ISTEXT(VLOOKUP(CONCATENATE($A93,"_",P$3),'Unit List'!$A$14:$H$2841,2,FALSE)),"+","")</f>
        <v/>
      </c>
      <c r="Q93" s="120" t="str">
        <f>IF(ISTEXT(VLOOKUP(CONCATENATE($A93,"_",Q$3),'Unit List'!$A$14:$H$2841,2,FALSE)),"X",$P93)</f>
        <v/>
      </c>
      <c r="R93" s="120" t="str">
        <f>IF(ISTEXT(VLOOKUP(CONCATENATE($A93,"_",R$3),'Unit List'!$A$14:$H$2841,2,FALSE)),"X",$P93)</f>
        <v/>
      </c>
      <c r="S93" s="120" t="str">
        <f>IF(ISTEXT(VLOOKUP(CONCATENATE($A93,"_",S$3),'Unit List'!$A$14:$H$2841,2,FALSE)),"X",$P93)</f>
        <v/>
      </c>
      <c r="T93" s="121" t="str">
        <f>IF(ISTEXT(VLOOKUP(CONCATENATE($A93,"_",T$3),'Unit List'!$A$14:$H$2841,2,FALSE)),"X",$P93)</f>
        <v/>
      </c>
      <c r="U93" s="120" t="str">
        <f>IF(ISTEXT(VLOOKUP(CONCATENATE($A93,"_",U$3),'Unit List'!$A$14:$H$2841,2,FALSE)),"X",$P93)</f>
        <v/>
      </c>
      <c r="V93" s="120" t="str">
        <f>IF(ISTEXT(VLOOKUP(CONCATENATE($A93,"_",V$3),'Unit List'!$A$14:$H$2841,2,FALSE)),"X",$P93)</f>
        <v/>
      </c>
      <c r="W93" s="122" t="str">
        <f>IF(ISTEXT(VLOOKUP(CONCATENATE($A93,"_",W$3),'Unit List'!$A$14:$H$2841,2,FALSE)),"X",$P93)</f>
        <v/>
      </c>
      <c r="X93" s="172" t="str">
        <f>IF(ISTEXT(VLOOKUP(CONCATENATE($A93,"_",X$3),'Unit List'!$A$14:$H$2841,2,FALSE)),"+","")</f>
        <v/>
      </c>
      <c r="Y93" s="120" t="str">
        <f>IF(ISTEXT(VLOOKUP(CONCATENATE($A93,"_",Y$3),'Unit List'!$A$14:$H$2841,2,FALSE)),"X",$X93)</f>
        <v/>
      </c>
      <c r="Z93" s="120" t="str">
        <f>IF(ISTEXT(VLOOKUP(CONCATENATE($A93,"_",Z$3),'Unit List'!$A$14:$H$2841,2,FALSE)),"X",$X93)</f>
        <v/>
      </c>
      <c r="AA93" s="120" t="str">
        <f>IF(ISTEXT(VLOOKUP(CONCATENATE($A93,"_",AA$3),'Unit List'!$A$14:$H$2841,2,FALSE)),"X",$X93)</f>
        <v/>
      </c>
      <c r="AB93" s="120" t="str">
        <f>IF(ISTEXT(VLOOKUP(CONCATENATE($A93,"_",AB$3),'Unit List'!$A$14:$H$2841,2,FALSE)),"X",$X93)</f>
        <v/>
      </c>
      <c r="AC93" s="75" t="str">
        <f>IF(ISTEXT(VLOOKUP(CONCATENATE($A93,"_",AC$3),'Unit List'!$A$14:$H$2841,2,FALSE)),"X",$X93)</f>
        <v/>
      </c>
      <c r="AD93" s="172" t="str">
        <f>IF(ISTEXT(VLOOKUP(CONCATENATE($A93,"_",AD$3),'Unit List'!$A$14:$H$2841,2,FALSE)),"+","")</f>
        <v/>
      </c>
      <c r="AE93" s="120" t="str">
        <f>IF(ISTEXT(VLOOKUP(CONCATENATE($A93,"_",AE$3),'Unit List'!$A$14:$H$2841,2,FALSE)),"X",$AD93)</f>
        <v/>
      </c>
      <c r="AF93" s="120" t="str">
        <f>IF(ISTEXT(VLOOKUP(CONCATENATE($A93,"_",AF$3),'Unit List'!$A$14:$H$2841,2,FALSE)),"X",$AD93)</f>
        <v/>
      </c>
      <c r="AG93" s="172" t="str">
        <f>IF(ISTEXT(VLOOKUP(CONCATENATE($A93,"_",AG$3),'Unit List'!$A$14:$H$2841,2,FALSE)),"+","")</f>
        <v/>
      </c>
      <c r="AH93" s="120" t="str">
        <f>IF(ISTEXT(VLOOKUP(CONCATENATE($A93,"_",AH$3),'Unit List'!$A$14:$H$2841,2,FALSE)),"X",$AG93)</f>
        <v/>
      </c>
      <c r="AI93" s="120" t="str">
        <f>IF(ISTEXT(VLOOKUP(CONCATENATE($A93,"_",AI$3),'Unit List'!$A$14:$H$2841,2,FALSE)),"X",$AG93)</f>
        <v/>
      </c>
      <c r="AJ93" s="122" t="str">
        <f>IF(ISTEXT(VLOOKUP(CONCATENATE($A93,"_",AJ$3),'Unit List'!$A$14:$H$2841,2,FALSE)),"X",$AG93)</f>
        <v/>
      </c>
      <c r="AK93" s="172" t="str">
        <f>IF(ISTEXT(VLOOKUP(CONCATENATE($A93,"_",AK$3),'Unit List'!$A$14:$H$2841,2,FALSE)),"+","")</f>
        <v/>
      </c>
      <c r="AL93" s="121" t="str">
        <f>IF(ISTEXT(VLOOKUP(CONCATENATE($A93,"_",AL$3),'Unit List'!$A$14:$H$2841,2,FALSE)),"X",$AK93)</f>
        <v/>
      </c>
      <c r="AM93" s="122" t="str">
        <f>IF(ISTEXT(VLOOKUP(CONCATENATE($A93,"_",AM$3),'Unit List'!$A$14:$H$2841,2,FALSE)),"X",$AK93)</f>
        <v/>
      </c>
      <c r="AN93" s="125" t="str">
        <f>IF(ISTEXT(VLOOKUP(CONCATENATE($A93,"_",AN$3),'Unit List'!$A$14:$H$2841,2,FALSE)),"+","")</f>
        <v/>
      </c>
      <c r="AO93" s="122" t="str">
        <f>IF(ISTEXT(VLOOKUP(CONCATENATE($A93,"_",AO$3),'Unit List'!$A$14:$H$2841,2,FALSE)),"X",$AN93)</f>
        <v/>
      </c>
      <c r="AP93" s="172" t="str">
        <f>IF(ISTEXT(VLOOKUP(CONCATENATE($A93,"_",AP$3),'Unit List'!$A$14:$H$2841,2,FALSE)),"+","")</f>
        <v/>
      </c>
      <c r="AQ93" s="120" t="str">
        <f>IF(ISTEXT(VLOOKUP(CONCATENATE($A93,"_",AQ$3),'Unit List'!$A$14:$H$2841,2,FALSE)),"X",$AP93)</f>
        <v/>
      </c>
      <c r="AR93" s="120" t="str">
        <f>IF(ISTEXT(VLOOKUP(CONCATENATE($A93,"_",AR$3),'Unit List'!$A$14:$H$2841,2,FALSE)),"X",$AP93)</f>
        <v/>
      </c>
      <c r="AS93" s="120" t="str">
        <f>IF(ISTEXT(VLOOKUP(CONCATENATE($A93,"_",AS$3),'Unit List'!$A$14:$H$2841,2,FALSE)),"X",$AP93)</f>
        <v/>
      </c>
      <c r="AT93" s="122" t="str">
        <f>IF(ISTEXT(VLOOKUP(CONCATENATE($A93,"_",AT$3),'Unit List'!$A$14:$H$2841,2,FALSE)),"X",$AP93)</f>
        <v/>
      </c>
      <c r="AU93" s="124" t="str">
        <f>IF(ISTEXT(VLOOKUP(CONCATENATE($A93,"_",AU$3),'Unit List'!$A$14:$H$2841,2,FALSE)),"+","")</f>
        <v/>
      </c>
      <c r="AV93" s="120" t="str">
        <f>IF(ISTEXT(VLOOKUP(CONCATENATE($A93,"_",AV$3),'Unit List'!$A$14:$H$2841,2,FALSE)),"X",$AU93)</f>
        <v/>
      </c>
      <c r="AW93" s="122" t="str">
        <f>IF(ISTEXT(VLOOKUP(CONCATENATE($A93,"_",AW$3),'Unit List'!$A$14:$H$2841,2,FALSE)),"X",$AU93)</f>
        <v/>
      </c>
      <c r="AX93" s="172" t="str">
        <f>IF(ISTEXT(VLOOKUP(CONCATENATE($A93,"_",AX$3),'Unit List'!$A$14:$H$2841,2,FALSE)),"+","")</f>
        <v/>
      </c>
      <c r="AY93" s="120" t="str">
        <f>IF(ISTEXT(VLOOKUP(CONCATENATE($A93,"_",AY$3),'Unit List'!$A$14:$H$2841,2,FALSE)),"X",$AX93)</f>
        <v/>
      </c>
      <c r="AZ93" s="122" t="str">
        <f>IF(ISTEXT(VLOOKUP(CONCATENATE($A93,"_",AZ$3),'Unit List'!$A$14:$H$2841,2,FALSE)),"X",$AX93)</f>
        <v/>
      </c>
      <c r="BA93" s="182" t="str">
        <f>IF(ISTEXT(VLOOKUP(CONCATENATE($A93,"_",BA$3),'Unit List'!$A$14:$H$2841,2,FALSE)),"+","")</f>
        <v/>
      </c>
      <c r="BB93" s="120" t="str">
        <f>IF(ISTEXT(VLOOKUP(CONCATENATE($A93,"_",BB$3),'Unit List'!$A$14:$H$2841,2,FALSE)),"X",$BA93)</f>
        <v/>
      </c>
      <c r="BC93" s="120" t="str">
        <f>IF(ISTEXT(VLOOKUP(CONCATENATE($A93,"_",BC$3),'Unit List'!$A$14:$H$2841,2,FALSE)),"X",$BA93)</f>
        <v/>
      </c>
      <c r="BD93" s="122" t="str">
        <f>IF(ISTEXT(VLOOKUP(CONCATENATE($A93,"_",BD$3),'Unit List'!$A$14:$H$2841,2,FALSE)),"X",$BA93)</f>
        <v/>
      </c>
      <c r="BE93" s="125" t="str">
        <f>IF(ISTEXT(VLOOKUP(CONCATENATE($A93,"_",BE$3),'Unit List'!$A$14:$H$2841,2,FALSE)),"+","")</f>
        <v/>
      </c>
      <c r="BF93" s="75" t="str">
        <f>IF(ISTEXT(VLOOKUP(CONCATENATE($A93,"_",BF$3),'Unit List'!$A$14:$H$2841,2,FALSE)),"X",$BE93)</f>
        <v/>
      </c>
      <c r="BG93" s="122"/>
      <c r="BH93" s="65" t="s">
        <v>0</v>
      </c>
      <c r="BI93" s="143"/>
      <c r="BJ93" s="144"/>
      <c r="BK93" s="144"/>
      <c r="BL93" s="145"/>
      <c r="BM93" s="145"/>
      <c r="BN93" s="54"/>
      <c r="BO93" s="54"/>
      <c r="BP93" s="54"/>
      <c r="BQ93" s="54"/>
      <c r="BR93" s="54"/>
      <c r="BS93" s="54"/>
      <c r="DZ93" s="55"/>
      <c r="EA93" s="55"/>
    </row>
    <row r="94" spans="1:131" ht="12.75" customHeight="1" x14ac:dyDescent="0.2">
      <c r="A94" s="138" t="s">
        <v>1139</v>
      </c>
      <c r="B94" s="181" t="str">
        <f>IF(ISTEXT(VLOOKUP(CONCATENATE($A94,"_",B$3),'Unit List'!$A$14:$H$2841,2,FALSE)),"+","")</f>
        <v/>
      </c>
      <c r="C94" s="119" t="str">
        <f>IF(ISTEXT(VLOOKUP(CONCATENATE($A94,"_",C$3),'Unit List'!$A$14:$H$2841,2,FALSE)),"X",$B94)</f>
        <v/>
      </c>
      <c r="D94" s="120" t="str">
        <f>IF(ISTEXT(VLOOKUP(CONCATENATE($A94,"_",D$3),'Unit List'!$A$14:$H$2841,2,FALSE)),"X",$B94)</f>
        <v/>
      </c>
      <c r="E94" s="120" t="str">
        <f>IF(ISTEXT(VLOOKUP(CONCATENATE($A94,"_",E$3),'Unit List'!$A$14:$H$2841,2,FALSE)),"X",$B94)</f>
        <v/>
      </c>
      <c r="F94" s="120" t="str">
        <f>IF(ISTEXT(VLOOKUP(CONCATENATE($A94,"_",F$3),'Unit List'!$A$14:$H$2841,2,FALSE)),"X",$B94)</f>
        <v/>
      </c>
      <c r="G94" s="120" t="str">
        <f>IF(ISTEXT(VLOOKUP(CONCATENATE($A94,"_",G$3),'Unit List'!$A$14:$H$2841,2,FALSE)),"X",$B94)</f>
        <v/>
      </c>
      <c r="H94" s="120" t="str">
        <f>IF(ISTEXT(VLOOKUP(CONCATENATE($A94,"_",H$3),'Unit List'!$A$14:$H$2841,2,FALSE)),"X",$B94)</f>
        <v/>
      </c>
      <c r="I94" s="122" t="str">
        <f>IF(ISTEXT(VLOOKUP(CONCATENATE($A94,"_",I$3),'Unit List'!$A$14:$H$2841,2,FALSE)),"X",$B94)</f>
        <v/>
      </c>
      <c r="J94" s="172" t="str">
        <f>IF(ISTEXT(VLOOKUP(CONCATENATE($A94,"_",J$3),'Unit List'!$A$14:$H$2841,2,FALSE)),"+","")</f>
        <v/>
      </c>
      <c r="K94" s="120" t="str">
        <f>IF(ISTEXT(VLOOKUP(CONCATENATE($A94,"_",K$3),'Unit List'!$A$14:$H$2841,2,FALSE)),"X",$J94)</f>
        <v/>
      </c>
      <c r="L94" s="75" t="str">
        <f>IF(ISTEXT(VLOOKUP(CONCATENATE($A94,"_",L$3),'Unit List'!$A$14:$H$2841,2,FALSE)),"X",$J94)</f>
        <v/>
      </c>
      <c r="M94" s="172" t="str">
        <f>IF(ISTEXT(VLOOKUP(CONCATENATE($A94,"_",M$3),'Unit List'!$A$14:$H$2841,2,FALSE)),"+","")</f>
        <v/>
      </c>
      <c r="N94" s="120" t="str">
        <f>IF(ISTEXT(VLOOKUP(CONCATENATE($A94,"_",N$3),'Unit List'!$A$14:$H$2841,2,FALSE)),"X",$M94)</f>
        <v/>
      </c>
      <c r="O94" s="122" t="str">
        <f>IF(ISTEXT(VLOOKUP(CONCATENATE($A94,"_",O$3),'Unit List'!$A$14:$H$2841,2,FALSE)),"X",$M94)</f>
        <v/>
      </c>
      <c r="P94" s="172" t="str">
        <f>IF(ISTEXT(VLOOKUP(CONCATENATE($A94,"_",P$3),'Unit List'!$A$14:$H$2841,2,FALSE)),"+","")</f>
        <v/>
      </c>
      <c r="Q94" s="120" t="str">
        <f>IF(ISTEXT(VLOOKUP(CONCATENATE($A94,"_",Q$3),'Unit List'!$A$14:$H$2841,2,FALSE)),"X",$P94)</f>
        <v/>
      </c>
      <c r="R94" s="120" t="str">
        <f>IF(ISTEXT(VLOOKUP(CONCATENATE($A94,"_",R$3),'Unit List'!$A$14:$H$2841,2,FALSE)),"X",$P94)</f>
        <v/>
      </c>
      <c r="S94" s="120" t="str">
        <f>IF(ISTEXT(VLOOKUP(CONCATENATE($A94,"_",S$3),'Unit List'!$A$14:$H$2841,2,FALSE)),"X",$P94)</f>
        <v/>
      </c>
      <c r="T94" s="121" t="str">
        <f>IF(ISTEXT(VLOOKUP(CONCATENATE($A94,"_",T$3),'Unit List'!$A$14:$H$2841,2,FALSE)),"X",$P94)</f>
        <v/>
      </c>
      <c r="U94" s="120" t="str">
        <f>IF(ISTEXT(VLOOKUP(CONCATENATE($A94,"_",U$3),'Unit List'!$A$14:$H$2841,2,FALSE)),"X",$P94)</f>
        <v/>
      </c>
      <c r="V94" s="120" t="str">
        <f>IF(ISTEXT(VLOOKUP(CONCATENATE($A94,"_",V$3),'Unit List'!$A$14:$H$2841,2,FALSE)),"X",$P94)</f>
        <v/>
      </c>
      <c r="W94" s="122" t="str">
        <f>IF(ISTEXT(VLOOKUP(CONCATENATE($A94,"_",W$3),'Unit List'!$A$14:$H$2841,2,FALSE)),"X",$P94)</f>
        <v/>
      </c>
      <c r="X94" s="172" t="str">
        <f>IF(ISTEXT(VLOOKUP(CONCATENATE($A94,"_",X$3),'Unit List'!$A$14:$H$2841,2,FALSE)),"+","")</f>
        <v/>
      </c>
      <c r="Y94" s="120" t="str">
        <f>IF(ISTEXT(VLOOKUP(CONCATENATE($A94,"_",Y$3),'Unit List'!$A$14:$H$2841,2,FALSE)),"X",$X94)</f>
        <v/>
      </c>
      <c r="Z94" s="120" t="str">
        <f>IF(ISTEXT(VLOOKUP(CONCATENATE($A94,"_",Z$3),'Unit List'!$A$14:$H$2841,2,FALSE)),"X",$X94)</f>
        <v/>
      </c>
      <c r="AA94" s="120" t="str">
        <f>IF(ISTEXT(VLOOKUP(CONCATENATE($A94,"_",AA$3),'Unit List'!$A$14:$H$2841,2,FALSE)),"X",$X94)</f>
        <v/>
      </c>
      <c r="AB94" s="120" t="str">
        <f>IF(ISTEXT(VLOOKUP(CONCATENATE($A94,"_",AB$3),'Unit List'!$A$14:$H$2841,2,FALSE)),"X",$X94)</f>
        <v/>
      </c>
      <c r="AC94" s="75" t="str">
        <f>IF(ISTEXT(VLOOKUP(CONCATENATE($A94,"_",AC$3),'Unit List'!$A$14:$H$2841,2,FALSE)),"X",$X94)</f>
        <v/>
      </c>
      <c r="AD94" s="172" t="str">
        <f>IF(ISTEXT(VLOOKUP(CONCATENATE($A94,"_",AD$3),'Unit List'!$A$14:$H$2841,2,FALSE)),"+","")</f>
        <v/>
      </c>
      <c r="AE94" s="120" t="str">
        <f>IF(ISTEXT(VLOOKUP(CONCATENATE($A94,"_",AE$3),'Unit List'!$A$14:$H$2841,2,FALSE)),"X",$AD94)</f>
        <v/>
      </c>
      <c r="AF94" s="120" t="str">
        <f>IF(ISTEXT(VLOOKUP(CONCATENATE($A94,"_",AF$3),'Unit List'!$A$14:$H$2841,2,FALSE)),"X",$AD94)</f>
        <v/>
      </c>
      <c r="AG94" s="172" t="str">
        <f>IF(ISTEXT(VLOOKUP(CONCATENATE($A94,"_",AG$3),'Unit List'!$A$14:$H$2841,2,FALSE)),"+","")</f>
        <v/>
      </c>
      <c r="AH94" s="120" t="str">
        <f>IF(ISTEXT(VLOOKUP(CONCATENATE($A94,"_",AH$3),'Unit List'!$A$14:$H$2841,2,FALSE)),"X",$AG94)</f>
        <v/>
      </c>
      <c r="AI94" s="120" t="str">
        <f>IF(ISTEXT(VLOOKUP(CONCATENATE($A94,"_",AI$3),'Unit List'!$A$14:$H$2841,2,FALSE)),"X",$AG94)</f>
        <v/>
      </c>
      <c r="AJ94" s="122" t="str">
        <f>IF(ISTEXT(VLOOKUP(CONCATENATE($A94,"_",AJ$3),'Unit List'!$A$14:$H$2841,2,FALSE)),"X",$AG94)</f>
        <v/>
      </c>
      <c r="AK94" s="172" t="str">
        <f>IF(ISTEXT(VLOOKUP(CONCATENATE($A94,"_",AK$3),'Unit List'!$A$14:$H$2841,2,FALSE)),"+","")</f>
        <v/>
      </c>
      <c r="AL94" s="121" t="str">
        <f>IF(ISTEXT(VLOOKUP(CONCATENATE($A94,"_",AL$3),'Unit List'!$A$14:$H$2841,2,FALSE)),"X",$AK94)</f>
        <v/>
      </c>
      <c r="AM94" s="122" t="str">
        <f>IF(ISTEXT(VLOOKUP(CONCATENATE($A94,"_",AM$3),'Unit List'!$A$14:$H$2841,2,FALSE)),"X",$AK94)</f>
        <v/>
      </c>
      <c r="AN94" s="125" t="str">
        <f>IF(ISTEXT(VLOOKUP(CONCATENATE($A94,"_",AN$3),'Unit List'!$A$14:$H$2841,2,FALSE)),"+","")</f>
        <v/>
      </c>
      <c r="AO94" s="122" t="str">
        <f>IF(ISTEXT(VLOOKUP(CONCATENATE($A94,"_",AO$3),'Unit List'!$A$14:$H$2841,2,FALSE)),"X",$AN94)</f>
        <v/>
      </c>
      <c r="AP94" s="172" t="str">
        <f>IF(ISTEXT(VLOOKUP(CONCATENATE($A94,"_",AP$3),'Unit List'!$A$14:$H$2841,2,FALSE)),"+","")</f>
        <v/>
      </c>
      <c r="AQ94" s="120" t="str">
        <f>IF(ISTEXT(VLOOKUP(CONCATENATE($A94,"_",AQ$3),'Unit List'!$A$14:$H$2841,2,FALSE)),"X",$AP94)</f>
        <v/>
      </c>
      <c r="AR94" s="120" t="str">
        <f>IF(ISTEXT(VLOOKUP(CONCATENATE($A94,"_",AR$3),'Unit List'!$A$14:$H$2841,2,FALSE)),"X",$AP94)</f>
        <v/>
      </c>
      <c r="AS94" s="120" t="str">
        <f>IF(ISTEXT(VLOOKUP(CONCATENATE($A94,"_",AS$3),'Unit List'!$A$14:$H$2841,2,FALSE)),"X",$AP94)</f>
        <v/>
      </c>
      <c r="AT94" s="122" t="str">
        <f>IF(ISTEXT(VLOOKUP(CONCATENATE($A94,"_",AT$3),'Unit List'!$A$14:$H$2841,2,FALSE)),"X",$AP94)</f>
        <v/>
      </c>
      <c r="AU94" s="124" t="str">
        <f>IF(ISTEXT(VLOOKUP(CONCATENATE($A94,"_",AU$3),'Unit List'!$A$14:$H$2841,2,FALSE)),"+","")</f>
        <v/>
      </c>
      <c r="AV94" s="120" t="str">
        <f>IF(ISTEXT(VLOOKUP(CONCATENATE($A94,"_",AV$3),'Unit List'!$A$14:$H$2841,2,FALSE)),"X",$AU94)</f>
        <v/>
      </c>
      <c r="AW94" s="122" t="str">
        <f>IF(ISTEXT(VLOOKUP(CONCATENATE($A94,"_",AW$3),'Unit List'!$A$14:$H$2841,2,FALSE)),"X",$AU94)</f>
        <v/>
      </c>
      <c r="AX94" s="172" t="str">
        <f>IF(ISTEXT(VLOOKUP(CONCATENATE($A94,"_",AX$3),'Unit List'!$A$14:$H$2841,2,FALSE)),"+","")</f>
        <v/>
      </c>
      <c r="AY94" s="120" t="str">
        <f>IF(ISTEXT(VLOOKUP(CONCATENATE($A94,"_",AY$3),'Unit List'!$A$14:$H$2841,2,FALSE)),"X",$AX94)</f>
        <v/>
      </c>
      <c r="AZ94" s="122" t="str">
        <f>IF(ISTEXT(VLOOKUP(CONCATENATE($A94,"_",AZ$3),'Unit List'!$A$14:$H$2841,2,FALSE)),"X",$AX94)</f>
        <v/>
      </c>
      <c r="BA94" s="182" t="str">
        <f>IF(ISTEXT(VLOOKUP(CONCATENATE($A94,"_",BA$3),'Unit List'!$A$14:$H$2841,2,FALSE)),"+","")</f>
        <v/>
      </c>
      <c r="BB94" s="120" t="str">
        <f>IF(ISTEXT(VLOOKUP(CONCATENATE($A94,"_",BB$3),'Unit List'!$A$14:$H$2841,2,FALSE)),"X",$BA94)</f>
        <v/>
      </c>
      <c r="BC94" s="120" t="str">
        <f>IF(ISTEXT(VLOOKUP(CONCATENATE($A94,"_",BC$3),'Unit List'!$A$14:$H$2841,2,FALSE)),"X",$BA94)</f>
        <v/>
      </c>
      <c r="BD94" s="122" t="str">
        <f>IF(ISTEXT(VLOOKUP(CONCATENATE($A94,"_",BD$3),'Unit List'!$A$14:$H$2841,2,FALSE)),"X",$BA94)</f>
        <v/>
      </c>
      <c r="BE94" s="125" t="str">
        <f>IF(ISTEXT(VLOOKUP(CONCATENATE($A94,"_",BE$3),'Unit List'!$A$14:$H$2841,2,FALSE)),"+","")</f>
        <v/>
      </c>
      <c r="BF94" s="75" t="str">
        <f>IF(ISTEXT(VLOOKUP(CONCATENATE($A94,"_",BF$3),'Unit List'!$A$14:$H$2841,2,FALSE)),"X",$BE94)</f>
        <v/>
      </c>
      <c r="BG94" s="122"/>
      <c r="BH94" s="65" t="s">
        <v>0</v>
      </c>
      <c r="BI94" s="143"/>
      <c r="BJ94" s="144"/>
      <c r="BK94" s="144"/>
      <c r="BL94" s="145"/>
      <c r="BM94" s="145"/>
      <c r="BN94" s="54"/>
      <c r="BO94" s="54"/>
      <c r="BP94" s="54"/>
      <c r="BQ94" s="54"/>
      <c r="BR94" s="54"/>
      <c r="BS94" s="54"/>
      <c r="DZ94" s="55"/>
      <c r="EA94" s="55"/>
    </row>
    <row r="95" spans="1:131" ht="12.75" customHeight="1" x14ac:dyDescent="0.2">
      <c r="A95" s="138" t="s">
        <v>1130</v>
      </c>
      <c r="B95" s="181" t="str">
        <f>IF(ISTEXT(VLOOKUP(CONCATENATE($A95,"_",B$3),'Unit List'!$A$14:$H$2841,2,FALSE)),"+","")</f>
        <v/>
      </c>
      <c r="C95" s="119" t="str">
        <f>IF(ISTEXT(VLOOKUP(CONCATENATE($A95,"_",C$3),'Unit List'!$A$14:$H$2841,2,FALSE)),"X",$B95)</f>
        <v/>
      </c>
      <c r="D95" s="120" t="str">
        <f>IF(ISTEXT(VLOOKUP(CONCATENATE($A95,"_",D$3),'Unit List'!$A$14:$H$2841,2,FALSE)),"X",$B95)</f>
        <v/>
      </c>
      <c r="E95" s="120" t="str">
        <f>IF(ISTEXT(VLOOKUP(CONCATENATE($A95,"_",E$3),'Unit List'!$A$14:$H$2841,2,FALSE)),"X",$B95)</f>
        <v/>
      </c>
      <c r="F95" s="120" t="str">
        <f>IF(ISTEXT(VLOOKUP(CONCATENATE($A95,"_",F$3),'Unit List'!$A$14:$H$2841,2,FALSE)),"X",$B95)</f>
        <v/>
      </c>
      <c r="G95" s="120" t="str">
        <f>IF(ISTEXT(VLOOKUP(CONCATENATE($A95,"_",G$3),'Unit List'!$A$14:$H$2841,2,FALSE)),"X",$B95)</f>
        <v/>
      </c>
      <c r="H95" s="120" t="str">
        <f>IF(ISTEXT(VLOOKUP(CONCATENATE($A95,"_",H$3),'Unit List'!$A$14:$H$2841,2,FALSE)),"X",$B95)</f>
        <v/>
      </c>
      <c r="I95" s="122" t="str">
        <f>IF(ISTEXT(VLOOKUP(CONCATENATE($A95,"_",I$3),'Unit List'!$A$14:$H$2841,2,FALSE)),"X",$B95)</f>
        <v/>
      </c>
      <c r="J95" s="172" t="str">
        <f>IF(ISTEXT(VLOOKUP(CONCATENATE($A95,"_",J$3),'Unit List'!$A$14:$H$2841,2,FALSE)),"+","")</f>
        <v/>
      </c>
      <c r="K95" s="120" t="str">
        <f>IF(ISTEXT(VLOOKUP(CONCATENATE($A95,"_",K$3),'Unit List'!$A$14:$H$2841,2,FALSE)),"X",$J95)</f>
        <v/>
      </c>
      <c r="L95" s="75" t="str">
        <f>IF(ISTEXT(VLOOKUP(CONCATENATE($A95,"_",L$3),'Unit List'!$A$14:$H$2841,2,FALSE)),"X",$J95)</f>
        <v/>
      </c>
      <c r="M95" s="172" t="str">
        <f>IF(ISTEXT(VLOOKUP(CONCATENATE($A95,"_",M$3),'Unit List'!$A$14:$H$2841,2,FALSE)),"+","")</f>
        <v/>
      </c>
      <c r="N95" s="120" t="str">
        <f>IF(ISTEXT(VLOOKUP(CONCATENATE($A95,"_",N$3),'Unit List'!$A$14:$H$2841,2,FALSE)),"X",$M95)</f>
        <v/>
      </c>
      <c r="O95" s="122" t="str">
        <f>IF(ISTEXT(VLOOKUP(CONCATENATE($A95,"_",O$3),'Unit List'!$A$14:$H$2841,2,FALSE)),"X",$M95)</f>
        <v/>
      </c>
      <c r="P95" s="172" t="str">
        <f>IF(ISTEXT(VLOOKUP(CONCATENATE($A95,"_",P$3),'Unit List'!$A$14:$H$2841,2,FALSE)),"+","")</f>
        <v/>
      </c>
      <c r="Q95" s="120" t="str">
        <f>IF(ISTEXT(VLOOKUP(CONCATENATE($A95,"_",Q$3),'Unit List'!$A$14:$H$2841,2,FALSE)),"X",$P95)</f>
        <v/>
      </c>
      <c r="R95" s="120" t="str">
        <f>IF(ISTEXT(VLOOKUP(CONCATENATE($A95,"_",R$3),'Unit List'!$A$14:$H$2841,2,FALSE)),"X",$P95)</f>
        <v/>
      </c>
      <c r="S95" s="120" t="str">
        <f>IF(ISTEXT(VLOOKUP(CONCATENATE($A95,"_",S$3),'Unit List'!$A$14:$H$2841,2,FALSE)),"X",$P95)</f>
        <v/>
      </c>
      <c r="T95" s="121" t="str">
        <f>IF(ISTEXT(VLOOKUP(CONCATENATE($A95,"_",T$3),'Unit List'!$A$14:$H$2841,2,FALSE)),"X",$P95)</f>
        <v/>
      </c>
      <c r="U95" s="120" t="str">
        <f>IF(ISTEXT(VLOOKUP(CONCATENATE($A95,"_",U$3),'Unit List'!$A$14:$H$2841,2,FALSE)),"X",$P95)</f>
        <v/>
      </c>
      <c r="V95" s="120" t="str">
        <f>IF(ISTEXT(VLOOKUP(CONCATENATE($A95,"_",V$3),'Unit List'!$A$14:$H$2841,2,FALSE)),"X",$P95)</f>
        <v/>
      </c>
      <c r="W95" s="122" t="str">
        <f>IF(ISTEXT(VLOOKUP(CONCATENATE($A95,"_",W$3),'Unit List'!$A$14:$H$2841,2,FALSE)),"X",$P95)</f>
        <v/>
      </c>
      <c r="X95" s="172" t="str">
        <f>IF(ISTEXT(VLOOKUP(CONCATENATE($A95,"_",X$3),'Unit List'!$A$14:$H$2841,2,FALSE)),"+","")</f>
        <v/>
      </c>
      <c r="Y95" s="120" t="str">
        <f>IF(ISTEXT(VLOOKUP(CONCATENATE($A95,"_",Y$3),'Unit List'!$A$14:$H$2841,2,FALSE)),"X",$X95)</f>
        <v/>
      </c>
      <c r="Z95" s="120" t="str">
        <f>IF(ISTEXT(VLOOKUP(CONCATENATE($A95,"_",Z$3),'Unit List'!$A$14:$H$2841,2,FALSE)),"X",$X95)</f>
        <v/>
      </c>
      <c r="AA95" s="120" t="str">
        <f>IF(ISTEXT(VLOOKUP(CONCATENATE($A95,"_",AA$3),'Unit List'!$A$14:$H$2841,2,FALSE)),"X",$X95)</f>
        <v/>
      </c>
      <c r="AB95" s="120" t="str">
        <f>IF(ISTEXT(VLOOKUP(CONCATENATE($A95,"_",AB$3),'Unit List'!$A$14:$H$2841,2,FALSE)),"X",$X95)</f>
        <v/>
      </c>
      <c r="AC95" s="75" t="str">
        <f>IF(ISTEXT(VLOOKUP(CONCATENATE($A95,"_",AC$3),'Unit List'!$A$14:$H$2841,2,FALSE)),"X",$X95)</f>
        <v/>
      </c>
      <c r="AD95" s="172" t="str">
        <f>IF(ISTEXT(VLOOKUP(CONCATENATE($A95,"_",AD$3),'Unit List'!$A$14:$H$2841,2,FALSE)),"+","")</f>
        <v/>
      </c>
      <c r="AE95" s="120" t="str">
        <f>IF(ISTEXT(VLOOKUP(CONCATENATE($A95,"_",AE$3),'Unit List'!$A$14:$H$2841,2,FALSE)),"X",$AD95)</f>
        <v/>
      </c>
      <c r="AF95" s="120" t="str">
        <f>IF(ISTEXT(VLOOKUP(CONCATENATE($A95,"_",AF$3),'Unit List'!$A$14:$H$2841,2,FALSE)),"X",$AD95)</f>
        <v/>
      </c>
      <c r="AG95" s="172" t="str">
        <f>IF(ISTEXT(VLOOKUP(CONCATENATE($A95,"_",AG$3),'Unit List'!$A$14:$H$2841,2,FALSE)),"+","")</f>
        <v/>
      </c>
      <c r="AH95" s="120" t="str">
        <f>IF(ISTEXT(VLOOKUP(CONCATENATE($A95,"_",AH$3),'Unit List'!$A$14:$H$2841,2,FALSE)),"X",$AG95)</f>
        <v/>
      </c>
      <c r="AI95" s="120" t="str">
        <f>IF(ISTEXT(VLOOKUP(CONCATENATE($A95,"_",AI$3),'Unit List'!$A$14:$H$2841,2,FALSE)),"X",$AG95)</f>
        <v/>
      </c>
      <c r="AJ95" s="122" t="str">
        <f>IF(ISTEXT(VLOOKUP(CONCATENATE($A95,"_",AJ$3),'Unit List'!$A$14:$H$2841,2,FALSE)),"X",$AG95)</f>
        <v/>
      </c>
      <c r="AK95" s="172" t="str">
        <f>IF(ISTEXT(VLOOKUP(CONCATENATE($A95,"_",AK$3),'Unit List'!$A$14:$H$2841,2,FALSE)),"+","")</f>
        <v/>
      </c>
      <c r="AL95" s="121" t="str">
        <f>IF(ISTEXT(VLOOKUP(CONCATENATE($A95,"_",AL$3),'Unit List'!$A$14:$H$2841,2,FALSE)),"X",$AK95)</f>
        <v/>
      </c>
      <c r="AM95" s="122" t="str">
        <f>IF(ISTEXT(VLOOKUP(CONCATENATE($A95,"_",AM$3),'Unit List'!$A$14:$H$2841,2,FALSE)),"X",$AK95)</f>
        <v/>
      </c>
      <c r="AN95" s="125" t="str">
        <f>IF(ISTEXT(VLOOKUP(CONCATENATE($A95,"_",AN$3),'Unit List'!$A$14:$H$2841,2,FALSE)),"+","")</f>
        <v/>
      </c>
      <c r="AO95" s="122" t="str">
        <f>IF(ISTEXT(VLOOKUP(CONCATENATE($A95,"_",AO$3),'Unit List'!$A$14:$H$2841,2,FALSE)),"X",$AN95)</f>
        <v/>
      </c>
      <c r="AP95" s="172" t="str">
        <f>IF(ISTEXT(VLOOKUP(CONCATENATE($A95,"_",AP$3),'Unit List'!$A$14:$H$2841,2,FALSE)),"+","")</f>
        <v/>
      </c>
      <c r="AQ95" s="120" t="str">
        <f>IF(ISTEXT(VLOOKUP(CONCATENATE($A95,"_",AQ$3),'Unit List'!$A$14:$H$2841,2,FALSE)),"X",$AP95)</f>
        <v/>
      </c>
      <c r="AR95" s="120" t="str">
        <f>IF(ISTEXT(VLOOKUP(CONCATENATE($A95,"_",AR$3),'Unit List'!$A$14:$H$2841,2,FALSE)),"X",$AP95)</f>
        <v/>
      </c>
      <c r="AS95" s="120" t="str">
        <f>IF(ISTEXT(VLOOKUP(CONCATENATE($A95,"_",AS$3),'Unit List'!$A$14:$H$2841,2,FALSE)),"X",$AP95)</f>
        <v/>
      </c>
      <c r="AT95" s="122" t="str">
        <f>IF(ISTEXT(VLOOKUP(CONCATENATE($A95,"_",AT$3),'Unit List'!$A$14:$H$2841,2,FALSE)),"X",$AP95)</f>
        <v/>
      </c>
      <c r="AU95" s="124" t="str">
        <f>IF(ISTEXT(VLOOKUP(CONCATENATE($A95,"_",AU$3),'Unit List'!$A$14:$H$2841,2,FALSE)),"+","")</f>
        <v/>
      </c>
      <c r="AV95" s="120" t="str">
        <f>IF(ISTEXT(VLOOKUP(CONCATENATE($A95,"_",AV$3),'Unit List'!$A$14:$H$2841,2,FALSE)),"X",$AU95)</f>
        <v/>
      </c>
      <c r="AW95" s="122" t="str">
        <f>IF(ISTEXT(VLOOKUP(CONCATENATE($A95,"_",AW$3),'Unit List'!$A$14:$H$2841,2,FALSE)),"X",$AU95)</f>
        <v/>
      </c>
      <c r="AX95" s="172" t="str">
        <f>IF(ISTEXT(VLOOKUP(CONCATENATE($A95,"_",AX$3),'Unit List'!$A$14:$H$2841,2,FALSE)),"+","")</f>
        <v/>
      </c>
      <c r="AY95" s="120" t="str">
        <f>IF(ISTEXT(VLOOKUP(CONCATENATE($A95,"_",AY$3),'Unit List'!$A$14:$H$2841,2,FALSE)),"X",$AX95)</f>
        <v/>
      </c>
      <c r="AZ95" s="122" t="str">
        <f>IF(ISTEXT(VLOOKUP(CONCATENATE($A95,"_",AZ$3),'Unit List'!$A$14:$H$2841,2,FALSE)),"X",$AX95)</f>
        <v/>
      </c>
      <c r="BA95" s="182" t="str">
        <f>IF(ISTEXT(VLOOKUP(CONCATENATE($A95,"_",BA$3),'Unit List'!$A$14:$H$2841,2,FALSE)),"+","")</f>
        <v/>
      </c>
      <c r="BB95" s="120" t="str">
        <f>IF(ISTEXT(VLOOKUP(CONCATENATE($A95,"_",BB$3),'Unit List'!$A$14:$H$2841,2,FALSE)),"X",$BA95)</f>
        <v/>
      </c>
      <c r="BC95" s="120" t="str">
        <f>IF(ISTEXT(VLOOKUP(CONCATENATE($A95,"_",BC$3),'Unit List'!$A$14:$H$2841,2,FALSE)),"X",$BA95)</f>
        <v/>
      </c>
      <c r="BD95" s="122" t="str">
        <f>IF(ISTEXT(VLOOKUP(CONCATENATE($A95,"_",BD$3),'Unit List'!$A$14:$H$2841,2,FALSE)),"X",$BA95)</f>
        <v/>
      </c>
      <c r="BE95" s="125" t="str">
        <f>IF(ISTEXT(VLOOKUP(CONCATENATE($A95,"_",BE$3),'Unit List'!$A$14:$H$2841,2,FALSE)),"+","")</f>
        <v/>
      </c>
      <c r="BF95" s="75" t="str">
        <f>IF(ISTEXT(VLOOKUP(CONCATENATE($A95,"_",BF$3),'Unit List'!$A$14:$H$2841,2,FALSE)),"X",$BE95)</f>
        <v/>
      </c>
      <c r="BG95" s="122"/>
      <c r="BH95" s="65" t="s">
        <v>0</v>
      </c>
      <c r="BI95" s="143"/>
      <c r="BJ95" s="144"/>
      <c r="BK95" s="144"/>
      <c r="BL95" s="145"/>
      <c r="BM95" s="145"/>
      <c r="BN95" s="54"/>
      <c r="BO95" s="54"/>
      <c r="BP95" s="54"/>
      <c r="BQ95" s="54"/>
      <c r="BR95" s="54"/>
      <c r="BS95" s="54"/>
      <c r="DZ95" s="55"/>
      <c r="EA95" s="55"/>
    </row>
    <row r="96" spans="1:131" ht="12.75" customHeight="1" x14ac:dyDescent="0.2">
      <c r="A96" s="138" t="s">
        <v>1131</v>
      </c>
      <c r="B96" s="181" t="str">
        <f>IF(ISTEXT(VLOOKUP(CONCATENATE($A96,"_",B$3),'Unit List'!$A$14:$H$2841,2,FALSE)),"+","")</f>
        <v/>
      </c>
      <c r="C96" s="119" t="str">
        <f>IF(ISTEXT(VLOOKUP(CONCATENATE($A96,"_",C$3),'Unit List'!$A$14:$H$2841,2,FALSE)),"X",$B96)</f>
        <v/>
      </c>
      <c r="D96" s="120" t="str">
        <f>IF(ISTEXT(VLOOKUP(CONCATENATE($A96,"_",D$3),'Unit List'!$A$14:$H$2841,2,FALSE)),"X",$B96)</f>
        <v/>
      </c>
      <c r="E96" s="120" t="str">
        <f>IF(ISTEXT(VLOOKUP(CONCATENATE($A96,"_",E$3),'Unit List'!$A$14:$H$2841,2,FALSE)),"X",$B96)</f>
        <v/>
      </c>
      <c r="F96" s="120" t="str">
        <f>IF(ISTEXT(VLOOKUP(CONCATENATE($A96,"_",F$3),'Unit List'!$A$14:$H$2841,2,FALSE)),"X",$B96)</f>
        <v/>
      </c>
      <c r="G96" s="120" t="str">
        <f>IF(ISTEXT(VLOOKUP(CONCATENATE($A96,"_",G$3),'Unit List'!$A$14:$H$2841,2,FALSE)),"X",$B96)</f>
        <v/>
      </c>
      <c r="H96" s="120" t="str">
        <f>IF(ISTEXT(VLOOKUP(CONCATENATE($A96,"_",H$3),'Unit List'!$A$14:$H$2841,2,FALSE)),"X",$B96)</f>
        <v/>
      </c>
      <c r="I96" s="122" t="str">
        <f>IF(ISTEXT(VLOOKUP(CONCATENATE($A96,"_",I$3),'Unit List'!$A$14:$H$2841,2,FALSE)),"X",$B96)</f>
        <v/>
      </c>
      <c r="J96" s="172" t="str">
        <f>IF(ISTEXT(VLOOKUP(CONCATENATE($A96,"_",J$3),'Unit List'!$A$14:$H$2841,2,FALSE)),"+","")</f>
        <v/>
      </c>
      <c r="K96" s="120" t="str">
        <f>IF(ISTEXT(VLOOKUP(CONCATENATE($A96,"_",K$3),'Unit List'!$A$14:$H$2841,2,FALSE)),"X",$J96)</f>
        <v/>
      </c>
      <c r="L96" s="75" t="str">
        <f>IF(ISTEXT(VLOOKUP(CONCATENATE($A96,"_",L$3),'Unit List'!$A$14:$H$2841,2,FALSE)),"X",$J96)</f>
        <v/>
      </c>
      <c r="M96" s="172" t="str">
        <f>IF(ISTEXT(VLOOKUP(CONCATENATE($A96,"_",M$3),'Unit List'!$A$14:$H$2841,2,FALSE)),"+","")</f>
        <v/>
      </c>
      <c r="N96" s="120" t="str">
        <f>IF(ISTEXT(VLOOKUP(CONCATENATE($A96,"_",N$3),'Unit List'!$A$14:$H$2841,2,FALSE)),"X",$M96)</f>
        <v/>
      </c>
      <c r="O96" s="122" t="str">
        <f>IF(ISTEXT(VLOOKUP(CONCATENATE($A96,"_",O$3),'Unit List'!$A$14:$H$2841,2,FALSE)),"X",$M96)</f>
        <v/>
      </c>
      <c r="P96" s="172" t="str">
        <f>IF(ISTEXT(VLOOKUP(CONCATENATE($A96,"_",P$3),'Unit List'!$A$14:$H$2841,2,FALSE)),"+","")</f>
        <v/>
      </c>
      <c r="Q96" s="120" t="str">
        <f>IF(ISTEXT(VLOOKUP(CONCATENATE($A96,"_",Q$3),'Unit List'!$A$14:$H$2841,2,FALSE)),"X",$P96)</f>
        <v/>
      </c>
      <c r="R96" s="120" t="str">
        <f>IF(ISTEXT(VLOOKUP(CONCATENATE($A96,"_",R$3),'Unit List'!$A$14:$H$2841,2,FALSE)),"X",$P96)</f>
        <v/>
      </c>
      <c r="S96" s="120" t="str">
        <f>IF(ISTEXT(VLOOKUP(CONCATENATE($A96,"_",S$3),'Unit List'!$A$14:$H$2841,2,FALSE)),"X",$P96)</f>
        <v/>
      </c>
      <c r="T96" s="121" t="str">
        <f>IF(ISTEXT(VLOOKUP(CONCATENATE($A96,"_",T$3),'Unit List'!$A$14:$H$2841,2,FALSE)),"X",$P96)</f>
        <v/>
      </c>
      <c r="U96" s="120" t="str">
        <f>IF(ISTEXT(VLOOKUP(CONCATENATE($A96,"_",U$3),'Unit List'!$A$14:$H$2841,2,FALSE)),"X",$P96)</f>
        <v/>
      </c>
      <c r="V96" s="120" t="str">
        <f>IF(ISTEXT(VLOOKUP(CONCATENATE($A96,"_",V$3),'Unit List'!$A$14:$H$2841,2,FALSE)),"X",$P96)</f>
        <v/>
      </c>
      <c r="W96" s="122" t="str">
        <f>IF(ISTEXT(VLOOKUP(CONCATENATE($A96,"_",W$3),'Unit List'!$A$14:$H$2841,2,FALSE)),"X",$P96)</f>
        <v/>
      </c>
      <c r="X96" s="172" t="str">
        <f>IF(ISTEXT(VLOOKUP(CONCATENATE($A96,"_",X$3),'Unit List'!$A$14:$H$2841,2,FALSE)),"+","")</f>
        <v/>
      </c>
      <c r="Y96" s="120" t="str">
        <f>IF(ISTEXT(VLOOKUP(CONCATENATE($A96,"_",Y$3),'Unit List'!$A$14:$H$2841,2,FALSE)),"X",$X96)</f>
        <v/>
      </c>
      <c r="Z96" s="120" t="str">
        <f>IF(ISTEXT(VLOOKUP(CONCATENATE($A96,"_",Z$3),'Unit List'!$A$14:$H$2841,2,FALSE)),"X",$X96)</f>
        <v/>
      </c>
      <c r="AA96" s="120" t="str">
        <f>IF(ISTEXT(VLOOKUP(CONCATENATE($A96,"_",AA$3),'Unit List'!$A$14:$H$2841,2,FALSE)),"X",$X96)</f>
        <v/>
      </c>
      <c r="AB96" s="120" t="str">
        <f>IF(ISTEXT(VLOOKUP(CONCATENATE($A96,"_",AB$3),'Unit List'!$A$14:$H$2841,2,FALSE)),"X",$X96)</f>
        <v/>
      </c>
      <c r="AC96" s="75" t="str">
        <f>IF(ISTEXT(VLOOKUP(CONCATENATE($A96,"_",AC$3),'Unit List'!$A$14:$H$2841,2,FALSE)),"X",$X96)</f>
        <v/>
      </c>
      <c r="AD96" s="172" t="str">
        <f>IF(ISTEXT(VLOOKUP(CONCATENATE($A96,"_",AD$3),'Unit List'!$A$14:$H$2841,2,FALSE)),"+","")</f>
        <v/>
      </c>
      <c r="AE96" s="120" t="str">
        <f>IF(ISTEXT(VLOOKUP(CONCATENATE($A96,"_",AE$3),'Unit List'!$A$14:$H$2841,2,FALSE)),"X",$AD96)</f>
        <v/>
      </c>
      <c r="AF96" s="120" t="str">
        <f>IF(ISTEXT(VLOOKUP(CONCATENATE($A96,"_",AF$3),'Unit List'!$A$14:$H$2841,2,FALSE)),"X",$AD96)</f>
        <v/>
      </c>
      <c r="AG96" s="172" t="str">
        <f>IF(ISTEXT(VLOOKUP(CONCATENATE($A96,"_",AG$3),'Unit List'!$A$14:$H$2841,2,FALSE)),"+","")</f>
        <v/>
      </c>
      <c r="AH96" s="120" t="str">
        <f>IF(ISTEXT(VLOOKUP(CONCATENATE($A96,"_",AH$3),'Unit List'!$A$14:$H$2841,2,FALSE)),"X",$AG96)</f>
        <v/>
      </c>
      <c r="AI96" s="120" t="str">
        <f>IF(ISTEXT(VLOOKUP(CONCATENATE($A96,"_",AI$3),'Unit List'!$A$14:$H$2841,2,FALSE)),"X",$AG96)</f>
        <v/>
      </c>
      <c r="AJ96" s="122" t="str">
        <f>IF(ISTEXT(VLOOKUP(CONCATENATE($A96,"_",AJ$3),'Unit List'!$A$14:$H$2841,2,FALSE)),"X",$AG96)</f>
        <v/>
      </c>
      <c r="AK96" s="172" t="str">
        <f>IF(ISTEXT(VLOOKUP(CONCATENATE($A96,"_",AK$3),'Unit List'!$A$14:$H$2841,2,FALSE)),"+","")</f>
        <v/>
      </c>
      <c r="AL96" s="121" t="str">
        <f>IF(ISTEXT(VLOOKUP(CONCATENATE($A96,"_",AL$3),'Unit List'!$A$14:$H$2841,2,FALSE)),"X",$AK96)</f>
        <v/>
      </c>
      <c r="AM96" s="122" t="str">
        <f>IF(ISTEXT(VLOOKUP(CONCATENATE($A96,"_",AM$3),'Unit List'!$A$14:$H$2841,2,FALSE)),"X",$AK96)</f>
        <v/>
      </c>
      <c r="AN96" s="125" t="str">
        <f>IF(ISTEXT(VLOOKUP(CONCATENATE($A96,"_",AN$3),'Unit List'!$A$14:$H$2841,2,FALSE)),"+","")</f>
        <v/>
      </c>
      <c r="AO96" s="122" t="str">
        <f>IF(ISTEXT(VLOOKUP(CONCATENATE($A96,"_",AO$3),'Unit List'!$A$14:$H$2841,2,FALSE)),"X",$AN96)</f>
        <v/>
      </c>
      <c r="AP96" s="172" t="str">
        <f>IF(ISTEXT(VLOOKUP(CONCATENATE($A96,"_",AP$3),'Unit List'!$A$14:$H$2841,2,FALSE)),"+","")</f>
        <v/>
      </c>
      <c r="AQ96" s="120" t="str">
        <f>IF(ISTEXT(VLOOKUP(CONCATENATE($A96,"_",AQ$3),'Unit List'!$A$14:$H$2841,2,FALSE)),"X",$AP96)</f>
        <v/>
      </c>
      <c r="AR96" s="120" t="str">
        <f>IF(ISTEXT(VLOOKUP(CONCATENATE($A96,"_",AR$3),'Unit List'!$A$14:$H$2841,2,FALSE)),"X",$AP96)</f>
        <v/>
      </c>
      <c r="AS96" s="120" t="str">
        <f>IF(ISTEXT(VLOOKUP(CONCATENATE($A96,"_",AS$3),'Unit List'!$A$14:$H$2841,2,FALSE)),"X",$AP96)</f>
        <v/>
      </c>
      <c r="AT96" s="122" t="str">
        <f>IF(ISTEXT(VLOOKUP(CONCATENATE($A96,"_",AT$3),'Unit List'!$A$14:$H$2841,2,FALSE)),"X",$AP96)</f>
        <v/>
      </c>
      <c r="AU96" s="124" t="str">
        <f>IF(ISTEXT(VLOOKUP(CONCATENATE($A96,"_",AU$3),'Unit List'!$A$14:$H$2841,2,FALSE)),"+","")</f>
        <v/>
      </c>
      <c r="AV96" s="120" t="str">
        <f>IF(ISTEXT(VLOOKUP(CONCATENATE($A96,"_",AV$3),'Unit List'!$A$14:$H$2841,2,FALSE)),"X",$AU96)</f>
        <v/>
      </c>
      <c r="AW96" s="122" t="str">
        <f>IF(ISTEXT(VLOOKUP(CONCATENATE($A96,"_",AW$3),'Unit List'!$A$14:$H$2841,2,FALSE)),"X",$AU96)</f>
        <v/>
      </c>
      <c r="AX96" s="172" t="str">
        <f>IF(ISTEXT(VLOOKUP(CONCATENATE($A96,"_",AX$3),'Unit List'!$A$14:$H$2841,2,FALSE)),"+","")</f>
        <v/>
      </c>
      <c r="AY96" s="120" t="str">
        <f>IF(ISTEXT(VLOOKUP(CONCATENATE($A96,"_",AY$3),'Unit List'!$A$14:$H$2841,2,FALSE)),"X",$AX96)</f>
        <v/>
      </c>
      <c r="AZ96" s="122" t="str">
        <f>IF(ISTEXT(VLOOKUP(CONCATENATE($A96,"_",AZ$3),'Unit List'!$A$14:$H$2841,2,FALSE)),"X",$AX96)</f>
        <v/>
      </c>
      <c r="BA96" s="182" t="str">
        <f>IF(ISTEXT(VLOOKUP(CONCATENATE($A96,"_",BA$3),'Unit List'!$A$14:$H$2841,2,FALSE)),"+","")</f>
        <v/>
      </c>
      <c r="BB96" s="120" t="str">
        <f>IF(ISTEXT(VLOOKUP(CONCATENATE($A96,"_",BB$3),'Unit List'!$A$14:$H$2841,2,FALSE)),"X",$BA96)</f>
        <v/>
      </c>
      <c r="BC96" s="120" t="str">
        <f>IF(ISTEXT(VLOOKUP(CONCATENATE($A96,"_",BC$3),'Unit List'!$A$14:$H$2841,2,FALSE)),"X",$BA96)</f>
        <v/>
      </c>
      <c r="BD96" s="122" t="str">
        <f>IF(ISTEXT(VLOOKUP(CONCATENATE($A96,"_",BD$3),'Unit List'!$A$14:$H$2841,2,FALSE)),"X",$BA96)</f>
        <v/>
      </c>
      <c r="BE96" s="125" t="str">
        <f>IF(ISTEXT(VLOOKUP(CONCATENATE($A96,"_",BE$3),'Unit List'!$A$14:$H$2841,2,FALSE)),"+","")</f>
        <v/>
      </c>
      <c r="BF96" s="75" t="str">
        <f>IF(ISTEXT(VLOOKUP(CONCATENATE($A96,"_",BF$3),'Unit List'!$A$14:$H$2841,2,FALSE)),"X",$BE96)</f>
        <v/>
      </c>
      <c r="BG96" s="122"/>
      <c r="BH96" s="65" t="s">
        <v>0</v>
      </c>
      <c r="BI96" s="143"/>
      <c r="BJ96" s="144"/>
      <c r="BK96" s="144"/>
      <c r="BL96" s="145"/>
      <c r="BM96" s="145"/>
      <c r="BN96" s="54"/>
      <c r="BO96" s="54"/>
      <c r="BP96" s="54"/>
      <c r="BQ96" s="54"/>
      <c r="BR96" s="54"/>
      <c r="BS96" s="54"/>
      <c r="DZ96" s="55"/>
      <c r="EA96" s="55"/>
    </row>
    <row r="97" spans="1:137" ht="12.75" customHeight="1" x14ac:dyDescent="0.2">
      <c r="A97" s="138" t="s">
        <v>1140</v>
      </c>
      <c r="B97" s="190" t="str">
        <f>IF(ISTEXT(VLOOKUP(CONCATENATE($A97,"_",B$3),'Unit List'!$A$14:$H$2841,2,FALSE)),"+","")</f>
        <v/>
      </c>
      <c r="C97" s="119" t="str">
        <f>IF(ISTEXT(VLOOKUP(CONCATENATE($A97,"_",C$3),'Unit List'!$A$14:$H$2841,2,FALSE)),"X",$B97)</f>
        <v/>
      </c>
      <c r="D97" s="120" t="str">
        <f>IF(ISTEXT(VLOOKUP(CONCATENATE($A97,"_",D$3),'Unit List'!$A$14:$H$2841,2,FALSE)),"X",$B97)</f>
        <v/>
      </c>
      <c r="E97" s="120" t="str">
        <f>IF(ISTEXT(VLOOKUP(CONCATENATE($A97,"_",E$3),'Unit List'!$A$14:$H$2841,2,FALSE)),"X",$B97)</f>
        <v/>
      </c>
      <c r="F97" s="120" t="str">
        <f>IF(ISTEXT(VLOOKUP(CONCATENATE($A97,"_",F$3),'Unit List'!$A$14:$H$2841,2,FALSE)),"X",$B97)</f>
        <v/>
      </c>
      <c r="G97" s="120" t="str">
        <f>IF(ISTEXT(VLOOKUP(CONCATENATE($A97,"_",G$3),'Unit List'!$A$14:$H$2841,2,FALSE)),"X",$B97)</f>
        <v/>
      </c>
      <c r="H97" s="120" t="str">
        <f>IF(ISTEXT(VLOOKUP(CONCATENATE($A97,"_",H$3),'Unit List'!$A$14:$H$2841,2,FALSE)),"X",$B97)</f>
        <v/>
      </c>
      <c r="I97" s="122" t="str">
        <f>IF(ISTEXT(VLOOKUP(CONCATENATE($A97,"_",I$3),'Unit List'!$A$14:$H$2841,2,FALSE)),"X",$B97)</f>
        <v/>
      </c>
      <c r="J97" s="172" t="str">
        <f>IF(ISTEXT(VLOOKUP(CONCATENATE($A97,"_",J$3),'Unit List'!$A$14:$H$2841,2,FALSE)),"+","")</f>
        <v/>
      </c>
      <c r="K97" s="120" t="str">
        <f>IF(ISTEXT(VLOOKUP(CONCATENATE($A97,"_",K$3),'Unit List'!$A$14:$H$2841,2,FALSE)),"X",$J97)</f>
        <v/>
      </c>
      <c r="L97" s="75" t="str">
        <f>IF(ISTEXT(VLOOKUP(CONCATENATE($A97,"_",L$3),'Unit List'!$A$14:$H$2841,2,FALSE)),"X",$J97)</f>
        <v/>
      </c>
      <c r="M97" s="172" t="str">
        <f>IF(ISTEXT(VLOOKUP(CONCATENATE($A97,"_",M$3),'Unit List'!$A$14:$H$2841,2,FALSE)),"+","")</f>
        <v/>
      </c>
      <c r="N97" s="120" t="str">
        <f>IF(ISTEXT(VLOOKUP(CONCATENATE($A97,"_",N$3),'Unit List'!$A$14:$H$2841,2,FALSE)),"X",$M97)</f>
        <v/>
      </c>
      <c r="O97" s="122" t="str">
        <f>IF(ISTEXT(VLOOKUP(CONCATENATE($A97,"_",O$3),'Unit List'!$A$14:$H$2841,2,FALSE)),"X",$M97)</f>
        <v/>
      </c>
      <c r="P97" s="172" t="str">
        <f>IF(ISTEXT(VLOOKUP(CONCATENATE($A97,"_",P$3),'Unit List'!$A$14:$H$2841,2,FALSE)),"+","")</f>
        <v/>
      </c>
      <c r="Q97" s="120" t="str">
        <f>IF(ISTEXT(VLOOKUP(CONCATENATE($A97,"_",Q$3),'Unit List'!$A$14:$H$2841,2,FALSE)),"X",$P97)</f>
        <v/>
      </c>
      <c r="R97" s="120" t="str">
        <f>IF(ISTEXT(VLOOKUP(CONCATENATE($A97,"_",R$3),'Unit List'!$A$14:$H$2841,2,FALSE)),"X",$P97)</f>
        <v/>
      </c>
      <c r="S97" s="120" t="str">
        <f>IF(ISTEXT(VLOOKUP(CONCATENATE($A97,"_",S$3),'Unit List'!$A$14:$H$2841,2,FALSE)),"X",$P97)</f>
        <v/>
      </c>
      <c r="T97" s="121" t="str">
        <f>IF(ISTEXT(VLOOKUP(CONCATENATE($A97,"_",T$3),'Unit List'!$A$14:$H$2841,2,FALSE)),"X",$P97)</f>
        <v/>
      </c>
      <c r="U97" s="120" t="str">
        <f>IF(ISTEXT(VLOOKUP(CONCATENATE($A97,"_",U$3),'Unit List'!$A$14:$H$2841,2,FALSE)),"X",$P97)</f>
        <v/>
      </c>
      <c r="V97" s="120" t="str">
        <f>IF(ISTEXT(VLOOKUP(CONCATENATE($A97,"_",V$3),'Unit List'!$A$14:$H$2841,2,FALSE)),"X",$P97)</f>
        <v/>
      </c>
      <c r="W97" s="146" t="s">
        <v>0</v>
      </c>
      <c r="X97" s="172" t="str">
        <f>IF(ISTEXT(VLOOKUP(CONCATENATE($A97,"_",X$3),'Unit List'!$A$14:$H$2841,2,FALSE)),"+","")</f>
        <v/>
      </c>
      <c r="Y97" s="120" t="str">
        <f>IF(ISTEXT(VLOOKUP(CONCATENATE($A97,"_",Y$3),'Unit List'!$A$14:$H$2841,2,FALSE)),"X",$X97)</f>
        <v/>
      </c>
      <c r="Z97" s="120" t="str">
        <f>IF(ISTEXT(VLOOKUP(CONCATENATE($A97,"_",Z$3),'Unit List'!$A$14:$H$2841,2,FALSE)),"X",$X97)</f>
        <v/>
      </c>
      <c r="AA97" s="120" t="str">
        <f>IF(ISTEXT(VLOOKUP(CONCATENATE($A97,"_",AA$3),'Unit List'!$A$14:$H$2841,2,FALSE)),"X",$X97)</f>
        <v/>
      </c>
      <c r="AB97" s="120" t="str">
        <f>IF(ISTEXT(VLOOKUP(CONCATENATE($A97,"_",AB$3),'Unit List'!$A$14:$H$2841,2,FALSE)),"X",$X97)</f>
        <v/>
      </c>
      <c r="AC97" s="75" t="str">
        <f>IF(ISTEXT(VLOOKUP(CONCATENATE($A97,"_",AC$3),'Unit List'!$A$14:$H$2841,2,FALSE)),"X",$X97)</f>
        <v/>
      </c>
      <c r="AD97" s="172" t="str">
        <f>IF(ISTEXT(VLOOKUP(CONCATENATE($A97,"_",AD$3),'Unit List'!$A$14:$H$2841,2,FALSE)),"+","")</f>
        <v/>
      </c>
      <c r="AE97" s="120" t="str">
        <f>IF(ISTEXT(VLOOKUP(CONCATENATE($A97,"_",AE$3),'Unit List'!$A$14:$H$2841,2,FALSE)),"X",$AD97)</f>
        <v/>
      </c>
      <c r="AF97" s="120" t="str">
        <f>IF(ISTEXT(VLOOKUP(CONCATENATE($A97,"_",AF$3),'Unit List'!$A$14:$H$2841,2,FALSE)),"X",$AD97)</f>
        <v/>
      </c>
      <c r="AG97" s="172" t="str">
        <f>IF(ISTEXT(VLOOKUP(CONCATENATE($A97,"_",AG$3),'Unit List'!$A$14:$H$2841,2,FALSE)),"+","")</f>
        <v/>
      </c>
      <c r="AH97" s="120" t="str">
        <f>IF(ISTEXT(VLOOKUP(CONCATENATE($A97,"_",AH$3),'Unit List'!$A$14:$H$2841,2,FALSE)),"X",$AG97)</f>
        <v/>
      </c>
      <c r="AI97" s="120" t="str">
        <f>IF(ISTEXT(VLOOKUP(CONCATENATE($A97,"_",AI$3),'Unit List'!$A$14:$H$2841,2,FALSE)),"X",$AG97)</f>
        <v/>
      </c>
      <c r="AJ97" s="122" t="str">
        <f>IF(ISTEXT(VLOOKUP(CONCATENATE($A97,"_",AJ$3),'Unit List'!$A$14:$H$2841,2,FALSE)),"X",$AG97)</f>
        <v/>
      </c>
      <c r="AK97" s="172" t="str">
        <f>IF(ISTEXT(VLOOKUP(CONCATENATE($A97,"_",AK$3),'Unit List'!$A$14:$H$2841,2,FALSE)),"+","")</f>
        <v/>
      </c>
      <c r="AL97" s="121" t="str">
        <f>IF(ISTEXT(VLOOKUP(CONCATENATE($A97,"_",AL$3),'Unit List'!$A$14:$H$2841,2,FALSE)),"X",$AK97)</f>
        <v/>
      </c>
      <c r="AM97" s="122" t="str">
        <f>IF(ISTEXT(VLOOKUP(CONCATENATE($A97,"_",AM$3),'Unit List'!$A$14:$H$2841,2,FALSE)),"X",$AK97)</f>
        <v/>
      </c>
      <c r="AN97" s="125" t="str">
        <f>IF(ISTEXT(VLOOKUP(CONCATENATE($A97,"_",AN$3),'Unit List'!$A$14:$H$2841,2,FALSE)),"+","")</f>
        <v/>
      </c>
      <c r="AO97" s="122" t="str">
        <f>IF(ISTEXT(VLOOKUP(CONCATENATE($A97,"_",AO$3),'Unit List'!$A$14:$H$2841,2,FALSE)),"X",$AN97)</f>
        <v/>
      </c>
      <c r="AP97" s="172" t="str">
        <f>IF(ISTEXT(VLOOKUP(CONCATENATE($A97,"_",AP$3),'Unit List'!$A$14:$H$2841,2,FALSE)),"+","")</f>
        <v/>
      </c>
      <c r="AQ97" s="120" t="str">
        <f>IF(ISTEXT(VLOOKUP(CONCATENATE($A97,"_",AQ$3),'Unit List'!$A$14:$H$2841,2,FALSE)),"X",$AP97)</f>
        <v/>
      </c>
      <c r="AR97" s="120" t="str">
        <f>IF(ISTEXT(VLOOKUP(CONCATENATE($A97,"_",AR$3),'Unit List'!$A$14:$H$2841,2,FALSE)),"X",$AP97)</f>
        <v/>
      </c>
      <c r="AS97" s="120" t="str">
        <f>IF(ISTEXT(VLOOKUP(CONCATENATE($A97,"_",AS$3),'Unit List'!$A$14:$H$2841,2,FALSE)),"X",$AP97)</f>
        <v/>
      </c>
      <c r="AT97" s="122" t="str">
        <f>IF(ISTEXT(VLOOKUP(CONCATENATE($A97,"_",AT$3),'Unit List'!$A$14:$H$2841,2,FALSE)),"X",$AP97)</f>
        <v/>
      </c>
      <c r="AU97" s="124" t="str">
        <f>IF(ISTEXT(VLOOKUP(CONCATENATE($A97,"_",AU$3),'Unit List'!$A$14:$H$2841,2,FALSE)),"+","")</f>
        <v/>
      </c>
      <c r="AV97" s="120" t="str">
        <f>IF(ISTEXT(VLOOKUP(CONCATENATE($A97,"_",AV$3),'Unit List'!$A$14:$H$2841,2,FALSE)),"X",$AU97)</f>
        <v/>
      </c>
      <c r="AW97" s="122" t="str">
        <f>IF(ISTEXT(VLOOKUP(CONCATENATE($A97,"_",AW$3),'Unit List'!$A$14:$H$2841,2,FALSE)),"X",$AU97)</f>
        <v/>
      </c>
      <c r="AX97" s="172" t="str">
        <f>IF(ISTEXT(VLOOKUP(CONCATENATE($A97,"_",AX$3),'Unit List'!$A$14:$H$2841,2,FALSE)),"+","")</f>
        <v/>
      </c>
      <c r="AY97" s="120" t="str">
        <f>IF(ISTEXT(VLOOKUP(CONCATENATE($A97,"_",AY$3),'Unit List'!$A$14:$H$2841,2,FALSE)),"X",$AX97)</f>
        <v/>
      </c>
      <c r="AZ97" s="122" t="str">
        <f>IF(ISTEXT(VLOOKUP(CONCATENATE($A97,"_",AZ$3),'Unit List'!$A$14:$H$2841,2,FALSE)),"X",$AX97)</f>
        <v/>
      </c>
      <c r="BA97" s="182" t="str">
        <f>IF(ISTEXT(VLOOKUP(CONCATENATE($A97,"_",BA$3),'Unit List'!$A$14:$H$2841,2,FALSE)),"+","")</f>
        <v/>
      </c>
      <c r="BB97" s="120" t="str">
        <f>IF(ISTEXT(VLOOKUP(CONCATENATE($A97,"_",BB$3),'Unit List'!$A$14:$H$2841,2,FALSE)),"X",$BA97)</f>
        <v/>
      </c>
      <c r="BC97" s="120" t="str">
        <f>IF(ISTEXT(VLOOKUP(CONCATENATE($A97,"_",BC$3),'Unit List'!$A$14:$H$2841,2,FALSE)),"X",$BA97)</f>
        <v/>
      </c>
      <c r="BD97" s="122" t="str">
        <f>IF(ISTEXT(VLOOKUP(CONCATENATE($A97,"_",BD$3),'Unit List'!$A$14:$H$2841,2,FALSE)),"X",$BA97)</f>
        <v/>
      </c>
      <c r="BE97" s="125" t="str">
        <f>IF(ISTEXT(VLOOKUP(CONCATENATE($A97,"_",BE$3),'Unit List'!$A$14:$H$2841,2,FALSE)),"+","")</f>
        <v/>
      </c>
      <c r="BF97" s="75" t="str">
        <f>IF(ISTEXT(VLOOKUP(CONCATENATE($A97,"_",BF$3),'Unit List'!$A$14:$H$2841,2,FALSE)),"X",$BE97)</f>
        <v/>
      </c>
      <c r="BG97" s="122"/>
      <c r="BH97" s="65" t="s">
        <v>0</v>
      </c>
      <c r="BI97" s="143"/>
      <c r="BJ97" s="144"/>
      <c r="BK97" s="144"/>
      <c r="BL97" s="145"/>
      <c r="BM97" s="145"/>
      <c r="BN97" s="54"/>
      <c r="BO97" s="54"/>
      <c r="BP97" s="54"/>
      <c r="BQ97" s="54"/>
      <c r="BR97" s="54"/>
      <c r="BS97" s="54"/>
      <c r="DZ97" s="55"/>
      <c r="EA97" s="55"/>
    </row>
    <row r="98" spans="1:137" ht="12.75" customHeight="1" x14ac:dyDescent="0.2">
      <c r="A98" s="138" t="s">
        <v>1141</v>
      </c>
      <c r="B98" s="190" t="str">
        <f>IF(ISTEXT(VLOOKUP(CONCATENATE($A98,"_",B$3),'Unit List'!$A$14:$H$2841,2,FALSE)),"+","")</f>
        <v/>
      </c>
      <c r="C98" s="119" t="str">
        <f>IF(ISTEXT(VLOOKUP(CONCATENATE($A98,"_",C$3),'Unit List'!$A$14:$H$2841,2,FALSE)),"X",$B98)</f>
        <v/>
      </c>
      <c r="D98" s="120" t="str">
        <f>IF(ISTEXT(VLOOKUP(CONCATENATE($A98,"_",D$3),'Unit List'!$A$14:$H$2841,2,FALSE)),"X",$B98)</f>
        <v/>
      </c>
      <c r="E98" s="120" t="str">
        <f>IF(ISTEXT(VLOOKUP(CONCATENATE($A98,"_",E$3),'Unit List'!$A$14:$H$2841,2,FALSE)),"X",$B98)</f>
        <v/>
      </c>
      <c r="F98" s="120" t="str">
        <f>IF(ISTEXT(VLOOKUP(CONCATENATE($A98,"_",F$3),'Unit List'!$A$14:$H$2841,2,FALSE)),"X",$B98)</f>
        <v/>
      </c>
      <c r="G98" s="120" t="str">
        <f>IF(ISTEXT(VLOOKUP(CONCATENATE($A98,"_",G$3),'Unit List'!$A$14:$H$2841,2,FALSE)),"X",$B98)</f>
        <v/>
      </c>
      <c r="H98" s="120" t="str">
        <f>IF(ISTEXT(VLOOKUP(CONCATENATE($A98,"_",H$3),'Unit List'!$A$14:$H$2841,2,FALSE)),"X",$B98)</f>
        <v/>
      </c>
      <c r="I98" s="122" t="str">
        <f>IF(ISTEXT(VLOOKUP(CONCATENATE($A98,"_",I$3),'Unit List'!$A$14:$H$2841,2,FALSE)),"X",$B98)</f>
        <v/>
      </c>
      <c r="J98" s="172" t="str">
        <f>IF(ISTEXT(VLOOKUP(CONCATENATE($A98,"_",J$3),'Unit List'!$A$14:$H$2841,2,FALSE)),"+","")</f>
        <v/>
      </c>
      <c r="K98" s="120" t="str">
        <f>IF(ISTEXT(VLOOKUP(CONCATENATE($A98,"_",K$3),'Unit List'!$A$14:$H$2841,2,FALSE)),"X",$J98)</f>
        <v/>
      </c>
      <c r="L98" s="75" t="str">
        <f>IF(ISTEXT(VLOOKUP(CONCATENATE($A98,"_",L$3),'Unit List'!$A$14:$H$2841,2,FALSE)),"X",$J98)</f>
        <v/>
      </c>
      <c r="M98" s="172" t="str">
        <f>IF(ISTEXT(VLOOKUP(CONCATENATE($A98,"_",M$3),'Unit List'!$A$14:$H$2841,2,FALSE)),"+","")</f>
        <v/>
      </c>
      <c r="N98" s="120" t="str">
        <f>IF(ISTEXT(VLOOKUP(CONCATENATE($A98,"_",N$3),'Unit List'!$A$14:$H$2841,2,FALSE)),"X",$M98)</f>
        <v/>
      </c>
      <c r="O98" s="122" t="str">
        <f>IF(ISTEXT(VLOOKUP(CONCATENATE($A98,"_",O$3),'Unit List'!$A$14:$H$2841,2,FALSE)),"X",$M98)</f>
        <v/>
      </c>
      <c r="P98" s="172" t="str">
        <f>IF(ISTEXT(VLOOKUP(CONCATENATE($A98,"_",P$3),'Unit List'!$A$14:$H$2841,2,FALSE)),"+","")</f>
        <v/>
      </c>
      <c r="Q98" s="120" t="str">
        <f>IF(ISTEXT(VLOOKUP(CONCATENATE($A98,"_",Q$3),'Unit List'!$A$14:$H$2841,2,FALSE)),"X",$P98)</f>
        <v/>
      </c>
      <c r="R98" s="120" t="str">
        <f>IF(ISTEXT(VLOOKUP(CONCATENATE($A98,"_",R$3),'Unit List'!$A$14:$H$2841,2,FALSE)),"X",$P98)</f>
        <v/>
      </c>
      <c r="S98" s="120" t="str">
        <f>IF(ISTEXT(VLOOKUP(CONCATENATE($A98,"_",S$3),'Unit List'!$A$14:$H$2841,2,FALSE)),"X",$P98)</f>
        <v/>
      </c>
      <c r="T98" s="121" t="str">
        <f>IF(ISTEXT(VLOOKUP(CONCATENATE($A98,"_",T$3),'Unit List'!$A$14:$H$2841,2,FALSE)),"X",$P98)</f>
        <v/>
      </c>
      <c r="U98" s="120" t="str">
        <f>IF(ISTEXT(VLOOKUP(CONCATENATE($A98,"_",U$3),'Unit List'!$A$14:$H$2841,2,FALSE)),"X",$P98)</f>
        <v/>
      </c>
      <c r="V98" s="120" t="str">
        <f>IF(ISTEXT(VLOOKUP(CONCATENATE($A98,"_",V$3),'Unit List'!$A$14:$H$2841,2,FALSE)),"X",$P98)</f>
        <v/>
      </c>
      <c r="W98" s="122" t="str">
        <f>IF(ISTEXT(VLOOKUP(CONCATENATE($A98,"_",W$3),'Unit List'!$A$14:$H$2841,2,FALSE)),"X",$P98)</f>
        <v/>
      </c>
      <c r="X98" s="172" t="str">
        <f>IF(ISTEXT(VLOOKUP(CONCATENATE($A98,"_",X$3),'Unit List'!$A$14:$H$2841,2,FALSE)),"+","")</f>
        <v/>
      </c>
      <c r="Y98" s="120" t="str">
        <f>IF(ISTEXT(VLOOKUP(CONCATENATE($A98,"_",Y$3),'Unit List'!$A$14:$H$2841,2,FALSE)),"X",$X98)</f>
        <v/>
      </c>
      <c r="Z98" s="120" t="str">
        <f>IF(ISTEXT(VLOOKUP(CONCATENATE($A98,"_",Z$3),'Unit List'!$A$14:$H$2841,2,FALSE)),"X",$X98)</f>
        <v/>
      </c>
      <c r="AA98" s="120" t="str">
        <f>IF(ISTEXT(VLOOKUP(CONCATENATE($A98,"_",AA$3),'Unit List'!$A$14:$H$2841,2,FALSE)),"X",$X98)</f>
        <v/>
      </c>
      <c r="AB98" s="120" t="str">
        <f>IF(ISTEXT(VLOOKUP(CONCATENATE($A98,"_",AB$3),'Unit List'!$A$14:$H$2841,2,FALSE)),"X",$X98)</f>
        <v/>
      </c>
      <c r="AC98" s="75" t="str">
        <f>IF(ISTEXT(VLOOKUP(CONCATENATE($A98,"_",AC$3),'Unit List'!$A$14:$H$2841,2,FALSE)),"X",$X98)</f>
        <v/>
      </c>
      <c r="AD98" s="172" t="str">
        <f>IF(ISTEXT(VLOOKUP(CONCATENATE($A98,"_",AD$3),'Unit List'!$A$14:$H$2841,2,FALSE)),"+","")</f>
        <v/>
      </c>
      <c r="AE98" s="120" t="str">
        <f>IF(ISTEXT(VLOOKUP(CONCATENATE($A98,"_",AE$3),'Unit List'!$A$14:$H$2841,2,FALSE)),"X",$AD98)</f>
        <v/>
      </c>
      <c r="AF98" s="120" t="str">
        <f>IF(ISTEXT(VLOOKUP(CONCATENATE($A98,"_",AF$3),'Unit List'!$A$14:$H$2841,2,FALSE)),"X",$AD98)</f>
        <v/>
      </c>
      <c r="AG98" s="172" t="str">
        <f>IF(ISTEXT(VLOOKUP(CONCATENATE($A98,"_",AG$3),'Unit List'!$A$14:$H$2841,2,FALSE)),"+","")</f>
        <v/>
      </c>
      <c r="AH98" s="120" t="str">
        <f>IF(ISTEXT(VLOOKUP(CONCATENATE($A98,"_",AH$3),'Unit List'!$A$14:$H$2841,2,FALSE)),"X",$AG98)</f>
        <v/>
      </c>
      <c r="AI98" s="120" t="str">
        <f>IF(ISTEXT(VLOOKUP(CONCATENATE($A98,"_",AI$3),'Unit List'!$A$14:$H$2841,2,FALSE)),"X",$AG98)</f>
        <v/>
      </c>
      <c r="AJ98" s="122" t="str">
        <f>IF(ISTEXT(VLOOKUP(CONCATENATE($A98,"_",AJ$3),'Unit List'!$A$14:$H$2841,2,FALSE)),"X",$AG98)</f>
        <v/>
      </c>
      <c r="AK98" s="172" t="str">
        <f>IF(ISTEXT(VLOOKUP(CONCATENATE($A98,"_",AK$3),'Unit List'!$A$14:$H$2841,2,FALSE)),"+","")</f>
        <v/>
      </c>
      <c r="AL98" s="121" t="str">
        <f>IF(ISTEXT(VLOOKUP(CONCATENATE($A98,"_",AL$3),'Unit List'!$A$14:$H$2841,2,FALSE)),"X",$AK98)</f>
        <v/>
      </c>
      <c r="AM98" s="122" t="str">
        <f>IF(ISTEXT(VLOOKUP(CONCATENATE($A98,"_",AM$3),'Unit List'!$A$14:$H$2841,2,FALSE)),"X",$AK98)</f>
        <v/>
      </c>
      <c r="AN98" s="125" t="str">
        <f>IF(ISTEXT(VLOOKUP(CONCATENATE($A98,"_",AN$3),'Unit List'!$A$14:$H$2841,2,FALSE)),"+","")</f>
        <v/>
      </c>
      <c r="AO98" s="122" t="str">
        <f>IF(ISTEXT(VLOOKUP(CONCATENATE($A98,"_",AO$3),'Unit List'!$A$14:$H$2841,2,FALSE)),"X",$AN98)</f>
        <v/>
      </c>
      <c r="AP98" s="172" t="str">
        <f>IF(ISTEXT(VLOOKUP(CONCATENATE($A98,"_",AP$3),'Unit List'!$A$14:$H$2841,2,FALSE)),"+","")</f>
        <v/>
      </c>
      <c r="AQ98" s="120" t="str">
        <f>IF(ISTEXT(VLOOKUP(CONCATENATE($A98,"_",AQ$3),'Unit List'!$A$14:$H$2841,2,FALSE)),"X",$AP98)</f>
        <v/>
      </c>
      <c r="AR98" s="120" t="str">
        <f>IF(ISTEXT(VLOOKUP(CONCATENATE($A98,"_",AR$3),'Unit List'!$A$14:$H$2841,2,FALSE)),"X",$AP98)</f>
        <v/>
      </c>
      <c r="AS98" s="120" t="str">
        <f>IF(ISTEXT(VLOOKUP(CONCATENATE($A98,"_",AS$3),'Unit List'!$A$14:$H$2841,2,FALSE)),"X",$AP98)</f>
        <v/>
      </c>
      <c r="AT98" s="122" t="str">
        <f>IF(ISTEXT(VLOOKUP(CONCATENATE($A98,"_",AT$3),'Unit List'!$A$14:$H$2841,2,FALSE)),"X",$AP98)</f>
        <v/>
      </c>
      <c r="AU98" s="124" t="str">
        <f>IF(ISTEXT(VLOOKUP(CONCATENATE($A98,"_",AU$3),'Unit List'!$A$14:$H$2841,2,FALSE)),"+","")</f>
        <v/>
      </c>
      <c r="AV98" s="120" t="str">
        <f>IF(ISTEXT(VLOOKUP(CONCATENATE($A98,"_",AV$3),'Unit List'!$A$14:$H$2841,2,FALSE)),"X",$AU98)</f>
        <v/>
      </c>
      <c r="AW98" s="122" t="str">
        <f>IF(ISTEXT(VLOOKUP(CONCATENATE($A98,"_",AW$3),'Unit List'!$A$14:$H$2841,2,FALSE)),"X",$AU98)</f>
        <v/>
      </c>
      <c r="AX98" s="172" t="str">
        <f>IF(ISTEXT(VLOOKUP(CONCATENATE($A98,"_",AX$3),'Unit List'!$A$14:$H$2841,2,FALSE)),"+","")</f>
        <v/>
      </c>
      <c r="AY98" s="120" t="str">
        <f>IF(ISTEXT(VLOOKUP(CONCATENATE($A98,"_",AY$3),'Unit List'!$A$14:$H$2841,2,FALSE)),"X",$AX98)</f>
        <v/>
      </c>
      <c r="AZ98" s="122" t="str">
        <f>IF(ISTEXT(VLOOKUP(CONCATENATE($A98,"_",AZ$3),'Unit List'!$A$14:$H$2841,2,FALSE)),"X",$AX98)</f>
        <v/>
      </c>
      <c r="BA98" s="182" t="str">
        <f>IF(ISTEXT(VLOOKUP(CONCATENATE($A98,"_",BA$3),'Unit List'!$A$14:$H$2841,2,FALSE)),"+","")</f>
        <v/>
      </c>
      <c r="BB98" s="120" t="str">
        <f>IF(ISTEXT(VLOOKUP(CONCATENATE($A98,"_",BB$3),'Unit List'!$A$14:$H$2841,2,FALSE)),"X",$BA98)</f>
        <v/>
      </c>
      <c r="BC98" s="120" t="str">
        <f>IF(ISTEXT(VLOOKUP(CONCATENATE($A98,"_",BC$3),'Unit List'!$A$14:$H$2841,2,FALSE)),"X",$BA98)</f>
        <v/>
      </c>
      <c r="BD98" s="122" t="str">
        <f>IF(ISTEXT(VLOOKUP(CONCATENATE($A98,"_",BD$3),'Unit List'!$A$14:$H$2841,2,FALSE)),"X",$BA98)</f>
        <v/>
      </c>
      <c r="BE98" s="125" t="str">
        <f>IF(ISTEXT(VLOOKUP(CONCATENATE($A98,"_",BE$3),'Unit List'!$A$14:$H$2841,2,FALSE)),"+","")</f>
        <v/>
      </c>
      <c r="BF98" s="75" t="str">
        <f>IF(ISTEXT(VLOOKUP(CONCATENATE($A98,"_",BF$3),'Unit List'!$A$14:$H$2841,2,FALSE)),"X",$BE98)</f>
        <v/>
      </c>
      <c r="BG98" s="122"/>
      <c r="BH98" s="65" t="s">
        <v>0</v>
      </c>
      <c r="BI98" s="143"/>
      <c r="BJ98" s="144"/>
      <c r="BK98" s="144"/>
      <c r="BL98" s="145"/>
      <c r="BM98" s="145"/>
      <c r="BN98" s="54"/>
      <c r="BO98" s="54"/>
      <c r="BP98" s="54"/>
      <c r="BQ98" s="54"/>
      <c r="BR98" s="54"/>
      <c r="BS98" s="54"/>
      <c r="DZ98" s="55"/>
      <c r="EA98" s="55"/>
    </row>
    <row r="99" spans="1:137" ht="12.75" customHeight="1" x14ac:dyDescent="0.2">
      <c r="A99" s="138" t="s">
        <v>1142</v>
      </c>
      <c r="B99" s="190" t="str">
        <f>IF(ISTEXT(VLOOKUP(CONCATENATE($A99,"_",B$3),'Unit List'!$A$14:$H$2841,2,FALSE)),"+","")</f>
        <v/>
      </c>
      <c r="C99" s="119" t="str">
        <f>IF(ISTEXT(VLOOKUP(CONCATENATE($A99,"_",C$3),'Unit List'!$A$14:$H$2841,2,FALSE)),"X",$B99)</f>
        <v/>
      </c>
      <c r="D99" s="120" t="str">
        <f>IF(ISTEXT(VLOOKUP(CONCATENATE($A99,"_",D$3),'Unit List'!$A$14:$H$2841,2,FALSE)),"X",$B99)</f>
        <v/>
      </c>
      <c r="E99" s="120" t="str">
        <f>IF(ISTEXT(VLOOKUP(CONCATENATE($A99,"_",E$3),'Unit List'!$A$14:$H$2841,2,FALSE)),"X",$B99)</f>
        <v/>
      </c>
      <c r="F99" s="120" t="str">
        <f>IF(ISTEXT(VLOOKUP(CONCATENATE($A99,"_",F$3),'Unit List'!$A$14:$H$2841,2,FALSE)),"X",$B99)</f>
        <v/>
      </c>
      <c r="G99" s="120" t="str">
        <f>IF(ISTEXT(VLOOKUP(CONCATENATE($A99,"_",G$3),'Unit List'!$A$14:$H$2841,2,FALSE)),"X",$B99)</f>
        <v/>
      </c>
      <c r="H99" s="120" t="str">
        <f>IF(ISTEXT(VLOOKUP(CONCATENATE($A99,"_",H$3),'Unit List'!$A$14:$H$2841,2,FALSE)),"X",$B99)</f>
        <v/>
      </c>
      <c r="I99" s="122" t="str">
        <f>IF(ISTEXT(VLOOKUP(CONCATENATE($A99,"_",I$3),'Unit List'!$A$14:$H$2841,2,FALSE)),"X",$B99)</f>
        <v/>
      </c>
      <c r="J99" s="172" t="str">
        <f>IF(ISTEXT(VLOOKUP(CONCATENATE($A99,"_",J$3),'Unit List'!$A$14:$H$2841,2,FALSE)),"+","")</f>
        <v/>
      </c>
      <c r="K99" s="120" t="str">
        <f>IF(ISTEXT(VLOOKUP(CONCATENATE($A99,"_",K$3),'Unit List'!$A$14:$H$2841,2,FALSE)),"X",$J99)</f>
        <v/>
      </c>
      <c r="L99" s="75" t="str">
        <f>IF(ISTEXT(VLOOKUP(CONCATENATE($A99,"_",L$3),'Unit List'!$A$14:$H$2841,2,FALSE)),"X",$J99)</f>
        <v/>
      </c>
      <c r="M99" s="172" t="str">
        <f>IF(ISTEXT(VLOOKUP(CONCATENATE($A99,"_",M$3),'Unit List'!$A$14:$H$2841,2,FALSE)),"+","")</f>
        <v/>
      </c>
      <c r="N99" s="120" t="str">
        <f>IF(ISTEXT(VLOOKUP(CONCATENATE($A99,"_",N$3),'Unit List'!$A$14:$H$2841,2,FALSE)),"X",$M99)</f>
        <v/>
      </c>
      <c r="O99" s="122" t="str">
        <f>IF(ISTEXT(VLOOKUP(CONCATENATE($A99,"_",O$3),'Unit List'!$A$14:$H$2841,2,FALSE)),"X",$M99)</f>
        <v/>
      </c>
      <c r="P99" s="172" t="str">
        <f>IF(ISTEXT(VLOOKUP(CONCATENATE($A99,"_",P$3),'Unit List'!$A$14:$H$2841,2,FALSE)),"+","")</f>
        <v/>
      </c>
      <c r="Q99" s="120" t="str">
        <f>IF(ISTEXT(VLOOKUP(CONCATENATE($A99,"_",Q$3),'Unit List'!$A$14:$H$2841,2,FALSE)),"X",$P99)</f>
        <v/>
      </c>
      <c r="R99" s="120" t="str">
        <f>IF(ISTEXT(VLOOKUP(CONCATENATE($A99,"_",R$3),'Unit List'!$A$14:$H$2841,2,FALSE)),"X",$P99)</f>
        <v/>
      </c>
      <c r="S99" s="120" t="str">
        <f>IF(ISTEXT(VLOOKUP(CONCATENATE($A99,"_",S$3),'Unit List'!$A$14:$H$2841,2,FALSE)),"X",$P99)</f>
        <v/>
      </c>
      <c r="T99" s="121" t="str">
        <f>IF(ISTEXT(VLOOKUP(CONCATENATE($A99,"_",T$3),'Unit List'!$A$14:$H$2841,2,FALSE)),"X",$P99)</f>
        <v/>
      </c>
      <c r="U99" s="120" t="str">
        <f>IF(ISTEXT(VLOOKUP(CONCATENATE($A99,"_",U$3),'Unit List'!$A$14:$H$2841,2,FALSE)),"X",$P99)</f>
        <v/>
      </c>
      <c r="V99" s="120" t="str">
        <f>IF(ISTEXT(VLOOKUP(CONCATENATE($A99,"_",V$3),'Unit List'!$A$14:$H$2841,2,FALSE)),"X",$P99)</f>
        <v/>
      </c>
      <c r="W99" s="122" t="str">
        <f>IF(ISTEXT(VLOOKUP(CONCATENATE($A99,"_",W$3),'Unit List'!$A$14:$H$2841,2,FALSE)),"X",$P99)</f>
        <v/>
      </c>
      <c r="X99" s="172" t="str">
        <f>IF(ISTEXT(VLOOKUP(CONCATENATE($A99,"_",X$3),'Unit List'!$A$14:$H$2841,2,FALSE)),"+","")</f>
        <v/>
      </c>
      <c r="Y99" s="120" t="str">
        <f>IF(ISTEXT(VLOOKUP(CONCATENATE($A99,"_",Y$3),'Unit List'!$A$14:$H$2841,2,FALSE)),"X",$X99)</f>
        <v/>
      </c>
      <c r="Z99" s="120" t="str">
        <f>IF(ISTEXT(VLOOKUP(CONCATENATE($A99,"_",Z$3),'Unit List'!$A$14:$H$2841,2,FALSE)),"X",$X99)</f>
        <v/>
      </c>
      <c r="AA99" s="120" t="str">
        <f>IF(ISTEXT(VLOOKUP(CONCATENATE($A99,"_",AA$3),'Unit List'!$A$14:$H$2841,2,FALSE)),"X",$X99)</f>
        <v/>
      </c>
      <c r="AB99" s="120" t="str">
        <f>IF(ISTEXT(VLOOKUP(CONCATENATE($A99,"_",AB$3),'Unit List'!$A$14:$H$2841,2,FALSE)),"X",$X99)</f>
        <v/>
      </c>
      <c r="AC99" s="75" t="str">
        <f>IF(ISTEXT(VLOOKUP(CONCATENATE($A99,"_",AC$3),'Unit List'!$A$14:$H$2841,2,FALSE)),"X",$X99)</f>
        <v/>
      </c>
      <c r="AD99" s="172" t="str">
        <f>IF(ISTEXT(VLOOKUP(CONCATENATE($A99,"_",AD$3),'Unit List'!$A$14:$H$2841,2,FALSE)),"+","")</f>
        <v/>
      </c>
      <c r="AE99" s="120" t="str">
        <f>IF(ISTEXT(VLOOKUP(CONCATENATE($A99,"_",AE$3),'Unit List'!$A$14:$H$2841,2,FALSE)),"X",$AD99)</f>
        <v/>
      </c>
      <c r="AF99" s="120" t="str">
        <f>IF(ISTEXT(VLOOKUP(CONCATENATE($A99,"_",AF$3),'Unit List'!$A$14:$H$2841,2,FALSE)),"X",$AD99)</f>
        <v/>
      </c>
      <c r="AG99" s="172" t="str">
        <f>IF(ISTEXT(VLOOKUP(CONCATENATE($A99,"_",AG$3),'Unit List'!$A$14:$H$2841,2,FALSE)),"+","")</f>
        <v/>
      </c>
      <c r="AH99" s="120" t="str">
        <f>IF(ISTEXT(VLOOKUP(CONCATENATE($A99,"_",AH$3),'Unit List'!$A$14:$H$2841,2,FALSE)),"X",$AG99)</f>
        <v/>
      </c>
      <c r="AI99" s="120" t="str">
        <f>IF(ISTEXT(VLOOKUP(CONCATENATE($A99,"_",AI$3),'Unit List'!$A$14:$H$2841,2,FALSE)),"X",$AG99)</f>
        <v/>
      </c>
      <c r="AJ99" s="122" t="str">
        <f>IF(ISTEXT(VLOOKUP(CONCATENATE($A99,"_",AJ$3),'Unit List'!$A$14:$H$2841,2,FALSE)),"X",$AG99)</f>
        <v/>
      </c>
      <c r="AK99" s="172" t="str">
        <f>IF(ISTEXT(VLOOKUP(CONCATENATE($A99,"_",AK$3),'Unit List'!$A$14:$H$2841,2,FALSE)),"+","")</f>
        <v/>
      </c>
      <c r="AL99" s="121" t="str">
        <f>IF(ISTEXT(VLOOKUP(CONCATENATE($A99,"_",AL$3),'Unit List'!$A$14:$H$2841,2,FALSE)),"X",$AK99)</f>
        <v/>
      </c>
      <c r="AM99" s="122" t="str">
        <f>IF(ISTEXT(VLOOKUP(CONCATENATE($A99,"_",AM$3),'Unit List'!$A$14:$H$2841,2,FALSE)),"X",$AK99)</f>
        <v/>
      </c>
      <c r="AN99" s="125" t="str">
        <f>IF(ISTEXT(VLOOKUP(CONCATENATE($A99,"_",AN$3),'Unit List'!$A$14:$H$2841,2,FALSE)),"+","")</f>
        <v/>
      </c>
      <c r="AO99" s="122" t="str">
        <f>IF(ISTEXT(VLOOKUP(CONCATENATE($A99,"_",AO$3),'Unit List'!$A$14:$H$2841,2,FALSE)),"X",$AN99)</f>
        <v/>
      </c>
      <c r="AP99" s="172" t="str">
        <f>IF(ISTEXT(VLOOKUP(CONCATENATE($A99,"_",AP$3),'Unit List'!$A$14:$H$2841,2,FALSE)),"+","")</f>
        <v/>
      </c>
      <c r="AQ99" s="120" t="str">
        <f>IF(ISTEXT(VLOOKUP(CONCATENATE($A99,"_",AQ$3),'Unit List'!$A$14:$H$2841,2,FALSE)),"X",$AP99)</f>
        <v/>
      </c>
      <c r="AR99" s="120" t="str">
        <f>IF(ISTEXT(VLOOKUP(CONCATENATE($A99,"_",AR$3),'Unit List'!$A$14:$H$2841,2,FALSE)),"X",$AP99)</f>
        <v/>
      </c>
      <c r="AS99" s="120" t="str">
        <f>IF(ISTEXT(VLOOKUP(CONCATENATE($A99,"_",AS$3),'Unit List'!$A$14:$H$2841,2,FALSE)),"X",$AP99)</f>
        <v/>
      </c>
      <c r="AT99" s="122" t="str">
        <f>IF(ISTEXT(VLOOKUP(CONCATENATE($A99,"_",AT$3),'Unit List'!$A$14:$H$2841,2,FALSE)),"X",$AP99)</f>
        <v/>
      </c>
      <c r="AU99" s="124" t="str">
        <f>IF(ISTEXT(VLOOKUP(CONCATENATE($A99,"_",AU$3),'Unit List'!$A$14:$H$2841,2,FALSE)),"+","")</f>
        <v/>
      </c>
      <c r="AV99" s="120" t="str">
        <f>IF(ISTEXT(VLOOKUP(CONCATENATE($A99,"_",AV$3),'Unit List'!$A$14:$H$2841,2,FALSE)),"X",$AU99)</f>
        <v/>
      </c>
      <c r="AW99" s="122" t="str">
        <f>IF(ISTEXT(VLOOKUP(CONCATENATE($A99,"_",AW$3),'Unit List'!$A$14:$H$2841,2,FALSE)),"X",$AU99)</f>
        <v/>
      </c>
      <c r="AX99" s="172" t="str">
        <f>IF(ISTEXT(VLOOKUP(CONCATENATE($A99,"_",AX$3),'Unit List'!$A$14:$H$2841,2,FALSE)),"+","")</f>
        <v/>
      </c>
      <c r="AY99" s="120" t="str">
        <f>IF(ISTEXT(VLOOKUP(CONCATENATE($A99,"_",AY$3),'Unit List'!$A$14:$H$2841,2,FALSE)),"X",$AX99)</f>
        <v/>
      </c>
      <c r="AZ99" s="122" t="str">
        <f>IF(ISTEXT(VLOOKUP(CONCATENATE($A99,"_",AZ$3),'Unit List'!$A$14:$H$2841,2,FALSE)),"X",$AX99)</f>
        <v/>
      </c>
      <c r="BA99" s="182" t="str">
        <f>IF(ISTEXT(VLOOKUP(CONCATENATE($A99,"_",BA$3),'Unit List'!$A$14:$H$2841,2,FALSE)),"+","")</f>
        <v/>
      </c>
      <c r="BB99" s="120" t="str">
        <f>IF(ISTEXT(VLOOKUP(CONCATENATE($A99,"_",BB$3),'Unit List'!$A$14:$H$2841,2,FALSE)),"X",$BA99)</f>
        <v/>
      </c>
      <c r="BC99" s="120" t="str">
        <f>IF(ISTEXT(VLOOKUP(CONCATENATE($A99,"_",BC$3),'Unit List'!$A$14:$H$2841,2,FALSE)),"X",$BA99)</f>
        <v/>
      </c>
      <c r="BD99" s="122" t="str">
        <f>IF(ISTEXT(VLOOKUP(CONCATENATE($A99,"_",BD$3),'Unit List'!$A$14:$H$2841,2,FALSE)),"X",$BA99)</f>
        <v/>
      </c>
      <c r="BE99" s="125" t="str">
        <f>IF(ISTEXT(VLOOKUP(CONCATENATE($A99,"_",BE$3),'Unit List'!$A$14:$H$2841,2,FALSE)),"+","")</f>
        <v/>
      </c>
      <c r="BF99" s="75" t="str">
        <f>IF(ISTEXT(VLOOKUP(CONCATENATE($A99,"_",BF$3),'Unit List'!$A$14:$H$2841,2,FALSE)),"X",$BE99)</f>
        <v/>
      </c>
      <c r="BG99" s="122"/>
      <c r="BH99" s="65" t="s">
        <v>0</v>
      </c>
      <c r="BI99" s="143"/>
      <c r="BJ99" s="144"/>
      <c r="BK99" s="144"/>
      <c r="BL99" s="145"/>
      <c r="BM99" s="145"/>
      <c r="BN99" s="54"/>
      <c r="BO99" s="54"/>
      <c r="BP99" s="54"/>
      <c r="BQ99" s="54"/>
      <c r="BR99" s="54"/>
      <c r="BS99" s="54"/>
      <c r="DZ99" s="55"/>
      <c r="EA99" s="55"/>
    </row>
    <row r="100" spans="1:137" ht="12.75" customHeight="1" x14ac:dyDescent="0.2">
      <c r="A100" s="138" t="s">
        <v>1143</v>
      </c>
      <c r="B100" s="190" t="str">
        <f>IF(ISTEXT(VLOOKUP(CONCATENATE($A100,"_",B$3),'Unit List'!$A$14:$H$2841,2,FALSE)),"+","")</f>
        <v/>
      </c>
      <c r="C100" s="119" t="str">
        <f>IF(ISTEXT(VLOOKUP(CONCATENATE($A100,"_",C$3),'Unit List'!$A$14:$H$2841,2,FALSE)),"X",$B100)</f>
        <v/>
      </c>
      <c r="D100" s="120" t="str">
        <f>IF(ISTEXT(VLOOKUP(CONCATENATE($A100,"_",D$3),'Unit List'!$A$14:$H$2841,2,FALSE)),"X",$B100)</f>
        <v/>
      </c>
      <c r="E100" s="120" t="str">
        <f>IF(ISTEXT(VLOOKUP(CONCATENATE($A100,"_",E$3),'Unit List'!$A$14:$H$2841,2,FALSE)),"X",$B100)</f>
        <v/>
      </c>
      <c r="F100" s="120" t="str">
        <f>IF(ISTEXT(VLOOKUP(CONCATENATE($A100,"_",F$3),'Unit List'!$A$14:$H$2841,2,FALSE)),"X",$B100)</f>
        <v/>
      </c>
      <c r="G100" s="120" t="str">
        <f>IF(ISTEXT(VLOOKUP(CONCATENATE($A100,"_",G$3),'Unit List'!$A$14:$H$2841,2,FALSE)),"X",$B100)</f>
        <v/>
      </c>
      <c r="H100" s="120" t="str">
        <f>IF(ISTEXT(VLOOKUP(CONCATENATE($A100,"_",H$3),'Unit List'!$A$14:$H$2841,2,FALSE)),"X",$B100)</f>
        <v/>
      </c>
      <c r="I100" s="122" t="str">
        <f>IF(ISTEXT(VLOOKUP(CONCATENATE($A100,"_",I$3),'Unit List'!$A$14:$H$2841,2,FALSE)),"X",$B100)</f>
        <v/>
      </c>
      <c r="J100" s="172" t="str">
        <f>IF(ISTEXT(VLOOKUP(CONCATENATE($A100,"_",J$3),'Unit List'!$A$14:$H$2841,2,FALSE)),"+","")</f>
        <v/>
      </c>
      <c r="K100" s="120" t="str">
        <f>IF(ISTEXT(VLOOKUP(CONCATENATE($A100,"_",K$3),'Unit List'!$A$14:$H$2841,2,FALSE)),"X",$J100)</f>
        <v/>
      </c>
      <c r="L100" s="75" t="str">
        <f>IF(ISTEXT(VLOOKUP(CONCATENATE($A100,"_",L$3),'Unit List'!$A$14:$H$2841,2,FALSE)),"X",$J100)</f>
        <v/>
      </c>
      <c r="M100" s="172" t="str">
        <f>IF(ISTEXT(VLOOKUP(CONCATENATE($A100,"_",M$3),'Unit List'!$A$14:$H$2841,2,FALSE)),"+","")</f>
        <v/>
      </c>
      <c r="N100" s="120" t="str">
        <f>IF(ISTEXT(VLOOKUP(CONCATENATE($A100,"_",N$3),'Unit List'!$A$14:$H$2841,2,FALSE)),"X",$M100)</f>
        <v/>
      </c>
      <c r="O100" s="122" t="str">
        <f>IF(ISTEXT(VLOOKUP(CONCATENATE($A100,"_",O$3),'Unit List'!$A$14:$H$2841,2,FALSE)),"X",$M100)</f>
        <v/>
      </c>
      <c r="P100" s="172" t="str">
        <f>IF(ISTEXT(VLOOKUP(CONCATENATE($A100,"_",P$3),'Unit List'!$A$14:$H$2841,2,FALSE)),"+","")</f>
        <v/>
      </c>
      <c r="Q100" s="120" t="str">
        <f>IF(ISTEXT(VLOOKUP(CONCATENATE($A100,"_",Q$3),'Unit List'!$A$14:$H$2841,2,FALSE)),"X",$P100)</f>
        <v/>
      </c>
      <c r="R100" s="120" t="str">
        <f>IF(ISTEXT(VLOOKUP(CONCATENATE($A100,"_",R$3),'Unit List'!$A$14:$H$2841,2,FALSE)),"X",$P100)</f>
        <v/>
      </c>
      <c r="S100" s="120" t="str">
        <f>IF(ISTEXT(VLOOKUP(CONCATENATE($A100,"_",S$3),'Unit List'!$A$14:$H$2841,2,FALSE)),"X",$P100)</f>
        <v/>
      </c>
      <c r="T100" s="121" t="str">
        <f>IF(ISTEXT(VLOOKUP(CONCATENATE($A100,"_",T$3),'Unit List'!$A$14:$H$2841,2,FALSE)),"X",$P100)</f>
        <v/>
      </c>
      <c r="U100" s="120" t="str">
        <f>IF(ISTEXT(VLOOKUP(CONCATENATE($A100,"_",U$3),'Unit List'!$A$14:$H$2841,2,FALSE)),"X",$P100)</f>
        <v/>
      </c>
      <c r="V100" s="120" t="str">
        <f>IF(ISTEXT(VLOOKUP(CONCATENATE($A100,"_",V$3),'Unit List'!$A$14:$H$2841,2,FALSE)),"X",$P100)</f>
        <v/>
      </c>
      <c r="W100" s="122" t="str">
        <f>IF(ISTEXT(VLOOKUP(CONCATENATE($A100,"_",W$3),'Unit List'!$A$14:$H$2841,2,FALSE)),"X",$P100)</f>
        <v/>
      </c>
      <c r="X100" s="172" t="str">
        <f>IF(ISTEXT(VLOOKUP(CONCATENATE($A100,"_",X$3),'Unit List'!$A$14:$H$2841,2,FALSE)),"+","")</f>
        <v/>
      </c>
      <c r="Y100" s="120" t="str">
        <f>IF(ISTEXT(VLOOKUP(CONCATENATE($A100,"_",Y$3),'Unit List'!$A$14:$H$2841,2,FALSE)),"X",$X100)</f>
        <v/>
      </c>
      <c r="Z100" s="120" t="str">
        <f>IF(ISTEXT(VLOOKUP(CONCATENATE($A100,"_",Z$3),'Unit List'!$A$14:$H$2841,2,FALSE)),"X",$X100)</f>
        <v/>
      </c>
      <c r="AA100" s="120" t="str">
        <f>IF(ISTEXT(VLOOKUP(CONCATENATE($A100,"_",AA$3),'Unit List'!$A$14:$H$2841,2,FALSE)),"X",$X100)</f>
        <v/>
      </c>
      <c r="AB100" s="120" t="str">
        <f>IF(ISTEXT(VLOOKUP(CONCATENATE($A100,"_",AB$3),'Unit List'!$A$14:$H$2841,2,FALSE)),"X",$X100)</f>
        <v/>
      </c>
      <c r="AC100" s="75" t="str">
        <f>IF(ISTEXT(VLOOKUP(CONCATENATE($A100,"_",AC$3),'Unit List'!$A$14:$H$2841,2,FALSE)),"X",$X100)</f>
        <v/>
      </c>
      <c r="AD100" s="172" t="str">
        <f>IF(ISTEXT(VLOOKUP(CONCATENATE($A100,"_",AD$3),'Unit List'!$A$14:$H$2841,2,FALSE)),"+","")</f>
        <v/>
      </c>
      <c r="AE100" s="120" t="str">
        <f>IF(ISTEXT(VLOOKUP(CONCATENATE($A100,"_",AE$3),'Unit List'!$A$14:$H$2841,2,FALSE)),"X",$AD100)</f>
        <v/>
      </c>
      <c r="AF100" s="120" t="str">
        <f>IF(ISTEXT(VLOOKUP(CONCATENATE($A100,"_",AF$3),'Unit List'!$A$14:$H$2841,2,FALSE)),"X",$AD100)</f>
        <v/>
      </c>
      <c r="AG100" s="172" t="str">
        <f>IF(ISTEXT(VLOOKUP(CONCATENATE($A100,"_",AG$3),'Unit List'!$A$14:$H$2841,2,FALSE)),"+","")</f>
        <v/>
      </c>
      <c r="AH100" s="120" t="str">
        <f>IF(ISTEXT(VLOOKUP(CONCATENATE($A100,"_",AH$3),'Unit List'!$A$14:$H$2841,2,FALSE)),"X",$AG100)</f>
        <v/>
      </c>
      <c r="AI100" s="120" t="str">
        <f>IF(ISTEXT(VLOOKUP(CONCATENATE($A100,"_",AI$3),'Unit List'!$A$14:$H$2841,2,FALSE)),"X",$AG100)</f>
        <v/>
      </c>
      <c r="AJ100" s="122" t="str">
        <f>IF(ISTEXT(VLOOKUP(CONCATENATE($A100,"_",AJ$3),'Unit List'!$A$14:$H$2841,2,FALSE)),"X",$AG100)</f>
        <v/>
      </c>
      <c r="AK100" s="172" t="str">
        <f>IF(ISTEXT(VLOOKUP(CONCATENATE($A100,"_",AK$3),'Unit List'!$A$14:$H$2841,2,FALSE)),"+","")</f>
        <v/>
      </c>
      <c r="AL100" s="121" t="str">
        <f>IF(ISTEXT(VLOOKUP(CONCATENATE($A100,"_",AL$3),'Unit List'!$A$14:$H$2841,2,FALSE)),"X",$AK100)</f>
        <v/>
      </c>
      <c r="AM100" s="122" t="str">
        <f>IF(ISTEXT(VLOOKUP(CONCATENATE($A100,"_",AM$3),'Unit List'!$A$14:$H$2841,2,FALSE)),"X",$AK100)</f>
        <v/>
      </c>
      <c r="AN100" s="125" t="str">
        <f>IF(ISTEXT(VLOOKUP(CONCATENATE($A100,"_",AN$3),'Unit List'!$A$14:$H$2841,2,FALSE)),"+","")</f>
        <v/>
      </c>
      <c r="AO100" s="122" t="str">
        <f>IF(ISTEXT(VLOOKUP(CONCATENATE($A100,"_",AO$3),'Unit List'!$A$14:$H$2841,2,FALSE)),"X",$AN100)</f>
        <v/>
      </c>
      <c r="AP100" s="172" t="str">
        <f>IF(ISTEXT(VLOOKUP(CONCATENATE($A100,"_",AP$3),'Unit List'!$A$14:$H$2841,2,FALSE)),"+","")</f>
        <v/>
      </c>
      <c r="AQ100" s="120" t="str">
        <f>IF(ISTEXT(VLOOKUP(CONCATENATE($A100,"_",AQ$3),'Unit List'!$A$14:$H$2841,2,FALSE)),"X",$AP100)</f>
        <v/>
      </c>
      <c r="AR100" s="120" t="str">
        <f>IF(ISTEXT(VLOOKUP(CONCATENATE($A100,"_",AR$3),'Unit List'!$A$14:$H$2841,2,FALSE)),"X",$AP100)</f>
        <v/>
      </c>
      <c r="AS100" s="120" t="str">
        <f>IF(ISTEXT(VLOOKUP(CONCATENATE($A100,"_",AS$3),'Unit List'!$A$14:$H$2841,2,FALSE)),"X",$AP100)</f>
        <v/>
      </c>
      <c r="AT100" s="122" t="str">
        <f>IF(ISTEXT(VLOOKUP(CONCATENATE($A100,"_",AT$3),'Unit List'!$A$14:$H$2841,2,FALSE)),"X",$AP100)</f>
        <v/>
      </c>
      <c r="AU100" s="124" t="str">
        <f>IF(ISTEXT(VLOOKUP(CONCATENATE($A100,"_",AU$3),'Unit List'!$A$14:$H$2841,2,FALSE)),"+","")</f>
        <v/>
      </c>
      <c r="AV100" s="120" t="str">
        <f>IF(ISTEXT(VLOOKUP(CONCATENATE($A100,"_",AV$3),'Unit List'!$A$14:$H$2841,2,FALSE)),"X",$AU100)</f>
        <v/>
      </c>
      <c r="AW100" s="122" t="str">
        <f>IF(ISTEXT(VLOOKUP(CONCATENATE($A100,"_",AW$3),'Unit List'!$A$14:$H$2841,2,FALSE)),"X",$AU100)</f>
        <v/>
      </c>
      <c r="AX100" s="172" t="str">
        <f>IF(ISTEXT(VLOOKUP(CONCATENATE($A100,"_",AX$3),'Unit List'!$A$14:$H$2841,2,FALSE)),"+","")</f>
        <v/>
      </c>
      <c r="AY100" s="120" t="str">
        <f>IF(ISTEXT(VLOOKUP(CONCATENATE($A100,"_",AY$3),'Unit List'!$A$14:$H$2841,2,FALSE)),"X",$AX100)</f>
        <v/>
      </c>
      <c r="AZ100" s="122" t="str">
        <f>IF(ISTEXT(VLOOKUP(CONCATENATE($A100,"_",AZ$3),'Unit List'!$A$14:$H$2841,2,FALSE)),"X",$AX100)</f>
        <v/>
      </c>
      <c r="BA100" s="182" t="str">
        <f>IF(ISTEXT(VLOOKUP(CONCATENATE($A100,"_",BA$3),'Unit List'!$A$14:$H$2841,2,FALSE)),"+","")</f>
        <v/>
      </c>
      <c r="BB100" s="120" t="str">
        <f>IF(ISTEXT(VLOOKUP(CONCATENATE($A100,"_",BB$3),'Unit List'!$A$14:$H$2841,2,FALSE)),"X",$BA100)</f>
        <v/>
      </c>
      <c r="BC100" s="120" t="str">
        <f>IF(ISTEXT(VLOOKUP(CONCATENATE($A100,"_",BC$3),'Unit List'!$A$14:$H$2841,2,FALSE)),"X",$BA100)</f>
        <v/>
      </c>
      <c r="BD100" s="122" t="str">
        <f>IF(ISTEXT(VLOOKUP(CONCATENATE($A100,"_",BD$3),'Unit List'!$A$14:$H$2841,2,FALSE)),"X",$BA100)</f>
        <v/>
      </c>
      <c r="BE100" s="125" t="str">
        <f>IF(ISTEXT(VLOOKUP(CONCATENATE($A100,"_",BE$3),'Unit List'!$A$14:$H$2841,2,FALSE)),"+","")</f>
        <v/>
      </c>
      <c r="BF100" s="75" t="str">
        <f>IF(ISTEXT(VLOOKUP(CONCATENATE($A100,"_",BF$3),'Unit List'!$A$14:$H$2841,2,FALSE)),"X",$BE100)</f>
        <v/>
      </c>
      <c r="BG100" s="122"/>
      <c r="BH100" s="65" t="s">
        <v>0</v>
      </c>
      <c r="BI100" s="143"/>
      <c r="BJ100" s="144"/>
      <c r="BK100" s="144"/>
      <c r="BL100" s="145"/>
      <c r="BM100" s="145"/>
      <c r="BN100" s="54"/>
      <c r="BO100" s="54"/>
      <c r="BP100" s="54"/>
      <c r="BQ100" s="54"/>
      <c r="BR100" s="54"/>
      <c r="BS100" s="54"/>
      <c r="DZ100" s="55"/>
      <c r="EA100" s="55"/>
    </row>
    <row r="101" spans="1:137" ht="12.75" customHeight="1" x14ac:dyDescent="0.2">
      <c r="A101" s="138" t="s">
        <v>4</v>
      </c>
      <c r="B101" s="181" t="str">
        <f>IF(ISTEXT(VLOOKUP(CONCATENATE($A101,"_",B$3),'Unit List'!$A$14:$H$2841,2,FALSE)),"+","")</f>
        <v/>
      </c>
      <c r="C101" s="119" t="str">
        <f>IF(ISTEXT(VLOOKUP(CONCATENATE($A101,"_",C$3),'Unit List'!$A$14:$H$2841,2,FALSE)),"X",$B101)</f>
        <v/>
      </c>
      <c r="D101" s="120" t="str">
        <f>IF(ISTEXT(VLOOKUP(CONCATENATE($A101,"_",D$3),'Unit List'!$A$14:$H$2841,2,FALSE)),"X",$B101)</f>
        <v/>
      </c>
      <c r="E101" s="120" t="str">
        <f>IF(ISTEXT(VLOOKUP(CONCATENATE($A101,"_",E$3),'Unit List'!$A$14:$H$2841,2,FALSE)),"X",$B101)</f>
        <v/>
      </c>
      <c r="F101" s="120" t="str">
        <f>IF(ISTEXT(VLOOKUP(CONCATENATE($A101,"_",F$3),'Unit List'!$A$14:$H$2841,2,FALSE)),"X",$B101)</f>
        <v/>
      </c>
      <c r="G101" s="120" t="str">
        <f>IF(ISTEXT(VLOOKUP(CONCATENATE($A101,"_",G$3),'Unit List'!$A$14:$H$2841,2,FALSE)),"X",$B101)</f>
        <v/>
      </c>
      <c r="H101" s="120" t="str">
        <f>IF(ISTEXT(VLOOKUP(CONCATENATE($A101,"_",H$3),'Unit List'!$A$14:$H$2841,2,FALSE)),"X",$B101)</f>
        <v/>
      </c>
      <c r="I101" s="122" t="str">
        <f>IF(ISTEXT(VLOOKUP(CONCATENATE($A101,"_",I$3),'Unit List'!$A$14:$H$2841,2,FALSE)),"X",$B101)</f>
        <v/>
      </c>
      <c r="J101" s="172" t="str">
        <f>IF(ISTEXT(VLOOKUP(CONCATENATE($A101,"_",J$3),'Unit List'!$A$14:$H$2841,2,FALSE)),"+","")</f>
        <v/>
      </c>
      <c r="K101" s="120" t="str">
        <f>IF(ISTEXT(VLOOKUP(CONCATENATE($A101,"_",K$3),'Unit List'!$A$14:$H$2841,2,FALSE)),"X",$J101)</f>
        <v/>
      </c>
      <c r="L101" s="75" t="str">
        <f>IF(ISTEXT(VLOOKUP(CONCATENATE($A101,"_",L$3),'Unit List'!$A$14:$H$2841,2,FALSE)),"X",$J101)</f>
        <v/>
      </c>
      <c r="M101" s="172" t="str">
        <f>IF(ISTEXT(VLOOKUP(CONCATENATE($A101,"_",M$3),'Unit List'!$A$14:$H$2841,2,FALSE)),"+","")</f>
        <v/>
      </c>
      <c r="N101" s="120" t="str">
        <f>IF(ISTEXT(VLOOKUP(CONCATENATE($A101,"_",N$3),'Unit List'!$A$14:$H$2841,2,FALSE)),"X",$M101)</f>
        <v/>
      </c>
      <c r="O101" s="122" t="str">
        <f>IF(ISTEXT(VLOOKUP(CONCATENATE($A101,"_",O$3),'Unit List'!$A$14:$H$2841,2,FALSE)),"X",$M101)</f>
        <v/>
      </c>
      <c r="P101" s="172" t="str">
        <f>IF(ISTEXT(VLOOKUP(CONCATENATE($A101,"_",P$3),'Unit List'!$A$14:$H$2841,2,FALSE)),"+","")</f>
        <v/>
      </c>
      <c r="Q101" s="120" t="str">
        <f>IF(ISTEXT(VLOOKUP(CONCATENATE($A101,"_",Q$3),'Unit List'!$A$14:$H$2841,2,FALSE)),"X",$P101)</f>
        <v/>
      </c>
      <c r="R101" s="120" t="str">
        <f>IF(ISTEXT(VLOOKUP(CONCATENATE($A101,"_",R$3),'Unit List'!$A$14:$H$2841,2,FALSE)),"X",$P101)</f>
        <v/>
      </c>
      <c r="S101" s="120" t="str">
        <f>IF(ISTEXT(VLOOKUP(CONCATENATE($A101,"_",S$3),'Unit List'!$A$14:$H$2841,2,FALSE)),"X",$P101)</f>
        <v/>
      </c>
      <c r="T101" s="121" t="str">
        <f>IF(ISTEXT(VLOOKUP(CONCATENATE($A101,"_",T$3),'Unit List'!$A$14:$H$2841,2,FALSE)),"X",$P101)</f>
        <v/>
      </c>
      <c r="U101" s="120" t="str">
        <f>IF(ISTEXT(VLOOKUP(CONCATENATE($A101,"_",U$3),'Unit List'!$A$14:$H$2841,2,FALSE)),"X",$P101)</f>
        <v/>
      </c>
      <c r="V101" s="120" t="str">
        <f>IF(ISTEXT(VLOOKUP(CONCATENATE($A101,"_",V$3),'Unit List'!$A$14:$H$2841,2,FALSE)),"X",$P101)</f>
        <v/>
      </c>
      <c r="W101" s="122" t="str">
        <f>IF(ISTEXT(VLOOKUP(CONCATENATE($A101,"_",W$3),'Unit List'!$A$14:$H$2841,2,FALSE)),"X",$P101)</f>
        <v/>
      </c>
      <c r="X101" s="172" t="str">
        <f>IF(ISTEXT(VLOOKUP(CONCATENATE($A101,"_",X$3),'Unit List'!$A$14:$H$2841,2,FALSE)),"+","")</f>
        <v/>
      </c>
      <c r="Y101" s="120" t="str">
        <f>IF(ISTEXT(VLOOKUP(CONCATENATE($A101,"_",Y$3),'Unit List'!$A$14:$H$2841,2,FALSE)),"X",$X101)</f>
        <v/>
      </c>
      <c r="Z101" s="120" t="str">
        <f>IF(ISTEXT(VLOOKUP(CONCATENATE($A101,"_",Z$3),'Unit List'!$A$14:$H$2841,2,FALSE)),"X",$X101)</f>
        <v/>
      </c>
      <c r="AA101" s="120" t="str">
        <f>IF(ISTEXT(VLOOKUP(CONCATENATE($A101,"_",AA$3),'Unit List'!$A$14:$H$2841,2,FALSE)),"X",$X101)</f>
        <v/>
      </c>
      <c r="AB101" s="120" t="str">
        <f>IF(ISTEXT(VLOOKUP(CONCATENATE($A101,"_",AB$3),'Unit List'!$A$14:$H$2841,2,FALSE)),"X",$X101)</f>
        <v/>
      </c>
      <c r="AC101" s="75" t="str">
        <f>IF(ISTEXT(VLOOKUP(CONCATENATE($A101,"_",AC$3),'Unit List'!$A$14:$H$2841,2,FALSE)),"X",$X101)</f>
        <v/>
      </c>
      <c r="AD101" s="172" t="str">
        <f>IF(ISTEXT(VLOOKUP(CONCATENATE($A101,"_",AD$3),'Unit List'!$A$14:$H$2841,2,FALSE)),"+","")</f>
        <v/>
      </c>
      <c r="AE101" s="120" t="str">
        <f>IF(ISTEXT(VLOOKUP(CONCATENATE($A101,"_",AE$3),'Unit List'!$A$14:$H$2841,2,FALSE)),"X",$AD101)</f>
        <v/>
      </c>
      <c r="AF101" s="120" t="str">
        <f>IF(ISTEXT(VLOOKUP(CONCATENATE($A101,"_",AF$3),'Unit List'!$A$14:$H$2841,2,FALSE)),"X",$AD101)</f>
        <v/>
      </c>
      <c r="AG101" s="172" t="str">
        <f>IF(ISTEXT(VLOOKUP(CONCATENATE($A101,"_",AG$3),'Unit List'!$A$14:$H$2841,2,FALSE)),"+","")</f>
        <v/>
      </c>
      <c r="AH101" s="120" t="str">
        <f>IF(ISTEXT(VLOOKUP(CONCATENATE($A101,"_",AH$3),'Unit List'!$A$14:$H$2841,2,FALSE)),"X",$AG101)</f>
        <v/>
      </c>
      <c r="AI101" s="120" t="str">
        <f>IF(ISTEXT(VLOOKUP(CONCATENATE($A101,"_",AI$3),'Unit List'!$A$14:$H$2841,2,FALSE)),"X",$AG101)</f>
        <v/>
      </c>
      <c r="AJ101" s="122" t="str">
        <f>IF(ISTEXT(VLOOKUP(CONCATENATE($A101,"_",AJ$3),'Unit List'!$A$14:$H$2841,2,FALSE)),"X",$AG101)</f>
        <v/>
      </c>
      <c r="AK101" s="172" t="str">
        <f>IF(ISTEXT(VLOOKUP(CONCATENATE($A101,"_",AK$3),'Unit List'!$A$14:$H$2841,2,FALSE)),"+","")</f>
        <v/>
      </c>
      <c r="AL101" s="121" t="str">
        <f>IF(ISTEXT(VLOOKUP(CONCATENATE($A101,"_",AL$3),'Unit List'!$A$14:$H$2841,2,FALSE)),"X",$AK101)</f>
        <v/>
      </c>
      <c r="AM101" s="122" t="str">
        <f>IF(ISTEXT(VLOOKUP(CONCATENATE($A101,"_",AM$3),'Unit List'!$A$14:$H$2841,2,FALSE)),"X",$AK101)</f>
        <v/>
      </c>
      <c r="AN101" s="125" t="str">
        <f>IF(ISTEXT(VLOOKUP(CONCATENATE($A101,"_",AN$3),'Unit List'!$A$14:$H$2841,2,FALSE)),"+","")</f>
        <v/>
      </c>
      <c r="AO101" s="122" t="str">
        <f>IF(ISTEXT(VLOOKUP(CONCATENATE($A101,"_",AO$3),'Unit List'!$A$14:$H$2841,2,FALSE)),"X",$AN101)</f>
        <v/>
      </c>
      <c r="AP101" s="172" t="str">
        <f>IF(ISTEXT(VLOOKUP(CONCATENATE($A101,"_",AP$3),'Unit List'!$A$14:$H$2841,2,FALSE)),"+","")</f>
        <v/>
      </c>
      <c r="AQ101" s="120" t="str">
        <f>IF(ISTEXT(VLOOKUP(CONCATENATE($A101,"_",AQ$3),'Unit List'!$A$14:$H$2841,2,FALSE)),"X",$AP101)</f>
        <v/>
      </c>
      <c r="AR101" s="120" t="str">
        <f>IF(ISTEXT(VLOOKUP(CONCATENATE($A101,"_",AR$3),'Unit List'!$A$14:$H$2841,2,FALSE)),"X",$AP101)</f>
        <v/>
      </c>
      <c r="AS101" s="120" t="str">
        <f>IF(ISTEXT(VLOOKUP(CONCATENATE($A101,"_",AS$3),'Unit List'!$A$14:$H$2841,2,FALSE)),"X",$AP101)</f>
        <v/>
      </c>
      <c r="AT101" s="122" t="str">
        <f>IF(ISTEXT(VLOOKUP(CONCATENATE($A101,"_",AT$3),'Unit List'!$A$14:$H$2841,2,FALSE)),"X",$AP101)</f>
        <v/>
      </c>
      <c r="AU101" s="124" t="str">
        <f>IF(ISTEXT(VLOOKUP(CONCATENATE($A101,"_",AU$3),'Unit List'!$A$14:$H$2841,2,FALSE)),"+","")</f>
        <v/>
      </c>
      <c r="AV101" s="120" t="str">
        <f>IF(ISTEXT(VLOOKUP(CONCATENATE($A101,"_",AV$3),'Unit List'!$A$14:$H$2841,2,FALSE)),"X",$AU101)</f>
        <v/>
      </c>
      <c r="AW101" s="122" t="str">
        <f>IF(ISTEXT(VLOOKUP(CONCATENATE($A101,"_",AW$3),'Unit List'!$A$14:$H$2841,2,FALSE)),"X",$AU101)</f>
        <v/>
      </c>
      <c r="AX101" s="172" t="str">
        <f>IF(ISTEXT(VLOOKUP(CONCATENATE($A101,"_",AX$3),'Unit List'!$A$14:$H$2841,2,FALSE)),"+","")</f>
        <v/>
      </c>
      <c r="AY101" s="120" t="str">
        <f>IF(ISTEXT(VLOOKUP(CONCATENATE($A101,"_",AY$3),'Unit List'!$A$14:$H$2841,2,FALSE)),"X",$AX101)</f>
        <v/>
      </c>
      <c r="AZ101" s="122" t="str">
        <f>IF(ISTEXT(VLOOKUP(CONCATENATE($A101,"_",AZ$3),'Unit List'!$A$14:$H$2841,2,FALSE)),"X",$AX101)</f>
        <v/>
      </c>
      <c r="BA101" s="182" t="str">
        <f>IF(ISTEXT(VLOOKUP(CONCATENATE($A101,"_",BA$3),'Unit List'!$A$14:$H$2841,2,FALSE)),"+","")</f>
        <v/>
      </c>
      <c r="BB101" s="120" t="str">
        <f>IF(ISTEXT(VLOOKUP(CONCATENATE($A101,"_",BB$3),'Unit List'!$A$14:$H$2841,2,FALSE)),"X",$BA101)</f>
        <v/>
      </c>
      <c r="BC101" s="120" t="str">
        <f>IF(ISTEXT(VLOOKUP(CONCATENATE($A101,"_",BC$3),'Unit List'!$A$14:$H$2841,2,FALSE)),"X",$BA101)</f>
        <v/>
      </c>
      <c r="BD101" s="122" t="str">
        <f>IF(ISTEXT(VLOOKUP(CONCATENATE($A101,"_",BD$3),'Unit List'!$A$14:$H$2841,2,FALSE)),"X",$BA101)</f>
        <v/>
      </c>
      <c r="BE101" s="125" t="str">
        <f>IF(ISTEXT(VLOOKUP(CONCATENATE($A101,"_",BE$3),'Unit List'!$A$14:$H$2841,2,FALSE)),"+","")</f>
        <v/>
      </c>
      <c r="BF101" s="75" t="str">
        <f>IF(ISTEXT(VLOOKUP(CONCATENATE($A101,"_",BF$3),'Unit List'!$A$14:$H$2841,2,FALSE)),"X",$BE101)</f>
        <v/>
      </c>
      <c r="BG101" s="122"/>
      <c r="BH101" s="65" t="s">
        <v>0</v>
      </c>
      <c r="BI101" s="139"/>
      <c r="BJ101" s="140"/>
      <c r="BK101" s="140"/>
      <c r="BL101" s="140"/>
      <c r="BM101" s="140"/>
      <c r="BN101" s="54"/>
      <c r="BO101" s="54"/>
      <c r="BP101" s="54"/>
      <c r="BQ101" s="54"/>
      <c r="BR101" s="54"/>
      <c r="BS101" s="54"/>
      <c r="DZ101" s="55"/>
      <c r="EA101" s="55"/>
    </row>
    <row r="102" spans="1:137" ht="12.75" customHeight="1" x14ac:dyDescent="0.2">
      <c r="A102" s="138" t="s">
        <v>1121</v>
      </c>
      <c r="B102" s="190" t="str">
        <f>IF(ISTEXT(VLOOKUP(CONCATENATE($A102,"_",B$3),'Unit List'!$A$14:$H$2841,2,FALSE)),"+","")</f>
        <v/>
      </c>
      <c r="C102" s="119" t="str">
        <f>IF(ISTEXT(VLOOKUP(CONCATENATE($A102,"_",C$3),'Unit List'!$A$14:$H$2841,2,FALSE)),"X",$B102)</f>
        <v/>
      </c>
      <c r="D102" s="120" t="str">
        <f>IF(ISTEXT(VLOOKUP(CONCATENATE($A102,"_",D$3),'Unit List'!$A$14:$H$2841,2,FALSE)),"X",$B102)</f>
        <v/>
      </c>
      <c r="E102" s="120" t="str">
        <f>IF(ISTEXT(VLOOKUP(CONCATENATE($A102,"_",E$3),'Unit List'!$A$14:$H$2841,2,FALSE)),"X",$B102)</f>
        <v/>
      </c>
      <c r="F102" s="120" t="str">
        <f>IF(ISTEXT(VLOOKUP(CONCATENATE($A102,"_",F$3),'Unit List'!$A$14:$H$2841,2,FALSE)),"X",$B102)</f>
        <v/>
      </c>
      <c r="G102" s="120" t="str">
        <f>IF(ISTEXT(VLOOKUP(CONCATENATE($A102,"_",G$3),'Unit List'!$A$14:$H$2841,2,FALSE)),"X",$B102)</f>
        <v/>
      </c>
      <c r="H102" s="120" t="str">
        <f>IF(ISTEXT(VLOOKUP(CONCATENATE($A102,"_",H$3),'Unit List'!$A$14:$H$2841,2,FALSE)),"X",$B102)</f>
        <v/>
      </c>
      <c r="I102" s="122" t="str">
        <f>IF(ISTEXT(VLOOKUP(CONCATENATE($A102,"_",I$3),'Unit List'!$A$14:$H$2841,2,FALSE)),"X",$B102)</f>
        <v/>
      </c>
      <c r="J102" s="172" t="str">
        <f>IF(ISTEXT(VLOOKUP(CONCATENATE($A102,"_",J$3),'Unit List'!$A$14:$H$2841,2,FALSE)),"+","")</f>
        <v/>
      </c>
      <c r="K102" s="120" t="str">
        <f>IF(ISTEXT(VLOOKUP(CONCATENATE($A102,"_",K$3),'Unit List'!$A$14:$H$2841,2,FALSE)),"X",$J102)</f>
        <v/>
      </c>
      <c r="L102" s="75" t="str">
        <f>IF(ISTEXT(VLOOKUP(CONCATENATE($A102,"_",L$3),'Unit List'!$A$14:$H$2841,2,FALSE)),"X",$J102)</f>
        <v/>
      </c>
      <c r="M102" s="172" t="str">
        <f>IF(ISTEXT(VLOOKUP(CONCATENATE($A102,"_",M$3),'Unit List'!$A$14:$H$2841,2,FALSE)),"+","")</f>
        <v/>
      </c>
      <c r="N102" s="120" t="str">
        <f>IF(ISTEXT(VLOOKUP(CONCATENATE($A102,"_",N$3),'Unit List'!$A$14:$H$2841,2,FALSE)),"X",$M102)</f>
        <v/>
      </c>
      <c r="O102" s="122" t="str">
        <f>IF(ISTEXT(VLOOKUP(CONCATENATE($A102,"_",O$3),'Unit List'!$A$14:$H$2841,2,FALSE)),"X",$M102)</f>
        <v/>
      </c>
      <c r="P102" s="172" t="str">
        <f>IF(ISTEXT(VLOOKUP(CONCATENATE($A102,"_",P$3),'Unit List'!$A$14:$H$2841,2,FALSE)),"+","")</f>
        <v/>
      </c>
      <c r="Q102" s="120" t="str">
        <f>IF(ISTEXT(VLOOKUP(CONCATENATE($A102,"_",Q$3),'Unit List'!$A$14:$H$2841,2,FALSE)),"X",$P102)</f>
        <v/>
      </c>
      <c r="R102" s="120" t="str">
        <f>IF(ISTEXT(VLOOKUP(CONCATENATE($A102,"_",R$3),'Unit List'!$A$14:$H$2841,2,FALSE)),"X",$P102)</f>
        <v/>
      </c>
      <c r="S102" s="120" t="str">
        <f>IF(ISTEXT(VLOOKUP(CONCATENATE($A102,"_",S$3),'Unit List'!$A$14:$H$2841,2,FALSE)),"X",$P102)</f>
        <v/>
      </c>
      <c r="T102" s="121" t="str">
        <f>IF(ISTEXT(VLOOKUP(CONCATENATE($A102,"_",T$3),'Unit List'!$A$14:$H$2841,2,FALSE)),"X",$P102)</f>
        <v/>
      </c>
      <c r="U102" s="120" t="str">
        <f>IF(ISTEXT(VLOOKUP(CONCATENATE($A102,"_",U$3),'Unit List'!$A$14:$H$2841,2,FALSE)),"X",$P102)</f>
        <v/>
      </c>
      <c r="V102" s="120" t="str">
        <f>IF(ISTEXT(VLOOKUP(CONCATENATE($A102,"_",V$3),'Unit List'!$A$14:$H$2841,2,FALSE)),"X",$P102)</f>
        <v/>
      </c>
      <c r="W102" s="122" t="str">
        <f>IF(ISTEXT(VLOOKUP(CONCATENATE($A102,"_",W$3),'Unit List'!$A$14:$H$2841,2,FALSE)),"X",$P102)</f>
        <v/>
      </c>
      <c r="X102" s="172" t="str">
        <f>IF(ISTEXT(VLOOKUP(CONCATENATE($A102,"_",X$3),'Unit List'!$A$14:$H$2841,2,FALSE)),"+","")</f>
        <v/>
      </c>
      <c r="Y102" s="120" t="str">
        <f>IF(ISTEXT(VLOOKUP(CONCATENATE($A102,"_",Y$3),'Unit List'!$A$14:$H$2841,2,FALSE)),"X",$X102)</f>
        <v/>
      </c>
      <c r="Z102" s="120" t="str">
        <f>IF(ISTEXT(VLOOKUP(CONCATENATE($A102,"_",Z$3),'Unit List'!$A$14:$H$2841,2,FALSE)),"X",$X102)</f>
        <v/>
      </c>
      <c r="AA102" s="120" t="str">
        <f>IF(ISTEXT(VLOOKUP(CONCATENATE($A102,"_",AA$3),'Unit List'!$A$14:$H$2841,2,FALSE)),"X",$X102)</f>
        <v/>
      </c>
      <c r="AB102" s="120" t="str">
        <f>IF(ISTEXT(VLOOKUP(CONCATENATE($A102,"_",AB$3),'Unit List'!$A$14:$H$2841,2,FALSE)),"X",$X102)</f>
        <v/>
      </c>
      <c r="AC102" s="75" t="str">
        <f>IF(ISTEXT(VLOOKUP(CONCATENATE($A102,"_",AC$3),'Unit List'!$A$14:$H$2841,2,FALSE)),"X",$X102)</f>
        <v/>
      </c>
      <c r="AD102" s="172" t="str">
        <f>IF(ISTEXT(VLOOKUP(CONCATENATE($A102,"_",AD$3),'Unit List'!$A$14:$H$2841,2,FALSE)),"+","")</f>
        <v/>
      </c>
      <c r="AE102" s="120" t="str">
        <f>IF(ISTEXT(VLOOKUP(CONCATENATE($A102,"_",AE$3),'Unit List'!$A$14:$H$2841,2,FALSE)),"X",$AD102)</f>
        <v/>
      </c>
      <c r="AF102" s="120" t="str">
        <f>IF(ISTEXT(VLOOKUP(CONCATENATE($A102,"_",AF$3),'Unit List'!$A$14:$H$2841,2,FALSE)),"X",$AD102)</f>
        <v/>
      </c>
      <c r="AG102" s="172" t="str">
        <f>IF(ISTEXT(VLOOKUP(CONCATENATE($A102,"_",AG$3),'Unit List'!$A$14:$H$2841,2,FALSE)),"+","")</f>
        <v/>
      </c>
      <c r="AH102" s="120" t="str">
        <f>IF(ISTEXT(VLOOKUP(CONCATENATE($A102,"_",AH$3),'Unit List'!$A$14:$H$2841,2,FALSE)),"X",$AG102)</f>
        <v/>
      </c>
      <c r="AI102" s="120" t="str">
        <f>IF(ISTEXT(VLOOKUP(CONCATENATE($A102,"_",AI$3),'Unit List'!$A$14:$H$2841,2,FALSE)),"X",$AG102)</f>
        <v/>
      </c>
      <c r="AJ102" s="122" t="str">
        <f>IF(ISTEXT(VLOOKUP(CONCATENATE($A102,"_",AJ$3),'Unit List'!$A$14:$H$2841,2,FALSE)),"X",$AG102)</f>
        <v/>
      </c>
      <c r="AK102" s="172" t="str">
        <f>IF(ISTEXT(VLOOKUP(CONCATENATE($A102,"_",AK$3),'Unit List'!$A$14:$H$2841,2,FALSE)),"+","")</f>
        <v/>
      </c>
      <c r="AL102" s="121" t="str">
        <f>IF(ISTEXT(VLOOKUP(CONCATENATE($A102,"_",AL$3),'Unit List'!$A$14:$H$2841,2,FALSE)),"X",$AK102)</f>
        <v/>
      </c>
      <c r="AM102" s="122" t="str">
        <f>IF(ISTEXT(VLOOKUP(CONCATENATE($A102,"_",AM$3),'Unit List'!$A$14:$H$2841,2,FALSE)),"X",$AK102)</f>
        <v/>
      </c>
      <c r="AN102" s="125" t="str">
        <f>IF(ISTEXT(VLOOKUP(CONCATENATE($A102,"_",AN$3),'Unit List'!$A$14:$H$2841,2,FALSE)),"+","")</f>
        <v/>
      </c>
      <c r="AO102" s="122" t="str">
        <f>IF(ISTEXT(VLOOKUP(CONCATENATE($A102,"_",AO$3),'Unit List'!$A$14:$H$2841,2,FALSE)),"X",$AN102)</f>
        <v/>
      </c>
      <c r="AP102" s="172" t="str">
        <f>IF(ISTEXT(VLOOKUP(CONCATENATE($A102,"_",AP$3),'Unit List'!$A$14:$H$2841,2,FALSE)),"+","")</f>
        <v/>
      </c>
      <c r="AQ102" s="120" t="str">
        <f>IF(ISTEXT(VLOOKUP(CONCATENATE($A102,"_",AQ$3),'Unit List'!$A$14:$H$2841,2,FALSE)),"X",$AP102)</f>
        <v/>
      </c>
      <c r="AR102" s="120" t="str">
        <f>IF(ISTEXT(VLOOKUP(CONCATENATE($A102,"_",AR$3),'Unit List'!$A$14:$H$2841,2,FALSE)),"X",$AP102)</f>
        <v/>
      </c>
      <c r="AS102" s="120" t="str">
        <f>IF(ISTEXT(VLOOKUP(CONCATENATE($A102,"_",AS$3),'Unit List'!$A$14:$H$2841,2,FALSE)),"X",$AP102)</f>
        <v/>
      </c>
      <c r="AT102" s="122" t="str">
        <f>IF(ISTEXT(VLOOKUP(CONCATENATE($A102,"_",AT$3),'Unit List'!$A$14:$H$2841,2,FALSE)),"X",$AP102)</f>
        <v/>
      </c>
      <c r="AU102" s="124" t="str">
        <f>IF(ISTEXT(VLOOKUP(CONCATENATE($A102,"_",AU$3),'Unit List'!$A$14:$H$2841,2,FALSE)),"+","")</f>
        <v/>
      </c>
      <c r="AV102" s="120" t="str">
        <f>IF(ISTEXT(VLOOKUP(CONCATENATE($A102,"_",AV$3),'Unit List'!$A$14:$H$2841,2,FALSE)),"X",$AU102)</f>
        <v/>
      </c>
      <c r="AW102" s="122" t="str">
        <f>IF(ISTEXT(VLOOKUP(CONCATENATE($A102,"_",AW$3),'Unit List'!$A$14:$H$2841,2,FALSE)),"X",$AU102)</f>
        <v/>
      </c>
      <c r="AX102" s="172" t="str">
        <f>IF(ISTEXT(VLOOKUP(CONCATENATE($A102,"_",AX$3),'Unit List'!$A$14:$H$2841,2,FALSE)),"+","")</f>
        <v/>
      </c>
      <c r="AY102" s="120" t="str">
        <f>IF(ISTEXT(VLOOKUP(CONCATENATE($A102,"_",AY$3),'Unit List'!$A$14:$H$2841,2,FALSE)),"X",$AX102)</f>
        <v/>
      </c>
      <c r="AZ102" s="122" t="str">
        <f>IF(ISTEXT(VLOOKUP(CONCATENATE($A102,"_",AZ$3),'Unit List'!$A$14:$H$2841,2,FALSE)),"X",$AX102)</f>
        <v/>
      </c>
      <c r="BA102" s="182" t="str">
        <f>IF(ISTEXT(VLOOKUP(CONCATENATE($A102,"_",BA$3),'Unit List'!$A$14:$H$2841,2,FALSE)),"+","")</f>
        <v/>
      </c>
      <c r="BB102" s="120" t="str">
        <f>IF(ISTEXT(VLOOKUP(CONCATENATE($A102,"_",BB$3),'Unit List'!$A$14:$H$2841,2,FALSE)),"X",$BA102)</f>
        <v/>
      </c>
      <c r="BC102" s="120" t="str">
        <f>IF(ISTEXT(VLOOKUP(CONCATENATE($A102,"_",BC$3),'Unit List'!$A$14:$H$2841,2,FALSE)),"X",$BA102)</f>
        <v/>
      </c>
      <c r="BD102" s="122" t="str">
        <f>IF(ISTEXT(VLOOKUP(CONCATENATE($A102,"_",BD$3),'Unit List'!$A$14:$H$2841,2,FALSE)),"X",$BA102)</f>
        <v/>
      </c>
      <c r="BE102" s="125" t="str">
        <f>IF(ISTEXT(VLOOKUP(CONCATENATE($A102,"_",BE$3),'Unit List'!$A$14:$H$2841,2,FALSE)),"+","")</f>
        <v/>
      </c>
      <c r="BF102" s="75" t="str">
        <f>IF(ISTEXT(VLOOKUP(CONCATENATE($A102,"_",BF$3),'Unit List'!$A$14:$H$2841,2,FALSE)),"X",$BE102)</f>
        <v/>
      </c>
      <c r="BG102" s="122"/>
      <c r="BH102" s="65" t="s">
        <v>0</v>
      </c>
      <c r="BI102" s="139"/>
      <c r="BJ102" s="140"/>
      <c r="BK102" s="140"/>
      <c r="BL102" s="140"/>
      <c r="BM102" s="140"/>
      <c r="BN102" s="54"/>
      <c r="BO102" s="54"/>
      <c r="BP102" s="54"/>
      <c r="BQ102" s="54"/>
      <c r="BR102" s="54"/>
      <c r="BS102" s="54"/>
      <c r="DZ102" s="55"/>
      <c r="EA102" s="55"/>
    </row>
    <row r="103" spans="1:137" ht="12.75" customHeight="1" x14ac:dyDescent="0.2">
      <c r="A103" s="138" t="s">
        <v>1154</v>
      </c>
      <c r="B103" s="181" t="str">
        <f>IF(ISTEXT(VLOOKUP(CONCATENATE($A103,"_",B$3),'Unit List'!$A$14:$H$2841,2,FALSE)),"+","")</f>
        <v/>
      </c>
      <c r="C103" s="119" t="str">
        <f>IF(ISTEXT(VLOOKUP(CONCATENATE($A103,"_",C$3),'Unit List'!$A$14:$H$2841,2,FALSE)),"X",$B103)</f>
        <v/>
      </c>
      <c r="D103" s="120" t="str">
        <f>IF(ISTEXT(VLOOKUP(CONCATENATE($A103,"_",D$3),'Unit List'!$A$14:$H$2841,2,FALSE)),"X",$B103)</f>
        <v/>
      </c>
      <c r="E103" s="120" t="str">
        <f>IF(ISTEXT(VLOOKUP(CONCATENATE($A103,"_",E$3),'Unit List'!$A$14:$H$2841,2,FALSE)),"X",$B103)</f>
        <v/>
      </c>
      <c r="F103" s="120" t="str">
        <f>IF(ISTEXT(VLOOKUP(CONCATENATE($A103,"_",F$3),'Unit List'!$A$14:$H$2841,2,FALSE)),"X",$B103)</f>
        <v/>
      </c>
      <c r="G103" s="120" t="str">
        <f>IF(ISTEXT(VLOOKUP(CONCATENATE($A103,"_",G$3),'Unit List'!$A$14:$H$2841,2,FALSE)),"X",$B103)</f>
        <v/>
      </c>
      <c r="H103" s="120" t="str">
        <f>IF(ISTEXT(VLOOKUP(CONCATENATE($A103,"_",H$3),'Unit List'!$A$14:$H$2841,2,FALSE)),"X",$B103)</f>
        <v/>
      </c>
      <c r="I103" s="122" t="str">
        <f>IF(ISTEXT(VLOOKUP(CONCATENATE($A103,"_",I$3),'Unit List'!$A$14:$H$2841,2,FALSE)),"X",$B103)</f>
        <v>X</v>
      </c>
      <c r="J103" s="172" t="str">
        <f>IF(ISTEXT(VLOOKUP(CONCATENATE($A103,"_",J$3),'Unit List'!$A$14:$H$2841,2,FALSE)),"+","")</f>
        <v/>
      </c>
      <c r="K103" s="120" t="str">
        <f>IF(ISTEXT(VLOOKUP(CONCATENATE($A103,"_",K$3),'Unit List'!$A$14:$H$2841,2,FALSE)),"X",$J103)</f>
        <v/>
      </c>
      <c r="L103" s="75" t="str">
        <f>IF(ISTEXT(VLOOKUP(CONCATENATE($A103,"_",L$3),'Unit List'!$A$14:$H$2841,2,FALSE)),"X",$J103)</f>
        <v/>
      </c>
      <c r="M103" s="172" t="str">
        <f>IF(ISTEXT(VLOOKUP(CONCATENATE($A103,"_",M$3),'Unit List'!$A$14:$H$2841,2,FALSE)),"+","")</f>
        <v/>
      </c>
      <c r="N103" s="120" t="str">
        <f>IF(ISTEXT(VLOOKUP(CONCATENATE($A103,"_",N$3),'Unit List'!$A$14:$H$2841,2,FALSE)),"X",$M103)</f>
        <v/>
      </c>
      <c r="O103" s="122" t="str">
        <f>IF(ISTEXT(VLOOKUP(CONCATENATE($A103,"_",O$3),'Unit List'!$A$14:$H$2841,2,FALSE)),"X",$M103)</f>
        <v/>
      </c>
      <c r="P103" s="172" t="str">
        <f>IF(ISTEXT(VLOOKUP(CONCATENATE($A103,"_",P$3),'Unit List'!$A$14:$H$2841,2,FALSE)),"+","")</f>
        <v/>
      </c>
      <c r="Q103" s="120" t="str">
        <f>IF(ISTEXT(VLOOKUP(CONCATENATE($A103,"_",Q$3),'Unit List'!$A$14:$H$2841,2,FALSE)),"X",$P103)</f>
        <v/>
      </c>
      <c r="R103" s="120" t="str">
        <f>IF(ISTEXT(VLOOKUP(CONCATENATE($A103,"_",R$3),'Unit List'!$A$14:$H$2841,2,FALSE)),"X",$P103)</f>
        <v/>
      </c>
      <c r="S103" s="120" t="str">
        <f>IF(ISTEXT(VLOOKUP(CONCATENATE($A103,"_",S$3),'Unit List'!$A$14:$H$2841,2,FALSE)),"X",$P103)</f>
        <v/>
      </c>
      <c r="T103" s="121" t="str">
        <f>IF(ISTEXT(VLOOKUP(CONCATENATE($A103,"_",T$3),'Unit List'!$A$14:$H$2841,2,FALSE)),"X",$P103)</f>
        <v/>
      </c>
      <c r="U103" s="120" t="str">
        <f>IF(ISTEXT(VLOOKUP(CONCATENATE($A103,"_",U$3),'Unit List'!$A$14:$H$2841,2,FALSE)),"X",$P103)</f>
        <v/>
      </c>
      <c r="V103" s="120" t="str">
        <f>IF(ISTEXT(VLOOKUP(CONCATENATE($A103,"_",V$3),'Unit List'!$A$14:$H$2841,2,FALSE)),"X",$P103)</f>
        <v/>
      </c>
      <c r="W103" s="122" t="str">
        <f>IF(ISTEXT(VLOOKUP(CONCATENATE($A103,"_",W$3),'Unit List'!$A$14:$H$2841,2,FALSE)),"X",$P103)</f>
        <v/>
      </c>
      <c r="X103" s="172" t="str">
        <f>IF(ISTEXT(VLOOKUP(CONCATENATE($A103,"_",X$3),'Unit List'!$A$14:$H$2841,2,FALSE)),"+","")</f>
        <v/>
      </c>
      <c r="Y103" s="120" t="str">
        <f>IF(ISTEXT(VLOOKUP(CONCATENATE($A103,"_",Y$3),'Unit List'!$A$14:$H$2841,2,FALSE)),"X",$X103)</f>
        <v/>
      </c>
      <c r="Z103" s="120" t="str">
        <f>IF(ISTEXT(VLOOKUP(CONCATENATE($A103,"_",Z$3),'Unit List'!$A$14:$H$2841,2,FALSE)),"X",$X103)</f>
        <v/>
      </c>
      <c r="AA103" s="120" t="str">
        <f>IF(ISTEXT(VLOOKUP(CONCATENATE($A103,"_",AA$3),'Unit List'!$A$14:$H$2841,2,FALSE)),"X",$X103)</f>
        <v/>
      </c>
      <c r="AB103" s="120" t="str">
        <f>IF(ISTEXT(VLOOKUP(CONCATENATE($A103,"_",AB$3),'Unit List'!$A$14:$H$2841,2,FALSE)),"X",$X103)</f>
        <v/>
      </c>
      <c r="AC103" s="75" t="str">
        <f>IF(ISTEXT(VLOOKUP(CONCATENATE($A103,"_",AC$3),'Unit List'!$A$14:$H$2841,2,FALSE)),"X",$X103)</f>
        <v/>
      </c>
      <c r="AD103" s="172" t="str">
        <f>IF(ISTEXT(VLOOKUP(CONCATENATE($A103,"_",AD$3),'Unit List'!$A$14:$H$2841,2,FALSE)),"+","")</f>
        <v/>
      </c>
      <c r="AE103" s="120" t="str">
        <f>IF(ISTEXT(VLOOKUP(CONCATENATE($A103,"_",AE$3),'Unit List'!$A$14:$H$2841,2,FALSE)),"X",$AD103)</f>
        <v/>
      </c>
      <c r="AF103" s="120" t="str">
        <f>IF(ISTEXT(VLOOKUP(CONCATENATE($A103,"_",AF$3),'Unit List'!$A$14:$H$2841,2,FALSE)),"X",$AD103)</f>
        <v/>
      </c>
      <c r="AG103" s="172" t="str">
        <f>IF(ISTEXT(VLOOKUP(CONCATENATE($A103,"_",AG$3),'Unit List'!$A$14:$H$2841,2,FALSE)),"+","")</f>
        <v/>
      </c>
      <c r="AH103" s="120" t="str">
        <f>IF(ISTEXT(VLOOKUP(CONCATENATE($A103,"_",AH$3),'Unit List'!$A$14:$H$2841,2,FALSE)),"X",$AG103)</f>
        <v/>
      </c>
      <c r="AI103" s="120" t="str">
        <f>IF(ISTEXT(VLOOKUP(CONCATENATE($A103,"_",AI$3),'Unit List'!$A$14:$H$2841,2,FALSE)),"X",$AG103)</f>
        <v/>
      </c>
      <c r="AJ103" s="122" t="str">
        <f>IF(ISTEXT(VLOOKUP(CONCATENATE($A103,"_",AJ$3),'Unit List'!$A$14:$H$2841,2,FALSE)),"X",$AG103)</f>
        <v/>
      </c>
      <c r="AK103" s="172" t="str">
        <f>IF(ISTEXT(VLOOKUP(CONCATENATE($A103,"_",AK$3),'Unit List'!$A$14:$H$2841,2,FALSE)),"+","")</f>
        <v/>
      </c>
      <c r="AL103" s="121" t="str">
        <f>IF(ISTEXT(VLOOKUP(CONCATENATE($A103,"_",AL$3),'Unit List'!$A$14:$H$2841,2,FALSE)),"X",$AK103)</f>
        <v/>
      </c>
      <c r="AM103" s="122" t="str">
        <f>IF(ISTEXT(VLOOKUP(CONCATENATE($A103,"_",AM$3),'Unit List'!$A$14:$H$2841,2,FALSE)),"X",$AK103)</f>
        <v/>
      </c>
      <c r="AN103" s="125" t="str">
        <f>IF(ISTEXT(VLOOKUP(CONCATENATE($A103,"_",AN$3),'Unit List'!$A$14:$H$2841,2,FALSE)),"+","")</f>
        <v/>
      </c>
      <c r="AO103" s="122" t="str">
        <f>IF(ISTEXT(VLOOKUP(CONCATENATE($A103,"_",AO$3),'Unit List'!$A$14:$H$2841,2,FALSE)),"X",$AN103)</f>
        <v/>
      </c>
      <c r="AP103" s="172" t="str">
        <f>IF(ISTEXT(VLOOKUP(CONCATENATE($A103,"_",AP$3),'Unit List'!$A$14:$H$2841,2,FALSE)),"+","")</f>
        <v>+</v>
      </c>
      <c r="AQ103" s="120" t="str">
        <f>IF(ISTEXT(VLOOKUP(CONCATENATE($A103,"_",AQ$3),'Unit List'!$A$14:$H$2841,2,FALSE)),"X",$AP103)</f>
        <v>+</v>
      </c>
      <c r="AR103" s="120" t="str">
        <f>IF(ISTEXT(VLOOKUP(CONCATENATE($A103,"_",AR$3),'Unit List'!$A$14:$H$2841,2,FALSE)),"X",$AP103)</f>
        <v>+</v>
      </c>
      <c r="AS103" s="120" t="str">
        <f>IF(ISTEXT(VLOOKUP(CONCATENATE($A103,"_",AS$3),'Unit List'!$A$14:$H$2841,2,FALSE)),"X",$AP103)</f>
        <v>+</v>
      </c>
      <c r="AT103" s="122" t="str">
        <f>IF(ISTEXT(VLOOKUP(CONCATENATE($A103,"_",AT$3),'Unit List'!$A$14:$H$2841,2,FALSE)),"X",$AP103)</f>
        <v>+</v>
      </c>
      <c r="AU103" s="124" t="str">
        <f>IF(ISTEXT(VLOOKUP(CONCATENATE($A103,"_",AU$3),'Unit List'!$A$14:$H$2841,2,FALSE)),"+","")</f>
        <v/>
      </c>
      <c r="AV103" s="120" t="str">
        <f>IF(ISTEXT(VLOOKUP(CONCATENATE($A103,"_",AV$3),'Unit List'!$A$14:$H$2841,2,FALSE)),"X",$AU103)</f>
        <v/>
      </c>
      <c r="AW103" s="122" t="str">
        <f>IF(ISTEXT(VLOOKUP(CONCATENATE($A103,"_",AW$3),'Unit List'!$A$14:$H$2841,2,FALSE)),"X",$AU103)</f>
        <v/>
      </c>
      <c r="AX103" s="172" t="str">
        <f>IF(ISTEXT(VLOOKUP(CONCATENATE($A103,"_",AX$3),'Unit List'!$A$14:$H$2841,2,FALSE)),"+","")</f>
        <v/>
      </c>
      <c r="AY103" s="120" t="str">
        <f>IF(ISTEXT(VLOOKUP(CONCATENATE($A103,"_",AY$3),'Unit List'!$A$14:$H$2841,2,FALSE)),"X",$AX103)</f>
        <v/>
      </c>
      <c r="AZ103" s="122" t="str">
        <f>IF(ISTEXT(VLOOKUP(CONCATENATE($A103,"_",AZ$3),'Unit List'!$A$14:$H$2841,2,FALSE)),"X",$AX103)</f>
        <v/>
      </c>
      <c r="BA103" s="182" t="str">
        <f>IF(ISTEXT(VLOOKUP(CONCATENATE($A103,"_",BA$3),'Unit List'!$A$14:$H$2841,2,FALSE)),"+","")</f>
        <v>+</v>
      </c>
      <c r="BB103" s="120" t="str">
        <f>IF(ISTEXT(VLOOKUP(CONCATENATE($A103,"_",BB$3),'Unit List'!$A$14:$H$2841,2,FALSE)),"X",$BA103)</f>
        <v>+</v>
      </c>
      <c r="BC103" s="120" t="str">
        <f>IF(ISTEXT(VLOOKUP(CONCATENATE($A103,"_",BC$3),'Unit List'!$A$14:$H$2841,2,FALSE)),"X",$BA103)</f>
        <v>+</v>
      </c>
      <c r="BD103" s="122" t="str">
        <f>IF(ISTEXT(VLOOKUP(CONCATENATE($A103,"_",BD$3),'Unit List'!$A$14:$H$2841,2,FALSE)),"X",$BA103)</f>
        <v>+</v>
      </c>
      <c r="BE103" s="125" t="str">
        <f>IF(ISTEXT(VLOOKUP(CONCATENATE($A103,"_",BE$3),'Unit List'!$A$14:$H$2841,2,FALSE)),"+","")</f>
        <v>+</v>
      </c>
      <c r="BF103" s="75" t="str">
        <f>IF(ISTEXT(VLOOKUP(CONCATENATE($A103,"_",BF$3),'Unit List'!$A$14:$H$2841,2,FALSE)),"X",$BE103)</f>
        <v>+</v>
      </c>
      <c r="BG103" s="122"/>
      <c r="BH103" s="84"/>
      <c r="BI103" s="143"/>
      <c r="BJ103" s="144"/>
      <c r="BK103" s="144"/>
      <c r="BL103" s="145"/>
      <c r="BM103" s="145"/>
      <c r="BN103" s="54"/>
      <c r="BO103" s="54"/>
      <c r="BP103" s="54"/>
      <c r="BQ103" s="54"/>
      <c r="BR103" s="54"/>
      <c r="BS103" s="54"/>
      <c r="DZ103" s="55"/>
      <c r="EA103" s="55"/>
    </row>
    <row r="104" spans="1:137" ht="12.75" customHeight="1" x14ac:dyDescent="0.2">
      <c r="A104" s="147" t="s">
        <v>1155</v>
      </c>
      <c r="B104" s="185" t="str">
        <f>IF(ISTEXT(VLOOKUP(CONCATENATE($A104,"_",B$3),'Unit List'!$A$14:$H$2841,2,FALSE)),"+","")</f>
        <v/>
      </c>
      <c r="C104" s="130" t="str">
        <f>IF(ISTEXT(VLOOKUP(CONCATENATE($A104,"_",C$3),'Unit List'!$A$14:$H$2841,2,FALSE)),"X",$B104)</f>
        <v/>
      </c>
      <c r="D104" s="131" t="str">
        <f>IF(ISTEXT(VLOOKUP(CONCATENATE($A104,"_",D$3),'Unit List'!$A$14:$H$2841,2,FALSE)),"X",$B104)</f>
        <v/>
      </c>
      <c r="E104" s="131" t="str">
        <f>IF(ISTEXT(VLOOKUP(CONCATENATE($A104,"_",E$3),'Unit List'!$A$14:$H$2841,2,FALSE)),"X",$B104)</f>
        <v/>
      </c>
      <c r="F104" s="131" t="str">
        <f>IF(ISTEXT(VLOOKUP(CONCATENATE($A104,"_",F$3),'Unit List'!$A$14:$H$2841,2,FALSE)),"X",$B104)</f>
        <v/>
      </c>
      <c r="G104" s="131" t="str">
        <f>IF(ISTEXT(VLOOKUP(CONCATENATE($A104,"_",G$3),'Unit List'!$A$14:$H$2841,2,FALSE)),"X",$B104)</f>
        <v/>
      </c>
      <c r="H104" s="131" t="str">
        <f>IF(ISTEXT(VLOOKUP(CONCATENATE($A104,"_",H$3),'Unit List'!$A$14:$H$2841,2,FALSE)),"X",$B104)</f>
        <v/>
      </c>
      <c r="I104" s="132" t="str">
        <f>IF(ISTEXT(VLOOKUP(CONCATENATE($A104,"_",I$3),'Unit List'!$A$14:$H$2841,2,FALSE)),"X",$B104)</f>
        <v/>
      </c>
      <c r="J104" s="172" t="str">
        <f>IF(ISTEXT(VLOOKUP(CONCATENATE($A104,"_",J$3),'Unit List'!$A$14:$H$2841,2,FALSE)),"+","")</f>
        <v/>
      </c>
      <c r="K104" s="131" t="str">
        <f>IF(ISTEXT(VLOOKUP(CONCATENATE($A104,"_",K$3),'Unit List'!$A$14:$H$2841,2,FALSE)),"X",$J104)</f>
        <v/>
      </c>
      <c r="L104" s="116" t="str">
        <f>IF(ISTEXT(VLOOKUP(CONCATENATE($A104,"_",L$3),'Unit List'!$A$14:$H$2841,2,FALSE)),"X",$J104)</f>
        <v/>
      </c>
      <c r="M104" s="173" t="str">
        <f>IF(ISTEXT(VLOOKUP(CONCATENATE($A104,"_",M$3),'Unit List'!$A$14:$H$2841,2,FALSE)),"+","")</f>
        <v/>
      </c>
      <c r="N104" s="131" t="str">
        <f>IF(ISTEXT(VLOOKUP(CONCATENATE($A104,"_",N$3),'Unit List'!$A$14:$H$2841,2,FALSE)),"X",$M104)</f>
        <v/>
      </c>
      <c r="O104" s="132" t="str">
        <f>IF(ISTEXT(VLOOKUP(CONCATENATE($A104,"_",O$3),'Unit List'!$A$14:$H$2841,2,FALSE)),"X",$M104)</f>
        <v/>
      </c>
      <c r="P104" s="173" t="str">
        <f>IF(ISTEXT(VLOOKUP(CONCATENATE($A104,"_",P$3),'Unit List'!$A$14:$H$2841,2,FALSE)),"+","")</f>
        <v/>
      </c>
      <c r="Q104" s="131" t="str">
        <f>IF(ISTEXT(VLOOKUP(CONCATENATE($A104,"_",Q$3),'Unit List'!$A$14:$H$2841,2,FALSE)),"X",$P104)</f>
        <v/>
      </c>
      <c r="R104" s="131" t="str">
        <f>IF(ISTEXT(VLOOKUP(CONCATENATE($A104,"_",R$3),'Unit List'!$A$14:$H$2841,2,FALSE)),"X",$P104)</f>
        <v/>
      </c>
      <c r="S104" s="131" t="str">
        <f>IF(ISTEXT(VLOOKUP(CONCATENATE($A104,"_",S$3),'Unit List'!$A$14:$H$2841,2,FALSE)),"X",$P104)</f>
        <v/>
      </c>
      <c r="T104" s="133" t="str">
        <f>IF(ISTEXT(VLOOKUP(CONCATENATE($A104,"_",T$3),'Unit List'!$A$14:$H$2841,2,FALSE)),"X",$P104)</f>
        <v/>
      </c>
      <c r="U104" s="131" t="str">
        <f>IF(ISTEXT(VLOOKUP(CONCATENATE($A104,"_",U$3),'Unit List'!$A$14:$H$2841,2,FALSE)),"X",$P104)</f>
        <v/>
      </c>
      <c r="V104" s="131" t="str">
        <f>IF(ISTEXT(VLOOKUP(CONCATENATE($A104,"_",V$3),'Unit List'!$A$14:$H$2841,2,FALSE)),"X",$P104)</f>
        <v/>
      </c>
      <c r="W104" s="132" t="str">
        <f>IF(ISTEXT(VLOOKUP(CONCATENATE($A104,"_",W$3),'Unit List'!$A$14:$H$2841,2,FALSE)),"X",$P104)</f>
        <v/>
      </c>
      <c r="X104" s="173" t="str">
        <f>IF(ISTEXT(VLOOKUP(CONCATENATE($A104,"_",X$3),'Unit List'!$A$14:$H$2841,2,FALSE)),"+","")</f>
        <v/>
      </c>
      <c r="Y104" s="131" t="str">
        <f>IF(ISTEXT(VLOOKUP(CONCATENATE($A104,"_",Y$3),'Unit List'!$A$14:$H$2841,2,FALSE)),"X",$X104)</f>
        <v/>
      </c>
      <c r="Z104" s="131" t="str">
        <f>IF(ISTEXT(VLOOKUP(CONCATENATE($A104,"_",Z$3),'Unit List'!$A$14:$H$2841,2,FALSE)),"X",$X104)</f>
        <v/>
      </c>
      <c r="AA104" s="131" t="str">
        <f>IF(ISTEXT(VLOOKUP(CONCATENATE($A104,"_",AA$3),'Unit List'!$A$14:$H$2841,2,FALSE)),"X",$X104)</f>
        <v/>
      </c>
      <c r="AB104" s="131" t="str">
        <f>IF(ISTEXT(VLOOKUP(CONCATENATE($A104,"_",AB$3),'Unit List'!$A$14:$H$2841,2,FALSE)),"X",$X104)</f>
        <v/>
      </c>
      <c r="AC104" s="116" t="str">
        <f>IF(ISTEXT(VLOOKUP(CONCATENATE($A104,"_",AC$3),'Unit List'!$A$14:$H$2841,2,FALSE)),"X",$X104)</f>
        <v/>
      </c>
      <c r="AD104" s="173" t="str">
        <f>IF(ISTEXT(VLOOKUP(CONCATENATE($A104,"_",AD$3),'Unit List'!$A$14:$H$2841,2,FALSE)),"+","")</f>
        <v/>
      </c>
      <c r="AE104" s="131" t="str">
        <f>IF(ISTEXT(VLOOKUP(CONCATENATE($A104,"_",AE$3),'Unit List'!$A$14:$H$2841,2,FALSE)),"X",$AD104)</f>
        <v/>
      </c>
      <c r="AF104" s="131" t="str">
        <f>IF(ISTEXT(VLOOKUP(CONCATENATE($A104,"_",AF$3),'Unit List'!$A$14:$H$2841,2,FALSE)),"X",$AD104)</f>
        <v/>
      </c>
      <c r="AG104" s="173" t="str">
        <f>IF(ISTEXT(VLOOKUP(CONCATENATE($A104,"_",AG$3),'Unit List'!$A$14:$H$2841,2,FALSE)),"+","")</f>
        <v/>
      </c>
      <c r="AH104" s="131" t="str">
        <f>IF(ISTEXT(VLOOKUP(CONCATENATE($A104,"_",AH$3),'Unit List'!$A$14:$H$2841,2,FALSE)),"X",$AG104)</f>
        <v/>
      </c>
      <c r="AI104" s="131" t="str">
        <f>IF(ISTEXT(VLOOKUP(CONCATENATE($A104,"_",AI$3),'Unit List'!$A$14:$H$2841,2,FALSE)),"X",$AG104)</f>
        <v/>
      </c>
      <c r="AJ104" s="132" t="str">
        <f>IF(ISTEXT(VLOOKUP(CONCATENATE($A104,"_",AJ$3),'Unit List'!$A$14:$H$2841,2,FALSE)),"X",$AG104)</f>
        <v/>
      </c>
      <c r="AK104" s="173" t="str">
        <f>IF(ISTEXT(VLOOKUP(CONCATENATE($A104,"_",AK$3),'Unit List'!$A$14:$H$2841,2,FALSE)),"+","")</f>
        <v/>
      </c>
      <c r="AL104" s="133" t="str">
        <f>IF(ISTEXT(VLOOKUP(CONCATENATE($A104,"_",AL$3),'Unit List'!$A$14:$H$2841,2,FALSE)),"X",$AK104)</f>
        <v/>
      </c>
      <c r="AM104" s="132" t="str">
        <f>IF(ISTEXT(VLOOKUP(CONCATENATE($A104,"_",AM$3),'Unit List'!$A$14:$H$2841,2,FALSE)),"X",$AK104)</f>
        <v/>
      </c>
      <c r="AN104" s="186" t="str">
        <f>IF(ISTEXT(VLOOKUP(CONCATENATE($A104,"_",AN$3),'Unit List'!$A$14:$H$2841,2,FALSE)),"+","")</f>
        <v/>
      </c>
      <c r="AO104" s="132" t="str">
        <f>IF(ISTEXT(VLOOKUP(CONCATENATE($A104,"_",AO$3),'Unit List'!$A$14:$H$2841,2,FALSE)),"X",$AN104)</f>
        <v/>
      </c>
      <c r="AP104" s="173" t="str">
        <f>IF(ISTEXT(VLOOKUP(CONCATENATE($A104,"_",AP$3),'Unit List'!$A$14:$H$2841,2,FALSE)),"+","")</f>
        <v/>
      </c>
      <c r="AQ104" s="131" t="str">
        <f>IF(ISTEXT(VLOOKUP(CONCATENATE($A104,"_",AQ$3),'Unit List'!$A$14:$H$2841,2,FALSE)),"X",$AP104)</f>
        <v/>
      </c>
      <c r="AR104" s="131" t="str">
        <f>IF(ISTEXT(VLOOKUP(CONCATENATE($A104,"_",AR$3),'Unit List'!$A$14:$H$2841,2,FALSE)),"X",$AP104)</f>
        <v/>
      </c>
      <c r="AS104" s="131" t="str">
        <f>IF(ISTEXT(VLOOKUP(CONCATENATE($A104,"_",AS$3),'Unit List'!$A$14:$H$2841,2,FALSE)),"X",$AP104)</f>
        <v/>
      </c>
      <c r="AT104" s="132" t="str">
        <f>IF(ISTEXT(VLOOKUP(CONCATENATE($A104,"_",AT$3),'Unit List'!$A$14:$H$2841,2,FALSE)),"X",$AP104)</f>
        <v/>
      </c>
      <c r="AU104" s="187" t="str">
        <f>IF(ISTEXT(VLOOKUP(CONCATENATE($A104,"_",AU$3),'Unit List'!$A$14:$H$2841,2,FALSE)),"+","")</f>
        <v/>
      </c>
      <c r="AV104" s="131" t="str">
        <f>IF(ISTEXT(VLOOKUP(CONCATENATE($A104,"_",AV$3),'Unit List'!$A$14:$H$2841,2,FALSE)),"X",$AU104)</f>
        <v/>
      </c>
      <c r="AW104" s="132" t="str">
        <f>IF(ISTEXT(VLOOKUP(CONCATENATE($A104,"_",AW$3),'Unit List'!$A$14:$H$2841,2,FALSE)),"X",$AU104)</f>
        <v/>
      </c>
      <c r="AX104" s="173" t="str">
        <f>IF(ISTEXT(VLOOKUP(CONCATENATE($A104,"_",AX$3),'Unit List'!$A$14:$H$2841,2,FALSE)),"+","")</f>
        <v/>
      </c>
      <c r="AY104" s="131" t="str">
        <f>IF(ISTEXT(VLOOKUP(CONCATENATE($A104,"_",AY$3),'Unit List'!$A$14:$H$2841,2,FALSE)),"X",$AX104)</f>
        <v/>
      </c>
      <c r="AZ104" s="132" t="str">
        <f>IF(ISTEXT(VLOOKUP(CONCATENATE($A104,"_",AZ$3),'Unit List'!$A$14:$H$2841,2,FALSE)),"X",$AX104)</f>
        <v/>
      </c>
      <c r="BA104" s="188" t="str">
        <f>IF(ISTEXT(VLOOKUP(CONCATENATE($A104,"_",BA$3),'Unit List'!$A$14:$H$2841,2,FALSE)),"+","")</f>
        <v/>
      </c>
      <c r="BB104" s="131" t="str">
        <f>IF(ISTEXT(VLOOKUP(CONCATENATE($A104,"_",BB$3),'Unit List'!$A$14:$H$2841,2,FALSE)),"X",$BA104)</f>
        <v/>
      </c>
      <c r="BC104" s="131" t="str">
        <f>IF(ISTEXT(VLOOKUP(CONCATENATE($A104,"_",BC$3),'Unit List'!$A$14:$H$2841,2,FALSE)),"X",$BA104)</f>
        <v/>
      </c>
      <c r="BD104" s="132" t="str">
        <f>IF(ISTEXT(VLOOKUP(CONCATENATE($A104,"_",BD$3),'Unit List'!$A$14:$H$2841,2,FALSE)),"X",$BA104)</f>
        <v/>
      </c>
      <c r="BE104" s="186" t="str">
        <f>IF(ISTEXT(VLOOKUP(CONCATENATE($A104,"_",BE$3),'Unit List'!$A$14:$H$2841,2,FALSE)),"+","")</f>
        <v/>
      </c>
      <c r="BF104" s="116" t="str">
        <f>IF(ISTEXT(VLOOKUP(CONCATENATE($A104,"_",BF$3),'Unit List'!$A$14:$H$2841,2,FALSE)),"X",$BE104)</f>
        <v/>
      </c>
      <c r="BG104" s="132"/>
      <c r="BH104" s="117"/>
      <c r="BI104" s="143"/>
      <c r="BJ104" s="144"/>
      <c r="BK104" s="144"/>
      <c r="BL104" s="145"/>
      <c r="BM104" s="145"/>
      <c r="BN104" s="54"/>
      <c r="BO104" s="54"/>
      <c r="BP104" s="54"/>
      <c r="BQ104" s="54"/>
      <c r="BR104" s="54"/>
      <c r="BS104" s="54"/>
      <c r="DZ104" s="55"/>
      <c r="EA104" s="55"/>
    </row>
    <row r="105" spans="1:137" x14ac:dyDescent="0.25">
      <c r="C105" s="148"/>
      <c r="F105" s="54"/>
      <c r="G105" s="54"/>
      <c r="H105" s="54"/>
      <c r="J105" s="54"/>
      <c r="K105" s="54"/>
      <c r="L105" s="54"/>
      <c r="O105" s="54"/>
      <c r="Q105" s="54"/>
      <c r="Z105" s="54"/>
      <c r="AA105" s="54"/>
      <c r="AC105" s="54"/>
      <c r="AD105" s="54"/>
      <c r="AG105" s="54"/>
      <c r="AI105" s="54"/>
      <c r="AJ105" s="54"/>
      <c r="AS105" s="54"/>
      <c r="BC105" s="54"/>
      <c r="BF105" s="54"/>
      <c r="BK105" s="54"/>
      <c r="BY105" s="54"/>
      <c r="BZ105" s="54"/>
      <c r="CG105" s="54"/>
      <c r="CH105" s="54"/>
      <c r="CK105" s="54"/>
      <c r="CN105" s="54"/>
      <c r="CP105" s="54"/>
      <c r="CS105" s="54"/>
      <c r="CU105" s="54"/>
      <c r="CY105" s="54"/>
      <c r="CZ105" s="54"/>
      <c r="DA105" s="54"/>
      <c r="DB105" s="54"/>
      <c r="DC105" s="54"/>
      <c r="DD105" s="54"/>
      <c r="DE105" s="54"/>
      <c r="DF105" s="54"/>
      <c r="DG105" s="54"/>
      <c r="DH105" s="54"/>
      <c r="DI105" s="54"/>
      <c r="DJ105" s="54"/>
      <c r="DK105" s="54"/>
      <c r="DL105" s="54"/>
      <c r="DM105" s="54"/>
      <c r="DN105" s="54"/>
      <c r="DO105" s="54"/>
      <c r="DP105" s="54"/>
      <c r="DR105" s="54"/>
      <c r="DS105" s="54"/>
      <c r="DT105" s="54"/>
      <c r="DU105" s="54"/>
      <c r="DV105" s="54"/>
      <c r="DY105" s="54"/>
      <c r="DZ105" s="127"/>
      <c r="EA105" s="127"/>
      <c r="EB105" s="54"/>
      <c r="EC105" s="54"/>
      <c r="ED105" s="54"/>
      <c r="EE105" s="54"/>
      <c r="EF105" s="54"/>
      <c r="EG105" s="54"/>
    </row>
    <row r="106" spans="1:137" x14ac:dyDescent="0.25">
      <c r="C106" s="148"/>
      <c r="F106" s="54"/>
      <c r="G106" s="54"/>
      <c r="H106" s="54"/>
      <c r="J106" s="54"/>
      <c r="K106" s="54"/>
      <c r="L106" s="54"/>
      <c r="O106" s="54"/>
      <c r="Q106" s="54"/>
      <c r="Z106" s="54"/>
      <c r="AA106" s="54"/>
      <c r="AC106" s="54"/>
      <c r="AD106" s="54"/>
      <c r="AG106" s="54"/>
      <c r="AI106" s="54"/>
      <c r="AJ106" s="54"/>
      <c r="AS106" s="54"/>
      <c r="BC106" s="54"/>
      <c r="BF106" s="54"/>
      <c r="BK106" s="54"/>
      <c r="BY106" s="54"/>
      <c r="BZ106" s="54"/>
      <c r="CG106" s="54"/>
      <c r="CH106" s="54"/>
      <c r="CK106" s="54"/>
      <c r="CN106" s="54"/>
      <c r="CP106" s="54"/>
      <c r="CS106" s="54"/>
      <c r="CU106" s="54"/>
      <c r="CY106" s="54"/>
      <c r="CZ106" s="54"/>
      <c r="DA106" s="54"/>
      <c r="DB106" s="54"/>
      <c r="DC106" s="54"/>
      <c r="DD106" s="54"/>
      <c r="DE106" s="54"/>
      <c r="DF106" s="54"/>
      <c r="DG106" s="54"/>
      <c r="DH106" s="54"/>
      <c r="DI106" s="54"/>
      <c r="DJ106" s="54"/>
      <c r="DK106" s="54"/>
      <c r="DL106" s="54"/>
      <c r="DM106" s="54"/>
      <c r="DN106" s="54"/>
      <c r="DO106" s="54"/>
      <c r="DP106" s="54"/>
      <c r="DR106" s="54"/>
      <c r="DS106" s="54"/>
      <c r="DT106" s="54"/>
      <c r="DU106" s="54"/>
      <c r="DV106" s="54"/>
      <c r="DY106" s="54"/>
      <c r="DZ106" s="127"/>
      <c r="EA106" s="127"/>
      <c r="EB106" s="54"/>
      <c r="EC106" s="54"/>
      <c r="ED106" s="54"/>
      <c r="EE106" s="54"/>
      <c r="EF106" s="54"/>
      <c r="EG106" s="54"/>
    </row>
    <row r="107" spans="1:137" x14ac:dyDescent="0.25">
      <c r="C107" s="148"/>
      <c r="F107" s="54"/>
      <c r="G107" s="54"/>
      <c r="H107" s="54"/>
      <c r="J107" s="54"/>
      <c r="K107" s="54"/>
      <c r="L107" s="54"/>
      <c r="O107" s="54"/>
      <c r="Q107" s="54"/>
      <c r="Z107" s="54"/>
      <c r="AA107" s="54"/>
      <c r="AC107" s="54"/>
      <c r="AD107" s="54"/>
      <c r="AG107" s="54"/>
      <c r="AI107" s="54"/>
      <c r="AJ107" s="54"/>
      <c r="AS107" s="54"/>
      <c r="BC107" s="54"/>
      <c r="BF107" s="54"/>
      <c r="BK107" s="54"/>
      <c r="BY107" s="54"/>
      <c r="BZ107" s="54"/>
      <c r="CG107" s="54"/>
      <c r="CH107" s="54"/>
      <c r="CK107" s="54"/>
      <c r="CN107" s="54"/>
      <c r="CP107" s="54"/>
      <c r="CS107" s="54"/>
      <c r="CU107" s="54"/>
      <c r="CY107" s="54"/>
      <c r="CZ107" s="54"/>
      <c r="DA107" s="54"/>
      <c r="DB107" s="54"/>
      <c r="DC107" s="54"/>
      <c r="DD107" s="54"/>
      <c r="DE107" s="54"/>
      <c r="DF107" s="54"/>
      <c r="DG107" s="54"/>
      <c r="DH107" s="54"/>
      <c r="DI107" s="54"/>
      <c r="DJ107" s="54"/>
      <c r="DK107" s="54"/>
      <c r="DL107" s="54"/>
      <c r="DM107" s="54"/>
      <c r="DN107" s="54"/>
      <c r="DO107" s="54"/>
      <c r="DP107" s="54"/>
      <c r="DR107" s="54"/>
      <c r="DS107" s="54"/>
      <c r="DT107" s="54"/>
      <c r="DU107" s="54"/>
      <c r="DV107" s="54"/>
      <c r="DY107" s="54"/>
      <c r="DZ107" s="127"/>
      <c r="EA107" s="127"/>
      <c r="EB107" s="54"/>
      <c r="EC107" s="54"/>
      <c r="ED107" s="54"/>
      <c r="EE107" s="54"/>
      <c r="EF107" s="54"/>
      <c r="EG107" s="54"/>
    </row>
    <row r="108" spans="1:137" x14ac:dyDescent="0.25">
      <c r="C108" s="148"/>
      <c r="F108" s="54"/>
      <c r="G108" s="54"/>
      <c r="H108" s="54"/>
      <c r="J108" s="54"/>
      <c r="K108" s="54"/>
      <c r="L108" s="54"/>
      <c r="O108" s="54"/>
      <c r="Q108" s="54"/>
      <c r="Z108" s="54"/>
      <c r="AA108" s="54"/>
      <c r="AC108" s="54"/>
      <c r="AD108" s="54"/>
      <c r="AG108" s="54"/>
      <c r="AI108" s="54"/>
      <c r="AJ108" s="54"/>
      <c r="AS108" s="54"/>
      <c r="BC108" s="54"/>
      <c r="BF108" s="54"/>
      <c r="BK108" s="54"/>
      <c r="BY108" s="54"/>
      <c r="BZ108" s="54"/>
      <c r="CG108" s="54"/>
      <c r="CH108" s="54"/>
      <c r="CK108" s="54"/>
      <c r="CN108" s="54"/>
      <c r="CP108" s="54"/>
      <c r="CS108" s="54"/>
      <c r="CU108" s="54"/>
      <c r="CY108" s="54"/>
      <c r="CZ108" s="54"/>
      <c r="DA108" s="54"/>
      <c r="DB108" s="54"/>
      <c r="DC108" s="54"/>
      <c r="DD108" s="54"/>
      <c r="DE108" s="54"/>
      <c r="DF108" s="54"/>
      <c r="DG108" s="54"/>
      <c r="DH108" s="54"/>
      <c r="DI108" s="54"/>
      <c r="DJ108" s="54"/>
      <c r="DK108" s="54"/>
      <c r="DL108" s="54"/>
      <c r="DM108" s="54"/>
      <c r="DN108" s="54"/>
      <c r="DO108" s="54"/>
      <c r="DP108" s="54"/>
      <c r="DR108" s="54"/>
      <c r="DS108" s="54"/>
      <c r="DT108" s="54"/>
      <c r="DU108" s="54"/>
      <c r="DV108" s="54"/>
      <c r="DY108" s="54"/>
      <c r="DZ108" s="127"/>
      <c r="EA108" s="127"/>
      <c r="EB108" s="54"/>
      <c r="EC108" s="54"/>
      <c r="ED108" s="54"/>
      <c r="EE108" s="54"/>
      <c r="EF108" s="54"/>
      <c r="EG108" s="54"/>
    </row>
    <row r="109" spans="1:137" x14ac:dyDescent="0.25">
      <c r="C109" s="148"/>
      <c r="F109" s="54"/>
      <c r="G109" s="54"/>
      <c r="H109" s="54"/>
      <c r="J109" s="54"/>
      <c r="K109" s="54"/>
      <c r="L109" s="54"/>
      <c r="O109" s="54"/>
      <c r="Q109" s="54"/>
      <c r="Z109" s="54"/>
      <c r="AA109" s="54"/>
      <c r="AC109" s="54"/>
      <c r="AD109" s="54"/>
      <c r="AG109" s="54"/>
      <c r="AI109" s="54"/>
      <c r="AJ109" s="54"/>
      <c r="AS109" s="54"/>
      <c r="BC109" s="54"/>
      <c r="BF109" s="54"/>
      <c r="BK109" s="54"/>
      <c r="BY109" s="54"/>
      <c r="BZ109" s="54"/>
      <c r="CG109" s="54"/>
      <c r="CH109" s="54"/>
      <c r="CK109" s="54"/>
      <c r="CN109" s="54"/>
      <c r="CP109" s="54"/>
      <c r="CS109" s="54"/>
      <c r="CU109" s="54"/>
      <c r="CY109" s="54"/>
      <c r="CZ109" s="54"/>
      <c r="DA109" s="54"/>
      <c r="DB109" s="54"/>
      <c r="DC109" s="54"/>
      <c r="DD109" s="54"/>
      <c r="DE109" s="54"/>
      <c r="DF109" s="54"/>
      <c r="DG109" s="54"/>
      <c r="DH109" s="54"/>
      <c r="DI109" s="54"/>
      <c r="DJ109" s="54"/>
      <c r="DK109" s="54"/>
      <c r="DL109" s="54"/>
      <c r="DM109" s="54"/>
      <c r="DN109" s="54"/>
      <c r="DO109" s="54"/>
      <c r="DP109" s="54"/>
      <c r="DR109" s="54"/>
      <c r="DS109" s="54"/>
      <c r="DT109" s="54"/>
      <c r="DU109" s="54"/>
      <c r="DV109" s="54"/>
      <c r="DY109" s="54"/>
      <c r="DZ109" s="127"/>
      <c r="EA109" s="127"/>
      <c r="EB109" s="54"/>
      <c r="EC109" s="54"/>
      <c r="ED109" s="54"/>
      <c r="EE109" s="54"/>
      <c r="EF109" s="54"/>
      <c r="EG109" s="54"/>
    </row>
    <row r="110" spans="1:137" x14ac:dyDescent="0.25">
      <c r="C110" s="148"/>
      <c r="F110" s="54"/>
      <c r="G110" s="54"/>
      <c r="H110" s="54"/>
      <c r="J110" s="54"/>
      <c r="K110" s="54"/>
      <c r="L110" s="54"/>
      <c r="O110" s="54"/>
      <c r="Q110" s="54"/>
      <c r="Z110" s="54"/>
      <c r="AA110" s="54"/>
      <c r="AC110" s="54"/>
      <c r="AD110" s="54"/>
      <c r="AG110" s="54"/>
      <c r="AI110" s="54"/>
      <c r="AJ110" s="54"/>
      <c r="AS110" s="54"/>
      <c r="BC110" s="54"/>
      <c r="BF110" s="54"/>
      <c r="BK110" s="54"/>
      <c r="BY110" s="54"/>
      <c r="BZ110" s="54"/>
      <c r="CG110" s="54"/>
      <c r="CH110" s="54"/>
      <c r="CK110" s="54"/>
      <c r="CN110" s="54"/>
      <c r="CP110" s="54"/>
      <c r="CS110" s="54"/>
      <c r="CU110" s="54"/>
      <c r="CY110" s="54"/>
      <c r="CZ110" s="54"/>
      <c r="DA110" s="54"/>
      <c r="DB110" s="54"/>
      <c r="DC110" s="54"/>
      <c r="DD110" s="54"/>
      <c r="DE110" s="54"/>
      <c r="DF110" s="54"/>
      <c r="DG110" s="54"/>
      <c r="DH110" s="54"/>
      <c r="DI110" s="54"/>
      <c r="DJ110" s="54"/>
      <c r="DK110" s="54"/>
      <c r="DL110" s="54"/>
      <c r="DM110" s="54"/>
      <c r="DN110" s="54"/>
      <c r="DO110" s="54"/>
      <c r="DP110" s="54"/>
      <c r="DR110" s="54"/>
      <c r="DS110" s="54"/>
      <c r="DT110" s="54"/>
      <c r="DU110" s="54"/>
      <c r="DV110" s="54"/>
      <c r="DY110" s="54"/>
      <c r="DZ110" s="127"/>
      <c r="EA110" s="127"/>
      <c r="EB110" s="54"/>
      <c r="EC110" s="54"/>
      <c r="ED110" s="54"/>
      <c r="EE110" s="54"/>
      <c r="EF110" s="54"/>
      <c r="EG110" s="54"/>
    </row>
    <row r="111" spans="1:137" x14ac:dyDescent="0.25">
      <c r="C111" s="148"/>
      <c r="F111" s="54"/>
      <c r="G111" s="54"/>
      <c r="H111" s="54"/>
      <c r="J111" s="54"/>
      <c r="K111" s="54"/>
      <c r="L111" s="54"/>
      <c r="O111" s="54"/>
      <c r="Q111" s="54"/>
      <c r="Z111" s="54"/>
      <c r="AA111" s="54"/>
      <c r="AC111" s="54"/>
      <c r="AD111" s="54"/>
      <c r="AG111" s="54"/>
      <c r="AI111" s="54"/>
      <c r="AJ111" s="54"/>
      <c r="AS111" s="54"/>
      <c r="BC111" s="54"/>
      <c r="BF111" s="54"/>
      <c r="BK111" s="54"/>
      <c r="BY111" s="54"/>
      <c r="BZ111" s="54"/>
      <c r="CG111" s="54"/>
      <c r="CH111" s="54"/>
      <c r="CK111" s="54"/>
      <c r="CN111" s="54"/>
      <c r="CP111" s="54"/>
      <c r="CS111" s="54"/>
      <c r="CU111" s="54"/>
      <c r="CY111" s="54"/>
      <c r="CZ111" s="54"/>
      <c r="DA111" s="54"/>
      <c r="DB111" s="54"/>
      <c r="DC111" s="54"/>
      <c r="DD111" s="54"/>
      <c r="DE111" s="54"/>
      <c r="DF111" s="54"/>
      <c r="DG111" s="54"/>
      <c r="DH111" s="54"/>
      <c r="DI111" s="54"/>
      <c r="DJ111" s="54"/>
      <c r="DK111" s="54"/>
      <c r="DL111" s="54"/>
      <c r="DM111" s="54"/>
      <c r="DN111" s="54"/>
      <c r="DO111" s="54"/>
      <c r="DP111" s="54"/>
      <c r="DR111" s="54"/>
      <c r="DS111" s="54"/>
      <c r="DT111" s="54"/>
      <c r="DU111" s="54"/>
      <c r="DV111" s="54"/>
      <c r="DY111" s="54"/>
      <c r="DZ111" s="127"/>
      <c r="EA111" s="127"/>
      <c r="EB111" s="54"/>
      <c r="EC111" s="54"/>
      <c r="ED111" s="54"/>
      <c r="EE111" s="54"/>
      <c r="EF111" s="54"/>
      <c r="EG111" s="54"/>
    </row>
    <row r="112" spans="1:137" x14ac:dyDescent="0.25">
      <c r="C112" s="148"/>
      <c r="F112" s="54"/>
      <c r="G112" s="54"/>
      <c r="H112" s="54"/>
      <c r="J112" s="54"/>
      <c r="K112" s="54"/>
      <c r="L112" s="54"/>
      <c r="O112" s="54"/>
      <c r="Q112" s="54"/>
      <c r="Z112" s="54"/>
      <c r="AA112" s="54"/>
      <c r="AC112" s="54"/>
      <c r="AD112" s="54"/>
      <c r="AG112" s="54"/>
      <c r="AI112" s="54"/>
      <c r="AJ112" s="54"/>
      <c r="AS112" s="54"/>
      <c r="BC112" s="54"/>
      <c r="BF112" s="54"/>
      <c r="BK112" s="54"/>
      <c r="BY112" s="54"/>
      <c r="BZ112" s="54"/>
      <c r="CG112" s="54"/>
      <c r="CH112" s="54"/>
      <c r="CK112" s="54"/>
      <c r="CN112" s="54"/>
      <c r="CP112" s="54"/>
      <c r="CS112" s="54"/>
      <c r="CU112" s="54"/>
      <c r="CY112" s="54"/>
      <c r="CZ112" s="54"/>
      <c r="DA112" s="54"/>
      <c r="DB112" s="54"/>
      <c r="DC112" s="54"/>
      <c r="DD112" s="54"/>
      <c r="DE112" s="54"/>
      <c r="DF112" s="54"/>
      <c r="DG112" s="54"/>
      <c r="DH112" s="54"/>
      <c r="DI112" s="54"/>
      <c r="DJ112" s="54"/>
      <c r="DK112" s="54"/>
      <c r="DL112" s="54"/>
      <c r="DM112" s="54"/>
      <c r="DN112" s="54"/>
      <c r="DO112" s="54"/>
      <c r="DP112" s="54"/>
      <c r="DR112" s="54"/>
      <c r="DS112" s="54"/>
      <c r="DT112" s="54"/>
      <c r="DU112" s="54"/>
      <c r="DV112" s="54"/>
      <c r="DY112" s="54"/>
      <c r="DZ112" s="127"/>
      <c r="EA112" s="127"/>
      <c r="EB112" s="54"/>
      <c r="EC112" s="54"/>
      <c r="ED112" s="54"/>
      <c r="EE112" s="54"/>
      <c r="EF112" s="54"/>
      <c r="EG112" s="54"/>
    </row>
    <row r="113" spans="3:137" x14ac:dyDescent="0.25">
      <c r="C113" s="148"/>
      <c r="F113" s="54"/>
      <c r="G113" s="54"/>
      <c r="H113" s="54"/>
      <c r="J113" s="54"/>
      <c r="K113" s="54"/>
      <c r="L113" s="54"/>
      <c r="O113" s="54"/>
      <c r="Q113" s="54"/>
      <c r="Z113" s="54"/>
      <c r="AA113" s="54"/>
      <c r="AC113" s="54"/>
      <c r="AD113" s="54"/>
      <c r="AG113" s="54"/>
      <c r="AI113" s="54"/>
      <c r="AJ113" s="54"/>
      <c r="AS113" s="54"/>
      <c r="BC113" s="54"/>
      <c r="BF113" s="54"/>
      <c r="BK113" s="54"/>
      <c r="BY113" s="54"/>
      <c r="BZ113" s="54"/>
      <c r="CG113" s="54"/>
      <c r="CH113" s="54"/>
      <c r="CK113" s="54"/>
      <c r="CN113" s="54"/>
      <c r="CP113" s="54"/>
      <c r="CS113" s="54"/>
      <c r="CU113" s="54"/>
      <c r="CY113" s="54"/>
      <c r="CZ113" s="54"/>
      <c r="DA113" s="54"/>
      <c r="DB113" s="54"/>
      <c r="DC113" s="54"/>
      <c r="DD113" s="54"/>
      <c r="DE113" s="54"/>
      <c r="DF113" s="54"/>
      <c r="DG113" s="54"/>
      <c r="DH113" s="54"/>
      <c r="DI113" s="54"/>
      <c r="DJ113" s="54"/>
      <c r="DK113" s="54"/>
      <c r="DL113" s="54"/>
      <c r="DM113" s="54"/>
      <c r="DN113" s="54"/>
      <c r="DO113" s="54"/>
      <c r="DP113" s="54"/>
      <c r="DR113" s="54"/>
      <c r="DS113" s="54"/>
      <c r="DT113" s="54"/>
      <c r="DU113" s="54"/>
      <c r="DV113" s="54"/>
      <c r="DY113" s="54"/>
      <c r="DZ113" s="127"/>
      <c r="EA113" s="127"/>
      <c r="EB113" s="54"/>
      <c r="EC113" s="54"/>
      <c r="ED113" s="54"/>
      <c r="EE113" s="54"/>
      <c r="EF113" s="54"/>
      <c r="EG113" s="54"/>
    </row>
    <row r="114" spans="3:137" x14ac:dyDescent="0.25">
      <c r="C114" s="148"/>
      <c r="F114" s="54"/>
      <c r="G114" s="54"/>
      <c r="H114" s="54"/>
      <c r="J114" s="54"/>
      <c r="K114" s="54"/>
      <c r="L114" s="54"/>
      <c r="O114" s="54"/>
      <c r="Q114" s="54"/>
      <c r="Z114" s="54"/>
      <c r="AA114" s="54"/>
      <c r="AC114" s="54"/>
      <c r="AD114" s="54"/>
      <c r="AG114" s="54"/>
      <c r="AI114" s="54"/>
      <c r="AJ114" s="54"/>
      <c r="AS114" s="54"/>
      <c r="BC114" s="54"/>
      <c r="BF114" s="54"/>
      <c r="BK114" s="54"/>
      <c r="BY114" s="54"/>
      <c r="BZ114" s="54"/>
      <c r="CG114" s="54"/>
      <c r="CH114" s="54"/>
      <c r="CK114" s="54"/>
      <c r="CN114" s="54"/>
      <c r="CP114" s="54"/>
      <c r="CS114" s="54"/>
      <c r="CU114" s="54"/>
      <c r="CY114" s="54"/>
      <c r="CZ114" s="54"/>
      <c r="DA114" s="54"/>
      <c r="DB114" s="54"/>
      <c r="DC114" s="54"/>
      <c r="DD114" s="54"/>
      <c r="DE114" s="54"/>
      <c r="DF114" s="54"/>
      <c r="DG114" s="54"/>
      <c r="DH114" s="54"/>
      <c r="DI114" s="54"/>
      <c r="DJ114" s="54"/>
      <c r="DK114" s="54"/>
      <c r="DL114" s="54"/>
      <c r="DM114" s="54"/>
      <c r="DN114" s="54"/>
      <c r="DO114" s="54"/>
      <c r="DP114" s="54"/>
      <c r="DR114" s="54"/>
      <c r="DS114" s="54"/>
      <c r="DT114" s="54"/>
      <c r="DU114" s="54"/>
      <c r="DV114" s="54"/>
      <c r="DY114" s="54"/>
      <c r="DZ114" s="127"/>
      <c r="EA114" s="127"/>
      <c r="EB114" s="54"/>
      <c r="EC114" s="54"/>
      <c r="ED114" s="54"/>
      <c r="EE114" s="54"/>
      <c r="EF114" s="54"/>
      <c r="EG114" s="54"/>
    </row>
    <row r="115" spans="3:137" x14ac:dyDescent="0.25">
      <c r="C115" s="148"/>
      <c r="F115" s="54"/>
      <c r="G115" s="54"/>
      <c r="H115" s="54"/>
      <c r="J115" s="54"/>
      <c r="K115" s="54"/>
      <c r="L115" s="54"/>
      <c r="O115" s="54"/>
      <c r="Q115" s="54"/>
      <c r="Z115" s="54"/>
      <c r="AA115" s="54"/>
      <c r="AC115" s="54"/>
      <c r="AD115" s="54"/>
      <c r="AG115" s="54"/>
      <c r="AI115" s="54"/>
      <c r="AJ115" s="54"/>
      <c r="AS115" s="54"/>
      <c r="BC115" s="54"/>
      <c r="BF115" s="54"/>
      <c r="BK115" s="54"/>
      <c r="BY115" s="54"/>
      <c r="BZ115" s="54"/>
      <c r="CG115" s="54"/>
      <c r="CH115" s="54"/>
      <c r="CK115" s="54"/>
      <c r="CN115" s="54"/>
      <c r="CP115" s="54"/>
      <c r="CS115" s="54"/>
      <c r="CU115" s="54"/>
      <c r="CY115" s="54"/>
      <c r="CZ115" s="54"/>
      <c r="DA115" s="54"/>
      <c r="DB115" s="54"/>
      <c r="DC115" s="54"/>
      <c r="DD115" s="54"/>
      <c r="DE115" s="54"/>
      <c r="DF115" s="54"/>
      <c r="DG115" s="54"/>
      <c r="DH115" s="54"/>
      <c r="DI115" s="54"/>
      <c r="DJ115" s="54"/>
      <c r="DK115" s="54"/>
      <c r="DL115" s="54"/>
      <c r="DM115" s="54"/>
      <c r="DN115" s="54"/>
      <c r="DO115" s="54"/>
      <c r="DP115" s="54"/>
      <c r="DR115" s="54"/>
      <c r="DS115" s="54"/>
      <c r="DT115" s="54"/>
      <c r="DU115" s="54"/>
      <c r="DV115" s="54"/>
      <c r="DY115" s="54"/>
      <c r="DZ115" s="127"/>
      <c r="EA115" s="127"/>
      <c r="EB115" s="54"/>
      <c r="EC115" s="54"/>
      <c r="ED115" s="54"/>
      <c r="EE115" s="54"/>
      <c r="EF115" s="54"/>
      <c r="EG115" s="54"/>
    </row>
    <row r="116" spans="3:137" x14ac:dyDescent="0.25">
      <c r="C116" s="148"/>
      <c r="F116" s="54"/>
      <c r="G116" s="54"/>
      <c r="H116" s="54"/>
      <c r="J116" s="54"/>
      <c r="K116" s="54"/>
      <c r="L116" s="54"/>
      <c r="O116" s="54"/>
      <c r="Q116" s="54"/>
      <c r="Z116" s="54"/>
      <c r="AA116" s="54"/>
      <c r="AC116" s="54"/>
      <c r="AD116" s="54"/>
      <c r="AG116" s="54"/>
      <c r="AI116" s="54"/>
      <c r="AJ116" s="54"/>
      <c r="AS116" s="54"/>
      <c r="BC116" s="54"/>
      <c r="BF116" s="54"/>
      <c r="BK116" s="54"/>
      <c r="BY116" s="54"/>
      <c r="BZ116" s="54"/>
      <c r="CG116" s="54"/>
      <c r="CH116" s="54"/>
      <c r="CK116" s="54"/>
      <c r="CN116" s="54"/>
      <c r="CP116" s="54"/>
      <c r="CS116" s="54"/>
      <c r="CU116" s="54"/>
      <c r="CY116" s="54"/>
      <c r="CZ116" s="54"/>
      <c r="DA116" s="54"/>
      <c r="DB116" s="54"/>
      <c r="DC116" s="54"/>
      <c r="DD116" s="54"/>
      <c r="DE116" s="54"/>
      <c r="DF116" s="54"/>
      <c r="DG116" s="54"/>
      <c r="DH116" s="54"/>
      <c r="DI116" s="54"/>
      <c r="DJ116" s="54"/>
      <c r="DK116" s="54"/>
      <c r="DL116" s="54"/>
      <c r="DM116" s="54"/>
      <c r="DN116" s="54"/>
      <c r="DO116" s="54"/>
      <c r="DP116" s="54"/>
      <c r="DR116" s="54"/>
      <c r="DS116" s="54"/>
      <c r="DT116" s="54"/>
      <c r="DU116" s="54"/>
      <c r="DV116" s="54"/>
      <c r="DY116" s="54"/>
      <c r="DZ116" s="127"/>
      <c r="EA116" s="127"/>
      <c r="EB116" s="54"/>
      <c r="EC116" s="54"/>
      <c r="ED116" s="54"/>
      <c r="EE116" s="54"/>
      <c r="EF116" s="54"/>
      <c r="EG116" s="54"/>
    </row>
    <row r="117" spans="3:137" x14ac:dyDescent="0.25">
      <c r="C117" s="148"/>
      <c r="F117" s="54"/>
      <c r="G117" s="54"/>
      <c r="H117" s="54"/>
      <c r="J117" s="54"/>
      <c r="K117" s="54"/>
      <c r="L117" s="54"/>
      <c r="O117" s="54"/>
      <c r="Q117" s="54"/>
      <c r="Z117" s="54"/>
      <c r="AA117" s="54"/>
      <c r="AC117" s="54"/>
      <c r="AD117" s="54"/>
      <c r="AG117" s="54"/>
      <c r="AI117" s="54"/>
      <c r="AJ117" s="54"/>
      <c r="AS117" s="54"/>
      <c r="BC117" s="54"/>
      <c r="BF117" s="54"/>
      <c r="BK117" s="54"/>
      <c r="BY117" s="54"/>
      <c r="BZ117" s="54"/>
      <c r="CG117" s="54"/>
      <c r="CH117" s="54"/>
      <c r="CK117" s="54"/>
      <c r="CN117" s="54"/>
      <c r="CP117" s="54"/>
      <c r="CS117" s="54"/>
      <c r="CU117" s="54"/>
      <c r="CY117" s="54"/>
      <c r="CZ117" s="54"/>
      <c r="DA117" s="54"/>
      <c r="DB117" s="54"/>
      <c r="DC117" s="54"/>
      <c r="DD117" s="54"/>
      <c r="DE117" s="54"/>
      <c r="DF117" s="54"/>
      <c r="DG117" s="54"/>
      <c r="DH117" s="54"/>
      <c r="DI117" s="54"/>
      <c r="DJ117" s="54"/>
      <c r="DK117" s="54"/>
      <c r="DL117" s="54"/>
      <c r="DM117" s="54"/>
      <c r="DN117" s="54"/>
      <c r="DO117" s="54"/>
      <c r="DP117" s="54"/>
      <c r="DR117" s="54"/>
      <c r="DS117" s="54"/>
      <c r="DT117" s="54"/>
      <c r="DU117" s="54"/>
      <c r="DV117" s="54"/>
      <c r="DY117" s="54"/>
      <c r="DZ117" s="127"/>
      <c r="EA117" s="127"/>
      <c r="EB117" s="54"/>
      <c r="EC117" s="54"/>
      <c r="ED117" s="54"/>
      <c r="EE117" s="54"/>
      <c r="EF117" s="54"/>
      <c r="EG117" s="54"/>
    </row>
    <row r="118" spans="3:137" x14ac:dyDescent="0.25">
      <c r="C118" s="148"/>
      <c r="F118" s="54"/>
      <c r="G118" s="54"/>
      <c r="H118" s="54"/>
      <c r="J118" s="54"/>
      <c r="K118" s="54"/>
      <c r="L118" s="54"/>
      <c r="O118" s="54"/>
      <c r="Q118" s="54"/>
      <c r="Z118" s="54"/>
      <c r="AA118" s="54"/>
      <c r="AC118" s="54"/>
      <c r="AD118" s="54"/>
      <c r="AG118" s="54"/>
      <c r="AI118" s="54"/>
      <c r="AJ118" s="54"/>
      <c r="AS118" s="54"/>
      <c r="BC118" s="54"/>
      <c r="BF118" s="54"/>
      <c r="BK118" s="54"/>
      <c r="BY118" s="54"/>
      <c r="BZ118" s="54"/>
      <c r="CG118" s="54"/>
      <c r="CH118" s="54"/>
      <c r="CK118" s="54"/>
      <c r="CN118" s="54"/>
      <c r="CP118" s="54"/>
      <c r="CS118" s="54"/>
      <c r="CU118" s="54"/>
      <c r="CY118" s="54"/>
      <c r="CZ118" s="54"/>
      <c r="DA118" s="54"/>
      <c r="DB118" s="54"/>
      <c r="DC118" s="54"/>
      <c r="DD118" s="54"/>
      <c r="DE118" s="54"/>
      <c r="DF118" s="54"/>
      <c r="DG118" s="54"/>
      <c r="DH118" s="54"/>
      <c r="DI118" s="54"/>
      <c r="DJ118" s="54"/>
      <c r="DK118" s="54"/>
      <c r="DL118" s="54"/>
      <c r="DM118" s="54"/>
      <c r="DN118" s="54"/>
      <c r="DO118" s="54"/>
      <c r="DP118" s="54"/>
      <c r="DR118" s="54"/>
      <c r="DS118" s="54"/>
      <c r="DT118" s="54"/>
      <c r="DU118" s="54"/>
      <c r="DV118" s="54"/>
      <c r="DY118" s="54"/>
      <c r="DZ118" s="127"/>
      <c r="EA118" s="127"/>
      <c r="EB118" s="54"/>
      <c r="EC118" s="54"/>
      <c r="ED118" s="54"/>
      <c r="EE118" s="54"/>
      <c r="EF118" s="54"/>
      <c r="EG118" s="54"/>
    </row>
    <row r="119" spans="3:137" x14ac:dyDescent="0.25">
      <c r="C119" s="148"/>
      <c r="F119" s="54"/>
      <c r="G119" s="54"/>
      <c r="H119" s="54"/>
      <c r="J119" s="54"/>
      <c r="K119" s="54"/>
      <c r="L119" s="54"/>
      <c r="O119" s="54"/>
      <c r="Q119" s="54"/>
      <c r="Z119" s="54"/>
      <c r="AA119" s="54"/>
      <c r="AC119" s="54"/>
      <c r="AD119" s="54"/>
      <c r="AG119" s="54"/>
      <c r="AI119" s="54"/>
      <c r="AJ119" s="54"/>
      <c r="AS119" s="54"/>
      <c r="BC119" s="54"/>
      <c r="BF119" s="54"/>
      <c r="BK119" s="54"/>
      <c r="BY119" s="54"/>
      <c r="BZ119" s="54"/>
      <c r="CG119" s="54"/>
      <c r="CH119" s="54"/>
      <c r="CK119" s="54"/>
      <c r="CN119" s="54"/>
      <c r="CP119" s="54"/>
      <c r="CS119" s="54"/>
      <c r="CU119" s="54"/>
      <c r="CY119" s="54"/>
      <c r="CZ119" s="54"/>
      <c r="DA119" s="54"/>
      <c r="DB119" s="54"/>
      <c r="DC119" s="54"/>
      <c r="DD119" s="54"/>
      <c r="DE119" s="54"/>
      <c r="DF119" s="54"/>
      <c r="DG119" s="54"/>
      <c r="DH119" s="54"/>
      <c r="DI119" s="54"/>
      <c r="DJ119" s="54"/>
      <c r="DK119" s="54"/>
      <c r="DL119" s="54"/>
      <c r="DM119" s="54"/>
      <c r="DN119" s="54"/>
      <c r="DO119" s="54"/>
      <c r="DP119" s="54"/>
      <c r="DR119" s="54"/>
      <c r="DS119" s="54"/>
      <c r="DT119" s="54"/>
      <c r="DU119" s="54"/>
      <c r="DV119" s="54"/>
      <c r="DY119" s="54"/>
      <c r="DZ119" s="127"/>
      <c r="EA119" s="127"/>
      <c r="EB119" s="54"/>
      <c r="EC119" s="54"/>
      <c r="ED119" s="54"/>
      <c r="EE119" s="54"/>
      <c r="EF119" s="54"/>
      <c r="EG119" s="54"/>
    </row>
    <row r="120" spans="3:137" x14ac:dyDescent="0.25">
      <c r="C120" s="148"/>
      <c r="F120" s="54"/>
      <c r="G120" s="54"/>
      <c r="H120" s="54"/>
      <c r="J120" s="54"/>
      <c r="K120" s="54"/>
      <c r="L120" s="54"/>
      <c r="O120" s="54"/>
      <c r="Q120" s="54"/>
      <c r="Z120" s="54"/>
      <c r="AA120" s="54"/>
      <c r="AC120" s="54"/>
      <c r="AD120" s="54"/>
      <c r="AG120" s="54"/>
      <c r="AI120" s="54"/>
      <c r="AJ120" s="54"/>
      <c r="AS120" s="54"/>
      <c r="BC120" s="54"/>
      <c r="BF120" s="54"/>
      <c r="BK120" s="54"/>
      <c r="BY120" s="54"/>
      <c r="BZ120" s="54"/>
      <c r="CG120" s="54"/>
      <c r="CH120" s="54"/>
      <c r="CK120" s="54"/>
      <c r="CN120" s="54"/>
      <c r="CP120" s="54"/>
      <c r="CS120" s="54"/>
      <c r="CU120" s="54"/>
      <c r="CY120" s="54"/>
      <c r="CZ120" s="54"/>
      <c r="DA120" s="54"/>
      <c r="DB120" s="54"/>
      <c r="DC120" s="54"/>
      <c r="DD120" s="54"/>
      <c r="DE120" s="54"/>
      <c r="DF120" s="54"/>
      <c r="DG120" s="54"/>
      <c r="DH120" s="54"/>
      <c r="DI120" s="54"/>
      <c r="DJ120" s="54"/>
      <c r="DK120" s="54"/>
      <c r="DL120" s="54"/>
      <c r="DM120" s="54"/>
      <c r="DN120" s="54"/>
      <c r="DO120" s="54"/>
      <c r="DP120" s="54"/>
      <c r="DR120" s="54"/>
      <c r="DS120" s="54"/>
      <c r="DT120" s="54"/>
      <c r="DU120" s="54"/>
      <c r="DV120" s="54"/>
      <c r="DY120" s="54"/>
      <c r="DZ120" s="127"/>
      <c r="EA120" s="127"/>
      <c r="EB120" s="54"/>
      <c r="EC120" s="54"/>
      <c r="ED120" s="54"/>
      <c r="EE120" s="54"/>
      <c r="EF120" s="54"/>
      <c r="EG120" s="54"/>
    </row>
    <row r="121" spans="3:137" x14ac:dyDescent="0.25">
      <c r="C121" s="148"/>
      <c r="F121" s="54"/>
      <c r="G121" s="54"/>
      <c r="H121" s="54"/>
      <c r="J121" s="54"/>
      <c r="K121" s="54"/>
      <c r="L121" s="54"/>
      <c r="O121" s="54"/>
      <c r="Q121" s="54"/>
      <c r="Z121" s="54"/>
      <c r="AA121" s="54"/>
      <c r="AC121" s="54"/>
      <c r="AD121" s="54"/>
      <c r="AG121" s="54"/>
      <c r="AI121" s="54"/>
      <c r="AJ121" s="54"/>
      <c r="AS121" s="54"/>
      <c r="BC121" s="54"/>
      <c r="BF121" s="54"/>
      <c r="BK121" s="54"/>
      <c r="BY121" s="54"/>
      <c r="BZ121" s="54"/>
      <c r="CG121" s="54"/>
      <c r="CH121" s="54"/>
      <c r="CK121" s="54"/>
      <c r="CN121" s="54"/>
      <c r="CP121" s="54"/>
      <c r="CS121" s="54"/>
      <c r="CU121" s="54"/>
      <c r="CY121" s="54"/>
      <c r="CZ121" s="54"/>
      <c r="DA121" s="54"/>
      <c r="DB121" s="54"/>
      <c r="DC121" s="54"/>
      <c r="DD121" s="54"/>
      <c r="DE121" s="54"/>
      <c r="DF121" s="54"/>
      <c r="DG121" s="54"/>
      <c r="DH121" s="54"/>
      <c r="DI121" s="54"/>
      <c r="DJ121" s="54"/>
      <c r="DK121" s="54"/>
      <c r="DL121" s="54"/>
      <c r="DM121" s="54"/>
      <c r="DN121" s="54"/>
      <c r="DO121" s="54"/>
      <c r="DP121" s="54"/>
      <c r="DR121" s="54"/>
      <c r="DS121" s="54"/>
      <c r="DT121" s="54"/>
      <c r="DU121" s="54"/>
      <c r="DV121" s="54"/>
      <c r="DY121" s="54"/>
      <c r="DZ121" s="127"/>
      <c r="EA121" s="127"/>
      <c r="EB121" s="54"/>
      <c r="EC121" s="54"/>
      <c r="ED121" s="54"/>
      <c r="EE121" s="54"/>
      <c r="EF121" s="54"/>
      <c r="EG121" s="54"/>
    </row>
    <row r="122" spans="3:137" x14ac:dyDescent="0.25">
      <c r="C122" s="148"/>
      <c r="F122" s="54"/>
      <c r="G122" s="54"/>
      <c r="H122" s="54"/>
      <c r="J122" s="54"/>
      <c r="K122" s="54"/>
      <c r="L122" s="54"/>
      <c r="O122" s="54"/>
      <c r="Q122" s="54"/>
      <c r="Z122" s="54"/>
      <c r="AA122" s="54"/>
      <c r="AC122" s="54"/>
      <c r="AD122" s="54"/>
      <c r="AG122" s="54"/>
      <c r="AI122" s="54"/>
      <c r="AJ122" s="54"/>
      <c r="AS122" s="54"/>
      <c r="BC122" s="54"/>
      <c r="BF122" s="54"/>
      <c r="BK122" s="54"/>
      <c r="BY122" s="54"/>
      <c r="BZ122" s="54"/>
      <c r="CG122" s="54"/>
      <c r="CH122" s="54"/>
      <c r="CK122" s="54"/>
      <c r="CN122" s="54"/>
      <c r="CP122" s="54"/>
      <c r="CS122" s="54"/>
      <c r="CU122" s="54"/>
      <c r="CY122" s="54"/>
      <c r="CZ122" s="54"/>
      <c r="DA122" s="54"/>
      <c r="DB122" s="54"/>
      <c r="DC122" s="54"/>
      <c r="DD122" s="54"/>
      <c r="DE122" s="54"/>
      <c r="DF122" s="54"/>
      <c r="DG122" s="54"/>
      <c r="DH122" s="54"/>
      <c r="DI122" s="54"/>
      <c r="DJ122" s="54"/>
      <c r="DK122" s="54"/>
      <c r="DL122" s="54"/>
      <c r="DM122" s="54"/>
      <c r="DN122" s="54"/>
      <c r="DO122" s="54"/>
      <c r="DP122" s="54"/>
      <c r="DR122" s="54"/>
      <c r="DS122" s="54"/>
      <c r="DT122" s="54"/>
      <c r="DU122" s="54"/>
      <c r="DV122" s="54"/>
      <c r="DY122" s="54"/>
      <c r="DZ122" s="127"/>
      <c r="EA122" s="127"/>
      <c r="EB122" s="54"/>
      <c r="EC122" s="54"/>
      <c r="ED122" s="54"/>
      <c r="EE122" s="54"/>
      <c r="EF122" s="54"/>
      <c r="EG122" s="54"/>
    </row>
    <row r="123" spans="3:137" x14ac:dyDescent="0.25">
      <c r="C123" s="148"/>
      <c r="F123" s="54"/>
      <c r="G123" s="54"/>
      <c r="H123" s="54"/>
      <c r="J123" s="54"/>
      <c r="K123" s="54"/>
      <c r="L123" s="54"/>
      <c r="O123" s="54"/>
      <c r="Q123" s="54"/>
      <c r="Z123" s="54"/>
      <c r="AA123" s="54"/>
      <c r="AC123" s="54"/>
      <c r="AD123" s="54"/>
      <c r="AG123" s="54"/>
      <c r="AI123" s="54"/>
      <c r="AJ123" s="54"/>
      <c r="AS123" s="54"/>
      <c r="BC123" s="54"/>
      <c r="BF123" s="54"/>
      <c r="BK123" s="54"/>
      <c r="BY123" s="54"/>
      <c r="BZ123" s="54"/>
      <c r="CG123" s="54"/>
      <c r="CH123" s="54"/>
      <c r="CK123" s="54"/>
      <c r="CN123" s="54"/>
      <c r="CP123" s="54"/>
      <c r="CS123" s="54"/>
      <c r="CU123" s="54"/>
      <c r="CY123" s="54"/>
      <c r="CZ123" s="54"/>
      <c r="DA123" s="54"/>
      <c r="DB123" s="54"/>
      <c r="DC123" s="54"/>
      <c r="DD123" s="54"/>
      <c r="DE123" s="54"/>
      <c r="DF123" s="54"/>
      <c r="DG123" s="54"/>
      <c r="DH123" s="54"/>
      <c r="DI123" s="54"/>
      <c r="DJ123" s="54"/>
      <c r="DK123" s="54"/>
      <c r="DL123" s="54"/>
      <c r="DM123" s="54"/>
      <c r="DN123" s="54"/>
      <c r="DO123" s="54"/>
      <c r="DP123" s="54"/>
      <c r="DR123" s="54"/>
      <c r="DS123" s="54"/>
      <c r="DT123" s="54"/>
      <c r="DU123" s="54"/>
      <c r="DV123" s="54"/>
      <c r="DY123" s="54"/>
      <c r="DZ123" s="127"/>
      <c r="EA123" s="127"/>
      <c r="EB123" s="54"/>
      <c r="EC123" s="54"/>
      <c r="ED123" s="54"/>
      <c r="EE123" s="54"/>
      <c r="EF123" s="54"/>
      <c r="EG123" s="54"/>
    </row>
    <row r="124" spans="3:137" x14ac:dyDescent="0.25">
      <c r="C124" s="148"/>
      <c r="F124" s="54"/>
      <c r="G124" s="54"/>
      <c r="H124" s="54"/>
      <c r="J124" s="54"/>
      <c r="K124" s="54"/>
      <c r="L124" s="54"/>
      <c r="O124" s="54"/>
      <c r="Q124" s="54"/>
      <c r="Z124" s="54"/>
      <c r="AA124" s="54"/>
      <c r="AC124" s="54"/>
      <c r="AD124" s="54"/>
      <c r="AG124" s="54"/>
      <c r="AI124" s="54"/>
      <c r="AJ124" s="54"/>
      <c r="AS124" s="54"/>
      <c r="BC124" s="54"/>
      <c r="BF124" s="54"/>
      <c r="BK124" s="54"/>
      <c r="BY124" s="54"/>
      <c r="BZ124" s="54"/>
      <c r="CG124" s="54"/>
      <c r="CH124" s="54"/>
      <c r="CK124" s="54"/>
      <c r="CN124" s="54"/>
      <c r="CP124" s="54"/>
      <c r="CS124" s="54"/>
      <c r="CU124" s="54"/>
      <c r="CY124" s="54"/>
      <c r="CZ124" s="54"/>
      <c r="DA124" s="54"/>
      <c r="DB124" s="54"/>
      <c r="DC124" s="54"/>
      <c r="DD124" s="54"/>
      <c r="DE124" s="54"/>
      <c r="DF124" s="54"/>
      <c r="DG124" s="54"/>
      <c r="DH124" s="54"/>
      <c r="DI124" s="54"/>
      <c r="DJ124" s="54"/>
      <c r="DK124" s="54"/>
      <c r="DL124" s="54"/>
      <c r="DM124" s="54"/>
      <c r="DN124" s="54"/>
      <c r="DO124" s="54"/>
      <c r="DP124" s="54"/>
      <c r="DR124" s="54"/>
      <c r="DS124" s="54"/>
      <c r="DT124" s="54"/>
      <c r="DU124" s="54"/>
      <c r="DV124" s="54"/>
      <c r="DY124" s="54"/>
      <c r="DZ124" s="127"/>
      <c r="EA124" s="127"/>
      <c r="EB124" s="54"/>
      <c r="EC124" s="54"/>
      <c r="ED124" s="54"/>
      <c r="EE124" s="54"/>
      <c r="EF124" s="54"/>
      <c r="EG124" s="54"/>
    </row>
    <row r="125" spans="3:137" x14ac:dyDescent="0.25">
      <c r="C125" s="148"/>
      <c r="F125" s="54"/>
      <c r="G125" s="54"/>
      <c r="H125" s="54"/>
      <c r="J125" s="54"/>
      <c r="K125" s="54"/>
      <c r="L125" s="54"/>
      <c r="O125" s="54"/>
      <c r="Q125" s="54"/>
      <c r="Z125" s="54"/>
      <c r="AA125" s="54"/>
      <c r="AC125" s="54"/>
      <c r="AD125" s="54"/>
      <c r="AG125" s="54"/>
      <c r="AI125" s="54"/>
      <c r="AJ125" s="54"/>
      <c r="AS125" s="54"/>
      <c r="BC125" s="54"/>
      <c r="BF125" s="54"/>
      <c r="BK125" s="54"/>
      <c r="BY125" s="54"/>
      <c r="BZ125" s="54"/>
      <c r="CG125" s="54"/>
      <c r="CH125" s="54"/>
      <c r="CK125" s="54"/>
      <c r="CN125" s="54"/>
      <c r="CP125" s="54"/>
      <c r="CS125" s="54"/>
      <c r="CU125" s="54"/>
      <c r="CY125" s="54"/>
      <c r="CZ125" s="54"/>
      <c r="DA125" s="54"/>
      <c r="DB125" s="54"/>
      <c r="DC125" s="54"/>
      <c r="DD125" s="54"/>
      <c r="DE125" s="54"/>
      <c r="DF125" s="54"/>
      <c r="DG125" s="54"/>
      <c r="DH125" s="54"/>
      <c r="DI125" s="54"/>
      <c r="DJ125" s="54"/>
      <c r="DK125" s="54"/>
      <c r="DL125" s="54"/>
      <c r="DM125" s="54"/>
      <c r="DN125" s="54"/>
      <c r="DO125" s="54"/>
      <c r="DP125" s="54"/>
      <c r="DR125" s="54"/>
      <c r="DS125" s="54"/>
      <c r="DT125" s="54"/>
      <c r="DU125" s="54"/>
      <c r="DV125" s="54"/>
      <c r="DY125" s="54"/>
      <c r="DZ125" s="127"/>
      <c r="EA125" s="127"/>
      <c r="EB125" s="54"/>
      <c r="EC125" s="54"/>
      <c r="ED125" s="54"/>
      <c r="EE125" s="54"/>
      <c r="EF125" s="54"/>
      <c r="EG125" s="54"/>
    </row>
    <row r="126" spans="3:137" x14ac:dyDescent="0.25">
      <c r="C126" s="148"/>
      <c r="F126" s="54"/>
      <c r="G126" s="54"/>
      <c r="H126" s="54"/>
      <c r="J126" s="54"/>
      <c r="K126" s="54"/>
      <c r="L126" s="54"/>
      <c r="O126" s="54"/>
      <c r="Q126" s="54"/>
      <c r="Z126" s="54"/>
      <c r="AA126" s="54"/>
      <c r="AC126" s="54"/>
      <c r="AD126" s="54"/>
      <c r="AG126" s="54"/>
      <c r="AI126" s="54"/>
      <c r="AJ126" s="54"/>
      <c r="AS126" s="54"/>
      <c r="BC126" s="54"/>
      <c r="BF126" s="54"/>
      <c r="BK126" s="54"/>
      <c r="BY126" s="54"/>
      <c r="BZ126" s="54"/>
      <c r="CG126" s="54"/>
      <c r="CH126" s="54"/>
      <c r="CK126" s="54"/>
      <c r="CN126" s="54"/>
      <c r="CP126" s="54"/>
      <c r="CS126" s="54"/>
      <c r="CU126" s="54"/>
      <c r="CY126" s="54"/>
      <c r="CZ126" s="54"/>
      <c r="DA126" s="54"/>
      <c r="DB126" s="54"/>
      <c r="DC126" s="54"/>
      <c r="DD126" s="54"/>
      <c r="DE126" s="54"/>
      <c r="DF126" s="54"/>
      <c r="DG126" s="54"/>
      <c r="DH126" s="54"/>
      <c r="DI126" s="54"/>
      <c r="DJ126" s="54"/>
      <c r="DK126" s="54"/>
      <c r="DL126" s="54"/>
      <c r="DM126" s="54"/>
      <c r="DN126" s="54"/>
      <c r="DO126" s="54"/>
      <c r="DP126" s="54"/>
      <c r="DR126" s="54"/>
      <c r="DS126" s="54"/>
      <c r="DT126" s="54"/>
      <c r="DU126" s="54"/>
      <c r="DV126" s="54"/>
      <c r="DY126" s="54"/>
      <c r="DZ126" s="127"/>
      <c r="EA126" s="127"/>
      <c r="EB126" s="54"/>
      <c r="EC126" s="54"/>
      <c r="ED126" s="54"/>
      <c r="EE126" s="54"/>
      <c r="EF126" s="54"/>
      <c r="EG126" s="54"/>
    </row>
    <row r="127" spans="3:137" x14ac:dyDescent="0.25">
      <c r="C127" s="148"/>
      <c r="F127" s="54"/>
      <c r="G127" s="54"/>
      <c r="H127" s="54"/>
      <c r="J127" s="54"/>
      <c r="K127" s="54"/>
      <c r="L127" s="54"/>
      <c r="O127" s="54"/>
      <c r="Q127" s="54"/>
      <c r="Z127" s="54"/>
      <c r="AA127" s="54"/>
      <c r="AC127" s="54"/>
      <c r="AD127" s="54"/>
      <c r="AG127" s="54"/>
      <c r="AI127" s="54"/>
      <c r="AJ127" s="54"/>
      <c r="AS127" s="54"/>
      <c r="BC127" s="54"/>
      <c r="BF127" s="54"/>
      <c r="BK127" s="54"/>
      <c r="BY127" s="54"/>
      <c r="BZ127" s="54"/>
      <c r="CG127" s="54"/>
      <c r="CH127" s="54"/>
      <c r="CK127" s="54"/>
      <c r="CN127" s="54"/>
      <c r="CP127" s="54"/>
      <c r="CS127" s="54"/>
      <c r="CU127" s="54"/>
      <c r="CY127" s="54"/>
      <c r="CZ127" s="54"/>
      <c r="DA127" s="54"/>
      <c r="DB127" s="54"/>
      <c r="DC127" s="54"/>
      <c r="DD127" s="54"/>
      <c r="DE127" s="54"/>
      <c r="DF127" s="54"/>
      <c r="DG127" s="54"/>
      <c r="DH127" s="54"/>
      <c r="DI127" s="54"/>
      <c r="DJ127" s="54"/>
      <c r="DK127" s="54"/>
      <c r="DL127" s="54"/>
      <c r="DM127" s="54"/>
      <c r="DN127" s="54"/>
      <c r="DO127" s="54"/>
      <c r="DP127" s="54"/>
      <c r="DR127" s="54"/>
      <c r="DS127" s="54"/>
      <c r="DT127" s="54"/>
      <c r="DU127" s="54"/>
      <c r="DV127" s="54"/>
      <c r="DY127" s="54"/>
      <c r="DZ127" s="127"/>
      <c r="EA127" s="127"/>
      <c r="EB127" s="54"/>
      <c r="EC127" s="54"/>
      <c r="ED127" s="54"/>
      <c r="EE127" s="54"/>
      <c r="EF127" s="54"/>
      <c r="EG127" s="54"/>
    </row>
    <row r="128" spans="3:137" x14ac:dyDescent="0.25">
      <c r="C128" s="148"/>
      <c r="F128" s="54"/>
      <c r="G128" s="54"/>
      <c r="H128" s="54"/>
      <c r="J128" s="54"/>
      <c r="K128" s="54"/>
      <c r="L128" s="54"/>
      <c r="O128" s="54"/>
      <c r="Q128" s="54"/>
      <c r="Z128" s="54"/>
      <c r="AA128" s="54"/>
      <c r="AC128" s="54"/>
      <c r="AD128" s="54"/>
      <c r="AG128" s="54"/>
      <c r="AI128" s="54"/>
      <c r="AJ128" s="54"/>
      <c r="AS128" s="54"/>
      <c r="BC128" s="54"/>
      <c r="BF128" s="54"/>
      <c r="BK128" s="54"/>
      <c r="BY128" s="54"/>
      <c r="BZ128" s="54"/>
      <c r="CG128" s="54"/>
      <c r="CH128" s="54"/>
      <c r="CK128" s="54"/>
      <c r="CN128" s="54"/>
      <c r="CP128" s="54"/>
      <c r="CS128" s="54"/>
      <c r="CU128" s="54"/>
      <c r="CY128" s="54"/>
      <c r="CZ128" s="54"/>
      <c r="DA128" s="54"/>
      <c r="DB128" s="54"/>
      <c r="DC128" s="54"/>
      <c r="DD128" s="54"/>
      <c r="DE128" s="54"/>
      <c r="DF128" s="54"/>
      <c r="DG128" s="54"/>
      <c r="DH128" s="54"/>
      <c r="DI128" s="54"/>
      <c r="DJ128" s="54"/>
      <c r="DK128" s="54"/>
      <c r="DL128" s="54"/>
      <c r="DM128" s="54"/>
      <c r="DN128" s="54"/>
      <c r="DO128" s="54"/>
      <c r="DP128" s="54"/>
      <c r="DR128" s="54"/>
      <c r="DS128" s="54"/>
      <c r="DT128" s="54"/>
      <c r="DU128" s="54"/>
      <c r="DV128" s="54"/>
      <c r="DY128" s="54"/>
      <c r="DZ128" s="127"/>
      <c r="EA128" s="127"/>
      <c r="EB128" s="54"/>
      <c r="EC128" s="54"/>
      <c r="ED128" s="54"/>
      <c r="EE128" s="54"/>
      <c r="EF128" s="54"/>
      <c r="EG128" s="54"/>
    </row>
    <row r="129" spans="3:137" x14ac:dyDescent="0.25">
      <c r="C129" s="148"/>
      <c r="F129" s="54"/>
      <c r="G129" s="54"/>
      <c r="H129" s="54"/>
      <c r="J129" s="54"/>
      <c r="K129" s="54"/>
      <c r="L129" s="54"/>
      <c r="O129" s="54"/>
      <c r="Q129" s="54"/>
      <c r="Z129" s="54"/>
      <c r="AA129" s="54"/>
      <c r="AC129" s="54"/>
      <c r="AD129" s="54"/>
      <c r="AG129" s="54"/>
      <c r="AI129" s="54"/>
      <c r="AJ129" s="54"/>
      <c r="AS129" s="54"/>
      <c r="BC129" s="54"/>
      <c r="BF129" s="54"/>
      <c r="BK129" s="54"/>
      <c r="BY129" s="54"/>
      <c r="BZ129" s="54"/>
      <c r="CG129" s="54"/>
      <c r="CH129" s="54"/>
      <c r="CK129" s="54"/>
      <c r="CN129" s="54"/>
      <c r="CP129" s="54"/>
      <c r="CS129" s="54"/>
      <c r="CU129" s="54"/>
      <c r="CY129" s="54"/>
      <c r="CZ129" s="54"/>
      <c r="DA129" s="54"/>
      <c r="DB129" s="54"/>
      <c r="DC129" s="54"/>
      <c r="DD129" s="54"/>
      <c r="DE129" s="54"/>
      <c r="DF129" s="54"/>
      <c r="DG129" s="54"/>
      <c r="DH129" s="54"/>
      <c r="DI129" s="54"/>
      <c r="DJ129" s="54"/>
      <c r="DK129" s="54"/>
      <c r="DL129" s="54"/>
      <c r="DM129" s="54"/>
      <c r="DN129" s="54"/>
      <c r="DO129" s="54"/>
      <c r="DP129" s="54"/>
      <c r="DR129" s="54"/>
      <c r="DS129" s="54"/>
      <c r="DT129" s="54"/>
      <c r="DU129" s="54"/>
      <c r="DV129" s="54"/>
      <c r="DY129" s="54"/>
      <c r="DZ129" s="127"/>
      <c r="EA129" s="127"/>
      <c r="EB129" s="54"/>
      <c r="EC129" s="54"/>
      <c r="ED129" s="54"/>
      <c r="EE129" s="54"/>
      <c r="EF129" s="54"/>
      <c r="EG129" s="54"/>
    </row>
    <row r="130" spans="3:137" x14ac:dyDescent="0.25">
      <c r="C130" s="148"/>
      <c r="F130" s="54"/>
      <c r="G130" s="54"/>
      <c r="H130" s="54"/>
      <c r="J130" s="54"/>
      <c r="K130" s="54"/>
      <c r="L130" s="54"/>
      <c r="O130" s="54"/>
      <c r="Q130" s="54"/>
      <c r="Z130" s="54"/>
      <c r="AA130" s="54"/>
      <c r="AC130" s="54"/>
      <c r="AD130" s="54"/>
      <c r="AG130" s="54"/>
      <c r="AI130" s="54"/>
      <c r="AJ130" s="54"/>
      <c r="AS130" s="54"/>
      <c r="BC130" s="54"/>
      <c r="BF130" s="54"/>
      <c r="BK130" s="54"/>
      <c r="BY130" s="54"/>
      <c r="BZ130" s="54"/>
      <c r="CG130" s="54"/>
      <c r="CH130" s="54"/>
      <c r="CK130" s="54"/>
      <c r="CN130" s="54"/>
      <c r="CP130" s="54"/>
      <c r="CS130" s="54"/>
      <c r="CU130" s="54"/>
      <c r="CY130" s="54"/>
      <c r="CZ130" s="54"/>
      <c r="DA130" s="54"/>
      <c r="DB130" s="54"/>
      <c r="DC130" s="54"/>
      <c r="DD130" s="54"/>
      <c r="DE130" s="54"/>
      <c r="DF130" s="54"/>
      <c r="DG130" s="54"/>
      <c r="DH130" s="54"/>
      <c r="DI130" s="54"/>
      <c r="DJ130" s="54"/>
      <c r="DK130" s="54"/>
      <c r="DL130" s="54"/>
      <c r="DM130" s="54"/>
      <c r="DN130" s="54"/>
      <c r="DO130" s="54"/>
      <c r="DP130" s="54"/>
      <c r="DR130" s="54"/>
      <c r="DS130" s="54"/>
      <c r="DT130" s="54"/>
      <c r="DU130" s="54"/>
      <c r="DV130" s="54"/>
      <c r="DY130" s="54"/>
      <c r="DZ130" s="127"/>
      <c r="EA130" s="127"/>
      <c r="EB130" s="54"/>
      <c r="EC130" s="54"/>
      <c r="ED130" s="54"/>
      <c r="EE130" s="54"/>
      <c r="EF130" s="54"/>
      <c r="EG130" s="54"/>
    </row>
    <row r="131" spans="3:137" x14ac:dyDescent="0.25">
      <c r="C131" s="148"/>
      <c r="F131" s="54"/>
      <c r="G131" s="54"/>
      <c r="H131" s="54"/>
      <c r="J131" s="54"/>
      <c r="K131" s="54"/>
      <c r="L131" s="54"/>
      <c r="O131" s="54"/>
      <c r="Q131" s="54"/>
      <c r="Z131" s="54"/>
      <c r="AA131" s="54"/>
      <c r="AC131" s="54"/>
      <c r="AD131" s="54"/>
      <c r="AG131" s="54"/>
      <c r="AI131" s="54"/>
      <c r="AJ131" s="54"/>
      <c r="AS131" s="54"/>
      <c r="BC131" s="54"/>
      <c r="BF131" s="54"/>
      <c r="BK131" s="54"/>
      <c r="BY131" s="54"/>
      <c r="BZ131" s="54"/>
      <c r="CG131" s="54"/>
      <c r="CH131" s="54"/>
      <c r="CK131" s="54"/>
      <c r="CN131" s="54"/>
      <c r="CP131" s="54"/>
      <c r="CS131" s="54"/>
      <c r="CU131" s="54"/>
      <c r="CY131" s="54"/>
      <c r="CZ131" s="54"/>
      <c r="DA131" s="54"/>
      <c r="DB131" s="54"/>
      <c r="DC131" s="54"/>
      <c r="DD131" s="54"/>
      <c r="DE131" s="54"/>
      <c r="DF131" s="54"/>
      <c r="DG131" s="54"/>
      <c r="DH131" s="54"/>
      <c r="DI131" s="54"/>
      <c r="DJ131" s="54"/>
      <c r="DK131" s="54"/>
      <c r="DL131" s="54"/>
      <c r="DM131" s="54"/>
      <c r="DN131" s="54"/>
      <c r="DO131" s="54"/>
      <c r="DP131" s="54"/>
      <c r="DR131" s="54"/>
      <c r="DS131" s="54"/>
      <c r="DT131" s="54"/>
      <c r="DU131" s="54"/>
      <c r="DV131" s="54"/>
      <c r="DY131" s="54"/>
      <c r="DZ131" s="127"/>
      <c r="EA131" s="127"/>
      <c r="EB131" s="54"/>
      <c r="EC131" s="54"/>
      <c r="ED131" s="54"/>
      <c r="EE131" s="54"/>
      <c r="EF131" s="54"/>
      <c r="EG131" s="54"/>
    </row>
    <row r="132" spans="3:137" x14ac:dyDescent="0.25">
      <c r="C132" s="148"/>
      <c r="F132" s="54"/>
      <c r="G132" s="54"/>
      <c r="H132" s="54"/>
      <c r="J132" s="54"/>
      <c r="K132" s="54"/>
      <c r="L132" s="54"/>
      <c r="O132" s="54"/>
      <c r="Q132" s="54"/>
      <c r="Z132" s="54"/>
      <c r="AA132" s="54"/>
      <c r="AC132" s="54"/>
      <c r="AD132" s="54"/>
      <c r="AG132" s="54"/>
      <c r="AI132" s="54"/>
      <c r="AJ132" s="54"/>
      <c r="AS132" s="54"/>
      <c r="BC132" s="54"/>
      <c r="BF132" s="54"/>
      <c r="BK132" s="54"/>
      <c r="BY132" s="54"/>
      <c r="BZ132" s="54"/>
      <c r="CG132" s="54"/>
      <c r="CH132" s="54"/>
      <c r="CK132" s="54"/>
      <c r="CN132" s="54"/>
      <c r="CP132" s="54"/>
      <c r="CS132" s="54"/>
      <c r="CU132" s="54"/>
      <c r="CY132" s="54"/>
      <c r="CZ132" s="54"/>
      <c r="DA132" s="54"/>
      <c r="DB132" s="54"/>
      <c r="DC132" s="54"/>
      <c r="DD132" s="54"/>
      <c r="DE132" s="54"/>
      <c r="DF132" s="54"/>
      <c r="DG132" s="54"/>
      <c r="DH132" s="54"/>
      <c r="DI132" s="54"/>
      <c r="DJ132" s="54"/>
      <c r="DK132" s="54"/>
      <c r="DL132" s="54"/>
      <c r="DM132" s="54"/>
      <c r="DN132" s="54"/>
      <c r="DO132" s="54"/>
      <c r="DP132" s="54"/>
      <c r="DR132" s="54"/>
      <c r="DS132" s="54"/>
      <c r="DT132" s="54"/>
      <c r="DU132" s="54"/>
      <c r="DV132" s="54"/>
      <c r="DY132" s="54"/>
      <c r="DZ132" s="127"/>
      <c r="EA132" s="127"/>
      <c r="EB132" s="54"/>
      <c r="EC132" s="54"/>
      <c r="ED132" s="54"/>
      <c r="EE132" s="54"/>
      <c r="EF132" s="54"/>
      <c r="EG132" s="54"/>
    </row>
    <row r="133" spans="3:137" x14ac:dyDescent="0.25">
      <c r="C133" s="148"/>
      <c r="F133" s="54"/>
      <c r="G133" s="54"/>
      <c r="H133" s="54"/>
      <c r="J133" s="54"/>
      <c r="K133" s="54"/>
      <c r="L133" s="54"/>
      <c r="O133" s="54"/>
      <c r="Q133" s="54"/>
      <c r="Z133" s="54"/>
      <c r="AA133" s="54"/>
      <c r="AC133" s="54"/>
      <c r="AD133" s="54"/>
      <c r="AG133" s="54"/>
      <c r="AI133" s="54"/>
      <c r="AJ133" s="54"/>
      <c r="AS133" s="54"/>
      <c r="BC133" s="54"/>
      <c r="BF133" s="54"/>
      <c r="BK133" s="54"/>
      <c r="BY133" s="54"/>
      <c r="BZ133" s="54"/>
      <c r="CG133" s="54"/>
      <c r="CH133" s="54"/>
      <c r="CK133" s="54"/>
      <c r="CN133" s="54"/>
      <c r="CP133" s="54"/>
      <c r="CS133" s="54"/>
      <c r="CU133" s="54"/>
      <c r="CY133" s="54"/>
      <c r="CZ133" s="54"/>
      <c r="DA133" s="54"/>
      <c r="DB133" s="54"/>
      <c r="DC133" s="54"/>
      <c r="DD133" s="54"/>
      <c r="DE133" s="54"/>
      <c r="DF133" s="54"/>
      <c r="DG133" s="54"/>
      <c r="DH133" s="54"/>
      <c r="DI133" s="54"/>
      <c r="DJ133" s="54"/>
      <c r="DK133" s="54"/>
      <c r="DL133" s="54"/>
      <c r="DM133" s="54"/>
      <c r="DN133" s="54"/>
      <c r="DO133" s="54"/>
      <c r="DP133" s="54"/>
      <c r="DR133" s="54"/>
      <c r="DS133" s="54"/>
      <c r="DT133" s="54"/>
      <c r="DU133" s="54"/>
      <c r="DV133" s="54"/>
      <c r="DY133" s="54"/>
      <c r="DZ133" s="127"/>
      <c r="EA133" s="127"/>
      <c r="EB133" s="54"/>
      <c r="EC133" s="54"/>
      <c r="ED133" s="54"/>
      <c r="EE133" s="54"/>
      <c r="EF133" s="54"/>
      <c r="EG133" s="54"/>
    </row>
    <row r="134" spans="3:137" x14ac:dyDescent="0.25">
      <c r="C134" s="148"/>
      <c r="F134" s="54"/>
      <c r="G134" s="54"/>
      <c r="H134" s="54"/>
      <c r="J134" s="54"/>
      <c r="K134" s="54"/>
      <c r="L134" s="54"/>
      <c r="O134" s="54"/>
      <c r="Q134" s="54"/>
      <c r="Z134" s="54"/>
      <c r="AA134" s="54"/>
      <c r="AC134" s="54"/>
      <c r="AD134" s="54"/>
      <c r="AG134" s="54"/>
      <c r="AI134" s="54"/>
      <c r="AJ134" s="54"/>
      <c r="AS134" s="54"/>
      <c r="BC134" s="54"/>
      <c r="BF134" s="54"/>
      <c r="BK134" s="54"/>
      <c r="BY134" s="54"/>
      <c r="BZ134" s="54"/>
      <c r="CG134" s="54"/>
      <c r="CH134" s="54"/>
      <c r="CK134" s="54"/>
      <c r="CN134" s="54"/>
      <c r="CP134" s="54"/>
      <c r="CS134" s="54"/>
      <c r="CU134" s="54"/>
      <c r="CY134" s="54"/>
      <c r="CZ134" s="54"/>
      <c r="DA134" s="54"/>
      <c r="DB134" s="54"/>
      <c r="DC134" s="54"/>
      <c r="DD134" s="54"/>
      <c r="DE134" s="54"/>
      <c r="DF134" s="54"/>
      <c r="DG134" s="54"/>
      <c r="DH134" s="54"/>
      <c r="DI134" s="54"/>
      <c r="DJ134" s="54"/>
      <c r="DK134" s="54"/>
      <c r="DL134" s="54"/>
      <c r="DM134" s="54"/>
      <c r="DN134" s="54"/>
      <c r="DO134" s="54"/>
      <c r="DP134" s="54"/>
      <c r="DR134" s="54"/>
      <c r="DS134" s="54"/>
      <c r="DT134" s="54"/>
      <c r="DU134" s="54"/>
      <c r="DV134" s="54"/>
      <c r="DY134" s="54"/>
      <c r="DZ134" s="127"/>
      <c r="EA134" s="127"/>
      <c r="EB134" s="54"/>
      <c r="EC134" s="54"/>
      <c r="ED134" s="54"/>
      <c r="EE134" s="54"/>
      <c r="EF134" s="54"/>
      <c r="EG134" s="54"/>
    </row>
    <row r="135" spans="3:137" x14ac:dyDescent="0.25">
      <c r="C135" s="148"/>
      <c r="F135" s="54"/>
      <c r="G135" s="54"/>
      <c r="H135" s="54"/>
      <c r="J135" s="54"/>
      <c r="K135" s="54"/>
      <c r="L135" s="54"/>
      <c r="O135" s="54"/>
      <c r="Q135" s="54"/>
      <c r="Z135" s="54"/>
      <c r="AA135" s="54"/>
      <c r="AC135" s="54"/>
      <c r="AD135" s="54"/>
      <c r="AG135" s="54"/>
      <c r="AI135" s="54"/>
      <c r="AJ135" s="54"/>
      <c r="AS135" s="54"/>
      <c r="BC135" s="54"/>
      <c r="BF135" s="54"/>
      <c r="BK135" s="54"/>
      <c r="BY135" s="54"/>
      <c r="BZ135" s="54"/>
      <c r="CG135" s="54"/>
      <c r="CH135" s="54"/>
      <c r="CK135" s="54"/>
      <c r="CN135" s="54"/>
      <c r="CP135" s="54"/>
      <c r="CS135" s="54"/>
      <c r="CU135" s="54"/>
      <c r="CY135" s="54"/>
      <c r="CZ135" s="54"/>
      <c r="DA135" s="54"/>
      <c r="DB135" s="54"/>
      <c r="DC135" s="54"/>
      <c r="DD135" s="54"/>
      <c r="DE135" s="54"/>
      <c r="DF135" s="54"/>
      <c r="DG135" s="54"/>
      <c r="DH135" s="54"/>
      <c r="DI135" s="54"/>
      <c r="DJ135" s="54"/>
      <c r="DK135" s="54"/>
      <c r="DL135" s="54"/>
      <c r="DM135" s="54"/>
      <c r="DN135" s="54"/>
      <c r="DO135" s="54"/>
      <c r="DP135" s="54"/>
      <c r="DR135" s="54"/>
      <c r="DS135" s="54"/>
      <c r="DT135" s="54"/>
      <c r="DU135" s="54"/>
      <c r="DV135" s="54"/>
      <c r="DY135" s="54"/>
      <c r="DZ135" s="127"/>
      <c r="EA135" s="127"/>
      <c r="EB135" s="54"/>
      <c r="EC135" s="54"/>
      <c r="ED135" s="54"/>
      <c r="EE135" s="54"/>
      <c r="EF135" s="54"/>
      <c r="EG135" s="54"/>
    </row>
    <row r="136" spans="3:137" x14ac:dyDescent="0.25">
      <c r="C136" s="148"/>
      <c r="F136" s="54"/>
      <c r="G136" s="54"/>
      <c r="H136" s="54"/>
      <c r="J136" s="54"/>
      <c r="K136" s="54"/>
      <c r="L136" s="54"/>
      <c r="O136" s="54"/>
      <c r="Q136" s="54"/>
      <c r="Z136" s="54"/>
      <c r="AA136" s="54"/>
      <c r="AC136" s="54"/>
      <c r="AD136" s="54"/>
      <c r="AG136" s="54"/>
      <c r="AI136" s="54"/>
      <c r="AJ136" s="54"/>
      <c r="AS136" s="54"/>
      <c r="BC136" s="54"/>
      <c r="BF136" s="54"/>
      <c r="BK136" s="54"/>
      <c r="BY136" s="54"/>
      <c r="BZ136" s="54"/>
      <c r="CG136" s="54"/>
      <c r="CH136" s="54"/>
      <c r="CK136" s="54"/>
      <c r="CN136" s="54"/>
      <c r="CP136" s="54"/>
      <c r="CS136" s="54"/>
      <c r="CU136" s="54"/>
      <c r="CY136" s="54"/>
      <c r="CZ136" s="54"/>
      <c r="DA136" s="54"/>
      <c r="DB136" s="54"/>
      <c r="DC136" s="54"/>
      <c r="DD136" s="54"/>
      <c r="DE136" s="54"/>
      <c r="DF136" s="54"/>
      <c r="DG136" s="54"/>
      <c r="DH136" s="54"/>
      <c r="DI136" s="54"/>
      <c r="DJ136" s="54"/>
      <c r="DK136" s="54"/>
      <c r="DL136" s="54"/>
      <c r="DM136" s="54"/>
      <c r="DN136" s="54"/>
      <c r="DO136" s="54"/>
      <c r="DP136" s="54"/>
      <c r="DR136" s="54"/>
      <c r="DS136" s="54"/>
      <c r="DT136" s="54"/>
      <c r="DU136" s="54"/>
      <c r="DV136" s="54"/>
      <c r="DY136" s="54"/>
      <c r="DZ136" s="127"/>
      <c r="EA136" s="127"/>
      <c r="EB136" s="54"/>
      <c r="EC136" s="54"/>
      <c r="ED136" s="54"/>
      <c r="EE136" s="54"/>
      <c r="EF136" s="54"/>
      <c r="EG136" s="54"/>
    </row>
  </sheetData>
  <sheetProtection formatCells="0" selectLockedCells="1" sort="0" autoFilter="0"/>
  <mergeCells count="90">
    <mergeCell ref="BI64:BM64"/>
    <mergeCell ref="BI58:BM58"/>
    <mergeCell ref="BI34:BM34"/>
    <mergeCell ref="BI38:BM38"/>
    <mergeCell ref="BI39:BM39"/>
    <mergeCell ref="BI40:BM40"/>
    <mergeCell ref="BI35:BM35"/>
    <mergeCell ref="BI41:BM41"/>
    <mergeCell ref="BI43:BM43"/>
    <mergeCell ref="BI42:BM42"/>
    <mergeCell ref="BI75:BM75"/>
    <mergeCell ref="BI71:BM71"/>
    <mergeCell ref="BI72:BM72"/>
    <mergeCell ref="BI51:BM51"/>
    <mergeCell ref="BI74:BM74"/>
    <mergeCell ref="BI68:BM68"/>
    <mergeCell ref="BI65:BM65"/>
    <mergeCell ref="BI67:BM67"/>
    <mergeCell ref="BI59:BM59"/>
    <mergeCell ref="BI61:BM61"/>
    <mergeCell ref="BI52:BM52"/>
    <mergeCell ref="BI53:BM53"/>
    <mergeCell ref="BI54:BM54"/>
    <mergeCell ref="BI73:BM73"/>
    <mergeCell ref="BI63:BM63"/>
    <mergeCell ref="BI56:BM56"/>
    <mergeCell ref="X1:AC1"/>
    <mergeCell ref="BI76:BM76"/>
    <mergeCell ref="BI23:BM23"/>
    <mergeCell ref="BI24:BM24"/>
    <mergeCell ref="BI62:BM62"/>
    <mergeCell ref="BI55:BM55"/>
    <mergeCell ref="BI44:BM44"/>
    <mergeCell ref="BI45:BM45"/>
    <mergeCell ref="BI46:BM46"/>
    <mergeCell ref="BI47:BM47"/>
    <mergeCell ref="BI48:BM48"/>
    <mergeCell ref="BI49:BM49"/>
    <mergeCell ref="BI50:BM50"/>
    <mergeCell ref="BI69:BM69"/>
    <mergeCell ref="BI70:BM70"/>
    <mergeCell ref="BI66:BM66"/>
    <mergeCell ref="BI10:BM10"/>
    <mergeCell ref="B1:I1"/>
    <mergeCell ref="M1:O1"/>
    <mergeCell ref="J1:L1"/>
    <mergeCell ref="BI7:BK7"/>
    <mergeCell ref="BI6:BK6"/>
    <mergeCell ref="BI5:BK5"/>
    <mergeCell ref="BI4:BK4"/>
    <mergeCell ref="AK1:AM1"/>
    <mergeCell ref="AX1:AZ1"/>
    <mergeCell ref="BE1:BF1"/>
    <mergeCell ref="AU1:AW1"/>
    <mergeCell ref="AP1:AT1"/>
    <mergeCell ref="AN1:AO1"/>
    <mergeCell ref="BA1:BD1"/>
    <mergeCell ref="P1:W1"/>
    <mergeCell ref="BI18:BM18"/>
    <mergeCell ref="BI22:BM22"/>
    <mergeCell ref="BI26:BM26"/>
    <mergeCell ref="BI27:BM27"/>
    <mergeCell ref="BI60:BM60"/>
    <mergeCell ref="BI25:BM25"/>
    <mergeCell ref="BI21:BM21"/>
    <mergeCell ref="BI57:BM57"/>
    <mergeCell ref="BI32:BM32"/>
    <mergeCell ref="BI33:BM33"/>
    <mergeCell ref="BI9:BM9"/>
    <mergeCell ref="BI11:BM11"/>
    <mergeCell ref="BI13:BM13"/>
    <mergeCell ref="BI36:BM36"/>
    <mergeCell ref="BI37:BM37"/>
    <mergeCell ref="BI29:BM29"/>
    <mergeCell ref="BI30:BM30"/>
    <mergeCell ref="BI31:BM31"/>
    <mergeCell ref="BI12:BM12"/>
    <mergeCell ref="BI28:BM28"/>
    <mergeCell ref="BI14:BM14"/>
    <mergeCell ref="BI15:BM15"/>
    <mergeCell ref="BI16:BM16"/>
    <mergeCell ref="BI17:BM17"/>
    <mergeCell ref="BI19:BM19"/>
    <mergeCell ref="BI20:BM20"/>
    <mergeCell ref="AD1:AF1"/>
    <mergeCell ref="AG1:AJ1"/>
    <mergeCell ref="BL1:BM2"/>
    <mergeCell ref="BI8:BK8"/>
    <mergeCell ref="BL5:BM5"/>
    <mergeCell ref="BL4:BM4"/>
  </mergeCells>
  <pageMargins left="0.78749999999999998" right="0.78749999999999998" top="1.05277777777778" bottom="1.05277777777778" header="0.78749999999999998" footer="0.78749999999999998"/>
  <pageSetup paperSize="9" scale="49" firstPageNumber="0" fitToHeight="0" orientation="landscape" horizontalDpi="300" verticalDpi="300" r:id="rId1"/>
  <headerFooter scaleWithDoc="0">
    <oddHeader>&amp;C&amp;"Times New Roman,Normal"&amp;12&amp;A</oddHeader>
  </headerFooter>
  <ignoredErrors>
    <ignoredError sqref="AO4:AO16 AO74:AO76 AO64:AO68 AO61:AO62 AO18:AO19 AO20:AO25 AO34:AO36 AO37:AO42 AO45:AO57 AO69:AO72 AO33 AO31 AO28 AO26:AO27 AO29:AO30 AO32 AO43:AO44 AO59 AO58 AO60 AO78:AO104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104" r:id="rId4" name="Button 17960">
              <controlPr defaultSize="0" print="0" autoFill="0" autoPict="0" macro="[0]!Sheet1.Auto_Open">
                <anchor moveWithCells="1">
                  <from>
                    <xdr:col>0</xdr:col>
                    <xdr:colOff>304800</xdr:colOff>
                    <xdr:row>2</xdr:row>
                    <xdr:rowOff>209550</xdr:rowOff>
                  </from>
                  <to>
                    <xdr:col>0</xdr:col>
                    <xdr:colOff>1438275</xdr:colOff>
                    <xdr:row>2</xdr:row>
                    <xdr:rowOff>704850</xdr:rowOff>
                  </to>
                </anchor>
              </controlPr>
            </control>
          </mc:Choice>
        </mc:AlternateContent>
      </controls>
    </mc:Choice>
  </mc:AlternateContent>
  <webPublishItems count="1">
    <webPublishItem id="15742" divId="newunits_15742" sourceType="sheet" destinationFile="C:\Users\enuss\Documents\GitHub\newunits.htm" title="Ethnic Diversity: Road to 100%"/>
  </webPublishItems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Q1920"/>
  <sheetViews>
    <sheetView zoomScale="70" zoomScaleNormal="70" workbookViewId="0">
      <pane xSplit="1" ySplit="1" topLeftCell="C2" activePane="bottomRight" state="frozen"/>
      <selection pane="topRight" activeCell="B1" sqref="B1"/>
      <selection pane="bottomLeft" activeCell="A2" sqref="A2"/>
      <selection pane="bottomRight" activeCell="C14" sqref="C14"/>
    </sheetView>
  </sheetViews>
  <sheetFormatPr defaultRowHeight="15" x14ac:dyDescent="0.25"/>
  <cols>
    <col min="1" max="1" width="46.140625" style="161" customWidth="1"/>
    <col min="2" max="2" width="38.7109375" style="9" hidden="1" customWidth="1"/>
    <col min="3" max="3" width="16.42578125" style="4" bestFit="1" customWidth="1"/>
    <col min="4" max="4" width="16.42578125" style="4" customWidth="1"/>
    <col min="5" max="6" width="25.7109375" style="4" customWidth="1"/>
    <col min="7" max="7" width="17.140625" style="4" bestFit="1" customWidth="1"/>
    <col min="8" max="8" width="37.28515625" style="4" bestFit="1" customWidth="1"/>
    <col min="9" max="9" width="40.140625" style="4" customWidth="1"/>
    <col min="10" max="10" width="9.28515625" style="11" customWidth="1"/>
    <col min="11" max="11" width="6.42578125" style="11" bestFit="1" customWidth="1"/>
    <col min="12" max="12" width="6.140625" style="4" hidden="1" customWidth="1"/>
    <col min="13" max="13" width="6.7109375" style="12" hidden="1" customWidth="1"/>
    <col min="14" max="14" width="6.28515625" style="4" hidden="1" customWidth="1"/>
    <col min="15" max="16" width="4.7109375" style="4" customWidth="1"/>
    <col min="17" max="17" width="8.7109375" style="11" customWidth="1"/>
    <col min="18" max="18" width="9" style="11" customWidth="1"/>
    <col min="19" max="19" width="22.5703125" style="4" bestFit="1" customWidth="1"/>
    <col min="20" max="20" width="8.7109375" style="11" bestFit="1" customWidth="1"/>
    <col min="21" max="21" width="9" style="11" bestFit="1" customWidth="1"/>
    <col min="22" max="22" width="22.5703125" style="4" customWidth="1"/>
    <col min="23" max="23" width="9.85546875" style="11" bestFit="1" customWidth="1"/>
    <col min="24" max="24" width="10.140625" style="11" bestFit="1" customWidth="1"/>
    <col min="25" max="25" width="22.5703125" style="4" customWidth="1"/>
    <col min="26" max="26" width="9.140625" style="11" bestFit="1" customWidth="1"/>
    <col min="27" max="27" width="9.42578125" style="11" bestFit="1" customWidth="1"/>
    <col min="28" max="28" width="22.5703125" style="4" customWidth="1"/>
    <col min="29" max="29" width="10.5703125" style="11" customWidth="1"/>
    <col min="30" max="30" width="10.5703125" style="11" bestFit="1" customWidth="1"/>
    <col min="31" max="31" width="22.5703125" style="4" customWidth="1"/>
    <col min="32" max="32" width="9.28515625" style="11" bestFit="1" customWidth="1"/>
    <col min="33" max="33" width="9.5703125" style="11" bestFit="1" customWidth="1"/>
    <col min="34" max="34" width="22.5703125" style="4" customWidth="1"/>
    <col min="35" max="35" width="9.140625" style="11" bestFit="1" customWidth="1"/>
    <col min="36" max="36" width="9.42578125" style="11" bestFit="1" customWidth="1"/>
    <col min="37" max="37" width="22.5703125" style="4" customWidth="1"/>
    <col min="38" max="39" width="10.5703125" style="4" customWidth="1"/>
    <col min="40" max="40" width="22.5703125" style="4" customWidth="1"/>
    <col min="41" max="42" width="10.5703125" style="4" customWidth="1"/>
    <col min="43" max="43" width="22.5703125" style="4" customWidth="1"/>
    <col min="44" max="16384" width="9.140625" style="1"/>
  </cols>
  <sheetData>
    <row r="1" spans="1:43" s="25" customFormat="1" x14ac:dyDescent="0.25">
      <c r="A1" s="24" t="s">
        <v>1780</v>
      </c>
      <c r="B1" s="24" t="s">
        <v>2022</v>
      </c>
      <c r="C1" s="24" t="s">
        <v>2037</v>
      </c>
      <c r="D1" s="24" t="s">
        <v>2121</v>
      </c>
      <c r="E1" s="24" t="s">
        <v>1732</v>
      </c>
      <c r="F1" s="24" t="s">
        <v>1731</v>
      </c>
      <c r="G1" s="24" t="s">
        <v>1730</v>
      </c>
      <c r="H1" s="24" t="s">
        <v>2038</v>
      </c>
      <c r="I1" s="24" t="s">
        <v>1750</v>
      </c>
      <c r="J1" s="164" t="s">
        <v>1969</v>
      </c>
      <c r="K1" s="164" t="s">
        <v>1920</v>
      </c>
      <c r="L1" s="24" t="s">
        <v>1728</v>
      </c>
      <c r="M1" s="24" t="s">
        <v>1729</v>
      </c>
      <c r="N1" s="24" t="s">
        <v>1724</v>
      </c>
      <c r="O1" s="24"/>
      <c r="P1" s="24"/>
      <c r="Q1" s="24" t="s">
        <v>1752</v>
      </c>
      <c r="R1" s="24" t="s">
        <v>1751</v>
      </c>
      <c r="S1" s="24" t="s">
        <v>1753</v>
      </c>
      <c r="T1" s="24" t="s">
        <v>1755</v>
      </c>
      <c r="U1" s="24" t="s">
        <v>1754</v>
      </c>
      <c r="V1" s="24" t="s">
        <v>1756</v>
      </c>
      <c r="W1" s="24" t="s">
        <v>1758</v>
      </c>
      <c r="X1" s="24" t="s">
        <v>1757</v>
      </c>
      <c r="Y1" s="24" t="s">
        <v>1759</v>
      </c>
      <c r="Z1" s="24" t="s">
        <v>1761</v>
      </c>
      <c r="AA1" s="24" t="s">
        <v>1760</v>
      </c>
      <c r="AB1" s="24" t="s">
        <v>1762</v>
      </c>
      <c r="AC1" s="24" t="s">
        <v>1764</v>
      </c>
      <c r="AD1" s="24" t="s">
        <v>1763</v>
      </c>
      <c r="AE1" s="24" t="s">
        <v>1765</v>
      </c>
      <c r="AF1" s="24" t="s">
        <v>1767</v>
      </c>
      <c r="AG1" s="24" t="s">
        <v>1766</v>
      </c>
      <c r="AH1" s="24" t="s">
        <v>1768</v>
      </c>
      <c r="AI1" s="24" t="s">
        <v>1770</v>
      </c>
      <c r="AJ1" s="24" t="s">
        <v>1769</v>
      </c>
      <c r="AK1" s="24" t="s">
        <v>1771</v>
      </c>
      <c r="AL1" s="24" t="s">
        <v>1773</v>
      </c>
      <c r="AM1" s="24" t="s">
        <v>1772</v>
      </c>
      <c r="AN1" s="24" t="s">
        <v>1774</v>
      </c>
      <c r="AO1" s="24" t="s">
        <v>1776</v>
      </c>
      <c r="AP1" s="24" t="s">
        <v>1775</v>
      </c>
      <c r="AQ1" s="24" t="s">
        <v>1777</v>
      </c>
    </row>
    <row r="2" spans="1:43" s="18" customFormat="1" x14ac:dyDescent="0.25">
      <c r="A2" s="19"/>
      <c r="B2" s="19"/>
      <c r="C2" s="16"/>
      <c r="D2" s="16"/>
      <c r="E2" s="16"/>
      <c r="F2" s="16"/>
      <c r="G2" s="16"/>
      <c r="H2" s="16"/>
      <c r="I2" s="16"/>
      <c r="J2" s="166"/>
      <c r="K2" s="165"/>
      <c r="L2" s="16"/>
      <c r="M2" s="31"/>
      <c r="N2" s="31"/>
      <c r="O2" s="19"/>
      <c r="P2" s="19" t="s">
        <v>1784</v>
      </c>
      <c r="Q2" s="7">
        <v>1</v>
      </c>
      <c r="R2" s="13" t="s">
        <v>1738</v>
      </c>
      <c r="S2" s="13"/>
      <c r="T2" s="7">
        <v>2</v>
      </c>
      <c r="U2" s="13" t="s">
        <v>1739</v>
      </c>
      <c r="V2" s="13"/>
      <c r="W2" s="7">
        <v>3</v>
      </c>
      <c r="X2" s="13" t="s">
        <v>1740</v>
      </c>
      <c r="Y2" s="13"/>
      <c r="Z2" s="7">
        <v>4</v>
      </c>
      <c r="AA2" s="13" t="s">
        <v>1743</v>
      </c>
      <c r="AB2" s="13"/>
      <c r="AC2" s="7">
        <v>5</v>
      </c>
      <c r="AD2" s="13" t="s">
        <v>1744</v>
      </c>
      <c r="AE2" s="13"/>
      <c r="AF2" s="7">
        <v>6</v>
      </c>
      <c r="AG2" s="13" t="s">
        <v>1742</v>
      </c>
      <c r="AH2" s="13"/>
      <c r="AI2" s="27">
        <v>7</v>
      </c>
      <c r="AJ2" s="13" t="s">
        <v>1741</v>
      </c>
      <c r="AK2" s="13"/>
      <c r="AL2" s="7">
        <v>8</v>
      </c>
      <c r="AM2" s="13" t="s">
        <v>1778</v>
      </c>
      <c r="AN2" s="13"/>
      <c r="AO2" s="7">
        <v>9</v>
      </c>
      <c r="AP2" s="13" t="s">
        <v>1779</v>
      </c>
      <c r="AQ2" s="13"/>
    </row>
    <row r="3" spans="1:43" s="18" customFormat="1" x14ac:dyDescent="0.25">
      <c r="A3" s="19">
        <v>1</v>
      </c>
      <c r="B3" s="19"/>
      <c r="C3" s="16"/>
      <c r="D3" s="35" t="s">
        <v>1915</v>
      </c>
      <c r="E3" s="34" t="s">
        <v>1922</v>
      </c>
      <c r="F3" s="16"/>
      <c r="G3" s="16"/>
      <c r="H3" s="16"/>
      <c r="I3" s="19"/>
      <c r="J3" s="166"/>
      <c r="K3" s="165"/>
      <c r="L3" s="16"/>
      <c r="M3" s="31"/>
      <c r="N3" s="31"/>
      <c r="O3" s="19"/>
      <c r="P3" s="32" t="s">
        <v>1781</v>
      </c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</row>
    <row r="4" spans="1:43" s="18" customFormat="1" x14ac:dyDescent="0.25">
      <c r="A4" s="19"/>
      <c r="B4" s="19"/>
      <c r="C4" s="16"/>
      <c r="D4" s="16"/>
      <c r="E4" s="34" t="s">
        <v>1916</v>
      </c>
      <c r="F4" s="16"/>
      <c r="G4" s="16"/>
      <c r="H4" s="16"/>
      <c r="J4" s="166"/>
      <c r="K4" s="165"/>
      <c r="L4" s="16"/>
      <c r="M4" s="31"/>
      <c r="N4" s="31"/>
      <c r="O4" s="19"/>
      <c r="P4" s="23" t="s">
        <v>1737</v>
      </c>
      <c r="Q4" s="7">
        <v>12</v>
      </c>
      <c r="R4" s="7">
        <v>0.14000000000000001</v>
      </c>
      <c r="S4" s="13" t="s">
        <v>1622</v>
      </c>
      <c r="T4" s="7">
        <v>16</v>
      </c>
      <c r="U4" s="7">
        <v>0.09</v>
      </c>
      <c r="V4" s="13"/>
      <c r="W4" s="7">
        <v>32</v>
      </c>
      <c r="X4" s="7">
        <v>5.8999999999999997E-2</v>
      </c>
      <c r="Y4" s="13"/>
      <c r="Z4" s="7">
        <v>1</v>
      </c>
      <c r="AA4" s="7">
        <v>0.22</v>
      </c>
      <c r="AB4" s="13"/>
      <c r="AC4" s="7">
        <v>1</v>
      </c>
      <c r="AD4" s="7">
        <v>0.25</v>
      </c>
      <c r="AE4" s="13"/>
      <c r="AF4" s="7">
        <v>3</v>
      </c>
      <c r="AG4" s="7">
        <v>0.18</v>
      </c>
      <c r="AH4" s="13"/>
      <c r="AI4" s="7">
        <v>7</v>
      </c>
      <c r="AJ4" s="7">
        <v>0.16</v>
      </c>
      <c r="AK4" s="13"/>
      <c r="AL4" s="13"/>
      <c r="AM4" s="13"/>
      <c r="AN4" s="13"/>
      <c r="AO4" s="13"/>
      <c r="AP4" s="13"/>
      <c r="AQ4" s="13"/>
    </row>
    <row r="5" spans="1:43" s="18" customFormat="1" x14ac:dyDescent="0.25">
      <c r="A5" s="19"/>
      <c r="B5" s="19"/>
      <c r="C5" s="16"/>
      <c r="D5" s="16"/>
      <c r="E5" s="34" t="s">
        <v>2404</v>
      </c>
      <c r="F5" s="16"/>
      <c r="G5" s="16"/>
      <c r="H5" s="16"/>
      <c r="J5" s="166"/>
      <c r="K5" s="165"/>
      <c r="L5" s="16"/>
      <c r="M5" s="31"/>
      <c r="N5" s="31"/>
      <c r="O5" s="19"/>
      <c r="P5" s="23" t="s">
        <v>1695</v>
      </c>
      <c r="Q5" s="7">
        <v>5</v>
      </c>
      <c r="R5" s="7">
        <v>0.12</v>
      </c>
      <c r="S5" s="13" t="s">
        <v>1612</v>
      </c>
      <c r="T5" s="7">
        <v>7</v>
      </c>
      <c r="U5" s="7">
        <v>8.5000000000000006E-2</v>
      </c>
      <c r="V5" s="13"/>
      <c r="W5" s="7">
        <v>14</v>
      </c>
      <c r="X5" s="7">
        <v>5.5E-2</v>
      </c>
      <c r="Y5" s="13"/>
      <c r="Z5" s="7">
        <v>1</v>
      </c>
      <c r="AA5" s="7">
        <v>0.18</v>
      </c>
      <c r="AB5" s="13"/>
      <c r="AC5" s="7">
        <v>1</v>
      </c>
      <c r="AD5" s="7">
        <v>0.2</v>
      </c>
      <c r="AE5" s="13"/>
      <c r="AF5" s="7">
        <v>3</v>
      </c>
      <c r="AG5" s="7">
        <v>0.15</v>
      </c>
      <c r="AH5" s="13"/>
      <c r="AI5" s="7">
        <v>5</v>
      </c>
      <c r="AJ5" s="7">
        <v>0.13500000000000001</v>
      </c>
      <c r="AK5" s="13"/>
      <c r="AL5" s="13"/>
      <c r="AM5" s="13"/>
      <c r="AN5" s="13"/>
      <c r="AO5" s="13"/>
      <c r="AP5" s="13"/>
      <c r="AQ5" s="13"/>
    </row>
    <row r="6" spans="1:43" s="18" customFormat="1" x14ac:dyDescent="0.25">
      <c r="A6" s="19"/>
      <c r="B6" s="19"/>
      <c r="C6" s="16"/>
      <c r="D6" s="16"/>
      <c r="E6" s="34" t="s">
        <v>2020</v>
      </c>
      <c r="F6" s="16"/>
      <c r="G6" s="16"/>
      <c r="H6" s="16"/>
      <c r="J6" s="166"/>
      <c r="K6" s="165"/>
      <c r="L6" s="16"/>
      <c r="M6" s="31"/>
      <c r="N6" s="31"/>
      <c r="O6" s="29" t="s">
        <v>1830</v>
      </c>
      <c r="P6" s="30" t="s">
        <v>1828</v>
      </c>
      <c r="Q6" s="7"/>
      <c r="R6" s="7"/>
      <c r="S6" s="13"/>
      <c r="T6" s="7"/>
      <c r="U6" s="7"/>
      <c r="V6" s="13"/>
      <c r="W6" s="7"/>
      <c r="X6" s="7"/>
      <c r="Y6" s="13"/>
      <c r="Z6" s="7">
        <v>1</v>
      </c>
      <c r="AA6" s="7"/>
      <c r="AB6" s="13"/>
      <c r="AC6" s="7">
        <v>1</v>
      </c>
      <c r="AD6" s="7"/>
      <c r="AE6" s="13"/>
      <c r="AF6" s="7"/>
      <c r="AG6" s="7"/>
      <c r="AH6" s="13"/>
      <c r="AI6" s="7"/>
      <c r="AJ6" s="7"/>
      <c r="AK6" s="13"/>
      <c r="AL6" s="13"/>
      <c r="AM6" s="13"/>
      <c r="AN6" s="13"/>
      <c r="AO6" s="13"/>
      <c r="AP6" s="13"/>
      <c r="AQ6" s="13"/>
    </row>
    <row r="7" spans="1:43" s="18" customFormat="1" x14ac:dyDescent="0.25">
      <c r="A7" s="19"/>
      <c r="B7" s="19"/>
      <c r="C7" s="16"/>
      <c r="D7" s="16"/>
      <c r="E7" s="34" t="s">
        <v>2327</v>
      </c>
      <c r="F7" s="16"/>
      <c r="G7" s="16"/>
      <c r="H7" s="16"/>
      <c r="J7" s="166"/>
      <c r="K7" s="165"/>
      <c r="L7" s="16"/>
      <c r="M7" s="31"/>
      <c r="N7" s="31"/>
      <c r="O7" s="19"/>
      <c r="P7" s="23" t="s">
        <v>3</v>
      </c>
      <c r="Q7" s="7"/>
      <c r="R7" s="7"/>
      <c r="S7" s="13"/>
      <c r="T7" s="7"/>
      <c r="U7" s="7"/>
      <c r="V7" s="13"/>
      <c r="W7" s="7">
        <v>2</v>
      </c>
      <c r="X7" s="7">
        <v>0.65</v>
      </c>
      <c r="Y7" s="13"/>
      <c r="Z7" s="7"/>
      <c r="AA7" s="7"/>
      <c r="AB7" s="13"/>
      <c r="AC7" s="7"/>
      <c r="AD7" s="7">
        <v>1.1200000000000001</v>
      </c>
      <c r="AE7" s="13"/>
      <c r="AF7" s="7"/>
      <c r="AG7" s="7"/>
      <c r="AH7" s="13"/>
      <c r="AI7" s="7"/>
      <c r="AJ7" s="7"/>
      <c r="AK7" s="13"/>
      <c r="AL7" s="13"/>
      <c r="AM7" s="13"/>
      <c r="AN7" s="13"/>
      <c r="AO7" s="13"/>
      <c r="AP7" s="13"/>
      <c r="AQ7" s="13"/>
    </row>
    <row r="8" spans="1:43" s="18" customFormat="1" x14ac:dyDescent="0.25">
      <c r="A8" s="19"/>
      <c r="B8" s="19"/>
      <c r="C8" s="16"/>
      <c r="D8" s="16"/>
      <c r="E8" s="34" t="s">
        <v>2328</v>
      </c>
      <c r="F8" s="16"/>
      <c r="G8" s="16"/>
      <c r="H8" s="16"/>
      <c r="I8" s="26"/>
      <c r="J8" s="166"/>
      <c r="K8" s="165"/>
      <c r="L8" s="16"/>
      <c r="M8" s="31"/>
      <c r="N8" s="31"/>
      <c r="O8" s="19"/>
      <c r="P8" s="19" t="s">
        <v>1782</v>
      </c>
      <c r="Q8" s="7"/>
      <c r="R8" s="7"/>
      <c r="S8" s="13"/>
      <c r="T8" s="7"/>
      <c r="U8" s="7" t="s">
        <v>1738</v>
      </c>
      <c r="V8" s="13"/>
      <c r="W8" s="7"/>
      <c r="X8" s="7" t="s">
        <v>1739</v>
      </c>
      <c r="Y8" s="13"/>
      <c r="Z8" s="7"/>
      <c r="AA8" s="7" t="s">
        <v>1738</v>
      </c>
      <c r="AB8" s="13"/>
      <c r="AC8" s="7"/>
      <c r="AD8" s="7" t="s">
        <v>1743</v>
      </c>
      <c r="AE8" s="13"/>
      <c r="AF8" s="7"/>
      <c r="AG8" s="7" t="s">
        <v>1738</v>
      </c>
      <c r="AH8" s="13"/>
      <c r="AI8" s="7"/>
      <c r="AJ8" s="7" t="s">
        <v>1738</v>
      </c>
      <c r="AK8" s="13"/>
      <c r="AL8" s="13"/>
      <c r="AM8" s="13" t="s">
        <v>1738</v>
      </c>
      <c r="AN8" s="13"/>
      <c r="AO8" s="13"/>
      <c r="AP8" s="13" t="s">
        <v>1738</v>
      </c>
      <c r="AQ8" s="13"/>
    </row>
    <row r="9" spans="1:43" s="18" customFormat="1" x14ac:dyDescent="0.25">
      <c r="A9" s="19"/>
      <c r="B9" s="19"/>
      <c r="C9" s="16"/>
      <c r="D9" s="16"/>
      <c r="E9" s="34" t="s">
        <v>2405</v>
      </c>
      <c r="F9" s="16"/>
      <c r="G9" s="16"/>
      <c r="H9" s="16"/>
      <c r="J9" s="166"/>
      <c r="K9" s="165"/>
      <c r="L9" s="16"/>
      <c r="M9" s="31"/>
      <c r="N9" s="31"/>
      <c r="O9" s="19"/>
      <c r="P9" s="33" t="s">
        <v>1826</v>
      </c>
      <c r="Q9" s="7"/>
      <c r="R9" s="7"/>
      <c r="S9" s="13"/>
      <c r="T9" s="7"/>
      <c r="U9" s="7"/>
      <c r="V9" s="13"/>
      <c r="W9" s="7"/>
      <c r="X9" s="7"/>
      <c r="Y9" s="13"/>
      <c r="Z9" s="7"/>
      <c r="AA9" s="7"/>
      <c r="AB9" s="13"/>
      <c r="AC9" s="7"/>
      <c r="AD9" s="7"/>
      <c r="AE9" s="13"/>
      <c r="AF9" s="7"/>
      <c r="AG9" s="7"/>
      <c r="AH9" s="13"/>
      <c r="AI9" s="7"/>
      <c r="AJ9" s="7"/>
      <c r="AK9" s="13"/>
      <c r="AL9" s="13"/>
      <c r="AM9" s="13"/>
      <c r="AN9" s="13"/>
      <c r="AO9" s="13"/>
      <c r="AP9" s="13"/>
      <c r="AQ9" s="13"/>
    </row>
    <row r="10" spans="1:43" s="18" customFormat="1" x14ac:dyDescent="0.25">
      <c r="A10" s="19"/>
      <c r="B10" s="19"/>
      <c r="C10" s="16"/>
      <c r="D10" s="16"/>
      <c r="E10" s="34"/>
      <c r="F10" s="16"/>
      <c r="G10" s="16"/>
      <c r="H10" s="16"/>
      <c r="J10" s="166"/>
      <c r="K10" s="165"/>
      <c r="L10" s="16"/>
      <c r="M10" s="31"/>
      <c r="N10" s="31"/>
      <c r="O10" s="29" t="s">
        <v>1829</v>
      </c>
      <c r="P10" s="28">
        <v>7</v>
      </c>
      <c r="Q10" s="7">
        <v>1</v>
      </c>
      <c r="R10" s="7">
        <v>1</v>
      </c>
      <c r="S10" s="13"/>
      <c r="T10" s="7">
        <v>1.33</v>
      </c>
      <c r="U10" s="7">
        <v>0.64</v>
      </c>
      <c r="V10" s="13"/>
      <c r="W10" s="7">
        <v>2.67</v>
      </c>
      <c r="X10" s="7">
        <v>0.42</v>
      </c>
      <c r="Y10" s="13"/>
      <c r="Z10" s="7"/>
      <c r="AA10" s="7">
        <v>1.57</v>
      </c>
      <c r="AB10" s="13"/>
      <c r="AC10" s="7"/>
      <c r="AD10" s="7">
        <v>1.79</v>
      </c>
      <c r="AE10" s="13"/>
      <c r="AF10" s="7"/>
      <c r="AG10" s="7">
        <v>1.29</v>
      </c>
      <c r="AH10" s="13"/>
      <c r="AI10" s="7">
        <v>0.57999999999999996</v>
      </c>
      <c r="AJ10" s="7">
        <v>1.1399999999999999</v>
      </c>
      <c r="AK10" s="13"/>
      <c r="AL10" s="13"/>
      <c r="AM10" s="7"/>
      <c r="AN10" s="13"/>
      <c r="AO10" s="13"/>
      <c r="AP10" s="7"/>
      <c r="AQ10" s="13"/>
    </row>
    <row r="11" spans="1:43" s="18" customFormat="1" x14ac:dyDescent="0.25">
      <c r="A11" s="19"/>
      <c r="B11" s="19"/>
      <c r="C11" s="16"/>
      <c r="D11" s="16"/>
      <c r="E11" s="16"/>
      <c r="F11" s="16"/>
      <c r="G11" s="16"/>
      <c r="H11" s="16"/>
      <c r="J11" s="166"/>
      <c r="K11" s="165"/>
      <c r="L11" s="16"/>
      <c r="M11" s="31"/>
      <c r="N11" s="31"/>
      <c r="O11" s="29" t="s">
        <v>1827</v>
      </c>
      <c r="P11" s="28">
        <v>3</v>
      </c>
      <c r="Q11" s="7">
        <v>1</v>
      </c>
      <c r="R11" s="7">
        <v>1</v>
      </c>
      <c r="S11" s="13"/>
      <c r="T11" s="7">
        <v>1.4</v>
      </c>
      <c r="U11" s="7">
        <v>0.71</v>
      </c>
      <c r="V11" s="13"/>
      <c r="W11" s="7">
        <v>2.8</v>
      </c>
      <c r="X11" s="7">
        <v>0.46</v>
      </c>
      <c r="Y11" s="13"/>
      <c r="Z11" s="7"/>
      <c r="AA11" s="7">
        <v>1.5</v>
      </c>
      <c r="AB11" s="13"/>
      <c r="AC11" s="7"/>
      <c r="AD11" s="7">
        <v>1.67</v>
      </c>
      <c r="AE11" s="13"/>
      <c r="AF11" s="7"/>
      <c r="AG11" s="7">
        <v>1.25</v>
      </c>
      <c r="AH11" s="13"/>
      <c r="AI11" s="7">
        <v>1</v>
      </c>
      <c r="AJ11" s="7">
        <v>1.1299999999999999</v>
      </c>
      <c r="AK11" s="13"/>
      <c r="AL11" s="13"/>
      <c r="AM11" s="7"/>
      <c r="AN11" s="13"/>
      <c r="AO11" s="13"/>
      <c r="AP11" s="7"/>
      <c r="AQ11" s="13"/>
    </row>
    <row r="12" spans="1:43" s="18" customFormat="1" x14ac:dyDescent="0.25">
      <c r="A12" s="19"/>
      <c r="B12" s="19"/>
      <c r="C12" s="16"/>
      <c r="D12" s="16"/>
      <c r="E12" s="16"/>
      <c r="F12" s="16"/>
      <c r="G12" s="16"/>
      <c r="H12" s="16"/>
      <c r="J12" s="166"/>
      <c r="K12" s="165"/>
      <c r="L12" s="16"/>
      <c r="M12" s="31"/>
      <c r="N12" s="31"/>
      <c r="O12" s="29" t="s">
        <v>1</v>
      </c>
      <c r="P12" s="28">
        <v>2</v>
      </c>
      <c r="Q12" s="7">
        <v>1</v>
      </c>
      <c r="R12" s="7">
        <v>1</v>
      </c>
      <c r="S12" s="13"/>
      <c r="T12" s="7">
        <v>1</v>
      </c>
      <c r="U12" s="7">
        <v>1</v>
      </c>
      <c r="V12" s="13"/>
      <c r="W12" s="7">
        <v>1</v>
      </c>
      <c r="X12" s="7">
        <v>1</v>
      </c>
      <c r="Y12" s="13"/>
      <c r="Z12" s="7"/>
      <c r="AA12" s="7">
        <v>1</v>
      </c>
      <c r="AB12" s="13"/>
      <c r="AC12" s="7"/>
      <c r="AD12" s="7">
        <v>1</v>
      </c>
      <c r="AE12" s="13"/>
      <c r="AF12" s="7"/>
      <c r="AG12" s="7">
        <v>1</v>
      </c>
      <c r="AH12" s="13"/>
      <c r="AI12" s="7">
        <v>1</v>
      </c>
      <c r="AJ12" s="7">
        <v>1</v>
      </c>
      <c r="AK12" s="13"/>
      <c r="AL12" s="13"/>
      <c r="AM12" s="7"/>
      <c r="AN12" s="13"/>
      <c r="AO12" s="13"/>
      <c r="AP12" s="7"/>
      <c r="AQ12" s="13"/>
    </row>
    <row r="13" spans="1:43" s="25" customFormat="1" x14ac:dyDescent="0.25">
      <c r="A13" s="24" t="s">
        <v>1780</v>
      </c>
      <c r="B13" s="24" t="s">
        <v>2022</v>
      </c>
      <c r="C13" s="157" t="s">
        <v>1733</v>
      </c>
      <c r="D13" s="157" t="s">
        <v>1734</v>
      </c>
      <c r="E13" s="24" t="s">
        <v>1732</v>
      </c>
      <c r="F13" s="24" t="s">
        <v>1731</v>
      </c>
      <c r="G13" s="24" t="s">
        <v>1730</v>
      </c>
      <c r="H13" s="157" t="s">
        <v>1102</v>
      </c>
      <c r="I13" s="24" t="s">
        <v>1750</v>
      </c>
      <c r="J13" s="164" t="s">
        <v>1969</v>
      </c>
      <c r="K13" s="164" t="s">
        <v>1920</v>
      </c>
      <c r="L13" s="24" t="s">
        <v>1728</v>
      </c>
      <c r="M13" s="24" t="s">
        <v>1729</v>
      </c>
      <c r="N13" s="24" t="s">
        <v>1724</v>
      </c>
      <c r="O13" s="24"/>
      <c r="P13" s="24"/>
      <c r="Q13" s="24" t="s">
        <v>1831</v>
      </c>
      <c r="R13" s="24" t="s">
        <v>1832</v>
      </c>
      <c r="S13" s="24" t="s">
        <v>1833</v>
      </c>
      <c r="T13" s="24" t="s">
        <v>1831</v>
      </c>
      <c r="U13" s="24" t="s">
        <v>1832</v>
      </c>
      <c r="V13" s="24" t="s">
        <v>1833</v>
      </c>
      <c r="W13" s="24" t="s">
        <v>1831</v>
      </c>
      <c r="X13" s="24" t="s">
        <v>1832</v>
      </c>
      <c r="Y13" s="24" t="s">
        <v>1833</v>
      </c>
      <c r="Z13" s="24" t="s">
        <v>1831</v>
      </c>
      <c r="AA13" s="24" t="s">
        <v>1832</v>
      </c>
      <c r="AB13" s="24" t="s">
        <v>1833</v>
      </c>
      <c r="AC13" s="24" t="s">
        <v>1831</v>
      </c>
      <c r="AD13" s="24" t="s">
        <v>1832</v>
      </c>
      <c r="AE13" s="24" t="s">
        <v>1833</v>
      </c>
      <c r="AF13" s="24" t="s">
        <v>1831</v>
      </c>
      <c r="AG13" s="24" t="s">
        <v>1832</v>
      </c>
      <c r="AH13" s="24" t="s">
        <v>1833</v>
      </c>
      <c r="AI13" s="24" t="s">
        <v>1831</v>
      </c>
      <c r="AJ13" s="24" t="s">
        <v>1832</v>
      </c>
      <c r="AK13" s="24" t="s">
        <v>1833</v>
      </c>
      <c r="AL13" s="24" t="s">
        <v>1831</v>
      </c>
      <c r="AM13" s="24" t="s">
        <v>1832</v>
      </c>
      <c r="AN13" s="24" t="s">
        <v>1833</v>
      </c>
      <c r="AO13" s="24" t="s">
        <v>1831</v>
      </c>
      <c r="AP13" s="24" t="s">
        <v>1832</v>
      </c>
      <c r="AQ13" s="24" t="s">
        <v>1833</v>
      </c>
    </row>
    <row r="14" spans="1:43" s="2" customFormat="1" x14ac:dyDescent="0.25">
      <c r="A14" s="161" t="str">
        <f t="shared" ref="A14:A62" si="0">CONCATENATE(E14,IF(ISBLANK(C14),"",CONCATENATE("_",C14)))</f>
        <v>_SETTLER</v>
      </c>
      <c r="B14" s="9" t="s">
        <v>2252</v>
      </c>
      <c r="C14" s="5"/>
      <c r="D14" s="5"/>
      <c r="E14" s="5" t="s">
        <v>1078</v>
      </c>
      <c r="F14" s="5" t="s">
        <v>2252</v>
      </c>
      <c r="G14" s="5" t="s">
        <v>2019</v>
      </c>
      <c r="H14" s="5" t="s">
        <v>1084</v>
      </c>
      <c r="I14" s="5" t="s">
        <v>128</v>
      </c>
      <c r="J14" s="6"/>
      <c r="K14" s="6"/>
      <c r="L14" s="5" t="s">
        <v>1708</v>
      </c>
      <c r="M14" s="8"/>
      <c r="N14" s="5"/>
      <c r="O14" s="5"/>
      <c r="P14" s="5"/>
      <c r="Q14" s="6">
        <v>1</v>
      </c>
      <c r="R14" s="6" t="s">
        <v>1695</v>
      </c>
      <c r="S14" s="5" t="s">
        <v>1610</v>
      </c>
      <c r="T14" s="6">
        <v>1</v>
      </c>
      <c r="U14" s="6" t="s">
        <v>1695</v>
      </c>
      <c r="V14" s="5"/>
      <c r="W14" s="6"/>
      <c r="X14" s="6" t="s">
        <v>3</v>
      </c>
      <c r="Y14" s="5"/>
      <c r="Z14" s="6">
        <v>1</v>
      </c>
      <c r="AA14" s="6"/>
      <c r="AB14" s="5"/>
      <c r="AC14" s="6"/>
      <c r="AD14" s="6" t="s">
        <v>3</v>
      </c>
      <c r="AE14" s="5"/>
      <c r="AF14" s="6">
        <v>1</v>
      </c>
      <c r="AG14" s="6"/>
      <c r="AH14" s="5"/>
      <c r="AI14" s="6"/>
      <c r="AJ14" s="6"/>
      <c r="AK14" s="5"/>
      <c r="AL14" s="5"/>
      <c r="AM14" s="5"/>
      <c r="AN14" s="5"/>
      <c r="AO14" s="5"/>
      <c r="AP14" s="5"/>
      <c r="AQ14" s="5"/>
    </row>
    <row r="15" spans="1:43" s="2" customFormat="1" x14ac:dyDescent="0.25">
      <c r="A15" s="161" t="str">
        <f t="shared" si="0"/>
        <v>_SETTLER</v>
      </c>
      <c r="B15" s="9" t="s">
        <v>2252</v>
      </c>
      <c r="C15" s="5"/>
      <c r="D15" s="5"/>
      <c r="E15" s="5" t="s">
        <v>1078</v>
      </c>
      <c r="F15" s="5" t="s">
        <v>2252</v>
      </c>
      <c r="G15" s="5" t="s">
        <v>2040</v>
      </c>
      <c r="H15" s="5" t="s">
        <v>1434</v>
      </c>
      <c r="I15" s="5" t="s">
        <v>128</v>
      </c>
      <c r="J15" s="6"/>
      <c r="K15" s="6"/>
      <c r="L15" s="5" t="s">
        <v>1708</v>
      </c>
      <c r="M15" s="8"/>
      <c r="N15" s="5"/>
      <c r="O15" s="5"/>
      <c r="P15" s="5"/>
      <c r="Q15" s="6">
        <v>1</v>
      </c>
      <c r="R15" s="6" t="s">
        <v>1695</v>
      </c>
      <c r="S15" s="5" t="s">
        <v>1610</v>
      </c>
      <c r="T15" s="6">
        <v>1</v>
      </c>
      <c r="U15" s="6" t="s">
        <v>1737</v>
      </c>
      <c r="V15" s="5"/>
      <c r="W15" s="6"/>
      <c r="X15" s="6" t="s">
        <v>3</v>
      </c>
      <c r="Y15" s="5"/>
      <c r="Z15" s="6">
        <v>0</v>
      </c>
      <c r="AA15" s="6"/>
      <c r="AB15" s="5"/>
      <c r="AC15" s="6"/>
      <c r="AD15" s="6" t="s">
        <v>3</v>
      </c>
      <c r="AE15" s="5"/>
      <c r="AF15" s="6">
        <v>0</v>
      </c>
      <c r="AG15" s="6"/>
      <c r="AH15" s="5"/>
      <c r="AI15" s="6"/>
      <c r="AJ15" s="6"/>
      <c r="AK15" s="5"/>
      <c r="AL15" s="5"/>
      <c r="AM15" s="5"/>
      <c r="AN15" s="5"/>
      <c r="AO15" s="5"/>
      <c r="AP15" s="5"/>
      <c r="AQ15" s="5"/>
    </row>
    <row r="16" spans="1:43" s="2" customFormat="1" x14ac:dyDescent="0.25">
      <c r="A16" s="161" t="str">
        <f t="shared" si="0"/>
        <v>_SETTLER</v>
      </c>
      <c r="B16" s="9" t="s">
        <v>2252</v>
      </c>
      <c r="C16" s="5"/>
      <c r="D16" s="5"/>
      <c r="E16" s="5" t="s">
        <v>1078</v>
      </c>
      <c r="F16" s="5" t="s">
        <v>2252</v>
      </c>
      <c r="G16" s="5" t="s">
        <v>2041</v>
      </c>
      <c r="H16" s="5" t="s">
        <v>1439</v>
      </c>
      <c r="I16" s="5" t="s">
        <v>128</v>
      </c>
      <c r="J16" s="6"/>
      <c r="K16" s="6"/>
      <c r="L16" s="5" t="s">
        <v>1708</v>
      </c>
      <c r="M16" s="8"/>
      <c r="N16" s="5"/>
      <c r="O16" s="5"/>
      <c r="P16" s="5"/>
      <c r="Q16" s="6">
        <v>1</v>
      </c>
      <c r="R16" s="6" t="s">
        <v>1695</v>
      </c>
      <c r="S16" s="5" t="s">
        <v>1610</v>
      </c>
      <c r="T16" s="6">
        <v>1</v>
      </c>
      <c r="U16" s="6" t="s">
        <v>1737</v>
      </c>
      <c r="V16" s="5"/>
      <c r="W16" s="6"/>
      <c r="X16" s="6" t="s">
        <v>3</v>
      </c>
      <c r="Y16" s="5"/>
      <c r="Z16" s="6">
        <v>0</v>
      </c>
      <c r="AA16" s="6"/>
      <c r="AB16" s="5"/>
      <c r="AC16" s="6"/>
      <c r="AD16" s="6" t="s">
        <v>3</v>
      </c>
      <c r="AE16" s="5"/>
      <c r="AF16" s="6">
        <v>0</v>
      </c>
      <c r="AG16" s="6"/>
      <c r="AH16" s="5"/>
      <c r="AI16" s="6"/>
      <c r="AJ16" s="6"/>
      <c r="AK16" s="5"/>
      <c r="AL16" s="5"/>
      <c r="AM16" s="5"/>
      <c r="AN16" s="5"/>
      <c r="AO16" s="5"/>
      <c r="AP16" s="5"/>
      <c r="AQ16" s="5"/>
    </row>
    <row r="17" spans="1:43" s="2" customFormat="1" x14ac:dyDescent="0.25">
      <c r="A17" s="161" t="str">
        <f t="shared" si="0"/>
        <v>_SETTLER</v>
      </c>
      <c r="B17" s="9" t="s">
        <v>2252</v>
      </c>
      <c r="C17" s="5"/>
      <c r="D17" s="5"/>
      <c r="E17" s="5" t="s">
        <v>1078</v>
      </c>
      <c r="F17" s="5" t="s">
        <v>2252</v>
      </c>
      <c r="G17" s="5" t="s">
        <v>2042</v>
      </c>
      <c r="H17" s="5" t="s">
        <v>1440</v>
      </c>
      <c r="I17" s="5" t="s">
        <v>128</v>
      </c>
      <c r="J17" s="6"/>
      <c r="K17" s="6"/>
      <c r="L17" s="5" t="s">
        <v>1708</v>
      </c>
      <c r="M17" s="8"/>
      <c r="N17" s="5"/>
      <c r="O17" s="5"/>
      <c r="P17" s="5"/>
      <c r="Q17" s="6">
        <v>1</v>
      </c>
      <c r="R17" s="6" t="s">
        <v>1695</v>
      </c>
      <c r="S17" s="5" t="s">
        <v>1610</v>
      </c>
      <c r="T17" s="6">
        <v>1</v>
      </c>
      <c r="U17" s="6" t="s">
        <v>1737</v>
      </c>
      <c r="V17" s="5"/>
      <c r="W17" s="7"/>
      <c r="X17" s="6" t="s">
        <v>3</v>
      </c>
      <c r="Y17" s="5"/>
      <c r="Z17" s="7">
        <v>0</v>
      </c>
      <c r="AA17" s="6"/>
      <c r="AB17" s="5"/>
      <c r="AC17" s="6"/>
      <c r="AD17" s="6" t="s">
        <v>3</v>
      </c>
      <c r="AE17" s="5"/>
      <c r="AF17" s="6">
        <v>0</v>
      </c>
      <c r="AG17" s="6"/>
      <c r="AH17" s="5"/>
      <c r="AI17" s="6"/>
      <c r="AJ17" s="6"/>
      <c r="AK17" s="5"/>
      <c r="AL17" s="5"/>
      <c r="AM17" s="5"/>
      <c r="AN17" s="5"/>
      <c r="AO17" s="5"/>
      <c r="AP17" s="5"/>
      <c r="AQ17" s="5"/>
    </row>
    <row r="18" spans="1:43" s="2" customFormat="1" x14ac:dyDescent="0.25">
      <c r="A18" s="161" t="str">
        <f t="shared" si="0"/>
        <v>_SETTLER</v>
      </c>
      <c r="B18" s="9" t="s">
        <v>2252</v>
      </c>
      <c r="C18" s="5"/>
      <c r="D18" s="5"/>
      <c r="E18" s="5" t="s">
        <v>1078</v>
      </c>
      <c r="F18" s="5" t="s">
        <v>2252</v>
      </c>
      <c r="G18" s="5" t="s">
        <v>2043</v>
      </c>
      <c r="H18" s="5" t="s">
        <v>1441</v>
      </c>
      <c r="I18" s="5" t="s">
        <v>128</v>
      </c>
      <c r="J18" s="6"/>
      <c r="K18" s="6"/>
      <c r="L18" s="5" t="s">
        <v>1708</v>
      </c>
      <c r="M18" s="8"/>
      <c r="N18" s="5"/>
      <c r="O18" s="5"/>
      <c r="P18" s="5"/>
      <c r="Q18" s="6">
        <v>1</v>
      </c>
      <c r="R18" s="6" t="s">
        <v>1695</v>
      </c>
      <c r="S18" s="5" t="s">
        <v>1610</v>
      </c>
      <c r="T18" s="6">
        <v>1</v>
      </c>
      <c r="U18" s="6" t="s">
        <v>1737</v>
      </c>
      <c r="V18" s="5"/>
      <c r="W18" s="7"/>
      <c r="X18" s="6" t="s">
        <v>3</v>
      </c>
      <c r="Y18" s="5"/>
      <c r="Z18" s="7">
        <v>0</v>
      </c>
      <c r="AA18" s="6"/>
      <c r="AB18" s="5"/>
      <c r="AC18" s="6"/>
      <c r="AD18" s="6" t="s">
        <v>3</v>
      </c>
      <c r="AE18" s="5"/>
      <c r="AF18" s="6">
        <v>0</v>
      </c>
      <c r="AG18" s="6"/>
      <c r="AH18" s="5"/>
      <c r="AI18" s="6"/>
      <c r="AJ18" s="6"/>
      <c r="AK18" s="5"/>
      <c r="AL18" s="5"/>
      <c r="AM18" s="5"/>
      <c r="AN18" s="5"/>
      <c r="AO18" s="5"/>
      <c r="AP18" s="5"/>
      <c r="AQ18" s="5"/>
    </row>
    <row r="19" spans="1:43" s="2" customFormat="1" x14ac:dyDescent="0.25">
      <c r="A19" s="161" t="str">
        <f t="shared" si="0"/>
        <v>_SETTLER</v>
      </c>
      <c r="B19" s="9" t="s">
        <v>2252</v>
      </c>
      <c r="C19" s="5"/>
      <c r="D19" s="5"/>
      <c r="E19" s="5" t="s">
        <v>1078</v>
      </c>
      <c r="F19" s="5" t="s">
        <v>2252</v>
      </c>
      <c r="G19" s="5" t="s">
        <v>2044</v>
      </c>
      <c r="H19" s="5" t="s">
        <v>1435</v>
      </c>
      <c r="I19" s="5" t="s">
        <v>128</v>
      </c>
      <c r="J19" s="6"/>
      <c r="K19" s="6"/>
      <c r="L19" s="5" t="s">
        <v>1708</v>
      </c>
      <c r="M19" s="8"/>
      <c r="N19" s="5"/>
      <c r="O19" s="5"/>
      <c r="P19" s="5"/>
      <c r="Q19" s="6">
        <v>1</v>
      </c>
      <c r="R19" s="6" t="s">
        <v>1695</v>
      </c>
      <c r="S19" s="5" t="s">
        <v>1610</v>
      </c>
      <c r="T19" s="6">
        <v>1</v>
      </c>
      <c r="U19" s="6" t="s">
        <v>1737</v>
      </c>
      <c r="V19" s="5"/>
      <c r="W19" s="7"/>
      <c r="X19" s="6" t="s">
        <v>3</v>
      </c>
      <c r="Y19" s="5"/>
      <c r="Z19" s="7">
        <v>0</v>
      </c>
      <c r="AA19" s="6"/>
      <c r="AB19" s="5"/>
      <c r="AC19" s="6"/>
      <c r="AD19" s="6" t="s">
        <v>3</v>
      </c>
      <c r="AE19" s="5"/>
      <c r="AF19" s="6">
        <v>0</v>
      </c>
      <c r="AG19" s="6"/>
      <c r="AH19" s="5"/>
      <c r="AI19" s="6"/>
      <c r="AJ19" s="6"/>
      <c r="AK19" s="5"/>
      <c r="AL19" s="5"/>
      <c r="AM19" s="5"/>
      <c r="AN19" s="5"/>
      <c r="AO19" s="5"/>
      <c r="AP19" s="5"/>
      <c r="AQ19" s="5"/>
    </row>
    <row r="20" spans="1:43" s="2" customFormat="1" x14ac:dyDescent="0.25">
      <c r="A20" s="161" t="str">
        <f t="shared" si="0"/>
        <v>_SETTLER</v>
      </c>
      <c r="B20" s="9" t="s">
        <v>2252</v>
      </c>
      <c r="C20" s="5"/>
      <c r="D20" s="5"/>
      <c r="E20" s="5" t="s">
        <v>1078</v>
      </c>
      <c r="F20" s="5" t="s">
        <v>2252</v>
      </c>
      <c r="G20" s="5" t="s">
        <v>2045</v>
      </c>
      <c r="H20" s="5" t="s">
        <v>1436</v>
      </c>
      <c r="I20" s="5" t="s">
        <v>128</v>
      </c>
      <c r="J20" s="6"/>
      <c r="K20" s="6"/>
      <c r="L20" s="5" t="s">
        <v>1708</v>
      </c>
      <c r="M20" s="8"/>
      <c r="N20" s="5"/>
      <c r="O20" s="5"/>
      <c r="P20" s="5"/>
      <c r="Q20" s="6">
        <v>1</v>
      </c>
      <c r="R20" s="6" t="s">
        <v>1695</v>
      </c>
      <c r="S20" s="5" t="s">
        <v>1610</v>
      </c>
      <c r="T20" s="6">
        <v>1</v>
      </c>
      <c r="U20" s="6" t="s">
        <v>1737</v>
      </c>
      <c r="V20" s="5"/>
      <c r="W20" s="7"/>
      <c r="X20" s="6" t="s">
        <v>3</v>
      </c>
      <c r="Y20" s="5"/>
      <c r="Z20" s="7">
        <v>0</v>
      </c>
      <c r="AA20" s="6"/>
      <c r="AB20" s="5"/>
      <c r="AC20" s="6"/>
      <c r="AD20" s="6" t="s">
        <v>3</v>
      </c>
      <c r="AE20" s="5"/>
      <c r="AF20" s="6">
        <v>0</v>
      </c>
      <c r="AG20" s="6"/>
      <c r="AH20" s="5"/>
      <c r="AI20" s="6"/>
      <c r="AJ20" s="6"/>
      <c r="AK20" s="5"/>
      <c r="AL20" s="5"/>
      <c r="AM20" s="5"/>
      <c r="AN20" s="5"/>
      <c r="AO20" s="5"/>
      <c r="AP20" s="5"/>
      <c r="AQ20" s="5"/>
    </row>
    <row r="21" spans="1:43" s="2" customFormat="1" x14ac:dyDescent="0.25">
      <c r="A21" s="161" t="str">
        <f t="shared" si="0"/>
        <v>_SETTLER</v>
      </c>
      <c r="B21" s="9" t="s">
        <v>2252</v>
      </c>
      <c r="C21" s="5"/>
      <c r="D21" s="5"/>
      <c r="E21" s="5" t="s">
        <v>1078</v>
      </c>
      <c r="F21" s="5" t="s">
        <v>2252</v>
      </c>
      <c r="G21" s="5" t="s">
        <v>2046</v>
      </c>
      <c r="H21" s="5" t="s">
        <v>1437</v>
      </c>
      <c r="I21" s="5" t="s">
        <v>128</v>
      </c>
      <c r="J21" s="6"/>
      <c r="K21" s="6"/>
      <c r="L21" s="5" t="s">
        <v>1708</v>
      </c>
      <c r="M21" s="8"/>
      <c r="N21" s="5"/>
      <c r="O21" s="5"/>
      <c r="P21" s="5"/>
      <c r="Q21" s="6">
        <v>1</v>
      </c>
      <c r="R21" s="6" t="s">
        <v>1695</v>
      </c>
      <c r="S21" s="5" t="s">
        <v>1610</v>
      </c>
      <c r="T21" s="6">
        <v>1</v>
      </c>
      <c r="U21" s="6" t="s">
        <v>1737</v>
      </c>
      <c r="V21" s="5"/>
      <c r="W21" s="7"/>
      <c r="X21" s="6" t="s">
        <v>3</v>
      </c>
      <c r="Y21" s="5"/>
      <c r="Z21" s="7">
        <v>0</v>
      </c>
      <c r="AA21" s="6"/>
      <c r="AB21" s="5"/>
      <c r="AC21" s="6"/>
      <c r="AD21" s="6" t="s">
        <v>3</v>
      </c>
      <c r="AE21" s="5"/>
      <c r="AF21" s="6">
        <v>1</v>
      </c>
      <c r="AG21" s="6"/>
      <c r="AH21" s="5"/>
      <c r="AI21" s="6"/>
      <c r="AJ21" s="6"/>
      <c r="AK21" s="5"/>
      <c r="AL21" s="5"/>
      <c r="AM21" s="5"/>
      <c r="AN21" s="5"/>
      <c r="AO21" s="5"/>
      <c r="AP21" s="5"/>
      <c r="AQ21" s="5"/>
    </row>
    <row r="22" spans="1:43" s="2" customFormat="1" x14ac:dyDescent="0.25">
      <c r="A22" s="161" t="str">
        <f t="shared" si="0"/>
        <v>_SETTLER</v>
      </c>
      <c r="B22" s="9" t="s">
        <v>2252</v>
      </c>
      <c r="C22" s="5"/>
      <c r="D22" s="5"/>
      <c r="E22" s="5" t="s">
        <v>1078</v>
      </c>
      <c r="F22" s="5" t="s">
        <v>2252</v>
      </c>
      <c r="G22" s="5"/>
      <c r="H22" s="5" t="s">
        <v>1438</v>
      </c>
      <c r="I22" s="5" t="s">
        <v>128</v>
      </c>
      <c r="J22" s="6"/>
      <c r="K22" s="6"/>
      <c r="L22" s="5" t="s">
        <v>1708</v>
      </c>
      <c r="M22" s="8"/>
      <c r="N22" s="5"/>
      <c r="O22" s="5"/>
      <c r="P22" s="5"/>
      <c r="Q22" s="6">
        <v>1</v>
      </c>
      <c r="R22" s="6" t="s">
        <v>1695</v>
      </c>
      <c r="S22" s="5" t="s">
        <v>1610</v>
      </c>
      <c r="T22" s="6">
        <v>1</v>
      </c>
      <c r="U22" s="6" t="s">
        <v>1737</v>
      </c>
      <c r="V22" s="5"/>
      <c r="W22" s="7"/>
      <c r="X22" s="6" t="s">
        <v>3</v>
      </c>
      <c r="Y22" s="5"/>
      <c r="Z22" s="7">
        <v>0</v>
      </c>
      <c r="AA22" s="6"/>
      <c r="AB22" s="5"/>
      <c r="AC22" s="6"/>
      <c r="AD22" s="6" t="s">
        <v>3</v>
      </c>
      <c r="AE22" s="5"/>
      <c r="AF22" s="6">
        <v>0</v>
      </c>
      <c r="AG22" s="6"/>
      <c r="AH22" s="5"/>
      <c r="AI22" s="6"/>
      <c r="AJ22" s="6"/>
      <c r="AK22" s="5"/>
      <c r="AL22" s="5"/>
      <c r="AM22" s="5"/>
      <c r="AN22" s="5"/>
      <c r="AO22" s="5"/>
      <c r="AP22" s="5"/>
      <c r="AQ22" s="5"/>
    </row>
    <row r="23" spans="1:43" s="2" customFormat="1" x14ac:dyDescent="0.25">
      <c r="A23" s="161" t="str">
        <f t="shared" si="0"/>
        <v>_SETTLER_AFRI</v>
      </c>
      <c r="B23" s="9" t="s">
        <v>2252</v>
      </c>
      <c r="C23" s="5" t="s">
        <v>694</v>
      </c>
      <c r="D23" s="5"/>
      <c r="E23" s="5" t="s">
        <v>1078</v>
      </c>
      <c r="F23" s="5" t="s">
        <v>2252</v>
      </c>
      <c r="G23" s="5" t="s">
        <v>2017</v>
      </c>
      <c r="H23" s="5" t="s">
        <v>1392</v>
      </c>
      <c r="I23" s="5" t="s">
        <v>128</v>
      </c>
      <c r="J23" s="6"/>
      <c r="K23" s="6"/>
      <c r="L23" s="5" t="s">
        <v>1708</v>
      </c>
      <c r="M23" s="8"/>
      <c r="N23" s="5"/>
      <c r="O23" s="5"/>
      <c r="P23" s="5"/>
      <c r="Q23" s="6">
        <v>1</v>
      </c>
      <c r="R23" s="6" t="s">
        <v>1695</v>
      </c>
      <c r="S23" s="5" t="s">
        <v>1610</v>
      </c>
      <c r="T23" s="6">
        <v>1</v>
      </c>
      <c r="U23" s="6" t="s">
        <v>1737</v>
      </c>
      <c r="V23" s="5"/>
      <c r="W23" s="7"/>
      <c r="X23" s="6" t="s">
        <v>3</v>
      </c>
      <c r="Y23" s="5"/>
      <c r="Z23" s="7">
        <v>1</v>
      </c>
      <c r="AA23" s="6"/>
      <c r="AB23" s="5"/>
      <c r="AC23" s="6"/>
      <c r="AD23" s="6" t="s">
        <v>3</v>
      </c>
      <c r="AE23" s="5"/>
      <c r="AF23" s="6">
        <v>1</v>
      </c>
      <c r="AG23" s="6"/>
      <c r="AH23" s="5"/>
      <c r="AI23" s="6"/>
      <c r="AJ23" s="6"/>
      <c r="AK23" s="5"/>
      <c r="AL23" s="5"/>
      <c r="AM23" s="5"/>
      <c r="AN23" s="5"/>
      <c r="AO23" s="5"/>
      <c r="AP23" s="5"/>
      <c r="AQ23" s="5"/>
    </row>
    <row r="24" spans="1:43" s="2" customFormat="1" x14ac:dyDescent="0.25">
      <c r="A24" s="161" t="str">
        <f t="shared" si="0"/>
        <v>_SETTLER_AFRI</v>
      </c>
      <c r="B24" s="9" t="s">
        <v>2252</v>
      </c>
      <c r="C24" s="5" t="s">
        <v>694</v>
      </c>
      <c r="D24" s="5"/>
      <c r="E24" s="5" t="s">
        <v>1078</v>
      </c>
      <c r="F24" s="5" t="s">
        <v>2252</v>
      </c>
      <c r="G24" s="5" t="s">
        <v>2040</v>
      </c>
      <c r="H24" s="5" t="s">
        <v>1085</v>
      </c>
      <c r="I24" s="5" t="s">
        <v>128</v>
      </c>
      <c r="J24" s="6"/>
      <c r="K24" s="6"/>
      <c r="L24" s="5" t="s">
        <v>1708</v>
      </c>
      <c r="M24" s="8"/>
      <c r="N24" s="5"/>
      <c r="O24" s="5"/>
      <c r="P24" s="5"/>
      <c r="Q24" s="6">
        <v>1</v>
      </c>
      <c r="R24" s="6" t="s">
        <v>1695</v>
      </c>
      <c r="S24" s="5" t="s">
        <v>1610</v>
      </c>
      <c r="T24" s="6">
        <v>1</v>
      </c>
      <c r="U24" s="6" t="s">
        <v>1737</v>
      </c>
      <c r="V24" s="5"/>
      <c r="W24" s="7"/>
      <c r="X24" s="6" t="s">
        <v>3</v>
      </c>
      <c r="Y24" s="5"/>
      <c r="Z24" s="7">
        <v>0</v>
      </c>
      <c r="AA24" s="6"/>
      <c r="AB24" s="5"/>
      <c r="AC24" s="6"/>
      <c r="AD24" s="6" t="s">
        <v>3</v>
      </c>
      <c r="AE24" s="5"/>
      <c r="AF24" s="6">
        <v>0</v>
      </c>
      <c r="AG24" s="6"/>
      <c r="AH24" s="5"/>
      <c r="AI24" s="6"/>
      <c r="AJ24" s="6"/>
      <c r="AK24" s="5"/>
      <c r="AL24" s="5"/>
      <c r="AM24" s="5"/>
      <c r="AN24" s="5"/>
      <c r="AO24" s="5"/>
      <c r="AP24" s="5"/>
      <c r="AQ24" s="5"/>
    </row>
    <row r="25" spans="1:43" s="2" customFormat="1" x14ac:dyDescent="0.25">
      <c r="A25" s="161" t="str">
        <f t="shared" si="0"/>
        <v>_SETTLER_AFRI</v>
      </c>
      <c r="B25" s="9" t="s">
        <v>2252</v>
      </c>
      <c r="C25" s="5" t="s">
        <v>694</v>
      </c>
      <c r="D25" s="5"/>
      <c r="E25" s="5" t="s">
        <v>1078</v>
      </c>
      <c r="F25" s="5" t="s">
        <v>2252</v>
      </c>
      <c r="G25" s="5" t="s">
        <v>2041</v>
      </c>
      <c r="H25" s="5" t="s">
        <v>1086</v>
      </c>
      <c r="I25" s="5" t="s">
        <v>128</v>
      </c>
      <c r="J25" s="6"/>
      <c r="K25" s="6"/>
      <c r="L25" s="5" t="s">
        <v>1708</v>
      </c>
      <c r="M25" s="8"/>
      <c r="N25" s="5"/>
      <c r="O25" s="5"/>
      <c r="P25" s="5"/>
      <c r="Q25" s="6">
        <v>1</v>
      </c>
      <c r="R25" s="6" t="s">
        <v>1695</v>
      </c>
      <c r="S25" s="5" t="s">
        <v>1610</v>
      </c>
      <c r="T25" s="6">
        <v>1</v>
      </c>
      <c r="U25" s="6" t="s">
        <v>1737</v>
      </c>
      <c r="V25" s="5"/>
      <c r="W25" s="7"/>
      <c r="X25" s="6" t="s">
        <v>3</v>
      </c>
      <c r="Y25" s="5"/>
      <c r="Z25" s="7">
        <v>0</v>
      </c>
      <c r="AA25" s="6"/>
      <c r="AB25" s="5"/>
      <c r="AC25" s="6"/>
      <c r="AD25" s="6" t="s">
        <v>3</v>
      </c>
      <c r="AE25" s="5"/>
      <c r="AF25" s="6">
        <v>0</v>
      </c>
      <c r="AG25" s="6"/>
      <c r="AH25" s="5"/>
      <c r="AI25" s="6"/>
      <c r="AJ25" s="6"/>
      <c r="AK25" s="5"/>
      <c r="AL25" s="5"/>
      <c r="AM25" s="5"/>
      <c r="AN25" s="5"/>
      <c r="AO25" s="5"/>
      <c r="AP25" s="5"/>
      <c r="AQ25" s="5"/>
    </row>
    <row r="26" spans="1:43" s="2" customFormat="1" x14ac:dyDescent="0.25">
      <c r="A26" s="161" t="str">
        <f t="shared" si="0"/>
        <v>_SETTLER_AFRI</v>
      </c>
      <c r="B26" s="9" t="s">
        <v>2252</v>
      </c>
      <c r="C26" s="5" t="s">
        <v>694</v>
      </c>
      <c r="D26" s="5"/>
      <c r="E26" s="5" t="s">
        <v>1078</v>
      </c>
      <c r="F26" s="5" t="s">
        <v>2252</v>
      </c>
      <c r="G26" s="5" t="s">
        <v>2042</v>
      </c>
      <c r="H26" s="5" t="s">
        <v>1087</v>
      </c>
      <c r="I26" s="5" t="s">
        <v>128</v>
      </c>
      <c r="J26" s="6"/>
      <c r="K26" s="6"/>
      <c r="L26" s="5" t="s">
        <v>1708</v>
      </c>
      <c r="M26" s="8"/>
      <c r="N26" s="5"/>
      <c r="O26" s="5"/>
      <c r="P26" s="5"/>
      <c r="Q26" s="6">
        <v>1</v>
      </c>
      <c r="R26" s="6" t="s">
        <v>1695</v>
      </c>
      <c r="S26" s="5" t="s">
        <v>1610</v>
      </c>
      <c r="T26" s="6">
        <v>1</v>
      </c>
      <c r="U26" s="6" t="s">
        <v>1737</v>
      </c>
      <c r="V26" s="5"/>
      <c r="W26" s="7"/>
      <c r="X26" s="6" t="s">
        <v>3</v>
      </c>
      <c r="Y26" s="5"/>
      <c r="Z26" s="7">
        <v>0</v>
      </c>
      <c r="AA26" s="6"/>
      <c r="AB26" s="5"/>
      <c r="AC26" s="6"/>
      <c r="AD26" s="6" t="s">
        <v>3</v>
      </c>
      <c r="AE26" s="5"/>
      <c r="AF26" s="6">
        <v>0</v>
      </c>
      <c r="AG26" s="6"/>
      <c r="AH26" s="5"/>
      <c r="AI26" s="6"/>
      <c r="AJ26" s="6"/>
      <c r="AK26" s="5"/>
      <c r="AL26" s="5"/>
      <c r="AM26" s="5"/>
      <c r="AN26" s="5"/>
      <c r="AO26" s="5"/>
      <c r="AP26" s="5"/>
      <c r="AQ26" s="5"/>
    </row>
    <row r="27" spans="1:43" s="2" customFormat="1" x14ac:dyDescent="0.25">
      <c r="A27" s="161" t="str">
        <f t="shared" si="0"/>
        <v>_SETTLER_AFRI</v>
      </c>
      <c r="B27" s="9" t="s">
        <v>2252</v>
      </c>
      <c r="C27" s="5" t="s">
        <v>694</v>
      </c>
      <c r="D27" s="5"/>
      <c r="E27" s="5" t="s">
        <v>1078</v>
      </c>
      <c r="F27" s="5" t="s">
        <v>2252</v>
      </c>
      <c r="G27" s="5" t="s">
        <v>2043</v>
      </c>
      <c r="H27" s="5" t="s">
        <v>1088</v>
      </c>
      <c r="I27" s="5" t="s">
        <v>128</v>
      </c>
      <c r="J27" s="6"/>
      <c r="K27" s="6"/>
      <c r="L27" s="5" t="s">
        <v>1708</v>
      </c>
      <c r="M27" s="8"/>
      <c r="N27" s="5"/>
      <c r="O27" s="5"/>
      <c r="P27" s="5"/>
      <c r="Q27" s="6">
        <v>1</v>
      </c>
      <c r="R27" s="6" t="s">
        <v>1695</v>
      </c>
      <c r="S27" s="5" t="s">
        <v>1610</v>
      </c>
      <c r="T27" s="6">
        <v>1</v>
      </c>
      <c r="U27" s="6" t="s">
        <v>1737</v>
      </c>
      <c r="V27" s="5"/>
      <c r="W27" s="7"/>
      <c r="X27" s="6" t="s">
        <v>3</v>
      </c>
      <c r="Y27" s="5"/>
      <c r="Z27" s="7">
        <v>0</v>
      </c>
      <c r="AA27" s="6"/>
      <c r="AB27" s="5"/>
      <c r="AC27" s="6"/>
      <c r="AD27" s="6" t="s">
        <v>3</v>
      </c>
      <c r="AE27" s="5"/>
      <c r="AF27" s="6">
        <v>0</v>
      </c>
      <c r="AG27" s="6"/>
      <c r="AH27" s="5"/>
      <c r="AI27" s="6"/>
      <c r="AJ27" s="6"/>
      <c r="AK27" s="5"/>
      <c r="AL27" s="5"/>
      <c r="AM27" s="5"/>
      <c r="AN27" s="5"/>
      <c r="AO27" s="5"/>
      <c r="AP27" s="5"/>
      <c r="AQ27" s="5"/>
    </row>
    <row r="28" spans="1:43" s="2" customFormat="1" x14ac:dyDescent="0.25">
      <c r="A28" s="161" t="str">
        <f t="shared" si="0"/>
        <v>_SETTLER_AFRI</v>
      </c>
      <c r="B28" s="9" t="s">
        <v>2252</v>
      </c>
      <c r="C28" s="5" t="s">
        <v>694</v>
      </c>
      <c r="D28" s="5"/>
      <c r="E28" s="5" t="s">
        <v>1078</v>
      </c>
      <c r="F28" s="5" t="s">
        <v>2252</v>
      </c>
      <c r="G28" s="5" t="s">
        <v>2044</v>
      </c>
      <c r="H28" s="5" t="s">
        <v>1089</v>
      </c>
      <c r="I28" s="5" t="s">
        <v>128</v>
      </c>
      <c r="J28" s="6"/>
      <c r="K28" s="6"/>
      <c r="L28" s="5" t="s">
        <v>1708</v>
      </c>
      <c r="M28" s="8"/>
      <c r="N28" s="5"/>
      <c r="O28" s="5"/>
      <c r="P28" s="5"/>
      <c r="Q28" s="6">
        <v>1</v>
      </c>
      <c r="R28" s="6" t="s">
        <v>1695</v>
      </c>
      <c r="S28" s="5" t="s">
        <v>1610</v>
      </c>
      <c r="T28" s="6">
        <v>1</v>
      </c>
      <c r="U28" s="6" t="s">
        <v>1737</v>
      </c>
      <c r="V28" s="5"/>
      <c r="W28" s="7"/>
      <c r="X28" s="6" t="s">
        <v>3</v>
      </c>
      <c r="Y28" s="5"/>
      <c r="Z28" s="7">
        <v>0</v>
      </c>
      <c r="AA28" s="6"/>
      <c r="AB28" s="5"/>
      <c r="AC28" s="6"/>
      <c r="AD28" s="6" t="s">
        <v>3</v>
      </c>
      <c r="AE28" s="5"/>
      <c r="AF28" s="6">
        <v>1</v>
      </c>
      <c r="AG28" s="6"/>
      <c r="AH28" s="5"/>
      <c r="AI28" s="6"/>
      <c r="AJ28" s="6"/>
      <c r="AK28" s="5"/>
      <c r="AL28" s="5"/>
      <c r="AM28" s="5"/>
      <c r="AN28" s="5"/>
      <c r="AO28" s="5"/>
      <c r="AP28" s="5"/>
      <c r="AQ28" s="5"/>
    </row>
    <row r="29" spans="1:43" s="2" customFormat="1" x14ac:dyDescent="0.25">
      <c r="A29" s="161" t="str">
        <f t="shared" si="0"/>
        <v>_SETTLER_AFRI</v>
      </c>
      <c r="B29" s="9" t="s">
        <v>2252</v>
      </c>
      <c r="C29" s="5" t="s">
        <v>694</v>
      </c>
      <c r="D29" s="5"/>
      <c r="E29" s="5" t="s">
        <v>1078</v>
      </c>
      <c r="F29" s="5" t="s">
        <v>2252</v>
      </c>
      <c r="G29" s="5" t="s">
        <v>2045</v>
      </c>
      <c r="H29" s="5" t="s">
        <v>1090</v>
      </c>
      <c r="I29" s="5" t="s">
        <v>128</v>
      </c>
      <c r="J29" s="6"/>
      <c r="K29" s="6"/>
      <c r="L29" s="5" t="s">
        <v>1708</v>
      </c>
      <c r="M29" s="8"/>
      <c r="N29" s="5"/>
      <c r="O29" s="5"/>
      <c r="P29" s="5"/>
      <c r="Q29" s="6">
        <v>1</v>
      </c>
      <c r="R29" s="6" t="s">
        <v>1695</v>
      </c>
      <c r="S29" s="5" t="s">
        <v>1610</v>
      </c>
      <c r="T29" s="6">
        <v>1</v>
      </c>
      <c r="U29" s="6" t="s">
        <v>1737</v>
      </c>
      <c r="V29" s="5"/>
      <c r="W29" s="7"/>
      <c r="X29" s="6" t="s">
        <v>3</v>
      </c>
      <c r="Y29" s="5"/>
      <c r="Z29" s="7">
        <v>0</v>
      </c>
      <c r="AA29" s="6"/>
      <c r="AB29" s="5"/>
      <c r="AC29" s="6"/>
      <c r="AD29" s="6" t="s">
        <v>3</v>
      </c>
      <c r="AE29" s="5"/>
      <c r="AF29" s="6">
        <v>0</v>
      </c>
      <c r="AG29" s="6"/>
      <c r="AH29" s="5"/>
      <c r="AI29" s="6"/>
      <c r="AJ29" s="6"/>
      <c r="AK29" s="5"/>
      <c r="AL29" s="5"/>
      <c r="AM29" s="5"/>
      <c r="AN29" s="5"/>
      <c r="AO29" s="5"/>
      <c r="AP29" s="5"/>
      <c r="AQ29" s="5"/>
    </row>
    <row r="30" spans="1:43" s="2" customFormat="1" x14ac:dyDescent="0.25">
      <c r="A30" s="161" t="str">
        <f t="shared" si="0"/>
        <v>_SETTLER_AFRI</v>
      </c>
      <c r="B30" s="9" t="s">
        <v>2252</v>
      </c>
      <c r="C30" s="5" t="s">
        <v>694</v>
      </c>
      <c r="D30" s="5"/>
      <c r="E30" s="5" t="s">
        <v>1078</v>
      </c>
      <c r="F30" s="5" t="s">
        <v>2252</v>
      </c>
      <c r="G30" s="5" t="s">
        <v>2046</v>
      </c>
      <c r="H30" s="5" t="s">
        <v>1091</v>
      </c>
      <c r="I30" s="5" t="s">
        <v>128</v>
      </c>
      <c r="J30" s="6"/>
      <c r="K30" s="6"/>
      <c r="L30" s="5" t="s">
        <v>1708</v>
      </c>
      <c r="M30" s="8"/>
      <c r="N30" s="5"/>
      <c r="O30" s="5"/>
      <c r="P30" s="5"/>
      <c r="Q30" s="6">
        <v>1</v>
      </c>
      <c r="R30" s="6" t="s">
        <v>1695</v>
      </c>
      <c r="S30" s="5" t="s">
        <v>1610</v>
      </c>
      <c r="T30" s="6">
        <v>1</v>
      </c>
      <c r="U30" s="6" t="s">
        <v>1737</v>
      </c>
      <c r="V30" s="5"/>
      <c r="W30" s="7"/>
      <c r="X30" s="6" t="s">
        <v>3</v>
      </c>
      <c r="Y30" s="5"/>
      <c r="Z30" s="7">
        <v>0</v>
      </c>
      <c r="AA30" s="6"/>
      <c r="AB30" s="5"/>
      <c r="AC30" s="6"/>
      <c r="AD30" s="6" t="s">
        <v>3</v>
      </c>
      <c r="AE30" s="5"/>
      <c r="AF30" s="6">
        <v>0</v>
      </c>
      <c r="AG30" s="6"/>
      <c r="AH30" s="5"/>
      <c r="AI30" s="6"/>
      <c r="AJ30" s="6"/>
      <c r="AK30" s="5"/>
      <c r="AL30" s="5"/>
      <c r="AM30" s="5"/>
      <c r="AN30" s="5"/>
      <c r="AO30" s="5"/>
      <c r="AP30" s="5"/>
      <c r="AQ30" s="5"/>
    </row>
    <row r="31" spans="1:43" s="2" customFormat="1" x14ac:dyDescent="0.25">
      <c r="A31" s="161" t="str">
        <f t="shared" si="0"/>
        <v>_SETTLER_AFRI</v>
      </c>
      <c r="B31" s="9" t="s">
        <v>2252</v>
      </c>
      <c r="C31" s="5" t="s">
        <v>694</v>
      </c>
      <c r="D31" s="5"/>
      <c r="E31" s="5" t="s">
        <v>1078</v>
      </c>
      <c r="F31" s="5" t="s">
        <v>2252</v>
      </c>
      <c r="G31" s="5"/>
      <c r="H31" s="5" t="s">
        <v>1092</v>
      </c>
      <c r="I31" s="5" t="s">
        <v>128</v>
      </c>
      <c r="J31" s="6"/>
      <c r="K31" s="6"/>
      <c r="L31" s="5" t="s">
        <v>1708</v>
      </c>
      <c r="M31" s="8"/>
      <c r="N31" s="5"/>
      <c r="O31" s="5"/>
      <c r="P31" s="5"/>
      <c r="Q31" s="6">
        <v>1</v>
      </c>
      <c r="R31" s="6" t="s">
        <v>1695</v>
      </c>
      <c r="S31" s="5" t="s">
        <v>1610</v>
      </c>
      <c r="T31" s="6">
        <v>1</v>
      </c>
      <c r="U31" s="6" t="s">
        <v>1737</v>
      </c>
      <c r="V31" s="5"/>
      <c r="W31" s="7"/>
      <c r="X31" s="6" t="s">
        <v>3</v>
      </c>
      <c r="Y31" s="5"/>
      <c r="Z31" s="7">
        <v>0</v>
      </c>
      <c r="AA31" s="6"/>
      <c r="AB31" s="5"/>
      <c r="AC31" s="6"/>
      <c r="AD31" s="6" t="s">
        <v>3</v>
      </c>
      <c r="AE31" s="5"/>
      <c r="AF31" s="6">
        <v>0</v>
      </c>
      <c r="AG31" s="6"/>
      <c r="AH31" s="5"/>
      <c r="AI31" s="6"/>
      <c r="AJ31" s="6"/>
      <c r="AK31" s="5"/>
      <c r="AL31" s="5"/>
      <c r="AM31" s="5"/>
      <c r="AN31" s="5"/>
      <c r="AO31" s="5"/>
      <c r="AP31" s="5"/>
      <c r="AQ31" s="5"/>
    </row>
    <row r="32" spans="1:43" s="2" customFormat="1" x14ac:dyDescent="0.25">
      <c r="A32" s="161" t="str">
        <f t="shared" si="0"/>
        <v>_SETTLER_AMER</v>
      </c>
      <c r="B32" s="9" t="s">
        <v>2252</v>
      </c>
      <c r="C32" s="5" t="s">
        <v>697</v>
      </c>
      <c r="D32" s="5"/>
      <c r="E32" s="5" t="s">
        <v>1078</v>
      </c>
      <c r="F32" s="5" t="s">
        <v>2252</v>
      </c>
      <c r="G32" s="5" t="s">
        <v>2018</v>
      </c>
      <c r="H32" s="5" t="s">
        <v>1393</v>
      </c>
      <c r="I32" s="5" t="s">
        <v>128</v>
      </c>
      <c r="J32" s="6"/>
      <c r="K32" s="6"/>
      <c r="L32" s="5" t="s">
        <v>1708</v>
      </c>
      <c r="M32" s="8"/>
      <c r="N32" s="5"/>
      <c r="O32" s="5"/>
      <c r="P32" s="5"/>
      <c r="Q32" s="6">
        <v>1</v>
      </c>
      <c r="R32" s="6" t="s">
        <v>1695</v>
      </c>
      <c r="S32" s="5" t="s">
        <v>1610</v>
      </c>
      <c r="T32" s="6">
        <v>1</v>
      </c>
      <c r="U32" s="6" t="s">
        <v>1737</v>
      </c>
      <c r="V32" s="5"/>
      <c r="W32" s="7"/>
      <c r="X32" s="6" t="s">
        <v>3</v>
      </c>
      <c r="Y32" s="5"/>
      <c r="Z32" s="7">
        <v>1</v>
      </c>
      <c r="AA32" s="6"/>
      <c r="AB32" s="5"/>
      <c r="AC32" s="6"/>
      <c r="AD32" s="6" t="s">
        <v>3</v>
      </c>
      <c r="AE32" s="5"/>
      <c r="AF32" s="6">
        <v>1</v>
      </c>
      <c r="AG32" s="6"/>
      <c r="AH32" s="5"/>
      <c r="AI32" s="6"/>
      <c r="AJ32" s="6"/>
      <c r="AK32" s="5"/>
      <c r="AL32" s="5"/>
      <c r="AM32" s="5"/>
      <c r="AN32" s="5"/>
      <c r="AO32" s="5"/>
      <c r="AP32" s="5"/>
      <c r="AQ32" s="5"/>
    </row>
    <row r="33" spans="1:43" s="2" customFormat="1" x14ac:dyDescent="0.25">
      <c r="A33" s="161" t="str">
        <f t="shared" si="0"/>
        <v>_SETTLER_AMER</v>
      </c>
      <c r="B33" s="9" t="s">
        <v>2252</v>
      </c>
      <c r="C33" s="5" t="s">
        <v>697</v>
      </c>
      <c r="D33" s="5"/>
      <c r="E33" s="5" t="s">
        <v>1078</v>
      </c>
      <c r="F33" s="5" t="s">
        <v>2252</v>
      </c>
      <c r="G33" s="5" t="s">
        <v>2040</v>
      </c>
      <c r="H33" s="5" t="s">
        <v>1093</v>
      </c>
      <c r="I33" s="5" t="s">
        <v>128</v>
      </c>
      <c r="J33" s="6"/>
      <c r="K33" s="6"/>
      <c r="L33" s="5" t="s">
        <v>1708</v>
      </c>
      <c r="M33" s="8"/>
      <c r="N33" s="5"/>
      <c r="O33" s="5"/>
      <c r="P33" s="5"/>
      <c r="Q33" s="6">
        <v>1</v>
      </c>
      <c r="R33" s="6" t="s">
        <v>1695</v>
      </c>
      <c r="S33" s="5" t="s">
        <v>1610</v>
      </c>
      <c r="T33" s="6">
        <v>1</v>
      </c>
      <c r="U33" s="6" t="s">
        <v>1737</v>
      </c>
      <c r="V33" s="5"/>
      <c r="W33" s="7"/>
      <c r="X33" s="6" t="s">
        <v>3</v>
      </c>
      <c r="Y33" s="5"/>
      <c r="Z33" s="7">
        <v>0</v>
      </c>
      <c r="AA33" s="6"/>
      <c r="AB33" s="5"/>
      <c r="AC33" s="6"/>
      <c r="AD33" s="6" t="s">
        <v>3</v>
      </c>
      <c r="AE33" s="5"/>
      <c r="AF33" s="6">
        <v>0</v>
      </c>
      <c r="AG33" s="6"/>
      <c r="AH33" s="5"/>
      <c r="AI33" s="6"/>
      <c r="AJ33" s="6"/>
      <c r="AK33" s="5"/>
      <c r="AL33" s="5"/>
      <c r="AM33" s="5"/>
      <c r="AN33" s="5"/>
      <c r="AO33" s="5"/>
      <c r="AP33" s="5"/>
      <c r="AQ33" s="5"/>
    </row>
    <row r="34" spans="1:43" s="2" customFormat="1" x14ac:dyDescent="0.25">
      <c r="A34" s="161" t="str">
        <f t="shared" si="0"/>
        <v>_SETTLER_AMER</v>
      </c>
      <c r="B34" s="9" t="s">
        <v>2252</v>
      </c>
      <c r="C34" s="5" t="s">
        <v>697</v>
      </c>
      <c r="D34" s="5"/>
      <c r="E34" s="5" t="s">
        <v>1078</v>
      </c>
      <c r="F34" s="5" t="s">
        <v>2252</v>
      </c>
      <c r="G34" s="5" t="s">
        <v>2041</v>
      </c>
      <c r="H34" s="5" t="s">
        <v>1094</v>
      </c>
      <c r="I34" s="5" t="s">
        <v>128</v>
      </c>
      <c r="J34" s="6"/>
      <c r="K34" s="6"/>
      <c r="L34" s="5" t="s">
        <v>1708</v>
      </c>
      <c r="M34" s="8"/>
      <c r="N34" s="5"/>
      <c r="O34" s="5"/>
      <c r="P34" s="5"/>
      <c r="Q34" s="6">
        <v>1</v>
      </c>
      <c r="R34" s="6" t="s">
        <v>1695</v>
      </c>
      <c r="S34" s="5" t="s">
        <v>1610</v>
      </c>
      <c r="T34" s="6">
        <v>1</v>
      </c>
      <c r="U34" s="6" t="s">
        <v>1737</v>
      </c>
      <c r="V34" s="5"/>
      <c r="W34" s="7"/>
      <c r="X34" s="6" t="s">
        <v>3</v>
      </c>
      <c r="Y34" s="5"/>
      <c r="Z34" s="7">
        <v>0</v>
      </c>
      <c r="AA34" s="6"/>
      <c r="AB34" s="5"/>
      <c r="AC34" s="6"/>
      <c r="AD34" s="6" t="s">
        <v>3</v>
      </c>
      <c r="AE34" s="5"/>
      <c r="AF34" s="6">
        <v>0</v>
      </c>
      <c r="AG34" s="6"/>
      <c r="AH34" s="5"/>
      <c r="AI34" s="6"/>
      <c r="AJ34" s="6"/>
      <c r="AK34" s="5"/>
      <c r="AL34" s="5"/>
      <c r="AM34" s="5"/>
      <c r="AN34" s="5"/>
      <c r="AO34" s="5"/>
      <c r="AP34" s="5"/>
      <c r="AQ34" s="5"/>
    </row>
    <row r="35" spans="1:43" s="2" customFormat="1" x14ac:dyDescent="0.25">
      <c r="A35" s="161" t="str">
        <f t="shared" si="0"/>
        <v>_SETTLER_AMER</v>
      </c>
      <c r="B35" s="9" t="s">
        <v>2252</v>
      </c>
      <c r="C35" s="5" t="s">
        <v>697</v>
      </c>
      <c r="D35" s="5"/>
      <c r="E35" s="5" t="s">
        <v>1078</v>
      </c>
      <c r="F35" s="5" t="s">
        <v>2252</v>
      </c>
      <c r="G35" s="5" t="s">
        <v>2042</v>
      </c>
      <c r="H35" s="5" t="s">
        <v>1095</v>
      </c>
      <c r="I35" s="5" t="s">
        <v>128</v>
      </c>
      <c r="J35" s="6"/>
      <c r="K35" s="6"/>
      <c r="L35" s="5" t="s">
        <v>1708</v>
      </c>
      <c r="M35" s="8"/>
      <c r="N35" s="5"/>
      <c r="O35" s="5"/>
      <c r="P35" s="5"/>
      <c r="Q35" s="6">
        <v>1</v>
      </c>
      <c r="R35" s="6" t="s">
        <v>1695</v>
      </c>
      <c r="S35" s="5" t="s">
        <v>1610</v>
      </c>
      <c r="T35" s="6">
        <v>1</v>
      </c>
      <c r="U35" s="6" t="s">
        <v>1737</v>
      </c>
      <c r="V35" s="5"/>
      <c r="W35" s="7"/>
      <c r="X35" s="6" t="s">
        <v>3</v>
      </c>
      <c r="Y35" s="5"/>
      <c r="Z35" s="7">
        <v>0</v>
      </c>
      <c r="AA35" s="6"/>
      <c r="AB35" s="5"/>
      <c r="AC35" s="6"/>
      <c r="AD35" s="6" t="s">
        <v>3</v>
      </c>
      <c r="AE35" s="5"/>
      <c r="AF35" s="6">
        <v>0</v>
      </c>
      <c r="AG35" s="6"/>
      <c r="AH35" s="5"/>
      <c r="AI35" s="6"/>
      <c r="AJ35" s="6"/>
      <c r="AK35" s="5"/>
      <c r="AL35" s="5"/>
      <c r="AM35" s="5"/>
      <c r="AN35" s="5"/>
      <c r="AO35" s="5"/>
      <c r="AP35" s="5"/>
      <c r="AQ35" s="5"/>
    </row>
    <row r="36" spans="1:43" s="2" customFormat="1" x14ac:dyDescent="0.25">
      <c r="A36" s="161" t="str">
        <f t="shared" si="0"/>
        <v>_SETTLER_AMER</v>
      </c>
      <c r="B36" s="9" t="s">
        <v>2252</v>
      </c>
      <c r="C36" s="5" t="s">
        <v>697</v>
      </c>
      <c r="D36" s="5"/>
      <c r="E36" s="5" t="s">
        <v>1078</v>
      </c>
      <c r="F36" s="5" t="s">
        <v>2252</v>
      </c>
      <c r="G36" s="5" t="s">
        <v>2043</v>
      </c>
      <c r="H36" s="5" t="s">
        <v>1096</v>
      </c>
      <c r="I36" s="5" t="s">
        <v>128</v>
      </c>
      <c r="J36" s="6"/>
      <c r="K36" s="6"/>
      <c r="L36" s="5" t="s">
        <v>1708</v>
      </c>
      <c r="M36" s="8"/>
      <c r="N36" s="5"/>
      <c r="O36" s="5"/>
      <c r="P36" s="5"/>
      <c r="Q36" s="6">
        <v>1</v>
      </c>
      <c r="R36" s="6" t="s">
        <v>1695</v>
      </c>
      <c r="S36" s="5" t="s">
        <v>1610</v>
      </c>
      <c r="T36" s="6">
        <v>1</v>
      </c>
      <c r="U36" s="6" t="s">
        <v>1737</v>
      </c>
      <c r="V36" s="5"/>
      <c r="W36" s="7"/>
      <c r="X36" s="6" t="s">
        <v>3</v>
      </c>
      <c r="Y36" s="5"/>
      <c r="Z36" s="7">
        <v>0</v>
      </c>
      <c r="AA36" s="6"/>
      <c r="AB36" s="5"/>
      <c r="AC36" s="6"/>
      <c r="AD36" s="6" t="s">
        <v>3</v>
      </c>
      <c r="AE36" s="5"/>
      <c r="AF36" s="6">
        <v>0</v>
      </c>
      <c r="AG36" s="6"/>
      <c r="AH36" s="5"/>
      <c r="AI36" s="6"/>
      <c r="AJ36" s="6"/>
      <c r="AK36" s="5"/>
      <c r="AL36" s="5"/>
      <c r="AM36" s="5"/>
      <c r="AN36" s="5"/>
      <c r="AO36" s="5"/>
      <c r="AP36" s="5"/>
      <c r="AQ36" s="5"/>
    </row>
    <row r="37" spans="1:43" s="2" customFormat="1" x14ac:dyDescent="0.25">
      <c r="A37" s="161" t="str">
        <f t="shared" si="0"/>
        <v>_SETTLER_AMER</v>
      </c>
      <c r="B37" s="9" t="s">
        <v>2252</v>
      </c>
      <c r="C37" s="5" t="s">
        <v>697</v>
      </c>
      <c r="D37" s="5"/>
      <c r="E37" s="5" t="s">
        <v>1078</v>
      </c>
      <c r="F37" s="5" t="s">
        <v>2252</v>
      </c>
      <c r="G37" s="5" t="s">
        <v>2044</v>
      </c>
      <c r="H37" s="5" t="s">
        <v>1097</v>
      </c>
      <c r="I37" s="5" t="s">
        <v>128</v>
      </c>
      <c r="J37" s="6"/>
      <c r="K37" s="6"/>
      <c r="L37" s="5" t="s">
        <v>1708</v>
      </c>
      <c r="M37" s="8"/>
      <c r="N37" s="5"/>
      <c r="O37" s="5"/>
      <c r="P37" s="5"/>
      <c r="Q37" s="6">
        <v>1</v>
      </c>
      <c r="R37" s="6" t="s">
        <v>1695</v>
      </c>
      <c r="S37" s="5" t="s">
        <v>1610</v>
      </c>
      <c r="T37" s="6">
        <v>1</v>
      </c>
      <c r="U37" s="6" t="s">
        <v>1737</v>
      </c>
      <c r="V37" s="5"/>
      <c r="W37" s="7"/>
      <c r="X37" s="6" t="s">
        <v>3</v>
      </c>
      <c r="Y37" s="5"/>
      <c r="Z37" s="7">
        <v>0</v>
      </c>
      <c r="AA37" s="6"/>
      <c r="AB37" s="5"/>
      <c r="AC37" s="6"/>
      <c r="AD37" s="6" t="s">
        <v>3</v>
      </c>
      <c r="AE37" s="5"/>
      <c r="AF37" s="6">
        <v>0</v>
      </c>
      <c r="AG37" s="6"/>
      <c r="AH37" s="5"/>
      <c r="AI37" s="6"/>
      <c r="AJ37" s="6"/>
      <c r="AK37" s="5"/>
      <c r="AL37" s="5"/>
      <c r="AM37" s="5"/>
      <c r="AN37" s="5"/>
      <c r="AO37" s="5"/>
      <c r="AP37" s="5"/>
      <c r="AQ37" s="5"/>
    </row>
    <row r="38" spans="1:43" s="2" customFormat="1" x14ac:dyDescent="0.25">
      <c r="A38" s="161" t="str">
        <f t="shared" si="0"/>
        <v>_SETTLER_AMER</v>
      </c>
      <c r="B38" s="9" t="s">
        <v>2252</v>
      </c>
      <c r="C38" s="5" t="s">
        <v>697</v>
      </c>
      <c r="D38" s="5"/>
      <c r="E38" s="5" t="s">
        <v>1078</v>
      </c>
      <c r="F38" s="5" t="s">
        <v>2252</v>
      </c>
      <c r="G38" s="5" t="s">
        <v>2045</v>
      </c>
      <c r="H38" s="5" t="s">
        <v>1098</v>
      </c>
      <c r="I38" s="5" t="s">
        <v>128</v>
      </c>
      <c r="J38" s="6"/>
      <c r="K38" s="6"/>
      <c r="L38" s="5" t="s">
        <v>1708</v>
      </c>
      <c r="M38" s="8"/>
      <c r="N38" s="5"/>
      <c r="O38" s="5"/>
      <c r="P38" s="5"/>
      <c r="Q38" s="6">
        <v>1</v>
      </c>
      <c r="R38" s="6" t="s">
        <v>1695</v>
      </c>
      <c r="S38" s="5" t="s">
        <v>1610</v>
      </c>
      <c r="T38" s="6">
        <v>1</v>
      </c>
      <c r="U38" s="6" t="s">
        <v>1737</v>
      </c>
      <c r="V38" s="5"/>
      <c r="W38" s="7"/>
      <c r="X38" s="6" t="s">
        <v>3</v>
      </c>
      <c r="Y38" s="5"/>
      <c r="Z38" s="7">
        <v>0</v>
      </c>
      <c r="AA38" s="6"/>
      <c r="AB38" s="5"/>
      <c r="AC38" s="6"/>
      <c r="AD38" s="6" t="s">
        <v>3</v>
      </c>
      <c r="AE38" s="5"/>
      <c r="AF38" s="6">
        <v>1</v>
      </c>
      <c r="AG38" s="6"/>
      <c r="AH38" s="5"/>
      <c r="AI38" s="6"/>
      <c r="AJ38" s="6"/>
      <c r="AK38" s="5"/>
      <c r="AL38" s="5"/>
      <c r="AM38" s="5"/>
      <c r="AN38" s="5"/>
      <c r="AO38" s="5"/>
      <c r="AP38" s="5"/>
      <c r="AQ38" s="5"/>
    </row>
    <row r="39" spans="1:43" s="2" customFormat="1" x14ac:dyDescent="0.25">
      <c r="A39" s="161" t="str">
        <f t="shared" si="0"/>
        <v>_SETTLER_AMER</v>
      </c>
      <c r="B39" s="9" t="s">
        <v>2252</v>
      </c>
      <c r="C39" s="5" t="s">
        <v>697</v>
      </c>
      <c r="D39" s="5"/>
      <c r="E39" s="5" t="s">
        <v>1078</v>
      </c>
      <c r="F39" s="5" t="s">
        <v>2252</v>
      </c>
      <c r="G39" s="5" t="s">
        <v>2046</v>
      </c>
      <c r="H39" s="5" t="s">
        <v>1099</v>
      </c>
      <c r="I39" s="5" t="s">
        <v>128</v>
      </c>
      <c r="J39" s="6"/>
      <c r="K39" s="6"/>
      <c r="L39" s="5" t="s">
        <v>1708</v>
      </c>
      <c r="M39" s="8"/>
      <c r="N39" s="5"/>
      <c r="O39" s="5"/>
      <c r="P39" s="5"/>
      <c r="Q39" s="6">
        <v>1</v>
      </c>
      <c r="R39" s="6" t="s">
        <v>1695</v>
      </c>
      <c r="S39" s="5" t="s">
        <v>1610</v>
      </c>
      <c r="T39" s="6">
        <v>1</v>
      </c>
      <c r="U39" s="6" t="s">
        <v>1737</v>
      </c>
      <c r="V39" s="5"/>
      <c r="W39" s="7"/>
      <c r="X39" s="6" t="s">
        <v>3</v>
      </c>
      <c r="Y39" s="5"/>
      <c r="Z39" s="7">
        <v>0</v>
      </c>
      <c r="AA39" s="6"/>
      <c r="AB39" s="5"/>
      <c r="AC39" s="6"/>
      <c r="AD39" s="6" t="s">
        <v>3</v>
      </c>
      <c r="AE39" s="5"/>
      <c r="AF39" s="6">
        <v>0</v>
      </c>
      <c r="AG39" s="6"/>
      <c r="AH39" s="5"/>
      <c r="AI39" s="6"/>
      <c r="AJ39" s="6"/>
      <c r="AK39" s="5"/>
      <c r="AL39" s="5"/>
      <c r="AM39" s="5"/>
      <c r="AN39" s="5"/>
      <c r="AO39" s="5"/>
      <c r="AP39" s="5"/>
      <c r="AQ39" s="5"/>
    </row>
    <row r="40" spans="1:43" s="2" customFormat="1" x14ac:dyDescent="0.25">
      <c r="A40" s="161" t="str">
        <f t="shared" si="0"/>
        <v>_SETTLER_AMER</v>
      </c>
      <c r="B40" s="9" t="s">
        <v>2252</v>
      </c>
      <c r="C40" s="5" t="s">
        <v>697</v>
      </c>
      <c r="D40" s="5"/>
      <c r="E40" s="5" t="s">
        <v>1078</v>
      </c>
      <c r="F40" s="5" t="s">
        <v>2252</v>
      </c>
      <c r="G40" s="5"/>
      <c r="H40" s="5" t="s">
        <v>1100</v>
      </c>
      <c r="I40" s="5" t="s">
        <v>128</v>
      </c>
      <c r="J40" s="6"/>
      <c r="K40" s="6"/>
      <c r="L40" s="5" t="s">
        <v>1708</v>
      </c>
      <c r="M40" s="8"/>
      <c r="N40" s="5"/>
      <c r="O40" s="5"/>
      <c r="P40" s="5"/>
      <c r="Q40" s="6">
        <v>1</v>
      </c>
      <c r="R40" s="6" t="s">
        <v>1695</v>
      </c>
      <c r="S40" s="5" t="s">
        <v>1610</v>
      </c>
      <c r="T40" s="6">
        <v>1</v>
      </c>
      <c r="U40" s="6" t="s">
        <v>1737</v>
      </c>
      <c r="V40" s="5"/>
      <c r="W40" s="7"/>
      <c r="X40" s="6" t="s">
        <v>3</v>
      </c>
      <c r="Y40" s="5"/>
      <c r="Z40" s="7">
        <v>0</v>
      </c>
      <c r="AA40" s="6"/>
      <c r="AB40" s="5"/>
      <c r="AC40" s="6"/>
      <c r="AD40" s="6" t="s">
        <v>3</v>
      </c>
      <c r="AE40" s="5"/>
      <c r="AF40" s="6">
        <v>0</v>
      </c>
      <c r="AG40" s="6"/>
      <c r="AH40" s="5"/>
      <c r="AI40" s="6"/>
      <c r="AJ40" s="6"/>
      <c r="AK40" s="5"/>
      <c r="AL40" s="5"/>
      <c r="AM40" s="5"/>
      <c r="AN40" s="5"/>
      <c r="AO40" s="5"/>
      <c r="AP40" s="5"/>
      <c r="AQ40" s="5"/>
    </row>
    <row r="41" spans="1:43" s="2" customFormat="1" x14ac:dyDescent="0.25">
      <c r="A41" s="161" t="str">
        <f t="shared" si="0"/>
        <v>_SETTLER_ASIA</v>
      </c>
      <c r="B41" s="9" t="s">
        <v>2252</v>
      </c>
      <c r="C41" s="5" t="s">
        <v>693</v>
      </c>
      <c r="D41" s="5"/>
      <c r="E41" s="5" t="s">
        <v>1078</v>
      </c>
      <c r="F41" s="5" t="s">
        <v>2252</v>
      </c>
      <c r="G41" s="5" t="s">
        <v>2039</v>
      </c>
      <c r="H41" s="5" t="s">
        <v>1517</v>
      </c>
      <c r="I41" s="5" t="s">
        <v>128</v>
      </c>
      <c r="J41" s="6"/>
      <c r="K41" s="6"/>
      <c r="L41" s="5" t="s">
        <v>1708</v>
      </c>
      <c r="M41" s="8"/>
      <c r="N41" s="5"/>
      <c r="O41" s="5"/>
      <c r="P41" s="5"/>
      <c r="Q41" s="6">
        <v>1</v>
      </c>
      <c r="R41" s="6" t="s">
        <v>1695</v>
      </c>
      <c r="S41" s="5" t="s">
        <v>1610</v>
      </c>
      <c r="T41" s="6">
        <v>1</v>
      </c>
      <c r="U41" s="6">
        <v>5.5E-2</v>
      </c>
      <c r="V41" s="5"/>
      <c r="W41" s="7"/>
      <c r="X41" s="6" t="s">
        <v>3</v>
      </c>
      <c r="Y41" s="5"/>
      <c r="Z41" s="7">
        <v>1</v>
      </c>
      <c r="AA41" s="6"/>
      <c r="AB41" s="5"/>
      <c r="AC41" s="6"/>
      <c r="AD41" s="6" t="s">
        <v>3</v>
      </c>
      <c r="AE41" s="5"/>
      <c r="AF41" s="6">
        <v>1</v>
      </c>
      <c r="AG41" s="6"/>
      <c r="AH41" s="5"/>
      <c r="AI41" s="6"/>
      <c r="AJ41" s="6"/>
      <c r="AK41" s="5"/>
      <c r="AL41" s="5"/>
      <c r="AM41" s="5"/>
      <c r="AN41" s="5"/>
      <c r="AO41" s="5"/>
      <c r="AP41" s="5"/>
      <c r="AQ41" s="5"/>
    </row>
    <row r="42" spans="1:43" s="2" customFormat="1" x14ac:dyDescent="0.25">
      <c r="A42" s="161" t="str">
        <f t="shared" si="0"/>
        <v>_SETTLER_ASIA</v>
      </c>
      <c r="B42" s="9" t="s">
        <v>2252</v>
      </c>
      <c r="C42" s="5" t="s">
        <v>693</v>
      </c>
      <c r="D42" s="5"/>
      <c r="E42" s="5" t="s">
        <v>1078</v>
      </c>
      <c r="F42" s="5" t="s">
        <v>2252</v>
      </c>
      <c r="G42" s="5" t="s">
        <v>2040</v>
      </c>
      <c r="H42" s="5" t="s">
        <v>1509</v>
      </c>
      <c r="I42" s="5" t="s">
        <v>128</v>
      </c>
      <c r="J42" s="6"/>
      <c r="K42" s="6"/>
      <c r="L42" s="5" t="s">
        <v>1708</v>
      </c>
      <c r="M42" s="8"/>
      <c r="N42" s="5"/>
      <c r="O42" s="5"/>
      <c r="P42" s="5"/>
      <c r="Q42" s="6">
        <v>1</v>
      </c>
      <c r="R42" s="6" t="s">
        <v>1695</v>
      </c>
      <c r="S42" s="5" t="s">
        <v>1610</v>
      </c>
      <c r="T42" s="6">
        <v>1</v>
      </c>
      <c r="U42" s="7" t="s">
        <v>1737</v>
      </c>
      <c r="V42" s="5"/>
      <c r="W42" s="7"/>
      <c r="X42" s="6" t="s">
        <v>3</v>
      </c>
      <c r="Y42" s="5"/>
      <c r="Z42" s="7">
        <v>0</v>
      </c>
      <c r="AA42" s="6"/>
      <c r="AB42" s="5"/>
      <c r="AC42" s="6"/>
      <c r="AD42" s="6" t="s">
        <v>3</v>
      </c>
      <c r="AE42" s="5"/>
      <c r="AF42" s="6">
        <v>0</v>
      </c>
      <c r="AG42" s="6"/>
      <c r="AH42" s="5"/>
      <c r="AI42" s="6"/>
      <c r="AJ42" s="6"/>
      <c r="AK42" s="5"/>
      <c r="AL42" s="5"/>
      <c r="AM42" s="5"/>
      <c r="AN42" s="5"/>
      <c r="AO42" s="5"/>
      <c r="AP42" s="5"/>
      <c r="AQ42" s="5"/>
    </row>
    <row r="43" spans="1:43" s="2" customFormat="1" x14ac:dyDescent="0.25">
      <c r="A43" s="161" t="str">
        <f t="shared" si="0"/>
        <v>_SETTLER_ASIA</v>
      </c>
      <c r="B43" s="9" t="s">
        <v>2252</v>
      </c>
      <c r="C43" s="5" t="s">
        <v>693</v>
      </c>
      <c r="D43" s="5"/>
      <c r="E43" s="5" t="s">
        <v>1078</v>
      </c>
      <c r="F43" s="5" t="s">
        <v>2252</v>
      </c>
      <c r="G43" s="5" t="s">
        <v>2041</v>
      </c>
      <c r="H43" s="5" t="s">
        <v>1510</v>
      </c>
      <c r="I43" s="5" t="s">
        <v>128</v>
      </c>
      <c r="J43" s="6"/>
      <c r="K43" s="6"/>
      <c r="L43" s="5" t="s">
        <v>1708</v>
      </c>
      <c r="M43" s="8"/>
      <c r="N43" s="5"/>
      <c r="O43" s="5"/>
      <c r="P43" s="5"/>
      <c r="Q43" s="6">
        <v>1</v>
      </c>
      <c r="R43" s="6" t="s">
        <v>1695</v>
      </c>
      <c r="S43" s="5" t="s">
        <v>1610</v>
      </c>
      <c r="T43" s="6">
        <v>1</v>
      </c>
      <c r="U43" s="7" t="s">
        <v>1737</v>
      </c>
      <c r="V43" s="5"/>
      <c r="W43" s="7"/>
      <c r="X43" s="6" t="s">
        <v>3</v>
      </c>
      <c r="Y43" s="5"/>
      <c r="Z43" s="7">
        <v>0</v>
      </c>
      <c r="AA43" s="6"/>
      <c r="AB43" s="5"/>
      <c r="AC43" s="6"/>
      <c r="AD43" s="6" t="s">
        <v>3</v>
      </c>
      <c r="AE43" s="5"/>
      <c r="AF43" s="6">
        <v>0</v>
      </c>
      <c r="AG43" s="6"/>
      <c r="AH43" s="5"/>
      <c r="AI43" s="6"/>
      <c r="AJ43" s="6"/>
      <c r="AK43" s="5"/>
      <c r="AL43" s="5"/>
      <c r="AM43" s="5"/>
      <c r="AN43" s="5"/>
      <c r="AO43" s="5"/>
      <c r="AP43" s="5"/>
      <c r="AQ43" s="5"/>
    </row>
    <row r="44" spans="1:43" s="2" customFormat="1" x14ac:dyDescent="0.25">
      <c r="A44" s="161" t="str">
        <f t="shared" si="0"/>
        <v>_SETTLER_ASIA</v>
      </c>
      <c r="B44" s="9" t="s">
        <v>2252</v>
      </c>
      <c r="C44" s="5" t="s">
        <v>693</v>
      </c>
      <c r="D44" s="5"/>
      <c r="E44" s="5" t="s">
        <v>1078</v>
      </c>
      <c r="F44" s="5" t="s">
        <v>2252</v>
      </c>
      <c r="G44" s="5" t="s">
        <v>2042</v>
      </c>
      <c r="H44" s="5" t="s">
        <v>1511</v>
      </c>
      <c r="I44" s="5" t="s">
        <v>128</v>
      </c>
      <c r="J44" s="6"/>
      <c r="K44" s="6"/>
      <c r="L44" s="5" t="s">
        <v>1708</v>
      </c>
      <c r="M44" s="8"/>
      <c r="N44" s="5"/>
      <c r="O44" s="5"/>
      <c r="P44" s="5"/>
      <c r="Q44" s="6">
        <v>1</v>
      </c>
      <c r="R44" s="6" t="s">
        <v>1695</v>
      </c>
      <c r="S44" s="5" t="s">
        <v>1610</v>
      </c>
      <c r="T44" s="6">
        <v>1</v>
      </c>
      <c r="U44" s="7" t="s">
        <v>1737</v>
      </c>
      <c r="V44" s="5"/>
      <c r="W44" s="7"/>
      <c r="X44" s="6" t="s">
        <v>3</v>
      </c>
      <c r="Y44" s="5"/>
      <c r="Z44" s="7">
        <v>0</v>
      </c>
      <c r="AA44" s="6"/>
      <c r="AB44" s="5"/>
      <c r="AC44" s="6"/>
      <c r="AD44" s="6" t="s">
        <v>3</v>
      </c>
      <c r="AE44" s="5"/>
      <c r="AF44" s="6">
        <v>0</v>
      </c>
      <c r="AG44" s="6"/>
      <c r="AH44" s="5"/>
      <c r="AI44" s="6"/>
      <c r="AJ44" s="6"/>
      <c r="AK44" s="5"/>
      <c r="AL44" s="5"/>
      <c r="AM44" s="5"/>
      <c r="AN44" s="5"/>
      <c r="AO44" s="5"/>
      <c r="AP44" s="5"/>
      <c r="AQ44" s="5"/>
    </row>
    <row r="45" spans="1:43" s="2" customFormat="1" x14ac:dyDescent="0.25">
      <c r="A45" s="161" t="str">
        <f t="shared" si="0"/>
        <v>_SETTLER_ASIA</v>
      </c>
      <c r="B45" s="9" t="s">
        <v>2252</v>
      </c>
      <c r="C45" s="5" t="s">
        <v>693</v>
      </c>
      <c r="D45" s="5"/>
      <c r="E45" s="5" t="s">
        <v>1078</v>
      </c>
      <c r="F45" s="5" t="s">
        <v>2252</v>
      </c>
      <c r="G45" s="5" t="s">
        <v>2043</v>
      </c>
      <c r="H45" s="5" t="s">
        <v>1512</v>
      </c>
      <c r="I45" s="5" t="s">
        <v>128</v>
      </c>
      <c r="J45" s="6"/>
      <c r="K45" s="6"/>
      <c r="L45" s="5" t="s">
        <v>1708</v>
      </c>
      <c r="M45" s="8"/>
      <c r="N45" s="5"/>
      <c r="O45" s="5"/>
      <c r="P45" s="5"/>
      <c r="Q45" s="6">
        <v>1</v>
      </c>
      <c r="R45" s="6" t="s">
        <v>1695</v>
      </c>
      <c r="S45" s="5" t="s">
        <v>1610</v>
      </c>
      <c r="T45" s="6">
        <v>1</v>
      </c>
      <c r="U45" s="7" t="s">
        <v>1737</v>
      </c>
      <c r="V45" s="5"/>
      <c r="W45" s="7"/>
      <c r="X45" s="6" t="s">
        <v>3</v>
      </c>
      <c r="Y45" s="5"/>
      <c r="Z45" s="7">
        <v>0</v>
      </c>
      <c r="AA45" s="6"/>
      <c r="AB45" s="5"/>
      <c r="AC45" s="6"/>
      <c r="AD45" s="6" t="s">
        <v>3</v>
      </c>
      <c r="AE45" s="5"/>
      <c r="AF45" s="6">
        <v>0</v>
      </c>
      <c r="AG45" s="6"/>
      <c r="AH45" s="5"/>
      <c r="AI45" s="6"/>
      <c r="AJ45" s="6"/>
      <c r="AK45" s="5"/>
      <c r="AL45" s="5"/>
      <c r="AM45" s="5"/>
      <c r="AN45" s="5"/>
      <c r="AO45" s="5"/>
      <c r="AP45" s="5"/>
      <c r="AQ45" s="5"/>
    </row>
    <row r="46" spans="1:43" s="2" customFormat="1" x14ac:dyDescent="0.25">
      <c r="A46" s="161" t="str">
        <f t="shared" si="0"/>
        <v>_SETTLER_ASIA</v>
      </c>
      <c r="B46" s="9" t="s">
        <v>2252</v>
      </c>
      <c r="C46" s="5" t="s">
        <v>693</v>
      </c>
      <c r="D46" s="5"/>
      <c r="E46" s="5" t="s">
        <v>1078</v>
      </c>
      <c r="F46" s="5" t="s">
        <v>2252</v>
      </c>
      <c r="G46" s="5" t="s">
        <v>2044</v>
      </c>
      <c r="H46" s="5" t="s">
        <v>1513</v>
      </c>
      <c r="I46" s="5" t="s">
        <v>128</v>
      </c>
      <c r="J46" s="6"/>
      <c r="K46" s="6"/>
      <c r="L46" s="5" t="s">
        <v>1708</v>
      </c>
      <c r="M46" s="8"/>
      <c r="N46" s="5"/>
      <c r="O46" s="5"/>
      <c r="P46" s="5"/>
      <c r="Q46" s="6">
        <v>1</v>
      </c>
      <c r="R46" s="6" t="s">
        <v>1695</v>
      </c>
      <c r="S46" s="5" t="s">
        <v>1610</v>
      </c>
      <c r="T46" s="6">
        <v>1</v>
      </c>
      <c r="U46" s="7" t="s">
        <v>1737</v>
      </c>
      <c r="V46" s="5"/>
      <c r="W46" s="7"/>
      <c r="X46" s="6" t="s">
        <v>3</v>
      </c>
      <c r="Y46" s="5"/>
      <c r="Z46" s="7">
        <v>0</v>
      </c>
      <c r="AA46" s="6"/>
      <c r="AB46" s="5"/>
      <c r="AC46" s="6"/>
      <c r="AD46" s="6" t="s">
        <v>3</v>
      </c>
      <c r="AE46" s="5"/>
      <c r="AF46" s="6">
        <v>1</v>
      </c>
      <c r="AG46" s="6"/>
      <c r="AH46" s="5"/>
      <c r="AI46" s="6"/>
      <c r="AJ46" s="6"/>
      <c r="AK46" s="5"/>
      <c r="AL46" s="5"/>
      <c r="AM46" s="5"/>
      <c r="AN46" s="5"/>
      <c r="AO46" s="5"/>
      <c r="AP46" s="5"/>
      <c r="AQ46" s="5"/>
    </row>
    <row r="47" spans="1:43" s="2" customFormat="1" x14ac:dyDescent="0.25">
      <c r="A47" s="161" t="str">
        <f t="shared" si="0"/>
        <v>_SETTLER_ASIA</v>
      </c>
      <c r="B47" s="9" t="s">
        <v>2252</v>
      </c>
      <c r="C47" s="5" t="s">
        <v>693</v>
      </c>
      <c r="D47" s="5"/>
      <c r="E47" s="5" t="s">
        <v>1078</v>
      </c>
      <c r="F47" s="5" t="s">
        <v>2252</v>
      </c>
      <c r="G47" s="5" t="s">
        <v>2045</v>
      </c>
      <c r="H47" s="5" t="s">
        <v>1514</v>
      </c>
      <c r="I47" s="5" t="s">
        <v>128</v>
      </c>
      <c r="J47" s="6"/>
      <c r="K47" s="6"/>
      <c r="L47" s="5" t="s">
        <v>1708</v>
      </c>
      <c r="M47" s="8"/>
      <c r="N47" s="5"/>
      <c r="O47" s="5"/>
      <c r="P47" s="5"/>
      <c r="Q47" s="6">
        <v>1</v>
      </c>
      <c r="R47" s="6" t="s">
        <v>1695</v>
      </c>
      <c r="S47" s="5" t="s">
        <v>1610</v>
      </c>
      <c r="T47" s="6">
        <v>1</v>
      </c>
      <c r="U47" s="7" t="s">
        <v>1737</v>
      </c>
      <c r="V47" s="5"/>
      <c r="W47" s="7"/>
      <c r="X47" s="6" t="s">
        <v>3</v>
      </c>
      <c r="Y47" s="5"/>
      <c r="Z47" s="7">
        <v>0</v>
      </c>
      <c r="AA47" s="6"/>
      <c r="AB47" s="5"/>
      <c r="AC47" s="6"/>
      <c r="AD47" s="6" t="s">
        <v>3</v>
      </c>
      <c r="AE47" s="5"/>
      <c r="AF47" s="6">
        <v>0</v>
      </c>
      <c r="AG47" s="6"/>
      <c r="AH47" s="5"/>
      <c r="AI47" s="6"/>
      <c r="AJ47" s="6"/>
      <c r="AK47" s="5"/>
      <c r="AL47" s="5"/>
      <c r="AM47" s="5"/>
      <c r="AN47" s="5"/>
      <c r="AO47" s="5"/>
      <c r="AP47" s="5"/>
      <c r="AQ47" s="5"/>
    </row>
    <row r="48" spans="1:43" s="2" customFormat="1" x14ac:dyDescent="0.25">
      <c r="A48" s="161" t="str">
        <f t="shared" si="0"/>
        <v>_SETTLER_ASIA</v>
      </c>
      <c r="B48" s="9" t="s">
        <v>2252</v>
      </c>
      <c r="C48" s="5" t="s">
        <v>693</v>
      </c>
      <c r="D48" s="5"/>
      <c r="E48" s="5" t="s">
        <v>1078</v>
      </c>
      <c r="F48" s="5" t="s">
        <v>2252</v>
      </c>
      <c r="G48" s="5" t="s">
        <v>2046</v>
      </c>
      <c r="H48" s="5" t="s">
        <v>1515</v>
      </c>
      <c r="I48" s="5" t="s">
        <v>128</v>
      </c>
      <c r="J48" s="6"/>
      <c r="K48" s="6"/>
      <c r="L48" s="5" t="s">
        <v>1708</v>
      </c>
      <c r="M48" s="8"/>
      <c r="N48" s="5"/>
      <c r="O48" s="5"/>
      <c r="P48" s="5"/>
      <c r="Q48" s="6">
        <v>1</v>
      </c>
      <c r="R48" s="6" t="s">
        <v>1695</v>
      </c>
      <c r="S48" s="5" t="s">
        <v>1610</v>
      </c>
      <c r="T48" s="6">
        <v>1</v>
      </c>
      <c r="U48" s="7" t="s">
        <v>1737</v>
      </c>
      <c r="V48" s="5"/>
      <c r="W48" s="7"/>
      <c r="X48" s="6" t="s">
        <v>3</v>
      </c>
      <c r="Y48" s="5"/>
      <c r="Z48" s="7">
        <v>0</v>
      </c>
      <c r="AA48" s="6"/>
      <c r="AB48" s="5"/>
      <c r="AC48" s="6"/>
      <c r="AD48" s="6" t="s">
        <v>3</v>
      </c>
      <c r="AE48" s="5"/>
      <c r="AF48" s="6">
        <v>0</v>
      </c>
      <c r="AG48" s="6"/>
      <c r="AH48" s="5"/>
      <c r="AI48" s="6"/>
      <c r="AJ48" s="6"/>
      <c r="AK48" s="5"/>
      <c r="AL48" s="5"/>
      <c r="AM48" s="5"/>
      <c r="AN48" s="5"/>
      <c r="AO48" s="5"/>
      <c r="AP48" s="5"/>
      <c r="AQ48" s="5"/>
    </row>
    <row r="49" spans="1:43" s="2" customFormat="1" x14ac:dyDescent="0.25">
      <c r="A49" s="161" t="str">
        <f t="shared" si="0"/>
        <v>_SETTLER_ASIA</v>
      </c>
      <c r="B49" s="9" t="s">
        <v>2252</v>
      </c>
      <c r="C49" s="5" t="s">
        <v>693</v>
      </c>
      <c r="D49" s="5"/>
      <c r="E49" s="5" t="s">
        <v>1078</v>
      </c>
      <c r="F49" s="5" t="s">
        <v>2252</v>
      </c>
      <c r="G49" s="5"/>
      <c r="H49" s="5" t="s">
        <v>1516</v>
      </c>
      <c r="I49" s="5" t="s">
        <v>128</v>
      </c>
      <c r="J49" s="6"/>
      <c r="K49" s="6"/>
      <c r="L49" s="5" t="s">
        <v>1708</v>
      </c>
      <c r="M49" s="8"/>
      <c r="N49" s="5"/>
      <c r="O49" s="5"/>
      <c r="P49" s="5"/>
      <c r="Q49" s="6">
        <v>1</v>
      </c>
      <c r="R49" s="6" t="s">
        <v>1695</v>
      </c>
      <c r="S49" s="5" t="s">
        <v>1610</v>
      </c>
      <c r="T49" s="6">
        <v>1</v>
      </c>
      <c r="U49" s="7" t="s">
        <v>1737</v>
      </c>
      <c r="V49" s="5"/>
      <c r="W49" s="7"/>
      <c r="X49" s="6" t="s">
        <v>3</v>
      </c>
      <c r="Y49" s="5"/>
      <c r="Z49" s="7">
        <v>0</v>
      </c>
      <c r="AA49" s="6"/>
      <c r="AB49" s="5"/>
      <c r="AC49" s="6"/>
      <c r="AD49" s="6" t="s">
        <v>3</v>
      </c>
      <c r="AE49" s="5"/>
      <c r="AF49" s="6">
        <v>0</v>
      </c>
      <c r="AG49" s="6"/>
      <c r="AH49" s="5"/>
      <c r="AI49" s="6"/>
      <c r="AJ49" s="6"/>
      <c r="AK49" s="5"/>
      <c r="AL49" s="5"/>
      <c r="AM49" s="5"/>
      <c r="AN49" s="5"/>
      <c r="AO49" s="5"/>
      <c r="AP49" s="5"/>
      <c r="AQ49" s="5"/>
    </row>
    <row r="50" spans="1:43" s="2" customFormat="1" x14ac:dyDescent="0.25">
      <c r="A50" s="161" t="str">
        <f t="shared" si="0"/>
        <v>_SETTLER_CENTAS</v>
      </c>
      <c r="B50" s="9" t="s">
        <v>2252</v>
      </c>
      <c r="C50" s="4" t="s">
        <v>918</v>
      </c>
      <c r="D50" s="4" t="s">
        <v>694</v>
      </c>
      <c r="E50" s="4" t="s">
        <v>1078</v>
      </c>
      <c r="F50" s="5" t="s">
        <v>2252</v>
      </c>
      <c r="G50" s="5"/>
      <c r="H50" s="10"/>
      <c r="I50" s="4"/>
      <c r="J50" s="9"/>
      <c r="K50" s="11"/>
      <c r="L50" s="4"/>
      <c r="M50" s="12"/>
      <c r="N50" s="4"/>
      <c r="O50" s="4"/>
      <c r="P50" s="4"/>
      <c r="Q50" s="11"/>
      <c r="R50" s="11"/>
      <c r="S50" s="4"/>
      <c r="T50" s="11"/>
      <c r="U50" s="11"/>
      <c r="V50" s="4"/>
      <c r="W50" s="11"/>
      <c r="X50" s="11"/>
      <c r="Y50" s="4"/>
      <c r="Z50" s="7"/>
      <c r="AA50" s="11"/>
      <c r="AB50" s="4"/>
      <c r="AC50" s="11"/>
      <c r="AD50" s="11"/>
      <c r="AE50" s="4"/>
      <c r="AF50" s="11"/>
      <c r="AG50" s="11"/>
      <c r="AH50" s="4"/>
      <c r="AI50" s="11"/>
      <c r="AJ50" s="11"/>
      <c r="AK50" s="4"/>
      <c r="AL50" s="4"/>
      <c r="AM50" s="4"/>
      <c r="AN50" s="4"/>
      <c r="AO50" s="4"/>
      <c r="AP50" s="4"/>
      <c r="AQ50" s="4"/>
    </row>
    <row r="51" spans="1:43" s="2" customFormat="1" x14ac:dyDescent="0.25">
      <c r="A51" s="161" t="str">
        <f t="shared" si="0"/>
        <v>_SETTLER_MIDEAST</v>
      </c>
      <c r="B51" s="9" t="s">
        <v>2252</v>
      </c>
      <c r="C51" s="4" t="s">
        <v>690</v>
      </c>
      <c r="D51" s="4" t="s">
        <v>694</v>
      </c>
      <c r="E51" s="4" t="s">
        <v>1078</v>
      </c>
      <c r="F51" s="5" t="s">
        <v>2252</v>
      </c>
      <c r="G51" s="10"/>
      <c r="H51" s="10"/>
      <c r="I51" s="4"/>
      <c r="J51" s="9"/>
      <c r="K51" s="11"/>
      <c r="L51" s="4"/>
      <c r="M51" s="12"/>
      <c r="N51" s="4"/>
      <c r="O51" s="4"/>
      <c r="P51" s="4"/>
      <c r="Q51" s="11"/>
      <c r="R51" s="11"/>
      <c r="S51" s="4"/>
      <c r="T51" s="11"/>
      <c r="U51" s="11"/>
      <c r="V51" s="4"/>
      <c r="W51" s="11"/>
      <c r="X51" s="11"/>
      <c r="Y51" s="4"/>
      <c r="Z51" s="11"/>
      <c r="AA51" s="11"/>
      <c r="AB51" s="4"/>
      <c r="AC51" s="11"/>
      <c r="AD51" s="11"/>
      <c r="AE51" s="4"/>
      <c r="AF51" s="11"/>
      <c r="AG51" s="11"/>
      <c r="AH51" s="4"/>
      <c r="AI51" s="11"/>
      <c r="AJ51" s="11"/>
      <c r="AK51" s="4"/>
      <c r="AL51" s="4"/>
      <c r="AM51" s="4"/>
      <c r="AN51" s="4"/>
      <c r="AO51" s="4"/>
      <c r="AP51" s="4"/>
      <c r="AQ51" s="4"/>
    </row>
    <row r="52" spans="1:43" s="2" customFormat="1" x14ac:dyDescent="0.25">
      <c r="A52" s="161" t="str">
        <f t="shared" si="0"/>
        <v>_SETTLER_NORTHAF</v>
      </c>
      <c r="B52" s="9" t="s">
        <v>2252</v>
      </c>
      <c r="C52" s="4" t="s">
        <v>2011</v>
      </c>
      <c r="D52" s="4" t="s">
        <v>694</v>
      </c>
      <c r="E52" s="4" t="s">
        <v>1078</v>
      </c>
      <c r="F52" s="5" t="s">
        <v>2252</v>
      </c>
      <c r="G52" s="10"/>
      <c r="H52" s="10"/>
      <c r="I52" s="4"/>
      <c r="J52" s="9"/>
      <c r="K52" s="11"/>
      <c r="L52" s="4"/>
      <c r="M52" s="12"/>
      <c r="N52" s="4"/>
      <c r="O52" s="4"/>
      <c r="P52" s="4"/>
      <c r="Q52" s="11"/>
      <c r="R52" s="11"/>
      <c r="S52" s="4"/>
      <c r="T52" s="11"/>
      <c r="U52" s="11"/>
      <c r="V52" s="4"/>
      <c r="W52" s="11"/>
      <c r="X52" s="11"/>
      <c r="Y52" s="4"/>
      <c r="Z52" s="11"/>
      <c r="AA52" s="11"/>
      <c r="AB52" s="4"/>
      <c r="AC52" s="11"/>
      <c r="AD52" s="11"/>
      <c r="AE52" s="4"/>
      <c r="AF52" s="11"/>
      <c r="AG52" s="11"/>
      <c r="AH52" s="4"/>
      <c r="AI52" s="11"/>
      <c r="AJ52" s="11"/>
      <c r="AK52" s="4"/>
      <c r="AL52" s="4"/>
      <c r="AM52" s="4"/>
      <c r="AN52" s="4"/>
      <c r="AO52" s="4"/>
      <c r="AP52" s="4"/>
      <c r="AQ52" s="4"/>
    </row>
    <row r="53" spans="1:43" s="2" customFormat="1" x14ac:dyDescent="0.25">
      <c r="A53" s="161" t="str">
        <f t="shared" si="0"/>
        <v>_SETTLER_OCEAN</v>
      </c>
      <c r="B53" s="9" t="s">
        <v>2252</v>
      </c>
      <c r="C53" s="4" t="s">
        <v>994</v>
      </c>
      <c r="D53" s="4" t="s">
        <v>697</v>
      </c>
      <c r="E53" s="4" t="s">
        <v>1078</v>
      </c>
      <c r="F53" s="5" t="s">
        <v>2252</v>
      </c>
      <c r="G53" s="5"/>
      <c r="H53" s="10"/>
      <c r="I53" s="4"/>
      <c r="J53" s="9"/>
      <c r="K53" s="11"/>
      <c r="L53" s="4"/>
      <c r="M53" s="12"/>
      <c r="N53" s="4"/>
      <c r="O53" s="4"/>
      <c r="P53" s="4"/>
      <c r="Q53" s="9"/>
      <c r="R53" s="9"/>
      <c r="S53" s="4"/>
      <c r="T53" s="11"/>
      <c r="U53" s="11"/>
      <c r="V53" s="4"/>
      <c r="W53" s="11"/>
      <c r="X53" s="11"/>
      <c r="Y53" s="4"/>
      <c r="Z53" s="9"/>
      <c r="AA53" s="11"/>
      <c r="AB53" s="4"/>
      <c r="AC53" s="11"/>
      <c r="AD53" s="11"/>
      <c r="AE53" s="4"/>
      <c r="AF53" s="11"/>
      <c r="AG53" s="11"/>
      <c r="AH53" s="4"/>
      <c r="AI53" s="11"/>
      <c r="AJ53" s="11"/>
      <c r="AK53" s="4"/>
      <c r="AL53" s="4"/>
      <c r="AM53" s="4"/>
      <c r="AN53" s="4"/>
      <c r="AO53" s="4"/>
      <c r="AP53" s="4"/>
      <c r="AQ53" s="4"/>
    </row>
    <row r="54" spans="1:43" s="2" customFormat="1" x14ac:dyDescent="0.25">
      <c r="A54" s="161" t="str">
        <f t="shared" si="0"/>
        <v>_SETTLER_SOUTHAM</v>
      </c>
      <c r="B54" s="9" t="s">
        <v>2252</v>
      </c>
      <c r="C54" s="4" t="s">
        <v>691</v>
      </c>
      <c r="D54" s="4" t="s">
        <v>697</v>
      </c>
      <c r="E54" s="4" t="s">
        <v>1078</v>
      </c>
      <c r="F54" s="5" t="s">
        <v>2252</v>
      </c>
      <c r="G54" s="10"/>
      <c r="H54" s="10"/>
      <c r="I54" s="4"/>
      <c r="J54" s="9"/>
      <c r="K54" s="11"/>
      <c r="L54" s="4"/>
      <c r="M54" s="12"/>
      <c r="N54" s="4"/>
      <c r="O54" s="4"/>
      <c r="P54" s="4"/>
      <c r="Q54" s="9"/>
      <c r="R54" s="11"/>
      <c r="S54" s="4"/>
      <c r="T54" s="11"/>
      <c r="U54" s="11"/>
      <c r="V54" s="4"/>
      <c r="W54" s="11"/>
      <c r="X54" s="11"/>
      <c r="Y54" s="4"/>
      <c r="Z54" s="11"/>
      <c r="AA54" s="11"/>
      <c r="AB54" s="4"/>
      <c r="AC54" s="11"/>
      <c r="AD54" s="11"/>
      <c r="AE54" s="4"/>
      <c r="AF54" s="11"/>
      <c r="AG54" s="11"/>
      <c r="AH54" s="4"/>
      <c r="AI54" s="11"/>
      <c r="AJ54" s="11"/>
      <c r="AK54" s="4"/>
      <c r="AL54" s="4"/>
      <c r="AM54" s="4"/>
      <c r="AN54" s="4"/>
      <c r="AO54" s="4"/>
      <c r="AP54" s="4"/>
      <c r="AQ54" s="4"/>
    </row>
    <row r="55" spans="1:43" s="2" customFormat="1" x14ac:dyDescent="0.25">
      <c r="A55" s="161" t="str">
        <f t="shared" si="0"/>
        <v>_SETTLER_SOUTHAS</v>
      </c>
      <c r="B55" s="9" t="s">
        <v>2252</v>
      </c>
      <c r="C55" s="4" t="s">
        <v>695</v>
      </c>
      <c r="D55" s="4" t="s">
        <v>693</v>
      </c>
      <c r="E55" s="4" t="s">
        <v>1078</v>
      </c>
      <c r="F55" s="5" t="s">
        <v>2252</v>
      </c>
      <c r="G55" s="10"/>
      <c r="H55" s="10"/>
      <c r="I55" s="4"/>
      <c r="J55" s="9"/>
      <c r="K55" s="11"/>
      <c r="L55" s="4"/>
      <c r="M55" s="12"/>
      <c r="N55" s="4"/>
      <c r="O55" s="4"/>
      <c r="P55" s="4"/>
      <c r="Q55" s="11"/>
      <c r="R55" s="11"/>
      <c r="S55" s="4"/>
      <c r="T55" s="11"/>
      <c r="U55" s="11"/>
      <c r="V55" s="4"/>
      <c r="W55" s="11"/>
      <c r="X55" s="11"/>
      <c r="Y55" s="4"/>
      <c r="Z55" s="11"/>
      <c r="AA55" s="11"/>
      <c r="AB55" s="4"/>
      <c r="AC55" s="11"/>
      <c r="AD55" s="11"/>
      <c r="AE55" s="4"/>
      <c r="AF55" s="11"/>
      <c r="AG55" s="11"/>
      <c r="AH55" s="4"/>
      <c r="AI55" s="11"/>
      <c r="AJ55" s="11"/>
      <c r="AK55" s="4"/>
      <c r="AL55" s="4"/>
      <c r="AM55" s="4"/>
      <c r="AN55" s="4"/>
      <c r="AO55" s="4"/>
      <c r="AP55" s="4"/>
      <c r="AQ55" s="4"/>
    </row>
    <row r="56" spans="1:43" s="2" customFormat="1" x14ac:dyDescent="0.25">
      <c r="A56" s="161" t="str">
        <f t="shared" si="0"/>
        <v>_SETTLER_SEASIA</v>
      </c>
      <c r="B56" s="9" t="s">
        <v>2252</v>
      </c>
      <c r="C56" s="4" t="s">
        <v>696</v>
      </c>
      <c r="D56" s="4" t="s">
        <v>693</v>
      </c>
      <c r="E56" s="4" t="s">
        <v>1078</v>
      </c>
      <c r="F56" s="5" t="s">
        <v>2252</v>
      </c>
      <c r="G56" s="10"/>
      <c r="H56" s="10"/>
      <c r="I56" s="4"/>
      <c r="J56" s="9"/>
      <c r="K56" s="11"/>
      <c r="L56" s="4"/>
      <c r="M56" s="12"/>
      <c r="N56" s="4"/>
      <c r="O56" s="4"/>
      <c r="P56" s="4"/>
      <c r="Q56" s="11"/>
      <c r="R56" s="11"/>
      <c r="S56" s="4"/>
      <c r="T56" s="11"/>
      <c r="U56" s="11"/>
      <c r="V56" s="4"/>
      <c r="W56" s="11"/>
      <c r="X56" s="11"/>
      <c r="Y56" s="4"/>
      <c r="Z56" s="11"/>
      <c r="AA56" s="11"/>
      <c r="AB56" s="4"/>
      <c r="AC56" s="11"/>
      <c r="AD56" s="11"/>
      <c r="AE56" s="4"/>
      <c r="AF56" s="11"/>
      <c r="AG56" s="11"/>
      <c r="AH56" s="4"/>
      <c r="AI56" s="11"/>
      <c r="AJ56" s="11"/>
      <c r="AK56" s="4"/>
      <c r="AL56" s="4"/>
      <c r="AM56" s="4"/>
      <c r="AN56" s="4"/>
      <c r="AO56" s="4"/>
      <c r="AP56" s="4"/>
      <c r="AQ56" s="4"/>
    </row>
    <row r="57" spans="1:43" s="2" customFormat="1" x14ac:dyDescent="0.25">
      <c r="A57" s="161" t="str">
        <f t="shared" si="0"/>
        <v>_WARRIOR</v>
      </c>
      <c r="B57" s="9" t="s">
        <v>787</v>
      </c>
      <c r="C57" s="5"/>
      <c r="D57" s="5"/>
      <c r="E57" s="5" t="s">
        <v>743</v>
      </c>
      <c r="F57" s="5" t="s">
        <v>787</v>
      </c>
      <c r="G57" s="5" t="s">
        <v>2047</v>
      </c>
      <c r="H57" s="5" t="s">
        <v>1518</v>
      </c>
      <c r="I57" s="5" t="s">
        <v>128</v>
      </c>
      <c r="J57" s="6"/>
      <c r="K57" s="6"/>
      <c r="L57" s="5" t="s">
        <v>1708</v>
      </c>
      <c r="M57" s="8"/>
      <c r="N57" s="5"/>
      <c r="O57" s="5"/>
      <c r="P57" s="5"/>
      <c r="Q57" s="6">
        <v>0</v>
      </c>
      <c r="R57" s="7" t="s">
        <v>1737</v>
      </c>
      <c r="S57" s="13" t="s">
        <v>1519</v>
      </c>
      <c r="T57" s="6">
        <v>2</v>
      </c>
      <c r="U57" s="7" t="s">
        <v>1737</v>
      </c>
      <c r="V57" s="13"/>
      <c r="W57" s="6" t="s">
        <v>3</v>
      </c>
      <c r="X57" s="6" t="s">
        <v>3</v>
      </c>
      <c r="Y57" s="13"/>
      <c r="Z57" s="7">
        <v>0</v>
      </c>
      <c r="AA57" s="6"/>
      <c r="AB57" s="13"/>
      <c r="AC57" s="6"/>
      <c r="AD57" s="6" t="s">
        <v>3</v>
      </c>
      <c r="AE57" s="13"/>
      <c r="AF57" s="6">
        <v>0</v>
      </c>
      <c r="AG57" s="6"/>
      <c r="AH57" s="13"/>
      <c r="AI57" s="6">
        <v>0</v>
      </c>
      <c r="AJ57" s="6"/>
      <c r="AK57" s="13"/>
      <c r="AL57" s="13"/>
      <c r="AM57" s="13"/>
      <c r="AN57" s="13"/>
      <c r="AO57" s="13"/>
      <c r="AP57" s="13"/>
      <c r="AQ57" s="13"/>
    </row>
    <row r="58" spans="1:43" s="2" customFormat="1" x14ac:dyDescent="0.25">
      <c r="A58" s="161" t="str">
        <f t="shared" si="0"/>
        <v>_WARRIOR</v>
      </c>
      <c r="B58" s="9" t="s">
        <v>787</v>
      </c>
      <c r="C58" s="5"/>
      <c r="D58" s="5"/>
      <c r="E58" s="5" t="s">
        <v>743</v>
      </c>
      <c r="F58" s="5" t="s">
        <v>787</v>
      </c>
      <c r="G58" s="5" t="s">
        <v>2049</v>
      </c>
      <c r="H58" s="5" t="s">
        <v>1520</v>
      </c>
      <c r="I58" s="5" t="s">
        <v>128</v>
      </c>
      <c r="J58" s="6"/>
      <c r="K58" s="6"/>
      <c r="L58" s="5" t="s">
        <v>1708</v>
      </c>
      <c r="M58" s="8"/>
      <c r="N58" s="5"/>
      <c r="O58" s="5"/>
      <c r="P58" s="5"/>
      <c r="Q58" s="6">
        <v>3</v>
      </c>
      <c r="R58" s="7" t="s">
        <v>1737</v>
      </c>
      <c r="S58" s="13" t="s">
        <v>1519</v>
      </c>
      <c r="T58" s="6">
        <v>3</v>
      </c>
      <c r="U58" s="7" t="s">
        <v>1737</v>
      </c>
      <c r="V58" s="13"/>
      <c r="W58" s="6" t="s">
        <v>3</v>
      </c>
      <c r="X58" s="6" t="s">
        <v>3</v>
      </c>
      <c r="Y58" s="13"/>
      <c r="Z58" s="7">
        <v>0</v>
      </c>
      <c r="AA58" s="6"/>
      <c r="AB58" s="13"/>
      <c r="AC58" s="6"/>
      <c r="AD58" s="6" t="s">
        <v>3</v>
      </c>
      <c r="AE58" s="13"/>
      <c r="AF58" s="6">
        <v>1</v>
      </c>
      <c r="AG58" s="6"/>
      <c r="AH58" s="13"/>
      <c r="AI58" s="6">
        <v>2</v>
      </c>
      <c r="AJ58" s="6"/>
      <c r="AK58" s="13"/>
      <c r="AL58" s="13"/>
      <c r="AM58" s="13"/>
      <c r="AN58" s="13"/>
      <c r="AO58" s="13"/>
      <c r="AP58" s="13"/>
      <c r="AQ58" s="13"/>
    </row>
    <row r="59" spans="1:43" s="2" customFormat="1" x14ac:dyDescent="0.25">
      <c r="A59" s="161" t="str">
        <f t="shared" si="0"/>
        <v>_WARRIOR</v>
      </c>
      <c r="B59" s="9" t="s">
        <v>787</v>
      </c>
      <c r="C59" s="5"/>
      <c r="D59" s="5"/>
      <c r="E59" s="5" t="s">
        <v>743</v>
      </c>
      <c r="F59" s="5" t="s">
        <v>787</v>
      </c>
      <c r="G59" s="5"/>
      <c r="H59" s="5" t="s">
        <v>1519</v>
      </c>
      <c r="I59" s="5" t="s">
        <v>128</v>
      </c>
      <c r="J59" s="6"/>
      <c r="K59" s="6"/>
      <c r="L59" s="5" t="s">
        <v>1708</v>
      </c>
      <c r="M59" s="8"/>
      <c r="N59" s="5"/>
      <c r="O59" s="5"/>
      <c r="P59" s="5"/>
      <c r="Q59" s="6">
        <v>6</v>
      </c>
      <c r="R59" s="7" t="s">
        <v>1737</v>
      </c>
      <c r="S59" s="13" t="s">
        <v>1519</v>
      </c>
      <c r="T59" s="6">
        <v>8</v>
      </c>
      <c r="U59" s="7" t="s">
        <v>1737</v>
      </c>
      <c r="V59" s="13"/>
      <c r="W59" s="6" t="s">
        <v>3</v>
      </c>
      <c r="X59" s="6" t="s">
        <v>3</v>
      </c>
      <c r="Y59" s="13"/>
      <c r="Z59" s="7">
        <v>1</v>
      </c>
      <c r="AA59" s="6"/>
      <c r="AB59" s="13"/>
      <c r="AC59" s="6"/>
      <c r="AD59" s="6" t="s">
        <v>3</v>
      </c>
      <c r="AE59" s="13"/>
      <c r="AF59" s="6">
        <v>1</v>
      </c>
      <c r="AG59" s="6"/>
      <c r="AH59" s="13"/>
      <c r="AI59" s="6">
        <v>3</v>
      </c>
      <c r="AJ59" s="6"/>
      <c r="AK59" s="13"/>
      <c r="AL59" s="13"/>
      <c r="AM59" s="13"/>
      <c r="AN59" s="13"/>
      <c r="AO59" s="13"/>
      <c r="AP59" s="13"/>
      <c r="AQ59" s="13"/>
    </row>
    <row r="60" spans="1:43" s="2" customFormat="1" x14ac:dyDescent="0.25">
      <c r="A60" s="161" t="str">
        <f t="shared" si="0"/>
        <v>_WARRIOR</v>
      </c>
      <c r="B60" s="9" t="s">
        <v>787</v>
      </c>
      <c r="C60" s="5"/>
      <c r="D60" s="5"/>
      <c r="E60" s="5" t="s">
        <v>743</v>
      </c>
      <c r="F60" s="5" t="s">
        <v>787</v>
      </c>
      <c r="G60" s="5" t="s">
        <v>2047</v>
      </c>
      <c r="H60" s="5" t="s">
        <v>1518</v>
      </c>
      <c r="I60" s="5" t="s">
        <v>128</v>
      </c>
      <c r="J60" s="6"/>
      <c r="K60" s="6"/>
      <c r="L60" s="5" t="s">
        <v>1708</v>
      </c>
      <c r="M60" s="8"/>
      <c r="N60" s="5"/>
      <c r="O60" s="5"/>
      <c r="P60" s="5"/>
      <c r="Q60" s="6">
        <v>3</v>
      </c>
      <c r="R60" s="7" t="s">
        <v>1737</v>
      </c>
      <c r="S60" s="13" t="s">
        <v>1519</v>
      </c>
      <c r="T60" s="6">
        <v>3</v>
      </c>
      <c r="U60" s="7" t="s">
        <v>1737</v>
      </c>
      <c r="V60" s="13"/>
      <c r="W60" s="7" t="s">
        <v>3</v>
      </c>
      <c r="X60" s="6" t="s">
        <v>3</v>
      </c>
      <c r="Y60" s="13"/>
      <c r="Z60" s="7">
        <v>0</v>
      </c>
      <c r="AA60" s="6"/>
      <c r="AB60" s="13"/>
      <c r="AC60" s="6"/>
      <c r="AD60" s="6" t="s">
        <v>3</v>
      </c>
      <c r="AE60" s="13"/>
      <c r="AF60" s="6">
        <v>1</v>
      </c>
      <c r="AG60" s="6"/>
      <c r="AH60" s="13"/>
      <c r="AI60" s="6">
        <v>2</v>
      </c>
      <c r="AJ60" s="6"/>
      <c r="AK60" s="13"/>
      <c r="AL60" s="13"/>
      <c r="AM60" s="13"/>
      <c r="AN60" s="13"/>
      <c r="AO60" s="13"/>
      <c r="AP60" s="13"/>
      <c r="AQ60" s="13"/>
    </row>
    <row r="61" spans="1:43" s="2" customFormat="1" x14ac:dyDescent="0.25">
      <c r="A61" s="161" t="str">
        <f t="shared" si="0"/>
        <v>_WARRIOR</v>
      </c>
      <c r="B61" s="9" t="s">
        <v>787</v>
      </c>
      <c r="C61" s="5"/>
      <c r="D61" s="5"/>
      <c r="E61" s="5" t="s">
        <v>743</v>
      </c>
      <c r="F61" s="5" t="s">
        <v>787</v>
      </c>
      <c r="G61" s="5" t="s">
        <v>2049</v>
      </c>
      <c r="H61" s="5" t="s">
        <v>1520</v>
      </c>
      <c r="I61" s="5" t="s">
        <v>128</v>
      </c>
      <c r="J61" s="6"/>
      <c r="K61" s="6"/>
      <c r="L61" s="5" t="s">
        <v>1708</v>
      </c>
      <c r="M61" s="8"/>
      <c r="N61" s="5"/>
      <c r="O61" s="5"/>
      <c r="P61" s="5"/>
      <c r="Q61" s="6">
        <v>0</v>
      </c>
      <c r="R61" s="7" t="s">
        <v>1737</v>
      </c>
      <c r="S61" s="13" t="s">
        <v>1519</v>
      </c>
      <c r="T61" s="6">
        <v>2</v>
      </c>
      <c r="U61" s="7" t="s">
        <v>1737</v>
      </c>
      <c r="V61" s="13"/>
      <c r="W61" s="7" t="s">
        <v>3</v>
      </c>
      <c r="X61" s="6" t="s">
        <v>3</v>
      </c>
      <c r="Y61" s="13"/>
      <c r="Z61" s="7">
        <v>0</v>
      </c>
      <c r="AA61" s="6"/>
      <c r="AB61" s="13"/>
      <c r="AC61" s="6"/>
      <c r="AD61" s="6" t="s">
        <v>3</v>
      </c>
      <c r="AE61" s="13"/>
      <c r="AF61" s="6">
        <v>0</v>
      </c>
      <c r="AG61" s="6"/>
      <c r="AH61" s="13"/>
      <c r="AI61" s="6">
        <v>0</v>
      </c>
      <c r="AJ61" s="6"/>
      <c r="AK61" s="13"/>
      <c r="AL61" s="13"/>
      <c r="AM61" s="13"/>
      <c r="AN61" s="13"/>
      <c r="AO61" s="13"/>
      <c r="AP61" s="13"/>
      <c r="AQ61" s="13"/>
    </row>
    <row r="62" spans="1:43" s="2" customFormat="1" x14ac:dyDescent="0.25">
      <c r="A62" s="161" t="str">
        <f t="shared" si="0"/>
        <v>_WARRIOR_AFRI</v>
      </c>
      <c r="B62" s="9" t="s">
        <v>787</v>
      </c>
      <c r="C62" s="4" t="s">
        <v>694</v>
      </c>
      <c r="D62" s="4"/>
      <c r="E62" s="4" t="s">
        <v>743</v>
      </c>
      <c r="F62" s="4" t="s">
        <v>787</v>
      </c>
      <c r="G62" s="4"/>
      <c r="H62" s="4" t="s">
        <v>862</v>
      </c>
      <c r="I62" s="4" t="s">
        <v>1942</v>
      </c>
      <c r="J62" s="11"/>
      <c r="K62" s="11"/>
      <c r="L62" s="4"/>
      <c r="M62" s="12"/>
      <c r="N62" s="4"/>
      <c r="O62" s="4"/>
      <c r="P62" s="4"/>
      <c r="Q62" s="11">
        <v>2</v>
      </c>
      <c r="R62" s="11"/>
      <c r="S62" s="4"/>
      <c r="T62" s="11">
        <v>3</v>
      </c>
      <c r="U62" s="11"/>
      <c r="V62" s="4"/>
      <c r="W62" s="11"/>
      <c r="X62" s="11"/>
      <c r="Y62" s="4"/>
      <c r="Z62" s="11">
        <v>1</v>
      </c>
      <c r="AA62" s="11"/>
      <c r="AB62" s="4"/>
      <c r="AC62" s="11"/>
      <c r="AD62" s="11"/>
      <c r="AE62" s="4"/>
      <c r="AF62" s="11">
        <v>1</v>
      </c>
      <c r="AG62" s="11"/>
      <c r="AH62" s="4"/>
      <c r="AI62" s="11">
        <v>1</v>
      </c>
      <c r="AJ62" s="11"/>
      <c r="AK62" s="4"/>
      <c r="AL62" s="4"/>
      <c r="AM62" s="4"/>
      <c r="AN62" s="4"/>
      <c r="AO62" s="4"/>
      <c r="AP62" s="4"/>
      <c r="AQ62" s="4"/>
    </row>
    <row r="63" spans="1:43" s="2" customFormat="1" x14ac:dyDescent="0.25">
      <c r="A63" s="161" t="str">
        <f t="shared" ref="A63:A117" si="1">CONCATENATE(E63,IF(ISBLANK(C63),"",CONCATENATE("_",C63)))</f>
        <v>_WARRIOR_AFRI</v>
      </c>
      <c r="B63" s="9" t="s">
        <v>787</v>
      </c>
      <c r="C63" s="4" t="s">
        <v>694</v>
      </c>
      <c r="D63" s="4"/>
      <c r="E63" s="4" t="s">
        <v>743</v>
      </c>
      <c r="F63" s="4" t="s">
        <v>787</v>
      </c>
      <c r="G63" s="4" t="s">
        <v>2047</v>
      </c>
      <c r="H63" s="4" t="s">
        <v>861</v>
      </c>
      <c r="I63" s="4" t="s">
        <v>1942</v>
      </c>
      <c r="J63" s="11"/>
      <c r="K63" s="11"/>
      <c r="L63" s="4"/>
      <c r="M63" s="12"/>
      <c r="N63" s="4"/>
      <c r="O63" s="4"/>
      <c r="P63" s="4"/>
      <c r="Q63" s="11">
        <v>0</v>
      </c>
      <c r="R63" s="11"/>
      <c r="S63" s="4"/>
      <c r="T63" s="11">
        <v>2</v>
      </c>
      <c r="U63" s="11"/>
      <c r="V63" s="4"/>
      <c r="W63" s="11"/>
      <c r="X63" s="11"/>
      <c r="Y63" s="4"/>
      <c r="Z63" s="11">
        <v>0</v>
      </c>
      <c r="AA63" s="11"/>
      <c r="AB63" s="4"/>
      <c r="AC63" s="11"/>
      <c r="AD63" s="11"/>
      <c r="AE63" s="4"/>
      <c r="AF63" s="11">
        <v>1</v>
      </c>
      <c r="AG63" s="11"/>
      <c r="AH63" s="4"/>
      <c r="AI63" s="11">
        <v>1</v>
      </c>
      <c r="AJ63" s="11"/>
      <c r="AK63" s="4"/>
      <c r="AL63" s="4"/>
      <c r="AM63" s="4"/>
      <c r="AN63" s="4"/>
      <c r="AO63" s="4"/>
      <c r="AP63" s="4"/>
      <c r="AQ63" s="4"/>
    </row>
    <row r="64" spans="1:43" s="2" customFormat="1" x14ac:dyDescent="0.25">
      <c r="A64" s="161" t="str">
        <f t="shared" si="1"/>
        <v>_WARRIOR_AFRI</v>
      </c>
      <c r="B64" s="9" t="s">
        <v>787</v>
      </c>
      <c r="C64" s="4" t="s">
        <v>694</v>
      </c>
      <c r="D64" s="4"/>
      <c r="E64" s="4" t="s">
        <v>743</v>
      </c>
      <c r="F64" s="4" t="s">
        <v>787</v>
      </c>
      <c r="G64" s="4" t="s">
        <v>2049</v>
      </c>
      <c r="H64" s="4" t="s">
        <v>860</v>
      </c>
      <c r="I64" s="4" t="s">
        <v>1942</v>
      </c>
      <c r="J64" s="11"/>
      <c r="K64" s="11"/>
      <c r="L64" s="4"/>
      <c r="M64" s="12"/>
      <c r="N64" s="4"/>
      <c r="O64" s="4"/>
      <c r="P64" s="4"/>
      <c r="Q64" s="11">
        <v>1</v>
      </c>
      <c r="R64" s="11"/>
      <c r="S64" s="4"/>
      <c r="T64" s="11">
        <v>3</v>
      </c>
      <c r="U64" s="11"/>
      <c r="V64" s="4"/>
      <c r="W64" s="11"/>
      <c r="X64" s="11"/>
      <c r="Y64" s="4"/>
      <c r="Z64" s="11">
        <v>0</v>
      </c>
      <c r="AA64" s="11"/>
      <c r="AB64" s="4"/>
      <c r="AC64" s="11"/>
      <c r="AD64" s="11"/>
      <c r="AE64" s="4"/>
      <c r="AF64" s="11">
        <v>1</v>
      </c>
      <c r="AG64" s="11"/>
      <c r="AH64" s="4"/>
      <c r="AI64" s="11">
        <v>1</v>
      </c>
      <c r="AJ64" s="11"/>
      <c r="AK64" s="4"/>
      <c r="AL64" s="4"/>
      <c r="AM64" s="4"/>
      <c r="AN64" s="4"/>
      <c r="AO64" s="4"/>
      <c r="AP64" s="4"/>
      <c r="AQ64" s="4"/>
    </row>
    <row r="65" spans="1:43" s="2" customFormat="1" x14ac:dyDescent="0.25">
      <c r="A65" s="161" t="str">
        <f t="shared" si="1"/>
        <v>_WARRIOR_AFRI</v>
      </c>
      <c r="B65" s="9" t="s">
        <v>787</v>
      </c>
      <c r="C65" s="4" t="s">
        <v>694</v>
      </c>
      <c r="D65" s="4"/>
      <c r="E65" s="4" t="s">
        <v>743</v>
      </c>
      <c r="F65" s="4" t="s">
        <v>787</v>
      </c>
      <c r="G65" s="4" t="s">
        <v>2048</v>
      </c>
      <c r="H65" s="4" t="s">
        <v>682</v>
      </c>
      <c r="I65" s="4" t="s">
        <v>1942</v>
      </c>
      <c r="J65" s="11"/>
      <c r="K65" s="11"/>
      <c r="L65" s="4"/>
      <c r="M65" s="12"/>
      <c r="N65" s="4"/>
      <c r="O65" s="4"/>
      <c r="P65" s="4"/>
      <c r="Q65" s="9">
        <v>0</v>
      </c>
      <c r="R65" s="11"/>
      <c r="S65" s="4"/>
      <c r="T65" s="11">
        <v>2</v>
      </c>
      <c r="U65" s="11"/>
      <c r="V65" s="4"/>
      <c r="W65" s="11"/>
      <c r="X65" s="11"/>
      <c r="Y65" s="4"/>
      <c r="Z65" s="9">
        <v>0</v>
      </c>
      <c r="AA65" s="11"/>
      <c r="AB65" s="4"/>
      <c r="AC65" s="11"/>
      <c r="AD65" s="11"/>
      <c r="AE65" s="4"/>
      <c r="AF65" s="11">
        <v>0</v>
      </c>
      <c r="AG65" s="11"/>
      <c r="AH65" s="4"/>
      <c r="AI65" s="11">
        <v>1</v>
      </c>
      <c r="AJ65" s="11"/>
      <c r="AK65" s="4"/>
      <c r="AL65" s="4"/>
      <c r="AM65" s="4"/>
      <c r="AN65" s="4"/>
      <c r="AO65" s="4"/>
      <c r="AP65" s="4"/>
      <c r="AQ65" s="4"/>
    </row>
    <row r="66" spans="1:43" s="2" customFormat="1" x14ac:dyDescent="0.25">
      <c r="A66" s="161" t="str">
        <f t="shared" si="1"/>
        <v>_WARRIOR_AFRI</v>
      </c>
      <c r="B66" s="9" t="s">
        <v>787</v>
      </c>
      <c r="C66" s="4" t="s">
        <v>694</v>
      </c>
      <c r="D66" s="4"/>
      <c r="E66" s="4" t="s">
        <v>743</v>
      </c>
      <c r="F66" s="4" t="s">
        <v>787</v>
      </c>
      <c r="G66" s="4"/>
      <c r="H66" s="4" t="s">
        <v>862</v>
      </c>
      <c r="I66" s="4" t="s">
        <v>1942</v>
      </c>
      <c r="J66" s="11"/>
      <c r="K66" s="11"/>
      <c r="L66" s="4"/>
      <c r="M66" s="12"/>
      <c r="N66" s="4"/>
      <c r="O66" s="4"/>
      <c r="P66" s="4"/>
      <c r="Q66" s="9">
        <v>1</v>
      </c>
      <c r="R66" s="11"/>
      <c r="S66" s="4"/>
      <c r="T66" s="11">
        <v>2</v>
      </c>
      <c r="U66" s="11"/>
      <c r="V66" s="4"/>
      <c r="W66" s="11"/>
      <c r="X66" s="11"/>
      <c r="Y66" s="4"/>
      <c r="Z66" s="9">
        <v>0</v>
      </c>
      <c r="AA66" s="11"/>
      <c r="AB66" s="4"/>
      <c r="AC66" s="11"/>
      <c r="AD66" s="11"/>
      <c r="AE66" s="4"/>
      <c r="AF66" s="11">
        <v>0</v>
      </c>
      <c r="AG66" s="11"/>
      <c r="AH66" s="4"/>
      <c r="AI66" s="11">
        <v>1</v>
      </c>
      <c r="AJ66" s="11"/>
      <c r="AK66" s="4"/>
      <c r="AL66" s="4"/>
      <c r="AM66" s="4"/>
      <c r="AN66" s="4"/>
      <c r="AO66" s="4"/>
      <c r="AP66" s="4"/>
      <c r="AQ66" s="4"/>
    </row>
    <row r="67" spans="1:43" s="2" customFormat="1" x14ac:dyDescent="0.25">
      <c r="A67" s="161" t="str">
        <f t="shared" si="1"/>
        <v>_WARRIOR_AFRI</v>
      </c>
      <c r="B67" s="9" t="s">
        <v>787</v>
      </c>
      <c r="C67" s="4" t="s">
        <v>694</v>
      </c>
      <c r="D67" s="4"/>
      <c r="E67" s="4" t="s">
        <v>743</v>
      </c>
      <c r="F67" s="4" t="s">
        <v>787</v>
      </c>
      <c r="G67" s="4" t="s">
        <v>2047</v>
      </c>
      <c r="H67" s="4" t="s">
        <v>861</v>
      </c>
      <c r="I67" s="4" t="s">
        <v>1942</v>
      </c>
      <c r="J67" s="11"/>
      <c r="K67" s="11"/>
      <c r="L67" s="4"/>
      <c r="M67" s="12"/>
      <c r="N67" s="4"/>
      <c r="O67" s="4"/>
      <c r="P67" s="4"/>
      <c r="Q67" s="9">
        <v>3</v>
      </c>
      <c r="R67" s="11"/>
      <c r="S67" s="4"/>
      <c r="T67" s="11">
        <v>2</v>
      </c>
      <c r="U67" s="11"/>
      <c r="V67" s="4"/>
      <c r="W67" s="11"/>
      <c r="X67" s="11"/>
      <c r="Y67" s="4"/>
      <c r="Z67" s="9">
        <v>0</v>
      </c>
      <c r="AA67" s="11"/>
      <c r="AB67" s="4"/>
      <c r="AC67" s="11"/>
      <c r="AD67" s="11"/>
      <c r="AE67" s="4"/>
      <c r="AF67" s="11">
        <v>0</v>
      </c>
      <c r="AG67" s="11"/>
      <c r="AH67" s="4"/>
      <c r="AI67" s="11">
        <v>1</v>
      </c>
      <c r="AJ67" s="11"/>
      <c r="AK67" s="4"/>
      <c r="AL67" s="4"/>
      <c r="AM67" s="4"/>
      <c r="AN67" s="4"/>
      <c r="AO67" s="4"/>
      <c r="AP67" s="4"/>
      <c r="AQ67" s="4"/>
    </row>
    <row r="68" spans="1:43" s="2" customFormat="1" x14ac:dyDescent="0.25">
      <c r="A68" s="161" t="str">
        <f t="shared" si="1"/>
        <v>_WARRIOR_AFRI</v>
      </c>
      <c r="B68" s="9" t="s">
        <v>787</v>
      </c>
      <c r="C68" s="4" t="s">
        <v>694</v>
      </c>
      <c r="D68" s="4"/>
      <c r="E68" s="4" t="s">
        <v>743</v>
      </c>
      <c r="F68" s="4" t="s">
        <v>787</v>
      </c>
      <c r="G68" s="4" t="s">
        <v>2049</v>
      </c>
      <c r="H68" s="4" t="s">
        <v>860</v>
      </c>
      <c r="I68" s="4" t="s">
        <v>1942</v>
      </c>
      <c r="J68" s="11"/>
      <c r="K68" s="11"/>
      <c r="L68" s="4"/>
      <c r="M68" s="12"/>
      <c r="N68" s="4"/>
      <c r="O68" s="4"/>
      <c r="P68" s="4"/>
      <c r="Q68" s="9">
        <v>2</v>
      </c>
      <c r="R68" s="11"/>
      <c r="S68" s="4"/>
      <c r="T68" s="11">
        <v>2</v>
      </c>
      <c r="U68" s="11"/>
      <c r="V68" s="4"/>
      <c r="W68" s="11"/>
      <c r="X68" s="11"/>
      <c r="Y68" s="4"/>
      <c r="Z68" s="9">
        <v>0</v>
      </c>
      <c r="AA68" s="11"/>
      <c r="AB68" s="4"/>
      <c r="AC68" s="11"/>
      <c r="AD68" s="11"/>
      <c r="AE68" s="4"/>
      <c r="AF68" s="11">
        <v>0</v>
      </c>
      <c r="AG68" s="11"/>
      <c r="AH68" s="4"/>
      <c r="AI68" s="11">
        <v>1</v>
      </c>
      <c r="AJ68" s="11"/>
      <c r="AK68" s="4"/>
      <c r="AL68" s="4"/>
      <c r="AM68" s="4"/>
      <c r="AN68" s="4"/>
      <c r="AO68" s="4"/>
      <c r="AP68" s="4"/>
      <c r="AQ68" s="4"/>
    </row>
    <row r="69" spans="1:43" s="2" customFormat="1" x14ac:dyDescent="0.25">
      <c r="A69" s="161" t="str">
        <f t="shared" si="1"/>
        <v>_WARRIOR_AFRI</v>
      </c>
      <c r="B69" s="9" t="s">
        <v>787</v>
      </c>
      <c r="C69" s="4" t="s">
        <v>694</v>
      </c>
      <c r="D69" s="4"/>
      <c r="E69" s="4" t="s">
        <v>743</v>
      </c>
      <c r="F69" s="4" t="s">
        <v>787</v>
      </c>
      <c r="G69" s="4" t="s">
        <v>2048</v>
      </c>
      <c r="H69" s="4" t="s">
        <v>682</v>
      </c>
      <c r="I69" s="4" t="s">
        <v>1942</v>
      </c>
      <c r="J69" s="11"/>
      <c r="K69" s="11"/>
      <c r="L69" s="4"/>
      <c r="M69" s="12"/>
      <c r="N69" s="4"/>
      <c r="O69" s="4"/>
      <c r="P69" s="4"/>
      <c r="Q69" s="9">
        <v>3</v>
      </c>
      <c r="R69" s="11"/>
      <c r="S69" s="4"/>
      <c r="T69" s="11">
        <v>2</v>
      </c>
      <c r="U69" s="11"/>
      <c r="V69" s="4"/>
      <c r="W69" s="11"/>
      <c r="X69" s="11"/>
      <c r="Y69" s="4"/>
      <c r="Z69" s="9">
        <v>0</v>
      </c>
      <c r="AA69" s="11"/>
      <c r="AB69" s="4"/>
      <c r="AC69" s="11"/>
      <c r="AD69" s="11"/>
      <c r="AE69" s="4"/>
      <c r="AF69" s="11">
        <v>0</v>
      </c>
      <c r="AG69" s="11"/>
      <c r="AH69" s="4"/>
      <c r="AI69" s="11">
        <v>0</v>
      </c>
      <c r="AJ69" s="11"/>
      <c r="AK69" s="4"/>
      <c r="AL69" s="4"/>
      <c r="AM69" s="4"/>
      <c r="AN69" s="4"/>
      <c r="AO69" s="4"/>
      <c r="AP69" s="4"/>
      <c r="AQ69" s="4"/>
    </row>
    <row r="70" spans="1:43" s="2" customFormat="1" x14ac:dyDescent="0.25">
      <c r="A70" s="161" t="str">
        <f t="shared" si="1"/>
        <v>_WARRIOR_ETHIOPIA</v>
      </c>
      <c r="B70" s="9" t="s">
        <v>787</v>
      </c>
      <c r="C70" s="4" t="s">
        <v>714</v>
      </c>
      <c r="D70" s="4"/>
      <c r="E70" s="4" t="s">
        <v>743</v>
      </c>
      <c r="F70" s="4" t="s">
        <v>787</v>
      </c>
      <c r="G70" s="4"/>
      <c r="H70" s="4" t="s">
        <v>873</v>
      </c>
      <c r="I70" s="4" t="s">
        <v>1796</v>
      </c>
      <c r="J70" s="11"/>
      <c r="K70" s="11"/>
      <c r="L70" s="4"/>
      <c r="M70" s="12"/>
      <c r="N70" s="4"/>
      <c r="O70" s="4"/>
      <c r="P70" s="4"/>
      <c r="Q70" s="9">
        <v>2</v>
      </c>
      <c r="R70" s="11"/>
      <c r="S70" s="4"/>
      <c r="T70" s="11">
        <v>3</v>
      </c>
      <c r="U70" s="11"/>
      <c r="V70" s="4"/>
      <c r="W70" s="11"/>
      <c r="X70" s="11"/>
      <c r="Y70" s="4"/>
      <c r="Z70" s="9">
        <v>0</v>
      </c>
      <c r="AA70" s="11"/>
      <c r="AB70" s="4"/>
      <c r="AC70" s="11"/>
      <c r="AD70" s="11"/>
      <c r="AE70" s="4"/>
      <c r="AF70" s="11">
        <v>0</v>
      </c>
      <c r="AG70" s="11"/>
      <c r="AH70" s="4"/>
      <c r="AI70" s="11">
        <v>1</v>
      </c>
      <c r="AJ70" s="11"/>
      <c r="AK70" s="4"/>
      <c r="AL70" s="4"/>
      <c r="AM70" s="4"/>
      <c r="AN70" s="4"/>
      <c r="AO70" s="4"/>
      <c r="AP70" s="4"/>
      <c r="AQ70" s="4"/>
    </row>
    <row r="71" spans="1:43" s="2" customFormat="1" x14ac:dyDescent="0.25">
      <c r="A71" s="161" t="str">
        <f t="shared" si="1"/>
        <v>_WARRIOR_ETHIOPIA</v>
      </c>
      <c r="B71" s="9" t="s">
        <v>787</v>
      </c>
      <c r="C71" s="4" t="s">
        <v>714</v>
      </c>
      <c r="D71" s="4"/>
      <c r="E71" s="4" t="s">
        <v>743</v>
      </c>
      <c r="F71" s="4" t="s">
        <v>787</v>
      </c>
      <c r="G71" s="4" t="s">
        <v>2047</v>
      </c>
      <c r="H71" s="4" t="s">
        <v>318</v>
      </c>
      <c r="I71" s="4" t="s">
        <v>1796</v>
      </c>
      <c r="J71" s="11"/>
      <c r="K71" s="11"/>
      <c r="L71" s="4"/>
      <c r="M71" s="12"/>
      <c r="N71" s="4"/>
      <c r="O71" s="4"/>
      <c r="P71" s="4"/>
      <c r="Q71" s="9">
        <v>4</v>
      </c>
      <c r="R71" s="11"/>
      <c r="S71" s="4"/>
      <c r="T71" s="11">
        <v>6</v>
      </c>
      <c r="U71" s="11"/>
      <c r="V71" s="4"/>
      <c r="W71" s="11"/>
      <c r="X71" s="11"/>
      <c r="Y71" s="4"/>
      <c r="Z71" s="9">
        <v>1</v>
      </c>
      <c r="AA71" s="11"/>
      <c r="AB71" s="4"/>
      <c r="AC71" s="11"/>
      <c r="AD71" s="11"/>
      <c r="AE71" s="4"/>
      <c r="AF71" s="11">
        <v>1</v>
      </c>
      <c r="AG71" s="11"/>
      <c r="AH71" s="4"/>
      <c r="AI71" s="11">
        <v>2</v>
      </c>
      <c r="AJ71" s="11"/>
      <c r="AK71" s="4"/>
      <c r="AL71" s="4"/>
      <c r="AM71" s="4"/>
      <c r="AN71" s="4"/>
      <c r="AO71" s="4"/>
      <c r="AP71" s="4"/>
      <c r="AQ71" s="4"/>
    </row>
    <row r="72" spans="1:43" s="2" customFormat="1" x14ac:dyDescent="0.25">
      <c r="A72" s="161" t="str">
        <f t="shared" si="1"/>
        <v>_WARRIOR_ETHIOPIA</v>
      </c>
      <c r="B72" s="9" t="s">
        <v>787</v>
      </c>
      <c r="C72" s="4" t="s">
        <v>714</v>
      </c>
      <c r="D72" s="4"/>
      <c r="E72" s="4" t="s">
        <v>743</v>
      </c>
      <c r="F72" s="4" t="s">
        <v>787</v>
      </c>
      <c r="G72" s="4"/>
      <c r="H72" s="4" t="s">
        <v>873</v>
      </c>
      <c r="I72" s="4" t="s">
        <v>1796</v>
      </c>
      <c r="J72" s="11"/>
      <c r="K72" s="11"/>
      <c r="L72" s="4"/>
      <c r="M72" s="12"/>
      <c r="N72" s="4"/>
      <c r="O72" s="4"/>
      <c r="P72" s="4"/>
      <c r="Q72" s="9">
        <v>2</v>
      </c>
      <c r="R72" s="11"/>
      <c r="S72" s="4"/>
      <c r="T72" s="11">
        <v>4</v>
      </c>
      <c r="U72" s="11"/>
      <c r="V72" s="4"/>
      <c r="W72" s="11"/>
      <c r="X72" s="11"/>
      <c r="Y72" s="4"/>
      <c r="Z72" s="9">
        <v>0</v>
      </c>
      <c r="AA72" s="11"/>
      <c r="AB72" s="4"/>
      <c r="AC72" s="11"/>
      <c r="AD72" s="11"/>
      <c r="AE72" s="4"/>
      <c r="AF72" s="11">
        <v>1</v>
      </c>
      <c r="AG72" s="11"/>
      <c r="AH72" s="4"/>
      <c r="AI72" s="11">
        <v>2</v>
      </c>
      <c r="AJ72" s="11"/>
      <c r="AK72" s="4"/>
      <c r="AL72" s="4"/>
      <c r="AM72" s="4"/>
      <c r="AN72" s="4"/>
      <c r="AO72" s="4"/>
      <c r="AP72" s="4"/>
      <c r="AQ72" s="4"/>
    </row>
    <row r="73" spans="1:43" s="2" customFormat="1" x14ac:dyDescent="0.25">
      <c r="A73" s="161" t="str">
        <f t="shared" si="1"/>
        <v>_WARRIOR_ETHIOPIA</v>
      </c>
      <c r="B73" s="9" t="s">
        <v>787</v>
      </c>
      <c r="C73" s="4" t="s">
        <v>714</v>
      </c>
      <c r="D73" s="4"/>
      <c r="E73" s="4" t="s">
        <v>743</v>
      </c>
      <c r="F73" s="4" t="s">
        <v>787</v>
      </c>
      <c r="G73" s="4" t="s">
        <v>2047</v>
      </c>
      <c r="H73" s="4" t="s">
        <v>318</v>
      </c>
      <c r="I73" s="4" t="s">
        <v>1796</v>
      </c>
      <c r="J73" s="11"/>
      <c r="K73" s="11"/>
      <c r="L73" s="4"/>
      <c r="M73" s="12"/>
      <c r="N73" s="4"/>
      <c r="O73" s="4"/>
      <c r="P73" s="4"/>
      <c r="Q73" s="9">
        <v>4</v>
      </c>
      <c r="R73" s="11"/>
      <c r="S73" s="4"/>
      <c r="T73" s="11">
        <v>5</v>
      </c>
      <c r="U73" s="11"/>
      <c r="V73" s="4"/>
      <c r="W73" s="11"/>
      <c r="X73" s="11"/>
      <c r="Y73" s="4"/>
      <c r="Z73" s="9">
        <v>0</v>
      </c>
      <c r="AA73" s="11"/>
      <c r="AB73" s="4"/>
      <c r="AC73" s="11"/>
      <c r="AD73" s="11"/>
      <c r="AE73" s="4"/>
      <c r="AF73" s="11">
        <v>1</v>
      </c>
      <c r="AG73" s="11"/>
      <c r="AH73" s="4"/>
      <c r="AI73" s="11">
        <v>2</v>
      </c>
      <c r="AJ73" s="11"/>
      <c r="AK73" s="4"/>
      <c r="AL73" s="4"/>
      <c r="AM73" s="4"/>
      <c r="AN73" s="4"/>
      <c r="AO73" s="4"/>
      <c r="AP73" s="4"/>
      <c r="AQ73" s="4"/>
    </row>
    <row r="74" spans="1:43" s="2" customFormat="1" x14ac:dyDescent="0.25">
      <c r="A74" s="161" t="str">
        <f t="shared" si="1"/>
        <v>_WARRIOR_MOGADISHU</v>
      </c>
      <c r="B74" s="9" t="s">
        <v>787</v>
      </c>
      <c r="C74" s="4" t="s">
        <v>726</v>
      </c>
      <c r="D74" s="4" t="s">
        <v>733</v>
      </c>
      <c r="E74" s="4" t="s">
        <v>743</v>
      </c>
      <c r="F74" s="4" t="s">
        <v>787</v>
      </c>
      <c r="G74" s="14" t="s">
        <v>132</v>
      </c>
      <c r="H74" s="4"/>
      <c r="I74" s="4"/>
      <c r="J74" s="11"/>
      <c r="K74" s="11"/>
      <c r="L74" s="4"/>
      <c r="M74" s="12"/>
      <c r="N74" s="4"/>
      <c r="O74" s="4"/>
      <c r="P74" s="4"/>
      <c r="Q74" s="9"/>
      <c r="R74" s="11"/>
      <c r="S74" s="4"/>
      <c r="T74" s="9"/>
      <c r="U74" s="11"/>
      <c r="V74" s="4"/>
      <c r="W74" s="9"/>
      <c r="X74" s="11"/>
      <c r="Y74" s="4"/>
      <c r="Z74" s="11"/>
      <c r="AA74" s="11"/>
      <c r="AB74" s="4"/>
      <c r="AC74" s="11"/>
      <c r="AD74" s="11"/>
      <c r="AE74" s="4"/>
      <c r="AF74" s="9"/>
      <c r="AG74" s="11"/>
      <c r="AH74" s="4"/>
      <c r="AI74" s="9"/>
      <c r="AJ74" s="11"/>
      <c r="AK74" s="4"/>
      <c r="AL74" s="4"/>
      <c r="AM74" s="4"/>
      <c r="AN74" s="4"/>
      <c r="AO74" s="4"/>
      <c r="AP74" s="4"/>
      <c r="AQ74" s="4"/>
    </row>
    <row r="75" spans="1:43" s="2" customFormat="1" x14ac:dyDescent="0.25">
      <c r="A75" s="161" t="str">
        <f t="shared" si="1"/>
        <v>_WARRIOR_AMER</v>
      </c>
      <c r="B75" s="9" t="s">
        <v>787</v>
      </c>
      <c r="C75" s="4" t="s">
        <v>697</v>
      </c>
      <c r="D75" s="4"/>
      <c r="E75" s="4" t="s">
        <v>743</v>
      </c>
      <c r="F75" s="4" t="s">
        <v>787</v>
      </c>
      <c r="G75" s="4"/>
      <c r="H75" s="4" t="s">
        <v>457</v>
      </c>
      <c r="I75" s="4" t="s">
        <v>835</v>
      </c>
      <c r="J75" s="11"/>
      <c r="K75" s="11"/>
      <c r="L75" s="4"/>
      <c r="M75" s="12"/>
      <c r="N75" s="4"/>
      <c r="O75" s="4"/>
      <c r="P75" s="4"/>
      <c r="Q75" s="9" t="s">
        <v>1737</v>
      </c>
      <c r="R75" s="11"/>
      <c r="S75" s="4"/>
      <c r="T75" s="9"/>
      <c r="U75" s="11"/>
      <c r="V75" s="4"/>
      <c r="W75" s="9"/>
      <c r="X75" s="11"/>
      <c r="Y75" s="4"/>
      <c r="Z75" s="9"/>
      <c r="AA75" s="11"/>
      <c r="AB75" s="4"/>
      <c r="AC75" s="11"/>
      <c r="AD75" s="11"/>
      <c r="AE75" s="4"/>
      <c r="AF75" s="9"/>
      <c r="AG75" s="11"/>
      <c r="AH75" s="4"/>
      <c r="AI75" s="9"/>
      <c r="AJ75" s="11"/>
      <c r="AK75" s="4"/>
      <c r="AL75" s="4"/>
      <c r="AM75" s="4"/>
      <c r="AN75" s="4"/>
      <c r="AO75" s="4"/>
      <c r="AP75" s="4"/>
      <c r="AQ75" s="4"/>
    </row>
    <row r="76" spans="1:43" s="2" customFormat="1" x14ac:dyDescent="0.25">
      <c r="A76" s="161" t="str">
        <f t="shared" si="1"/>
        <v>_WARRIOR_EASTEU</v>
      </c>
      <c r="B76" s="9" t="s">
        <v>787</v>
      </c>
      <c r="C76" s="4" t="s">
        <v>698</v>
      </c>
      <c r="D76" s="4"/>
      <c r="E76" s="4" t="s">
        <v>743</v>
      </c>
      <c r="F76" s="4" t="s">
        <v>787</v>
      </c>
      <c r="G76" s="4"/>
      <c r="H76" s="4" t="s">
        <v>887</v>
      </c>
      <c r="I76" s="4" t="s">
        <v>1822</v>
      </c>
      <c r="J76" s="11"/>
      <c r="K76" s="11"/>
      <c r="L76" s="4"/>
      <c r="M76" s="12"/>
      <c r="N76" s="4"/>
      <c r="O76" s="4"/>
      <c r="P76" s="4"/>
      <c r="Q76" s="9">
        <v>2</v>
      </c>
      <c r="R76" s="11"/>
      <c r="S76" s="4"/>
      <c r="T76" s="11">
        <v>3</v>
      </c>
      <c r="U76" s="11"/>
      <c r="V76" s="4"/>
      <c r="W76" s="11"/>
      <c r="X76" s="11"/>
      <c r="Y76" s="4"/>
      <c r="Z76" s="9">
        <v>0</v>
      </c>
      <c r="AA76" s="11"/>
      <c r="AB76" s="4"/>
      <c r="AC76" s="11"/>
      <c r="AD76" s="11"/>
      <c r="AE76" s="4"/>
      <c r="AF76" s="11">
        <v>0</v>
      </c>
      <c r="AG76" s="11"/>
      <c r="AH76" s="4"/>
      <c r="AI76" s="11">
        <v>1</v>
      </c>
      <c r="AJ76" s="11"/>
      <c r="AK76" s="4"/>
      <c r="AL76" s="4"/>
      <c r="AM76" s="4"/>
      <c r="AN76" s="4"/>
      <c r="AO76" s="4"/>
      <c r="AP76" s="4"/>
      <c r="AQ76" s="4"/>
    </row>
    <row r="77" spans="1:43" s="2" customFormat="1" x14ac:dyDescent="0.25">
      <c r="A77" s="161" t="str">
        <f t="shared" si="1"/>
        <v>_WARRIOR_EASTEU</v>
      </c>
      <c r="B77" s="9" t="s">
        <v>787</v>
      </c>
      <c r="C77" s="4" t="s">
        <v>698</v>
      </c>
      <c r="D77" s="4"/>
      <c r="E77" s="4" t="s">
        <v>743</v>
      </c>
      <c r="F77" s="4" t="s">
        <v>787</v>
      </c>
      <c r="G77" s="4" t="s">
        <v>2047</v>
      </c>
      <c r="H77" s="4" t="s">
        <v>565</v>
      </c>
      <c r="I77" s="4" t="s">
        <v>1819</v>
      </c>
      <c r="J77" s="11"/>
      <c r="K77" s="11"/>
      <c r="L77" s="4"/>
      <c r="M77" s="12"/>
      <c r="N77" s="4"/>
      <c r="O77" s="4"/>
      <c r="P77" s="4"/>
      <c r="Q77" s="9">
        <v>4</v>
      </c>
      <c r="R77" s="11"/>
      <c r="S77" s="4"/>
      <c r="T77" s="11">
        <v>7</v>
      </c>
      <c r="U77" s="11"/>
      <c r="V77" s="4"/>
      <c r="W77" s="11"/>
      <c r="X77" s="11"/>
      <c r="Y77" s="4"/>
      <c r="Z77" s="9">
        <v>1</v>
      </c>
      <c r="AA77" s="11"/>
      <c r="AB77" s="4"/>
      <c r="AC77" s="11"/>
      <c r="AD77" s="11"/>
      <c r="AE77" s="4"/>
      <c r="AF77" s="11">
        <v>1</v>
      </c>
      <c r="AG77" s="11"/>
      <c r="AH77" s="4"/>
      <c r="AI77" s="11">
        <v>3</v>
      </c>
      <c r="AJ77" s="11"/>
      <c r="AK77" s="4"/>
      <c r="AL77" s="4"/>
      <c r="AM77" s="4"/>
      <c r="AN77" s="4"/>
      <c r="AO77" s="4"/>
      <c r="AP77" s="4"/>
      <c r="AQ77" s="4"/>
    </row>
    <row r="78" spans="1:43" s="2" customFormat="1" x14ac:dyDescent="0.25">
      <c r="A78" s="161" t="str">
        <f t="shared" si="1"/>
        <v>_WARRIOR_EASTEU</v>
      </c>
      <c r="B78" s="9" t="s">
        <v>787</v>
      </c>
      <c r="C78" s="4" t="s">
        <v>698</v>
      </c>
      <c r="D78" s="4"/>
      <c r="E78" s="4" t="s">
        <v>743</v>
      </c>
      <c r="F78" s="4" t="s">
        <v>787</v>
      </c>
      <c r="G78" s="4"/>
      <c r="H78" s="4" t="s">
        <v>887</v>
      </c>
      <c r="I78" s="4" t="s">
        <v>1822</v>
      </c>
      <c r="J78" s="11"/>
      <c r="K78" s="11"/>
      <c r="L78" s="4"/>
      <c r="M78" s="12"/>
      <c r="N78" s="4"/>
      <c r="O78" s="4"/>
      <c r="P78" s="4"/>
      <c r="Q78" s="9">
        <v>2</v>
      </c>
      <c r="R78" s="11"/>
      <c r="S78" s="4"/>
      <c r="T78" s="11">
        <v>2</v>
      </c>
      <c r="U78" s="11"/>
      <c r="V78" s="4"/>
      <c r="W78" s="11"/>
      <c r="X78" s="11"/>
      <c r="Y78" s="4"/>
      <c r="Z78" s="9">
        <v>0</v>
      </c>
      <c r="AA78" s="11"/>
      <c r="AB78" s="4"/>
      <c r="AC78" s="11"/>
      <c r="AD78" s="11"/>
      <c r="AE78" s="4"/>
      <c r="AF78" s="11">
        <v>1</v>
      </c>
      <c r="AG78" s="11"/>
      <c r="AH78" s="4"/>
      <c r="AI78" s="11">
        <v>1</v>
      </c>
      <c r="AJ78" s="11"/>
      <c r="AK78" s="4"/>
      <c r="AL78" s="4"/>
      <c r="AM78" s="4"/>
      <c r="AN78" s="4"/>
      <c r="AO78" s="4"/>
      <c r="AP78" s="4"/>
      <c r="AQ78" s="4"/>
    </row>
    <row r="79" spans="1:43" s="2" customFormat="1" x14ac:dyDescent="0.25">
      <c r="A79" s="161" t="str">
        <f t="shared" si="1"/>
        <v>_WARRIOR_EASTEU</v>
      </c>
      <c r="B79" s="9" t="s">
        <v>787</v>
      </c>
      <c r="C79" s="4" t="s">
        <v>698</v>
      </c>
      <c r="D79" s="4"/>
      <c r="E79" s="4" t="s">
        <v>743</v>
      </c>
      <c r="F79" s="4" t="s">
        <v>787</v>
      </c>
      <c r="G79" s="4" t="s">
        <v>2047</v>
      </c>
      <c r="H79" s="4" t="s">
        <v>565</v>
      </c>
      <c r="I79" s="4" t="s">
        <v>1819</v>
      </c>
      <c r="J79" s="11"/>
      <c r="K79" s="11"/>
      <c r="L79" s="4"/>
      <c r="M79" s="12"/>
      <c r="N79" s="4"/>
      <c r="O79" s="4"/>
      <c r="P79" s="4"/>
      <c r="Q79" s="9">
        <v>4</v>
      </c>
      <c r="R79" s="11"/>
      <c r="S79" s="4"/>
      <c r="T79" s="11">
        <v>6</v>
      </c>
      <c r="U79" s="11"/>
      <c r="V79" s="4"/>
      <c r="W79" s="11"/>
      <c r="X79" s="11"/>
      <c r="Y79" s="4"/>
      <c r="Z79" s="9">
        <v>0</v>
      </c>
      <c r="AA79" s="11"/>
      <c r="AB79" s="4"/>
      <c r="AC79" s="11"/>
      <c r="AD79" s="11"/>
      <c r="AE79" s="4"/>
      <c r="AF79" s="11">
        <v>1</v>
      </c>
      <c r="AG79" s="11"/>
      <c r="AH79" s="4"/>
      <c r="AI79" s="11">
        <v>2</v>
      </c>
      <c r="AJ79" s="11"/>
      <c r="AK79" s="4"/>
      <c r="AL79" s="4"/>
      <c r="AM79" s="4"/>
      <c r="AN79" s="4"/>
      <c r="AO79" s="4"/>
      <c r="AP79" s="4"/>
      <c r="AQ79" s="4"/>
    </row>
    <row r="80" spans="1:43" s="2" customFormat="1" x14ac:dyDescent="0.25">
      <c r="A80" s="161" t="str">
        <f t="shared" si="1"/>
        <v>_WARRIOR_RUSSIA</v>
      </c>
      <c r="B80" s="9" t="s">
        <v>787</v>
      </c>
      <c r="C80" s="4" t="s">
        <v>735</v>
      </c>
      <c r="D80" s="4"/>
      <c r="E80" s="4" t="s">
        <v>743</v>
      </c>
      <c r="F80" s="4" t="s">
        <v>787</v>
      </c>
      <c r="G80" s="4"/>
      <c r="H80" s="4" t="s">
        <v>1008</v>
      </c>
      <c r="I80" s="4" t="s">
        <v>1796</v>
      </c>
      <c r="J80" s="11"/>
      <c r="K80" s="11"/>
      <c r="L80" s="4"/>
      <c r="M80" s="12"/>
      <c r="N80" s="4"/>
      <c r="O80" s="4"/>
      <c r="P80" s="4"/>
      <c r="Q80" s="9">
        <v>3</v>
      </c>
      <c r="R80" s="11"/>
      <c r="S80" s="4"/>
      <c r="T80" s="11">
        <v>5</v>
      </c>
      <c r="U80" s="11"/>
      <c r="V80" s="4"/>
      <c r="W80" s="11"/>
      <c r="X80" s="11"/>
      <c r="Y80" s="4"/>
      <c r="Z80" s="9">
        <v>1</v>
      </c>
      <c r="AA80" s="11"/>
      <c r="AB80" s="4"/>
      <c r="AC80" s="11"/>
      <c r="AD80" s="11"/>
      <c r="AE80" s="4"/>
      <c r="AF80" s="11">
        <v>1</v>
      </c>
      <c r="AG80" s="11"/>
      <c r="AH80" s="4"/>
      <c r="AI80" s="11">
        <v>2</v>
      </c>
      <c r="AJ80" s="11"/>
      <c r="AK80" s="4"/>
      <c r="AL80" s="4"/>
      <c r="AM80" s="4"/>
      <c r="AN80" s="4"/>
      <c r="AO80" s="4"/>
      <c r="AP80" s="4"/>
      <c r="AQ80" s="4"/>
    </row>
    <row r="81" spans="1:43" s="2" customFormat="1" x14ac:dyDescent="0.25">
      <c r="A81" s="161" t="str">
        <f t="shared" si="1"/>
        <v>_WARRIOR_RUSSIA</v>
      </c>
      <c r="B81" s="9" t="s">
        <v>787</v>
      </c>
      <c r="C81" s="4" t="s">
        <v>735</v>
      </c>
      <c r="D81" s="4"/>
      <c r="E81" s="4" t="s">
        <v>743</v>
      </c>
      <c r="F81" s="4" t="s">
        <v>787</v>
      </c>
      <c r="G81" s="4" t="s">
        <v>2047</v>
      </c>
      <c r="H81" s="4" t="s">
        <v>604</v>
      </c>
      <c r="I81" s="4" t="s">
        <v>1796</v>
      </c>
      <c r="J81" s="11"/>
      <c r="K81" s="11"/>
      <c r="L81" s="4"/>
      <c r="M81" s="12"/>
      <c r="N81" s="4"/>
      <c r="O81" s="4"/>
      <c r="P81" s="4"/>
      <c r="Q81" s="9">
        <v>3</v>
      </c>
      <c r="R81" s="11"/>
      <c r="S81" s="4"/>
      <c r="T81" s="11">
        <v>4</v>
      </c>
      <c r="U81" s="11"/>
      <c r="V81" s="4"/>
      <c r="W81" s="11"/>
      <c r="X81" s="11"/>
      <c r="Y81" s="4"/>
      <c r="Z81" s="9">
        <v>0</v>
      </c>
      <c r="AA81" s="11"/>
      <c r="AB81" s="4"/>
      <c r="AC81" s="11"/>
      <c r="AD81" s="11"/>
      <c r="AE81" s="4"/>
      <c r="AF81" s="11">
        <v>1</v>
      </c>
      <c r="AG81" s="11"/>
      <c r="AH81" s="4"/>
      <c r="AI81" s="11">
        <v>2</v>
      </c>
      <c r="AJ81" s="11"/>
      <c r="AK81" s="4"/>
      <c r="AL81" s="4"/>
      <c r="AM81" s="4"/>
      <c r="AN81" s="4"/>
      <c r="AO81" s="4"/>
      <c r="AP81" s="4"/>
      <c r="AQ81" s="4"/>
    </row>
    <row r="82" spans="1:43" s="2" customFormat="1" x14ac:dyDescent="0.25">
      <c r="A82" s="161" t="str">
        <f t="shared" si="1"/>
        <v>_WARRIOR_RUSSIA</v>
      </c>
      <c r="B82" s="9" t="s">
        <v>787</v>
      </c>
      <c r="C82" s="4" t="s">
        <v>735</v>
      </c>
      <c r="D82" s="4"/>
      <c r="E82" s="4" t="s">
        <v>743</v>
      </c>
      <c r="F82" s="4" t="s">
        <v>787</v>
      </c>
      <c r="G82" s="4"/>
      <c r="H82" s="4" t="s">
        <v>1008</v>
      </c>
      <c r="I82" s="4" t="s">
        <v>1796</v>
      </c>
      <c r="J82" s="11"/>
      <c r="K82" s="11"/>
      <c r="L82" s="4"/>
      <c r="M82" s="12"/>
      <c r="N82" s="4"/>
      <c r="O82" s="4"/>
      <c r="P82" s="4"/>
      <c r="Q82" s="9">
        <v>3</v>
      </c>
      <c r="R82" s="11"/>
      <c r="S82" s="4"/>
      <c r="T82" s="11">
        <v>3</v>
      </c>
      <c r="U82" s="11"/>
      <c r="V82" s="4"/>
      <c r="W82" s="11"/>
      <c r="X82" s="11"/>
      <c r="Y82" s="4"/>
      <c r="Z82" s="9">
        <v>0</v>
      </c>
      <c r="AA82" s="11"/>
      <c r="AB82" s="4"/>
      <c r="AC82" s="11"/>
      <c r="AD82" s="11"/>
      <c r="AE82" s="4"/>
      <c r="AF82" s="11">
        <v>1</v>
      </c>
      <c r="AG82" s="11"/>
      <c r="AH82" s="4"/>
      <c r="AI82" s="11">
        <v>1</v>
      </c>
      <c r="AJ82" s="11"/>
      <c r="AK82" s="4"/>
      <c r="AL82" s="4"/>
      <c r="AM82" s="4"/>
      <c r="AN82" s="4"/>
      <c r="AO82" s="4"/>
      <c r="AP82" s="4"/>
      <c r="AQ82" s="4"/>
    </row>
    <row r="83" spans="1:43" s="2" customFormat="1" x14ac:dyDescent="0.25">
      <c r="A83" s="161" t="str">
        <f t="shared" si="1"/>
        <v>_WARRIOR_RUSSIA</v>
      </c>
      <c r="B83" s="9" t="s">
        <v>787</v>
      </c>
      <c r="C83" s="4" t="s">
        <v>735</v>
      </c>
      <c r="D83" s="4"/>
      <c r="E83" s="4" t="s">
        <v>743</v>
      </c>
      <c r="F83" s="4" t="s">
        <v>787</v>
      </c>
      <c r="G83" s="4" t="s">
        <v>2047</v>
      </c>
      <c r="H83" s="4" t="s">
        <v>604</v>
      </c>
      <c r="I83" s="4" t="s">
        <v>1796</v>
      </c>
      <c r="J83" s="11"/>
      <c r="K83" s="11"/>
      <c r="L83" s="4"/>
      <c r="M83" s="12"/>
      <c r="N83" s="4"/>
      <c r="O83" s="4"/>
      <c r="P83" s="4"/>
      <c r="Q83" s="9">
        <v>3</v>
      </c>
      <c r="R83" s="11"/>
      <c r="S83" s="4"/>
      <c r="T83" s="11">
        <v>6</v>
      </c>
      <c r="U83" s="11"/>
      <c r="V83" s="4"/>
      <c r="W83" s="11"/>
      <c r="X83" s="11"/>
      <c r="Y83" s="4"/>
      <c r="Z83" s="9">
        <v>0</v>
      </c>
      <c r="AA83" s="11"/>
      <c r="AB83" s="4"/>
      <c r="AC83" s="11"/>
      <c r="AD83" s="11"/>
      <c r="AE83" s="4"/>
      <c r="AF83" s="11">
        <v>0</v>
      </c>
      <c r="AG83" s="11"/>
      <c r="AH83" s="4"/>
      <c r="AI83" s="11">
        <v>2</v>
      </c>
      <c r="AJ83" s="11"/>
      <c r="AK83" s="4"/>
      <c r="AL83" s="4"/>
      <c r="AM83" s="4"/>
      <c r="AN83" s="4"/>
      <c r="AO83" s="4"/>
      <c r="AP83" s="4"/>
      <c r="AQ83" s="4"/>
    </row>
    <row r="84" spans="1:43" s="2" customFormat="1" x14ac:dyDescent="0.25">
      <c r="A84" s="161" t="str">
        <f t="shared" si="1"/>
        <v>_WARRIOR_AUSTRIA</v>
      </c>
      <c r="B84" s="9" t="s">
        <v>787</v>
      </c>
      <c r="C84" s="4" t="s">
        <v>701</v>
      </c>
      <c r="D84" s="4"/>
      <c r="E84" s="4" t="s">
        <v>743</v>
      </c>
      <c r="F84" s="4" t="s">
        <v>787</v>
      </c>
      <c r="G84" s="4"/>
      <c r="H84" s="4" t="s">
        <v>810</v>
      </c>
      <c r="I84" s="4" t="s">
        <v>1796</v>
      </c>
      <c r="J84" s="11"/>
      <c r="K84" s="11"/>
      <c r="L84" s="4"/>
      <c r="M84" s="12"/>
      <c r="N84" s="4"/>
      <c r="O84" s="4"/>
      <c r="P84" s="4"/>
      <c r="Q84" s="9">
        <v>3</v>
      </c>
      <c r="R84" s="11"/>
      <c r="S84" s="4"/>
      <c r="T84" s="11">
        <v>5</v>
      </c>
      <c r="U84" s="11"/>
      <c r="V84" s="4"/>
      <c r="W84" s="11"/>
      <c r="X84" s="11"/>
      <c r="Y84" s="4"/>
      <c r="Z84" s="9">
        <v>1</v>
      </c>
      <c r="AA84" s="11"/>
      <c r="AB84" s="4"/>
      <c r="AC84" s="11"/>
      <c r="AD84" s="11"/>
      <c r="AE84" s="4"/>
      <c r="AF84" s="11">
        <v>1</v>
      </c>
      <c r="AG84" s="11"/>
      <c r="AH84" s="4"/>
      <c r="AI84" s="11">
        <v>2</v>
      </c>
      <c r="AJ84" s="11"/>
      <c r="AK84" s="4"/>
      <c r="AL84" s="4"/>
      <c r="AM84" s="4"/>
      <c r="AN84" s="4"/>
      <c r="AO84" s="4"/>
      <c r="AP84" s="4"/>
      <c r="AQ84" s="4"/>
    </row>
    <row r="85" spans="1:43" s="2" customFormat="1" x14ac:dyDescent="0.25">
      <c r="A85" s="161" t="str">
        <f t="shared" si="1"/>
        <v>_WARRIOR_AUSTRIA</v>
      </c>
      <c r="B85" s="9" t="s">
        <v>787</v>
      </c>
      <c r="C85" s="4" t="s">
        <v>701</v>
      </c>
      <c r="D85" s="4"/>
      <c r="E85" s="4" t="s">
        <v>743</v>
      </c>
      <c r="F85" s="4" t="s">
        <v>787</v>
      </c>
      <c r="G85" s="4" t="s">
        <v>2047</v>
      </c>
      <c r="H85" s="4" t="s">
        <v>176</v>
      </c>
      <c r="I85" s="4" t="s">
        <v>1796</v>
      </c>
      <c r="J85" s="11"/>
      <c r="K85" s="11"/>
      <c r="L85" s="4"/>
      <c r="M85" s="12"/>
      <c r="N85" s="4"/>
      <c r="O85" s="4"/>
      <c r="P85" s="4"/>
      <c r="Q85" s="9">
        <v>3</v>
      </c>
      <c r="R85" s="11"/>
      <c r="S85" s="4"/>
      <c r="T85" s="11">
        <v>4</v>
      </c>
      <c r="U85" s="11"/>
      <c r="V85" s="4"/>
      <c r="W85" s="11"/>
      <c r="X85" s="11"/>
      <c r="Y85" s="4"/>
      <c r="Z85" s="9">
        <v>0</v>
      </c>
      <c r="AA85" s="11"/>
      <c r="AB85" s="4"/>
      <c r="AC85" s="11"/>
      <c r="AD85" s="11"/>
      <c r="AE85" s="4"/>
      <c r="AF85" s="11">
        <v>1</v>
      </c>
      <c r="AG85" s="11"/>
      <c r="AH85" s="4"/>
      <c r="AI85" s="11">
        <v>2</v>
      </c>
      <c r="AJ85" s="11"/>
      <c r="AK85" s="4"/>
      <c r="AL85" s="4"/>
      <c r="AM85" s="4"/>
      <c r="AN85" s="4"/>
      <c r="AO85" s="4"/>
      <c r="AP85" s="4"/>
      <c r="AQ85" s="4"/>
    </row>
    <row r="86" spans="1:43" s="2" customFormat="1" x14ac:dyDescent="0.25">
      <c r="A86" s="161" t="str">
        <f t="shared" si="1"/>
        <v>_WARRIOR_AUSTRIA</v>
      </c>
      <c r="B86" s="9" t="s">
        <v>787</v>
      </c>
      <c r="C86" s="4" t="s">
        <v>701</v>
      </c>
      <c r="D86" s="4"/>
      <c r="E86" s="4" t="s">
        <v>743</v>
      </c>
      <c r="F86" s="4" t="s">
        <v>787</v>
      </c>
      <c r="G86" s="4"/>
      <c r="H86" s="4" t="s">
        <v>810</v>
      </c>
      <c r="I86" s="4" t="s">
        <v>1796</v>
      </c>
      <c r="J86" s="11"/>
      <c r="K86" s="11"/>
      <c r="L86" s="4"/>
      <c r="M86" s="12"/>
      <c r="N86" s="4"/>
      <c r="O86" s="4"/>
      <c r="P86" s="4"/>
      <c r="Q86" s="9">
        <v>3</v>
      </c>
      <c r="R86" s="11"/>
      <c r="S86" s="4"/>
      <c r="T86" s="11">
        <v>4</v>
      </c>
      <c r="U86" s="11"/>
      <c r="V86" s="4"/>
      <c r="W86" s="11"/>
      <c r="X86" s="11"/>
      <c r="Y86" s="4"/>
      <c r="Z86" s="9">
        <v>0</v>
      </c>
      <c r="AA86" s="11"/>
      <c r="AB86" s="4"/>
      <c r="AC86" s="11"/>
      <c r="AD86" s="11"/>
      <c r="AE86" s="4"/>
      <c r="AF86" s="11">
        <v>1</v>
      </c>
      <c r="AG86" s="11"/>
      <c r="AH86" s="4"/>
      <c r="AI86" s="11">
        <v>1</v>
      </c>
      <c r="AJ86" s="11"/>
      <c r="AK86" s="4"/>
      <c r="AL86" s="4"/>
      <c r="AM86" s="4"/>
      <c r="AN86" s="4"/>
      <c r="AO86" s="4"/>
      <c r="AP86" s="4"/>
      <c r="AQ86" s="4"/>
    </row>
    <row r="87" spans="1:43" s="2" customFormat="1" x14ac:dyDescent="0.25">
      <c r="A87" s="161" t="str">
        <f t="shared" si="1"/>
        <v>_WARRIOR_AUSTRIA</v>
      </c>
      <c r="B87" s="9" t="s">
        <v>787</v>
      </c>
      <c r="C87" s="4" t="s">
        <v>701</v>
      </c>
      <c r="D87" s="4"/>
      <c r="E87" s="4" t="s">
        <v>743</v>
      </c>
      <c r="F87" s="4" t="s">
        <v>787</v>
      </c>
      <c r="G87" s="4" t="s">
        <v>2047</v>
      </c>
      <c r="H87" s="4" t="s">
        <v>176</v>
      </c>
      <c r="I87" s="4" t="s">
        <v>1796</v>
      </c>
      <c r="J87" s="11"/>
      <c r="K87" s="11"/>
      <c r="L87" s="4"/>
      <c r="M87" s="12"/>
      <c r="N87" s="4"/>
      <c r="O87" s="4"/>
      <c r="P87" s="4"/>
      <c r="Q87" s="9">
        <v>3</v>
      </c>
      <c r="R87" s="11"/>
      <c r="S87" s="4"/>
      <c r="T87" s="11">
        <v>5</v>
      </c>
      <c r="U87" s="11"/>
      <c r="V87" s="4"/>
      <c r="W87" s="11"/>
      <c r="X87" s="11"/>
      <c r="Y87" s="4"/>
      <c r="Z87" s="9">
        <v>0</v>
      </c>
      <c r="AA87" s="11"/>
      <c r="AB87" s="4"/>
      <c r="AC87" s="11"/>
      <c r="AD87" s="11"/>
      <c r="AE87" s="4"/>
      <c r="AF87" s="11">
        <v>0</v>
      </c>
      <c r="AG87" s="11"/>
      <c r="AH87" s="4"/>
      <c r="AI87" s="11">
        <v>2</v>
      </c>
      <c r="AJ87" s="11"/>
      <c r="AK87" s="4"/>
      <c r="AL87" s="4"/>
      <c r="AM87" s="4"/>
      <c r="AN87" s="4"/>
      <c r="AO87" s="4"/>
      <c r="AP87" s="4"/>
      <c r="AQ87" s="4"/>
    </row>
    <row r="88" spans="1:43" s="2" customFormat="1" x14ac:dyDescent="0.25">
      <c r="A88" s="161" t="str">
        <f t="shared" si="1"/>
        <v>_WARRIOR_BELGIUM</v>
      </c>
      <c r="B88" s="9" t="s">
        <v>787</v>
      </c>
      <c r="C88" s="4" t="s">
        <v>704</v>
      </c>
      <c r="D88" s="4"/>
      <c r="E88" s="4" t="s">
        <v>743</v>
      </c>
      <c r="F88" s="4" t="s">
        <v>787</v>
      </c>
      <c r="G88" s="14"/>
      <c r="H88" s="4" t="s">
        <v>219</v>
      </c>
      <c r="I88" s="4" t="s">
        <v>1796</v>
      </c>
      <c r="J88" s="11"/>
      <c r="K88" s="11"/>
      <c r="L88" s="4"/>
      <c r="M88" s="12"/>
      <c r="N88" s="4"/>
      <c r="O88" s="4"/>
      <c r="P88" s="4"/>
      <c r="Q88" s="9" t="s">
        <v>1737</v>
      </c>
      <c r="R88" s="11"/>
      <c r="S88" s="4"/>
      <c r="T88" s="9"/>
      <c r="U88" s="11"/>
      <c r="V88" s="4"/>
      <c r="W88" s="9"/>
      <c r="X88" s="11"/>
      <c r="Y88" s="4"/>
      <c r="Z88" s="9"/>
      <c r="AA88" s="11"/>
      <c r="AB88" s="4"/>
      <c r="AC88" s="11"/>
      <c r="AD88" s="11"/>
      <c r="AE88" s="4"/>
      <c r="AF88" s="9"/>
      <c r="AG88" s="11"/>
      <c r="AH88" s="4"/>
      <c r="AI88" s="9"/>
      <c r="AJ88" s="11"/>
      <c r="AK88" s="4"/>
      <c r="AL88" s="4"/>
      <c r="AM88" s="4"/>
      <c r="AN88" s="4"/>
      <c r="AO88" s="4"/>
      <c r="AP88" s="4"/>
      <c r="AQ88" s="4"/>
    </row>
    <row r="89" spans="1:43" s="2" customFormat="1" x14ac:dyDescent="0.25">
      <c r="A89" s="161" t="str">
        <f t="shared" si="1"/>
        <v>_WARRIOR_CELTS</v>
      </c>
      <c r="B89" s="9" t="s">
        <v>787</v>
      </c>
      <c r="C89" s="4" t="s">
        <v>709</v>
      </c>
      <c r="D89" s="4"/>
      <c r="E89" s="4" t="s">
        <v>743</v>
      </c>
      <c r="F89" s="4" t="s">
        <v>787</v>
      </c>
      <c r="G89" s="4"/>
      <c r="H89" s="4" t="s">
        <v>827</v>
      </c>
      <c r="I89" s="4" t="s">
        <v>1796</v>
      </c>
      <c r="J89" s="11"/>
      <c r="K89" s="11"/>
      <c r="L89" s="4"/>
      <c r="M89" s="12"/>
      <c r="N89" s="4"/>
      <c r="O89" s="4"/>
      <c r="P89" s="4"/>
      <c r="Q89" s="9">
        <v>2</v>
      </c>
      <c r="R89" s="11"/>
      <c r="S89" s="4"/>
      <c r="T89" s="11">
        <v>2</v>
      </c>
      <c r="U89" s="11"/>
      <c r="V89" s="4"/>
      <c r="W89" s="11"/>
      <c r="X89" s="11"/>
      <c r="Y89" s="4"/>
      <c r="Z89" s="9">
        <v>1</v>
      </c>
      <c r="AA89" s="11"/>
      <c r="AB89" s="4"/>
      <c r="AC89" s="11"/>
      <c r="AD89" s="11"/>
      <c r="AE89" s="4"/>
      <c r="AF89" s="11">
        <v>1</v>
      </c>
      <c r="AG89" s="11"/>
      <c r="AH89" s="4"/>
      <c r="AI89" s="11">
        <v>1</v>
      </c>
      <c r="AJ89" s="11"/>
      <c r="AK89" s="4"/>
      <c r="AL89" s="4"/>
      <c r="AM89" s="4"/>
      <c r="AN89" s="4"/>
      <c r="AO89" s="4"/>
      <c r="AP89" s="4"/>
      <c r="AQ89" s="4"/>
    </row>
    <row r="90" spans="1:43" s="2" customFormat="1" x14ac:dyDescent="0.25">
      <c r="A90" s="161" t="str">
        <f t="shared" si="1"/>
        <v>_WARRIOR_CELTS</v>
      </c>
      <c r="B90" s="9" t="s">
        <v>787</v>
      </c>
      <c r="C90" s="4" t="s">
        <v>709</v>
      </c>
      <c r="D90" s="4"/>
      <c r="E90" s="4" t="s">
        <v>743</v>
      </c>
      <c r="F90" s="4" t="s">
        <v>787</v>
      </c>
      <c r="G90" s="4" t="s">
        <v>2047</v>
      </c>
      <c r="H90" s="4" t="s">
        <v>828</v>
      </c>
      <c r="I90" s="4" t="s">
        <v>1796</v>
      </c>
      <c r="J90" s="11"/>
      <c r="K90" s="11"/>
      <c r="L90" s="4"/>
      <c r="M90" s="12"/>
      <c r="N90" s="4"/>
      <c r="O90" s="4"/>
      <c r="P90" s="4"/>
      <c r="Q90" s="9">
        <v>2</v>
      </c>
      <c r="R90" s="11"/>
      <c r="S90" s="4"/>
      <c r="T90" s="11">
        <v>3</v>
      </c>
      <c r="U90" s="11"/>
      <c r="V90" s="4"/>
      <c r="W90" s="11"/>
      <c r="X90" s="11"/>
      <c r="Y90" s="4"/>
      <c r="Z90" s="9">
        <v>0</v>
      </c>
      <c r="AA90" s="11"/>
      <c r="AB90" s="4"/>
      <c r="AC90" s="11"/>
      <c r="AD90" s="11"/>
      <c r="AE90" s="4"/>
      <c r="AF90" s="11">
        <v>1</v>
      </c>
      <c r="AG90" s="11"/>
      <c r="AH90" s="4"/>
      <c r="AI90" s="11">
        <v>1</v>
      </c>
      <c r="AJ90" s="11"/>
      <c r="AK90" s="4"/>
      <c r="AL90" s="4"/>
      <c r="AM90" s="4"/>
      <c r="AN90" s="4"/>
      <c r="AO90" s="4"/>
      <c r="AP90" s="4"/>
      <c r="AQ90" s="4"/>
    </row>
    <row r="91" spans="1:43" s="2" customFormat="1" x14ac:dyDescent="0.25">
      <c r="A91" s="161" t="str">
        <f t="shared" si="1"/>
        <v>_WARRIOR_CELTS</v>
      </c>
      <c r="B91" s="9" t="s">
        <v>787</v>
      </c>
      <c r="C91" s="4" t="s">
        <v>709</v>
      </c>
      <c r="D91" s="4"/>
      <c r="E91" s="4" t="s">
        <v>743</v>
      </c>
      <c r="F91" s="4" t="s">
        <v>787</v>
      </c>
      <c r="G91" s="4"/>
      <c r="H91" s="4" t="s">
        <v>827</v>
      </c>
      <c r="I91" s="4" t="s">
        <v>1796</v>
      </c>
      <c r="J91" s="11"/>
      <c r="K91" s="11"/>
      <c r="L91" s="4"/>
      <c r="M91" s="12"/>
      <c r="N91" s="4"/>
      <c r="O91" s="4"/>
      <c r="P91" s="4"/>
      <c r="Q91" s="9">
        <v>2</v>
      </c>
      <c r="R91" s="11"/>
      <c r="S91" s="4"/>
      <c r="T91" s="11">
        <v>4</v>
      </c>
      <c r="U91" s="11"/>
      <c r="V91" s="4"/>
      <c r="W91" s="11"/>
      <c r="X91" s="11"/>
      <c r="Y91" s="4"/>
      <c r="Z91" s="9">
        <v>0</v>
      </c>
      <c r="AA91" s="11"/>
      <c r="AB91" s="4"/>
      <c r="AC91" s="11"/>
      <c r="AD91" s="11"/>
      <c r="AE91" s="4"/>
      <c r="AF91" s="11">
        <v>0</v>
      </c>
      <c r="AG91" s="11"/>
      <c r="AH91" s="4"/>
      <c r="AI91" s="11">
        <v>2</v>
      </c>
      <c r="AJ91" s="11"/>
      <c r="AK91" s="4"/>
      <c r="AL91" s="4"/>
      <c r="AM91" s="4"/>
      <c r="AN91" s="4"/>
      <c r="AO91" s="4"/>
      <c r="AP91" s="4"/>
      <c r="AQ91" s="4"/>
    </row>
    <row r="92" spans="1:43" s="2" customFormat="1" x14ac:dyDescent="0.25">
      <c r="A92" s="161" t="str">
        <f t="shared" si="1"/>
        <v>_WARRIOR_CELTS</v>
      </c>
      <c r="B92" s="9" t="s">
        <v>787</v>
      </c>
      <c r="C92" s="4" t="s">
        <v>709</v>
      </c>
      <c r="D92" s="4"/>
      <c r="E92" s="4" t="s">
        <v>743</v>
      </c>
      <c r="F92" s="4" t="s">
        <v>787</v>
      </c>
      <c r="G92" s="4" t="s">
        <v>2047</v>
      </c>
      <c r="H92" s="4" t="s">
        <v>828</v>
      </c>
      <c r="I92" s="4" t="s">
        <v>1796</v>
      </c>
      <c r="J92" s="11"/>
      <c r="K92" s="11"/>
      <c r="L92" s="4"/>
      <c r="M92" s="12"/>
      <c r="N92" s="4"/>
      <c r="O92" s="4"/>
      <c r="P92" s="4"/>
      <c r="Q92" s="9">
        <v>2</v>
      </c>
      <c r="R92" s="11"/>
      <c r="S92" s="4"/>
      <c r="T92" s="11">
        <v>3</v>
      </c>
      <c r="U92" s="11"/>
      <c r="V92" s="4"/>
      <c r="W92" s="11"/>
      <c r="X92" s="11"/>
      <c r="Y92" s="4"/>
      <c r="Z92" s="9">
        <v>0</v>
      </c>
      <c r="AA92" s="11"/>
      <c r="AB92" s="4"/>
      <c r="AC92" s="11"/>
      <c r="AD92" s="11"/>
      <c r="AE92" s="4"/>
      <c r="AF92" s="11">
        <v>0</v>
      </c>
      <c r="AG92" s="11"/>
      <c r="AH92" s="4"/>
      <c r="AI92" s="11">
        <v>1</v>
      </c>
      <c r="AJ92" s="11"/>
      <c r="AK92" s="4"/>
      <c r="AL92" s="4"/>
      <c r="AM92" s="4"/>
      <c r="AN92" s="4"/>
      <c r="AO92" s="4"/>
      <c r="AP92" s="4"/>
      <c r="AQ92" s="4"/>
    </row>
    <row r="93" spans="1:43" s="2" customFormat="1" x14ac:dyDescent="0.25">
      <c r="A93" s="161" t="str">
        <f>CONCATENATE(E93,IF(ISBLANK(C93),"",CONCATENATE("_",C93)))</f>
        <v>_WARRIOR_CELTS</v>
      </c>
      <c r="B93" s="9" t="s">
        <v>787</v>
      </c>
      <c r="C93" s="4" t="s">
        <v>709</v>
      </c>
      <c r="D93" s="4"/>
      <c r="E93" s="4" t="s">
        <v>743</v>
      </c>
      <c r="F93" s="4" t="s">
        <v>787</v>
      </c>
      <c r="G93" s="4"/>
      <c r="H93" s="4" t="s">
        <v>827</v>
      </c>
      <c r="I93" s="4" t="s">
        <v>1796</v>
      </c>
      <c r="J93" s="11"/>
      <c r="K93" s="11"/>
      <c r="L93" s="4"/>
      <c r="M93" s="12"/>
      <c r="N93" s="4"/>
      <c r="O93" s="4"/>
      <c r="P93" s="4"/>
      <c r="Q93" s="9">
        <v>2</v>
      </c>
      <c r="R93" s="11"/>
      <c r="S93" s="4"/>
      <c r="T93" s="11">
        <v>4</v>
      </c>
      <c r="U93" s="11"/>
      <c r="V93" s="4"/>
      <c r="W93" s="11"/>
      <c r="X93" s="11"/>
      <c r="Y93" s="4"/>
      <c r="Z93" s="9">
        <v>0</v>
      </c>
      <c r="AA93" s="11"/>
      <c r="AB93" s="4"/>
      <c r="AC93" s="11"/>
      <c r="AD93" s="11"/>
      <c r="AE93" s="4"/>
      <c r="AF93" s="11">
        <v>0</v>
      </c>
      <c r="AG93" s="11"/>
      <c r="AH93" s="4"/>
      <c r="AI93" s="11">
        <v>1</v>
      </c>
      <c r="AJ93" s="11"/>
      <c r="AK93" s="4"/>
      <c r="AL93" s="4"/>
      <c r="AM93" s="4"/>
      <c r="AN93" s="4"/>
      <c r="AO93" s="4"/>
      <c r="AP93" s="4"/>
      <c r="AQ93" s="4"/>
    </row>
    <row r="94" spans="1:43" s="2" customFormat="1" x14ac:dyDescent="0.25">
      <c r="A94" s="161" t="str">
        <f>CONCATENATE(E94,IF(ISBLANK(C94),"",CONCATENATE("_",C94)))</f>
        <v>_WARRIOR_CELTS</v>
      </c>
      <c r="B94" s="9" t="s">
        <v>787</v>
      </c>
      <c r="C94" s="4" t="s">
        <v>709</v>
      </c>
      <c r="D94" s="4"/>
      <c r="E94" s="4" t="s">
        <v>743</v>
      </c>
      <c r="F94" s="4" t="s">
        <v>787</v>
      </c>
      <c r="G94" s="4" t="s">
        <v>2047</v>
      </c>
      <c r="H94" s="4" t="s">
        <v>828</v>
      </c>
      <c r="I94" s="4" t="s">
        <v>1796</v>
      </c>
      <c r="J94" s="11"/>
      <c r="K94" s="11"/>
      <c r="L94" s="4"/>
      <c r="M94" s="12"/>
      <c r="N94" s="4"/>
      <c r="O94" s="4"/>
      <c r="P94" s="4"/>
      <c r="Q94" s="9">
        <v>2</v>
      </c>
      <c r="R94" s="11"/>
      <c r="S94" s="4"/>
      <c r="T94" s="11">
        <v>2</v>
      </c>
      <c r="U94" s="11"/>
      <c r="V94" s="4"/>
      <c r="W94" s="11"/>
      <c r="X94" s="11"/>
      <c r="Y94" s="4"/>
      <c r="Z94" s="9">
        <v>0</v>
      </c>
      <c r="AA94" s="11"/>
      <c r="AB94" s="4"/>
      <c r="AC94" s="11"/>
      <c r="AD94" s="11"/>
      <c r="AE94" s="4"/>
      <c r="AF94" s="11">
        <v>0</v>
      </c>
      <c r="AG94" s="11"/>
      <c r="AH94" s="4"/>
      <c r="AI94" s="11">
        <v>1</v>
      </c>
      <c r="AJ94" s="11"/>
      <c r="AK94" s="4"/>
      <c r="AL94" s="4"/>
      <c r="AM94" s="4"/>
      <c r="AN94" s="4"/>
      <c r="AO94" s="4"/>
      <c r="AP94" s="4"/>
      <c r="AQ94" s="4"/>
    </row>
    <row r="95" spans="1:43" s="2" customFormat="1" x14ac:dyDescent="0.25">
      <c r="A95" s="161" t="str">
        <f t="shared" si="1"/>
        <v>_WARRIOR_ENGLAND</v>
      </c>
      <c r="B95" s="9" t="s">
        <v>787</v>
      </c>
      <c r="C95" s="4" t="s">
        <v>713</v>
      </c>
      <c r="D95" s="4"/>
      <c r="E95" s="4" t="s">
        <v>743</v>
      </c>
      <c r="F95" s="4" t="s">
        <v>787</v>
      </c>
      <c r="G95" s="4"/>
      <c r="H95" s="4" t="s">
        <v>869</v>
      </c>
      <c r="I95" s="4" t="s">
        <v>1796</v>
      </c>
      <c r="J95" s="11"/>
      <c r="K95" s="11"/>
      <c r="L95" s="4"/>
      <c r="M95" s="12"/>
      <c r="N95" s="4"/>
      <c r="O95" s="4"/>
      <c r="P95" s="4"/>
      <c r="Q95" s="9">
        <v>3</v>
      </c>
      <c r="R95" s="11"/>
      <c r="S95" s="4"/>
      <c r="T95" s="11">
        <v>5</v>
      </c>
      <c r="U95" s="11"/>
      <c r="V95" s="4"/>
      <c r="W95" s="11"/>
      <c r="X95" s="11"/>
      <c r="Y95" s="4"/>
      <c r="Z95" s="9">
        <v>1</v>
      </c>
      <c r="AA95" s="11"/>
      <c r="AB95" s="4"/>
      <c r="AC95" s="11"/>
      <c r="AD95" s="11"/>
      <c r="AE95" s="4"/>
      <c r="AF95" s="11">
        <v>1</v>
      </c>
      <c r="AG95" s="11"/>
      <c r="AH95" s="4"/>
      <c r="AI95" s="11">
        <v>2</v>
      </c>
      <c r="AJ95" s="11"/>
      <c r="AK95" s="4"/>
      <c r="AL95" s="4"/>
      <c r="AM95" s="4"/>
      <c r="AN95" s="4"/>
      <c r="AO95" s="4"/>
      <c r="AP95" s="4"/>
      <c r="AQ95" s="4"/>
    </row>
    <row r="96" spans="1:43" s="2" customFormat="1" x14ac:dyDescent="0.25">
      <c r="A96" s="161" t="str">
        <f t="shared" si="1"/>
        <v>_WARRIOR_ENGLAND</v>
      </c>
      <c r="B96" s="9" t="s">
        <v>787</v>
      </c>
      <c r="C96" s="4" t="s">
        <v>713</v>
      </c>
      <c r="D96" s="4"/>
      <c r="E96" s="4" t="s">
        <v>743</v>
      </c>
      <c r="F96" s="4" t="s">
        <v>787</v>
      </c>
      <c r="G96" s="4" t="s">
        <v>2047</v>
      </c>
      <c r="H96" s="4" t="s">
        <v>289</v>
      </c>
      <c r="I96" s="4" t="s">
        <v>1796</v>
      </c>
      <c r="J96" s="11"/>
      <c r="K96" s="11"/>
      <c r="L96" s="4"/>
      <c r="M96" s="12"/>
      <c r="N96" s="4"/>
      <c r="O96" s="4"/>
      <c r="P96" s="4"/>
      <c r="Q96" s="9">
        <v>3</v>
      </c>
      <c r="R96" s="11"/>
      <c r="S96" s="4"/>
      <c r="T96" s="11">
        <v>4</v>
      </c>
      <c r="U96" s="11"/>
      <c r="V96" s="4"/>
      <c r="W96" s="11"/>
      <c r="X96" s="11"/>
      <c r="Y96" s="4"/>
      <c r="Z96" s="9">
        <v>0</v>
      </c>
      <c r="AA96" s="11"/>
      <c r="AB96" s="4"/>
      <c r="AC96" s="11"/>
      <c r="AD96" s="11"/>
      <c r="AE96" s="4"/>
      <c r="AF96" s="11">
        <v>1</v>
      </c>
      <c r="AG96" s="11"/>
      <c r="AH96" s="4"/>
      <c r="AI96" s="11">
        <v>2</v>
      </c>
      <c r="AJ96" s="11"/>
      <c r="AK96" s="4"/>
      <c r="AL96" s="4"/>
      <c r="AM96" s="4"/>
      <c r="AN96" s="4"/>
      <c r="AO96" s="4"/>
      <c r="AP96" s="4"/>
      <c r="AQ96" s="4"/>
    </row>
    <row r="97" spans="1:43" s="2" customFormat="1" x14ac:dyDescent="0.25">
      <c r="A97" s="161" t="str">
        <f t="shared" si="1"/>
        <v>_WARRIOR_ENGLAND</v>
      </c>
      <c r="B97" s="9" t="s">
        <v>787</v>
      </c>
      <c r="C97" s="4" t="s">
        <v>713</v>
      </c>
      <c r="D97" s="4"/>
      <c r="E97" s="4" t="s">
        <v>743</v>
      </c>
      <c r="F97" s="4" t="s">
        <v>787</v>
      </c>
      <c r="G97" s="4"/>
      <c r="H97" s="4" t="s">
        <v>869</v>
      </c>
      <c r="I97" s="4" t="s">
        <v>1796</v>
      </c>
      <c r="J97" s="11"/>
      <c r="K97" s="11"/>
      <c r="L97" s="4"/>
      <c r="M97" s="12"/>
      <c r="N97" s="4"/>
      <c r="O97" s="4"/>
      <c r="P97" s="4"/>
      <c r="Q97" s="9">
        <v>3</v>
      </c>
      <c r="R97" s="11"/>
      <c r="S97" s="4"/>
      <c r="T97" s="11">
        <v>4</v>
      </c>
      <c r="U97" s="11"/>
      <c r="V97" s="4"/>
      <c r="W97" s="11"/>
      <c r="X97" s="11"/>
      <c r="Y97" s="4"/>
      <c r="Z97" s="9">
        <v>0</v>
      </c>
      <c r="AA97" s="11"/>
      <c r="AB97" s="4"/>
      <c r="AC97" s="11"/>
      <c r="AD97" s="11"/>
      <c r="AE97" s="4"/>
      <c r="AF97" s="11">
        <v>1</v>
      </c>
      <c r="AG97" s="11"/>
      <c r="AH97" s="4"/>
      <c r="AI97" s="11">
        <v>1</v>
      </c>
      <c r="AJ97" s="11"/>
      <c r="AK97" s="4"/>
      <c r="AL97" s="4"/>
      <c r="AM97" s="4"/>
      <c r="AN97" s="4"/>
      <c r="AO97" s="4"/>
      <c r="AP97" s="4"/>
      <c r="AQ97" s="4"/>
    </row>
    <row r="98" spans="1:43" s="2" customFormat="1" x14ac:dyDescent="0.25">
      <c r="A98" s="161" t="str">
        <f t="shared" si="1"/>
        <v>_WARRIOR_ENGLAND</v>
      </c>
      <c r="B98" s="9" t="s">
        <v>787</v>
      </c>
      <c r="C98" s="4" t="s">
        <v>713</v>
      </c>
      <c r="D98" s="4"/>
      <c r="E98" s="4" t="s">
        <v>743</v>
      </c>
      <c r="F98" s="4" t="s">
        <v>787</v>
      </c>
      <c r="G98" s="4" t="s">
        <v>2047</v>
      </c>
      <c r="H98" s="4" t="s">
        <v>289</v>
      </c>
      <c r="I98" s="4" t="s">
        <v>1796</v>
      </c>
      <c r="J98" s="11"/>
      <c r="K98" s="11"/>
      <c r="L98" s="4"/>
      <c r="M98" s="12"/>
      <c r="N98" s="4"/>
      <c r="O98" s="4"/>
      <c r="P98" s="4"/>
      <c r="Q98" s="9">
        <v>3</v>
      </c>
      <c r="R98" s="11"/>
      <c r="S98" s="4"/>
      <c r="T98" s="11">
        <v>5</v>
      </c>
      <c r="U98" s="11"/>
      <c r="V98" s="4"/>
      <c r="W98" s="11"/>
      <c r="X98" s="11"/>
      <c r="Y98" s="4"/>
      <c r="Z98" s="9">
        <v>0</v>
      </c>
      <c r="AA98" s="11"/>
      <c r="AB98" s="4"/>
      <c r="AC98" s="11"/>
      <c r="AD98" s="11"/>
      <c r="AE98" s="4"/>
      <c r="AF98" s="11">
        <v>0</v>
      </c>
      <c r="AG98" s="11"/>
      <c r="AH98" s="4"/>
      <c r="AI98" s="11">
        <v>2</v>
      </c>
      <c r="AJ98" s="11"/>
      <c r="AK98" s="4"/>
      <c r="AL98" s="4"/>
      <c r="AM98" s="4"/>
      <c r="AN98" s="4"/>
      <c r="AO98" s="4"/>
      <c r="AP98" s="4"/>
      <c r="AQ98" s="4"/>
    </row>
    <row r="99" spans="1:43" s="2" customFormat="1" x14ac:dyDescent="0.25">
      <c r="A99" s="161" t="str">
        <f t="shared" si="1"/>
        <v>_WARRIOR_FRANCE</v>
      </c>
      <c r="B99" s="9" t="s">
        <v>787</v>
      </c>
      <c r="C99" s="4" t="s">
        <v>715</v>
      </c>
      <c r="D99" s="4"/>
      <c r="E99" s="4" t="s">
        <v>743</v>
      </c>
      <c r="F99" s="4" t="s">
        <v>787</v>
      </c>
      <c r="G99" s="4"/>
      <c r="H99" s="4" t="s">
        <v>882</v>
      </c>
      <c r="I99" s="4" t="s">
        <v>1796</v>
      </c>
      <c r="J99" s="11"/>
      <c r="K99" s="11"/>
      <c r="L99" s="4"/>
      <c r="M99" s="12"/>
      <c r="N99" s="4"/>
      <c r="O99" s="4"/>
      <c r="P99" s="4"/>
      <c r="Q99" s="9">
        <v>3</v>
      </c>
      <c r="R99" s="11">
        <v>0.15</v>
      </c>
      <c r="S99" s="4"/>
      <c r="T99" s="11">
        <v>5</v>
      </c>
      <c r="U99" s="11">
        <v>9.5000000000000001E-2</v>
      </c>
      <c r="V99" s="4"/>
      <c r="W99" s="11"/>
      <c r="X99" s="11" t="s">
        <v>3</v>
      </c>
      <c r="Y99" s="4"/>
      <c r="Z99" s="9">
        <v>1</v>
      </c>
      <c r="AA99" s="11"/>
      <c r="AB99" s="4"/>
      <c r="AC99" s="11"/>
      <c r="AD99" s="11"/>
      <c r="AE99" s="4"/>
      <c r="AF99" s="11">
        <v>1</v>
      </c>
      <c r="AG99" s="11"/>
      <c r="AH99" s="4"/>
      <c r="AI99" s="11">
        <v>2</v>
      </c>
      <c r="AJ99" s="11"/>
      <c r="AK99" s="4"/>
      <c r="AL99" s="4"/>
      <c r="AM99" s="4"/>
      <c r="AN99" s="4"/>
      <c r="AO99" s="4"/>
      <c r="AP99" s="4"/>
      <c r="AQ99" s="4"/>
    </row>
    <row r="100" spans="1:43" s="2" customFormat="1" x14ac:dyDescent="0.25">
      <c r="A100" s="161" t="str">
        <f t="shared" si="1"/>
        <v>_WARRIOR_FRANCE</v>
      </c>
      <c r="B100" s="9" t="s">
        <v>787</v>
      </c>
      <c r="C100" s="4" t="s">
        <v>715</v>
      </c>
      <c r="D100" s="4"/>
      <c r="E100" s="4" t="s">
        <v>743</v>
      </c>
      <c r="F100" s="4" t="s">
        <v>787</v>
      </c>
      <c r="G100" s="4" t="s">
        <v>2047</v>
      </c>
      <c r="H100" s="4" t="s">
        <v>333</v>
      </c>
      <c r="I100" s="4" t="s">
        <v>1796</v>
      </c>
      <c r="J100" s="11"/>
      <c r="K100" s="11"/>
      <c r="L100" s="4"/>
      <c r="M100" s="12"/>
      <c r="N100" s="4"/>
      <c r="O100" s="4"/>
      <c r="P100" s="4"/>
      <c r="Q100" s="9">
        <v>3</v>
      </c>
      <c r="R100" s="11">
        <v>0.15</v>
      </c>
      <c r="S100" s="4"/>
      <c r="T100" s="11">
        <v>4</v>
      </c>
      <c r="U100" s="11">
        <v>9.5000000000000001E-2</v>
      </c>
      <c r="V100" s="4"/>
      <c r="W100" s="11"/>
      <c r="X100" s="11" t="s">
        <v>3</v>
      </c>
      <c r="Y100" s="4"/>
      <c r="Z100" s="9">
        <v>0</v>
      </c>
      <c r="AA100" s="11"/>
      <c r="AB100" s="4"/>
      <c r="AC100" s="11"/>
      <c r="AD100" s="11"/>
      <c r="AE100" s="4"/>
      <c r="AF100" s="11">
        <v>1</v>
      </c>
      <c r="AG100" s="11"/>
      <c r="AH100" s="4"/>
      <c r="AI100" s="11">
        <v>2</v>
      </c>
      <c r="AJ100" s="11"/>
      <c r="AK100" s="4"/>
      <c r="AL100" s="4"/>
      <c r="AM100" s="4"/>
      <c r="AN100" s="4"/>
      <c r="AO100" s="4"/>
      <c r="AP100" s="4"/>
      <c r="AQ100" s="4"/>
    </row>
    <row r="101" spans="1:43" s="2" customFormat="1" x14ac:dyDescent="0.25">
      <c r="A101" s="161" t="str">
        <f t="shared" si="1"/>
        <v>_WARRIOR_FRANCE</v>
      </c>
      <c r="B101" s="9" t="s">
        <v>787</v>
      </c>
      <c r="C101" s="4" t="s">
        <v>715</v>
      </c>
      <c r="D101" s="4"/>
      <c r="E101" s="4" t="s">
        <v>743</v>
      </c>
      <c r="F101" s="4" t="s">
        <v>787</v>
      </c>
      <c r="G101" s="4"/>
      <c r="H101" s="4" t="s">
        <v>882</v>
      </c>
      <c r="I101" s="4" t="s">
        <v>1796</v>
      </c>
      <c r="J101" s="11"/>
      <c r="K101" s="11"/>
      <c r="L101" s="4"/>
      <c r="M101" s="12"/>
      <c r="N101" s="4"/>
      <c r="O101" s="4"/>
      <c r="P101" s="4"/>
      <c r="Q101" s="9">
        <v>3</v>
      </c>
      <c r="R101" s="11">
        <v>0.15</v>
      </c>
      <c r="S101" s="4"/>
      <c r="T101" s="11">
        <v>4</v>
      </c>
      <c r="U101" s="11">
        <v>9.5000000000000001E-2</v>
      </c>
      <c r="V101" s="4"/>
      <c r="W101" s="11"/>
      <c r="X101" s="11" t="s">
        <v>3</v>
      </c>
      <c r="Y101" s="4"/>
      <c r="Z101" s="9">
        <v>0</v>
      </c>
      <c r="AA101" s="11"/>
      <c r="AB101" s="4"/>
      <c r="AC101" s="11"/>
      <c r="AD101" s="11"/>
      <c r="AE101" s="4"/>
      <c r="AF101" s="11">
        <v>1</v>
      </c>
      <c r="AG101" s="11"/>
      <c r="AH101" s="4"/>
      <c r="AI101" s="11">
        <v>1</v>
      </c>
      <c r="AJ101" s="11"/>
      <c r="AK101" s="4"/>
      <c r="AL101" s="4"/>
      <c r="AM101" s="4"/>
      <c r="AN101" s="4"/>
      <c r="AO101" s="4"/>
      <c r="AP101" s="4"/>
      <c r="AQ101" s="4"/>
    </row>
    <row r="102" spans="1:43" s="2" customFormat="1" x14ac:dyDescent="0.25">
      <c r="A102" s="161" t="str">
        <f t="shared" si="1"/>
        <v>_WARRIOR_FRANCE</v>
      </c>
      <c r="B102" s="9" t="s">
        <v>787</v>
      </c>
      <c r="C102" s="4" t="s">
        <v>715</v>
      </c>
      <c r="D102" s="4"/>
      <c r="E102" s="4" t="s">
        <v>743</v>
      </c>
      <c r="F102" s="4" t="s">
        <v>787</v>
      </c>
      <c r="G102" s="4" t="s">
        <v>2047</v>
      </c>
      <c r="H102" s="4" t="s">
        <v>333</v>
      </c>
      <c r="I102" s="4" t="s">
        <v>1796</v>
      </c>
      <c r="J102" s="11"/>
      <c r="K102" s="11"/>
      <c r="L102" s="4"/>
      <c r="M102" s="12"/>
      <c r="N102" s="4"/>
      <c r="O102" s="4"/>
      <c r="P102" s="4"/>
      <c r="Q102" s="9">
        <v>3</v>
      </c>
      <c r="R102" s="11">
        <v>0.15</v>
      </c>
      <c r="S102" s="4"/>
      <c r="T102" s="11">
        <v>5</v>
      </c>
      <c r="U102" s="11">
        <v>9.5000000000000001E-2</v>
      </c>
      <c r="V102" s="4"/>
      <c r="W102" s="11"/>
      <c r="X102" s="11" t="s">
        <v>3</v>
      </c>
      <c r="Y102" s="4"/>
      <c r="Z102" s="9">
        <v>0</v>
      </c>
      <c r="AA102" s="11"/>
      <c r="AB102" s="4"/>
      <c r="AC102" s="11"/>
      <c r="AD102" s="11"/>
      <c r="AE102" s="4"/>
      <c r="AF102" s="11">
        <v>0</v>
      </c>
      <c r="AG102" s="11"/>
      <c r="AH102" s="4"/>
      <c r="AI102" s="11">
        <v>2</v>
      </c>
      <c r="AJ102" s="11"/>
      <c r="AK102" s="4"/>
      <c r="AL102" s="4"/>
      <c r="AM102" s="4"/>
      <c r="AN102" s="4"/>
      <c r="AO102" s="4"/>
      <c r="AP102" s="4"/>
      <c r="AQ102" s="4"/>
    </row>
    <row r="103" spans="1:43" s="2" customFormat="1" x14ac:dyDescent="0.25">
      <c r="A103" s="161" t="str">
        <f t="shared" si="1"/>
        <v>_WARRIOR_GERMANY</v>
      </c>
      <c r="B103" s="9" t="s">
        <v>787</v>
      </c>
      <c r="C103" s="4" t="s">
        <v>717</v>
      </c>
      <c r="D103" s="4"/>
      <c r="E103" s="4" t="s">
        <v>743</v>
      </c>
      <c r="F103" s="4" t="s">
        <v>787</v>
      </c>
      <c r="G103" s="4"/>
      <c r="H103" s="4" t="s">
        <v>885</v>
      </c>
      <c r="I103" s="4" t="s">
        <v>1796</v>
      </c>
      <c r="J103" s="11"/>
      <c r="K103" s="11"/>
      <c r="L103" s="4"/>
      <c r="M103" s="12"/>
      <c r="N103" s="4"/>
      <c r="O103" s="4"/>
      <c r="P103" s="4"/>
      <c r="Q103" s="9">
        <v>2</v>
      </c>
      <c r="R103" s="11"/>
      <c r="S103" s="4"/>
      <c r="T103" s="11">
        <v>3</v>
      </c>
      <c r="U103" s="11"/>
      <c r="V103" s="4"/>
      <c r="W103" s="11"/>
      <c r="X103" s="11"/>
      <c r="Y103" s="4"/>
      <c r="Z103" s="9">
        <v>1</v>
      </c>
      <c r="AA103" s="11"/>
      <c r="AB103" s="4"/>
      <c r="AC103" s="11"/>
      <c r="AD103" s="11"/>
      <c r="AE103" s="4"/>
      <c r="AF103" s="11">
        <v>1</v>
      </c>
      <c r="AG103" s="11"/>
      <c r="AH103" s="4"/>
      <c r="AI103" s="11">
        <v>1</v>
      </c>
      <c r="AJ103" s="11"/>
      <c r="AK103" s="4"/>
      <c r="AL103" s="4"/>
      <c r="AM103" s="4"/>
      <c r="AN103" s="4"/>
      <c r="AO103" s="4"/>
      <c r="AP103" s="4"/>
      <c r="AQ103" s="4"/>
    </row>
    <row r="104" spans="1:43" s="2" customFormat="1" x14ac:dyDescent="0.25">
      <c r="A104" s="161" t="str">
        <f t="shared" si="1"/>
        <v>_WARRIOR_GERMANY</v>
      </c>
      <c r="B104" s="9" t="s">
        <v>787</v>
      </c>
      <c r="C104" s="4" t="s">
        <v>717</v>
      </c>
      <c r="D104" s="4"/>
      <c r="E104" s="4" t="s">
        <v>743</v>
      </c>
      <c r="F104" s="4" t="s">
        <v>787</v>
      </c>
      <c r="G104" s="4" t="s">
        <v>2047</v>
      </c>
      <c r="H104" s="4" t="s">
        <v>886</v>
      </c>
      <c r="I104" s="4" t="s">
        <v>1796</v>
      </c>
      <c r="J104" s="11"/>
      <c r="K104" s="11"/>
      <c r="L104" s="4"/>
      <c r="M104" s="12"/>
      <c r="N104" s="4"/>
      <c r="O104" s="4"/>
      <c r="P104" s="4"/>
      <c r="Q104" s="9">
        <v>1</v>
      </c>
      <c r="R104" s="11"/>
      <c r="S104" s="4"/>
      <c r="T104" s="11">
        <v>2</v>
      </c>
      <c r="U104" s="11"/>
      <c r="V104" s="4"/>
      <c r="W104" s="11"/>
      <c r="X104" s="11"/>
      <c r="Y104" s="4"/>
      <c r="Z104" s="9">
        <v>0</v>
      </c>
      <c r="AA104" s="11"/>
      <c r="AB104" s="4"/>
      <c r="AC104" s="11"/>
      <c r="AD104" s="11"/>
      <c r="AE104" s="4"/>
      <c r="AF104" s="11">
        <v>1</v>
      </c>
      <c r="AG104" s="11"/>
      <c r="AH104" s="4"/>
      <c r="AI104" s="11">
        <v>1</v>
      </c>
      <c r="AJ104" s="11"/>
      <c r="AK104" s="4"/>
      <c r="AL104" s="4"/>
      <c r="AM104" s="4"/>
      <c r="AN104" s="4"/>
      <c r="AO104" s="4"/>
      <c r="AP104" s="4"/>
      <c r="AQ104" s="4"/>
    </row>
    <row r="105" spans="1:43" s="2" customFormat="1" x14ac:dyDescent="0.25">
      <c r="A105" s="161" t="str">
        <f t="shared" si="1"/>
        <v>_WARRIOR_GERMANY</v>
      </c>
      <c r="B105" s="9" t="s">
        <v>787</v>
      </c>
      <c r="C105" s="4" t="s">
        <v>717</v>
      </c>
      <c r="D105" s="4"/>
      <c r="E105" s="4" t="s">
        <v>743</v>
      </c>
      <c r="F105" s="4" t="s">
        <v>787</v>
      </c>
      <c r="G105" s="4" t="s">
        <v>2049</v>
      </c>
      <c r="H105" s="4" t="s">
        <v>887</v>
      </c>
      <c r="I105" s="4" t="s">
        <v>1822</v>
      </c>
      <c r="J105" s="11"/>
      <c r="K105" s="11"/>
      <c r="L105" s="4"/>
      <c r="M105" s="12"/>
      <c r="N105" s="4"/>
      <c r="O105" s="4"/>
      <c r="P105" s="4"/>
      <c r="Q105" s="9">
        <v>1</v>
      </c>
      <c r="R105" s="11"/>
      <c r="S105" s="4"/>
      <c r="T105" s="11">
        <v>2</v>
      </c>
      <c r="U105" s="11"/>
      <c r="V105" s="4"/>
      <c r="W105" s="11"/>
      <c r="X105" s="11"/>
      <c r="Y105" s="4"/>
      <c r="Z105" s="9">
        <v>0</v>
      </c>
      <c r="AA105" s="11"/>
      <c r="AB105" s="4"/>
      <c r="AC105" s="11"/>
      <c r="AD105" s="11"/>
      <c r="AE105" s="4"/>
      <c r="AF105" s="11">
        <v>1</v>
      </c>
      <c r="AG105" s="11"/>
      <c r="AH105" s="4"/>
      <c r="AI105" s="11">
        <v>1</v>
      </c>
      <c r="AJ105" s="11"/>
      <c r="AK105" s="4"/>
      <c r="AL105" s="4"/>
      <c r="AM105" s="4"/>
      <c r="AN105" s="4"/>
      <c r="AO105" s="4"/>
      <c r="AP105" s="4"/>
      <c r="AQ105" s="4"/>
    </row>
    <row r="106" spans="1:43" s="2" customFormat="1" x14ac:dyDescent="0.25">
      <c r="A106" s="161" t="str">
        <f t="shared" si="1"/>
        <v>_WARRIOR_GERMANY</v>
      </c>
      <c r="B106" s="9" t="s">
        <v>787</v>
      </c>
      <c r="C106" s="4" t="s">
        <v>717</v>
      </c>
      <c r="D106" s="4"/>
      <c r="E106" s="4" t="s">
        <v>743</v>
      </c>
      <c r="F106" s="4" t="s">
        <v>787</v>
      </c>
      <c r="G106" s="4" t="s">
        <v>2048</v>
      </c>
      <c r="H106" s="4" t="s">
        <v>364</v>
      </c>
      <c r="I106" s="4" t="s">
        <v>1822</v>
      </c>
      <c r="J106" s="11"/>
      <c r="K106" s="11"/>
      <c r="L106" s="4"/>
      <c r="M106" s="12"/>
      <c r="N106" s="4"/>
      <c r="O106" s="4"/>
      <c r="P106" s="4"/>
      <c r="Q106" s="9">
        <v>1</v>
      </c>
      <c r="R106" s="11"/>
      <c r="S106" s="4"/>
      <c r="T106" s="11">
        <v>2</v>
      </c>
      <c r="U106" s="11"/>
      <c r="V106" s="4"/>
      <c r="W106" s="11"/>
      <c r="X106" s="11"/>
      <c r="Y106" s="4"/>
      <c r="Z106" s="9">
        <v>0</v>
      </c>
      <c r="AA106" s="11"/>
      <c r="AB106" s="4"/>
      <c r="AC106" s="11"/>
      <c r="AD106" s="11"/>
      <c r="AE106" s="4"/>
      <c r="AF106" s="11">
        <v>0</v>
      </c>
      <c r="AG106" s="11"/>
      <c r="AH106" s="4"/>
      <c r="AI106" s="11">
        <v>1</v>
      </c>
      <c r="AJ106" s="11"/>
      <c r="AK106" s="4"/>
      <c r="AL106" s="4"/>
      <c r="AM106" s="4"/>
      <c r="AN106" s="4"/>
      <c r="AO106" s="4"/>
      <c r="AP106" s="4"/>
      <c r="AQ106" s="4"/>
    </row>
    <row r="107" spans="1:43" s="2" customFormat="1" x14ac:dyDescent="0.25">
      <c r="A107" s="161" t="str">
        <f t="shared" si="1"/>
        <v>_WARRIOR_GERMANY</v>
      </c>
      <c r="B107" s="9" t="s">
        <v>787</v>
      </c>
      <c r="C107" s="4" t="s">
        <v>717</v>
      </c>
      <c r="D107" s="4"/>
      <c r="E107" s="4" t="s">
        <v>743</v>
      </c>
      <c r="F107" s="4" t="s">
        <v>787</v>
      </c>
      <c r="G107" s="4"/>
      <c r="H107" s="4" t="s">
        <v>885</v>
      </c>
      <c r="I107" s="4" t="s">
        <v>1796</v>
      </c>
      <c r="J107" s="11"/>
      <c r="K107" s="11"/>
      <c r="L107" s="4"/>
      <c r="M107" s="12"/>
      <c r="N107" s="4"/>
      <c r="O107" s="4"/>
      <c r="P107" s="4"/>
      <c r="Q107" s="9">
        <v>1</v>
      </c>
      <c r="R107" s="11"/>
      <c r="S107" s="4"/>
      <c r="T107" s="11">
        <v>2</v>
      </c>
      <c r="U107" s="11"/>
      <c r="V107" s="4"/>
      <c r="W107" s="11"/>
      <c r="X107" s="11"/>
      <c r="Y107" s="4"/>
      <c r="Z107" s="9">
        <v>0</v>
      </c>
      <c r="AA107" s="11"/>
      <c r="AB107" s="4"/>
      <c r="AC107" s="11"/>
      <c r="AD107" s="11"/>
      <c r="AE107" s="4"/>
      <c r="AF107" s="11">
        <v>0</v>
      </c>
      <c r="AG107" s="11"/>
      <c r="AH107" s="4"/>
      <c r="AI107" s="11">
        <v>1</v>
      </c>
      <c r="AJ107" s="11"/>
      <c r="AK107" s="4"/>
      <c r="AL107" s="4"/>
      <c r="AM107" s="4"/>
      <c r="AN107" s="4"/>
      <c r="AO107" s="4"/>
      <c r="AP107" s="4"/>
      <c r="AQ107" s="4"/>
    </row>
    <row r="108" spans="1:43" s="2" customFormat="1" x14ac:dyDescent="0.25">
      <c r="A108" s="161" t="str">
        <f t="shared" si="1"/>
        <v>_WARRIOR_GERMANY</v>
      </c>
      <c r="B108" s="9" t="s">
        <v>787</v>
      </c>
      <c r="C108" s="4" t="s">
        <v>717</v>
      </c>
      <c r="D108" s="4"/>
      <c r="E108" s="4" t="s">
        <v>743</v>
      </c>
      <c r="F108" s="4" t="s">
        <v>787</v>
      </c>
      <c r="G108" s="4" t="s">
        <v>2047</v>
      </c>
      <c r="H108" s="4" t="s">
        <v>886</v>
      </c>
      <c r="I108" s="4" t="s">
        <v>1796</v>
      </c>
      <c r="J108" s="11"/>
      <c r="K108" s="11"/>
      <c r="L108" s="4"/>
      <c r="M108" s="12"/>
      <c r="N108" s="4"/>
      <c r="O108" s="4"/>
      <c r="P108" s="4"/>
      <c r="Q108" s="9">
        <v>1</v>
      </c>
      <c r="R108" s="11"/>
      <c r="S108" s="4"/>
      <c r="T108" s="11">
        <v>2</v>
      </c>
      <c r="U108" s="11"/>
      <c r="V108" s="4"/>
      <c r="W108" s="11"/>
      <c r="X108" s="11"/>
      <c r="Y108" s="4"/>
      <c r="Z108" s="9">
        <v>0</v>
      </c>
      <c r="AA108" s="11"/>
      <c r="AB108" s="4"/>
      <c r="AC108" s="11"/>
      <c r="AD108" s="11"/>
      <c r="AE108" s="4"/>
      <c r="AF108" s="11">
        <v>0</v>
      </c>
      <c r="AG108" s="11"/>
      <c r="AH108" s="4"/>
      <c r="AI108" s="11">
        <v>1</v>
      </c>
      <c r="AJ108" s="11"/>
      <c r="AK108" s="4"/>
      <c r="AL108" s="4"/>
      <c r="AM108" s="4"/>
      <c r="AN108" s="4"/>
      <c r="AO108" s="4"/>
      <c r="AP108" s="4"/>
      <c r="AQ108" s="4"/>
    </row>
    <row r="109" spans="1:43" s="2" customFormat="1" x14ac:dyDescent="0.25">
      <c r="A109" s="161" t="str">
        <f t="shared" si="1"/>
        <v>_WARRIOR_GERMANY</v>
      </c>
      <c r="B109" s="9" t="s">
        <v>787</v>
      </c>
      <c r="C109" s="4" t="s">
        <v>717</v>
      </c>
      <c r="D109" s="4"/>
      <c r="E109" s="4" t="s">
        <v>743</v>
      </c>
      <c r="F109" s="4" t="s">
        <v>787</v>
      </c>
      <c r="G109" s="4" t="s">
        <v>2049</v>
      </c>
      <c r="H109" s="4" t="s">
        <v>887</v>
      </c>
      <c r="I109" s="4" t="s">
        <v>1822</v>
      </c>
      <c r="J109" s="11"/>
      <c r="K109" s="11"/>
      <c r="L109" s="4"/>
      <c r="M109" s="12"/>
      <c r="N109" s="4"/>
      <c r="O109" s="4"/>
      <c r="P109" s="4"/>
      <c r="Q109" s="9">
        <v>1</v>
      </c>
      <c r="R109" s="11"/>
      <c r="S109" s="4"/>
      <c r="T109" s="11">
        <v>2</v>
      </c>
      <c r="U109" s="11"/>
      <c r="V109" s="4"/>
      <c r="W109" s="11"/>
      <c r="X109" s="11"/>
      <c r="Y109" s="4"/>
      <c r="Z109" s="9">
        <v>0</v>
      </c>
      <c r="AA109" s="11"/>
      <c r="AB109" s="4"/>
      <c r="AC109" s="11"/>
      <c r="AD109" s="11"/>
      <c r="AE109" s="4"/>
      <c r="AF109" s="11">
        <v>0</v>
      </c>
      <c r="AG109" s="11"/>
      <c r="AH109" s="4"/>
      <c r="AI109" s="11">
        <v>0</v>
      </c>
      <c r="AJ109" s="11"/>
      <c r="AK109" s="4"/>
      <c r="AL109" s="4"/>
      <c r="AM109" s="4"/>
      <c r="AN109" s="4"/>
      <c r="AO109" s="4"/>
      <c r="AP109" s="4"/>
      <c r="AQ109" s="4"/>
    </row>
    <row r="110" spans="1:43" s="2" customFormat="1" x14ac:dyDescent="0.25">
      <c r="A110" s="161" t="str">
        <f t="shared" si="1"/>
        <v>_WARRIOR_GERMANY</v>
      </c>
      <c r="B110" s="9" t="s">
        <v>787</v>
      </c>
      <c r="C110" s="4" t="s">
        <v>717</v>
      </c>
      <c r="D110" s="4"/>
      <c r="E110" s="4" t="s">
        <v>743</v>
      </c>
      <c r="F110" s="4" t="s">
        <v>787</v>
      </c>
      <c r="G110" s="4" t="s">
        <v>2048</v>
      </c>
      <c r="H110" s="4" t="s">
        <v>364</v>
      </c>
      <c r="I110" s="4" t="s">
        <v>1822</v>
      </c>
      <c r="J110" s="11"/>
      <c r="K110" s="11"/>
      <c r="L110" s="4"/>
      <c r="M110" s="12"/>
      <c r="N110" s="4"/>
      <c r="O110" s="4"/>
      <c r="P110" s="4"/>
      <c r="Q110" s="9">
        <v>2</v>
      </c>
      <c r="R110" s="11"/>
      <c r="S110" s="4"/>
      <c r="T110" s="11">
        <v>3</v>
      </c>
      <c r="U110" s="11"/>
      <c r="V110" s="4"/>
      <c r="W110" s="11"/>
      <c r="X110" s="11"/>
      <c r="Y110" s="4"/>
      <c r="Z110" s="9">
        <v>0</v>
      </c>
      <c r="AA110" s="11"/>
      <c r="AB110" s="4"/>
      <c r="AC110" s="11"/>
      <c r="AD110" s="11"/>
      <c r="AE110" s="4"/>
      <c r="AF110" s="11">
        <v>0</v>
      </c>
      <c r="AG110" s="11"/>
      <c r="AH110" s="4"/>
      <c r="AI110" s="11">
        <v>1</v>
      </c>
      <c r="AJ110" s="11"/>
      <c r="AK110" s="4"/>
      <c r="AL110" s="4"/>
      <c r="AM110" s="4"/>
      <c r="AN110" s="4"/>
      <c r="AO110" s="4"/>
      <c r="AP110" s="4"/>
      <c r="AQ110" s="4"/>
    </row>
    <row r="111" spans="1:43" s="2" customFormat="1" x14ac:dyDescent="0.25">
      <c r="A111" s="161" t="str">
        <f t="shared" si="1"/>
        <v>_WARRIOR_NETHERLANDS</v>
      </c>
      <c r="B111" s="9" t="s">
        <v>787</v>
      </c>
      <c r="C111" s="4" t="s">
        <v>730</v>
      </c>
      <c r="D111" s="4"/>
      <c r="E111" s="4" t="s">
        <v>743</v>
      </c>
      <c r="F111" s="4" t="s">
        <v>787</v>
      </c>
      <c r="G111" s="4"/>
      <c r="H111" s="4" t="s">
        <v>977</v>
      </c>
      <c r="I111" s="4" t="s">
        <v>1796</v>
      </c>
      <c r="J111" s="11"/>
      <c r="K111" s="11"/>
      <c r="L111" s="4"/>
      <c r="M111" s="12"/>
      <c r="N111" s="4"/>
      <c r="O111" s="4"/>
      <c r="P111" s="4"/>
      <c r="Q111" s="9">
        <v>3</v>
      </c>
      <c r="R111" s="11"/>
      <c r="S111" s="4"/>
      <c r="T111" s="11">
        <v>5</v>
      </c>
      <c r="U111" s="11"/>
      <c r="V111" s="4"/>
      <c r="W111" s="11"/>
      <c r="X111" s="11"/>
      <c r="Y111" s="4"/>
      <c r="Z111" s="9">
        <v>1</v>
      </c>
      <c r="AA111" s="11"/>
      <c r="AB111" s="4"/>
      <c r="AC111" s="11"/>
      <c r="AD111" s="11"/>
      <c r="AE111" s="4"/>
      <c r="AF111" s="11">
        <v>1</v>
      </c>
      <c r="AG111" s="11"/>
      <c r="AH111" s="4"/>
      <c r="AI111" s="11">
        <v>2</v>
      </c>
      <c r="AJ111" s="11"/>
      <c r="AK111" s="4"/>
      <c r="AL111" s="4"/>
      <c r="AM111" s="4"/>
      <c r="AN111" s="4"/>
      <c r="AO111" s="4"/>
      <c r="AP111" s="4"/>
      <c r="AQ111" s="4"/>
    </row>
    <row r="112" spans="1:43" s="2" customFormat="1" x14ac:dyDescent="0.25">
      <c r="A112" s="161" t="str">
        <f t="shared" si="1"/>
        <v>_WARRIOR_NETHERLANDS</v>
      </c>
      <c r="B112" s="9" t="s">
        <v>787</v>
      </c>
      <c r="C112" s="4" t="s">
        <v>730</v>
      </c>
      <c r="D112" s="4"/>
      <c r="E112" s="4" t="s">
        <v>743</v>
      </c>
      <c r="F112" s="4" t="s">
        <v>787</v>
      </c>
      <c r="G112" s="4" t="s">
        <v>2047</v>
      </c>
      <c r="H112" s="4" t="s">
        <v>219</v>
      </c>
      <c r="I112" s="4" t="s">
        <v>1796</v>
      </c>
      <c r="J112" s="11"/>
      <c r="K112" s="11"/>
      <c r="L112" s="4"/>
      <c r="M112" s="12"/>
      <c r="N112" s="4"/>
      <c r="O112" s="4"/>
      <c r="P112" s="4"/>
      <c r="Q112" s="9">
        <v>3</v>
      </c>
      <c r="R112" s="11"/>
      <c r="S112" s="4"/>
      <c r="T112" s="11">
        <v>4</v>
      </c>
      <c r="U112" s="11"/>
      <c r="V112" s="4"/>
      <c r="W112" s="11"/>
      <c r="X112" s="11"/>
      <c r="Y112" s="4"/>
      <c r="Z112" s="9">
        <v>0</v>
      </c>
      <c r="AA112" s="11"/>
      <c r="AB112" s="4"/>
      <c r="AC112" s="11"/>
      <c r="AD112" s="11"/>
      <c r="AE112" s="4"/>
      <c r="AF112" s="11">
        <v>1</v>
      </c>
      <c r="AG112" s="11"/>
      <c r="AH112" s="4"/>
      <c r="AI112" s="11">
        <v>1</v>
      </c>
      <c r="AJ112" s="11"/>
      <c r="AK112" s="4"/>
      <c r="AL112" s="4"/>
      <c r="AM112" s="4"/>
      <c r="AN112" s="4"/>
      <c r="AO112" s="4"/>
      <c r="AP112" s="4"/>
      <c r="AQ112" s="4"/>
    </row>
    <row r="113" spans="1:43" s="2" customFormat="1" x14ac:dyDescent="0.25">
      <c r="A113" s="161" t="str">
        <f t="shared" si="1"/>
        <v>_WARRIOR_NETHERLANDS</v>
      </c>
      <c r="B113" s="9" t="s">
        <v>787</v>
      </c>
      <c r="C113" s="4" t="s">
        <v>730</v>
      </c>
      <c r="D113" s="4"/>
      <c r="E113" s="4" t="s">
        <v>743</v>
      </c>
      <c r="F113" s="4" t="s">
        <v>787</v>
      </c>
      <c r="G113" s="4"/>
      <c r="H113" s="4" t="s">
        <v>977</v>
      </c>
      <c r="I113" s="4" t="s">
        <v>1796</v>
      </c>
      <c r="J113" s="11"/>
      <c r="K113" s="11"/>
      <c r="L113" s="4"/>
      <c r="M113" s="12"/>
      <c r="N113" s="4"/>
      <c r="O113" s="4"/>
      <c r="P113" s="4"/>
      <c r="Q113" s="9">
        <v>3</v>
      </c>
      <c r="R113" s="11"/>
      <c r="S113" s="4"/>
      <c r="T113" s="11">
        <v>4</v>
      </c>
      <c r="U113" s="11"/>
      <c r="V113" s="4"/>
      <c r="W113" s="11"/>
      <c r="X113" s="11"/>
      <c r="Y113" s="4"/>
      <c r="Z113" s="9">
        <v>0</v>
      </c>
      <c r="AA113" s="11"/>
      <c r="AB113" s="4"/>
      <c r="AC113" s="11"/>
      <c r="AD113" s="11"/>
      <c r="AE113" s="4"/>
      <c r="AF113" s="11">
        <v>1</v>
      </c>
      <c r="AG113" s="11"/>
      <c r="AH113" s="4"/>
      <c r="AI113" s="11">
        <v>2</v>
      </c>
      <c r="AJ113" s="11"/>
      <c r="AK113" s="4"/>
      <c r="AL113" s="4"/>
      <c r="AM113" s="4"/>
      <c r="AN113" s="4"/>
      <c r="AO113" s="4"/>
      <c r="AP113" s="4"/>
      <c r="AQ113" s="4"/>
    </row>
    <row r="114" spans="1:43" s="2" customFormat="1" x14ac:dyDescent="0.25">
      <c r="A114" s="161" t="str">
        <f t="shared" si="1"/>
        <v>_WARRIOR_NETHERLANDS</v>
      </c>
      <c r="B114" s="9" t="s">
        <v>787</v>
      </c>
      <c r="C114" s="4" t="s">
        <v>730</v>
      </c>
      <c r="D114" s="4"/>
      <c r="E114" s="4" t="s">
        <v>743</v>
      </c>
      <c r="F114" s="4" t="s">
        <v>787</v>
      </c>
      <c r="G114" s="4" t="s">
        <v>2047</v>
      </c>
      <c r="H114" s="4" t="s">
        <v>219</v>
      </c>
      <c r="I114" s="4" t="s">
        <v>1796</v>
      </c>
      <c r="J114" s="11"/>
      <c r="K114" s="11"/>
      <c r="L114" s="4"/>
      <c r="M114" s="12"/>
      <c r="N114" s="4"/>
      <c r="O114" s="4"/>
      <c r="P114" s="4"/>
      <c r="Q114" s="9">
        <v>3</v>
      </c>
      <c r="R114" s="11"/>
      <c r="S114" s="4"/>
      <c r="T114" s="11">
        <v>5</v>
      </c>
      <c r="U114" s="11"/>
      <c r="V114" s="4"/>
      <c r="W114" s="11"/>
      <c r="X114" s="11"/>
      <c r="Y114" s="4"/>
      <c r="Z114" s="9">
        <v>0</v>
      </c>
      <c r="AA114" s="11"/>
      <c r="AB114" s="4"/>
      <c r="AC114" s="11"/>
      <c r="AD114" s="11"/>
      <c r="AE114" s="4"/>
      <c r="AF114" s="11">
        <v>0</v>
      </c>
      <c r="AG114" s="11"/>
      <c r="AH114" s="4"/>
      <c r="AI114" s="11">
        <v>2</v>
      </c>
      <c r="AJ114" s="11"/>
      <c r="AK114" s="4"/>
      <c r="AL114" s="4"/>
      <c r="AM114" s="4"/>
      <c r="AN114" s="4"/>
      <c r="AO114" s="4"/>
      <c r="AP114" s="4"/>
      <c r="AQ114" s="4"/>
    </row>
    <row r="115" spans="1:43" s="2" customFormat="1" x14ac:dyDescent="0.25">
      <c r="A115" s="161" t="str">
        <f t="shared" si="1"/>
        <v>_WARRIOR_BYZANTIUM</v>
      </c>
      <c r="B115" s="9" t="s">
        <v>787</v>
      </c>
      <c r="C115" s="4" t="s">
        <v>707</v>
      </c>
      <c r="D115" s="4"/>
      <c r="E115" s="4" t="s">
        <v>743</v>
      </c>
      <c r="F115" s="4" t="s">
        <v>787</v>
      </c>
      <c r="G115" s="4" t="s">
        <v>2049</v>
      </c>
      <c r="H115" s="4" t="s">
        <v>817</v>
      </c>
      <c r="I115" s="4" t="s">
        <v>1822</v>
      </c>
      <c r="J115" s="11"/>
      <c r="K115" s="11"/>
      <c r="L115" s="4"/>
      <c r="M115" s="12"/>
      <c r="N115" s="4"/>
      <c r="O115" s="4"/>
      <c r="P115" s="4"/>
      <c r="Q115" s="9">
        <v>1</v>
      </c>
      <c r="R115" s="11"/>
      <c r="S115" s="4"/>
      <c r="T115" s="11">
        <v>1</v>
      </c>
      <c r="U115" s="11"/>
      <c r="V115" s="4"/>
      <c r="W115" s="11"/>
      <c r="X115" s="11"/>
      <c r="Y115" s="4"/>
      <c r="Z115" s="9">
        <v>0</v>
      </c>
      <c r="AA115" s="11"/>
      <c r="AB115" s="4"/>
      <c r="AC115" s="11"/>
      <c r="AD115" s="11"/>
      <c r="AE115" s="4"/>
      <c r="AF115" s="11">
        <v>1</v>
      </c>
      <c r="AG115" s="11"/>
      <c r="AH115" s="4"/>
      <c r="AI115" s="11">
        <v>1</v>
      </c>
      <c r="AJ115" s="11"/>
      <c r="AK115" s="4"/>
      <c r="AL115" s="4"/>
      <c r="AM115" s="4"/>
      <c r="AN115" s="4"/>
      <c r="AO115" s="4"/>
      <c r="AP115" s="4"/>
      <c r="AQ115" s="4"/>
    </row>
    <row r="116" spans="1:43" s="2" customFormat="1" x14ac:dyDescent="0.25">
      <c r="A116" s="161" t="str">
        <f t="shared" si="1"/>
        <v>_WARRIOR_BYZANTIUM</v>
      </c>
      <c r="B116" s="9" t="s">
        <v>787</v>
      </c>
      <c r="C116" s="4" t="s">
        <v>707</v>
      </c>
      <c r="D116" s="4"/>
      <c r="E116" s="4" t="s">
        <v>743</v>
      </c>
      <c r="F116" s="4" t="s">
        <v>787</v>
      </c>
      <c r="G116" s="4"/>
      <c r="H116" s="4" t="s">
        <v>818</v>
      </c>
      <c r="I116" s="4" t="s">
        <v>1822</v>
      </c>
      <c r="J116" s="11"/>
      <c r="K116" s="11"/>
      <c r="L116" s="4"/>
      <c r="M116" s="12"/>
      <c r="N116" s="4"/>
      <c r="O116" s="4"/>
      <c r="P116" s="4"/>
      <c r="Q116" s="9">
        <v>3</v>
      </c>
      <c r="R116" s="11"/>
      <c r="S116" s="4"/>
      <c r="T116" s="11">
        <v>4</v>
      </c>
      <c r="U116" s="11"/>
      <c r="V116" s="4"/>
      <c r="W116" s="11"/>
      <c r="X116" s="11"/>
      <c r="Y116" s="4"/>
      <c r="Z116" s="9">
        <v>1</v>
      </c>
      <c r="AA116" s="11"/>
      <c r="AB116" s="4"/>
      <c r="AC116" s="11"/>
      <c r="AD116" s="11"/>
      <c r="AE116" s="4"/>
      <c r="AF116" s="11">
        <v>1</v>
      </c>
      <c r="AG116" s="11"/>
      <c r="AH116" s="4"/>
      <c r="AI116" s="11">
        <v>2</v>
      </c>
      <c r="AJ116" s="11"/>
      <c r="AK116" s="4"/>
      <c r="AL116" s="4"/>
      <c r="AM116" s="4"/>
      <c r="AN116" s="4"/>
      <c r="AO116" s="4"/>
      <c r="AP116" s="4"/>
      <c r="AQ116" s="4"/>
    </row>
    <row r="117" spans="1:43" s="2" customFormat="1" x14ac:dyDescent="0.25">
      <c r="A117" s="161" t="str">
        <f t="shared" si="1"/>
        <v>_WARRIOR_BYZANTIUM</v>
      </c>
      <c r="B117" s="9" t="s">
        <v>787</v>
      </c>
      <c r="C117" s="4" t="s">
        <v>707</v>
      </c>
      <c r="D117" s="4"/>
      <c r="E117" s="4" t="s">
        <v>743</v>
      </c>
      <c r="F117" s="4" t="s">
        <v>787</v>
      </c>
      <c r="G117" s="4" t="s">
        <v>2047</v>
      </c>
      <c r="H117" s="4" t="s">
        <v>225</v>
      </c>
      <c r="I117" s="4" t="s">
        <v>1822</v>
      </c>
      <c r="J117" s="11"/>
      <c r="K117" s="11"/>
      <c r="L117" s="4"/>
      <c r="M117" s="12"/>
      <c r="N117" s="4"/>
      <c r="O117" s="4"/>
      <c r="P117" s="4"/>
      <c r="Q117" s="9">
        <v>2</v>
      </c>
      <c r="R117" s="11"/>
      <c r="S117" s="4"/>
      <c r="T117" s="11">
        <v>4</v>
      </c>
      <c r="U117" s="11"/>
      <c r="V117" s="4"/>
      <c r="W117" s="11"/>
      <c r="X117" s="11"/>
      <c r="Y117" s="4"/>
      <c r="Z117" s="9">
        <v>0</v>
      </c>
      <c r="AA117" s="11"/>
      <c r="AB117" s="4"/>
      <c r="AC117" s="11"/>
      <c r="AD117" s="11"/>
      <c r="AE117" s="4"/>
      <c r="AF117" s="11">
        <v>1</v>
      </c>
      <c r="AG117" s="11"/>
      <c r="AH117" s="4"/>
      <c r="AI117" s="11">
        <v>1</v>
      </c>
      <c r="AJ117" s="11"/>
      <c r="AK117" s="4"/>
      <c r="AL117" s="4"/>
      <c r="AM117" s="4"/>
      <c r="AN117" s="4"/>
      <c r="AO117" s="4"/>
      <c r="AP117" s="4"/>
      <c r="AQ117" s="4"/>
    </row>
    <row r="118" spans="1:43" s="2" customFormat="1" x14ac:dyDescent="0.25">
      <c r="A118" s="161" t="str">
        <f t="shared" ref="A118:A178" si="2">CONCATENATE(E118,IF(ISBLANK(C118),"",CONCATENATE("_",C118)))</f>
        <v>_WARRIOR_BYZANTIUM</v>
      </c>
      <c r="B118" s="9" t="s">
        <v>787</v>
      </c>
      <c r="C118" s="4" t="s">
        <v>707</v>
      </c>
      <c r="D118" s="4"/>
      <c r="E118" s="4" t="s">
        <v>743</v>
      </c>
      <c r="F118" s="4" t="s">
        <v>787</v>
      </c>
      <c r="G118" s="4"/>
      <c r="H118" s="4" t="s">
        <v>818</v>
      </c>
      <c r="I118" s="4" t="s">
        <v>1822</v>
      </c>
      <c r="J118" s="11"/>
      <c r="K118" s="11"/>
      <c r="L118" s="4"/>
      <c r="M118" s="12"/>
      <c r="N118" s="4"/>
      <c r="O118" s="4"/>
      <c r="P118" s="4"/>
      <c r="Q118" s="9">
        <v>3</v>
      </c>
      <c r="R118" s="11"/>
      <c r="S118" s="4"/>
      <c r="T118" s="11">
        <v>4</v>
      </c>
      <c r="U118" s="11"/>
      <c r="V118" s="4"/>
      <c r="W118" s="11"/>
      <c r="X118" s="11"/>
      <c r="Y118" s="4"/>
      <c r="Z118" s="9">
        <v>0</v>
      </c>
      <c r="AA118" s="11"/>
      <c r="AB118" s="4"/>
      <c r="AC118" s="11"/>
      <c r="AD118" s="11"/>
      <c r="AE118" s="4"/>
      <c r="AF118" s="11">
        <v>0</v>
      </c>
      <c r="AG118" s="11"/>
      <c r="AH118" s="4"/>
      <c r="AI118" s="11">
        <v>1</v>
      </c>
      <c r="AJ118" s="11"/>
      <c r="AK118" s="4"/>
      <c r="AL118" s="4"/>
      <c r="AM118" s="4"/>
      <c r="AN118" s="4"/>
      <c r="AO118" s="4"/>
      <c r="AP118" s="4"/>
      <c r="AQ118" s="4"/>
    </row>
    <row r="119" spans="1:43" s="2" customFormat="1" x14ac:dyDescent="0.25">
      <c r="A119" s="161" t="str">
        <f t="shared" si="2"/>
        <v>_WARRIOR_BYZANTIUM</v>
      </c>
      <c r="B119" s="9" t="s">
        <v>787</v>
      </c>
      <c r="C119" s="4" t="s">
        <v>707</v>
      </c>
      <c r="D119" s="4"/>
      <c r="E119" s="4" t="s">
        <v>743</v>
      </c>
      <c r="F119" s="4" t="s">
        <v>787</v>
      </c>
      <c r="G119" s="4" t="s">
        <v>2047</v>
      </c>
      <c r="H119" s="4" t="s">
        <v>225</v>
      </c>
      <c r="I119" s="4" t="s">
        <v>1822</v>
      </c>
      <c r="J119" s="11"/>
      <c r="K119" s="11"/>
      <c r="L119" s="4"/>
      <c r="M119" s="12"/>
      <c r="N119" s="4"/>
      <c r="O119" s="4"/>
      <c r="P119" s="4"/>
      <c r="Q119" s="9">
        <v>3</v>
      </c>
      <c r="R119" s="11"/>
      <c r="S119" s="4"/>
      <c r="T119" s="11">
        <v>5</v>
      </c>
      <c r="U119" s="11"/>
      <c r="V119" s="4"/>
      <c r="W119" s="11"/>
      <c r="X119" s="11"/>
      <c r="Y119" s="4"/>
      <c r="Z119" s="9">
        <v>0</v>
      </c>
      <c r="AA119" s="11"/>
      <c r="AB119" s="4"/>
      <c r="AC119" s="11"/>
      <c r="AD119" s="11"/>
      <c r="AE119" s="4"/>
      <c r="AF119" s="11">
        <v>0</v>
      </c>
      <c r="AG119" s="11"/>
      <c r="AH119" s="4"/>
      <c r="AI119" s="11">
        <v>2</v>
      </c>
      <c r="AJ119" s="11"/>
      <c r="AK119" s="4"/>
      <c r="AL119" s="4"/>
      <c r="AM119" s="4"/>
      <c r="AN119" s="4"/>
      <c r="AO119" s="4"/>
      <c r="AP119" s="4"/>
      <c r="AQ119" s="4"/>
    </row>
    <row r="120" spans="1:43" s="2" customFormat="1" x14ac:dyDescent="0.25">
      <c r="A120" s="161" t="str">
        <f t="shared" si="2"/>
        <v>_WARRIOR_CARTHAGE</v>
      </c>
      <c r="B120" s="9" t="s">
        <v>787</v>
      </c>
      <c r="C120" s="4" t="s">
        <v>708</v>
      </c>
      <c r="D120" s="4"/>
      <c r="E120" s="4" t="s">
        <v>743</v>
      </c>
      <c r="F120" s="4" t="s">
        <v>787</v>
      </c>
      <c r="G120" s="14" t="s">
        <v>132</v>
      </c>
      <c r="H120" s="4" t="s">
        <v>227</v>
      </c>
      <c r="I120" s="4" t="s">
        <v>1823</v>
      </c>
      <c r="J120" s="11"/>
      <c r="K120" s="11"/>
      <c r="L120" s="4"/>
      <c r="M120" s="12"/>
      <c r="N120" s="4"/>
      <c r="O120" s="4"/>
      <c r="P120" s="4"/>
      <c r="Q120" s="9" t="s">
        <v>1737</v>
      </c>
      <c r="R120" s="11"/>
      <c r="S120" s="4"/>
      <c r="T120" s="9"/>
      <c r="U120" s="11"/>
      <c r="V120" s="4"/>
      <c r="W120" s="9"/>
      <c r="X120" s="11"/>
      <c r="Y120" s="4"/>
      <c r="Z120" s="9"/>
      <c r="AA120" s="11"/>
      <c r="AB120" s="4"/>
      <c r="AC120" s="11"/>
      <c r="AD120" s="11"/>
      <c r="AE120" s="4"/>
      <c r="AF120" s="9"/>
      <c r="AG120" s="9"/>
      <c r="AH120" s="4"/>
      <c r="AI120" s="9"/>
      <c r="AJ120" s="11"/>
      <c r="AK120" s="4"/>
      <c r="AL120" s="4"/>
      <c r="AM120" s="4"/>
      <c r="AN120" s="4"/>
      <c r="AO120" s="4"/>
      <c r="AP120" s="4"/>
      <c r="AQ120" s="4"/>
    </row>
    <row r="121" spans="1:43" s="2" customFormat="1" x14ac:dyDescent="0.25">
      <c r="A121" s="161" t="str">
        <f t="shared" si="2"/>
        <v>_WARRIOR_GREECE</v>
      </c>
      <c r="B121" s="9" t="s">
        <v>787</v>
      </c>
      <c r="C121" s="4" t="s">
        <v>718</v>
      </c>
      <c r="D121" s="4"/>
      <c r="E121" s="4" t="s">
        <v>743</v>
      </c>
      <c r="F121" s="4" t="s">
        <v>787</v>
      </c>
      <c r="G121" s="4"/>
      <c r="H121" s="4" t="s">
        <v>396</v>
      </c>
      <c r="I121" s="4" t="s">
        <v>1821</v>
      </c>
      <c r="J121" s="11"/>
      <c r="K121" s="11"/>
      <c r="L121" s="4"/>
      <c r="M121" s="12"/>
      <c r="N121" s="4"/>
      <c r="O121" s="4"/>
      <c r="P121" s="4"/>
      <c r="Q121" s="9" t="s">
        <v>1737</v>
      </c>
      <c r="R121" s="11"/>
      <c r="S121" s="4"/>
      <c r="T121" s="11"/>
      <c r="U121" s="11"/>
      <c r="V121" s="4"/>
      <c r="W121" s="11"/>
      <c r="X121" s="11"/>
      <c r="Y121" s="4"/>
      <c r="Z121" s="9"/>
      <c r="AA121" s="11"/>
      <c r="AB121" s="4"/>
      <c r="AC121" s="11"/>
      <c r="AD121" s="11"/>
      <c r="AE121" s="4"/>
      <c r="AF121" s="11"/>
      <c r="AG121" s="11"/>
      <c r="AH121" s="4"/>
      <c r="AI121" s="11"/>
      <c r="AJ121" s="11"/>
      <c r="AK121" s="4"/>
      <c r="AL121" s="4"/>
      <c r="AM121" s="4"/>
      <c r="AN121" s="4"/>
      <c r="AO121" s="4"/>
      <c r="AP121" s="4"/>
      <c r="AQ121" s="4"/>
    </row>
    <row r="122" spans="1:43" s="2" customFormat="1" x14ac:dyDescent="0.25">
      <c r="A122" s="161" t="str">
        <f t="shared" si="2"/>
        <v>_WARRIOR_PORTUGAL</v>
      </c>
      <c r="B122" s="9" t="s">
        <v>787</v>
      </c>
      <c r="C122" s="4" t="s">
        <v>733</v>
      </c>
      <c r="D122" s="4"/>
      <c r="E122" s="4" t="s">
        <v>743</v>
      </c>
      <c r="F122" s="4" t="s">
        <v>787</v>
      </c>
      <c r="G122" s="14" t="s">
        <v>132</v>
      </c>
      <c r="H122" s="4" t="s">
        <v>524</v>
      </c>
      <c r="I122" s="4" t="s">
        <v>1796</v>
      </c>
      <c r="J122" s="11"/>
      <c r="K122" s="11"/>
      <c r="L122" s="4"/>
      <c r="M122" s="12"/>
      <c r="N122" s="4"/>
      <c r="O122" s="4"/>
      <c r="P122" s="4"/>
      <c r="Q122" s="9" t="s">
        <v>1737</v>
      </c>
      <c r="R122" s="11"/>
      <c r="S122" s="4"/>
      <c r="T122" s="9"/>
      <c r="U122" s="11"/>
      <c r="V122" s="4"/>
      <c r="W122" s="9"/>
      <c r="X122" s="11"/>
      <c r="Y122" s="4"/>
      <c r="Z122" s="9"/>
      <c r="AA122" s="11"/>
      <c r="AB122" s="4"/>
      <c r="AC122" s="11"/>
      <c r="AD122" s="11"/>
      <c r="AE122" s="4"/>
      <c r="AF122" s="9"/>
      <c r="AG122" s="11"/>
      <c r="AH122" s="4"/>
      <c r="AI122" s="9"/>
      <c r="AJ122" s="11"/>
      <c r="AK122" s="4"/>
      <c r="AL122" s="4"/>
      <c r="AM122" s="4"/>
      <c r="AN122" s="4"/>
      <c r="AO122" s="4"/>
      <c r="AP122" s="4"/>
      <c r="AQ122" s="4"/>
    </row>
    <row r="123" spans="1:43" s="2" customFormat="1" x14ac:dyDescent="0.25">
      <c r="A123" s="161" t="str">
        <f t="shared" si="2"/>
        <v>_WARRIOR_ROME</v>
      </c>
      <c r="B123" s="9" t="s">
        <v>787</v>
      </c>
      <c r="C123" s="4" t="s">
        <v>734</v>
      </c>
      <c r="D123" s="4"/>
      <c r="E123" s="4" t="s">
        <v>743</v>
      </c>
      <c r="F123" s="4" t="s">
        <v>787</v>
      </c>
      <c r="G123" s="4"/>
      <c r="H123" s="4" t="s">
        <v>998</v>
      </c>
      <c r="I123" s="4" t="s">
        <v>1796</v>
      </c>
      <c r="J123" s="11"/>
      <c r="K123" s="11"/>
      <c r="L123" s="4"/>
      <c r="M123" s="12"/>
      <c r="N123" s="4"/>
      <c r="O123" s="4"/>
      <c r="P123" s="4"/>
      <c r="Q123" s="9" t="s">
        <v>1737</v>
      </c>
      <c r="R123" s="11"/>
      <c r="S123" s="4"/>
      <c r="T123" s="11"/>
      <c r="U123" s="11"/>
      <c r="V123" s="4"/>
      <c r="W123" s="11"/>
      <c r="X123" s="11"/>
      <c r="Y123" s="4"/>
      <c r="Z123" s="9"/>
      <c r="AA123" s="11"/>
      <c r="AB123" s="4"/>
      <c r="AC123" s="11"/>
      <c r="AD123" s="11"/>
      <c r="AE123" s="4"/>
      <c r="AF123" s="11"/>
      <c r="AG123" s="11"/>
      <c r="AH123" s="4"/>
      <c r="AI123" s="11"/>
      <c r="AJ123" s="11"/>
      <c r="AK123" s="4"/>
      <c r="AL123" s="4"/>
      <c r="AM123" s="4"/>
      <c r="AN123" s="4"/>
      <c r="AO123" s="4"/>
      <c r="AP123" s="4"/>
      <c r="AQ123" s="4"/>
    </row>
    <row r="124" spans="1:43" s="2" customFormat="1" x14ac:dyDescent="0.25">
      <c r="A124" s="161" t="str">
        <f t="shared" si="2"/>
        <v>_WARRIOR_SPAIN</v>
      </c>
      <c r="B124" s="9" t="s">
        <v>787</v>
      </c>
      <c r="C124" s="4" t="s">
        <v>738</v>
      </c>
      <c r="D124" s="4"/>
      <c r="E124" s="4" t="s">
        <v>743</v>
      </c>
      <c r="F124" s="4" t="s">
        <v>787</v>
      </c>
      <c r="G124" s="4"/>
      <c r="H124" s="4" t="s">
        <v>1021</v>
      </c>
      <c r="I124" s="4" t="s">
        <v>1822</v>
      </c>
      <c r="J124" s="11"/>
      <c r="K124" s="11"/>
      <c r="L124" s="4"/>
      <c r="M124" s="12"/>
      <c r="N124" s="4"/>
      <c r="O124" s="4"/>
      <c r="P124" s="4"/>
      <c r="Q124" s="9">
        <v>3</v>
      </c>
      <c r="R124" s="11"/>
      <c r="S124" s="4"/>
      <c r="T124" s="11">
        <v>5</v>
      </c>
      <c r="U124" s="11"/>
      <c r="V124" s="4"/>
      <c r="W124" s="11"/>
      <c r="X124" s="11"/>
      <c r="Y124" s="4"/>
      <c r="Z124" s="9">
        <v>1</v>
      </c>
      <c r="AA124" s="11"/>
      <c r="AB124" s="4"/>
      <c r="AC124" s="11"/>
      <c r="AD124" s="11"/>
      <c r="AE124" s="4"/>
      <c r="AF124" s="11">
        <v>1</v>
      </c>
      <c r="AG124" s="11"/>
      <c r="AH124" s="4"/>
      <c r="AI124" s="11">
        <v>2</v>
      </c>
      <c r="AJ124" s="11"/>
      <c r="AK124" s="4"/>
      <c r="AL124" s="4"/>
      <c r="AM124" s="4"/>
      <c r="AN124" s="4"/>
      <c r="AO124" s="4"/>
      <c r="AP124" s="4"/>
      <c r="AQ124" s="4"/>
    </row>
    <row r="125" spans="1:43" s="2" customFormat="1" x14ac:dyDescent="0.25">
      <c r="A125" s="161" t="str">
        <f t="shared" si="2"/>
        <v>_WARRIOR_SPAIN</v>
      </c>
      <c r="B125" s="9" t="s">
        <v>787</v>
      </c>
      <c r="C125" s="4" t="s">
        <v>738</v>
      </c>
      <c r="D125" s="4"/>
      <c r="E125" s="4" t="s">
        <v>743</v>
      </c>
      <c r="F125" s="4" t="s">
        <v>787</v>
      </c>
      <c r="G125" s="4" t="s">
        <v>2047</v>
      </c>
      <c r="H125" s="4" t="s">
        <v>646</v>
      </c>
      <c r="I125" s="4" t="s">
        <v>1822</v>
      </c>
      <c r="J125" s="11"/>
      <c r="K125" s="11"/>
      <c r="L125" s="4"/>
      <c r="M125" s="12"/>
      <c r="N125" s="4"/>
      <c r="O125" s="4"/>
      <c r="P125" s="4"/>
      <c r="Q125" s="9">
        <v>3</v>
      </c>
      <c r="R125" s="11"/>
      <c r="S125" s="4"/>
      <c r="T125" s="11">
        <v>4</v>
      </c>
      <c r="U125" s="11"/>
      <c r="V125" s="4"/>
      <c r="W125" s="11"/>
      <c r="X125" s="11"/>
      <c r="Y125" s="4"/>
      <c r="Z125" s="9">
        <v>0</v>
      </c>
      <c r="AA125" s="11"/>
      <c r="AB125" s="4"/>
      <c r="AC125" s="11"/>
      <c r="AD125" s="11"/>
      <c r="AE125" s="4"/>
      <c r="AF125" s="11">
        <v>1</v>
      </c>
      <c r="AG125" s="11"/>
      <c r="AH125" s="4"/>
      <c r="AI125" s="11">
        <v>1</v>
      </c>
      <c r="AJ125" s="11"/>
      <c r="AK125" s="4"/>
      <c r="AL125" s="4"/>
      <c r="AM125" s="4"/>
      <c r="AN125" s="4"/>
      <c r="AO125" s="4"/>
      <c r="AP125" s="4"/>
      <c r="AQ125" s="4"/>
    </row>
    <row r="126" spans="1:43" s="2" customFormat="1" x14ac:dyDescent="0.25">
      <c r="A126" s="161" t="str">
        <f t="shared" si="2"/>
        <v>_WARRIOR_SPAIN</v>
      </c>
      <c r="B126" s="9" t="s">
        <v>787</v>
      </c>
      <c r="C126" s="4" t="s">
        <v>738</v>
      </c>
      <c r="D126" s="4"/>
      <c r="E126" s="4" t="s">
        <v>743</v>
      </c>
      <c r="F126" s="4" t="s">
        <v>787</v>
      </c>
      <c r="G126" s="4"/>
      <c r="H126" s="4" t="s">
        <v>1021</v>
      </c>
      <c r="I126" s="4" t="s">
        <v>1822</v>
      </c>
      <c r="J126" s="11"/>
      <c r="K126" s="11"/>
      <c r="L126" s="4"/>
      <c r="M126" s="12"/>
      <c r="N126" s="4"/>
      <c r="O126" s="4"/>
      <c r="P126" s="4"/>
      <c r="Q126" s="9">
        <v>3</v>
      </c>
      <c r="R126" s="11"/>
      <c r="S126" s="4"/>
      <c r="T126" s="11">
        <v>4</v>
      </c>
      <c r="U126" s="11"/>
      <c r="V126" s="4"/>
      <c r="W126" s="11"/>
      <c r="X126" s="11"/>
      <c r="Y126" s="4"/>
      <c r="Z126" s="9">
        <v>0</v>
      </c>
      <c r="AA126" s="11"/>
      <c r="AB126" s="4"/>
      <c r="AC126" s="11"/>
      <c r="AD126" s="11"/>
      <c r="AE126" s="4"/>
      <c r="AF126" s="11">
        <v>1</v>
      </c>
      <c r="AG126" s="11"/>
      <c r="AH126" s="4"/>
      <c r="AI126" s="11">
        <v>2</v>
      </c>
      <c r="AJ126" s="11"/>
      <c r="AK126" s="4"/>
      <c r="AL126" s="4"/>
      <c r="AM126" s="4"/>
      <c r="AN126" s="4"/>
      <c r="AO126" s="4"/>
      <c r="AP126" s="4"/>
      <c r="AQ126" s="4"/>
    </row>
    <row r="127" spans="1:43" s="2" customFormat="1" x14ac:dyDescent="0.25">
      <c r="A127" s="161" t="str">
        <f t="shared" si="2"/>
        <v>_WARRIOR_SPAIN</v>
      </c>
      <c r="B127" s="9" t="s">
        <v>787</v>
      </c>
      <c r="C127" s="4" t="s">
        <v>738</v>
      </c>
      <c r="D127" s="4"/>
      <c r="E127" s="4" t="s">
        <v>743</v>
      </c>
      <c r="F127" s="4" t="s">
        <v>787</v>
      </c>
      <c r="G127" s="4" t="s">
        <v>2047</v>
      </c>
      <c r="H127" s="4" t="s">
        <v>646</v>
      </c>
      <c r="I127" s="4" t="s">
        <v>1822</v>
      </c>
      <c r="J127" s="11"/>
      <c r="K127" s="11"/>
      <c r="L127" s="4"/>
      <c r="M127" s="12"/>
      <c r="N127" s="4"/>
      <c r="O127" s="4"/>
      <c r="P127" s="4"/>
      <c r="Q127" s="9">
        <v>3</v>
      </c>
      <c r="R127" s="11"/>
      <c r="S127" s="4"/>
      <c r="T127" s="11">
        <v>5</v>
      </c>
      <c r="U127" s="11"/>
      <c r="V127" s="4"/>
      <c r="W127" s="11"/>
      <c r="X127" s="11"/>
      <c r="Y127" s="4"/>
      <c r="Z127" s="9">
        <v>0</v>
      </c>
      <c r="AA127" s="11"/>
      <c r="AB127" s="4"/>
      <c r="AC127" s="11"/>
      <c r="AD127" s="11"/>
      <c r="AE127" s="4"/>
      <c r="AF127" s="11">
        <v>0</v>
      </c>
      <c r="AG127" s="11"/>
      <c r="AH127" s="4"/>
      <c r="AI127" s="11">
        <v>2</v>
      </c>
      <c r="AJ127" s="11"/>
      <c r="AK127" s="4"/>
      <c r="AL127" s="4"/>
      <c r="AM127" s="4"/>
      <c r="AN127" s="4"/>
      <c r="AO127" s="4"/>
      <c r="AP127" s="4"/>
      <c r="AQ127" s="4"/>
    </row>
    <row r="128" spans="1:43" s="2" customFormat="1" x14ac:dyDescent="0.25">
      <c r="A128" s="161" t="str">
        <f t="shared" si="2"/>
        <v>_WARRIOR_MIDEAST</v>
      </c>
      <c r="B128" s="9" t="s">
        <v>787</v>
      </c>
      <c r="C128" s="4" t="s">
        <v>690</v>
      </c>
      <c r="D128" s="4"/>
      <c r="E128" s="4" t="s">
        <v>743</v>
      </c>
      <c r="F128" s="4" t="s">
        <v>787</v>
      </c>
      <c r="G128" s="4"/>
      <c r="H128" s="4" t="s">
        <v>959</v>
      </c>
      <c r="I128" s="4" t="s">
        <v>1055</v>
      </c>
      <c r="J128" s="11"/>
      <c r="K128" s="11"/>
      <c r="L128" s="4"/>
      <c r="M128" s="12"/>
      <c r="N128" s="4"/>
      <c r="O128" s="4"/>
      <c r="P128" s="4"/>
      <c r="Q128" s="9" t="s">
        <v>1737</v>
      </c>
      <c r="R128" s="11"/>
      <c r="S128" s="4"/>
      <c r="T128" s="9"/>
      <c r="U128" s="11"/>
      <c r="V128" s="4"/>
      <c r="W128" s="9"/>
      <c r="X128" s="11"/>
      <c r="Y128" s="4"/>
      <c r="Z128" s="9"/>
      <c r="AA128" s="11"/>
      <c r="AB128" s="4"/>
      <c r="AC128" s="11"/>
      <c r="AD128" s="11"/>
      <c r="AE128" s="4"/>
      <c r="AF128" s="9"/>
      <c r="AG128" s="11"/>
      <c r="AH128" s="4"/>
      <c r="AI128" s="9"/>
      <c r="AJ128" s="11"/>
      <c r="AK128" s="4"/>
      <c r="AL128" s="4"/>
      <c r="AM128" s="4"/>
      <c r="AN128" s="4"/>
      <c r="AO128" s="4"/>
      <c r="AP128" s="4"/>
      <c r="AQ128" s="4"/>
    </row>
    <row r="129" spans="1:43" s="2" customFormat="1" x14ac:dyDescent="0.25">
      <c r="A129" s="161" t="str">
        <f t="shared" si="2"/>
        <v>_WARRIOR_BABYLON</v>
      </c>
      <c r="B129" s="9" t="s">
        <v>787</v>
      </c>
      <c r="C129" s="4" t="s">
        <v>703</v>
      </c>
      <c r="D129" s="4"/>
      <c r="E129" s="4" t="s">
        <v>743</v>
      </c>
      <c r="F129" s="4" t="s">
        <v>787</v>
      </c>
      <c r="G129" s="4"/>
      <c r="H129" s="4" t="s">
        <v>2197</v>
      </c>
      <c r="I129" s="4" t="s">
        <v>1794</v>
      </c>
      <c r="J129" s="11"/>
      <c r="K129" s="11"/>
      <c r="L129" s="4"/>
      <c r="M129" s="12"/>
      <c r="N129" s="4"/>
      <c r="O129" s="4"/>
      <c r="P129" s="4"/>
      <c r="Q129" s="9" t="s">
        <v>1737</v>
      </c>
      <c r="R129" s="11"/>
      <c r="S129" s="4"/>
      <c r="T129" s="9"/>
      <c r="U129" s="11"/>
      <c r="V129" s="4"/>
      <c r="W129" s="9"/>
      <c r="X129" s="11"/>
      <c r="Y129" s="4"/>
      <c r="Z129" s="9"/>
      <c r="AA129" s="11"/>
      <c r="AB129" s="4"/>
      <c r="AC129" s="11"/>
      <c r="AD129" s="11"/>
      <c r="AE129" s="4"/>
      <c r="AF129" s="9"/>
      <c r="AG129" s="11"/>
      <c r="AH129" s="4"/>
      <c r="AI129" s="9"/>
      <c r="AJ129" s="11"/>
      <c r="AK129" s="4"/>
      <c r="AL129" s="4"/>
      <c r="AM129" s="4"/>
      <c r="AN129" s="4"/>
      <c r="AO129" s="4"/>
      <c r="AP129" s="4"/>
      <c r="AQ129" s="4"/>
    </row>
    <row r="130" spans="1:43" s="2" customFormat="1" x14ac:dyDescent="0.25">
      <c r="A130" s="161" t="str">
        <f t="shared" si="2"/>
        <v>_WARRIOR_EGYPT</v>
      </c>
      <c r="B130" s="9" t="s">
        <v>787</v>
      </c>
      <c r="C130" s="4" t="s">
        <v>712</v>
      </c>
      <c r="D130" s="4"/>
      <c r="E130" s="4" t="s">
        <v>743</v>
      </c>
      <c r="F130" s="4" t="s">
        <v>787</v>
      </c>
      <c r="G130" s="4"/>
      <c r="H130" s="4" t="s">
        <v>1785</v>
      </c>
      <c r="I130" s="4" t="s">
        <v>1795</v>
      </c>
      <c r="J130" s="11"/>
      <c r="K130" s="11"/>
      <c r="L130" s="4"/>
      <c r="M130" s="12"/>
      <c r="N130" s="4"/>
      <c r="O130" s="4"/>
      <c r="P130" s="4"/>
      <c r="Q130" s="9" t="s">
        <v>1737</v>
      </c>
      <c r="R130" s="11"/>
      <c r="S130" s="4"/>
      <c r="T130" s="9"/>
      <c r="U130" s="11"/>
      <c r="V130" s="4"/>
      <c r="W130" s="9"/>
      <c r="X130" s="11"/>
      <c r="Y130" s="4"/>
      <c r="Z130" s="9"/>
      <c r="AA130" s="11"/>
      <c r="AB130" s="4"/>
      <c r="AC130" s="11"/>
      <c r="AD130" s="11"/>
      <c r="AE130" s="4"/>
      <c r="AF130" s="9"/>
      <c r="AG130" s="11"/>
      <c r="AH130" s="4"/>
      <c r="AI130" s="9"/>
      <c r="AJ130" s="11"/>
      <c r="AK130" s="4"/>
      <c r="AL130" s="4"/>
      <c r="AM130" s="4"/>
      <c r="AN130" s="4"/>
      <c r="AO130" s="4"/>
      <c r="AP130" s="4"/>
      <c r="AQ130" s="4"/>
    </row>
    <row r="131" spans="1:43" s="2" customFormat="1" x14ac:dyDescent="0.25">
      <c r="A131" s="161" t="str">
        <f t="shared" si="2"/>
        <v>_WARRIOR_LEVANT</v>
      </c>
      <c r="B131" s="9" t="s">
        <v>787</v>
      </c>
      <c r="C131" s="4" t="s">
        <v>724</v>
      </c>
      <c r="D131" s="4"/>
      <c r="E131" s="4" t="s">
        <v>743</v>
      </c>
      <c r="F131" s="4" t="s">
        <v>787</v>
      </c>
      <c r="G131" s="14" t="s">
        <v>132</v>
      </c>
      <c r="H131" s="4" t="s">
        <v>505</v>
      </c>
      <c r="I131" s="4" t="s">
        <v>1063</v>
      </c>
      <c r="J131" s="11"/>
      <c r="K131" s="11"/>
      <c r="L131" s="4"/>
      <c r="M131" s="12"/>
      <c r="N131" s="4"/>
      <c r="O131" s="4"/>
      <c r="P131" s="4"/>
      <c r="Q131" s="9" t="s">
        <v>1737</v>
      </c>
      <c r="R131" s="11"/>
      <c r="S131" s="4"/>
      <c r="T131" s="9"/>
      <c r="U131" s="11"/>
      <c r="V131" s="4"/>
      <c r="W131" s="9"/>
      <c r="X131" s="11"/>
      <c r="Y131" s="4"/>
      <c r="Z131" s="9"/>
      <c r="AA131" s="11"/>
      <c r="AB131" s="4"/>
      <c r="AC131" s="11"/>
      <c r="AD131" s="11"/>
      <c r="AE131" s="4"/>
      <c r="AF131" s="9"/>
      <c r="AG131" s="11"/>
      <c r="AH131" s="4"/>
      <c r="AI131" s="9"/>
      <c r="AJ131" s="11"/>
      <c r="AK131" s="4"/>
      <c r="AL131" s="4"/>
      <c r="AM131" s="4"/>
      <c r="AN131" s="4"/>
      <c r="AO131" s="4"/>
      <c r="AP131" s="4"/>
      <c r="AQ131" s="4"/>
    </row>
    <row r="132" spans="1:43" s="2" customFormat="1" x14ac:dyDescent="0.25">
      <c r="A132" s="161" t="str">
        <f t="shared" si="2"/>
        <v>_WARRIOR_PERSIA</v>
      </c>
      <c r="B132" s="9" t="s">
        <v>787</v>
      </c>
      <c r="C132" s="4" t="s">
        <v>731</v>
      </c>
      <c r="D132" s="4"/>
      <c r="E132" s="4" t="s">
        <v>743</v>
      </c>
      <c r="F132" s="4" t="s">
        <v>787</v>
      </c>
      <c r="G132" s="14"/>
      <c r="H132" s="4" t="s">
        <v>1786</v>
      </c>
      <c r="I132" s="4" t="s">
        <v>1794</v>
      </c>
      <c r="J132" s="11"/>
      <c r="K132" s="11"/>
      <c r="L132" s="4"/>
      <c r="M132" s="12"/>
      <c r="N132" s="4"/>
      <c r="O132" s="4"/>
      <c r="P132" s="4"/>
      <c r="Q132" s="9" t="s">
        <v>1737</v>
      </c>
      <c r="R132" s="11"/>
      <c r="S132" s="4"/>
      <c r="T132" s="9"/>
      <c r="U132" s="11"/>
      <c r="V132" s="4"/>
      <c r="W132" s="9"/>
      <c r="X132" s="11"/>
      <c r="Y132" s="4"/>
      <c r="Z132" s="9"/>
      <c r="AA132" s="11"/>
      <c r="AB132" s="4"/>
      <c r="AC132" s="11"/>
      <c r="AD132" s="11"/>
      <c r="AE132" s="4"/>
      <c r="AF132" s="9"/>
      <c r="AG132" s="11"/>
      <c r="AH132" s="4"/>
      <c r="AI132" s="9"/>
      <c r="AJ132" s="11"/>
      <c r="AK132" s="4"/>
      <c r="AL132" s="4"/>
      <c r="AM132" s="4"/>
      <c r="AN132" s="4"/>
      <c r="AO132" s="4"/>
      <c r="AP132" s="4"/>
      <c r="AQ132" s="4"/>
    </row>
    <row r="133" spans="1:43" s="2" customFormat="1" x14ac:dyDescent="0.25">
      <c r="A133" s="161" t="str">
        <f>CONCATENATE(E133,IF(ISBLANK(C133),"",CONCATENATE("_",C133)))</f>
        <v>_WARRIOR_NORTHAF</v>
      </c>
      <c r="B133" s="9" t="s">
        <v>787</v>
      </c>
      <c r="C133" s="4" t="s">
        <v>2011</v>
      </c>
      <c r="D133" s="4"/>
      <c r="E133" s="4" t="s">
        <v>743</v>
      </c>
      <c r="F133" s="4" t="s">
        <v>787</v>
      </c>
      <c r="G133" s="14" t="s">
        <v>132</v>
      </c>
      <c r="H133" s="4" t="s">
        <v>640</v>
      </c>
      <c r="I133" s="4" t="s">
        <v>1055</v>
      </c>
      <c r="J133" s="11"/>
      <c r="K133" s="11"/>
      <c r="L133" s="4"/>
      <c r="M133" s="12"/>
      <c r="N133" s="4"/>
      <c r="O133" s="4"/>
      <c r="P133" s="4"/>
      <c r="Q133" s="9" t="s">
        <v>1737</v>
      </c>
      <c r="R133" s="11"/>
      <c r="S133" s="4"/>
      <c r="T133" s="9"/>
      <c r="U133" s="11"/>
      <c r="V133" s="4"/>
      <c r="W133" s="9"/>
      <c r="X133" s="11"/>
      <c r="Y133" s="4"/>
      <c r="Z133" s="9"/>
      <c r="AA133" s="11"/>
      <c r="AB133" s="4"/>
      <c r="AC133" s="11"/>
      <c r="AD133" s="11"/>
      <c r="AE133" s="4"/>
      <c r="AF133" s="9"/>
      <c r="AG133" s="11"/>
      <c r="AH133" s="4"/>
      <c r="AI133" s="9"/>
      <c r="AJ133" s="11"/>
      <c r="AK133" s="4"/>
      <c r="AL133" s="4"/>
      <c r="AM133" s="4"/>
      <c r="AN133" s="4"/>
      <c r="AO133" s="4"/>
      <c r="AP133" s="4"/>
      <c r="AQ133" s="4"/>
    </row>
    <row r="134" spans="1:43" s="2" customFormat="1" x14ac:dyDescent="0.25">
      <c r="A134" s="161" t="str">
        <f t="shared" si="2"/>
        <v>_WARRIOR_NORTHEU</v>
      </c>
      <c r="B134" s="9" t="s">
        <v>787</v>
      </c>
      <c r="C134" s="4" t="s">
        <v>962</v>
      </c>
      <c r="D134" s="4"/>
      <c r="E134" s="4" t="s">
        <v>743</v>
      </c>
      <c r="F134" s="4" t="s">
        <v>787</v>
      </c>
      <c r="G134" s="4"/>
      <c r="H134" s="4" t="s">
        <v>839</v>
      </c>
      <c r="I134" s="4" t="s">
        <v>1796</v>
      </c>
      <c r="J134" s="11"/>
      <c r="K134" s="11"/>
      <c r="L134" s="4"/>
      <c r="M134" s="12"/>
      <c r="N134" s="4"/>
      <c r="O134" s="4"/>
      <c r="P134" s="4"/>
      <c r="Q134" s="9">
        <v>3</v>
      </c>
      <c r="R134" s="11">
        <v>0.15</v>
      </c>
      <c r="S134" s="4"/>
      <c r="T134" s="11">
        <v>5</v>
      </c>
      <c r="U134" s="11">
        <v>9.5000000000000001E-2</v>
      </c>
      <c r="V134" s="4"/>
      <c r="W134" s="11"/>
      <c r="X134" s="11" t="s">
        <v>3</v>
      </c>
      <c r="Y134" s="4"/>
      <c r="Z134" s="9">
        <v>1</v>
      </c>
      <c r="AA134" s="11"/>
      <c r="AB134" s="4"/>
      <c r="AC134" s="11"/>
      <c r="AD134" s="11"/>
      <c r="AE134" s="4"/>
      <c r="AF134" s="11">
        <v>1</v>
      </c>
      <c r="AG134" s="11"/>
      <c r="AH134" s="4"/>
      <c r="AI134" s="11">
        <v>2</v>
      </c>
      <c r="AJ134" s="11"/>
      <c r="AK134" s="4"/>
      <c r="AL134" s="4"/>
      <c r="AM134" s="4"/>
      <c r="AN134" s="4"/>
      <c r="AO134" s="4"/>
      <c r="AP134" s="4"/>
      <c r="AQ134" s="4"/>
    </row>
    <row r="135" spans="1:43" s="2" customFormat="1" x14ac:dyDescent="0.25">
      <c r="A135" s="161" t="str">
        <f t="shared" si="2"/>
        <v>_WARRIOR_NORTHEU</v>
      </c>
      <c r="B135" s="9" t="s">
        <v>787</v>
      </c>
      <c r="C135" s="4" t="s">
        <v>962</v>
      </c>
      <c r="D135" s="4"/>
      <c r="E135" s="4" t="s">
        <v>743</v>
      </c>
      <c r="F135" s="4" t="s">
        <v>787</v>
      </c>
      <c r="G135" s="4" t="s">
        <v>2047</v>
      </c>
      <c r="H135" s="4" t="s">
        <v>263</v>
      </c>
      <c r="I135" s="4" t="s">
        <v>1796</v>
      </c>
      <c r="J135" s="11"/>
      <c r="K135" s="11"/>
      <c r="L135" s="4"/>
      <c r="M135" s="12"/>
      <c r="N135" s="4"/>
      <c r="O135" s="4"/>
      <c r="P135" s="4"/>
      <c r="Q135" s="9">
        <v>3</v>
      </c>
      <c r="R135" s="11">
        <v>0.15</v>
      </c>
      <c r="S135" s="4"/>
      <c r="T135" s="11">
        <v>4</v>
      </c>
      <c r="U135" s="11">
        <v>9.5000000000000001E-2</v>
      </c>
      <c r="V135" s="4"/>
      <c r="W135" s="11"/>
      <c r="X135" s="11" t="s">
        <v>3</v>
      </c>
      <c r="Y135" s="4"/>
      <c r="Z135" s="9">
        <v>0</v>
      </c>
      <c r="AA135" s="11"/>
      <c r="AB135" s="4"/>
      <c r="AC135" s="11"/>
      <c r="AD135" s="11"/>
      <c r="AE135" s="4"/>
      <c r="AF135" s="11">
        <v>1</v>
      </c>
      <c r="AG135" s="11"/>
      <c r="AH135" s="4"/>
      <c r="AI135" s="11">
        <v>1</v>
      </c>
      <c r="AJ135" s="11"/>
      <c r="AK135" s="4"/>
      <c r="AL135" s="4"/>
      <c r="AM135" s="4"/>
      <c r="AN135" s="4"/>
      <c r="AO135" s="4"/>
      <c r="AP135" s="4"/>
      <c r="AQ135" s="4"/>
    </row>
    <row r="136" spans="1:43" s="2" customFormat="1" x14ac:dyDescent="0.25">
      <c r="A136" s="161" t="str">
        <f t="shared" si="2"/>
        <v>_WARRIOR_NORTHEU</v>
      </c>
      <c r="B136" s="9" t="s">
        <v>787</v>
      </c>
      <c r="C136" s="4" t="s">
        <v>962</v>
      </c>
      <c r="D136" s="4"/>
      <c r="E136" s="4" t="s">
        <v>743</v>
      </c>
      <c r="F136" s="4" t="s">
        <v>787</v>
      </c>
      <c r="G136" s="4"/>
      <c r="H136" s="4" t="s">
        <v>839</v>
      </c>
      <c r="I136" s="4" t="s">
        <v>1796</v>
      </c>
      <c r="J136" s="11"/>
      <c r="K136" s="11"/>
      <c r="L136" s="4"/>
      <c r="M136" s="12"/>
      <c r="N136" s="4"/>
      <c r="O136" s="4"/>
      <c r="P136" s="4"/>
      <c r="Q136" s="9">
        <v>3</v>
      </c>
      <c r="R136" s="11">
        <v>0.15</v>
      </c>
      <c r="S136" s="4"/>
      <c r="T136" s="11">
        <v>4</v>
      </c>
      <c r="U136" s="11">
        <v>9.5000000000000001E-2</v>
      </c>
      <c r="V136" s="4"/>
      <c r="W136" s="11"/>
      <c r="X136" s="11" t="s">
        <v>3</v>
      </c>
      <c r="Y136" s="4"/>
      <c r="Z136" s="9">
        <v>0</v>
      </c>
      <c r="AA136" s="11"/>
      <c r="AB136" s="4"/>
      <c r="AC136" s="11"/>
      <c r="AD136" s="11"/>
      <c r="AE136" s="4"/>
      <c r="AF136" s="11">
        <v>1</v>
      </c>
      <c r="AG136" s="11"/>
      <c r="AH136" s="4"/>
      <c r="AI136" s="11">
        <v>2</v>
      </c>
      <c r="AJ136" s="11"/>
      <c r="AK136" s="4"/>
      <c r="AL136" s="4"/>
      <c r="AM136" s="4"/>
      <c r="AN136" s="4"/>
      <c r="AO136" s="4"/>
      <c r="AP136" s="4"/>
      <c r="AQ136" s="4"/>
    </row>
    <row r="137" spans="1:43" s="2" customFormat="1" x14ac:dyDescent="0.25">
      <c r="A137" s="161" t="str">
        <f t="shared" si="2"/>
        <v>_WARRIOR_NORTHEU</v>
      </c>
      <c r="B137" s="9" t="s">
        <v>787</v>
      </c>
      <c r="C137" s="4" t="s">
        <v>962</v>
      </c>
      <c r="D137" s="4"/>
      <c r="E137" s="4" t="s">
        <v>743</v>
      </c>
      <c r="F137" s="4" t="s">
        <v>787</v>
      </c>
      <c r="G137" s="4" t="s">
        <v>2047</v>
      </c>
      <c r="H137" s="4" t="s">
        <v>263</v>
      </c>
      <c r="I137" s="4" t="s">
        <v>1796</v>
      </c>
      <c r="J137" s="11"/>
      <c r="K137" s="11"/>
      <c r="L137" s="4"/>
      <c r="M137" s="12"/>
      <c r="N137" s="4"/>
      <c r="O137" s="4"/>
      <c r="P137" s="4"/>
      <c r="Q137" s="9">
        <v>3</v>
      </c>
      <c r="R137" s="11">
        <v>0.15</v>
      </c>
      <c r="S137" s="4"/>
      <c r="T137" s="11">
        <v>5</v>
      </c>
      <c r="U137" s="11">
        <v>9.5000000000000001E-2</v>
      </c>
      <c r="V137" s="4"/>
      <c r="W137" s="11"/>
      <c r="X137" s="11" t="s">
        <v>3</v>
      </c>
      <c r="Y137" s="4"/>
      <c r="Z137" s="9">
        <v>0</v>
      </c>
      <c r="AA137" s="11"/>
      <c r="AB137" s="4"/>
      <c r="AC137" s="11"/>
      <c r="AD137" s="11"/>
      <c r="AE137" s="4"/>
      <c r="AF137" s="11">
        <v>0</v>
      </c>
      <c r="AG137" s="11"/>
      <c r="AH137" s="4"/>
      <c r="AI137" s="11">
        <v>2</v>
      </c>
      <c r="AJ137" s="11"/>
      <c r="AK137" s="4"/>
      <c r="AL137" s="4"/>
      <c r="AM137" s="4"/>
      <c r="AN137" s="4"/>
      <c r="AO137" s="4"/>
      <c r="AP137" s="4"/>
      <c r="AQ137" s="4"/>
    </row>
    <row r="138" spans="1:43" s="2" customFormat="1" x14ac:dyDescent="0.25">
      <c r="A138" s="161" t="str">
        <f t="shared" si="2"/>
        <v>_WARRIOR_SWEDEN</v>
      </c>
      <c r="B138" s="9" t="s">
        <v>787</v>
      </c>
      <c r="C138" s="4" t="s">
        <v>739</v>
      </c>
      <c r="D138" s="4"/>
      <c r="E138" s="4" t="s">
        <v>743</v>
      </c>
      <c r="F138" s="4" t="s">
        <v>787</v>
      </c>
      <c r="G138" s="4"/>
      <c r="H138" s="4" t="s">
        <v>666</v>
      </c>
      <c r="I138" s="4" t="s">
        <v>1796</v>
      </c>
      <c r="J138" s="11"/>
      <c r="K138" s="11"/>
      <c r="L138" s="4"/>
      <c r="M138" s="12"/>
      <c r="N138" s="4"/>
      <c r="O138" s="4"/>
      <c r="P138" s="4"/>
      <c r="Q138" s="9" t="s">
        <v>1737</v>
      </c>
      <c r="R138" s="11">
        <v>0.14499999999999999</v>
      </c>
      <c r="S138" s="4"/>
      <c r="T138" s="11"/>
      <c r="U138" s="11">
        <v>9.5000000000000001E-2</v>
      </c>
      <c r="V138" s="4"/>
      <c r="W138" s="11"/>
      <c r="X138" s="11" t="s">
        <v>3</v>
      </c>
      <c r="Y138" s="4"/>
      <c r="Z138" s="9"/>
      <c r="AA138" s="11"/>
      <c r="AB138" s="4"/>
      <c r="AC138" s="11"/>
      <c r="AD138" s="11"/>
      <c r="AE138" s="4"/>
      <c r="AF138" s="11"/>
      <c r="AG138" s="11"/>
      <c r="AH138" s="4"/>
      <c r="AI138" s="11"/>
      <c r="AJ138" s="11"/>
      <c r="AK138" s="4"/>
      <c r="AL138" s="4"/>
      <c r="AM138" s="4"/>
      <c r="AN138" s="4"/>
      <c r="AO138" s="4"/>
      <c r="AP138" s="4"/>
      <c r="AQ138" s="4"/>
    </row>
    <row r="139" spans="1:43" s="2" customFormat="1" x14ac:dyDescent="0.25">
      <c r="A139" s="161" t="str">
        <f t="shared" si="2"/>
        <v>_WARRIOR_OCEAN</v>
      </c>
      <c r="B139" s="9" t="s">
        <v>787</v>
      </c>
      <c r="C139" s="4" t="s">
        <v>994</v>
      </c>
      <c r="D139" s="4"/>
      <c r="E139" s="4" t="s">
        <v>743</v>
      </c>
      <c r="F139" s="4" t="s">
        <v>787</v>
      </c>
      <c r="G139" s="4"/>
      <c r="H139" s="4" t="s">
        <v>1790</v>
      </c>
      <c r="I139" s="4" t="s">
        <v>1794</v>
      </c>
      <c r="J139" s="11"/>
      <c r="K139" s="11"/>
      <c r="L139" s="4"/>
      <c r="M139" s="12"/>
      <c r="N139" s="4"/>
      <c r="O139" s="4"/>
      <c r="P139" s="4"/>
      <c r="Q139" s="9" t="s">
        <v>1737</v>
      </c>
      <c r="R139" s="11"/>
      <c r="S139" s="4"/>
      <c r="T139" s="9"/>
      <c r="U139" s="11"/>
      <c r="V139" s="4"/>
      <c r="W139" s="9"/>
      <c r="X139" s="11"/>
      <c r="Y139" s="4"/>
      <c r="Z139" s="9"/>
      <c r="AA139" s="11"/>
      <c r="AB139" s="4"/>
      <c r="AC139" s="11"/>
      <c r="AD139" s="11"/>
      <c r="AE139" s="4"/>
      <c r="AF139" s="9"/>
      <c r="AG139" s="11"/>
      <c r="AH139" s="4"/>
      <c r="AI139" s="9"/>
      <c r="AJ139" s="11"/>
      <c r="AK139" s="4"/>
      <c r="AL139" s="4"/>
      <c r="AM139" s="4"/>
      <c r="AN139" s="4"/>
      <c r="AO139" s="4"/>
      <c r="AP139" s="4"/>
      <c r="AQ139" s="4"/>
    </row>
    <row r="140" spans="1:43" s="2" customFormat="1" x14ac:dyDescent="0.25">
      <c r="A140" s="161" t="str">
        <f t="shared" si="2"/>
        <v>_WARRIOR_SAHUL</v>
      </c>
      <c r="B140" s="9" t="s">
        <v>787</v>
      </c>
      <c r="C140" s="4" t="s">
        <v>1788</v>
      </c>
      <c r="D140" s="4"/>
      <c r="E140" s="4" t="s">
        <v>743</v>
      </c>
      <c r="F140" s="4" t="s">
        <v>787</v>
      </c>
      <c r="G140" s="4"/>
      <c r="H140" s="4" t="s">
        <v>1791</v>
      </c>
      <c r="I140" s="4" t="s">
        <v>1794</v>
      </c>
      <c r="J140" s="11"/>
      <c r="K140" s="11"/>
      <c r="L140" s="4"/>
      <c r="M140" s="12"/>
      <c r="N140" s="4"/>
      <c r="O140" s="4"/>
      <c r="P140" s="4"/>
      <c r="Q140" s="9" t="s">
        <v>1737</v>
      </c>
      <c r="R140" s="11"/>
      <c r="S140" s="4"/>
      <c r="T140" s="9"/>
      <c r="U140" s="11"/>
      <c r="V140" s="4"/>
      <c r="W140" s="9"/>
      <c r="X140" s="11"/>
      <c r="Y140" s="4"/>
      <c r="Z140" s="9"/>
      <c r="AA140" s="11"/>
      <c r="AB140" s="4"/>
      <c r="AC140" s="11"/>
      <c r="AD140" s="11"/>
      <c r="AE140" s="4"/>
      <c r="AF140" s="9"/>
      <c r="AG140" s="11"/>
      <c r="AH140" s="4"/>
      <c r="AI140" s="9"/>
      <c r="AJ140" s="11"/>
      <c r="AK140" s="4"/>
      <c r="AL140" s="4"/>
      <c r="AM140" s="4"/>
      <c r="AN140" s="4"/>
      <c r="AO140" s="4"/>
      <c r="AP140" s="4"/>
      <c r="AQ140" s="4"/>
    </row>
    <row r="141" spans="1:43" s="2" customFormat="1" x14ac:dyDescent="0.25">
      <c r="A141" s="161" t="str">
        <f t="shared" si="2"/>
        <v>_WARRIOR_SOUTHAM</v>
      </c>
      <c r="B141" s="9" t="s">
        <v>787</v>
      </c>
      <c r="C141" s="4" t="s">
        <v>691</v>
      </c>
      <c r="D141" s="4"/>
      <c r="E141" s="4" t="s">
        <v>743</v>
      </c>
      <c r="F141" s="4" t="s">
        <v>787</v>
      </c>
      <c r="G141" s="4"/>
      <c r="H141" s="4" t="s">
        <v>1818</v>
      </c>
      <c r="I141" s="4" t="s">
        <v>963</v>
      </c>
      <c r="J141" s="11"/>
      <c r="K141" s="11"/>
      <c r="L141" s="4"/>
      <c r="M141" s="12"/>
      <c r="N141" s="4"/>
      <c r="O141" s="4"/>
      <c r="P141" s="4"/>
      <c r="Q141" s="9" t="s">
        <v>1737</v>
      </c>
      <c r="R141" s="11"/>
      <c r="S141" s="4"/>
      <c r="T141" s="9"/>
      <c r="U141" s="11"/>
      <c r="V141" s="4"/>
      <c r="W141" s="9"/>
      <c r="X141" s="11"/>
      <c r="Y141" s="4"/>
      <c r="Z141" s="9"/>
      <c r="AA141" s="11"/>
      <c r="AB141" s="4"/>
      <c r="AC141" s="11"/>
      <c r="AD141" s="11"/>
      <c r="AE141" s="4"/>
      <c r="AF141" s="9"/>
      <c r="AG141" s="11"/>
      <c r="AH141" s="4"/>
      <c r="AI141" s="9"/>
      <c r="AJ141" s="11"/>
      <c r="AK141" s="4"/>
      <c r="AL141" s="4"/>
      <c r="AM141" s="4"/>
      <c r="AN141" s="4"/>
      <c r="AO141" s="4"/>
      <c r="AP141" s="4"/>
      <c r="AQ141" s="4"/>
    </row>
    <row r="142" spans="1:43" s="2" customFormat="1" x14ac:dyDescent="0.25">
      <c r="A142" s="161" t="str">
        <f t="shared" si="2"/>
        <v>_WARRIOR_INCA</v>
      </c>
      <c r="B142" s="9" t="s">
        <v>787</v>
      </c>
      <c r="C142" s="4" t="s">
        <v>719</v>
      </c>
      <c r="D142" s="4"/>
      <c r="E142" s="4" t="s">
        <v>743</v>
      </c>
      <c r="F142" s="4" t="s">
        <v>787</v>
      </c>
      <c r="G142" s="4"/>
      <c r="H142" s="4" t="s">
        <v>930</v>
      </c>
      <c r="I142" s="4" t="s">
        <v>1025</v>
      </c>
      <c r="J142" s="11"/>
      <c r="K142" s="11"/>
      <c r="L142" s="4"/>
      <c r="M142" s="12"/>
      <c r="N142" s="4"/>
      <c r="O142" s="4"/>
      <c r="P142" s="4"/>
      <c r="Q142" s="9">
        <v>1</v>
      </c>
      <c r="R142" s="11"/>
      <c r="S142" s="4"/>
      <c r="T142" s="11">
        <v>1</v>
      </c>
      <c r="U142" s="11"/>
      <c r="V142" s="4"/>
      <c r="W142" s="11"/>
      <c r="X142" s="11"/>
      <c r="Y142" s="4"/>
      <c r="Z142" s="9">
        <v>1</v>
      </c>
      <c r="AA142" s="11"/>
      <c r="AB142" s="4"/>
      <c r="AC142" s="11"/>
      <c r="AD142" s="11"/>
      <c r="AE142" s="4"/>
      <c r="AF142" s="11">
        <v>0</v>
      </c>
      <c r="AG142" s="11"/>
      <c r="AH142" s="4"/>
      <c r="AI142" s="11">
        <v>1</v>
      </c>
      <c r="AJ142" s="11"/>
      <c r="AK142" s="4"/>
      <c r="AL142" s="4"/>
      <c r="AM142" s="4"/>
      <c r="AN142" s="4"/>
      <c r="AO142" s="4"/>
      <c r="AP142" s="4"/>
      <c r="AQ142" s="4"/>
    </row>
    <row r="143" spans="1:43" x14ac:dyDescent="0.25">
      <c r="A143" s="161" t="str">
        <f>CONCATENATE(E143,IF(ISBLANK(C143),"",CONCATENATE("_",C143)))</f>
        <v>_WARRIOR_INCA</v>
      </c>
      <c r="B143" s="9" t="s">
        <v>787</v>
      </c>
      <c r="C143" s="10" t="s">
        <v>719</v>
      </c>
      <c r="E143" s="4" t="s">
        <v>743</v>
      </c>
      <c r="F143" s="4" t="s">
        <v>787</v>
      </c>
      <c r="G143" s="4" t="s">
        <v>2047</v>
      </c>
      <c r="H143" s="4" t="s">
        <v>423</v>
      </c>
      <c r="I143" s="4" t="s">
        <v>963</v>
      </c>
      <c r="Q143" s="11">
        <v>4</v>
      </c>
      <c r="T143" s="11">
        <v>5</v>
      </c>
      <c r="Z143" s="11">
        <v>0</v>
      </c>
      <c r="AF143" s="11">
        <v>1</v>
      </c>
      <c r="AI143" s="11">
        <v>3</v>
      </c>
    </row>
    <row r="144" spans="1:43" s="2" customFormat="1" x14ac:dyDescent="0.25">
      <c r="A144" s="161" t="str">
        <f>CONCATENATE(E144,IF(ISBLANK(C144),"",CONCATENATE("_",C144)))</f>
        <v>_WARRIOR_INCA</v>
      </c>
      <c r="B144" s="9" t="s">
        <v>787</v>
      </c>
      <c r="C144" s="4" t="s">
        <v>719</v>
      </c>
      <c r="D144" s="4"/>
      <c r="E144" s="4" t="s">
        <v>743</v>
      </c>
      <c r="F144" s="4" t="s">
        <v>787</v>
      </c>
      <c r="G144" s="4" t="s">
        <v>2049</v>
      </c>
      <c r="H144" s="4" t="s">
        <v>417</v>
      </c>
      <c r="I144" s="4" t="s">
        <v>2103</v>
      </c>
      <c r="J144" s="11"/>
      <c r="K144" s="11"/>
      <c r="L144" s="4"/>
      <c r="M144" s="12"/>
      <c r="N144" s="4"/>
      <c r="O144" s="4"/>
      <c r="P144" s="4"/>
      <c r="Q144" s="9">
        <v>1</v>
      </c>
      <c r="R144" s="11"/>
      <c r="S144" s="4"/>
      <c r="T144" s="11">
        <v>2</v>
      </c>
      <c r="U144" s="11"/>
      <c r="V144" s="4"/>
      <c r="W144" s="11"/>
      <c r="X144" s="11"/>
      <c r="Y144" s="4"/>
      <c r="Z144" s="9">
        <v>0</v>
      </c>
      <c r="AA144" s="11"/>
      <c r="AB144" s="4"/>
      <c r="AC144" s="11"/>
      <c r="AD144" s="11"/>
      <c r="AE144" s="4"/>
      <c r="AF144" s="11">
        <v>1</v>
      </c>
      <c r="AG144" s="11"/>
      <c r="AH144" s="4"/>
      <c r="AI144" s="11">
        <v>1</v>
      </c>
      <c r="AJ144" s="11"/>
      <c r="AK144" s="4"/>
      <c r="AL144" s="4"/>
      <c r="AM144" s="4"/>
      <c r="AN144" s="4"/>
      <c r="AO144" s="4"/>
      <c r="AP144" s="4"/>
      <c r="AQ144" s="4"/>
    </row>
    <row r="145" spans="1:43" s="2" customFormat="1" x14ac:dyDescent="0.25">
      <c r="A145" s="161" t="str">
        <f t="shared" si="2"/>
        <v>_WARRIOR_INCA</v>
      </c>
      <c r="B145" s="9" t="s">
        <v>787</v>
      </c>
      <c r="C145" s="4" t="s">
        <v>719</v>
      </c>
      <c r="D145" s="4"/>
      <c r="E145" s="4" t="s">
        <v>743</v>
      </c>
      <c r="F145" s="4" t="s">
        <v>787</v>
      </c>
      <c r="G145" s="4"/>
      <c r="H145" s="4" t="s">
        <v>930</v>
      </c>
      <c r="I145" s="4" t="s">
        <v>1025</v>
      </c>
      <c r="J145" s="11"/>
      <c r="K145" s="11"/>
      <c r="L145" s="4"/>
      <c r="M145" s="12"/>
      <c r="N145" s="4"/>
      <c r="O145" s="4"/>
      <c r="P145" s="4"/>
      <c r="Q145" s="9">
        <v>1</v>
      </c>
      <c r="R145" s="11"/>
      <c r="S145" s="4"/>
      <c r="T145" s="11">
        <v>1</v>
      </c>
      <c r="U145" s="11"/>
      <c r="V145" s="4"/>
      <c r="W145" s="11"/>
      <c r="X145" s="11"/>
      <c r="Y145" s="4"/>
      <c r="Z145" s="9">
        <v>0</v>
      </c>
      <c r="AA145" s="11"/>
      <c r="AB145" s="4"/>
      <c r="AC145" s="11"/>
      <c r="AD145" s="11"/>
      <c r="AE145" s="4"/>
      <c r="AF145" s="11">
        <v>1</v>
      </c>
      <c r="AG145" s="11"/>
      <c r="AH145" s="4"/>
      <c r="AI145" s="11">
        <v>1</v>
      </c>
      <c r="AJ145" s="11"/>
      <c r="AK145" s="4"/>
      <c r="AL145" s="4"/>
      <c r="AM145" s="4"/>
      <c r="AN145" s="4"/>
      <c r="AO145" s="4"/>
      <c r="AP145" s="4"/>
      <c r="AQ145" s="4"/>
    </row>
    <row r="146" spans="1:43" x14ac:dyDescent="0.25">
      <c r="A146" s="161" t="str">
        <f>CONCATENATE(E146,IF(ISBLANK(C146),"",CONCATENATE("_",C146)))</f>
        <v>_WARRIOR_INCA</v>
      </c>
      <c r="B146" s="9" t="s">
        <v>787</v>
      </c>
      <c r="C146" s="4" t="s">
        <v>719</v>
      </c>
      <c r="E146" s="4" t="s">
        <v>743</v>
      </c>
      <c r="F146" s="4" t="s">
        <v>787</v>
      </c>
      <c r="G146" s="4" t="s">
        <v>2047</v>
      </c>
      <c r="H146" s="4" t="s">
        <v>423</v>
      </c>
      <c r="I146" s="4" t="s">
        <v>963</v>
      </c>
      <c r="Q146" s="11">
        <v>4</v>
      </c>
      <c r="T146" s="11">
        <v>5</v>
      </c>
      <c r="Z146" s="11">
        <v>0</v>
      </c>
      <c r="AF146" s="11">
        <v>1</v>
      </c>
      <c r="AI146" s="11">
        <v>2</v>
      </c>
    </row>
    <row r="147" spans="1:43" s="2" customFormat="1" x14ac:dyDescent="0.25">
      <c r="A147" s="161" t="str">
        <f>CONCATENATE(E147,IF(ISBLANK(C147),"",CONCATENATE("_",C147)))</f>
        <v>_WARRIOR_INCA</v>
      </c>
      <c r="B147" s="9" t="s">
        <v>787</v>
      </c>
      <c r="C147" s="4" t="s">
        <v>719</v>
      </c>
      <c r="D147" s="4"/>
      <c r="E147" s="4" t="s">
        <v>743</v>
      </c>
      <c r="F147" s="4" t="s">
        <v>787</v>
      </c>
      <c r="G147" s="4" t="s">
        <v>2049</v>
      </c>
      <c r="H147" s="4" t="s">
        <v>417</v>
      </c>
      <c r="I147" s="4" t="s">
        <v>2103</v>
      </c>
      <c r="J147" s="11"/>
      <c r="K147" s="11"/>
      <c r="L147" s="4"/>
      <c r="M147" s="12"/>
      <c r="N147" s="4"/>
      <c r="O147" s="4"/>
      <c r="P147" s="4"/>
      <c r="Q147" s="9">
        <v>1</v>
      </c>
      <c r="R147" s="11"/>
      <c r="S147" s="4"/>
      <c r="T147" s="11">
        <v>2</v>
      </c>
      <c r="U147" s="11"/>
      <c r="V147" s="4"/>
      <c r="W147" s="11"/>
      <c r="X147" s="11"/>
      <c r="Y147" s="4"/>
      <c r="Z147" s="9">
        <v>0</v>
      </c>
      <c r="AA147" s="11"/>
      <c r="AB147" s="4"/>
      <c r="AC147" s="11"/>
      <c r="AD147" s="11"/>
      <c r="AE147" s="4"/>
      <c r="AF147" s="11">
        <v>1</v>
      </c>
      <c r="AG147" s="11"/>
      <c r="AH147" s="4"/>
      <c r="AI147" s="11">
        <v>1</v>
      </c>
      <c r="AJ147" s="11"/>
      <c r="AK147" s="4"/>
      <c r="AL147" s="4"/>
      <c r="AM147" s="4"/>
      <c r="AN147" s="4"/>
      <c r="AO147" s="4"/>
      <c r="AP147" s="4"/>
      <c r="AQ147" s="4"/>
    </row>
    <row r="148" spans="1:43" s="2" customFormat="1" x14ac:dyDescent="0.25">
      <c r="A148" s="161" t="str">
        <f t="shared" si="2"/>
        <v>_WARRIOR_MAYA</v>
      </c>
      <c r="B148" s="9" t="s">
        <v>787</v>
      </c>
      <c r="C148" s="4" t="s">
        <v>725</v>
      </c>
      <c r="D148" s="4"/>
      <c r="E148" s="4" t="s">
        <v>743</v>
      </c>
      <c r="F148" s="4" t="s">
        <v>787</v>
      </c>
      <c r="G148" s="4"/>
      <c r="H148" s="4" t="s">
        <v>851</v>
      </c>
      <c r="I148" s="4" t="s">
        <v>1025</v>
      </c>
      <c r="J148" s="11"/>
      <c r="K148" s="11"/>
      <c r="L148" s="4"/>
      <c r="M148" s="12"/>
      <c r="N148" s="4"/>
      <c r="O148" s="4"/>
      <c r="P148" s="4"/>
      <c r="Q148" s="9">
        <v>2</v>
      </c>
      <c r="R148" s="11"/>
      <c r="S148" s="4"/>
      <c r="T148" s="11">
        <v>3</v>
      </c>
      <c r="U148" s="11"/>
      <c r="V148" s="4"/>
      <c r="W148" s="11"/>
      <c r="X148" s="11"/>
      <c r="Y148" s="4"/>
      <c r="Z148" s="9">
        <v>1</v>
      </c>
      <c r="AA148" s="11"/>
      <c r="AB148" s="4"/>
      <c r="AC148" s="11"/>
      <c r="AD148" s="11"/>
      <c r="AE148" s="4"/>
      <c r="AF148" s="11">
        <v>1</v>
      </c>
      <c r="AG148" s="11"/>
      <c r="AH148" s="4"/>
      <c r="AI148" s="11">
        <v>1</v>
      </c>
      <c r="AJ148" s="11"/>
      <c r="AK148" s="4"/>
      <c r="AL148" s="4"/>
      <c r="AM148" s="4"/>
      <c r="AN148" s="4"/>
      <c r="AO148" s="4"/>
      <c r="AP148" s="4"/>
      <c r="AQ148" s="4"/>
    </row>
    <row r="149" spans="1:43" s="2" customFormat="1" x14ac:dyDescent="0.25">
      <c r="A149" s="161" t="str">
        <f t="shared" si="2"/>
        <v>_WARRIOR_MAYA</v>
      </c>
      <c r="B149" s="9" t="s">
        <v>787</v>
      </c>
      <c r="C149" s="4" t="s">
        <v>725</v>
      </c>
      <c r="D149" s="4"/>
      <c r="E149" s="4" t="s">
        <v>743</v>
      </c>
      <c r="F149" s="4" t="s">
        <v>787</v>
      </c>
      <c r="G149" s="4" t="s">
        <v>2047</v>
      </c>
      <c r="H149" s="4" t="s">
        <v>975</v>
      </c>
      <c r="I149" s="4" t="s">
        <v>1025</v>
      </c>
      <c r="J149" s="11"/>
      <c r="K149" s="11"/>
      <c r="L149" s="4"/>
      <c r="M149" s="12"/>
      <c r="N149" s="4"/>
      <c r="O149" s="4"/>
      <c r="P149" s="4"/>
      <c r="Q149" s="9">
        <v>2</v>
      </c>
      <c r="R149" s="11"/>
      <c r="S149" s="4"/>
      <c r="T149" s="11">
        <v>2</v>
      </c>
      <c r="U149" s="11"/>
      <c r="V149" s="4"/>
      <c r="W149" s="11"/>
      <c r="X149" s="11"/>
      <c r="Y149" s="4"/>
      <c r="Z149" s="9">
        <v>0</v>
      </c>
      <c r="AA149" s="11"/>
      <c r="AB149" s="4"/>
      <c r="AC149" s="11"/>
      <c r="AD149" s="11"/>
      <c r="AE149" s="4"/>
      <c r="AF149" s="11">
        <v>1</v>
      </c>
      <c r="AG149" s="11"/>
      <c r="AH149" s="4"/>
      <c r="AI149" s="11">
        <v>1</v>
      </c>
      <c r="AJ149" s="11"/>
      <c r="AK149" s="4"/>
      <c r="AL149" s="4"/>
      <c r="AM149" s="4"/>
      <c r="AN149" s="4"/>
      <c r="AO149" s="4"/>
      <c r="AP149" s="4"/>
      <c r="AQ149" s="4"/>
    </row>
    <row r="150" spans="1:43" s="2" customFormat="1" x14ac:dyDescent="0.25">
      <c r="A150" s="161" t="str">
        <f t="shared" si="2"/>
        <v>_WARRIOR_MAYA</v>
      </c>
      <c r="B150" s="9" t="s">
        <v>787</v>
      </c>
      <c r="C150" s="4" t="s">
        <v>725</v>
      </c>
      <c r="D150" s="4"/>
      <c r="E150" s="4" t="s">
        <v>743</v>
      </c>
      <c r="F150" s="4" t="s">
        <v>787</v>
      </c>
      <c r="G150" s="4" t="s">
        <v>2049</v>
      </c>
      <c r="H150" s="4" t="s">
        <v>514</v>
      </c>
      <c r="I150" s="4" t="s">
        <v>1025</v>
      </c>
      <c r="J150" s="11"/>
      <c r="K150" s="11"/>
      <c r="L150" s="4"/>
      <c r="M150" s="12"/>
      <c r="N150" s="4"/>
      <c r="O150" s="4"/>
      <c r="P150" s="4"/>
      <c r="Q150" s="9">
        <v>2</v>
      </c>
      <c r="R150" s="11"/>
      <c r="S150" s="4"/>
      <c r="T150" s="11">
        <v>3</v>
      </c>
      <c r="U150" s="11"/>
      <c r="V150" s="4"/>
      <c r="W150" s="11"/>
      <c r="X150" s="11"/>
      <c r="Y150" s="4"/>
      <c r="Z150" s="9">
        <v>0</v>
      </c>
      <c r="AA150" s="11"/>
      <c r="AB150" s="4"/>
      <c r="AC150" s="11"/>
      <c r="AD150" s="11"/>
      <c r="AE150" s="4"/>
      <c r="AF150" s="11">
        <v>1</v>
      </c>
      <c r="AG150" s="11"/>
      <c r="AH150" s="4"/>
      <c r="AI150" s="11">
        <v>1</v>
      </c>
      <c r="AJ150" s="11"/>
      <c r="AK150" s="4"/>
      <c r="AL150" s="4"/>
      <c r="AM150" s="4"/>
      <c r="AN150" s="4"/>
      <c r="AO150" s="4"/>
      <c r="AP150" s="4"/>
      <c r="AQ150" s="4"/>
    </row>
    <row r="151" spans="1:43" s="2" customFormat="1" x14ac:dyDescent="0.25">
      <c r="A151" s="161" t="str">
        <f t="shared" si="2"/>
        <v>_WARRIOR_MAYA</v>
      </c>
      <c r="B151" s="9" t="s">
        <v>787</v>
      </c>
      <c r="C151" s="4" t="s">
        <v>725</v>
      </c>
      <c r="D151" s="4"/>
      <c r="E151" s="4" t="s">
        <v>743</v>
      </c>
      <c r="F151" s="4" t="s">
        <v>787</v>
      </c>
      <c r="G151" s="4"/>
      <c r="H151" s="4" t="s">
        <v>851</v>
      </c>
      <c r="I151" s="4" t="s">
        <v>1025</v>
      </c>
      <c r="J151" s="11"/>
      <c r="K151" s="11"/>
      <c r="L151" s="4"/>
      <c r="M151" s="12"/>
      <c r="N151" s="4"/>
      <c r="O151" s="4"/>
      <c r="P151" s="4"/>
      <c r="Q151" s="9">
        <v>2</v>
      </c>
      <c r="R151" s="11"/>
      <c r="S151" s="4"/>
      <c r="T151" s="11">
        <v>3</v>
      </c>
      <c r="U151" s="11"/>
      <c r="V151" s="4"/>
      <c r="W151" s="11"/>
      <c r="X151" s="11"/>
      <c r="Y151" s="4"/>
      <c r="Z151" s="9">
        <v>0</v>
      </c>
      <c r="AA151" s="11"/>
      <c r="AB151" s="4"/>
      <c r="AC151" s="11"/>
      <c r="AD151" s="11"/>
      <c r="AE151" s="4"/>
      <c r="AF151" s="11">
        <v>0</v>
      </c>
      <c r="AG151" s="11"/>
      <c r="AH151" s="4"/>
      <c r="AI151" s="11">
        <v>2</v>
      </c>
      <c r="AJ151" s="11"/>
      <c r="AK151" s="4"/>
      <c r="AL151" s="4"/>
      <c r="AM151" s="4"/>
      <c r="AN151" s="4"/>
      <c r="AO151" s="4"/>
      <c r="AP151" s="4"/>
      <c r="AQ151" s="4"/>
    </row>
    <row r="152" spans="1:43" s="2" customFormat="1" x14ac:dyDescent="0.25">
      <c r="A152" s="161" t="str">
        <f t="shared" si="2"/>
        <v>_WARRIOR_MAYA</v>
      </c>
      <c r="B152" s="9" t="s">
        <v>787</v>
      </c>
      <c r="C152" s="4" t="s">
        <v>725</v>
      </c>
      <c r="D152" s="4"/>
      <c r="E152" s="4" t="s">
        <v>743</v>
      </c>
      <c r="F152" s="4" t="s">
        <v>787</v>
      </c>
      <c r="G152" s="4" t="s">
        <v>2047</v>
      </c>
      <c r="H152" s="4" t="s">
        <v>975</v>
      </c>
      <c r="I152" s="4" t="s">
        <v>1025</v>
      </c>
      <c r="J152" s="11"/>
      <c r="K152" s="11"/>
      <c r="L152" s="4"/>
      <c r="M152" s="12"/>
      <c r="N152" s="4"/>
      <c r="O152" s="4"/>
      <c r="P152" s="4"/>
      <c r="Q152" s="9">
        <v>2</v>
      </c>
      <c r="R152" s="11"/>
      <c r="S152" s="4"/>
      <c r="T152" s="11">
        <v>4</v>
      </c>
      <c r="U152" s="11"/>
      <c r="V152" s="4"/>
      <c r="W152" s="11"/>
      <c r="X152" s="11"/>
      <c r="Y152" s="4"/>
      <c r="Z152" s="9">
        <v>0</v>
      </c>
      <c r="AA152" s="11"/>
      <c r="AB152" s="4"/>
      <c r="AC152" s="11"/>
      <c r="AD152" s="11"/>
      <c r="AE152" s="4"/>
      <c r="AF152" s="11">
        <v>0</v>
      </c>
      <c r="AG152" s="11"/>
      <c r="AH152" s="4"/>
      <c r="AI152" s="11">
        <v>1</v>
      </c>
      <c r="AJ152" s="11"/>
      <c r="AK152" s="4"/>
      <c r="AL152" s="4"/>
      <c r="AM152" s="4"/>
      <c r="AN152" s="4"/>
      <c r="AO152" s="4"/>
      <c r="AP152" s="4"/>
      <c r="AQ152" s="4"/>
    </row>
    <row r="153" spans="1:43" s="2" customFormat="1" x14ac:dyDescent="0.25">
      <c r="A153" s="161" t="str">
        <f t="shared" si="2"/>
        <v>_WARRIOR_MAYA</v>
      </c>
      <c r="B153" s="9" t="s">
        <v>787</v>
      </c>
      <c r="C153" s="4" t="s">
        <v>725</v>
      </c>
      <c r="D153" s="4"/>
      <c r="E153" s="4" t="s">
        <v>743</v>
      </c>
      <c r="F153" s="4" t="s">
        <v>787</v>
      </c>
      <c r="G153" s="4" t="s">
        <v>2049</v>
      </c>
      <c r="H153" s="4" t="s">
        <v>514</v>
      </c>
      <c r="I153" s="4" t="s">
        <v>1025</v>
      </c>
      <c r="J153" s="11"/>
      <c r="K153" s="11"/>
      <c r="L153" s="4"/>
      <c r="M153" s="12"/>
      <c r="N153" s="4"/>
      <c r="O153" s="4"/>
      <c r="P153" s="4"/>
      <c r="Q153" s="9">
        <v>2</v>
      </c>
      <c r="R153" s="11"/>
      <c r="S153" s="4"/>
      <c r="T153" s="11">
        <v>3</v>
      </c>
      <c r="U153" s="11"/>
      <c r="V153" s="4"/>
      <c r="W153" s="11"/>
      <c r="X153" s="11"/>
      <c r="Y153" s="4"/>
      <c r="Z153" s="9">
        <v>0</v>
      </c>
      <c r="AA153" s="11"/>
      <c r="AB153" s="4"/>
      <c r="AC153" s="11"/>
      <c r="AD153" s="11"/>
      <c r="AE153" s="4"/>
      <c r="AF153" s="11">
        <v>0</v>
      </c>
      <c r="AG153" s="11"/>
      <c r="AH153" s="4"/>
      <c r="AI153" s="11">
        <v>1</v>
      </c>
      <c r="AJ153" s="11"/>
      <c r="AK153" s="4"/>
      <c r="AL153" s="4"/>
      <c r="AM153" s="4"/>
      <c r="AN153" s="4"/>
      <c r="AO153" s="4"/>
      <c r="AP153" s="4"/>
      <c r="AQ153" s="4"/>
    </row>
    <row r="154" spans="1:43" s="2" customFormat="1" x14ac:dyDescent="0.25">
      <c r="A154" s="161" t="str">
        <f t="shared" si="2"/>
        <v>_WORKER</v>
      </c>
      <c r="B154" s="9" t="s">
        <v>2082</v>
      </c>
      <c r="C154" s="5"/>
      <c r="D154" s="5"/>
      <c r="E154" s="5" t="s">
        <v>1316</v>
      </c>
      <c r="F154" s="5" t="s">
        <v>2082</v>
      </c>
      <c r="G154" s="5"/>
      <c r="H154" s="5" t="s">
        <v>1540</v>
      </c>
      <c r="I154" s="5" t="s">
        <v>128</v>
      </c>
      <c r="J154" s="6">
        <v>1</v>
      </c>
      <c r="K154" s="6"/>
      <c r="L154" s="5" t="s">
        <v>1708</v>
      </c>
      <c r="M154" s="8"/>
      <c r="N154" s="5"/>
      <c r="O154" s="5"/>
      <c r="P154" s="5"/>
      <c r="Q154" s="7">
        <v>8</v>
      </c>
      <c r="R154" s="7" t="s">
        <v>1737</v>
      </c>
      <c r="S154" s="5" t="s">
        <v>1610</v>
      </c>
      <c r="T154" s="6"/>
      <c r="U154" s="7" t="s">
        <v>1737</v>
      </c>
      <c r="V154" s="5"/>
      <c r="W154" s="7" t="s">
        <v>3</v>
      </c>
      <c r="X154" s="6" t="s">
        <v>3</v>
      </c>
      <c r="Y154" s="5"/>
      <c r="Z154" s="7">
        <v>1</v>
      </c>
      <c r="AA154" s="6"/>
      <c r="AB154" s="5"/>
      <c r="AC154" s="6"/>
      <c r="AD154" s="6" t="s">
        <v>3</v>
      </c>
      <c r="AE154" s="5"/>
      <c r="AF154" s="6"/>
      <c r="AG154" s="6"/>
      <c r="AH154" s="5"/>
      <c r="AI154" s="7">
        <v>5</v>
      </c>
      <c r="AJ154" s="6"/>
      <c r="AK154" s="5"/>
      <c r="AL154" s="5"/>
      <c r="AM154" s="5"/>
      <c r="AN154" s="5"/>
      <c r="AO154" s="5"/>
      <c r="AP154" s="5"/>
      <c r="AQ154" s="5"/>
    </row>
    <row r="155" spans="1:43" s="2" customFormat="1" x14ac:dyDescent="0.25">
      <c r="A155" s="161" t="str">
        <f>CONCATENATE(E155,IF(ISBLANK(C155),"",CONCATENATE("_",C155)))</f>
        <v>_WORKER_NETHERLANDS</v>
      </c>
      <c r="B155" s="9" t="s">
        <v>2082</v>
      </c>
      <c r="C155" s="5" t="s">
        <v>730</v>
      </c>
      <c r="D155" s="5"/>
      <c r="E155" s="5" t="s">
        <v>1316</v>
      </c>
      <c r="F155" s="5" t="s">
        <v>2082</v>
      </c>
      <c r="G155" s="5"/>
      <c r="H155" s="5" t="s">
        <v>2084</v>
      </c>
      <c r="I155" s="5" t="s">
        <v>835</v>
      </c>
      <c r="J155" s="6"/>
      <c r="K155" s="6"/>
      <c r="L155" s="5"/>
      <c r="M155" s="8"/>
      <c r="N155" s="5"/>
      <c r="O155" s="5"/>
      <c r="P155" s="5"/>
      <c r="Q155" s="7"/>
      <c r="R155" s="7"/>
      <c r="S155" s="5"/>
      <c r="T155" s="6"/>
      <c r="U155" s="7"/>
      <c r="V155" s="5"/>
      <c r="W155" s="7"/>
      <c r="X155" s="6"/>
      <c r="Y155" s="5"/>
      <c r="Z155" s="7"/>
      <c r="AA155" s="6"/>
      <c r="AB155" s="5"/>
      <c r="AC155" s="6"/>
      <c r="AD155" s="6"/>
      <c r="AE155" s="5"/>
      <c r="AF155" s="6"/>
      <c r="AG155" s="6"/>
      <c r="AH155" s="5"/>
      <c r="AI155" s="7"/>
      <c r="AJ155" s="6"/>
      <c r="AK155" s="5"/>
      <c r="AL155" s="5"/>
      <c r="AM155" s="5"/>
      <c r="AN155" s="5"/>
      <c r="AO155" s="5"/>
      <c r="AP155" s="5"/>
      <c r="AQ155" s="5"/>
    </row>
    <row r="156" spans="1:43" s="2" customFormat="1" x14ac:dyDescent="0.25">
      <c r="A156" s="161" t="str">
        <f t="shared" si="2"/>
        <v>_WORKER_ASIA</v>
      </c>
      <c r="B156" s="9" t="s">
        <v>2082</v>
      </c>
      <c r="C156" s="5" t="s">
        <v>693</v>
      </c>
      <c r="D156" s="5"/>
      <c r="E156" s="5" t="s">
        <v>1316</v>
      </c>
      <c r="F156" s="5" t="s">
        <v>2082</v>
      </c>
      <c r="G156" s="5"/>
      <c r="H156" s="5" t="s">
        <v>2102</v>
      </c>
      <c r="I156" s="5"/>
      <c r="J156" s="6">
        <v>1</v>
      </c>
      <c r="K156" s="6"/>
      <c r="L156" s="5"/>
      <c r="M156" s="8"/>
      <c r="N156" s="5"/>
      <c r="O156" s="5"/>
      <c r="P156" s="5"/>
      <c r="Q156" s="7"/>
      <c r="R156" s="7"/>
      <c r="S156" s="5"/>
      <c r="T156" s="6"/>
      <c r="U156" s="7"/>
      <c r="V156" s="5"/>
      <c r="W156" s="7"/>
      <c r="X156" s="6"/>
      <c r="Y156" s="5"/>
      <c r="Z156" s="7"/>
      <c r="AA156" s="6"/>
      <c r="AB156" s="5"/>
      <c r="AC156" s="6"/>
      <c r="AD156" s="6"/>
      <c r="AE156" s="5"/>
      <c r="AF156" s="6"/>
      <c r="AG156" s="6"/>
      <c r="AH156" s="5"/>
      <c r="AI156" s="7"/>
      <c r="AJ156" s="6"/>
      <c r="AK156" s="5"/>
      <c r="AL156" s="5"/>
      <c r="AM156" s="5"/>
      <c r="AN156" s="5"/>
      <c r="AO156" s="5"/>
      <c r="AP156" s="5"/>
      <c r="AQ156" s="5"/>
    </row>
    <row r="157" spans="1:43" s="2" customFormat="1" x14ac:dyDescent="0.25">
      <c r="A157" s="161" t="str">
        <f t="shared" si="2"/>
        <v>_WORKER_SOUTHAM</v>
      </c>
      <c r="B157" s="9" t="s">
        <v>2082</v>
      </c>
      <c r="C157" s="5" t="s">
        <v>691</v>
      </c>
      <c r="D157" s="5"/>
      <c r="E157" s="5" t="s">
        <v>1316</v>
      </c>
      <c r="F157" s="5" t="s">
        <v>2082</v>
      </c>
      <c r="G157" s="5"/>
      <c r="H157" s="5" t="s">
        <v>2083</v>
      </c>
      <c r="I157" s="5" t="s">
        <v>963</v>
      </c>
      <c r="J157" s="6">
        <v>1</v>
      </c>
      <c r="K157" s="6"/>
      <c r="L157" s="5"/>
      <c r="M157" s="8"/>
      <c r="N157" s="5"/>
      <c r="O157" s="5"/>
      <c r="P157" s="5"/>
      <c r="Q157" s="7"/>
      <c r="R157" s="7"/>
      <c r="S157" s="5"/>
      <c r="T157" s="6"/>
      <c r="U157" s="7"/>
      <c r="V157" s="5"/>
      <c r="W157" s="7"/>
      <c r="X157" s="6"/>
      <c r="Y157" s="5"/>
      <c r="Z157" s="7"/>
      <c r="AA157" s="6"/>
      <c r="AB157" s="5"/>
      <c r="AC157" s="6"/>
      <c r="AD157" s="6"/>
      <c r="AE157" s="5"/>
      <c r="AF157" s="6"/>
      <c r="AG157" s="6"/>
      <c r="AH157" s="5"/>
      <c r="AI157" s="7"/>
      <c r="AJ157" s="6"/>
      <c r="AK157" s="5"/>
      <c r="AL157" s="5"/>
      <c r="AM157" s="5"/>
      <c r="AN157" s="5"/>
      <c r="AO157" s="5"/>
      <c r="AP157" s="5"/>
      <c r="AQ157" s="5"/>
    </row>
    <row r="158" spans="1:43" s="2" customFormat="1" x14ac:dyDescent="0.25">
      <c r="A158" s="161" t="str">
        <f t="shared" si="2"/>
        <v>_WORKER_OCEAN</v>
      </c>
      <c r="B158" s="9" t="s">
        <v>2082</v>
      </c>
      <c r="C158" s="5" t="s">
        <v>994</v>
      </c>
      <c r="D158" s="5"/>
      <c r="E158" s="5" t="s">
        <v>1316</v>
      </c>
      <c r="F158" s="5" t="s">
        <v>2082</v>
      </c>
      <c r="G158" s="5"/>
      <c r="H158" s="5"/>
      <c r="I158" s="5"/>
      <c r="J158" s="6">
        <v>1</v>
      </c>
      <c r="K158" s="6"/>
      <c r="L158" s="5"/>
      <c r="M158" s="8"/>
      <c r="N158" s="5"/>
      <c r="O158" s="5"/>
      <c r="P158" s="5"/>
      <c r="Q158" s="7"/>
      <c r="R158" s="7"/>
      <c r="S158" s="5"/>
      <c r="T158" s="6"/>
      <c r="U158" s="7"/>
      <c r="V158" s="5"/>
      <c r="W158" s="7"/>
      <c r="X158" s="6"/>
      <c r="Y158" s="5"/>
      <c r="Z158" s="7"/>
      <c r="AA158" s="6"/>
      <c r="AB158" s="5"/>
      <c r="AC158" s="6"/>
      <c r="AD158" s="6"/>
      <c r="AE158" s="5"/>
      <c r="AF158" s="6"/>
      <c r="AG158" s="6"/>
      <c r="AH158" s="5"/>
      <c r="AI158" s="7"/>
      <c r="AJ158" s="6"/>
      <c r="AK158" s="5"/>
      <c r="AL158" s="5"/>
      <c r="AM158" s="5"/>
      <c r="AN158" s="5"/>
      <c r="AO158" s="5"/>
      <c r="AP158" s="5"/>
      <c r="AQ158" s="5"/>
    </row>
    <row r="159" spans="1:43" s="2" customFormat="1" x14ac:dyDescent="0.25">
      <c r="A159" s="161" t="str">
        <f t="shared" si="2"/>
        <v>_WORKER_LATE</v>
      </c>
      <c r="B159" s="9" t="s">
        <v>2082</v>
      </c>
      <c r="C159" s="5"/>
      <c r="D159" s="5"/>
      <c r="E159" s="5" t="s">
        <v>1317</v>
      </c>
      <c r="F159" s="5" t="s">
        <v>2085</v>
      </c>
      <c r="G159" s="5"/>
      <c r="H159" s="5" t="s">
        <v>1541</v>
      </c>
      <c r="I159" s="5" t="s">
        <v>128</v>
      </c>
      <c r="J159" s="6"/>
      <c r="K159" s="6"/>
      <c r="L159" s="5" t="s">
        <v>1708</v>
      </c>
      <c r="M159" s="8"/>
      <c r="N159" s="5"/>
      <c r="O159" s="5"/>
      <c r="P159" s="5"/>
      <c r="Q159" s="7">
        <v>8</v>
      </c>
      <c r="R159" s="7" t="s">
        <v>1737</v>
      </c>
      <c r="S159" s="5" t="s">
        <v>1610</v>
      </c>
      <c r="T159" s="6"/>
      <c r="U159" s="7" t="s">
        <v>1737</v>
      </c>
      <c r="V159" s="5"/>
      <c r="W159" s="7" t="s">
        <v>3</v>
      </c>
      <c r="X159" s="6" t="s">
        <v>3</v>
      </c>
      <c r="Y159" s="5"/>
      <c r="Z159" s="7">
        <v>1</v>
      </c>
      <c r="AA159" s="6"/>
      <c r="AB159" s="5"/>
      <c r="AC159" s="6"/>
      <c r="AD159" s="6" t="s">
        <v>3</v>
      </c>
      <c r="AE159" s="5"/>
      <c r="AF159" s="6"/>
      <c r="AG159" s="6"/>
      <c r="AH159" s="5"/>
      <c r="AI159" s="7">
        <v>5</v>
      </c>
      <c r="AJ159" s="6"/>
      <c r="AK159" s="5"/>
      <c r="AL159" s="5"/>
      <c r="AM159" s="5"/>
      <c r="AN159" s="5"/>
      <c r="AO159" s="5"/>
      <c r="AP159" s="5"/>
      <c r="AQ159" s="5"/>
    </row>
    <row r="160" spans="1:43" s="2" customFormat="1" x14ac:dyDescent="0.25">
      <c r="A160" s="161" t="str">
        <f t="shared" si="2"/>
        <v>ANTI_AIRCRAFT_GUN</v>
      </c>
      <c r="B160" s="9" t="s">
        <v>744</v>
      </c>
      <c r="C160" s="5"/>
      <c r="D160" s="5"/>
      <c r="E160" s="5" t="s">
        <v>744</v>
      </c>
      <c r="F160" s="5" t="s">
        <v>788</v>
      </c>
      <c r="G160" s="5"/>
      <c r="H160" s="5" t="s">
        <v>1394</v>
      </c>
      <c r="I160" s="5" t="s">
        <v>128</v>
      </c>
      <c r="J160" s="6"/>
      <c r="K160" s="6"/>
      <c r="L160" s="13" t="s">
        <v>1709</v>
      </c>
      <c r="M160" s="8"/>
      <c r="N160" s="5"/>
      <c r="O160" s="5"/>
      <c r="P160" s="5"/>
      <c r="Q160" s="7">
        <v>3</v>
      </c>
      <c r="R160" s="6" t="s">
        <v>1695</v>
      </c>
      <c r="S160" s="13" t="s">
        <v>1611</v>
      </c>
      <c r="T160" s="7">
        <v>4</v>
      </c>
      <c r="U160" s="7" t="s">
        <v>1737</v>
      </c>
      <c r="V160" s="13" t="s">
        <v>688</v>
      </c>
      <c r="W160" s="7" t="s">
        <v>3</v>
      </c>
      <c r="X160" s="6" t="s">
        <v>3</v>
      </c>
      <c r="Y160" s="13"/>
      <c r="Z160" s="7">
        <v>1</v>
      </c>
      <c r="AA160" s="6"/>
      <c r="AB160" s="13"/>
      <c r="AC160" s="6"/>
      <c r="AD160" s="6" t="s">
        <v>3</v>
      </c>
      <c r="AE160" s="13"/>
      <c r="AF160" s="6"/>
      <c r="AG160" s="6"/>
      <c r="AH160" s="13"/>
      <c r="AI160" s="6"/>
      <c r="AJ160" s="6"/>
      <c r="AK160" s="13"/>
      <c r="AL160" s="13"/>
      <c r="AM160" s="13"/>
      <c r="AN160" s="13"/>
      <c r="AO160" s="13"/>
      <c r="AP160" s="13"/>
      <c r="AQ160" s="13"/>
    </row>
    <row r="161" spans="1:43" s="2" customFormat="1" x14ac:dyDescent="0.25">
      <c r="A161" s="161" t="str">
        <f t="shared" si="2"/>
        <v>ANTI_TANK_GUN</v>
      </c>
      <c r="B161" s="9" t="s">
        <v>745</v>
      </c>
      <c r="C161" s="5"/>
      <c r="D161" s="5"/>
      <c r="E161" s="5" t="s">
        <v>745</v>
      </c>
      <c r="F161" s="5" t="s">
        <v>789</v>
      </c>
      <c r="G161" s="5"/>
      <c r="H161" s="5" t="s">
        <v>1395</v>
      </c>
      <c r="I161" s="5" t="s">
        <v>128</v>
      </c>
      <c r="J161" s="6"/>
      <c r="K161" s="6"/>
      <c r="L161" s="13" t="s">
        <v>1709</v>
      </c>
      <c r="M161" s="8"/>
      <c r="N161" s="5"/>
      <c r="O161" s="5"/>
      <c r="P161" s="5"/>
      <c r="Q161" s="7">
        <v>3</v>
      </c>
      <c r="R161" s="6" t="s">
        <v>1695</v>
      </c>
      <c r="S161" s="13" t="s">
        <v>1611</v>
      </c>
      <c r="T161" s="6"/>
      <c r="U161" s="7" t="s">
        <v>1737</v>
      </c>
      <c r="V161" s="13"/>
      <c r="W161" s="7">
        <v>7</v>
      </c>
      <c r="X161" s="6" t="s">
        <v>3</v>
      </c>
      <c r="Y161" s="13"/>
      <c r="Z161" s="7">
        <v>1</v>
      </c>
      <c r="AA161" s="6"/>
      <c r="AB161" s="13"/>
      <c r="AC161" s="6"/>
      <c r="AD161" s="6" t="s">
        <v>3</v>
      </c>
      <c r="AE161" s="13"/>
      <c r="AF161" s="6"/>
      <c r="AG161" s="6"/>
      <c r="AH161" s="13"/>
      <c r="AI161" s="6"/>
      <c r="AJ161" s="6"/>
      <c r="AK161" s="13"/>
      <c r="AL161" s="13"/>
      <c r="AM161" s="13"/>
      <c r="AN161" s="13"/>
      <c r="AO161" s="13"/>
      <c r="AP161" s="13"/>
      <c r="AQ161" s="13"/>
    </row>
    <row r="162" spans="1:43" s="2" customFormat="1" x14ac:dyDescent="0.25">
      <c r="A162" s="161" t="str">
        <f t="shared" si="2"/>
        <v>ARCHAEOLOGIST</v>
      </c>
      <c r="B162" s="9" t="s">
        <v>1111</v>
      </c>
      <c r="C162" s="5"/>
      <c r="D162" s="5"/>
      <c r="E162" s="5" t="s">
        <v>1111</v>
      </c>
      <c r="F162" s="5" t="s">
        <v>1111</v>
      </c>
      <c r="G162" s="5"/>
      <c r="H162" s="5" t="s">
        <v>1396</v>
      </c>
      <c r="I162" s="5" t="s">
        <v>128</v>
      </c>
      <c r="J162" s="6"/>
      <c r="K162" s="6"/>
      <c r="L162" s="13" t="s">
        <v>1708</v>
      </c>
      <c r="M162" s="8"/>
      <c r="N162" s="5"/>
      <c r="O162" s="5"/>
      <c r="P162" s="5"/>
      <c r="Q162" s="6">
        <v>1</v>
      </c>
      <c r="R162" s="6" t="s">
        <v>1695</v>
      </c>
      <c r="S162" s="13" t="s">
        <v>1695</v>
      </c>
      <c r="T162" s="6">
        <v>1</v>
      </c>
      <c r="U162" s="7" t="s">
        <v>1737</v>
      </c>
      <c r="V162" s="5"/>
      <c r="W162" s="6"/>
      <c r="X162" s="6" t="s">
        <v>3</v>
      </c>
      <c r="Y162" s="5"/>
      <c r="Z162" s="7">
        <v>1</v>
      </c>
      <c r="AA162" s="6"/>
      <c r="AB162" s="5"/>
      <c r="AC162" s="6"/>
      <c r="AD162" s="6" t="s">
        <v>3</v>
      </c>
      <c r="AE162" s="5"/>
      <c r="AF162" s="6">
        <v>1</v>
      </c>
      <c r="AG162" s="6"/>
      <c r="AH162" s="5"/>
      <c r="AI162" s="6">
        <v>1</v>
      </c>
      <c r="AJ162" s="6"/>
      <c r="AK162" s="5"/>
      <c r="AL162" s="5"/>
      <c r="AM162" s="5"/>
      <c r="AN162" s="5"/>
      <c r="AO162" s="5"/>
      <c r="AP162" s="5"/>
      <c r="AQ162" s="5"/>
    </row>
    <row r="163" spans="1:43" s="2" customFormat="1" x14ac:dyDescent="0.25">
      <c r="A163" s="161" t="str">
        <f t="shared" si="2"/>
        <v>ARCHAEOLOGIST</v>
      </c>
      <c r="B163" s="9" t="s">
        <v>1111</v>
      </c>
      <c r="C163" s="5"/>
      <c r="D163" s="5"/>
      <c r="E163" s="5" t="s">
        <v>1111</v>
      </c>
      <c r="F163" s="5" t="s">
        <v>1111</v>
      </c>
      <c r="G163" s="5" t="s">
        <v>2040</v>
      </c>
      <c r="H163" s="5" t="s">
        <v>1397</v>
      </c>
      <c r="I163" s="5" t="s">
        <v>128</v>
      </c>
      <c r="J163" s="6"/>
      <c r="K163" s="6"/>
      <c r="L163" s="13" t="s">
        <v>1708</v>
      </c>
      <c r="M163" s="8"/>
      <c r="N163" s="5"/>
      <c r="O163" s="5"/>
      <c r="P163" s="5"/>
      <c r="Q163" s="6">
        <v>1</v>
      </c>
      <c r="R163" s="6" t="s">
        <v>1695</v>
      </c>
      <c r="S163" s="13" t="s">
        <v>1695</v>
      </c>
      <c r="T163" s="6">
        <v>1</v>
      </c>
      <c r="U163" s="7" t="s">
        <v>1737</v>
      </c>
      <c r="V163" s="5"/>
      <c r="W163" s="6"/>
      <c r="X163" s="6" t="s">
        <v>3</v>
      </c>
      <c r="Y163" s="5"/>
      <c r="Z163" s="7">
        <v>0</v>
      </c>
      <c r="AA163" s="6"/>
      <c r="AB163" s="5"/>
      <c r="AC163" s="6"/>
      <c r="AD163" s="6" t="s">
        <v>3</v>
      </c>
      <c r="AE163" s="5"/>
      <c r="AF163" s="6">
        <v>1</v>
      </c>
      <c r="AG163" s="6"/>
      <c r="AH163" s="5"/>
      <c r="AI163" s="6">
        <v>1</v>
      </c>
      <c r="AJ163" s="6"/>
      <c r="AK163" s="5"/>
      <c r="AL163" s="5"/>
      <c r="AM163" s="5"/>
      <c r="AN163" s="5"/>
      <c r="AO163" s="5"/>
      <c r="AP163" s="5"/>
      <c r="AQ163" s="5"/>
    </row>
    <row r="164" spans="1:43" s="2" customFormat="1" x14ac:dyDescent="0.25">
      <c r="A164" s="161" t="str">
        <f t="shared" si="2"/>
        <v>ARCHAEOLOGIST</v>
      </c>
      <c r="B164" s="9" t="s">
        <v>1111</v>
      </c>
      <c r="C164" s="5"/>
      <c r="D164" s="5"/>
      <c r="E164" s="5" t="s">
        <v>1111</v>
      </c>
      <c r="F164" s="5" t="s">
        <v>1111</v>
      </c>
      <c r="G164" s="5" t="s">
        <v>2041</v>
      </c>
      <c r="H164" s="5" t="s">
        <v>1398</v>
      </c>
      <c r="I164" s="5" t="s">
        <v>128</v>
      </c>
      <c r="J164" s="6"/>
      <c r="K164" s="6"/>
      <c r="L164" s="13" t="s">
        <v>1708</v>
      </c>
      <c r="M164" s="8"/>
      <c r="N164" s="5"/>
      <c r="O164" s="5"/>
      <c r="P164" s="5"/>
      <c r="Q164" s="6">
        <v>1</v>
      </c>
      <c r="R164" s="6" t="s">
        <v>1695</v>
      </c>
      <c r="S164" s="13" t="s">
        <v>1695</v>
      </c>
      <c r="T164" s="6">
        <v>1</v>
      </c>
      <c r="U164" s="7" t="s">
        <v>1737</v>
      </c>
      <c r="V164" s="5"/>
      <c r="W164" s="6"/>
      <c r="X164" s="6" t="s">
        <v>3</v>
      </c>
      <c r="Y164" s="5"/>
      <c r="Z164" s="7">
        <v>0</v>
      </c>
      <c r="AA164" s="6"/>
      <c r="AB164" s="5"/>
      <c r="AC164" s="6"/>
      <c r="AD164" s="6" t="s">
        <v>3</v>
      </c>
      <c r="AE164" s="5"/>
      <c r="AF164" s="6">
        <v>0</v>
      </c>
      <c r="AG164" s="6"/>
      <c r="AH164" s="5"/>
      <c r="AI164" s="6">
        <v>1</v>
      </c>
      <c r="AJ164" s="6"/>
      <c r="AK164" s="5"/>
      <c r="AL164" s="5"/>
      <c r="AM164" s="5"/>
      <c r="AN164" s="5"/>
      <c r="AO164" s="5"/>
      <c r="AP164" s="5"/>
      <c r="AQ164" s="5"/>
    </row>
    <row r="165" spans="1:43" s="2" customFormat="1" x14ac:dyDescent="0.25">
      <c r="A165" s="161" t="str">
        <f t="shared" si="2"/>
        <v>ARCHER</v>
      </c>
      <c r="B165" s="9" t="s">
        <v>119</v>
      </c>
      <c r="C165" s="5"/>
      <c r="D165" s="5"/>
      <c r="E165" s="5" t="s">
        <v>119</v>
      </c>
      <c r="F165" s="5" t="s">
        <v>119</v>
      </c>
      <c r="G165" s="5" t="s">
        <v>2047</v>
      </c>
      <c r="H165" s="5" t="s">
        <v>1399</v>
      </c>
      <c r="I165" s="5" t="s">
        <v>128</v>
      </c>
      <c r="J165" s="6"/>
      <c r="K165" s="6"/>
      <c r="L165" s="13" t="s">
        <v>1708</v>
      </c>
      <c r="M165" s="8"/>
      <c r="N165" s="5"/>
      <c r="O165" s="5"/>
      <c r="P165" s="5"/>
      <c r="Q165" s="6">
        <v>0</v>
      </c>
      <c r="R165" s="6" t="s">
        <v>1737</v>
      </c>
      <c r="S165" s="13" t="s">
        <v>44</v>
      </c>
      <c r="T165" s="6">
        <v>3</v>
      </c>
      <c r="U165" s="7" t="s">
        <v>1737</v>
      </c>
      <c r="V165" s="5"/>
      <c r="W165" s="6" t="s">
        <v>3</v>
      </c>
      <c r="X165" s="6" t="s">
        <v>3</v>
      </c>
      <c r="Y165" s="5"/>
      <c r="Z165" s="6">
        <v>0</v>
      </c>
      <c r="AA165" s="6"/>
      <c r="AB165" s="5"/>
      <c r="AC165" s="6"/>
      <c r="AD165" s="6" t="s">
        <v>3</v>
      </c>
      <c r="AE165" s="5"/>
      <c r="AF165" s="6">
        <v>0</v>
      </c>
      <c r="AG165" s="6"/>
      <c r="AH165" s="5"/>
      <c r="AI165" s="6">
        <v>0</v>
      </c>
      <c r="AJ165" s="6"/>
      <c r="AK165" s="5"/>
      <c r="AL165" s="5"/>
      <c r="AM165" s="5"/>
      <c r="AN165" s="5"/>
      <c r="AO165" s="5"/>
      <c r="AP165" s="5"/>
      <c r="AQ165" s="5"/>
    </row>
    <row r="166" spans="1:43" s="2" customFormat="1" x14ac:dyDescent="0.25">
      <c r="A166" s="161" t="str">
        <f t="shared" si="2"/>
        <v>ARCHER</v>
      </c>
      <c r="B166" s="9" t="s">
        <v>119</v>
      </c>
      <c r="C166" s="5"/>
      <c r="D166" s="5"/>
      <c r="E166" s="5" t="s">
        <v>119</v>
      </c>
      <c r="F166" s="5" t="s">
        <v>119</v>
      </c>
      <c r="G166" s="5" t="s">
        <v>2049</v>
      </c>
      <c r="H166" s="5" t="s">
        <v>1400</v>
      </c>
      <c r="I166" s="5" t="s">
        <v>128</v>
      </c>
      <c r="J166" s="6"/>
      <c r="K166" s="6"/>
      <c r="L166" s="13" t="s">
        <v>1708</v>
      </c>
      <c r="M166" s="8"/>
      <c r="N166" s="5"/>
      <c r="O166" s="5"/>
      <c r="P166" s="5"/>
      <c r="Q166" s="6">
        <v>3</v>
      </c>
      <c r="R166" s="6" t="s">
        <v>1737</v>
      </c>
      <c r="S166" s="13" t="s">
        <v>44</v>
      </c>
      <c r="T166" s="6">
        <v>3</v>
      </c>
      <c r="U166" s="7" t="s">
        <v>1737</v>
      </c>
      <c r="V166" s="5"/>
      <c r="W166" s="6" t="s">
        <v>3</v>
      </c>
      <c r="X166" s="6" t="s">
        <v>3</v>
      </c>
      <c r="Y166" s="5"/>
      <c r="Z166" s="6">
        <v>1</v>
      </c>
      <c r="AA166" s="6"/>
      <c r="AB166" s="5"/>
      <c r="AC166" s="6"/>
      <c r="AD166" s="6" t="s">
        <v>3</v>
      </c>
      <c r="AE166" s="5"/>
      <c r="AF166" s="6">
        <v>1</v>
      </c>
      <c r="AG166" s="6"/>
      <c r="AH166" s="5"/>
      <c r="AI166" s="6">
        <v>2</v>
      </c>
      <c r="AJ166" s="6"/>
      <c r="AK166" s="5"/>
      <c r="AL166" s="5"/>
      <c r="AM166" s="5"/>
      <c r="AN166" s="5"/>
      <c r="AO166" s="5"/>
      <c r="AP166" s="5"/>
      <c r="AQ166" s="5"/>
    </row>
    <row r="167" spans="1:43" s="2" customFormat="1" x14ac:dyDescent="0.25">
      <c r="A167" s="161" t="str">
        <f t="shared" si="2"/>
        <v>ARCHER</v>
      </c>
      <c r="B167" s="9" t="s">
        <v>119</v>
      </c>
      <c r="C167" s="5"/>
      <c r="D167" s="5"/>
      <c r="E167" s="5" t="s">
        <v>119</v>
      </c>
      <c r="F167" s="5" t="s">
        <v>119</v>
      </c>
      <c r="G167" s="5"/>
      <c r="H167" s="5" t="s">
        <v>44</v>
      </c>
      <c r="I167" s="5" t="s">
        <v>128</v>
      </c>
      <c r="J167" s="6"/>
      <c r="K167" s="6"/>
      <c r="L167" s="13" t="s">
        <v>1708</v>
      </c>
      <c r="M167" s="8"/>
      <c r="N167" s="5"/>
      <c r="O167" s="5"/>
      <c r="P167" s="5"/>
      <c r="Q167" s="6">
        <v>6</v>
      </c>
      <c r="R167" s="6" t="s">
        <v>1737</v>
      </c>
      <c r="S167" s="13" t="s">
        <v>44</v>
      </c>
      <c r="T167" s="6">
        <v>4</v>
      </c>
      <c r="U167" s="7" t="s">
        <v>1737</v>
      </c>
      <c r="V167" s="5"/>
      <c r="W167" s="6" t="s">
        <v>3</v>
      </c>
      <c r="X167" s="6" t="s">
        <v>3</v>
      </c>
      <c r="Y167" s="5"/>
      <c r="Z167" s="6">
        <v>0</v>
      </c>
      <c r="AA167" s="6"/>
      <c r="AB167" s="5"/>
      <c r="AC167" s="6"/>
      <c r="AD167" s="6" t="s">
        <v>3</v>
      </c>
      <c r="AE167" s="5"/>
      <c r="AF167" s="6">
        <v>1</v>
      </c>
      <c r="AG167" s="6"/>
      <c r="AH167" s="5"/>
      <c r="AI167" s="6">
        <v>3</v>
      </c>
      <c r="AJ167" s="6"/>
      <c r="AK167" s="5"/>
      <c r="AL167" s="5"/>
      <c r="AM167" s="5"/>
      <c r="AN167" s="5"/>
      <c r="AO167" s="5"/>
      <c r="AP167" s="5"/>
      <c r="AQ167" s="5"/>
    </row>
    <row r="168" spans="1:43" s="2" customFormat="1" x14ac:dyDescent="0.25">
      <c r="A168" s="161" t="str">
        <f t="shared" si="2"/>
        <v>ARCHER</v>
      </c>
      <c r="B168" s="9" t="s">
        <v>119</v>
      </c>
      <c r="C168" s="5"/>
      <c r="D168" s="5"/>
      <c r="E168" s="5" t="s">
        <v>119</v>
      </c>
      <c r="F168" s="5" t="s">
        <v>119</v>
      </c>
      <c r="G168" s="5" t="s">
        <v>2047</v>
      </c>
      <c r="H168" s="5" t="s">
        <v>1399</v>
      </c>
      <c r="I168" s="5" t="s">
        <v>128</v>
      </c>
      <c r="J168" s="6"/>
      <c r="K168" s="6"/>
      <c r="L168" s="13" t="s">
        <v>1708</v>
      </c>
      <c r="M168" s="8"/>
      <c r="N168" s="5"/>
      <c r="O168" s="5"/>
      <c r="P168" s="5"/>
      <c r="Q168" s="6">
        <v>3</v>
      </c>
      <c r="R168" s="6" t="s">
        <v>1737</v>
      </c>
      <c r="S168" s="13" t="s">
        <v>44</v>
      </c>
      <c r="T168" s="6">
        <v>3</v>
      </c>
      <c r="U168" s="7" t="s">
        <v>1737</v>
      </c>
      <c r="V168" s="5"/>
      <c r="W168" s="7" t="s">
        <v>3</v>
      </c>
      <c r="X168" s="6" t="s">
        <v>3</v>
      </c>
      <c r="Y168" s="5"/>
      <c r="Z168" s="7">
        <v>0</v>
      </c>
      <c r="AA168" s="6"/>
      <c r="AB168" s="5"/>
      <c r="AC168" s="6"/>
      <c r="AD168" s="6" t="s">
        <v>3</v>
      </c>
      <c r="AE168" s="5"/>
      <c r="AF168" s="6">
        <v>1</v>
      </c>
      <c r="AG168" s="6"/>
      <c r="AH168" s="5"/>
      <c r="AI168" s="6">
        <v>2</v>
      </c>
      <c r="AJ168" s="6"/>
      <c r="AK168" s="5"/>
      <c r="AL168" s="5"/>
      <c r="AM168" s="5"/>
      <c r="AN168" s="5"/>
      <c r="AO168" s="5"/>
      <c r="AP168" s="5"/>
      <c r="AQ168" s="5"/>
    </row>
    <row r="169" spans="1:43" s="2" customFormat="1" x14ac:dyDescent="0.25">
      <c r="A169" s="161" t="str">
        <f t="shared" si="2"/>
        <v>ARCHER</v>
      </c>
      <c r="B169" s="9" t="s">
        <v>119</v>
      </c>
      <c r="C169" s="5"/>
      <c r="D169" s="5"/>
      <c r="E169" s="5" t="s">
        <v>119</v>
      </c>
      <c r="F169" s="5" t="s">
        <v>119</v>
      </c>
      <c r="G169" s="5" t="s">
        <v>2049</v>
      </c>
      <c r="H169" s="5" t="s">
        <v>1400</v>
      </c>
      <c r="I169" s="5" t="s">
        <v>128</v>
      </c>
      <c r="J169" s="6"/>
      <c r="K169" s="6"/>
      <c r="L169" s="13" t="s">
        <v>1708</v>
      </c>
      <c r="M169" s="8"/>
      <c r="N169" s="5"/>
      <c r="O169" s="5"/>
      <c r="P169" s="5"/>
      <c r="Q169" s="6">
        <v>0</v>
      </c>
      <c r="R169" s="6" t="s">
        <v>1737</v>
      </c>
      <c r="S169" s="13" t="s">
        <v>44</v>
      </c>
      <c r="T169" s="6">
        <v>3</v>
      </c>
      <c r="U169" s="7" t="s">
        <v>1737</v>
      </c>
      <c r="V169" s="5"/>
      <c r="W169" s="7" t="s">
        <v>3</v>
      </c>
      <c r="X169" s="6" t="s">
        <v>3</v>
      </c>
      <c r="Y169" s="5"/>
      <c r="Z169" s="7">
        <v>0</v>
      </c>
      <c r="AA169" s="6"/>
      <c r="AB169" s="5"/>
      <c r="AC169" s="6"/>
      <c r="AD169" s="6" t="s">
        <v>3</v>
      </c>
      <c r="AE169" s="5"/>
      <c r="AF169" s="6">
        <v>0</v>
      </c>
      <c r="AG169" s="6"/>
      <c r="AH169" s="5"/>
      <c r="AI169" s="6">
        <v>0</v>
      </c>
      <c r="AJ169" s="6"/>
      <c r="AK169" s="5"/>
      <c r="AL169" s="5"/>
      <c r="AM169" s="5"/>
      <c r="AN169" s="5"/>
      <c r="AO169" s="5"/>
      <c r="AP169" s="5"/>
      <c r="AQ169" s="5"/>
    </row>
    <row r="170" spans="1:43" s="2" customFormat="1" x14ac:dyDescent="0.25">
      <c r="A170" s="161" t="str">
        <f t="shared" si="2"/>
        <v>ARCHER_AFRI</v>
      </c>
      <c r="B170" s="9" t="s">
        <v>119</v>
      </c>
      <c r="C170" s="4" t="s">
        <v>694</v>
      </c>
      <c r="D170" s="4"/>
      <c r="E170" s="4" t="s">
        <v>119</v>
      </c>
      <c r="F170" s="4" t="s">
        <v>119</v>
      </c>
      <c r="G170" s="4"/>
      <c r="H170" s="4" t="s">
        <v>319</v>
      </c>
      <c r="I170" s="4" t="s">
        <v>1025</v>
      </c>
      <c r="J170" s="11"/>
      <c r="K170" s="11"/>
      <c r="L170" s="4"/>
      <c r="M170" s="12"/>
      <c r="N170" s="4"/>
      <c r="O170" s="4"/>
      <c r="P170" s="4"/>
      <c r="Q170" s="9" t="s">
        <v>1737</v>
      </c>
      <c r="R170" s="11"/>
      <c r="S170" s="4"/>
      <c r="T170" s="9"/>
      <c r="U170" s="11"/>
      <c r="V170" s="4"/>
      <c r="W170" s="9"/>
      <c r="X170" s="11"/>
      <c r="Y170" s="4"/>
      <c r="Z170" s="9"/>
      <c r="AA170" s="11"/>
      <c r="AB170" s="4"/>
      <c r="AC170" s="11"/>
      <c r="AD170" s="11"/>
      <c r="AE170" s="4"/>
      <c r="AF170" s="9"/>
      <c r="AG170" s="11"/>
      <c r="AH170" s="4"/>
      <c r="AI170" s="9"/>
      <c r="AJ170" s="11"/>
      <c r="AK170" s="4"/>
      <c r="AL170" s="4"/>
      <c r="AM170" s="4"/>
      <c r="AN170" s="4"/>
      <c r="AO170" s="4"/>
      <c r="AP170" s="4"/>
      <c r="AQ170" s="4"/>
    </row>
    <row r="171" spans="1:43" s="2" customFormat="1" x14ac:dyDescent="0.25">
      <c r="A171" s="161" t="str">
        <f t="shared" si="2"/>
        <v>ARCHER_ETHIOPIA</v>
      </c>
      <c r="B171" s="9" t="s">
        <v>119</v>
      </c>
      <c r="C171" s="4" t="s">
        <v>714</v>
      </c>
      <c r="D171" s="4"/>
      <c r="E171" s="4" t="s">
        <v>119</v>
      </c>
      <c r="F171" s="4" t="s">
        <v>119</v>
      </c>
      <c r="G171" s="4"/>
      <c r="H171" s="4" t="s">
        <v>870</v>
      </c>
      <c r="I171" s="4" t="s">
        <v>1025</v>
      </c>
      <c r="J171" s="11"/>
      <c r="K171" s="11"/>
      <c r="L171" s="4"/>
      <c r="M171" s="12"/>
      <c r="N171" s="4"/>
      <c r="O171" s="4"/>
      <c r="P171" s="4"/>
      <c r="Q171" s="11">
        <v>1</v>
      </c>
      <c r="R171" s="11"/>
      <c r="S171" s="4"/>
      <c r="T171" s="11">
        <v>3</v>
      </c>
      <c r="U171" s="11"/>
      <c r="V171" s="4"/>
      <c r="W171" s="11"/>
      <c r="X171" s="11"/>
      <c r="Y171" s="4"/>
      <c r="Z171" s="9">
        <v>1</v>
      </c>
      <c r="AA171" s="11"/>
      <c r="AB171" s="4"/>
      <c r="AC171" s="11"/>
      <c r="AD171" s="11"/>
      <c r="AE171" s="4"/>
      <c r="AF171" s="11" t="s">
        <v>1737</v>
      </c>
      <c r="AG171" s="11"/>
      <c r="AH171" s="4"/>
      <c r="AI171" s="11">
        <v>3</v>
      </c>
      <c r="AJ171" s="11"/>
      <c r="AK171" s="4"/>
      <c r="AL171" s="4"/>
      <c r="AM171" s="4"/>
      <c r="AN171" s="4"/>
      <c r="AO171" s="4"/>
      <c r="AP171" s="4"/>
      <c r="AQ171" s="4"/>
    </row>
    <row r="172" spans="1:43" s="2" customFormat="1" x14ac:dyDescent="0.25">
      <c r="A172" s="161" t="str">
        <f t="shared" si="2"/>
        <v>ARCHER_ETHIOPIA</v>
      </c>
      <c r="B172" s="9" t="s">
        <v>119</v>
      </c>
      <c r="C172" s="4" t="s">
        <v>714</v>
      </c>
      <c r="D172" s="4"/>
      <c r="E172" s="4" t="s">
        <v>119</v>
      </c>
      <c r="F172" s="4" t="s">
        <v>119</v>
      </c>
      <c r="G172" s="4" t="s">
        <v>2047</v>
      </c>
      <c r="H172" s="4" t="s">
        <v>319</v>
      </c>
      <c r="I172" s="4" t="s">
        <v>1025</v>
      </c>
      <c r="J172" s="11"/>
      <c r="K172" s="11"/>
      <c r="L172" s="4"/>
      <c r="M172" s="12"/>
      <c r="N172" s="4"/>
      <c r="O172" s="4"/>
      <c r="P172" s="4"/>
      <c r="Q172" s="11">
        <v>2</v>
      </c>
      <c r="R172" s="11"/>
      <c r="S172" s="4"/>
      <c r="T172" s="11">
        <v>2</v>
      </c>
      <c r="U172" s="11"/>
      <c r="V172" s="4"/>
      <c r="W172" s="11"/>
      <c r="X172" s="11"/>
      <c r="Y172" s="4"/>
      <c r="Z172" s="9">
        <v>0</v>
      </c>
      <c r="AA172" s="11"/>
      <c r="AB172" s="4"/>
      <c r="AC172" s="11"/>
      <c r="AD172" s="11"/>
      <c r="AE172" s="4"/>
      <c r="AF172" s="11">
        <v>2</v>
      </c>
      <c r="AG172" s="11"/>
      <c r="AH172" s="4"/>
      <c r="AI172" s="11">
        <v>2</v>
      </c>
      <c r="AJ172" s="11"/>
      <c r="AK172" s="4"/>
      <c r="AL172" s="4"/>
      <c r="AM172" s="4"/>
      <c r="AN172" s="4"/>
      <c r="AO172" s="4"/>
      <c r="AP172" s="4"/>
      <c r="AQ172" s="4"/>
    </row>
    <row r="173" spans="1:43" s="2" customFormat="1" x14ac:dyDescent="0.25">
      <c r="A173" s="161" t="str">
        <f t="shared" si="2"/>
        <v>ARCHER_ETHIOPIA</v>
      </c>
      <c r="B173" s="9" t="s">
        <v>119</v>
      </c>
      <c r="C173" s="4" t="s">
        <v>714</v>
      </c>
      <c r="D173" s="4"/>
      <c r="E173" s="4" t="s">
        <v>119</v>
      </c>
      <c r="F173" s="4" t="s">
        <v>119</v>
      </c>
      <c r="G173" s="4"/>
      <c r="H173" s="4" t="s">
        <v>870</v>
      </c>
      <c r="I173" s="4" t="s">
        <v>1025</v>
      </c>
      <c r="J173" s="11"/>
      <c r="K173" s="11"/>
      <c r="L173" s="4"/>
      <c r="M173" s="12"/>
      <c r="N173" s="4"/>
      <c r="O173" s="4"/>
      <c r="P173" s="4"/>
      <c r="Q173" s="11">
        <v>3</v>
      </c>
      <c r="R173" s="11"/>
      <c r="S173" s="4"/>
      <c r="T173" s="11">
        <v>3</v>
      </c>
      <c r="U173" s="11"/>
      <c r="V173" s="4"/>
      <c r="W173" s="11"/>
      <c r="X173" s="11"/>
      <c r="Y173" s="4"/>
      <c r="Z173" s="9">
        <v>0</v>
      </c>
      <c r="AA173" s="11"/>
      <c r="AB173" s="4"/>
      <c r="AC173" s="11"/>
      <c r="AD173" s="11"/>
      <c r="AE173" s="4"/>
      <c r="AF173" s="11" t="s">
        <v>1737</v>
      </c>
      <c r="AG173" s="11"/>
      <c r="AH173" s="4"/>
      <c r="AI173" s="11">
        <v>3</v>
      </c>
      <c r="AJ173" s="11"/>
      <c r="AK173" s="4"/>
      <c r="AL173" s="4"/>
      <c r="AM173" s="4"/>
      <c r="AN173" s="4"/>
      <c r="AO173" s="4"/>
      <c r="AP173" s="4"/>
      <c r="AQ173" s="4"/>
    </row>
    <row r="174" spans="1:43" s="2" customFormat="1" x14ac:dyDescent="0.25">
      <c r="A174" s="161" t="str">
        <f t="shared" si="2"/>
        <v>ARCHER_ETHIOPIA</v>
      </c>
      <c r="B174" s="9" t="s">
        <v>119</v>
      </c>
      <c r="C174" s="4" t="s">
        <v>714</v>
      </c>
      <c r="D174" s="4"/>
      <c r="E174" s="4" t="s">
        <v>119</v>
      </c>
      <c r="F174" s="4" t="s">
        <v>119</v>
      </c>
      <c r="G174" s="4" t="s">
        <v>2047</v>
      </c>
      <c r="H174" s="4" t="s">
        <v>319</v>
      </c>
      <c r="I174" s="4" t="s">
        <v>1025</v>
      </c>
      <c r="J174" s="11"/>
      <c r="K174" s="11"/>
      <c r="L174" s="4"/>
      <c r="M174" s="12"/>
      <c r="N174" s="4"/>
      <c r="O174" s="4"/>
      <c r="P174" s="4"/>
      <c r="Q174" s="9">
        <v>1</v>
      </c>
      <c r="R174" s="11"/>
      <c r="S174" s="4"/>
      <c r="T174" s="11">
        <v>3</v>
      </c>
      <c r="U174" s="11"/>
      <c r="V174" s="4"/>
      <c r="W174" s="11"/>
      <c r="X174" s="11"/>
      <c r="Y174" s="4"/>
      <c r="Z174" s="9">
        <v>0</v>
      </c>
      <c r="AA174" s="11"/>
      <c r="AB174" s="4"/>
      <c r="AC174" s="11"/>
      <c r="AD174" s="11"/>
      <c r="AE174" s="4"/>
      <c r="AF174" s="11" t="s">
        <v>1737</v>
      </c>
      <c r="AG174" s="11"/>
      <c r="AH174" s="4"/>
      <c r="AI174" s="11">
        <v>3</v>
      </c>
      <c r="AJ174" s="11"/>
      <c r="AK174" s="4"/>
      <c r="AL174" s="4"/>
      <c r="AM174" s="4"/>
      <c r="AN174" s="4"/>
      <c r="AO174" s="4"/>
      <c r="AP174" s="4"/>
      <c r="AQ174" s="4"/>
    </row>
    <row r="175" spans="1:43" s="2" customFormat="1" x14ac:dyDescent="0.25">
      <c r="A175" s="161" t="str">
        <f t="shared" si="2"/>
        <v>ARCHER_ETHIOPIA</v>
      </c>
      <c r="B175" s="9" t="s">
        <v>119</v>
      </c>
      <c r="C175" s="4" t="s">
        <v>714</v>
      </c>
      <c r="D175" s="4"/>
      <c r="E175" s="4" t="s">
        <v>119</v>
      </c>
      <c r="F175" s="4" t="s">
        <v>119</v>
      </c>
      <c r="G175" s="4"/>
      <c r="H175" s="4" t="s">
        <v>870</v>
      </c>
      <c r="I175" s="4" t="s">
        <v>1025</v>
      </c>
      <c r="J175" s="11"/>
      <c r="K175" s="11"/>
      <c r="L175" s="4"/>
      <c r="M175" s="12"/>
      <c r="N175" s="4"/>
      <c r="O175" s="4"/>
      <c r="P175" s="4"/>
      <c r="Q175" s="9">
        <v>2</v>
      </c>
      <c r="R175" s="11"/>
      <c r="S175" s="4"/>
      <c r="T175" s="11">
        <v>2</v>
      </c>
      <c r="U175" s="11"/>
      <c r="V175" s="4"/>
      <c r="W175" s="11"/>
      <c r="X175" s="11"/>
      <c r="Y175" s="4"/>
      <c r="Z175" s="9">
        <v>0</v>
      </c>
      <c r="AA175" s="11"/>
      <c r="AB175" s="4"/>
      <c r="AC175" s="11"/>
      <c r="AD175" s="11"/>
      <c r="AE175" s="4"/>
      <c r="AF175" s="11">
        <v>2</v>
      </c>
      <c r="AG175" s="11"/>
      <c r="AH175" s="4"/>
      <c r="AI175" s="11">
        <v>2</v>
      </c>
      <c r="AJ175" s="11"/>
      <c r="AK175" s="4"/>
      <c r="AL175" s="4"/>
      <c r="AM175" s="4"/>
      <c r="AN175" s="4"/>
      <c r="AO175" s="4"/>
      <c r="AP175" s="4"/>
      <c r="AQ175" s="4"/>
    </row>
    <row r="176" spans="1:43" s="2" customFormat="1" x14ac:dyDescent="0.25">
      <c r="A176" s="161" t="str">
        <f t="shared" si="2"/>
        <v>ARCHER_ETHIOPIA</v>
      </c>
      <c r="B176" s="9" t="s">
        <v>119</v>
      </c>
      <c r="C176" s="4" t="s">
        <v>714</v>
      </c>
      <c r="D176" s="4"/>
      <c r="E176" s="4" t="s">
        <v>119</v>
      </c>
      <c r="F176" s="4" t="s">
        <v>119</v>
      </c>
      <c r="G176" s="4" t="s">
        <v>2047</v>
      </c>
      <c r="H176" s="4" t="s">
        <v>319</v>
      </c>
      <c r="I176" s="4" t="s">
        <v>1025</v>
      </c>
      <c r="J176" s="11"/>
      <c r="K176" s="11"/>
      <c r="L176" s="4"/>
      <c r="M176" s="12"/>
      <c r="N176" s="4"/>
      <c r="O176" s="4"/>
      <c r="P176" s="4"/>
      <c r="Q176" s="9">
        <v>3</v>
      </c>
      <c r="R176" s="11"/>
      <c r="S176" s="4"/>
      <c r="T176" s="11">
        <v>3</v>
      </c>
      <c r="U176" s="11"/>
      <c r="V176" s="4"/>
      <c r="W176" s="11"/>
      <c r="X176" s="11"/>
      <c r="Y176" s="4"/>
      <c r="Z176" s="9">
        <v>0</v>
      </c>
      <c r="AA176" s="11"/>
      <c r="AB176" s="4"/>
      <c r="AC176" s="11"/>
      <c r="AD176" s="11"/>
      <c r="AE176" s="4"/>
      <c r="AF176" s="11" t="s">
        <v>1737</v>
      </c>
      <c r="AG176" s="11"/>
      <c r="AH176" s="4"/>
      <c r="AI176" s="11">
        <v>3</v>
      </c>
      <c r="AJ176" s="11"/>
      <c r="AK176" s="4"/>
      <c r="AL176" s="4"/>
      <c r="AM176" s="4"/>
      <c r="AN176" s="4"/>
      <c r="AO176" s="4"/>
      <c r="AP176" s="4"/>
      <c r="AQ176" s="4"/>
    </row>
    <row r="177" spans="1:43" s="2" customFormat="1" x14ac:dyDescent="0.25">
      <c r="A177" s="161" t="str">
        <f t="shared" si="2"/>
        <v>ARCHER_SONGHAI</v>
      </c>
      <c r="B177" s="9" t="s">
        <v>119</v>
      </c>
      <c r="C177" s="4" t="s">
        <v>737</v>
      </c>
      <c r="D177" s="4"/>
      <c r="E177" s="4" t="s">
        <v>119</v>
      </c>
      <c r="F177" s="4" t="s">
        <v>119</v>
      </c>
      <c r="G177" s="4"/>
      <c r="H177" s="4" t="s">
        <v>1967</v>
      </c>
      <c r="I177" s="4" t="s">
        <v>1025</v>
      </c>
      <c r="J177" s="11"/>
      <c r="K177" s="11"/>
      <c r="L177" s="4"/>
      <c r="M177" s="12"/>
      <c r="N177" s="4"/>
      <c r="O177" s="4"/>
      <c r="P177" s="4"/>
      <c r="Q177" s="9"/>
      <c r="R177" s="11"/>
      <c r="S177" s="4"/>
      <c r="T177" s="11"/>
      <c r="U177" s="11"/>
      <c r="V177" s="4"/>
      <c r="W177" s="11"/>
      <c r="X177" s="11"/>
      <c r="Y177" s="4"/>
      <c r="Z177" s="9"/>
      <c r="AA177" s="11"/>
      <c r="AB177" s="4"/>
      <c r="AC177" s="11"/>
      <c r="AD177" s="11"/>
      <c r="AE177" s="4"/>
      <c r="AF177" s="11"/>
      <c r="AG177" s="11"/>
      <c r="AH177" s="4"/>
      <c r="AI177" s="11"/>
      <c r="AJ177" s="11"/>
      <c r="AK177" s="4"/>
      <c r="AL177" s="4"/>
      <c r="AM177" s="4"/>
      <c r="AN177" s="4"/>
      <c r="AO177" s="4"/>
      <c r="AP177" s="4"/>
      <c r="AQ177" s="4"/>
    </row>
    <row r="178" spans="1:43" s="2" customFormat="1" x14ac:dyDescent="0.25">
      <c r="A178" s="161" t="str">
        <f t="shared" si="2"/>
        <v>ARCHER_AMER</v>
      </c>
      <c r="B178" s="9" t="s">
        <v>119</v>
      </c>
      <c r="C178" s="4" t="s">
        <v>697</v>
      </c>
      <c r="D178" s="4"/>
      <c r="E178" s="4" t="s">
        <v>119</v>
      </c>
      <c r="F178" s="4" t="s">
        <v>119</v>
      </c>
      <c r="G178" s="4"/>
      <c r="H178" s="4" t="s">
        <v>458</v>
      </c>
      <c r="I178" s="4" t="s">
        <v>1935</v>
      </c>
      <c r="J178" s="11"/>
      <c r="K178" s="11"/>
      <c r="L178" s="4"/>
      <c r="M178" s="12"/>
      <c r="N178" s="4"/>
      <c r="O178" s="4"/>
      <c r="P178" s="4"/>
      <c r="Q178" s="9" t="s">
        <v>1737</v>
      </c>
      <c r="R178" s="11"/>
      <c r="S178" s="4"/>
      <c r="T178" s="9"/>
      <c r="U178" s="11"/>
      <c r="V178" s="4"/>
      <c r="W178" s="9"/>
      <c r="X178" s="11"/>
      <c r="Y178" s="4"/>
      <c r="Z178" s="9"/>
      <c r="AA178" s="11"/>
      <c r="AB178" s="4"/>
      <c r="AC178" s="11"/>
      <c r="AD178" s="11"/>
      <c r="AE178" s="4"/>
      <c r="AF178" s="9"/>
      <c r="AG178" s="11"/>
      <c r="AH178" s="4"/>
      <c r="AI178" s="9"/>
      <c r="AJ178" s="11"/>
      <c r="AK178" s="4"/>
      <c r="AL178" s="4"/>
      <c r="AM178" s="4"/>
      <c r="AN178" s="4"/>
      <c r="AO178" s="4"/>
      <c r="AP178" s="4"/>
      <c r="AQ178" s="4"/>
    </row>
    <row r="179" spans="1:43" s="2" customFormat="1" x14ac:dyDescent="0.25">
      <c r="A179" s="161" t="str">
        <f t="shared" ref="A179:A245" si="3">CONCATENATE(E179,IF(ISBLANK(C179),"",CONCATENATE("_",C179)))</f>
        <v>ARCHER_ASIA</v>
      </c>
      <c r="B179" s="9" t="s">
        <v>119</v>
      </c>
      <c r="C179" s="4" t="s">
        <v>693</v>
      </c>
      <c r="D179" s="4"/>
      <c r="E179" s="4" t="s">
        <v>119</v>
      </c>
      <c r="F179" s="4" t="s">
        <v>119</v>
      </c>
      <c r="G179" s="4"/>
      <c r="H179" s="4" t="s">
        <v>446</v>
      </c>
      <c r="I179" s="4" t="s">
        <v>102</v>
      </c>
      <c r="J179" s="11"/>
      <c r="K179" s="11"/>
      <c r="L179" s="4"/>
      <c r="M179" s="12"/>
      <c r="N179" s="4"/>
      <c r="O179" s="4"/>
      <c r="P179" s="4"/>
      <c r="Q179" s="9" t="s">
        <v>1737</v>
      </c>
      <c r="R179" s="11"/>
      <c r="S179" s="4"/>
      <c r="T179" s="9"/>
      <c r="U179" s="11"/>
      <c r="V179" s="4"/>
      <c r="W179" s="9"/>
      <c r="X179" s="11"/>
      <c r="Y179" s="4"/>
      <c r="Z179" s="9"/>
      <c r="AA179" s="11"/>
      <c r="AB179" s="4"/>
      <c r="AC179" s="11"/>
      <c r="AD179" s="11"/>
      <c r="AE179" s="4"/>
      <c r="AF179" s="9"/>
      <c r="AG179" s="11"/>
      <c r="AH179" s="4"/>
      <c r="AI179" s="9"/>
      <c r="AJ179" s="11"/>
      <c r="AK179" s="4"/>
      <c r="AL179" s="4"/>
      <c r="AM179" s="4"/>
      <c r="AN179" s="4"/>
      <c r="AO179" s="4"/>
      <c r="AP179" s="4"/>
      <c r="AQ179" s="4"/>
    </row>
    <row r="180" spans="1:43" s="2" customFormat="1" x14ac:dyDescent="0.25">
      <c r="A180" s="161" t="str">
        <f t="shared" si="3"/>
        <v>ARCHER_CHINA</v>
      </c>
      <c r="B180" s="9" t="s">
        <v>119</v>
      </c>
      <c r="C180" s="4" t="s">
        <v>710</v>
      </c>
      <c r="D180" s="4"/>
      <c r="E180" s="4" t="s">
        <v>119</v>
      </c>
      <c r="F180" s="4" t="s">
        <v>119</v>
      </c>
      <c r="G180" s="14" t="s">
        <v>132</v>
      </c>
      <c r="H180" s="4" t="s">
        <v>242</v>
      </c>
      <c r="I180" s="4" t="s">
        <v>102</v>
      </c>
      <c r="J180" s="11"/>
      <c r="K180" s="11"/>
      <c r="L180" s="4"/>
      <c r="M180" s="12"/>
      <c r="N180" s="4"/>
      <c r="O180" s="4"/>
      <c r="P180" s="4"/>
      <c r="Q180" s="9" t="s">
        <v>1737</v>
      </c>
      <c r="R180" s="11"/>
      <c r="S180" s="4"/>
      <c r="T180" s="9"/>
      <c r="U180" s="11"/>
      <c r="V180" s="4"/>
      <c r="W180" s="9"/>
      <c r="X180" s="11"/>
      <c r="Y180" s="4"/>
      <c r="Z180" s="9"/>
      <c r="AA180" s="11"/>
      <c r="AB180" s="4"/>
      <c r="AC180" s="11"/>
      <c r="AD180" s="11"/>
      <c r="AE180" s="4"/>
      <c r="AF180" s="9"/>
      <c r="AG180" s="11"/>
      <c r="AH180" s="4"/>
      <c r="AI180" s="9"/>
      <c r="AJ180" s="11"/>
      <c r="AK180" s="4"/>
      <c r="AL180" s="4"/>
      <c r="AM180" s="4"/>
      <c r="AN180" s="4"/>
      <c r="AO180" s="4"/>
      <c r="AP180" s="4"/>
      <c r="AQ180" s="4"/>
    </row>
    <row r="181" spans="1:43" s="2" customFormat="1" x14ac:dyDescent="0.25">
      <c r="A181" s="161" t="str">
        <f t="shared" si="3"/>
        <v>ARCHER_JAPAN</v>
      </c>
      <c r="B181" s="9" t="s">
        <v>119</v>
      </c>
      <c r="C181" s="4" t="s">
        <v>722</v>
      </c>
      <c r="D181" s="4"/>
      <c r="E181" s="4" t="s">
        <v>119</v>
      </c>
      <c r="F181" s="4" t="s">
        <v>119</v>
      </c>
      <c r="G181" s="14" t="s">
        <v>132</v>
      </c>
      <c r="H181" s="4" t="s">
        <v>473</v>
      </c>
      <c r="I181" s="10" t="s">
        <v>102</v>
      </c>
      <c r="J181" s="11"/>
      <c r="K181" s="11"/>
      <c r="L181" s="4"/>
      <c r="M181" s="12"/>
      <c r="N181" s="4"/>
      <c r="O181" s="4"/>
      <c r="P181" s="4"/>
      <c r="Q181" s="9" t="s">
        <v>1737</v>
      </c>
      <c r="R181" s="11"/>
      <c r="S181" s="4"/>
      <c r="T181" s="9"/>
      <c r="U181" s="11"/>
      <c r="V181" s="4"/>
      <c r="W181" s="9"/>
      <c r="X181" s="11"/>
      <c r="Y181" s="4"/>
      <c r="Z181" s="9"/>
      <c r="AA181" s="11"/>
      <c r="AB181" s="4"/>
      <c r="AC181" s="11"/>
      <c r="AD181" s="11"/>
      <c r="AE181" s="4"/>
      <c r="AF181" s="9"/>
      <c r="AG181" s="11"/>
      <c r="AH181" s="4"/>
      <c r="AI181" s="9"/>
      <c r="AJ181" s="11"/>
      <c r="AK181" s="4"/>
      <c r="AL181" s="4"/>
      <c r="AM181" s="4"/>
      <c r="AN181" s="4"/>
      <c r="AO181" s="4"/>
      <c r="AP181" s="4"/>
      <c r="AQ181" s="4"/>
    </row>
    <row r="182" spans="1:43" s="2" customFormat="1" x14ac:dyDescent="0.25">
      <c r="A182" s="161" t="str">
        <f t="shared" si="3"/>
        <v>ARCHER_KOREA</v>
      </c>
      <c r="B182" s="9" t="s">
        <v>119</v>
      </c>
      <c r="C182" s="4" t="s">
        <v>723</v>
      </c>
      <c r="D182" s="4"/>
      <c r="E182" s="4" t="s">
        <v>119</v>
      </c>
      <c r="F182" s="4" t="s">
        <v>119</v>
      </c>
      <c r="G182" s="14" t="s">
        <v>132</v>
      </c>
      <c r="H182" s="4" t="s">
        <v>496</v>
      </c>
      <c r="I182" s="4" t="s">
        <v>102</v>
      </c>
      <c r="J182" s="11"/>
      <c r="K182" s="11"/>
      <c r="L182" s="4"/>
      <c r="M182" s="12"/>
      <c r="N182" s="4"/>
      <c r="O182" s="4"/>
      <c r="P182" s="4"/>
      <c r="Q182" s="9" t="s">
        <v>1737</v>
      </c>
      <c r="R182" s="11"/>
      <c r="S182" s="4"/>
      <c r="T182" s="9"/>
      <c r="U182" s="11"/>
      <c r="V182" s="4"/>
      <c r="W182" s="9"/>
      <c r="X182" s="11"/>
      <c r="Y182" s="4"/>
      <c r="Z182" s="9"/>
      <c r="AA182" s="11"/>
      <c r="AB182" s="4"/>
      <c r="AC182" s="11"/>
      <c r="AD182" s="11"/>
      <c r="AE182" s="4"/>
      <c r="AF182" s="9"/>
      <c r="AG182" s="11"/>
      <c r="AH182" s="4"/>
      <c r="AI182" s="9"/>
      <c r="AJ182" s="11"/>
      <c r="AK182" s="4"/>
      <c r="AL182" s="4"/>
      <c r="AM182" s="4"/>
      <c r="AN182" s="4"/>
      <c r="AO182" s="4"/>
      <c r="AP182" s="4"/>
      <c r="AQ182" s="4"/>
    </row>
    <row r="183" spans="1:43" s="2" customFormat="1" x14ac:dyDescent="0.25">
      <c r="A183" s="161" t="str">
        <f t="shared" si="3"/>
        <v>ARCHER_MONGOL</v>
      </c>
      <c r="B183" s="9" t="s">
        <v>119</v>
      </c>
      <c r="C183" s="4" t="s">
        <v>728</v>
      </c>
      <c r="D183" s="4"/>
      <c r="E183" s="4" t="s">
        <v>119</v>
      </c>
      <c r="F183" s="4" t="s">
        <v>119</v>
      </c>
      <c r="G183" s="4"/>
      <c r="H183" s="4" t="s">
        <v>976</v>
      </c>
      <c r="I183" s="4" t="s">
        <v>2103</v>
      </c>
      <c r="J183" s="11"/>
      <c r="K183" s="11"/>
      <c r="L183" s="4"/>
      <c r="M183" s="12"/>
      <c r="N183" s="4"/>
      <c r="O183" s="4"/>
      <c r="P183" s="4"/>
      <c r="Q183" s="11">
        <v>3</v>
      </c>
      <c r="R183" s="11"/>
      <c r="S183" s="4"/>
      <c r="T183" s="11">
        <v>3</v>
      </c>
      <c r="U183" s="11"/>
      <c r="V183" s="4"/>
      <c r="W183" s="11"/>
      <c r="X183" s="11"/>
      <c r="Y183" s="4"/>
      <c r="Z183" s="9">
        <v>1</v>
      </c>
      <c r="AA183" s="11"/>
      <c r="AB183" s="4"/>
      <c r="AC183" s="11"/>
      <c r="AD183" s="11"/>
      <c r="AE183" s="4"/>
      <c r="AF183" s="11">
        <v>1</v>
      </c>
      <c r="AG183" s="11"/>
      <c r="AH183" s="4"/>
      <c r="AI183" s="11">
        <v>1</v>
      </c>
      <c r="AJ183" s="11"/>
      <c r="AK183" s="4"/>
      <c r="AL183" s="4"/>
      <c r="AM183" s="4"/>
      <c r="AN183" s="4"/>
      <c r="AO183" s="4"/>
      <c r="AP183" s="4"/>
      <c r="AQ183" s="4"/>
    </row>
    <row r="184" spans="1:43" s="2" customFormat="1" x14ac:dyDescent="0.25">
      <c r="A184" s="161" t="str">
        <f t="shared" si="3"/>
        <v>ARCHER_MONGOL</v>
      </c>
      <c r="B184" s="9" t="s">
        <v>119</v>
      </c>
      <c r="C184" s="4" t="s">
        <v>728</v>
      </c>
      <c r="D184" s="4"/>
      <c r="E184" s="4" t="s">
        <v>119</v>
      </c>
      <c r="F184" s="4" t="s">
        <v>119</v>
      </c>
      <c r="G184" s="4" t="s">
        <v>2047</v>
      </c>
      <c r="H184" s="4" t="s">
        <v>526</v>
      </c>
      <c r="I184" s="4" t="s">
        <v>2103</v>
      </c>
      <c r="J184" s="11"/>
      <c r="K184" s="11"/>
      <c r="L184" s="4"/>
      <c r="M184" s="12"/>
      <c r="N184" s="4"/>
      <c r="O184" s="4"/>
      <c r="P184" s="4"/>
      <c r="Q184" s="11">
        <v>2</v>
      </c>
      <c r="R184" s="11"/>
      <c r="S184" s="4"/>
      <c r="T184" s="11">
        <v>5</v>
      </c>
      <c r="U184" s="11"/>
      <c r="V184" s="4"/>
      <c r="W184" s="11"/>
      <c r="X184" s="11"/>
      <c r="Y184" s="4"/>
      <c r="Z184" s="9">
        <v>0</v>
      </c>
      <c r="AA184" s="11"/>
      <c r="AB184" s="4"/>
      <c r="AC184" s="11"/>
      <c r="AD184" s="11"/>
      <c r="AE184" s="4"/>
      <c r="AF184" s="11">
        <v>1</v>
      </c>
      <c r="AG184" s="11"/>
      <c r="AH184" s="4"/>
      <c r="AI184" s="11">
        <v>1</v>
      </c>
      <c r="AJ184" s="11"/>
      <c r="AK184" s="4"/>
      <c r="AL184" s="4"/>
      <c r="AM184" s="4"/>
      <c r="AN184" s="4"/>
      <c r="AO184" s="4"/>
      <c r="AP184" s="4"/>
      <c r="AQ184" s="4"/>
    </row>
    <row r="185" spans="1:43" s="2" customFormat="1" x14ac:dyDescent="0.25">
      <c r="A185" s="161" t="str">
        <f t="shared" si="3"/>
        <v>ARCHER_MONGOL</v>
      </c>
      <c r="B185" s="9" t="s">
        <v>119</v>
      </c>
      <c r="C185" s="4" t="s">
        <v>728</v>
      </c>
      <c r="D185" s="4"/>
      <c r="E185" s="4" t="s">
        <v>119</v>
      </c>
      <c r="F185" s="4" t="s">
        <v>119</v>
      </c>
      <c r="G185" s="4"/>
      <c r="H185" s="4" t="s">
        <v>976</v>
      </c>
      <c r="I185" s="4" t="s">
        <v>2103</v>
      </c>
      <c r="J185" s="11"/>
      <c r="K185" s="11"/>
      <c r="L185" s="4"/>
      <c r="M185" s="12"/>
      <c r="N185" s="4"/>
      <c r="O185" s="4"/>
      <c r="P185" s="4"/>
      <c r="Q185" s="11">
        <v>1</v>
      </c>
      <c r="R185" s="11"/>
      <c r="S185" s="4"/>
      <c r="T185" s="11">
        <v>3</v>
      </c>
      <c r="U185" s="11"/>
      <c r="V185" s="4"/>
      <c r="W185" s="11"/>
      <c r="X185" s="11"/>
      <c r="Y185" s="4"/>
      <c r="Z185" s="9">
        <v>0</v>
      </c>
      <c r="AA185" s="11"/>
      <c r="AB185" s="4"/>
      <c r="AC185" s="11"/>
      <c r="AD185" s="11"/>
      <c r="AE185" s="4"/>
      <c r="AF185" s="11">
        <v>1</v>
      </c>
      <c r="AG185" s="11"/>
      <c r="AH185" s="4"/>
      <c r="AI185" s="11">
        <v>1</v>
      </c>
      <c r="AJ185" s="11"/>
      <c r="AK185" s="4"/>
      <c r="AL185" s="4"/>
      <c r="AM185" s="4"/>
      <c r="AN185" s="4"/>
      <c r="AO185" s="4"/>
      <c r="AP185" s="4"/>
      <c r="AQ185" s="4"/>
    </row>
    <row r="186" spans="1:43" s="2" customFormat="1" x14ac:dyDescent="0.25">
      <c r="A186" s="161" t="str">
        <f t="shared" si="3"/>
        <v>ARCHER_MONGOL</v>
      </c>
      <c r="B186" s="9" t="s">
        <v>119</v>
      </c>
      <c r="C186" s="4" t="s">
        <v>728</v>
      </c>
      <c r="D186" s="4"/>
      <c r="E186" s="4" t="s">
        <v>119</v>
      </c>
      <c r="F186" s="4" t="s">
        <v>119</v>
      </c>
      <c r="G186" s="4" t="s">
        <v>2047</v>
      </c>
      <c r="H186" s="4" t="s">
        <v>526</v>
      </c>
      <c r="I186" s="4" t="s">
        <v>2103</v>
      </c>
      <c r="J186" s="11"/>
      <c r="K186" s="11"/>
      <c r="L186" s="4"/>
      <c r="M186" s="12"/>
      <c r="N186" s="4"/>
      <c r="O186" s="4"/>
      <c r="P186" s="4"/>
      <c r="Q186" s="9">
        <v>3</v>
      </c>
      <c r="R186" s="11"/>
      <c r="S186" s="4"/>
      <c r="T186" s="11">
        <v>1</v>
      </c>
      <c r="U186" s="11"/>
      <c r="V186" s="4"/>
      <c r="W186" s="11"/>
      <c r="X186" s="11"/>
      <c r="Y186" s="4"/>
      <c r="Z186" s="9">
        <v>0</v>
      </c>
      <c r="AA186" s="11"/>
      <c r="AB186" s="4"/>
      <c r="AC186" s="11"/>
      <c r="AD186" s="11"/>
      <c r="AE186" s="4"/>
      <c r="AF186" s="11">
        <v>0</v>
      </c>
      <c r="AG186" s="11"/>
      <c r="AH186" s="4"/>
      <c r="AI186" s="11">
        <v>1</v>
      </c>
      <c r="AJ186" s="11"/>
      <c r="AK186" s="4"/>
      <c r="AL186" s="4"/>
      <c r="AM186" s="4"/>
      <c r="AN186" s="4"/>
      <c r="AO186" s="4"/>
      <c r="AP186" s="4"/>
      <c r="AQ186" s="4"/>
    </row>
    <row r="187" spans="1:43" s="2" customFormat="1" x14ac:dyDescent="0.25">
      <c r="A187" s="161" t="str">
        <f t="shared" si="3"/>
        <v>ARCHER_MONGOL</v>
      </c>
      <c r="B187" s="9" t="s">
        <v>119</v>
      </c>
      <c r="C187" s="4" t="s">
        <v>728</v>
      </c>
      <c r="D187" s="4"/>
      <c r="E187" s="4" t="s">
        <v>119</v>
      </c>
      <c r="F187" s="4" t="s">
        <v>119</v>
      </c>
      <c r="G187" s="4"/>
      <c r="H187" s="4" t="s">
        <v>976</v>
      </c>
      <c r="I187" s="4" t="s">
        <v>2103</v>
      </c>
      <c r="J187" s="11"/>
      <c r="K187" s="11"/>
      <c r="L187" s="4"/>
      <c r="M187" s="12"/>
      <c r="N187" s="4"/>
      <c r="O187" s="4"/>
      <c r="P187" s="4"/>
      <c r="Q187" s="9">
        <v>2</v>
      </c>
      <c r="R187" s="11"/>
      <c r="S187" s="4"/>
      <c r="T187" s="11">
        <v>2</v>
      </c>
      <c r="U187" s="11"/>
      <c r="V187" s="4"/>
      <c r="W187" s="11"/>
      <c r="X187" s="11"/>
      <c r="Y187" s="4"/>
      <c r="Z187" s="9">
        <v>0</v>
      </c>
      <c r="AA187" s="11"/>
      <c r="AB187" s="4"/>
      <c r="AC187" s="11"/>
      <c r="AD187" s="11"/>
      <c r="AE187" s="4"/>
      <c r="AF187" s="11">
        <v>0</v>
      </c>
      <c r="AG187" s="11"/>
      <c r="AH187" s="4"/>
      <c r="AI187" s="11">
        <v>2</v>
      </c>
      <c r="AJ187" s="11"/>
      <c r="AK187" s="4"/>
      <c r="AL187" s="4"/>
      <c r="AM187" s="4"/>
      <c r="AN187" s="4"/>
      <c r="AO187" s="4"/>
      <c r="AP187" s="4"/>
      <c r="AQ187" s="4"/>
    </row>
    <row r="188" spans="1:43" s="2" customFormat="1" x14ac:dyDescent="0.25">
      <c r="A188" s="161" t="str">
        <f t="shared" si="3"/>
        <v>ARCHER_MONGOL</v>
      </c>
      <c r="B188" s="9" t="s">
        <v>119</v>
      </c>
      <c r="C188" s="4" t="s">
        <v>728</v>
      </c>
      <c r="D188" s="4"/>
      <c r="E188" s="4" t="s">
        <v>119</v>
      </c>
      <c r="F188" s="4" t="s">
        <v>119</v>
      </c>
      <c r="G188" s="4" t="s">
        <v>2047</v>
      </c>
      <c r="H188" s="4" t="s">
        <v>526</v>
      </c>
      <c r="I188" s="4" t="s">
        <v>2103</v>
      </c>
      <c r="J188" s="11"/>
      <c r="K188" s="11"/>
      <c r="L188" s="4"/>
      <c r="M188" s="12"/>
      <c r="N188" s="4"/>
      <c r="O188" s="4"/>
      <c r="P188" s="4"/>
      <c r="Q188" s="9">
        <v>1</v>
      </c>
      <c r="R188" s="11"/>
      <c r="S188" s="4"/>
      <c r="T188" s="11">
        <v>2</v>
      </c>
      <c r="U188" s="11"/>
      <c r="V188" s="4"/>
      <c r="W188" s="11"/>
      <c r="X188" s="11"/>
      <c r="Y188" s="4"/>
      <c r="Z188" s="9">
        <v>0</v>
      </c>
      <c r="AA188" s="11"/>
      <c r="AB188" s="4"/>
      <c r="AC188" s="11"/>
      <c r="AD188" s="11"/>
      <c r="AE188" s="4"/>
      <c r="AF188" s="11">
        <v>0</v>
      </c>
      <c r="AG188" s="11"/>
      <c r="AH188" s="4"/>
      <c r="AI188" s="11">
        <v>1</v>
      </c>
      <c r="AJ188" s="11"/>
      <c r="AK188" s="4"/>
      <c r="AL188" s="4"/>
      <c r="AM188" s="4"/>
      <c r="AN188" s="4"/>
      <c r="AO188" s="4"/>
      <c r="AP188" s="4"/>
      <c r="AQ188" s="4"/>
    </row>
    <row r="189" spans="1:43" s="2" customFormat="1" x14ac:dyDescent="0.25">
      <c r="A189" s="161" t="str">
        <f t="shared" si="3"/>
        <v>ARCHER_CENTAS</v>
      </c>
      <c r="B189" s="9" t="s">
        <v>119</v>
      </c>
      <c r="C189" s="4" t="s">
        <v>918</v>
      </c>
      <c r="D189" s="4"/>
      <c r="E189" s="4" t="s">
        <v>119</v>
      </c>
      <c r="F189" s="4" t="s">
        <v>119</v>
      </c>
      <c r="G189" s="14" t="s">
        <v>132</v>
      </c>
      <c r="H189" s="4" t="s">
        <v>1026</v>
      </c>
      <c r="I189" s="4" t="s">
        <v>2103</v>
      </c>
      <c r="J189" s="11"/>
      <c r="K189" s="11"/>
      <c r="L189" s="4"/>
      <c r="M189" s="12"/>
      <c r="N189" s="4"/>
      <c r="O189" s="4"/>
      <c r="P189" s="4"/>
      <c r="Q189" s="9" t="s">
        <v>1737</v>
      </c>
      <c r="R189" s="11"/>
      <c r="S189" s="4"/>
      <c r="T189" s="9"/>
      <c r="U189" s="11"/>
      <c r="V189" s="4"/>
      <c r="W189" s="9"/>
      <c r="X189" s="11"/>
      <c r="Y189" s="4"/>
      <c r="Z189" s="9"/>
      <c r="AA189" s="11"/>
      <c r="AB189" s="4"/>
      <c r="AC189" s="11"/>
      <c r="AD189" s="11"/>
      <c r="AE189" s="4"/>
      <c r="AF189" s="9"/>
      <c r="AG189" s="11"/>
      <c r="AH189" s="4"/>
      <c r="AI189" s="9"/>
      <c r="AJ189" s="11"/>
      <c r="AK189" s="4"/>
      <c r="AL189" s="4"/>
      <c r="AM189" s="4"/>
      <c r="AN189" s="4"/>
      <c r="AO189" s="4"/>
      <c r="AP189" s="4"/>
      <c r="AQ189" s="4"/>
    </row>
    <row r="190" spans="1:43" s="2" customFormat="1" x14ac:dyDescent="0.25">
      <c r="A190" s="161" t="str">
        <f t="shared" si="3"/>
        <v>ARCHER_EASTEU</v>
      </c>
      <c r="B190" s="9" t="s">
        <v>119</v>
      </c>
      <c r="C190" s="4" t="s">
        <v>698</v>
      </c>
      <c r="D190" s="4"/>
      <c r="E190" s="4" t="s">
        <v>119</v>
      </c>
      <c r="F190" s="4" t="s">
        <v>119</v>
      </c>
      <c r="G190" s="4"/>
      <c r="H190" s="4" t="s">
        <v>566</v>
      </c>
      <c r="I190" s="4" t="s">
        <v>2103</v>
      </c>
      <c r="J190" s="11"/>
      <c r="K190" s="11"/>
      <c r="L190" s="4"/>
      <c r="M190" s="12"/>
      <c r="N190" s="4"/>
      <c r="O190" s="4"/>
      <c r="P190" s="4"/>
      <c r="Q190" s="9" t="s">
        <v>1737</v>
      </c>
      <c r="R190" s="11"/>
      <c r="S190" s="4"/>
      <c r="T190" s="9"/>
      <c r="U190" s="11"/>
      <c r="V190" s="4"/>
      <c r="W190" s="9"/>
      <c r="X190" s="11"/>
      <c r="Y190" s="4"/>
      <c r="Z190" s="9"/>
      <c r="AA190" s="11"/>
      <c r="AB190" s="4"/>
      <c r="AC190" s="11"/>
      <c r="AD190" s="11"/>
      <c r="AE190" s="4"/>
      <c r="AF190" s="9"/>
      <c r="AG190" s="11"/>
      <c r="AH190" s="4"/>
      <c r="AI190" s="9"/>
      <c r="AJ190" s="11"/>
      <c r="AK190" s="4"/>
      <c r="AL190" s="4"/>
      <c r="AM190" s="4"/>
      <c r="AN190" s="4"/>
      <c r="AO190" s="4"/>
      <c r="AP190" s="4"/>
      <c r="AQ190" s="4"/>
    </row>
    <row r="191" spans="1:43" s="2" customFormat="1" x14ac:dyDescent="0.25">
      <c r="A191" s="161" t="str">
        <f t="shared" si="3"/>
        <v>ARCHER_AUSTRIA</v>
      </c>
      <c r="B191" s="9" t="s">
        <v>119</v>
      </c>
      <c r="C191" s="4" t="s">
        <v>701</v>
      </c>
      <c r="D191" s="4" t="s">
        <v>717</v>
      </c>
      <c r="E191" s="4" t="s">
        <v>119</v>
      </c>
      <c r="F191" s="4" t="s">
        <v>119</v>
      </c>
      <c r="G191" s="4"/>
      <c r="H191" s="4"/>
      <c r="I191" s="4"/>
      <c r="J191" s="11"/>
      <c r="K191" s="11"/>
      <c r="L191" s="4"/>
      <c r="M191" s="12"/>
      <c r="N191" s="4"/>
      <c r="O191" s="4"/>
      <c r="P191" s="4"/>
      <c r="Q191" s="9"/>
      <c r="R191" s="11"/>
      <c r="S191" s="4"/>
      <c r="T191" s="9"/>
      <c r="U191" s="11"/>
      <c r="V191" s="4"/>
      <c r="W191" s="9"/>
      <c r="X191" s="11"/>
      <c r="Y191" s="4"/>
      <c r="Z191" s="9"/>
      <c r="AA191" s="11"/>
      <c r="AB191" s="4"/>
      <c r="AC191" s="11"/>
      <c r="AD191" s="11"/>
      <c r="AE191" s="4"/>
      <c r="AF191" s="9"/>
      <c r="AG191" s="11"/>
      <c r="AH191" s="4"/>
      <c r="AI191" s="9"/>
      <c r="AJ191" s="11"/>
      <c r="AK191" s="4"/>
      <c r="AL191" s="4"/>
      <c r="AM191" s="4"/>
      <c r="AN191" s="4"/>
      <c r="AO191" s="4"/>
      <c r="AP191" s="4"/>
      <c r="AQ191" s="4"/>
    </row>
    <row r="192" spans="1:43" s="2" customFormat="1" x14ac:dyDescent="0.25">
      <c r="A192" s="161" t="str">
        <f t="shared" si="3"/>
        <v>ARCHER_ENGLAND</v>
      </c>
      <c r="B192" s="9" t="s">
        <v>119</v>
      </c>
      <c r="C192" s="4" t="s">
        <v>713</v>
      </c>
      <c r="D192" s="4"/>
      <c r="E192" s="4" t="s">
        <v>119</v>
      </c>
      <c r="F192" s="4" t="s">
        <v>119</v>
      </c>
      <c r="G192" s="14" t="s">
        <v>132</v>
      </c>
      <c r="H192" s="4" t="s">
        <v>290</v>
      </c>
      <c r="I192" s="4" t="s">
        <v>102</v>
      </c>
      <c r="J192" s="11"/>
      <c r="K192" s="11"/>
      <c r="L192" s="4"/>
      <c r="M192" s="12"/>
      <c r="N192" s="4"/>
      <c r="O192" s="4"/>
      <c r="P192" s="4"/>
      <c r="Q192" s="9" t="s">
        <v>1737</v>
      </c>
      <c r="R192" s="11"/>
      <c r="S192" s="4"/>
      <c r="T192" s="9"/>
      <c r="U192" s="11"/>
      <c r="V192" s="4"/>
      <c r="W192" s="9"/>
      <c r="X192" s="11"/>
      <c r="Y192" s="4"/>
      <c r="Z192" s="9"/>
      <c r="AA192" s="11"/>
      <c r="AB192" s="4"/>
      <c r="AC192" s="11"/>
      <c r="AD192" s="11"/>
      <c r="AE192" s="4"/>
      <c r="AF192" s="9"/>
      <c r="AG192" s="11"/>
      <c r="AH192" s="4"/>
      <c r="AI192" s="9"/>
      <c r="AJ192" s="11"/>
      <c r="AK192" s="4"/>
      <c r="AL192" s="4"/>
      <c r="AM192" s="4"/>
      <c r="AN192" s="4"/>
      <c r="AO192" s="4"/>
      <c r="AP192" s="4"/>
      <c r="AQ192" s="4"/>
    </row>
    <row r="193" spans="1:43" s="2" customFormat="1" x14ac:dyDescent="0.25">
      <c r="A193" s="161" t="str">
        <f t="shared" si="3"/>
        <v>ARCHER_FRANCE</v>
      </c>
      <c r="B193" s="9" t="s">
        <v>119</v>
      </c>
      <c r="C193" s="4" t="s">
        <v>715</v>
      </c>
      <c r="D193" s="4"/>
      <c r="E193" s="4" t="s">
        <v>119</v>
      </c>
      <c r="F193" s="4" t="s">
        <v>119</v>
      </c>
      <c r="G193" s="14" t="s">
        <v>132</v>
      </c>
      <c r="H193" s="4" t="s">
        <v>334</v>
      </c>
      <c r="I193" s="4" t="s">
        <v>102</v>
      </c>
      <c r="J193" s="11"/>
      <c r="K193" s="11"/>
      <c r="L193" s="4"/>
      <c r="M193" s="12"/>
      <c r="N193" s="4"/>
      <c r="O193" s="4"/>
      <c r="P193" s="4"/>
      <c r="Q193" s="9" t="s">
        <v>1737</v>
      </c>
      <c r="R193" s="11"/>
      <c r="S193" s="4"/>
      <c r="T193" s="9"/>
      <c r="U193" s="11"/>
      <c r="V193" s="4"/>
      <c r="W193" s="9"/>
      <c r="X193" s="11"/>
      <c r="Y193" s="4"/>
      <c r="Z193" s="9"/>
      <c r="AA193" s="11"/>
      <c r="AB193" s="4"/>
      <c r="AC193" s="11"/>
      <c r="AD193" s="11"/>
      <c r="AE193" s="4"/>
      <c r="AF193" s="9"/>
      <c r="AG193" s="11"/>
      <c r="AH193" s="4"/>
      <c r="AI193" s="9"/>
      <c r="AJ193" s="11"/>
      <c r="AK193" s="4"/>
      <c r="AL193" s="4"/>
      <c r="AM193" s="4"/>
      <c r="AN193" s="4"/>
      <c r="AO193" s="4"/>
      <c r="AP193" s="4"/>
      <c r="AQ193" s="4"/>
    </row>
    <row r="194" spans="1:43" s="2" customFormat="1" x14ac:dyDescent="0.25">
      <c r="A194" s="161" t="str">
        <f t="shared" si="3"/>
        <v>ARCHER_GERMANY</v>
      </c>
      <c r="B194" s="9" t="s">
        <v>119</v>
      </c>
      <c r="C194" s="4" t="s">
        <v>717</v>
      </c>
      <c r="D194" s="4"/>
      <c r="E194" s="4" t="s">
        <v>119</v>
      </c>
      <c r="F194" s="4" t="s">
        <v>119</v>
      </c>
      <c r="G194" s="14" t="s">
        <v>132</v>
      </c>
      <c r="H194" s="4" t="s">
        <v>365</v>
      </c>
      <c r="I194" s="4" t="s">
        <v>102</v>
      </c>
      <c r="J194" s="11"/>
      <c r="K194" s="11"/>
      <c r="L194" s="4"/>
      <c r="M194" s="12"/>
      <c r="N194" s="4"/>
      <c r="O194" s="4"/>
      <c r="P194" s="4"/>
      <c r="Q194" s="9" t="s">
        <v>1737</v>
      </c>
      <c r="R194" s="11"/>
      <c r="S194" s="4"/>
      <c r="T194" s="9"/>
      <c r="U194" s="11"/>
      <c r="V194" s="4"/>
      <c r="W194" s="9"/>
      <c r="X194" s="11"/>
      <c r="Y194" s="4"/>
      <c r="Z194" s="9"/>
      <c r="AA194" s="11"/>
      <c r="AB194" s="4"/>
      <c r="AC194" s="11"/>
      <c r="AD194" s="11"/>
      <c r="AE194" s="4"/>
      <c r="AF194" s="9"/>
      <c r="AG194" s="11"/>
      <c r="AH194" s="4"/>
      <c r="AI194" s="9"/>
      <c r="AJ194" s="11"/>
      <c r="AK194" s="4"/>
      <c r="AL194" s="4"/>
      <c r="AM194" s="4"/>
      <c r="AN194" s="4"/>
      <c r="AO194" s="4"/>
      <c r="AP194" s="4"/>
      <c r="AQ194" s="4"/>
    </row>
    <row r="195" spans="1:43" s="2" customFormat="1" x14ac:dyDescent="0.25">
      <c r="A195" s="161" t="str">
        <f t="shared" si="3"/>
        <v>ARCHER_MED</v>
      </c>
      <c r="B195" s="9" t="s">
        <v>119</v>
      </c>
      <c r="C195" s="4" t="s">
        <v>692</v>
      </c>
      <c r="D195" s="4"/>
      <c r="E195" s="4" t="s">
        <v>119</v>
      </c>
      <c r="F195" s="4" t="s">
        <v>119</v>
      </c>
      <c r="G195" s="4"/>
      <c r="H195" s="4" t="s">
        <v>647</v>
      </c>
      <c r="I195" s="4" t="s">
        <v>2103</v>
      </c>
      <c r="J195" s="11"/>
      <c r="K195" s="11"/>
      <c r="L195" s="4"/>
      <c r="M195" s="12"/>
      <c r="N195" s="4"/>
      <c r="O195" s="4"/>
      <c r="P195" s="4"/>
      <c r="Q195" s="9" t="s">
        <v>1737</v>
      </c>
      <c r="R195" s="11"/>
      <c r="S195" s="4"/>
      <c r="T195" s="9"/>
      <c r="U195" s="11"/>
      <c r="V195" s="4"/>
      <c r="W195" s="9"/>
      <c r="X195" s="11"/>
      <c r="Y195" s="4"/>
      <c r="Z195" s="9"/>
      <c r="AA195" s="11"/>
      <c r="AB195" s="4"/>
      <c r="AC195" s="11"/>
      <c r="AD195" s="11"/>
      <c r="AE195" s="4"/>
      <c r="AF195" s="9"/>
      <c r="AG195" s="11"/>
      <c r="AH195" s="4"/>
      <c r="AI195" s="9"/>
      <c r="AJ195" s="11"/>
      <c r="AK195" s="4"/>
      <c r="AL195" s="4"/>
      <c r="AM195" s="4"/>
      <c r="AN195" s="4"/>
      <c r="AO195" s="4"/>
      <c r="AP195" s="4"/>
      <c r="AQ195" s="4"/>
    </row>
    <row r="196" spans="1:43" s="2" customFormat="1" x14ac:dyDescent="0.25">
      <c r="A196" s="161" t="str">
        <f t="shared" si="3"/>
        <v>ARCHER_GREECE</v>
      </c>
      <c r="B196" s="9" t="s">
        <v>119</v>
      </c>
      <c r="C196" s="4" t="s">
        <v>718</v>
      </c>
      <c r="D196" s="4"/>
      <c r="E196" s="4" t="s">
        <v>119</v>
      </c>
      <c r="F196" s="4" t="s">
        <v>119</v>
      </c>
      <c r="G196" s="14" t="s">
        <v>132</v>
      </c>
      <c r="H196" s="4" t="s">
        <v>397</v>
      </c>
      <c r="I196" s="4" t="s">
        <v>102</v>
      </c>
      <c r="J196" s="11"/>
      <c r="K196" s="11"/>
      <c r="L196" s="4"/>
      <c r="M196" s="12"/>
      <c r="N196" s="4"/>
      <c r="O196" s="4"/>
      <c r="P196" s="4"/>
      <c r="Q196" s="9" t="s">
        <v>1737</v>
      </c>
      <c r="R196" s="11"/>
      <c r="S196" s="4"/>
      <c r="T196" s="9"/>
      <c r="U196" s="11"/>
      <c r="V196" s="4"/>
      <c r="W196" s="9"/>
      <c r="X196" s="11"/>
      <c r="Y196" s="4"/>
      <c r="Z196" s="9"/>
      <c r="AA196" s="11"/>
      <c r="AB196" s="4"/>
      <c r="AC196" s="11"/>
      <c r="AD196" s="11"/>
      <c r="AE196" s="4"/>
      <c r="AF196" s="9"/>
      <c r="AG196" s="11"/>
      <c r="AH196" s="4"/>
      <c r="AI196" s="9"/>
      <c r="AJ196" s="11"/>
      <c r="AK196" s="4"/>
      <c r="AL196" s="4"/>
      <c r="AM196" s="4"/>
      <c r="AN196" s="4"/>
      <c r="AO196" s="4"/>
      <c r="AP196" s="4"/>
      <c r="AQ196" s="4"/>
    </row>
    <row r="197" spans="1:43" s="2" customFormat="1" x14ac:dyDescent="0.25">
      <c r="A197" s="161" t="str">
        <f t="shared" si="3"/>
        <v>ARCHER_ROME</v>
      </c>
      <c r="B197" s="9" t="s">
        <v>119</v>
      </c>
      <c r="C197" s="4" t="s">
        <v>734</v>
      </c>
      <c r="D197" s="4"/>
      <c r="E197" s="4" t="s">
        <v>119</v>
      </c>
      <c r="F197" s="4" t="s">
        <v>119</v>
      </c>
      <c r="G197" s="14" t="s">
        <v>132</v>
      </c>
      <c r="H197" s="4" t="s">
        <v>581</v>
      </c>
      <c r="I197" s="4" t="s">
        <v>102</v>
      </c>
      <c r="J197" s="11"/>
      <c r="K197" s="11"/>
      <c r="L197" s="4"/>
      <c r="M197" s="12"/>
      <c r="N197" s="4"/>
      <c r="O197" s="4"/>
      <c r="P197" s="4"/>
      <c r="Q197" s="9" t="s">
        <v>1737</v>
      </c>
      <c r="R197" s="11"/>
      <c r="S197" s="4"/>
      <c r="T197" s="9"/>
      <c r="U197" s="11"/>
      <c r="V197" s="4"/>
      <c r="W197" s="9"/>
      <c r="X197" s="11"/>
      <c r="Y197" s="4"/>
      <c r="Z197" s="9"/>
      <c r="AA197" s="11"/>
      <c r="AB197" s="4"/>
      <c r="AC197" s="11"/>
      <c r="AD197" s="11"/>
      <c r="AE197" s="4"/>
      <c r="AF197" s="9"/>
      <c r="AG197" s="11"/>
      <c r="AH197" s="4"/>
      <c r="AI197" s="9"/>
      <c r="AJ197" s="11"/>
      <c r="AK197" s="4"/>
      <c r="AL197" s="4"/>
      <c r="AM197" s="4"/>
      <c r="AN197" s="4"/>
      <c r="AO197" s="4"/>
      <c r="AP197" s="4"/>
      <c r="AQ197" s="4"/>
    </row>
    <row r="198" spans="1:43" s="2" customFormat="1" x14ac:dyDescent="0.25">
      <c r="A198" s="161" t="str">
        <f t="shared" si="3"/>
        <v>ARCHER_SPAIN</v>
      </c>
      <c r="B198" s="9" t="s">
        <v>119</v>
      </c>
      <c r="C198" s="4" t="s">
        <v>738</v>
      </c>
      <c r="D198" s="4" t="s">
        <v>692</v>
      </c>
      <c r="E198" s="4" t="s">
        <v>119</v>
      </c>
      <c r="F198" s="4" t="s">
        <v>119</v>
      </c>
      <c r="G198" s="14" t="s">
        <v>132</v>
      </c>
      <c r="H198" s="4"/>
      <c r="I198" s="4"/>
      <c r="J198" s="11"/>
      <c r="K198" s="11"/>
      <c r="L198" s="4"/>
      <c r="M198" s="12"/>
      <c r="N198" s="4"/>
      <c r="O198" s="4"/>
      <c r="P198" s="4"/>
      <c r="Q198" s="9"/>
      <c r="R198" s="11"/>
      <c r="S198" s="4"/>
      <c r="T198" s="9"/>
      <c r="U198" s="11"/>
      <c r="V198" s="4"/>
      <c r="W198" s="9"/>
      <c r="X198" s="11"/>
      <c r="Y198" s="4"/>
      <c r="Z198" s="11"/>
      <c r="AA198" s="11"/>
      <c r="AB198" s="4"/>
      <c r="AC198" s="11"/>
      <c r="AD198" s="11"/>
      <c r="AE198" s="4"/>
      <c r="AF198" s="9"/>
      <c r="AG198" s="11"/>
      <c r="AH198" s="4"/>
      <c r="AI198" s="9"/>
      <c r="AJ198" s="11"/>
      <c r="AK198" s="4"/>
      <c r="AL198" s="4"/>
      <c r="AM198" s="4"/>
      <c r="AN198" s="4"/>
      <c r="AO198" s="4"/>
      <c r="AP198" s="4"/>
      <c r="AQ198" s="4"/>
    </row>
    <row r="199" spans="1:43" s="2" customFormat="1" x14ac:dyDescent="0.25">
      <c r="A199" s="161" t="str">
        <f t="shared" si="3"/>
        <v>ARCHER_MIDEAST</v>
      </c>
      <c r="B199" s="9" t="s">
        <v>119</v>
      </c>
      <c r="C199" s="4" t="s">
        <v>690</v>
      </c>
      <c r="D199" s="4"/>
      <c r="E199" s="4" t="s">
        <v>119</v>
      </c>
      <c r="F199" s="4" t="s">
        <v>119</v>
      </c>
      <c r="G199" s="4"/>
      <c r="H199" s="4" t="s">
        <v>205</v>
      </c>
      <c r="I199" s="4" t="s">
        <v>102</v>
      </c>
      <c r="J199" s="11"/>
      <c r="K199" s="11"/>
      <c r="L199" s="4"/>
      <c r="M199" s="12"/>
      <c r="N199" s="4"/>
      <c r="O199" s="4"/>
      <c r="P199" s="4"/>
      <c r="Q199" s="9" t="s">
        <v>1737</v>
      </c>
      <c r="R199" s="11"/>
      <c r="S199" s="4"/>
      <c r="T199" s="9"/>
      <c r="U199" s="11"/>
      <c r="V199" s="4"/>
      <c r="W199" s="9"/>
      <c r="X199" s="11"/>
      <c r="Y199" s="4"/>
      <c r="Z199" s="9"/>
      <c r="AA199" s="11"/>
      <c r="AB199" s="4"/>
      <c r="AC199" s="11"/>
      <c r="AD199" s="11"/>
      <c r="AE199" s="4"/>
      <c r="AF199" s="9"/>
      <c r="AG199" s="11"/>
      <c r="AH199" s="4"/>
      <c r="AI199" s="9"/>
      <c r="AJ199" s="11"/>
      <c r="AK199" s="4"/>
      <c r="AL199" s="4"/>
      <c r="AM199" s="4"/>
      <c r="AN199" s="4"/>
      <c r="AO199" s="4"/>
      <c r="AP199" s="4"/>
      <c r="AQ199" s="4"/>
    </row>
    <row r="200" spans="1:43" s="2" customFormat="1" x14ac:dyDescent="0.25">
      <c r="A200" s="161" t="str">
        <f t="shared" si="3"/>
        <v>ARCHER_ARABIA</v>
      </c>
      <c r="B200" s="9" t="s">
        <v>119</v>
      </c>
      <c r="C200" s="4" t="s">
        <v>700</v>
      </c>
      <c r="D200" s="14"/>
      <c r="E200" s="4" t="s">
        <v>119</v>
      </c>
      <c r="F200" s="4" t="s">
        <v>119</v>
      </c>
      <c r="G200" s="14"/>
      <c r="H200" s="4" t="s">
        <v>157</v>
      </c>
      <c r="I200" s="4" t="s">
        <v>2103</v>
      </c>
      <c r="J200" s="11"/>
      <c r="K200" s="11"/>
      <c r="L200" s="4"/>
      <c r="M200" s="12"/>
      <c r="N200" s="4"/>
      <c r="O200" s="4"/>
      <c r="P200" s="4"/>
      <c r="Q200" s="9" t="s">
        <v>1737</v>
      </c>
      <c r="R200" s="11"/>
      <c r="S200" s="4"/>
      <c r="T200" s="9"/>
      <c r="U200" s="11"/>
      <c r="V200" s="4"/>
      <c r="W200" s="9"/>
      <c r="X200" s="11"/>
      <c r="Y200" s="4"/>
      <c r="Z200" s="11"/>
      <c r="AA200" s="11"/>
      <c r="AB200" s="4"/>
      <c r="AC200" s="11"/>
      <c r="AD200" s="11"/>
      <c r="AE200" s="4"/>
      <c r="AF200" s="9"/>
      <c r="AG200" s="11"/>
      <c r="AH200" s="4"/>
      <c r="AI200" s="9"/>
      <c r="AJ200" s="11"/>
      <c r="AK200" s="4"/>
      <c r="AL200" s="4"/>
      <c r="AM200" s="4"/>
      <c r="AN200" s="4"/>
      <c r="AO200" s="4"/>
      <c r="AP200" s="4"/>
      <c r="AQ200" s="4"/>
    </row>
    <row r="201" spans="1:43" s="2" customFormat="1" x14ac:dyDescent="0.25">
      <c r="A201" s="161" t="str">
        <f t="shared" si="3"/>
        <v>ARCHER_EGYPT</v>
      </c>
      <c r="B201" s="9" t="s">
        <v>119</v>
      </c>
      <c r="C201" s="4" t="s">
        <v>712</v>
      </c>
      <c r="D201" s="4"/>
      <c r="E201" s="4" t="s">
        <v>119</v>
      </c>
      <c r="F201" s="4" t="s">
        <v>119</v>
      </c>
      <c r="G201" s="14" t="s">
        <v>132</v>
      </c>
      <c r="H201" s="4" t="s">
        <v>274</v>
      </c>
      <c r="I201" s="4" t="s">
        <v>2103</v>
      </c>
      <c r="J201" s="11"/>
      <c r="K201" s="11"/>
      <c r="L201" s="4"/>
      <c r="M201" s="12"/>
      <c r="N201" s="4"/>
      <c r="O201" s="4"/>
      <c r="P201" s="4"/>
      <c r="Q201" s="9" t="s">
        <v>1737</v>
      </c>
      <c r="R201" s="11"/>
      <c r="S201" s="4"/>
      <c r="T201" s="9"/>
      <c r="U201" s="11"/>
      <c r="V201" s="4"/>
      <c r="W201" s="9"/>
      <c r="X201" s="11"/>
      <c r="Y201" s="4"/>
      <c r="Z201" s="9"/>
      <c r="AA201" s="11"/>
      <c r="AB201" s="4"/>
      <c r="AC201" s="11"/>
      <c r="AD201" s="11"/>
      <c r="AE201" s="4"/>
      <c r="AF201" s="9"/>
      <c r="AG201" s="11"/>
      <c r="AH201" s="4"/>
      <c r="AI201" s="9"/>
      <c r="AJ201" s="11"/>
      <c r="AK201" s="4"/>
      <c r="AL201" s="4"/>
      <c r="AM201" s="4"/>
      <c r="AN201" s="4"/>
      <c r="AO201" s="4"/>
      <c r="AP201" s="4"/>
      <c r="AQ201" s="4"/>
    </row>
    <row r="202" spans="1:43" s="2" customFormat="1" x14ac:dyDescent="0.25">
      <c r="A202" s="161" t="str">
        <f t="shared" si="3"/>
        <v>ARCHER_LEVANT</v>
      </c>
      <c r="B202" s="9" t="s">
        <v>119</v>
      </c>
      <c r="C202" s="4" t="s">
        <v>724</v>
      </c>
      <c r="D202" s="4"/>
      <c r="E202" s="4" t="s">
        <v>119</v>
      </c>
      <c r="F202" s="4" t="s">
        <v>119</v>
      </c>
      <c r="G202" s="14" t="s">
        <v>132</v>
      </c>
      <c r="H202" s="4" t="s">
        <v>506</v>
      </c>
      <c r="I202" s="4" t="s">
        <v>1063</v>
      </c>
      <c r="J202" s="11"/>
      <c r="K202" s="11"/>
      <c r="L202" s="4"/>
      <c r="M202" s="12"/>
      <c r="N202" s="4"/>
      <c r="O202" s="4"/>
      <c r="P202" s="4"/>
      <c r="Q202" s="9" t="s">
        <v>1737</v>
      </c>
      <c r="R202" s="11"/>
      <c r="S202" s="4"/>
      <c r="T202" s="9"/>
      <c r="U202" s="11"/>
      <c r="V202" s="4"/>
      <c r="W202" s="9"/>
      <c r="X202" s="11"/>
      <c r="Y202" s="4"/>
      <c r="Z202" s="9"/>
      <c r="AA202" s="11"/>
      <c r="AB202" s="4"/>
      <c r="AC202" s="11"/>
      <c r="AD202" s="11"/>
      <c r="AE202" s="4"/>
      <c r="AF202" s="9"/>
      <c r="AG202" s="11"/>
      <c r="AH202" s="4"/>
      <c r="AI202" s="9"/>
      <c r="AJ202" s="11"/>
      <c r="AK202" s="4"/>
      <c r="AL202" s="4"/>
      <c r="AM202" s="4"/>
      <c r="AN202" s="4"/>
      <c r="AO202" s="4"/>
      <c r="AP202" s="4"/>
      <c r="AQ202" s="4"/>
    </row>
    <row r="203" spans="1:43" s="2" customFormat="1" x14ac:dyDescent="0.25">
      <c r="A203" s="161" t="str">
        <f t="shared" si="3"/>
        <v>ARCHER_PERSIA</v>
      </c>
      <c r="B203" s="9" t="s">
        <v>119</v>
      </c>
      <c r="C203" s="4" t="s">
        <v>731</v>
      </c>
      <c r="D203" s="4"/>
      <c r="E203" s="4" t="s">
        <v>119</v>
      </c>
      <c r="F203" s="4" t="s">
        <v>119</v>
      </c>
      <c r="G203" s="14" t="s">
        <v>132</v>
      </c>
      <c r="H203" s="4" t="s">
        <v>551</v>
      </c>
      <c r="I203" s="4" t="s">
        <v>102</v>
      </c>
      <c r="J203" s="11"/>
      <c r="K203" s="11"/>
      <c r="L203" s="4"/>
      <c r="M203" s="12"/>
      <c r="N203" s="4"/>
      <c r="O203" s="4"/>
      <c r="P203" s="4"/>
      <c r="Q203" s="9" t="s">
        <v>1737</v>
      </c>
      <c r="R203" s="11"/>
      <c r="S203" s="4"/>
      <c r="T203" s="9"/>
      <c r="U203" s="11"/>
      <c r="V203" s="4"/>
      <c r="W203" s="9"/>
      <c r="X203" s="11"/>
      <c r="Y203" s="4"/>
      <c r="Z203" s="9"/>
      <c r="AA203" s="11"/>
      <c r="AB203" s="4"/>
      <c r="AC203" s="11"/>
      <c r="AD203" s="11"/>
      <c r="AE203" s="4"/>
      <c r="AF203" s="9"/>
      <c r="AG203" s="11"/>
      <c r="AH203" s="4"/>
      <c r="AI203" s="9"/>
      <c r="AJ203" s="11"/>
      <c r="AK203" s="4"/>
      <c r="AL203" s="4"/>
      <c r="AM203" s="4"/>
      <c r="AN203" s="4"/>
      <c r="AO203" s="4"/>
      <c r="AP203" s="4"/>
      <c r="AQ203" s="4"/>
    </row>
    <row r="204" spans="1:43" s="2" customFormat="1" x14ac:dyDescent="0.25">
      <c r="A204" s="161" t="str">
        <f t="shared" si="3"/>
        <v>ARCHER_NORTHEU</v>
      </c>
      <c r="B204" s="9" t="s">
        <v>119</v>
      </c>
      <c r="C204" s="4" t="s">
        <v>962</v>
      </c>
      <c r="D204" s="4"/>
      <c r="E204" s="4" t="s">
        <v>119</v>
      </c>
      <c r="F204" s="4" t="s">
        <v>119</v>
      </c>
      <c r="G204" s="14" t="s">
        <v>132</v>
      </c>
      <c r="H204" s="4" t="s">
        <v>264</v>
      </c>
      <c r="I204" s="4" t="s">
        <v>102</v>
      </c>
      <c r="J204" s="11"/>
      <c r="K204" s="11"/>
      <c r="L204" s="4"/>
      <c r="M204" s="12"/>
      <c r="N204" s="4"/>
      <c r="O204" s="4"/>
      <c r="P204" s="4"/>
      <c r="Q204" s="9" t="s">
        <v>1737</v>
      </c>
      <c r="R204" s="11"/>
      <c r="S204" s="4"/>
      <c r="T204" s="9"/>
      <c r="U204" s="11"/>
      <c r="V204" s="4"/>
      <c r="W204" s="9"/>
      <c r="X204" s="11"/>
      <c r="Y204" s="4"/>
      <c r="Z204" s="9"/>
      <c r="AA204" s="11"/>
      <c r="AB204" s="4"/>
      <c r="AC204" s="11"/>
      <c r="AD204" s="11"/>
      <c r="AE204" s="4"/>
      <c r="AF204" s="9"/>
      <c r="AG204" s="11"/>
      <c r="AH204" s="4"/>
      <c r="AI204" s="9"/>
      <c r="AJ204" s="11"/>
      <c r="AK204" s="4"/>
      <c r="AL204" s="4"/>
      <c r="AM204" s="4"/>
      <c r="AN204" s="4"/>
      <c r="AO204" s="4"/>
      <c r="AP204" s="4"/>
      <c r="AQ204" s="4"/>
    </row>
    <row r="205" spans="1:43" s="2" customFormat="1" x14ac:dyDescent="0.25">
      <c r="A205" s="161" t="str">
        <f t="shared" si="3"/>
        <v>ARCHER_OCEAN</v>
      </c>
      <c r="B205" s="9" t="s">
        <v>119</v>
      </c>
      <c r="C205" s="4" t="s">
        <v>994</v>
      </c>
      <c r="D205" s="4" t="s">
        <v>702</v>
      </c>
      <c r="E205" s="4" t="s">
        <v>119</v>
      </c>
      <c r="F205" s="4" t="s">
        <v>119</v>
      </c>
      <c r="G205" s="4"/>
      <c r="H205" s="4"/>
      <c r="I205" s="4"/>
      <c r="J205" s="11"/>
      <c r="K205" s="11"/>
      <c r="L205" s="4"/>
      <c r="M205" s="12"/>
      <c r="N205" s="4"/>
      <c r="O205" s="4"/>
      <c r="P205" s="4"/>
      <c r="Q205" s="9"/>
      <c r="R205" s="11"/>
      <c r="S205" s="4"/>
      <c r="T205" s="9"/>
      <c r="U205" s="11"/>
      <c r="V205" s="4"/>
      <c r="W205" s="9"/>
      <c r="X205" s="11"/>
      <c r="Y205" s="4"/>
      <c r="Z205" s="11"/>
      <c r="AA205" s="11"/>
      <c r="AB205" s="4"/>
      <c r="AC205" s="11"/>
      <c r="AD205" s="11"/>
      <c r="AE205" s="4"/>
      <c r="AF205" s="9"/>
      <c r="AG205" s="11"/>
      <c r="AH205" s="4"/>
      <c r="AI205" s="9"/>
      <c r="AJ205" s="11"/>
      <c r="AK205" s="4"/>
      <c r="AL205" s="4"/>
      <c r="AM205" s="4"/>
      <c r="AN205" s="4"/>
      <c r="AO205" s="4"/>
      <c r="AP205" s="4"/>
      <c r="AQ205" s="4"/>
    </row>
    <row r="206" spans="1:43" s="2" customFormat="1" x14ac:dyDescent="0.25">
      <c r="A206" s="161" t="str">
        <f t="shared" si="3"/>
        <v>ARCHER_SEASIA</v>
      </c>
      <c r="B206" s="9" t="s">
        <v>119</v>
      </c>
      <c r="C206" s="4" t="s">
        <v>696</v>
      </c>
      <c r="D206" s="4" t="s">
        <v>693</v>
      </c>
      <c r="E206" s="4" t="s">
        <v>119</v>
      </c>
      <c r="F206" s="4" t="s">
        <v>119</v>
      </c>
      <c r="G206" s="4"/>
      <c r="H206" s="4"/>
      <c r="I206" s="4"/>
      <c r="J206" s="11"/>
      <c r="K206" s="11"/>
      <c r="L206" s="4"/>
      <c r="M206" s="12"/>
      <c r="N206" s="4"/>
      <c r="O206" s="4"/>
      <c r="P206" s="4"/>
      <c r="Q206" s="9"/>
      <c r="R206" s="11"/>
      <c r="S206" s="4"/>
      <c r="T206" s="9"/>
      <c r="U206" s="11"/>
      <c r="V206" s="4"/>
      <c r="W206" s="9"/>
      <c r="X206" s="11"/>
      <c r="Y206" s="4"/>
      <c r="Z206" s="11"/>
      <c r="AA206" s="11"/>
      <c r="AB206" s="4"/>
      <c r="AC206" s="11"/>
      <c r="AD206" s="11"/>
      <c r="AE206" s="4"/>
      <c r="AF206" s="9"/>
      <c r="AG206" s="11"/>
      <c r="AH206" s="4"/>
      <c r="AI206" s="9"/>
      <c r="AJ206" s="11"/>
      <c r="AK206" s="4"/>
      <c r="AL206" s="4"/>
      <c r="AM206" s="4"/>
      <c r="AN206" s="4"/>
      <c r="AO206" s="4"/>
      <c r="AP206" s="4"/>
      <c r="AQ206" s="4"/>
    </row>
    <row r="207" spans="1:43" s="2" customFormat="1" x14ac:dyDescent="0.25">
      <c r="A207" s="161" t="str">
        <f t="shared" si="3"/>
        <v>ARCHER_SOUTHAM</v>
      </c>
      <c r="B207" s="9" t="s">
        <v>119</v>
      </c>
      <c r="C207" s="4" t="s">
        <v>691</v>
      </c>
      <c r="D207" s="4"/>
      <c r="E207" s="4" t="s">
        <v>119</v>
      </c>
      <c r="F207" s="4" t="s">
        <v>119</v>
      </c>
      <c r="G207" s="4"/>
      <c r="H207" s="4" t="s">
        <v>1816</v>
      </c>
      <c r="I207" s="4" t="s">
        <v>963</v>
      </c>
      <c r="J207" s="11"/>
      <c r="K207" s="11"/>
      <c r="L207" s="4"/>
      <c r="M207" s="12"/>
      <c r="N207" s="4"/>
      <c r="O207" s="4"/>
      <c r="P207" s="4"/>
      <c r="Q207" s="9" t="s">
        <v>1737</v>
      </c>
      <c r="R207" s="11"/>
      <c r="S207" s="4"/>
      <c r="T207" s="9"/>
      <c r="U207" s="11"/>
      <c r="V207" s="4"/>
      <c r="W207" s="9"/>
      <c r="X207" s="11"/>
      <c r="Y207" s="4"/>
      <c r="Z207" s="9"/>
      <c r="AA207" s="11"/>
      <c r="AB207" s="4"/>
      <c r="AC207" s="11"/>
      <c r="AD207" s="11"/>
      <c r="AE207" s="4"/>
      <c r="AF207" s="9"/>
      <c r="AG207" s="11"/>
      <c r="AH207" s="4"/>
      <c r="AI207" s="9"/>
      <c r="AJ207" s="11"/>
      <c r="AK207" s="4"/>
      <c r="AL207" s="4"/>
      <c r="AM207" s="4"/>
      <c r="AN207" s="4"/>
      <c r="AO207" s="4"/>
      <c r="AP207" s="4"/>
      <c r="AQ207" s="4"/>
    </row>
    <row r="208" spans="1:43" s="2" customFormat="1" x14ac:dyDescent="0.25">
      <c r="A208" s="161" t="str">
        <f>CONCATENATE(E208,IF(ISBLANK(C208),"",CONCATENATE("_",C208)))</f>
        <v>ARCHER_AZTEC</v>
      </c>
      <c r="B208" s="9" t="s">
        <v>119</v>
      </c>
      <c r="C208" s="4" t="s">
        <v>702</v>
      </c>
      <c r="D208" s="4"/>
      <c r="E208" s="4" t="s">
        <v>119</v>
      </c>
      <c r="F208" s="4" t="s">
        <v>119</v>
      </c>
      <c r="G208" s="4"/>
      <c r="H208" s="4" t="s">
        <v>191</v>
      </c>
      <c r="I208" s="4" t="s">
        <v>102</v>
      </c>
      <c r="J208" s="11"/>
      <c r="K208" s="11"/>
      <c r="L208" s="4"/>
      <c r="M208" s="12"/>
      <c r="N208" s="4"/>
      <c r="O208" s="4"/>
      <c r="P208" s="4"/>
      <c r="Q208" s="9" t="s">
        <v>1737</v>
      </c>
      <c r="R208" s="11"/>
      <c r="S208" s="4"/>
      <c r="T208" s="9"/>
      <c r="U208" s="11"/>
      <c r="V208" s="4"/>
      <c r="W208" s="9"/>
      <c r="X208" s="11"/>
      <c r="Y208" s="4"/>
      <c r="Z208" s="9"/>
      <c r="AA208" s="11"/>
      <c r="AB208" s="4"/>
      <c r="AC208" s="11"/>
      <c r="AD208" s="11"/>
      <c r="AE208" s="4"/>
      <c r="AF208" s="9"/>
      <c r="AG208" s="11"/>
      <c r="AH208" s="4"/>
      <c r="AI208" s="9"/>
      <c r="AJ208" s="11"/>
      <c r="AK208" s="4"/>
      <c r="AL208" s="4"/>
      <c r="AM208" s="4"/>
      <c r="AN208" s="4"/>
      <c r="AO208" s="4"/>
      <c r="AP208" s="4"/>
      <c r="AQ208" s="4"/>
    </row>
    <row r="209" spans="1:43" s="2" customFormat="1" x14ac:dyDescent="0.25">
      <c r="A209" s="161" t="str">
        <f>CONCATENATE(E209,IF(ISBLANK(C209),"",CONCATENATE("_",C209)))</f>
        <v>ARCHER_MAYA</v>
      </c>
      <c r="B209" s="9" t="s">
        <v>119</v>
      </c>
      <c r="C209" s="4" t="s">
        <v>725</v>
      </c>
      <c r="D209" s="4" t="s">
        <v>702</v>
      </c>
      <c r="E209" s="4" t="s">
        <v>119</v>
      </c>
      <c r="F209" s="4" t="s">
        <v>119</v>
      </c>
      <c r="G209" s="4"/>
      <c r="H209" s="4"/>
      <c r="I209" s="4"/>
      <c r="J209" s="11"/>
      <c r="K209" s="11"/>
      <c r="L209" s="4"/>
      <c r="M209" s="12"/>
      <c r="N209" s="4"/>
      <c r="O209" s="4"/>
      <c r="P209" s="4"/>
      <c r="Q209" s="9"/>
      <c r="R209" s="11"/>
      <c r="S209" s="4"/>
      <c r="T209" s="9"/>
      <c r="U209" s="11"/>
      <c r="V209" s="4"/>
      <c r="W209" s="9"/>
      <c r="X209" s="11"/>
      <c r="Y209" s="4"/>
      <c r="Z209" s="9"/>
      <c r="AA209" s="11"/>
      <c r="AB209" s="4"/>
      <c r="AC209" s="11"/>
      <c r="AD209" s="11"/>
      <c r="AE209" s="4"/>
      <c r="AF209" s="9"/>
      <c r="AG209" s="11"/>
      <c r="AH209" s="4"/>
      <c r="AI209" s="9"/>
      <c r="AJ209" s="11"/>
      <c r="AK209" s="4"/>
      <c r="AL209" s="4"/>
      <c r="AM209" s="4"/>
      <c r="AN209" s="4"/>
      <c r="AO209" s="4"/>
      <c r="AP209" s="4"/>
      <c r="AQ209" s="4"/>
    </row>
    <row r="210" spans="1:43" s="2" customFormat="1" x14ac:dyDescent="0.25">
      <c r="A210" s="161" t="str">
        <f t="shared" si="3"/>
        <v>ARCHER_SOUTHAS</v>
      </c>
      <c r="B210" s="9" t="s">
        <v>119</v>
      </c>
      <c r="C210" s="4" t="s">
        <v>695</v>
      </c>
      <c r="D210" s="4" t="s">
        <v>693</v>
      </c>
      <c r="E210" s="4" t="s">
        <v>119</v>
      </c>
      <c r="F210" s="4" t="s">
        <v>119</v>
      </c>
      <c r="G210" s="4"/>
      <c r="H210" s="4"/>
      <c r="I210" s="4"/>
      <c r="J210" s="11"/>
      <c r="K210" s="11"/>
      <c r="L210" s="4"/>
      <c r="M210" s="12"/>
      <c r="N210" s="4"/>
      <c r="O210" s="4"/>
      <c r="P210" s="4"/>
      <c r="Q210" s="9"/>
      <c r="R210" s="11"/>
      <c r="S210" s="4"/>
      <c r="T210" s="9"/>
      <c r="U210" s="11"/>
      <c r="V210" s="4"/>
      <c r="W210" s="9"/>
      <c r="X210" s="11"/>
      <c r="Y210" s="4"/>
      <c r="Z210" s="11"/>
      <c r="AA210" s="11"/>
      <c r="AB210" s="4"/>
      <c r="AC210" s="11"/>
      <c r="AD210" s="11"/>
      <c r="AE210" s="4"/>
      <c r="AF210" s="9"/>
      <c r="AG210" s="11"/>
      <c r="AH210" s="4"/>
      <c r="AI210" s="9"/>
      <c r="AJ210" s="11"/>
      <c r="AK210" s="4"/>
      <c r="AL210" s="4"/>
      <c r="AM210" s="4"/>
      <c r="AN210" s="4"/>
      <c r="AO210" s="4"/>
      <c r="AP210" s="4"/>
      <c r="AQ210" s="4"/>
    </row>
    <row r="211" spans="1:43" s="2" customFormat="1" x14ac:dyDescent="0.25">
      <c r="A211" s="161" t="str">
        <f t="shared" si="3"/>
        <v>ARCHER_INDIA</v>
      </c>
      <c r="B211" s="9" t="s">
        <v>119</v>
      </c>
      <c r="C211" s="4" t="s">
        <v>720</v>
      </c>
      <c r="D211" s="4"/>
      <c r="E211" s="4" t="s">
        <v>119</v>
      </c>
      <c r="F211" s="4" t="s">
        <v>119</v>
      </c>
      <c r="G211" s="14" t="s">
        <v>132</v>
      </c>
      <c r="H211" s="4" t="s">
        <v>430</v>
      </c>
      <c r="I211" s="4" t="s">
        <v>102</v>
      </c>
      <c r="J211" s="11"/>
      <c r="K211" s="11"/>
      <c r="L211" s="4"/>
      <c r="M211" s="12"/>
      <c r="N211" s="4"/>
      <c r="O211" s="4"/>
      <c r="P211" s="4"/>
      <c r="Q211" s="9" t="s">
        <v>1737</v>
      </c>
      <c r="R211" s="11"/>
      <c r="S211" s="4"/>
      <c r="T211" s="9"/>
      <c r="U211" s="11"/>
      <c r="V211" s="4"/>
      <c r="W211" s="9"/>
      <c r="X211" s="11"/>
      <c r="Y211" s="4"/>
      <c r="Z211" s="11"/>
      <c r="AA211" s="11"/>
      <c r="AB211" s="4"/>
      <c r="AC211" s="11"/>
      <c r="AD211" s="11"/>
      <c r="AE211" s="4"/>
      <c r="AF211" s="9"/>
      <c r="AG211" s="11"/>
      <c r="AH211" s="4"/>
      <c r="AI211" s="9"/>
      <c r="AJ211" s="11"/>
      <c r="AK211" s="4"/>
      <c r="AL211" s="4"/>
      <c r="AM211" s="4"/>
      <c r="AN211" s="4"/>
      <c r="AO211" s="4"/>
      <c r="AP211" s="4"/>
      <c r="AQ211" s="4"/>
    </row>
    <row r="212" spans="1:43" s="2" customFormat="1" x14ac:dyDescent="0.25">
      <c r="A212" s="161" t="str">
        <f t="shared" si="3"/>
        <v>ARTILLERY</v>
      </c>
      <c r="B212" s="9" t="s">
        <v>746</v>
      </c>
      <c r="C212" s="5"/>
      <c r="D212" s="5"/>
      <c r="E212" s="5" t="s">
        <v>746</v>
      </c>
      <c r="F212" s="5" t="s">
        <v>746</v>
      </c>
      <c r="G212" s="5"/>
      <c r="H212" s="5" t="s">
        <v>43</v>
      </c>
      <c r="I212" s="5" t="s">
        <v>128</v>
      </c>
      <c r="J212" s="6"/>
      <c r="K212" s="6"/>
      <c r="L212" s="13" t="s">
        <v>746</v>
      </c>
      <c r="M212" s="8"/>
      <c r="N212" s="5"/>
      <c r="O212" s="5"/>
      <c r="P212" s="5"/>
      <c r="Q212" s="7">
        <v>2</v>
      </c>
      <c r="R212" s="6" t="s">
        <v>1695</v>
      </c>
      <c r="S212" s="13" t="s">
        <v>1613</v>
      </c>
      <c r="T212" s="7">
        <v>3</v>
      </c>
      <c r="U212" s="7" t="s">
        <v>1737</v>
      </c>
      <c r="V212" s="5" t="s">
        <v>688</v>
      </c>
      <c r="W212" s="7">
        <v>7</v>
      </c>
      <c r="X212" s="6" t="s">
        <v>3</v>
      </c>
      <c r="Y212" s="5"/>
      <c r="Z212" s="7">
        <v>1</v>
      </c>
      <c r="AA212" s="6"/>
      <c r="AB212" s="5"/>
      <c r="AC212" s="6"/>
      <c r="AD212" s="6" t="s">
        <v>3</v>
      </c>
      <c r="AE212" s="5"/>
      <c r="AF212" s="6"/>
      <c r="AG212" s="6"/>
      <c r="AH212" s="5"/>
      <c r="AI212" s="6"/>
      <c r="AJ212" s="6"/>
      <c r="AK212" s="5"/>
      <c r="AL212" s="5"/>
      <c r="AM212" s="5"/>
      <c r="AN212" s="5"/>
      <c r="AO212" s="5"/>
      <c r="AP212" s="5"/>
      <c r="AQ212" s="5"/>
    </row>
    <row r="213" spans="1:43" s="2" customFormat="1" x14ac:dyDescent="0.25">
      <c r="A213" s="161" t="str">
        <f t="shared" si="3"/>
        <v>ARTILLERY_EASTEU</v>
      </c>
      <c r="B213" s="9" t="s">
        <v>746</v>
      </c>
      <c r="C213" s="4" t="s">
        <v>698</v>
      </c>
      <c r="D213" s="4"/>
      <c r="E213" s="4" t="s">
        <v>746</v>
      </c>
      <c r="F213" s="4" t="s">
        <v>746</v>
      </c>
      <c r="G213" s="14" t="s">
        <v>132</v>
      </c>
      <c r="H213" s="4" t="s">
        <v>605</v>
      </c>
      <c r="I213" s="4" t="s">
        <v>2235</v>
      </c>
      <c r="J213" s="11"/>
      <c r="K213" s="11"/>
      <c r="L213" s="4"/>
      <c r="M213" s="12"/>
      <c r="N213" s="4"/>
      <c r="O213" s="4"/>
      <c r="P213" s="4"/>
      <c r="Q213" s="9"/>
      <c r="R213" s="11">
        <v>0.105</v>
      </c>
      <c r="S213" s="4"/>
      <c r="T213" s="9"/>
      <c r="U213" s="11">
        <v>7.4999999999999997E-2</v>
      </c>
      <c r="V213" s="4"/>
      <c r="W213" s="9"/>
      <c r="X213" s="11"/>
      <c r="Y213" s="4"/>
      <c r="Z213" s="11"/>
      <c r="AA213" s="11"/>
      <c r="AB213" s="4"/>
      <c r="AC213" s="11"/>
      <c r="AD213" s="11"/>
      <c r="AE213" s="4"/>
      <c r="AF213" s="9"/>
      <c r="AG213" s="11"/>
      <c r="AH213" s="4"/>
      <c r="AI213" s="9"/>
      <c r="AJ213" s="11"/>
      <c r="AK213" s="4"/>
      <c r="AL213" s="4"/>
      <c r="AM213" s="4"/>
      <c r="AN213" s="4"/>
      <c r="AO213" s="4"/>
      <c r="AP213" s="4"/>
      <c r="AQ213" s="4"/>
    </row>
    <row r="214" spans="1:43" s="2" customFormat="1" x14ac:dyDescent="0.25">
      <c r="A214" s="161" t="str">
        <f t="shared" si="3"/>
        <v>ARTILLERY_FRANCE</v>
      </c>
      <c r="B214" s="9" t="s">
        <v>746</v>
      </c>
      <c r="C214" s="4" t="s">
        <v>715</v>
      </c>
      <c r="D214" s="4"/>
      <c r="E214" s="4" t="s">
        <v>746</v>
      </c>
      <c r="F214" s="4" t="s">
        <v>746</v>
      </c>
      <c r="G214" s="14"/>
      <c r="H214" s="4" t="s">
        <v>2236</v>
      </c>
      <c r="I214" s="4" t="s">
        <v>2237</v>
      </c>
      <c r="J214" s="11"/>
      <c r="K214" s="11"/>
      <c r="L214" s="4"/>
      <c r="M214" s="12"/>
      <c r="N214" s="4"/>
      <c r="O214" s="4"/>
      <c r="P214" s="4"/>
      <c r="Q214" s="9"/>
      <c r="R214" s="11">
        <v>0.11</v>
      </c>
      <c r="S214" s="4"/>
      <c r="T214" s="9"/>
      <c r="U214" s="11">
        <v>7.4999999999999997E-2</v>
      </c>
      <c r="V214" s="4"/>
      <c r="W214" s="9"/>
      <c r="X214" s="11"/>
      <c r="Y214" s="4"/>
      <c r="Z214" s="11"/>
      <c r="AA214" s="11"/>
      <c r="AB214" s="4"/>
      <c r="AC214" s="11"/>
      <c r="AD214" s="11"/>
      <c r="AE214" s="4"/>
      <c r="AF214" s="9"/>
      <c r="AG214" s="11"/>
      <c r="AH214" s="4"/>
      <c r="AI214" s="9"/>
      <c r="AJ214" s="11"/>
      <c r="AK214" s="4"/>
      <c r="AL214" s="4"/>
      <c r="AM214" s="4"/>
      <c r="AN214" s="4"/>
      <c r="AO214" s="4"/>
      <c r="AP214" s="4"/>
      <c r="AQ214" s="4"/>
    </row>
    <row r="215" spans="1:43" s="2" customFormat="1" x14ac:dyDescent="0.25">
      <c r="A215" s="161" t="str">
        <f t="shared" si="3"/>
        <v>ARTIST</v>
      </c>
      <c r="B215" s="9"/>
      <c r="C215" s="5"/>
      <c r="D215" s="5"/>
      <c r="E215" s="5" t="s">
        <v>1312</v>
      </c>
      <c r="F215" s="5" t="s">
        <v>1310</v>
      </c>
      <c r="G215" s="5" t="s">
        <v>2050</v>
      </c>
      <c r="H215" s="5" t="s">
        <v>1472</v>
      </c>
      <c r="I215" s="5" t="s">
        <v>128</v>
      </c>
      <c r="J215" s="6">
        <v>1</v>
      </c>
      <c r="K215" s="6"/>
      <c r="L215" s="13" t="s">
        <v>1710</v>
      </c>
      <c r="M215" s="8"/>
      <c r="N215" s="5"/>
      <c r="O215" s="5"/>
      <c r="P215" s="5"/>
      <c r="Q215" s="6">
        <v>1</v>
      </c>
      <c r="R215" s="7" t="s">
        <v>1695</v>
      </c>
      <c r="S215" s="13" t="s">
        <v>1614</v>
      </c>
      <c r="T215" s="6">
        <v>1</v>
      </c>
      <c r="U215" s="7" t="s">
        <v>1737</v>
      </c>
      <c r="V215" s="5"/>
      <c r="W215" s="7">
        <v>2</v>
      </c>
      <c r="X215" s="6" t="s">
        <v>3</v>
      </c>
      <c r="Y215" s="5"/>
      <c r="Z215" s="7">
        <v>1</v>
      </c>
      <c r="AA215" s="6"/>
      <c r="AB215" s="5"/>
      <c r="AC215" s="6"/>
      <c r="AD215" s="6" t="s">
        <v>3</v>
      </c>
      <c r="AE215" s="5"/>
      <c r="AF215" s="6">
        <v>0</v>
      </c>
      <c r="AG215" s="6"/>
      <c r="AH215" s="5"/>
      <c r="AI215" s="6"/>
      <c r="AJ215" s="6"/>
      <c r="AK215" s="5"/>
      <c r="AL215" s="5"/>
      <c r="AM215" s="5"/>
      <c r="AN215" s="5"/>
      <c r="AO215" s="5"/>
      <c r="AP215" s="5"/>
      <c r="AQ215" s="5"/>
    </row>
    <row r="216" spans="1:43" s="2" customFormat="1" x14ac:dyDescent="0.25">
      <c r="A216" s="161" t="str">
        <f t="shared" si="3"/>
        <v>ARTIST</v>
      </c>
      <c r="B216" s="9"/>
      <c r="C216" s="5"/>
      <c r="D216" s="5"/>
      <c r="E216" s="5" t="s">
        <v>1312</v>
      </c>
      <c r="F216" s="5" t="s">
        <v>1310</v>
      </c>
      <c r="G216" s="5" t="s">
        <v>2051</v>
      </c>
      <c r="H216" s="5" t="s">
        <v>1473</v>
      </c>
      <c r="I216" s="5" t="s">
        <v>128</v>
      </c>
      <c r="J216" s="6">
        <v>1</v>
      </c>
      <c r="K216" s="6"/>
      <c r="L216" s="13" t="s">
        <v>1710</v>
      </c>
      <c r="M216" s="8"/>
      <c r="N216" s="5"/>
      <c r="O216" s="5"/>
      <c r="P216" s="5"/>
      <c r="Q216" s="6">
        <v>1</v>
      </c>
      <c r="R216" s="7" t="s">
        <v>1695</v>
      </c>
      <c r="S216" s="13" t="s">
        <v>1614</v>
      </c>
      <c r="T216" s="6">
        <v>1</v>
      </c>
      <c r="U216" s="7" t="s">
        <v>1737</v>
      </c>
      <c r="V216" s="5"/>
      <c r="W216" s="7">
        <v>2</v>
      </c>
      <c r="X216" s="6" t="s">
        <v>3</v>
      </c>
      <c r="Y216" s="5"/>
      <c r="Z216" s="7">
        <v>0</v>
      </c>
      <c r="AA216" s="6"/>
      <c r="AB216" s="5"/>
      <c r="AC216" s="6"/>
      <c r="AD216" s="6" t="s">
        <v>3</v>
      </c>
      <c r="AE216" s="5"/>
      <c r="AF216" s="6">
        <v>0</v>
      </c>
      <c r="AG216" s="6"/>
      <c r="AH216" s="5"/>
      <c r="AI216" s="6"/>
      <c r="AJ216" s="6"/>
      <c r="AK216" s="5"/>
      <c r="AL216" s="5"/>
      <c r="AM216" s="5"/>
      <c r="AN216" s="5"/>
      <c r="AO216" s="5"/>
      <c r="AP216" s="5"/>
      <c r="AQ216" s="5"/>
    </row>
    <row r="217" spans="1:43" s="2" customFormat="1" x14ac:dyDescent="0.25">
      <c r="A217" s="161" t="str">
        <f t="shared" si="3"/>
        <v>ARTIST</v>
      </c>
      <c r="B217" s="9"/>
      <c r="C217" s="5"/>
      <c r="D217" s="5"/>
      <c r="E217" s="5" t="s">
        <v>1312</v>
      </c>
      <c r="F217" s="5" t="s">
        <v>1310</v>
      </c>
      <c r="G217" s="5"/>
      <c r="H217" s="5" t="s">
        <v>1471</v>
      </c>
      <c r="I217" s="5" t="s">
        <v>128</v>
      </c>
      <c r="J217" s="6">
        <v>1</v>
      </c>
      <c r="K217" s="6"/>
      <c r="L217" s="13" t="s">
        <v>1710</v>
      </c>
      <c r="M217" s="8"/>
      <c r="N217" s="5"/>
      <c r="O217" s="5"/>
      <c r="P217" s="5"/>
      <c r="Q217" s="6">
        <v>1</v>
      </c>
      <c r="R217" s="7" t="s">
        <v>1695</v>
      </c>
      <c r="S217" s="13" t="s">
        <v>1614</v>
      </c>
      <c r="T217" s="6">
        <v>1</v>
      </c>
      <c r="U217" s="7" t="s">
        <v>1737</v>
      </c>
      <c r="V217" s="5"/>
      <c r="W217" s="7">
        <v>2</v>
      </c>
      <c r="X217" s="6" t="s">
        <v>3</v>
      </c>
      <c r="Y217" s="5"/>
      <c r="Z217" s="7">
        <v>0</v>
      </c>
      <c r="AA217" s="6"/>
      <c r="AB217" s="5"/>
      <c r="AC217" s="6"/>
      <c r="AD217" s="6" t="s">
        <v>3</v>
      </c>
      <c r="AE217" s="5"/>
      <c r="AF217" s="6">
        <v>1</v>
      </c>
      <c r="AG217" s="6"/>
      <c r="AH217" s="5"/>
      <c r="AI217" s="6"/>
      <c r="AJ217" s="6"/>
      <c r="AK217" s="5"/>
      <c r="AL217" s="5"/>
      <c r="AM217" s="5"/>
      <c r="AN217" s="5"/>
      <c r="AO217" s="5"/>
      <c r="AP217" s="5"/>
      <c r="AQ217" s="5"/>
    </row>
    <row r="218" spans="1:43" s="2" customFormat="1" x14ac:dyDescent="0.25">
      <c r="A218" s="161" t="str">
        <f t="shared" si="3"/>
        <v>ARTIST</v>
      </c>
      <c r="B218" s="9"/>
      <c r="C218" s="5"/>
      <c r="D218" s="5"/>
      <c r="E218" s="5" t="s">
        <v>1312</v>
      </c>
      <c r="F218" s="5" t="s">
        <v>1310</v>
      </c>
      <c r="G218" s="5" t="s">
        <v>2052</v>
      </c>
      <c r="H218" s="5" t="s">
        <v>1468</v>
      </c>
      <c r="I218" s="5" t="s">
        <v>128</v>
      </c>
      <c r="J218" s="6">
        <v>1</v>
      </c>
      <c r="K218" s="6"/>
      <c r="L218" s="13" t="s">
        <v>1710</v>
      </c>
      <c r="M218" s="8"/>
      <c r="N218" s="5"/>
      <c r="O218" s="5"/>
      <c r="P218" s="5"/>
      <c r="Q218" s="6">
        <v>1</v>
      </c>
      <c r="R218" s="7" t="s">
        <v>1695</v>
      </c>
      <c r="S218" s="13" t="s">
        <v>1614</v>
      </c>
      <c r="T218" s="6">
        <v>1</v>
      </c>
      <c r="U218" s="7" t="s">
        <v>1737</v>
      </c>
      <c r="V218" s="5"/>
      <c r="W218" s="7">
        <v>2</v>
      </c>
      <c r="X218" s="6" t="s">
        <v>3</v>
      </c>
      <c r="Y218" s="5"/>
      <c r="Z218" s="7">
        <v>0</v>
      </c>
      <c r="AA218" s="6"/>
      <c r="AB218" s="5"/>
      <c r="AC218" s="6"/>
      <c r="AD218" s="6" t="s">
        <v>3</v>
      </c>
      <c r="AE218" s="5"/>
      <c r="AF218" s="6">
        <v>0</v>
      </c>
      <c r="AG218" s="6"/>
      <c r="AH218" s="5"/>
      <c r="AI218" s="6"/>
      <c r="AJ218" s="6"/>
      <c r="AK218" s="5"/>
      <c r="AL218" s="5"/>
      <c r="AM218" s="5"/>
      <c r="AN218" s="5"/>
      <c r="AO218" s="5"/>
      <c r="AP218" s="5"/>
      <c r="AQ218" s="5"/>
    </row>
    <row r="219" spans="1:43" s="2" customFormat="1" x14ac:dyDescent="0.25">
      <c r="A219" s="161" t="str">
        <f t="shared" si="3"/>
        <v>ARTIST</v>
      </c>
      <c r="B219" s="9"/>
      <c r="C219" s="5"/>
      <c r="D219" s="5"/>
      <c r="E219" s="5" t="s">
        <v>1312</v>
      </c>
      <c r="F219" s="5" t="s">
        <v>1310</v>
      </c>
      <c r="G219" s="5" t="s">
        <v>2053</v>
      </c>
      <c r="H219" s="5" t="s">
        <v>1469</v>
      </c>
      <c r="I219" s="5" t="s">
        <v>128</v>
      </c>
      <c r="J219" s="6">
        <v>1</v>
      </c>
      <c r="K219" s="6"/>
      <c r="L219" s="13" t="s">
        <v>1710</v>
      </c>
      <c r="M219" s="8"/>
      <c r="N219" s="5"/>
      <c r="O219" s="5"/>
      <c r="P219" s="5"/>
      <c r="Q219" s="6">
        <v>1</v>
      </c>
      <c r="R219" s="7" t="s">
        <v>1695</v>
      </c>
      <c r="S219" s="13" t="s">
        <v>1614</v>
      </c>
      <c r="T219" s="6">
        <v>1</v>
      </c>
      <c r="U219" s="7" t="s">
        <v>1737</v>
      </c>
      <c r="V219" s="5"/>
      <c r="W219" s="7">
        <v>2</v>
      </c>
      <c r="X219" s="6" t="s">
        <v>3</v>
      </c>
      <c r="Y219" s="5"/>
      <c r="Z219" s="7">
        <v>0</v>
      </c>
      <c r="AA219" s="6"/>
      <c r="AB219" s="5"/>
      <c r="AC219" s="6"/>
      <c r="AD219" s="6" t="s">
        <v>3</v>
      </c>
      <c r="AE219" s="5"/>
      <c r="AF219" s="6">
        <v>0</v>
      </c>
      <c r="AG219" s="6"/>
      <c r="AH219" s="5"/>
      <c r="AI219" s="6"/>
      <c r="AJ219" s="6"/>
      <c r="AK219" s="5"/>
      <c r="AL219" s="5"/>
      <c r="AM219" s="5"/>
      <c r="AN219" s="5"/>
      <c r="AO219" s="5"/>
      <c r="AP219" s="5"/>
      <c r="AQ219" s="5"/>
    </row>
    <row r="220" spans="1:43" s="2" customFormat="1" x14ac:dyDescent="0.25">
      <c r="A220" s="161" t="str">
        <f t="shared" si="3"/>
        <v>ARTIST</v>
      </c>
      <c r="B220" s="9"/>
      <c r="C220" s="5"/>
      <c r="D220" s="5"/>
      <c r="E220" s="5" t="s">
        <v>1312</v>
      </c>
      <c r="F220" s="5" t="s">
        <v>1310</v>
      </c>
      <c r="G220" s="5" t="s">
        <v>2054</v>
      </c>
      <c r="H220" s="5" t="s">
        <v>1470</v>
      </c>
      <c r="I220" s="5" t="s">
        <v>128</v>
      </c>
      <c r="J220" s="6">
        <v>1</v>
      </c>
      <c r="K220" s="6"/>
      <c r="L220" s="13" t="s">
        <v>1710</v>
      </c>
      <c r="M220" s="8"/>
      <c r="N220" s="5"/>
      <c r="O220" s="5"/>
      <c r="P220" s="5"/>
      <c r="Q220" s="6">
        <v>1</v>
      </c>
      <c r="R220" s="7" t="s">
        <v>1695</v>
      </c>
      <c r="S220" s="13" t="s">
        <v>1614</v>
      </c>
      <c r="T220" s="6">
        <v>1</v>
      </c>
      <c r="U220" s="7" t="s">
        <v>1737</v>
      </c>
      <c r="V220" s="5"/>
      <c r="W220" s="7">
        <v>2</v>
      </c>
      <c r="X220" s="6" t="s">
        <v>3</v>
      </c>
      <c r="Y220" s="5"/>
      <c r="Z220" s="7">
        <v>0</v>
      </c>
      <c r="AA220" s="6"/>
      <c r="AB220" s="5"/>
      <c r="AC220" s="6"/>
      <c r="AD220" s="6" t="s">
        <v>3</v>
      </c>
      <c r="AE220" s="5"/>
      <c r="AF220" s="6">
        <v>1</v>
      </c>
      <c r="AG220" s="6"/>
      <c r="AH220" s="5"/>
      <c r="AI220" s="6"/>
      <c r="AJ220" s="6"/>
      <c r="AK220" s="5"/>
      <c r="AL220" s="5"/>
      <c r="AM220" s="5"/>
      <c r="AN220" s="5"/>
      <c r="AO220" s="5"/>
      <c r="AP220" s="5"/>
      <c r="AQ220" s="5"/>
    </row>
    <row r="221" spans="1:43" s="2" customFormat="1" x14ac:dyDescent="0.25">
      <c r="A221" s="161" t="str">
        <f t="shared" si="3"/>
        <v>ARTIST_LATE</v>
      </c>
      <c r="B221" s="9"/>
      <c r="C221" s="5"/>
      <c r="D221" s="5"/>
      <c r="E221" s="5" t="s">
        <v>1318</v>
      </c>
      <c r="F221" s="5" t="s">
        <v>1311</v>
      </c>
      <c r="G221" s="5"/>
      <c r="H221" s="5" t="s">
        <v>1474</v>
      </c>
      <c r="I221" s="5" t="s">
        <v>128</v>
      </c>
      <c r="J221" s="6"/>
      <c r="K221" s="6"/>
      <c r="L221" s="13" t="s">
        <v>1710</v>
      </c>
      <c r="M221" s="8"/>
      <c r="N221" s="5"/>
      <c r="O221" s="5"/>
      <c r="P221" s="5"/>
      <c r="Q221" s="7">
        <v>1</v>
      </c>
      <c r="R221" s="7">
        <v>0.1</v>
      </c>
      <c r="S221" s="13"/>
      <c r="T221" s="7"/>
      <c r="U221" s="7">
        <v>0.08</v>
      </c>
      <c r="V221" s="5"/>
      <c r="W221" s="7"/>
      <c r="X221" s="6" t="s">
        <v>3</v>
      </c>
      <c r="Y221" s="5"/>
      <c r="Z221" s="7"/>
      <c r="AA221" s="6"/>
      <c r="AB221" s="5"/>
      <c r="AC221" s="6"/>
      <c r="AD221" s="6" t="s">
        <v>3</v>
      </c>
      <c r="AE221" s="5"/>
      <c r="AF221" s="7"/>
      <c r="AG221" s="6"/>
      <c r="AH221" s="5"/>
      <c r="AI221" s="7"/>
      <c r="AJ221" s="6"/>
      <c r="AK221" s="5"/>
      <c r="AL221" s="5"/>
      <c r="AM221" s="5"/>
      <c r="AN221" s="5"/>
      <c r="AO221" s="5"/>
      <c r="AP221" s="5"/>
      <c r="AQ221" s="5"/>
    </row>
    <row r="222" spans="1:43" s="2" customFormat="1" x14ac:dyDescent="0.25">
      <c r="A222" s="161" t="str">
        <f t="shared" si="3"/>
        <v>ATOMIC_BOMB</v>
      </c>
      <c r="B222" s="9" t="s">
        <v>747</v>
      </c>
      <c r="C222" s="5"/>
      <c r="D222" s="5"/>
      <c r="E222" s="5" t="s">
        <v>747</v>
      </c>
      <c r="F222" s="5" t="s">
        <v>790</v>
      </c>
      <c r="G222" s="5"/>
      <c r="H222" s="5" t="s">
        <v>1401</v>
      </c>
      <c r="I222" s="5" t="s">
        <v>128</v>
      </c>
      <c r="J222" s="6"/>
      <c r="K222" s="7"/>
      <c r="L222" s="13" t="s">
        <v>1711</v>
      </c>
      <c r="M222" s="8">
        <v>1.5</v>
      </c>
      <c r="N222" s="13" t="s">
        <v>1725</v>
      </c>
      <c r="O222" s="13"/>
      <c r="P222" s="13"/>
      <c r="Q222" s="7">
        <v>1</v>
      </c>
      <c r="R222" s="6">
        <v>7.0000000000000007E-2</v>
      </c>
      <c r="S222" s="5"/>
      <c r="T222" s="7">
        <v>1</v>
      </c>
      <c r="U222" s="7" t="s">
        <v>1737</v>
      </c>
      <c r="V222" s="5"/>
      <c r="W222" s="7"/>
      <c r="X222" s="6" t="s">
        <v>3</v>
      </c>
      <c r="Y222" s="5"/>
      <c r="Z222" s="7"/>
      <c r="AA222" s="6"/>
      <c r="AB222" s="5"/>
      <c r="AC222" s="6"/>
      <c r="AD222" s="6" t="s">
        <v>3</v>
      </c>
      <c r="AE222" s="5"/>
      <c r="AF222" s="7"/>
      <c r="AG222" s="6"/>
      <c r="AH222" s="5"/>
      <c r="AI222" s="7"/>
      <c r="AJ222" s="6"/>
      <c r="AK222" s="5"/>
      <c r="AL222" s="5"/>
      <c r="AM222" s="5"/>
      <c r="AN222" s="5"/>
      <c r="AO222" s="5"/>
      <c r="AP222" s="5"/>
      <c r="AQ222" s="5"/>
    </row>
    <row r="223" spans="1:43" s="2" customFormat="1" x14ac:dyDescent="0.25">
      <c r="A223" s="161" t="str">
        <f t="shared" si="3"/>
        <v>BARBARIAN_ARCHER</v>
      </c>
      <c r="B223" s="9" t="s">
        <v>1306</v>
      </c>
      <c r="C223" s="5"/>
      <c r="D223" s="5"/>
      <c r="E223" s="5" t="s">
        <v>1306</v>
      </c>
      <c r="F223" s="5" t="s">
        <v>1306</v>
      </c>
      <c r="G223" s="5"/>
      <c r="H223" s="5" t="s">
        <v>1402</v>
      </c>
      <c r="I223" s="5" t="s">
        <v>128</v>
      </c>
      <c r="J223" s="6"/>
      <c r="K223" s="6"/>
      <c r="L223" s="13" t="s">
        <v>1708</v>
      </c>
      <c r="M223" s="8"/>
      <c r="N223" s="5"/>
      <c r="O223" s="5"/>
      <c r="P223" s="5"/>
      <c r="Q223" s="6">
        <v>3</v>
      </c>
      <c r="R223" s="6" t="s">
        <v>1737</v>
      </c>
      <c r="S223" s="13" t="s">
        <v>46</v>
      </c>
      <c r="T223" s="6">
        <v>5</v>
      </c>
      <c r="U223" s="6" t="s">
        <v>1737</v>
      </c>
      <c r="V223" s="5"/>
      <c r="W223" s="6">
        <v>5</v>
      </c>
      <c r="X223" s="6" t="s">
        <v>3</v>
      </c>
      <c r="Y223" s="5"/>
      <c r="Z223" s="7">
        <v>1</v>
      </c>
      <c r="AA223" s="6"/>
      <c r="AB223" s="5"/>
      <c r="AC223" s="6"/>
      <c r="AD223" s="6" t="s">
        <v>3</v>
      </c>
      <c r="AE223" s="5"/>
      <c r="AF223" s="6">
        <v>1</v>
      </c>
      <c r="AG223" s="6"/>
      <c r="AH223" s="5"/>
      <c r="AI223" s="6">
        <v>2</v>
      </c>
      <c r="AJ223" s="6"/>
      <c r="AK223" s="5"/>
      <c r="AL223" s="5"/>
      <c r="AM223" s="5"/>
      <c r="AN223" s="5"/>
      <c r="AO223" s="5"/>
      <c r="AP223" s="5"/>
      <c r="AQ223" s="5"/>
    </row>
    <row r="224" spans="1:43" s="2" customFormat="1" x14ac:dyDescent="0.25">
      <c r="A224" s="161" t="str">
        <f t="shared" si="3"/>
        <v>BARBARIAN_ARCHER</v>
      </c>
      <c r="B224" s="9" t="s">
        <v>1306</v>
      </c>
      <c r="C224" s="5"/>
      <c r="D224" s="5"/>
      <c r="E224" s="5" t="s">
        <v>1306</v>
      </c>
      <c r="F224" s="5" t="s">
        <v>1306</v>
      </c>
      <c r="G224" s="5" t="s">
        <v>2047</v>
      </c>
      <c r="H224" s="5" t="s">
        <v>1403</v>
      </c>
      <c r="I224" s="5" t="s">
        <v>128</v>
      </c>
      <c r="J224" s="6"/>
      <c r="K224" s="6"/>
      <c r="L224" s="13" t="s">
        <v>1708</v>
      </c>
      <c r="M224" s="8"/>
      <c r="N224" s="5"/>
      <c r="O224" s="5"/>
      <c r="P224" s="5"/>
      <c r="Q224" s="6">
        <v>6</v>
      </c>
      <c r="R224" s="6" t="s">
        <v>1737</v>
      </c>
      <c r="S224" s="13" t="s">
        <v>46</v>
      </c>
      <c r="T224" s="6">
        <v>7</v>
      </c>
      <c r="U224" s="6" t="s">
        <v>1737</v>
      </c>
      <c r="V224" s="5"/>
      <c r="W224" s="6">
        <v>5</v>
      </c>
      <c r="X224" s="6" t="s">
        <v>3</v>
      </c>
      <c r="Y224" s="5"/>
      <c r="Z224" s="7">
        <v>0</v>
      </c>
      <c r="AA224" s="6"/>
      <c r="AB224" s="5"/>
      <c r="AC224" s="6"/>
      <c r="AD224" s="6" t="s">
        <v>3</v>
      </c>
      <c r="AE224" s="5"/>
      <c r="AF224" s="6">
        <v>1</v>
      </c>
      <c r="AG224" s="6"/>
      <c r="AH224" s="5"/>
      <c r="AI224" s="6">
        <v>3</v>
      </c>
      <c r="AJ224" s="6"/>
      <c r="AK224" s="5"/>
      <c r="AL224" s="5"/>
      <c r="AM224" s="5"/>
      <c r="AN224" s="5"/>
      <c r="AO224" s="5"/>
      <c r="AP224" s="5"/>
      <c r="AQ224" s="5"/>
    </row>
    <row r="225" spans="1:43" s="2" customFormat="1" x14ac:dyDescent="0.25">
      <c r="A225" s="161" t="str">
        <f t="shared" si="3"/>
        <v>BARBARIAN_ARCHER</v>
      </c>
      <c r="B225" s="9" t="s">
        <v>1306</v>
      </c>
      <c r="C225" s="5"/>
      <c r="D225" s="5"/>
      <c r="E225" s="5" t="s">
        <v>1306</v>
      </c>
      <c r="F225" s="5" t="s">
        <v>1306</v>
      </c>
      <c r="G225" s="5" t="s">
        <v>2049</v>
      </c>
      <c r="H225" s="5" t="s">
        <v>1404</v>
      </c>
      <c r="I225" s="5" t="s">
        <v>128</v>
      </c>
      <c r="J225" s="6"/>
      <c r="K225" s="6"/>
      <c r="L225" s="13" t="s">
        <v>1708</v>
      </c>
      <c r="M225" s="8"/>
      <c r="N225" s="5"/>
      <c r="O225" s="5"/>
      <c r="P225" s="5"/>
      <c r="Q225" s="6">
        <v>3</v>
      </c>
      <c r="R225" s="6" t="s">
        <v>1737</v>
      </c>
      <c r="S225" s="13" t="s">
        <v>46</v>
      </c>
      <c r="T225" s="6">
        <v>6</v>
      </c>
      <c r="U225" s="15" t="s">
        <v>1737</v>
      </c>
      <c r="V225" s="5"/>
      <c r="W225" s="6">
        <v>5</v>
      </c>
      <c r="X225" s="6" t="s">
        <v>3</v>
      </c>
      <c r="Y225" s="5"/>
      <c r="Z225" s="7">
        <v>0</v>
      </c>
      <c r="AA225" s="6"/>
      <c r="AB225" s="5"/>
      <c r="AC225" s="6"/>
      <c r="AD225" s="6" t="s">
        <v>3</v>
      </c>
      <c r="AE225" s="5"/>
      <c r="AF225" s="6">
        <v>1</v>
      </c>
      <c r="AG225" s="6"/>
      <c r="AH225" s="5"/>
      <c r="AI225" s="6">
        <v>2</v>
      </c>
      <c r="AJ225" s="6"/>
      <c r="AK225" s="5"/>
      <c r="AL225" s="5"/>
      <c r="AM225" s="5"/>
      <c r="AN225" s="5"/>
      <c r="AO225" s="5"/>
      <c r="AP225" s="5"/>
      <c r="AQ225" s="5"/>
    </row>
    <row r="226" spans="1:43" s="2" customFormat="1" x14ac:dyDescent="0.25">
      <c r="A226" s="161" t="str">
        <f t="shared" si="3"/>
        <v>BARBARIAN_ARCHER</v>
      </c>
      <c r="B226" s="9" t="s">
        <v>1306</v>
      </c>
      <c r="C226" s="5"/>
      <c r="D226" s="5"/>
      <c r="E226" s="5" t="s">
        <v>1306</v>
      </c>
      <c r="F226" s="5" t="s">
        <v>1306</v>
      </c>
      <c r="G226" s="5"/>
      <c r="H226" s="5" t="s">
        <v>1402</v>
      </c>
      <c r="I226" s="5" t="s">
        <v>128</v>
      </c>
      <c r="J226" s="6"/>
      <c r="K226" s="6"/>
      <c r="L226" s="13" t="s">
        <v>1708</v>
      </c>
      <c r="M226" s="8"/>
      <c r="N226" s="5"/>
      <c r="O226" s="5"/>
      <c r="P226" s="5"/>
      <c r="Q226" s="6">
        <v>0</v>
      </c>
      <c r="R226" s="6" t="s">
        <v>1737</v>
      </c>
      <c r="S226" s="13" t="s">
        <v>46</v>
      </c>
      <c r="T226" s="6">
        <v>0</v>
      </c>
      <c r="U226" s="6" t="s">
        <v>1737</v>
      </c>
      <c r="V226" s="5"/>
      <c r="W226" s="7">
        <v>5</v>
      </c>
      <c r="X226" s="6" t="s">
        <v>3</v>
      </c>
      <c r="Y226" s="5"/>
      <c r="Z226" s="7">
        <v>0</v>
      </c>
      <c r="AA226" s="6"/>
      <c r="AB226" s="5"/>
      <c r="AC226" s="6"/>
      <c r="AD226" s="6" t="s">
        <v>3</v>
      </c>
      <c r="AE226" s="5"/>
      <c r="AF226" s="6">
        <v>1</v>
      </c>
      <c r="AG226" s="6"/>
      <c r="AH226" s="5"/>
      <c r="AI226" s="6">
        <v>2</v>
      </c>
      <c r="AJ226" s="6"/>
      <c r="AK226" s="5"/>
      <c r="AL226" s="5"/>
      <c r="AM226" s="5"/>
      <c r="AN226" s="5"/>
      <c r="AO226" s="5"/>
      <c r="AP226" s="5"/>
      <c r="AQ226" s="5"/>
    </row>
    <row r="227" spans="1:43" s="2" customFormat="1" x14ac:dyDescent="0.25">
      <c r="A227" s="161" t="str">
        <f t="shared" si="3"/>
        <v>BARBARIAN_ARCHER</v>
      </c>
      <c r="B227" s="9" t="s">
        <v>1306</v>
      </c>
      <c r="C227" s="5"/>
      <c r="D227" s="5"/>
      <c r="E227" s="5" t="s">
        <v>1306</v>
      </c>
      <c r="F227" s="5" t="s">
        <v>1306</v>
      </c>
      <c r="G227" s="5" t="s">
        <v>2047</v>
      </c>
      <c r="H227" s="5" t="s">
        <v>1403</v>
      </c>
      <c r="I227" s="5" t="s">
        <v>128</v>
      </c>
      <c r="J227" s="6"/>
      <c r="K227" s="6"/>
      <c r="L227" s="13" t="s">
        <v>1708</v>
      </c>
      <c r="M227" s="8"/>
      <c r="N227" s="5"/>
      <c r="O227" s="5"/>
      <c r="P227" s="5"/>
      <c r="Q227" s="6">
        <v>0</v>
      </c>
      <c r="R227" s="6" t="s">
        <v>1737</v>
      </c>
      <c r="S227" s="13" t="s">
        <v>46</v>
      </c>
      <c r="T227" s="6">
        <v>0</v>
      </c>
      <c r="U227" s="6" t="s">
        <v>1737</v>
      </c>
      <c r="V227" s="5"/>
      <c r="W227" s="7">
        <v>5</v>
      </c>
      <c r="X227" s="6" t="s">
        <v>3</v>
      </c>
      <c r="Y227" s="5"/>
      <c r="Z227" s="7">
        <v>0</v>
      </c>
      <c r="AA227" s="6"/>
      <c r="AB227" s="5"/>
      <c r="AC227" s="6"/>
      <c r="AD227" s="6" t="s">
        <v>3</v>
      </c>
      <c r="AE227" s="5"/>
      <c r="AF227" s="6">
        <v>1</v>
      </c>
      <c r="AG227" s="6"/>
      <c r="AH227" s="5"/>
      <c r="AI227" s="6">
        <v>3</v>
      </c>
      <c r="AJ227" s="6"/>
      <c r="AK227" s="5"/>
      <c r="AL227" s="5"/>
      <c r="AM227" s="5"/>
      <c r="AN227" s="5"/>
      <c r="AO227" s="5"/>
      <c r="AP227" s="5"/>
      <c r="AQ227" s="5"/>
    </row>
    <row r="228" spans="1:43" s="2" customFormat="1" x14ac:dyDescent="0.25">
      <c r="A228" s="161" t="str">
        <f t="shared" si="3"/>
        <v>BARBARIAN_ARCHER</v>
      </c>
      <c r="B228" s="9" t="s">
        <v>1306</v>
      </c>
      <c r="C228" s="5"/>
      <c r="D228" s="5"/>
      <c r="E228" s="5" t="s">
        <v>1306</v>
      </c>
      <c r="F228" s="5" t="s">
        <v>1306</v>
      </c>
      <c r="G228" s="5" t="s">
        <v>2049</v>
      </c>
      <c r="H228" s="5" t="s">
        <v>1404</v>
      </c>
      <c r="I228" s="5" t="s">
        <v>128</v>
      </c>
      <c r="J228" s="6"/>
      <c r="K228" s="6"/>
      <c r="L228" s="13" t="s">
        <v>1708</v>
      </c>
      <c r="M228" s="8"/>
      <c r="N228" s="5"/>
      <c r="O228" s="5"/>
      <c r="P228" s="5"/>
      <c r="Q228" s="6">
        <v>0</v>
      </c>
      <c r="R228" s="6" t="s">
        <v>1737</v>
      </c>
      <c r="S228" s="13" t="s">
        <v>46</v>
      </c>
      <c r="T228" s="6">
        <v>0</v>
      </c>
      <c r="U228" s="15" t="s">
        <v>1737</v>
      </c>
      <c r="V228" s="5"/>
      <c r="W228" s="7">
        <v>5</v>
      </c>
      <c r="X228" s="6" t="s">
        <v>3</v>
      </c>
      <c r="Y228" s="5"/>
      <c r="Z228" s="7">
        <v>0</v>
      </c>
      <c r="AA228" s="6"/>
      <c r="AB228" s="5"/>
      <c r="AC228" s="6"/>
      <c r="AD228" s="6" t="s">
        <v>3</v>
      </c>
      <c r="AE228" s="5"/>
      <c r="AF228" s="6">
        <v>1</v>
      </c>
      <c r="AG228" s="6"/>
      <c r="AH228" s="5"/>
      <c r="AI228" s="6">
        <v>2</v>
      </c>
      <c r="AJ228" s="6"/>
      <c r="AK228" s="5"/>
      <c r="AL228" s="5"/>
      <c r="AM228" s="5"/>
      <c r="AN228" s="5"/>
      <c r="AO228" s="5"/>
      <c r="AP228" s="5"/>
      <c r="AQ228" s="5"/>
    </row>
    <row r="229" spans="1:43" s="2" customFormat="1" x14ac:dyDescent="0.25">
      <c r="A229" s="161" t="str">
        <f t="shared" si="3"/>
        <v>BARBARIAN_BRUTE</v>
      </c>
      <c r="B229" s="9" t="s">
        <v>2329</v>
      </c>
      <c r="C229" s="5"/>
      <c r="D229" s="5"/>
      <c r="E229" s="5" t="s">
        <v>2120</v>
      </c>
      <c r="F229" s="5" t="s">
        <v>2120</v>
      </c>
      <c r="G229" s="5"/>
      <c r="H229" s="5" t="s">
        <v>1405</v>
      </c>
      <c r="I229" s="5" t="s">
        <v>128</v>
      </c>
      <c r="J229" s="6"/>
      <c r="K229" s="6"/>
      <c r="L229" s="13" t="s">
        <v>1718</v>
      </c>
      <c r="M229" s="8"/>
      <c r="N229" s="5"/>
      <c r="O229" s="5"/>
      <c r="P229" s="5"/>
      <c r="Q229" s="6">
        <v>2</v>
      </c>
      <c r="R229" s="6" t="s">
        <v>1737</v>
      </c>
      <c r="S229" s="13" t="s">
        <v>46</v>
      </c>
      <c r="T229" s="6">
        <v>5</v>
      </c>
      <c r="U229" s="7" t="s">
        <v>1737</v>
      </c>
      <c r="V229" s="5"/>
      <c r="W229" s="7">
        <v>5</v>
      </c>
      <c r="X229" s="6" t="s">
        <v>3</v>
      </c>
      <c r="Y229" s="5"/>
      <c r="Z229" s="7">
        <v>1</v>
      </c>
      <c r="AA229" s="6"/>
      <c r="AB229" s="5"/>
      <c r="AC229" s="6"/>
      <c r="AD229" s="6" t="s">
        <v>3</v>
      </c>
      <c r="AE229" s="5"/>
      <c r="AF229" s="6">
        <v>1</v>
      </c>
      <c r="AG229" s="6"/>
      <c r="AH229" s="5"/>
      <c r="AI229" s="6">
        <v>1</v>
      </c>
      <c r="AJ229" s="6"/>
      <c r="AK229" s="5"/>
      <c r="AL229" s="5"/>
      <c r="AM229" s="5"/>
      <c r="AN229" s="5"/>
      <c r="AO229" s="5"/>
      <c r="AP229" s="5"/>
      <c r="AQ229" s="5"/>
    </row>
    <row r="230" spans="1:43" s="2" customFormat="1" x14ac:dyDescent="0.25">
      <c r="A230" s="161" t="str">
        <f t="shared" si="3"/>
        <v>BARBARIAN_BRUTE</v>
      </c>
      <c r="B230" s="9" t="s">
        <v>2329</v>
      </c>
      <c r="C230" s="5"/>
      <c r="D230" s="5"/>
      <c r="E230" s="5" t="s">
        <v>2120</v>
      </c>
      <c r="F230" s="5" t="s">
        <v>2120</v>
      </c>
      <c r="G230" s="5" t="s">
        <v>2047</v>
      </c>
      <c r="H230" s="5" t="s">
        <v>1406</v>
      </c>
      <c r="I230" s="5" t="s">
        <v>128</v>
      </c>
      <c r="J230" s="6"/>
      <c r="K230" s="6"/>
      <c r="L230" s="13" t="s">
        <v>1718</v>
      </c>
      <c r="M230" s="8"/>
      <c r="N230" s="5"/>
      <c r="O230" s="5"/>
      <c r="P230" s="5"/>
      <c r="Q230" s="6">
        <v>4</v>
      </c>
      <c r="R230" s="6" t="s">
        <v>1737</v>
      </c>
      <c r="S230" s="13" t="s">
        <v>46</v>
      </c>
      <c r="T230" s="6">
        <v>7</v>
      </c>
      <c r="U230" s="7" t="s">
        <v>1737</v>
      </c>
      <c r="V230" s="5"/>
      <c r="W230" s="7">
        <v>5</v>
      </c>
      <c r="X230" s="6" t="s">
        <v>3</v>
      </c>
      <c r="Y230" s="5"/>
      <c r="Z230" s="7">
        <v>0</v>
      </c>
      <c r="AA230" s="6"/>
      <c r="AB230" s="5"/>
      <c r="AC230" s="6"/>
      <c r="AD230" s="6" t="s">
        <v>3</v>
      </c>
      <c r="AE230" s="5"/>
      <c r="AF230" s="6">
        <v>1</v>
      </c>
      <c r="AG230" s="6"/>
      <c r="AH230" s="5"/>
      <c r="AI230" s="6">
        <v>2</v>
      </c>
      <c r="AJ230" s="6"/>
      <c r="AK230" s="5"/>
      <c r="AL230" s="5"/>
      <c r="AM230" s="5"/>
      <c r="AN230" s="5"/>
      <c r="AO230" s="5"/>
      <c r="AP230" s="5"/>
      <c r="AQ230" s="5"/>
    </row>
    <row r="231" spans="1:43" s="2" customFormat="1" x14ac:dyDescent="0.25">
      <c r="A231" s="161" t="str">
        <f t="shared" si="3"/>
        <v>BARBARIAN_BRUTE</v>
      </c>
      <c r="B231" s="9" t="s">
        <v>2329</v>
      </c>
      <c r="C231" s="5"/>
      <c r="D231" s="5"/>
      <c r="E231" s="5" t="s">
        <v>2120</v>
      </c>
      <c r="F231" s="5" t="s">
        <v>2120</v>
      </c>
      <c r="G231" s="5" t="s">
        <v>2049</v>
      </c>
      <c r="H231" s="5" t="s">
        <v>1407</v>
      </c>
      <c r="I231" s="5" t="s">
        <v>128</v>
      </c>
      <c r="J231" s="6"/>
      <c r="K231" s="6"/>
      <c r="L231" s="13" t="s">
        <v>1718</v>
      </c>
      <c r="M231" s="8"/>
      <c r="N231" s="5"/>
      <c r="O231" s="5"/>
      <c r="P231" s="5"/>
      <c r="Q231" s="6">
        <v>4</v>
      </c>
      <c r="R231" s="6" t="s">
        <v>1737</v>
      </c>
      <c r="S231" s="13" t="s">
        <v>46</v>
      </c>
      <c r="T231" s="6">
        <v>6</v>
      </c>
      <c r="U231" s="7" t="s">
        <v>1737</v>
      </c>
      <c r="V231" s="5"/>
      <c r="W231" s="7">
        <v>5</v>
      </c>
      <c r="X231" s="6" t="s">
        <v>3</v>
      </c>
      <c r="Y231" s="5"/>
      <c r="Z231" s="7">
        <v>0</v>
      </c>
      <c r="AA231" s="6"/>
      <c r="AB231" s="5"/>
      <c r="AC231" s="6"/>
      <c r="AD231" s="6" t="s">
        <v>3</v>
      </c>
      <c r="AE231" s="5"/>
      <c r="AF231" s="6">
        <v>1</v>
      </c>
      <c r="AG231" s="6"/>
      <c r="AH231" s="5"/>
      <c r="AI231" s="6">
        <v>2</v>
      </c>
      <c r="AJ231" s="6"/>
      <c r="AK231" s="5"/>
      <c r="AL231" s="5"/>
      <c r="AM231" s="5"/>
      <c r="AN231" s="5"/>
      <c r="AO231" s="5"/>
      <c r="AP231" s="5"/>
      <c r="AQ231" s="5"/>
    </row>
    <row r="232" spans="1:43" s="2" customFormat="1" x14ac:dyDescent="0.25">
      <c r="A232" s="161" t="str">
        <f t="shared" si="3"/>
        <v>BARBARIAN_BRUTE</v>
      </c>
      <c r="B232" s="9" t="s">
        <v>2329</v>
      </c>
      <c r="C232" s="5"/>
      <c r="D232" s="5"/>
      <c r="E232" s="5" t="s">
        <v>2120</v>
      </c>
      <c r="F232" s="5" t="s">
        <v>2120</v>
      </c>
      <c r="G232" s="5"/>
      <c r="H232" s="5" t="s">
        <v>1405</v>
      </c>
      <c r="I232" s="5" t="s">
        <v>128</v>
      </c>
      <c r="J232" s="6"/>
      <c r="K232" s="6"/>
      <c r="L232" s="13" t="s">
        <v>1718</v>
      </c>
      <c r="M232" s="8"/>
      <c r="N232" s="5"/>
      <c r="O232" s="5"/>
      <c r="P232" s="5"/>
      <c r="Q232" s="6">
        <v>0</v>
      </c>
      <c r="R232" s="6" t="s">
        <v>1737</v>
      </c>
      <c r="S232" s="13" t="s">
        <v>46</v>
      </c>
      <c r="T232" s="6">
        <v>0</v>
      </c>
      <c r="U232" s="7" t="s">
        <v>1737</v>
      </c>
      <c r="V232" s="5"/>
      <c r="W232" s="7">
        <v>5</v>
      </c>
      <c r="X232" s="6" t="s">
        <v>3</v>
      </c>
      <c r="Y232" s="5"/>
      <c r="Z232" s="7">
        <v>0</v>
      </c>
      <c r="AA232" s="6"/>
      <c r="AB232" s="5"/>
      <c r="AC232" s="6"/>
      <c r="AD232" s="6" t="s">
        <v>3</v>
      </c>
      <c r="AE232" s="5"/>
      <c r="AF232" s="6">
        <v>1</v>
      </c>
      <c r="AG232" s="6"/>
      <c r="AH232" s="5"/>
      <c r="AI232" s="6">
        <v>1</v>
      </c>
      <c r="AJ232" s="6"/>
      <c r="AK232" s="5"/>
      <c r="AL232" s="5"/>
      <c r="AM232" s="5"/>
      <c r="AN232" s="5"/>
      <c r="AO232" s="5"/>
      <c r="AP232" s="5"/>
      <c r="AQ232" s="5"/>
    </row>
    <row r="233" spans="1:43" s="2" customFormat="1" x14ac:dyDescent="0.25">
      <c r="A233" s="161" t="str">
        <f t="shared" si="3"/>
        <v>BARBARIAN_BRUTE</v>
      </c>
      <c r="B233" s="9" t="s">
        <v>2329</v>
      </c>
      <c r="C233" s="5"/>
      <c r="D233" s="5"/>
      <c r="E233" s="5" t="s">
        <v>2120</v>
      </c>
      <c r="F233" s="5" t="s">
        <v>2120</v>
      </c>
      <c r="G233" s="5" t="s">
        <v>2047</v>
      </c>
      <c r="H233" s="5" t="s">
        <v>1406</v>
      </c>
      <c r="I233" s="5" t="s">
        <v>128</v>
      </c>
      <c r="J233" s="6"/>
      <c r="K233" s="6"/>
      <c r="L233" s="13" t="s">
        <v>1718</v>
      </c>
      <c r="M233" s="8"/>
      <c r="N233" s="5"/>
      <c r="O233" s="5"/>
      <c r="P233" s="5"/>
      <c r="Q233" s="6">
        <v>0</v>
      </c>
      <c r="R233" s="6" t="s">
        <v>1737</v>
      </c>
      <c r="S233" s="13" t="s">
        <v>46</v>
      </c>
      <c r="T233" s="6">
        <v>0</v>
      </c>
      <c r="U233" s="7" t="s">
        <v>1737</v>
      </c>
      <c r="V233" s="5"/>
      <c r="W233" s="7">
        <v>5</v>
      </c>
      <c r="X233" s="6" t="s">
        <v>3</v>
      </c>
      <c r="Y233" s="5"/>
      <c r="Z233" s="7">
        <v>0</v>
      </c>
      <c r="AA233" s="6"/>
      <c r="AB233" s="5"/>
      <c r="AC233" s="6"/>
      <c r="AD233" s="6" t="s">
        <v>3</v>
      </c>
      <c r="AE233" s="5"/>
      <c r="AF233" s="6">
        <v>1</v>
      </c>
      <c r="AG233" s="6"/>
      <c r="AH233" s="5"/>
      <c r="AI233" s="6">
        <v>2</v>
      </c>
      <c r="AJ233" s="6"/>
      <c r="AK233" s="5"/>
      <c r="AL233" s="5"/>
      <c r="AM233" s="5"/>
      <c r="AN233" s="5"/>
      <c r="AO233" s="5"/>
      <c r="AP233" s="5"/>
      <c r="AQ233" s="5"/>
    </row>
    <row r="234" spans="1:43" s="2" customFormat="1" x14ac:dyDescent="0.25">
      <c r="A234" s="161" t="str">
        <f t="shared" si="3"/>
        <v>BARBARIAN_BRUTE</v>
      </c>
      <c r="B234" s="9" t="s">
        <v>2329</v>
      </c>
      <c r="C234" s="5"/>
      <c r="D234" s="5"/>
      <c r="E234" s="5" t="s">
        <v>2120</v>
      </c>
      <c r="F234" s="5" t="s">
        <v>2120</v>
      </c>
      <c r="G234" s="5" t="s">
        <v>2049</v>
      </c>
      <c r="H234" s="5" t="s">
        <v>1407</v>
      </c>
      <c r="I234" s="5" t="s">
        <v>128</v>
      </c>
      <c r="J234" s="6"/>
      <c r="K234" s="6"/>
      <c r="L234" s="13" t="s">
        <v>1718</v>
      </c>
      <c r="M234" s="8"/>
      <c r="N234" s="5"/>
      <c r="O234" s="5"/>
      <c r="P234" s="5"/>
      <c r="Q234" s="6">
        <v>0</v>
      </c>
      <c r="R234" s="6" t="s">
        <v>1737</v>
      </c>
      <c r="S234" s="13" t="s">
        <v>46</v>
      </c>
      <c r="T234" s="6">
        <v>0</v>
      </c>
      <c r="U234" s="7" t="s">
        <v>1737</v>
      </c>
      <c r="V234" s="5"/>
      <c r="W234" s="7">
        <v>5</v>
      </c>
      <c r="X234" s="6" t="s">
        <v>3</v>
      </c>
      <c r="Y234" s="5"/>
      <c r="Z234" s="7">
        <v>0</v>
      </c>
      <c r="AA234" s="6"/>
      <c r="AB234" s="5"/>
      <c r="AC234" s="6"/>
      <c r="AD234" s="6" t="s">
        <v>3</v>
      </c>
      <c r="AE234" s="5"/>
      <c r="AF234" s="6">
        <v>1</v>
      </c>
      <c r="AG234" s="6"/>
      <c r="AH234" s="5"/>
      <c r="AI234" s="6">
        <v>2</v>
      </c>
      <c r="AJ234" s="6"/>
      <c r="AK234" s="5"/>
      <c r="AL234" s="5"/>
      <c r="AM234" s="5"/>
      <c r="AN234" s="5"/>
      <c r="AO234" s="5"/>
      <c r="AP234" s="5"/>
      <c r="AQ234" s="5"/>
    </row>
    <row r="235" spans="1:43" s="2" customFormat="1" x14ac:dyDescent="0.25">
      <c r="A235" s="161" t="str">
        <f t="shared" si="3"/>
        <v>BARBARIAN_GALLEY</v>
      </c>
      <c r="B235" s="9" t="s">
        <v>784</v>
      </c>
      <c r="C235" s="5"/>
      <c r="D235" s="5"/>
      <c r="E235" s="5" t="s">
        <v>1307</v>
      </c>
      <c r="F235" s="5" t="s">
        <v>1307</v>
      </c>
      <c r="G235" s="5"/>
      <c r="H235" s="5" t="s">
        <v>1408</v>
      </c>
      <c r="I235" s="5" t="s">
        <v>128</v>
      </c>
      <c r="J235" s="6"/>
      <c r="K235" s="7"/>
      <c r="L235" s="13" t="s">
        <v>1712</v>
      </c>
      <c r="M235" s="8"/>
      <c r="N235" s="13" t="s">
        <v>1727</v>
      </c>
      <c r="O235" s="13"/>
      <c r="P235" s="13"/>
      <c r="Q235" s="7">
        <v>1</v>
      </c>
      <c r="R235" s="6">
        <v>0.09</v>
      </c>
      <c r="S235" s="13"/>
      <c r="T235" s="7">
        <v>3</v>
      </c>
      <c r="U235" s="6">
        <v>0.06</v>
      </c>
      <c r="V235" s="5" t="s">
        <v>1696</v>
      </c>
      <c r="W235" s="6"/>
      <c r="X235" s="6"/>
      <c r="Y235" s="5"/>
      <c r="Z235" s="6"/>
      <c r="AA235" s="6"/>
      <c r="AB235" s="5"/>
      <c r="AC235" s="6"/>
      <c r="AD235" s="6"/>
      <c r="AE235" s="5"/>
      <c r="AF235" s="6"/>
      <c r="AG235" s="6"/>
      <c r="AH235" s="5"/>
      <c r="AI235" s="6"/>
      <c r="AJ235" s="6"/>
      <c r="AK235" s="5"/>
      <c r="AL235" s="5"/>
      <c r="AM235" s="5"/>
      <c r="AN235" s="5"/>
      <c r="AO235" s="5"/>
      <c r="AP235" s="5"/>
      <c r="AQ235" s="5"/>
    </row>
    <row r="236" spans="1:43" s="2" customFormat="1" x14ac:dyDescent="0.25">
      <c r="A236" s="161" t="str">
        <f t="shared" si="3"/>
        <v>BARBARIAN_SPEARMAN</v>
      </c>
      <c r="B236" s="9" t="s">
        <v>1308</v>
      </c>
      <c r="C236" s="5"/>
      <c r="D236" s="5"/>
      <c r="E236" s="5" t="s">
        <v>1308</v>
      </c>
      <c r="F236" s="5" t="s">
        <v>1308</v>
      </c>
      <c r="G236" s="5"/>
      <c r="H236" s="5" t="s">
        <v>1409</v>
      </c>
      <c r="I236" s="5" t="s">
        <v>128</v>
      </c>
      <c r="J236" s="6"/>
      <c r="K236" s="6"/>
      <c r="L236" s="13" t="s">
        <v>1708</v>
      </c>
      <c r="M236" s="8"/>
      <c r="N236" s="5"/>
      <c r="O236" s="5"/>
      <c r="P236" s="5"/>
      <c r="Q236" s="6">
        <v>4</v>
      </c>
      <c r="R236" s="6" t="s">
        <v>1737</v>
      </c>
      <c r="S236" s="13" t="s">
        <v>46</v>
      </c>
      <c r="T236" s="6">
        <v>6</v>
      </c>
      <c r="U236" s="7" t="s">
        <v>1737</v>
      </c>
      <c r="V236" s="5"/>
      <c r="W236" s="7">
        <v>5</v>
      </c>
      <c r="X236" s="6" t="s">
        <v>3</v>
      </c>
      <c r="Y236" s="5"/>
      <c r="Z236" s="7">
        <v>1</v>
      </c>
      <c r="AA236" s="6"/>
      <c r="AB236" s="5"/>
      <c r="AC236" s="6"/>
      <c r="AD236" s="6" t="s">
        <v>3</v>
      </c>
      <c r="AE236" s="5"/>
      <c r="AF236" s="6">
        <v>1</v>
      </c>
      <c r="AG236" s="6"/>
      <c r="AH236" s="5"/>
      <c r="AI236" s="6">
        <v>2</v>
      </c>
      <c r="AJ236" s="6"/>
      <c r="AK236" s="5"/>
      <c r="AL236" s="5"/>
      <c r="AM236" s="5"/>
      <c r="AN236" s="5"/>
      <c r="AO236" s="5"/>
      <c r="AP236" s="5"/>
      <c r="AQ236" s="5"/>
    </row>
    <row r="237" spans="1:43" s="2" customFormat="1" x14ac:dyDescent="0.25">
      <c r="A237" s="161" t="str">
        <f t="shared" si="3"/>
        <v>BARBARIAN_SPEARMAN</v>
      </c>
      <c r="B237" s="9" t="s">
        <v>1308</v>
      </c>
      <c r="C237" s="5"/>
      <c r="D237" s="5"/>
      <c r="E237" s="5" t="s">
        <v>1308</v>
      </c>
      <c r="F237" s="5" t="s">
        <v>1308</v>
      </c>
      <c r="G237" s="5" t="s">
        <v>2047</v>
      </c>
      <c r="H237" s="5" t="s">
        <v>1410</v>
      </c>
      <c r="I237" s="5" t="s">
        <v>128</v>
      </c>
      <c r="J237" s="6"/>
      <c r="K237" s="6"/>
      <c r="L237" s="13" t="s">
        <v>1708</v>
      </c>
      <c r="M237" s="8"/>
      <c r="N237" s="5"/>
      <c r="O237" s="5"/>
      <c r="P237" s="5"/>
      <c r="Q237" s="6">
        <v>5</v>
      </c>
      <c r="R237" s="6" t="s">
        <v>1737</v>
      </c>
      <c r="S237" s="13" t="s">
        <v>46</v>
      </c>
      <c r="T237" s="6">
        <v>7</v>
      </c>
      <c r="U237" s="7" t="s">
        <v>1737</v>
      </c>
      <c r="V237" s="5"/>
      <c r="W237" s="7">
        <v>5</v>
      </c>
      <c r="X237" s="6" t="s">
        <v>3</v>
      </c>
      <c r="Y237" s="5"/>
      <c r="Z237" s="7">
        <v>0</v>
      </c>
      <c r="AA237" s="6"/>
      <c r="AB237" s="5"/>
      <c r="AC237" s="6"/>
      <c r="AD237" s="6" t="s">
        <v>3</v>
      </c>
      <c r="AE237" s="5"/>
      <c r="AF237" s="6">
        <v>1</v>
      </c>
      <c r="AG237" s="6"/>
      <c r="AH237" s="5"/>
      <c r="AI237" s="6">
        <v>3</v>
      </c>
      <c r="AJ237" s="6"/>
      <c r="AK237" s="5"/>
      <c r="AL237" s="5"/>
      <c r="AM237" s="5"/>
      <c r="AN237" s="5"/>
      <c r="AO237" s="5"/>
      <c r="AP237" s="5"/>
      <c r="AQ237" s="5"/>
    </row>
    <row r="238" spans="1:43" s="2" customFormat="1" x14ac:dyDescent="0.25">
      <c r="A238" s="161" t="str">
        <f t="shared" si="3"/>
        <v>BARBARIAN_SPEARMAN</v>
      </c>
      <c r="B238" s="9" t="s">
        <v>1308</v>
      </c>
      <c r="C238" s="5"/>
      <c r="D238" s="5"/>
      <c r="E238" s="5" t="s">
        <v>1308</v>
      </c>
      <c r="F238" s="5" t="s">
        <v>1308</v>
      </c>
      <c r="G238" s="5" t="s">
        <v>2049</v>
      </c>
      <c r="H238" s="5" t="s">
        <v>1411</v>
      </c>
      <c r="I238" s="5" t="s">
        <v>128</v>
      </c>
      <c r="J238" s="6"/>
      <c r="K238" s="6"/>
      <c r="L238" s="13" t="s">
        <v>1708</v>
      </c>
      <c r="M238" s="8"/>
      <c r="N238" s="5"/>
      <c r="O238" s="5"/>
      <c r="P238" s="5"/>
      <c r="Q238" s="6">
        <v>3</v>
      </c>
      <c r="R238" s="6" t="s">
        <v>1737</v>
      </c>
      <c r="S238" s="13" t="s">
        <v>46</v>
      </c>
      <c r="T238" s="6">
        <v>5</v>
      </c>
      <c r="U238" s="7" t="s">
        <v>1737</v>
      </c>
      <c r="V238" s="5"/>
      <c r="W238" s="7">
        <v>5</v>
      </c>
      <c r="X238" s="6" t="s">
        <v>3</v>
      </c>
      <c r="Y238" s="5"/>
      <c r="Z238" s="7">
        <v>0</v>
      </c>
      <c r="AA238" s="6"/>
      <c r="AB238" s="5"/>
      <c r="AC238" s="6"/>
      <c r="AD238" s="6" t="s">
        <v>3</v>
      </c>
      <c r="AE238" s="5"/>
      <c r="AF238" s="6">
        <v>1</v>
      </c>
      <c r="AG238" s="6"/>
      <c r="AH238" s="5"/>
      <c r="AI238" s="6">
        <v>2</v>
      </c>
      <c r="AJ238" s="6"/>
      <c r="AK238" s="5"/>
      <c r="AL238" s="5"/>
      <c r="AM238" s="5"/>
      <c r="AN238" s="5"/>
      <c r="AO238" s="5"/>
      <c r="AP238" s="5"/>
      <c r="AQ238" s="5"/>
    </row>
    <row r="239" spans="1:43" s="2" customFormat="1" x14ac:dyDescent="0.25">
      <c r="A239" s="161" t="str">
        <f t="shared" si="3"/>
        <v>BARBARIAN_SPEARMAN</v>
      </c>
      <c r="B239" s="9" t="s">
        <v>1308</v>
      </c>
      <c r="C239" s="5"/>
      <c r="D239" s="5"/>
      <c r="E239" s="5" t="s">
        <v>1308</v>
      </c>
      <c r="F239" s="5" t="s">
        <v>1308</v>
      </c>
      <c r="G239" s="5"/>
      <c r="H239" s="5" t="s">
        <v>1409</v>
      </c>
      <c r="I239" s="5" t="s">
        <v>128</v>
      </c>
      <c r="J239" s="6"/>
      <c r="K239" s="6"/>
      <c r="L239" s="13" t="s">
        <v>1708</v>
      </c>
      <c r="M239" s="8"/>
      <c r="N239" s="5"/>
      <c r="O239" s="5"/>
      <c r="P239" s="5"/>
      <c r="Q239" s="6">
        <v>0</v>
      </c>
      <c r="R239" s="6" t="s">
        <v>1737</v>
      </c>
      <c r="S239" s="13" t="s">
        <v>46</v>
      </c>
      <c r="T239" s="6">
        <v>0</v>
      </c>
      <c r="U239" s="7" t="s">
        <v>1737</v>
      </c>
      <c r="V239" s="5"/>
      <c r="W239" s="7">
        <v>5</v>
      </c>
      <c r="X239" s="6" t="s">
        <v>3</v>
      </c>
      <c r="Y239" s="5"/>
      <c r="Z239" s="7">
        <v>0</v>
      </c>
      <c r="AA239" s="6"/>
      <c r="AB239" s="5"/>
      <c r="AC239" s="6"/>
      <c r="AD239" s="6" t="s">
        <v>3</v>
      </c>
      <c r="AE239" s="5"/>
      <c r="AF239" s="6">
        <v>1</v>
      </c>
      <c r="AG239" s="6"/>
      <c r="AH239" s="5"/>
      <c r="AI239" s="6">
        <v>2</v>
      </c>
      <c r="AJ239" s="6"/>
      <c r="AK239" s="5"/>
      <c r="AL239" s="5"/>
      <c r="AM239" s="5"/>
      <c r="AN239" s="5"/>
      <c r="AO239" s="5"/>
      <c r="AP239" s="5"/>
      <c r="AQ239" s="5"/>
    </row>
    <row r="240" spans="1:43" s="2" customFormat="1" x14ac:dyDescent="0.25">
      <c r="A240" s="161" t="str">
        <f t="shared" si="3"/>
        <v>BARBARIAN_SPEARMAN</v>
      </c>
      <c r="B240" s="9" t="s">
        <v>1308</v>
      </c>
      <c r="C240" s="5"/>
      <c r="D240" s="5"/>
      <c r="E240" s="5" t="s">
        <v>1308</v>
      </c>
      <c r="F240" s="5" t="s">
        <v>1308</v>
      </c>
      <c r="G240" s="5" t="s">
        <v>2047</v>
      </c>
      <c r="H240" s="5" t="s">
        <v>1410</v>
      </c>
      <c r="I240" s="5" t="s">
        <v>128</v>
      </c>
      <c r="J240" s="6"/>
      <c r="K240" s="6"/>
      <c r="L240" s="13" t="s">
        <v>1708</v>
      </c>
      <c r="M240" s="8"/>
      <c r="N240" s="5"/>
      <c r="O240" s="5"/>
      <c r="P240" s="5"/>
      <c r="Q240" s="6">
        <v>0</v>
      </c>
      <c r="R240" s="6" t="s">
        <v>1737</v>
      </c>
      <c r="S240" s="13" t="s">
        <v>46</v>
      </c>
      <c r="T240" s="6">
        <v>0</v>
      </c>
      <c r="U240" s="7" t="s">
        <v>1737</v>
      </c>
      <c r="V240" s="5"/>
      <c r="W240" s="7">
        <v>5</v>
      </c>
      <c r="X240" s="6" t="s">
        <v>3</v>
      </c>
      <c r="Y240" s="5"/>
      <c r="Z240" s="7">
        <v>0</v>
      </c>
      <c r="AA240" s="6"/>
      <c r="AB240" s="5"/>
      <c r="AC240" s="6"/>
      <c r="AD240" s="6" t="s">
        <v>3</v>
      </c>
      <c r="AE240" s="5"/>
      <c r="AF240" s="6">
        <v>1</v>
      </c>
      <c r="AG240" s="6"/>
      <c r="AH240" s="5"/>
      <c r="AI240" s="6">
        <v>3</v>
      </c>
      <c r="AJ240" s="6"/>
      <c r="AK240" s="5"/>
      <c r="AL240" s="5"/>
      <c r="AM240" s="5"/>
      <c r="AN240" s="5"/>
      <c r="AO240" s="5"/>
      <c r="AP240" s="5"/>
      <c r="AQ240" s="5"/>
    </row>
    <row r="241" spans="1:43" s="2" customFormat="1" x14ac:dyDescent="0.25">
      <c r="A241" s="161" t="str">
        <f t="shared" si="3"/>
        <v>BARBARIAN_SPEARMAN</v>
      </c>
      <c r="B241" s="9" t="s">
        <v>1308</v>
      </c>
      <c r="C241" s="5"/>
      <c r="D241" s="5"/>
      <c r="E241" s="5" t="s">
        <v>1308</v>
      </c>
      <c r="F241" s="5" t="s">
        <v>1308</v>
      </c>
      <c r="G241" s="5" t="s">
        <v>2049</v>
      </c>
      <c r="H241" s="5" t="s">
        <v>1411</v>
      </c>
      <c r="I241" s="5" t="s">
        <v>128</v>
      </c>
      <c r="J241" s="6"/>
      <c r="K241" s="6"/>
      <c r="L241" s="13" t="s">
        <v>1708</v>
      </c>
      <c r="M241" s="8"/>
      <c r="N241" s="5"/>
      <c r="O241" s="5"/>
      <c r="P241" s="5"/>
      <c r="Q241" s="6">
        <v>0</v>
      </c>
      <c r="R241" s="6" t="s">
        <v>1737</v>
      </c>
      <c r="S241" s="13" t="s">
        <v>46</v>
      </c>
      <c r="T241" s="6">
        <v>0</v>
      </c>
      <c r="U241" s="7" t="s">
        <v>1737</v>
      </c>
      <c r="V241" s="5"/>
      <c r="W241" s="7">
        <v>5</v>
      </c>
      <c r="X241" s="6" t="s">
        <v>3</v>
      </c>
      <c r="Y241" s="5"/>
      <c r="Z241" s="7">
        <v>0</v>
      </c>
      <c r="AA241" s="6"/>
      <c r="AB241" s="5"/>
      <c r="AC241" s="6"/>
      <c r="AD241" s="6" t="s">
        <v>3</v>
      </c>
      <c r="AE241" s="5"/>
      <c r="AF241" s="6">
        <v>1</v>
      </c>
      <c r="AG241" s="6"/>
      <c r="AH241" s="5"/>
      <c r="AI241" s="6">
        <v>2</v>
      </c>
      <c r="AJ241" s="6"/>
      <c r="AK241" s="5"/>
      <c r="AL241" s="5"/>
      <c r="AM241" s="5"/>
      <c r="AN241" s="5"/>
      <c r="AO241" s="5"/>
      <c r="AP241" s="5"/>
      <c r="AQ241" s="5"/>
    </row>
    <row r="242" spans="1:43" s="2" customFormat="1" x14ac:dyDescent="0.25">
      <c r="A242" s="161" t="str">
        <f t="shared" si="3"/>
        <v>BARBARIAN_SWORDSMAN</v>
      </c>
      <c r="B242" s="9" t="s">
        <v>1309</v>
      </c>
      <c r="C242" s="5"/>
      <c r="D242" s="5"/>
      <c r="E242" s="5" t="s">
        <v>1309</v>
      </c>
      <c r="F242" s="5" t="s">
        <v>1309</v>
      </c>
      <c r="G242" s="5"/>
      <c r="H242" s="5" t="s">
        <v>1412</v>
      </c>
      <c r="I242" s="5" t="s">
        <v>128</v>
      </c>
      <c r="J242" s="6"/>
      <c r="K242" s="6"/>
      <c r="L242" s="13" t="s">
        <v>1718</v>
      </c>
      <c r="M242" s="8"/>
      <c r="N242" s="5"/>
      <c r="O242" s="5"/>
      <c r="P242" s="5"/>
      <c r="Q242" s="6">
        <v>3</v>
      </c>
      <c r="R242" s="6" t="s">
        <v>1695</v>
      </c>
      <c r="S242" s="13" t="s">
        <v>46</v>
      </c>
      <c r="T242" s="6">
        <v>6</v>
      </c>
      <c r="U242" s="7" t="s">
        <v>1737</v>
      </c>
      <c r="V242" s="5"/>
      <c r="W242" s="7">
        <v>5</v>
      </c>
      <c r="X242" s="6" t="s">
        <v>3</v>
      </c>
      <c r="Y242" s="5"/>
      <c r="Z242" s="7">
        <v>1</v>
      </c>
      <c r="AA242" s="6"/>
      <c r="AB242" s="5"/>
      <c r="AC242" s="6"/>
      <c r="AD242" s="6" t="s">
        <v>3</v>
      </c>
      <c r="AE242" s="5"/>
      <c r="AF242" s="6">
        <v>1</v>
      </c>
      <c r="AG242" s="6"/>
      <c r="AH242" s="5"/>
      <c r="AI242" s="6">
        <v>2</v>
      </c>
      <c r="AJ242" s="6"/>
      <c r="AK242" s="5"/>
      <c r="AL242" s="5"/>
      <c r="AM242" s="5"/>
      <c r="AN242" s="5"/>
      <c r="AO242" s="5"/>
      <c r="AP242" s="5"/>
      <c r="AQ242" s="5"/>
    </row>
    <row r="243" spans="1:43" s="2" customFormat="1" x14ac:dyDescent="0.25">
      <c r="A243" s="161" t="str">
        <f t="shared" si="3"/>
        <v>BARBARIAN_SWORDSMAN</v>
      </c>
      <c r="B243" s="9" t="s">
        <v>1309</v>
      </c>
      <c r="C243" s="5"/>
      <c r="D243" s="5"/>
      <c r="E243" s="5" t="s">
        <v>1309</v>
      </c>
      <c r="F243" s="5" t="s">
        <v>1309</v>
      </c>
      <c r="G243" s="5" t="s">
        <v>2047</v>
      </c>
      <c r="H243" s="5" t="s">
        <v>1413</v>
      </c>
      <c r="I243" s="5" t="s">
        <v>128</v>
      </c>
      <c r="J243" s="6"/>
      <c r="K243" s="6"/>
      <c r="L243" s="13" t="s">
        <v>1718</v>
      </c>
      <c r="M243" s="8"/>
      <c r="N243" s="5"/>
      <c r="O243" s="5"/>
      <c r="P243" s="5"/>
      <c r="Q243" s="6">
        <v>6</v>
      </c>
      <c r="R243" s="6" t="s">
        <v>1695</v>
      </c>
      <c r="S243" s="13" t="s">
        <v>46</v>
      </c>
      <c r="T243" s="6">
        <v>7</v>
      </c>
      <c r="U243" s="7" t="s">
        <v>1737</v>
      </c>
      <c r="V243" s="5"/>
      <c r="W243" s="7">
        <v>5</v>
      </c>
      <c r="X243" s="6" t="s">
        <v>3</v>
      </c>
      <c r="Y243" s="5"/>
      <c r="Z243" s="7">
        <v>0</v>
      </c>
      <c r="AA243" s="6"/>
      <c r="AB243" s="5"/>
      <c r="AC243" s="6"/>
      <c r="AD243" s="6" t="s">
        <v>3</v>
      </c>
      <c r="AE243" s="5"/>
      <c r="AF243" s="6">
        <v>1</v>
      </c>
      <c r="AG243" s="6"/>
      <c r="AH243" s="5"/>
      <c r="AI243" s="6">
        <v>3</v>
      </c>
      <c r="AJ243" s="6"/>
      <c r="AK243" s="5"/>
      <c r="AL243" s="5"/>
      <c r="AM243" s="5"/>
      <c r="AN243" s="5"/>
      <c r="AO243" s="5"/>
      <c r="AP243" s="5"/>
      <c r="AQ243" s="5"/>
    </row>
    <row r="244" spans="1:43" s="2" customFormat="1" x14ac:dyDescent="0.25">
      <c r="A244" s="161" t="str">
        <f t="shared" si="3"/>
        <v>BARBARIAN_SWORDSMAN</v>
      </c>
      <c r="B244" s="9" t="s">
        <v>1309</v>
      </c>
      <c r="C244" s="5"/>
      <c r="D244" s="5"/>
      <c r="E244" s="5" t="s">
        <v>1309</v>
      </c>
      <c r="F244" s="5" t="s">
        <v>1309</v>
      </c>
      <c r="G244" s="5" t="s">
        <v>2049</v>
      </c>
      <c r="H244" s="5" t="s">
        <v>1414</v>
      </c>
      <c r="I244" s="5" t="s">
        <v>128</v>
      </c>
      <c r="J244" s="6"/>
      <c r="K244" s="6"/>
      <c r="L244" s="13" t="s">
        <v>1718</v>
      </c>
      <c r="M244" s="8"/>
      <c r="N244" s="5"/>
      <c r="O244" s="5"/>
      <c r="P244" s="5"/>
      <c r="Q244" s="6">
        <v>3</v>
      </c>
      <c r="R244" s="6" t="s">
        <v>1695</v>
      </c>
      <c r="S244" s="13" t="s">
        <v>46</v>
      </c>
      <c r="T244" s="6">
        <v>5</v>
      </c>
      <c r="U244" s="7" t="s">
        <v>1737</v>
      </c>
      <c r="V244" s="5"/>
      <c r="W244" s="7">
        <v>5</v>
      </c>
      <c r="X244" s="6" t="s">
        <v>3</v>
      </c>
      <c r="Y244" s="5"/>
      <c r="Z244" s="7">
        <v>0</v>
      </c>
      <c r="AA244" s="6"/>
      <c r="AB244" s="5"/>
      <c r="AC244" s="6"/>
      <c r="AD244" s="6" t="s">
        <v>3</v>
      </c>
      <c r="AE244" s="5"/>
      <c r="AF244" s="6">
        <v>1</v>
      </c>
      <c r="AG244" s="6"/>
      <c r="AH244" s="5"/>
      <c r="AI244" s="6">
        <v>2</v>
      </c>
      <c r="AJ244" s="6"/>
      <c r="AK244" s="5"/>
      <c r="AL244" s="5"/>
      <c r="AM244" s="5"/>
      <c r="AN244" s="5"/>
      <c r="AO244" s="5"/>
      <c r="AP244" s="5"/>
      <c r="AQ244" s="5"/>
    </row>
    <row r="245" spans="1:43" s="2" customFormat="1" x14ac:dyDescent="0.25">
      <c r="A245" s="161" t="str">
        <f t="shared" si="3"/>
        <v>BARBARIAN_SWORDSMAN</v>
      </c>
      <c r="B245" s="9" t="s">
        <v>1309</v>
      </c>
      <c r="C245" s="5"/>
      <c r="D245" s="5"/>
      <c r="E245" s="5" t="s">
        <v>1309</v>
      </c>
      <c r="F245" s="5" t="s">
        <v>1309</v>
      </c>
      <c r="G245" s="5"/>
      <c r="H245" s="5" t="s">
        <v>1412</v>
      </c>
      <c r="I245" s="5" t="s">
        <v>128</v>
      </c>
      <c r="J245" s="6"/>
      <c r="K245" s="6"/>
      <c r="L245" s="13" t="s">
        <v>1718</v>
      </c>
      <c r="M245" s="8"/>
      <c r="N245" s="5"/>
      <c r="O245" s="5"/>
      <c r="P245" s="5"/>
      <c r="Q245" s="6">
        <v>0</v>
      </c>
      <c r="R245" s="6" t="s">
        <v>1695</v>
      </c>
      <c r="S245" s="13" t="s">
        <v>46</v>
      </c>
      <c r="T245" s="6">
        <v>0</v>
      </c>
      <c r="U245" s="7" t="s">
        <v>1737</v>
      </c>
      <c r="V245" s="5"/>
      <c r="W245" s="7">
        <v>5</v>
      </c>
      <c r="X245" s="6" t="s">
        <v>3</v>
      </c>
      <c r="Y245" s="5"/>
      <c r="Z245" s="7">
        <v>0</v>
      </c>
      <c r="AA245" s="6"/>
      <c r="AB245" s="5"/>
      <c r="AC245" s="6"/>
      <c r="AD245" s="6" t="s">
        <v>3</v>
      </c>
      <c r="AE245" s="5"/>
      <c r="AF245" s="6">
        <v>1</v>
      </c>
      <c r="AG245" s="6"/>
      <c r="AH245" s="5"/>
      <c r="AI245" s="6">
        <v>2</v>
      </c>
      <c r="AJ245" s="6"/>
      <c r="AK245" s="5"/>
      <c r="AL245" s="5"/>
      <c r="AM245" s="5"/>
      <c r="AN245" s="5"/>
      <c r="AO245" s="5"/>
      <c r="AP245" s="5"/>
      <c r="AQ245" s="5"/>
    </row>
    <row r="246" spans="1:43" s="2" customFormat="1" x14ac:dyDescent="0.25">
      <c r="A246" s="161" t="str">
        <f t="shared" ref="A246:A354" si="4">CONCATENATE(E246,IF(ISBLANK(C246),"",CONCATENATE("_",C246)))</f>
        <v>BARBARIAN_SWORDSMAN</v>
      </c>
      <c r="B246" s="9" t="s">
        <v>1309</v>
      </c>
      <c r="C246" s="5"/>
      <c r="D246" s="5"/>
      <c r="E246" s="5" t="s">
        <v>1309</v>
      </c>
      <c r="F246" s="5" t="s">
        <v>1309</v>
      </c>
      <c r="G246" s="5" t="s">
        <v>2047</v>
      </c>
      <c r="H246" s="5" t="s">
        <v>1413</v>
      </c>
      <c r="I246" s="5" t="s">
        <v>128</v>
      </c>
      <c r="J246" s="6"/>
      <c r="K246" s="6"/>
      <c r="L246" s="13" t="s">
        <v>1718</v>
      </c>
      <c r="M246" s="8"/>
      <c r="N246" s="5"/>
      <c r="O246" s="5"/>
      <c r="P246" s="5"/>
      <c r="Q246" s="6">
        <v>0</v>
      </c>
      <c r="R246" s="6" t="s">
        <v>1695</v>
      </c>
      <c r="S246" s="13" t="s">
        <v>46</v>
      </c>
      <c r="T246" s="6">
        <v>0</v>
      </c>
      <c r="U246" s="7" t="s">
        <v>1737</v>
      </c>
      <c r="V246" s="5"/>
      <c r="W246" s="7">
        <v>5</v>
      </c>
      <c r="X246" s="6" t="s">
        <v>3</v>
      </c>
      <c r="Y246" s="5"/>
      <c r="Z246" s="7">
        <v>0</v>
      </c>
      <c r="AA246" s="6"/>
      <c r="AB246" s="5"/>
      <c r="AC246" s="6"/>
      <c r="AD246" s="6" t="s">
        <v>3</v>
      </c>
      <c r="AE246" s="5"/>
      <c r="AF246" s="6">
        <v>1</v>
      </c>
      <c r="AG246" s="6"/>
      <c r="AH246" s="5"/>
      <c r="AI246" s="6">
        <v>3</v>
      </c>
      <c r="AJ246" s="6"/>
      <c r="AK246" s="5"/>
      <c r="AL246" s="5"/>
      <c r="AM246" s="5"/>
      <c r="AN246" s="5"/>
      <c r="AO246" s="5"/>
      <c r="AP246" s="5"/>
      <c r="AQ246" s="5"/>
    </row>
    <row r="247" spans="1:43" s="2" customFormat="1" x14ac:dyDescent="0.25">
      <c r="A247" s="161" t="str">
        <f t="shared" si="4"/>
        <v>BARBARIAN_SWORDSMAN</v>
      </c>
      <c r="B247" s="9" t="s">
        <v>1309</v>
      </c>
      <c r="C247" s="5"/>
      <c r="D247" s="5"/>
      <c r="E247" s="5" t="s">
        <v>1309</v>
      </c>
      <c r="F247" s="5" t="s">
        <v>1309</v>
      </c>
      <c r="G247" s="5" t="s">
        <v>2049</v>
      </c>
      <c r="H247" s="5" t="s">
        <v>1414</v>
      </c>
      <c r="I247" s="5" t="s">
        <v>128</v>
      </c>
      <c r="J247" s="6"/>
      <c r="K247" s="6"/>
      <c r="L247" s="13" t="s">
        <v>1718</v>
      </c>
      <c r="M247" s="8"/>
      <c r="N247" s="5"/>
      <c r="O247" s="5"/>
      <c r="P247" s="5"/>
      <c r="Q247" s="6">
        <v>0</v>
      </c>
      <c r="R247" s="6" t="s">
        <v>1695</v>
      </c>
      <c r="S247" s="13" t="s">
        <v>46</v>
      </c>
      <c r="T247" s="6">
        <v>0</v>
      </c>
      <c r="U247" s="7" t="s">
        <v>1737</v>
      </c>
      <c r="V247" s="5"/>
      <c r="W247" s="7">
        <v>5</v>
      </c>
      <c r="X247" s="6" t="s">
        <v>3</v>
      </c>
      <c r="Y247" s="5"/>
      <c r="Z247" s="7">
        <v>0</v>
      </c>
      <c r="AA247" s="6"/>
      <c r="AB247" s="5"/>
      <c r="AC247" s="6"/>
      <c r="AD247" s="6" t="s">
        <v>3</v>
      </c>
      <c r="AE247" s="5"/>
      <c r="AF247" s="6">
        <v>1</v>
      </c>
      <c r="AG247" s="6"/>
      <c r="AH247" s="5"/>
      <c r="AI247" s="6">
        <v>2</v>
      </c>
      <c r="AJ247" s="6"/>
      <c r="AK247" s="5"/>
      <c r="AL247" s="5"/>
      <c r="AM247" s="5"/>
      <c r="AN247" s="5"/>
      <c r="AO247" s="5"/>
      <c r="AP247" s="5"/>
      <c r="AQ247" s="5"/>
    </row>
    <row r="248" spans="1:43" s="2" customFormat="1" x14ac:dyDescent="0.25">
      <c r="A248" s="161" t="str">
        <f t="shared" si="4"/>
        <v>BATTLESHIP</v>
      </c>
      <c r="B248" s="9" t="s">
        <v>126</v>
      </c>
      <c r="C248" s="5"/>
      <c r="D248" s="5"/>
      <c r="E248" s="5" t="s">
        <v>126</v>
      </c>
      <c r="F248" s="5" t="s">
        <v>126</v>
      </c>
      <c r="G248" s="5"/>
      <c r="H248" s="5" t="s">
        <v>1499</v>
      </c>
      <c r="I248" s="5" t="s">
        <v>102</v>
      </c>
      <c r="J248" s="6"/>
      <c r="K248" s="7"/>
      <c r="L248" s="13" t="s">
        <v>1713</v>
      </c>
      <c r="M248" s="8"/>
      <c r="N248" s="13" t="s">
        <v>1727</v>
      </c>
      <c r="O248" s="13"/>
      <c r="P248" s="13"/>
      <c r="Q248" s="7">
        <v>1</v>
      </c>
      <c r="R248" s="6">
        <v>0.09</v>
      </c>
      <c r="S248" s="5"/>
      <c r="T248" s="6"/>
      <c r="U248" s="6">
        <v>0.105</v>
      </c>
      <c r="V248" s="5"/>
      <c r="W248" s="6"/>
      <c r="X248" s="6"/>
      <c r="Y248" s="5"/>
      <c r="Z248" s="6"/>
      <c r="AA248" s="6"/>
      <c r="AB248" s="5"/>
      <c r="AC248" s="6"/>
      <c r="AD248" s="6"/>
      <c r="AE248" s="5"/>
      <c r="AF248" s="6"/>
      <c r="AG248" s="6"/>
      <c r="AH248" s="5"/>
      <c r="AI248" s="6"/>
      <c r="AJ248" s="6"/>
      <c r="AK248" s="5"/>
      <c r="AL248" s="5"/>
      <c r="AM248" s="5"/>
      <c r="AN248" s="5"/>
      <c r="AO248" s="5"/>
      <c r="AP248" s="5"/>
      <c r="AQ248" s="5"/>
    </row>
    <row r="249" spans="1:43" s="2" customFormat="1" x14ac:dyDescent="0.25">
      <c r="A249" s="161" t="str">
        <f t="shared" si="4"/>
        <v>BATTLESHIP_AMER</v>
      </c>
      <c r="B249" s="9" t="s">
        <v>126</v>
      </c>
      <c r="C249" s="5" t="s">
        <v>697</v>
      </c>
      <c r="D249" s="5" t="s">
        <v>699</v>
      </c>
      <c r="E249" s="5" t="s">
        <v>126</v>
      </c>
      <c r="F249" s="5" t="s">
        <v>126</v>
      </c>
      <c r="G249" s="5"/>
      <c r="H249" s="5"/>
      <c r="I249" s="5"/>
      <c r="J249" s="6"/>
      <c r="K249" s="7"/>
      <c r="L249" s="13"/>
      <c r="M249" s="8"/>
      <c r="N249" s="13"/>
      <c r="O249" s="13"/>
      <c r="P249" s="13"/>
      <c r="Q249" s="7"/>
      <c r="R249" s="6"/>
      <c r="S249" s="5"/>
      <c r="T249" s="6"/>
      <c r="U249" s="6"/>
      <c r="V249" s="5"/>
      <c r="W249" s="6"/>
      <c r="X249" s="6"/>
      <c r="Y249" s="5"/>
      <c r="Z249" s="6"/>
      <c r="AA249" s="6"/>
      <c r="AB249" s="5"/>
      <c r="AC249" s="6"/>
      <c r="AD249" s="6"/>
      <c r="AE249" s="5"/>
      <c r="AF249" s="6"/>
      <c r="AG249" s="6"/>
      <c r="AH249" s="5"/>
      <c r="AI249" s="6"/>
      <c r="AJ249" s="6"/>
      <c r="AK249" s="5"/>
      <c r="AL249" s="5"/>
      <c r="AM249" s="5"/>
      <c r="AN249" s="5"/>
      <c r="AO249" s="5"/>
      <c r="AP249" s="5"/>
      <c r="AQ249" s="5"/>
    </row>
    <row r="250" spans="1:43" s="2" customFormat="1" x14ac:dyDescent="0.25">
      <c r="A250" s="161" t="str">
        <f t="shared" si="4"/>
        <v>BATTLESHIP_ASIA</v>
      </c>
      <c r="B250" s="9" t="s">
        <v>126</v>
      </c>
      <c r="C250" s="5" t="s">
        <v>693</v>
      </c>
      <c r="D250" s="5" t="s">
        <v>698</v>
      </c>
      <c r="E250" s="5" t="s">
        <v>126</v>
      </c>
      <c r="F250" s="5" t="s">
        <v>126</v>
      </c>
      <c r="G250" s="5"/>
      <c r="H250" s="5"/>
      <c r="I250" s="5"/>
      <c r="J250" s="6"/>
      <c r="K250" s="7"/>
      <c r="L250" s="13"/>
      <c r="M250" s="8"/>
      <c r="N250" s="13"/>
      <c r="O250" s="13"/>
      <c r="P250" s="13"/>
      <c r="Q250" s="7"/>
      <c r="R250" s="6"/>
      <c r="S250" s="5"/>
      <c r="T250" s="6"/>
      <c r="U250" s="6"/>
      <c r="V250" s="5"/>
      <c r="W250" s="6"/>
      <c r="X250" s="6"/>
      <c r="Y250" s="5"/>
      <c r="Z250" s="6"/>
      <c r="AA250" s="6"/>
      <c r="AB250" s="5"/>
      <c r="AC250" s="6"/>
      <c r="AD250" s="6"/>
      <c r="AE250" s="5"/>
      <c r="AF250" s="6"/>
      <c r="AG250" s="6"/>
      <c r="AH250" s="5"/>
      <c r="AI250" s="6"/>
      <c r="AJ250" s="6"/>
      <c r="AK250" s="5"/>
      <c r="AL250" s="5"/>
      <c r="AM250" s="5"/>
      <c r="AN250" s="5"/>
      <c r="AO250" s="5"/>
      <c r="AP250" s="5"/>
      <c r="AQ250" s="5"/>
    </row>
    <row r="251" spans="1:43" s="2" customFormat="1" x14ac:dyDescent="0.25">
      <c r="A251" s="161" t="str">
        <f t="shared" si="4"/>
        <v>BATTLESHIP_JAPAN</v>
      </c>
      <c r="B251" s="9" t="s">
        <v>126</v>
      </c>
      <c r="C251" s="4" t="s">
        <v>722</v>
      </c>
      <c r="D251" s="4"/>
      <c r="E251" s="4" t="s">
        <v>126</v>
      </c>
      <c r="F251" s="4" t="s">
        <v>126</v>
      </c>
      <c r="G251" s="14" t="s">
        <v>132</v>
      </c>
      <c r="H251" s="4" t="s">
        <v>474</v>
      </c>
      <c r="I251" s="4" t="s">
        <v>1065</v>
      </c>
      <c r="J251" s="11"/>
      <c r="K251" s="11"/>
      <c r="L251" s="4"/>
      <c r="M251" s="12"/>
      <c r="N251" s="4"/>
      <c r="O251" s="4"/>
      <c r="P251" s="4"/>
      <c r="Q251" s="11"/>
      <c r="R251" s="11"/>
      <c r="S251" s="4"/>
      <c r="T251" s="11"/>
      <c r="U251" s="11"/>
      <c r="V251" s="4"/>
      <c r="W251" s="11"/>
      <c r="X251" s="11"/>
      <c r="Y251" s="4"/>
      <c r="Z251" s="11"/>
      <c r="AA251" s="11"/>
      <c r="AB251" s="4"/>
      <c r="AC251" s="11"/>
      <c r="AD251" s="11"/>
      <c r="AE251" s="4"/>
      <c r="AF251" s="11"/>
      <c r="AG251" s="11"/>
      <c r="AH251" s="4"/>
      <c r="AI251" s="11"/>
      <c r="AJ251" s="11"/>
      <c r="AK251" s="4"/>
      <c r="AL251" s="4"/>
      <c r="AM251" s="4"/>
      <c r="AN251" s="4"/>
      <c r="AO251" s="4"/>
      <c r="AP251" s="4"/>
      <c r="AQ251" s="4"/>
    </row>
    <row r="252" spans="1:43" s="2" customFormat="1" x14ac:dyDescent="0.25">
      <c r="A252" s="161" t="str">
        <f t="shared" si="4"/>
        <v>BATTLESHIP_EASTEU</v>
      </c>
      <c r="B252" s="9" t="s">
        <v>126</v>
      </c>
      <c r="C252" s="4" t="s">
        <v>698</v>
      </c>
      <c r="D252" s="4"/>
      <c r="E252" s="4" t="s">
        <v>126</v>
      </c>
      <c r="F252" s="4" t="s">
        <v>126</v>
      </c>
      <c r="G252" s="14" t="s">
        <v>132</v>
      </c>
      <c r="H252" s="4" t="s">
        <v>606</v>
      </c>
      <c r="I252" s="4" t="s">
        <v>102</v>
      </c>
      <c r="J252" s="11"/>
      <c r="K252" s="11"/>
      <c r="L252" s="4"/>
      <c r="M252" s="12"/>
      <c r="N252" s="4"/>
      <c r="O252" s="4"/>
      <c r="P252" s="4"/>
      <c r="Q252" s="11"/>
      <c r="R252" s="11"/>
      <c r="S252" s="4"/>
      <c r="T252" s="11"/>
      <c r="U252" s="11"/>
      <c r="V252" s="4"/>
      <c r="W252" s="11"/>
      <c r="X252" s="11"/>
      <c r="Y252" s="4"/>
      <c r="Z252" s="11"/>
      <c r="AA252" s="11"/>
      <c r="AB252" s="4"/>
      <c r="AC252" s="11"/>
      <c r="AD252" s="11"/>
      <c r="AE252" s="4"/>
      <c r="AF252" s="11"/>
      <c r="AG252" s="11"/>
      <c r="AH252" s="4"/>
      <c r="AI252" s="11"/>
      <c r="AJ252" s="11"/>
      <c r="AK252" s="4"/>
      <c r="AL252" s="4"/>
      <c r="AM252" s="4"/>
      <c r="AN252" s="4"/>
      <c r="AO252" s="4"/>
      <c r="AP252" s="4"/>
      <c r="AQ252" s="4"/>
    </row>
    <row r="253" spans="1:43" s="2" customFormat="1" x14ac:dyDescent="0.25">
      <c r="A253" s="161" t="str">
        <f t="shared" si="4"/>
        <v>BATTLESHIP_RUSSIA</v>
      </c>
      <c r="B253" s="9" t="s">
        <v>126</v>
      </c>
      <c r="C253" s="4" t="s">
        <v>735</v>
      </c>
      <c r="D253" s="4" t="s">
        <v>698</v>
      </c>
      <c r="E253" s="4" t="s">
        <v>126</v>
      </c>
      <c r="F253" s="4" t="s">
        <v>126</v>
      </c>
      <c r="G253" s="14"/>
      <c r="H253" s="4"/>
      <c r="I253" s="4"/>
      <c r="J253" s="11"/>
      <c r="K253" s="11"/>
      <c r="L253" s="4"/>
      <c r="M253" s="12"/>
      <c r="N253" s="4"/>
      <c r="O253" s="4"/>
      <c r="P253" s="4"/>
      <c r="Q253" s="11"/>
      <c r="R253" s="11"/>
      <c r="S253" s="4"/>
      <c r="T253" s="11"/>
      <c r="U253" s="11"/>
      <c r="V253" s="4"/>
      <c r="W253" s="11"/>
      <c r="X253" s="11"/>
      <c r="Y253" s="4"/>
      <c r="Z253" s="11"/>
      <c r="AA253" s="11"/>
      <c r="AB253" s="4"/>
      <c r="AC253" s="11"/>
      <c r="AD253" s="11"/>
      <c r="AE253" s="4"/>
      <c r="AF253" s="11"/>
      <c r="AG253" s="11"/>
      <c r="AH253" s="4"/>
      <c r="AI253" s="11"/>
      <c r="AJ253" s="11"/>
      <c r="AK253" s="4"/>
      <c r="AL253" s="4"/>
      <c r="AM253" s="4"/>
      <c r="AN253" s="4"/>
      <c r="AO253" s="4"/>
      <c r="AP253" s="4"/>
      <c r="AQ253" s="4"/>
    </row>
    <row r="254" spans="1:43" s="2" customFormat="1" x14ac:dyDescent="0.25">
      <c r="A254" s="161" t="str">
        <f t="shared" si="4"/>
        <v>BATTLESHIP_AMERICA</v>
      </c>
      <c r="B254" s="9" t="s">
        <v>126</v>
      </c>
      <c r="C254" s="4" t="s">
        <v>699</v>
      </c>
      <c r="D254" s="4"/>
      <c r="E254" s="4" t="s">
        <v>126</v>
      </c>
      <c r="F254" s="4" t="s">
        <v>126</v>
      </c>
      <c r="G254" s="14"/>
      <c r="H254" s="4" t="s">
        <v>133</v>
      </c>
      <c r="I254" s="4" t="s">
        <v>1048</v>
      </c>
      <c r="J254" s="11"/>
      <c r="K254" s="11"/>
      <c r="L254" s="4"/>
      <c r="M254" s="12"/>
      <c r="N254" s="4"/>
      <c r="O254" s="4"/>
      <c r="P254" s="4"/>
      <c r="Q254" s="11"/>
      <c r="R254" s="11"/>
      <c r="S254" s="4"/>
      <c r="T254" s="11"/>
      <c r="U254" s="11"/>
      <c r="V254" s="4"/>
      <c r="W254" s="11"/>
      <c r="X254" s="11"/>
      <c r="Y254" s="4"/>
      <c r="Z254" s="11"/>
      <c r="AA254" s="11"/>
      <c r="AB254" s="4"/>
      <c r="AC254" s="11"/>
      <c r="AD254" s="11"/>
      <c r="AE254" s="4"/>
      <c r="AF254" s="11"/>
      <c r="AG254" s="11"/>
      <c r="AH254" s="4"/>
      <c r="AI254" s="11"/>
      <c r="AJ254" s="11"/>
      <c r="AK254" s="4"/>
      <c r="AL254" s="4"/>
      <c r="AM254" s="4"/>
      <c r="AN254" s="4"/>
      <c r="AO254" s="4"/>
      <c r="AP254" s="4"/>
      <c r="AQ254" s="4"/>
    </row>
    <row r="255" spans="1:43" s="2" customFormat="1" x14ac:dyDescent="0.25">
      <c r="A255" s="161" t="str">
        <f t="shared" si="4"/>
        <v>BATTLESHIP_AUSTRALIA</v>
      </c>
      <c r="B255" s="9" t="s">
        <v>126</v>
      </c>
      <c r="C255" s="4" t="s">
        <v>1302</v>
      </c>
      <c r="D255" s="4" t="s">
        <v>713</v>
      </c>
      <c r="E255" s="4" t="s">
        <v>126</v>
      </c>
      <c r="F255" s="4" t="s">
        <v>126</v>
      </c>
      <c r="G255" s="14"/>
      <c r="H255" s="4"/>
      <c r="I255" s="4"/>
      <c r="J255" s="11"/>
      <c r="K255" s="11"/>
      <c r="L255" s="4"/>
      <c r="M255" s="12"/>
      <c r="N255" s="4"/>
      <c r="O255" s="4"/>
      <c r="P255" s="4"/>
      <c r="Q255" s="11"/>
      <c r="R255" s="11"/>
      <c r="S255" s="4"/>
      <c r="T255" s="11"/>
      <c r="U255" s="11"/>
      <c r="V255" s="4"/>
      <c r="W255" s="11"/>
      <c r="X255" s="11"/>
      <c r="Y255" s="4"/>
      <c r="Z255" s="11"/>
      <c r="AA255" s="11"/>
      <c r="AB255" s="4"/>
      <c r="AC255" s="11"/>
      <c r="AD255" s="11"/>
      <c r="AE255" s="4"/>
      <c r="AF255" s="11"/>
      <c r="AG255" s="11"/>
      <c r="AH255" s="4"/>
      <c r="AI255" s="11"/>
      <c r="AJ255" s="11"/>
      <c r="AK255" s="4"/>
      <c r="AL255" s="4"/>
      <c r="AM255" s="4"/>
      <c r="AN255" s="4"/>
      <c r="AO255" s="4"/>
      <c r="AP255" s="4"/>
      <c r="AQ255" s="4"/>
    </row>
    <row r="256" spans="1:43" s="2" customFormat="1" x14ac:dyDescent="0.25">
      <c r="A256" s="161" t="str">
        <f t="shared" si="4"/>
        <v>BATTLESHIP_CANADA</v>
      </c>
      <c r="B256" s="9" t="s">
        <v>126</v>
      </c>
      <c r="C256" s="4" t="s">
        <v>2223</v>
      </c>
      <c r="D256" s="4" t="s">
        <v>713</v>
      </c>
      <c r="E256" s="4" t="s">
        <v>126</v>
      </c>
      <c r="F256" s="4" t="s">
        <v>126</v>
      </c>
      <c r="G256" s="14"/>
      <c r="H256" s="4"/>
      <c r="I256" s="4"/>
      <c r="J256" s="11"/>
      <c r="K256" s="11"/>
      <c r="L256" s="4"/>
      <c r="M256" s="12"/>
      <c r="N256" s="4"/>
      <c r="O256" s="4"/>
      <c r="P256" s="4"/>
      <c r="Q256" s="11"/>
      <c r="R256" s="11"/>
      <c r="S256" s="4"/>
      <c r="T256" s="11"/>
      <c r="U256" s="11"/>
      <c r="V256" s="4"/>
      <c r="W256" s="11"/>
      <c r="X256" s="11"/>
      <c r="Y256" s="4"/>
      <c r="Z256" s="11"/>
      <c r="AA256" s="11"/>
      <c r="AB256" s="4"/>
      <c r="AC256" s="11"/>
      <c r="AD256" s="11"/>
      <c r="AE256" s="4"/>
      <c r="AF256" s="11"/>
      <c r="AG256" s="11"/>
      <c r="AH256" s="4"/>
      <c r="AI256" s="11"/>
      <c r="AJ256" s="11"/>
      <c r="AK256" s="4"/>
      <c r="AL256" s="4"/>
      <c r="AM256" s="4"/>
      <c r="AN256" s="4"/>
      <c r="AO256" s="4"/>
      <c r="AP256" s="4"/>
      <c r="AQ256" s="4"/>
    </row>
    <row r="257" spans="1:43" s="2" customFormat="1" x14ac:dyDescent="0.25">
      <c r="A257" s="161" t="str">
        <f t="shared" si="4"/>
        <v>BATTLESHIP_CELTS</v>
      </c>
      <c r="B257" s="9" t="s">
        <v>126</v>
      </c>
      <c r="C257" s="4" t="s">
        <v>709</v>
      </c>
      <c r="D257" s="4" t="s">
        <v>713</v>
      </c>
      <c r="E257" s="4" t="s">
        <v>126</v>
      </c>
      <c r="F257" s="4" t="s">
        <v>126</v>
      </c>
      <c r="G257" s="14"/>
      <c r="H257" s="4"/>
      <c r="I257" s="4"/>
      <c r="J257" s="11"/>
      <c r="K257" s="11"/>
      <c r="L257" s="4"/>
      <c r="M257" s="12"/>
      <c r="N257" s="4"/>
      <c r="O257" s="4"/>
      <c r="P257" s="4"/>
      <c r="Q257" s="11"/>
      <c r="R257" s="11"/>
      <c r="S257" s="4"/>
      <c r="T257" s="11"/>
      <c r="U257" s="11"/>
      <c r="V257" s="4"/>
      <c r="W257" s="11"/>
      <c r="X257" s="11"/>
      <c r="Y257" s="4"/>
      <c r="Z257" s="11"/>
      <c r="AA257" s="11"/>
      <c r="AB257" s="4"/>
      <c r="AC257" s="11"/>
      <c r="AD257" s="11"/>
      <c r="AE257" s="4"/>
      <c r="AF257" s="11"/>
      <c r="AG257" s="11"/>
      <c r="AH257" s="4"/>
      <c r="AI257" s="11"/>
      <c r="AJ257" s="11"/>
      <c r="AK257" s="4"/>
      <c r="AL257" s="4"/>
      <c r="AM257" s="4"/>
      <c r="AN257" s="4"/>
      <c r="AO257" s="4"/>
      <c r="AP257" s="4"/>
      <c r="AQ257" s="4"/>
    </row>
    <row r="258" spans="1:43" s="2" customFormat="1" x14ac:dyDescent="0.25">
      <c r="A258" s="161" t="str">
        <f t="shared" si="4"/>
        <v>BATTLESHIP_ENGLAND</v>
      </c>
      <c r="B258" s="9" t="s">
        <v>126</v>
      </c>
      <c r="C258" s="4" t="s">
        <v>713</v>
      </c>
      <c r="D258" s="4"/>
      <c r="E258" s="4" t="s">
        <v>126</v>
      </c>
      <c r="F258" s="4" t="s">
        <v>126</v>
      </c>
      <c r="G258" s="14" t="s">
        <v>132</v>
      </c>
      <c r="H258" s="4" t="s">
        <v>291</v>
      </c>
      <c r="I258" s="4" t="s">
        <v>102</v>
      </c>
      <c r="J258" s="11"/>
      <c r="K258" s="11"/>
      <c r="L258" s="4"/>
      <c r="M258" s="12"/>
      <c r="N258" s="4"/>
      <c r="O258" s="4"/>
      <c r="P258" s="4"/>
      <c r="Q258" s="11"/>
      <c r="R258" s="11"/>
      <c r="S258" s="4"/>
      <c r="T258" s="11"/>
      <c r="U258" s="11"/>
      <c r="V258" s="4"/>
      <c r="W258" s="11"/>
      <c r="X258" s="11"/>
      <c r="Y258" s="4"/>
      <c r="Z258" s="11"/>
      <c r="AA258" s="11"/>
      <c r="AB258" s="4"/>
      <c r="AC258" s="11"/>
      <c r="AD258" s="11"/>
      <c r="AE258" s="4"/>
      <c r="AF258" s="11"/>
      <c r="AG258" s="11"/>
      <c r="AH258" s="4"/>
      <c r="AI258" s="11"/>
      <c r="AJ258" s="11"/>
      <c r="AK258" s="4"/>
      <c r="AL258" s="4"/>
      <c r="AM258" s="4"/>
      <c r="AN258" s="4"/>
      <c r="AO258" s="4"/>
      <c r="AP258" s="4"/>
      <c r="AQ258" s="4"/>
    </row>
    <row r="259" spans="1:43" s="2" customFormat="1" x14ac:dyDescent="0.25">
      <c r="A259" s="161" t="str">
        <f t="shared" si="4"/>
        <v>BATTLESHIP_FRANCE</v>
      </c>
      <c r="B259" s="9" t="s">
        <v>126</v>
      </c>
      <c r="C259" s="4" t="s">
        <v>715</v>
      </c>
      <c r="D259" s="4"/>
      <c r="E259" s="4" t="s">
        <v>126</v>
      </c>
      <c r="F259" s="4" t="s">
        <v>126</v>
      </c>
      <c r="G259" s="14" t="s">
        <v>132</v>
      </c>
      <c r="H259" s="4" t="s">
        <v>335</v>
      </c>
      <c r="I259" s="4" t="s">
        <v>102</v>
      </c>
      <c r="J259" s="11"/>
      <c r="K259" s="11"/>
      <c r="L259" s="4"/>
      <c r="M259" s="12"/>
      <c r="N259" s="4"/>
      <c r="O259" s="4"/>
      <c r="P259" s="4"/>
      <c r="Q259" s="11"/>
      <c r="R259" s="11"/>
      <c r="S259" s="4"/>
      <c r="T259" s="11"/>
      <c r="U259" s="11"/>
      <c r="V259" s="4"/>
      <c r="W259" s="11"/>
      <c r="X259" s="11"/>
      <c r="Y259" s="4"/>
      <c r="Z259" s="11"/>
      <c r="AA259" s="11"/>
      <c r="AB259" s="4"/>
      <c r="AC259" s="11"/>
      <c r="AD259" s="11"/>
      <c r="AE259" s="4"/>
      <c r="AF259" s="11"/>
      <c r="AG259" s="11"/>
      <c r="AH259" s="4"/>
      <c r="AI259" s="11"/>
      <c r="AJ259" s="11"/>
      <c r="AK259" s="4"/>
      <c r="AL259" s="4"/>
      <c r="AM259" s="4"/>
      <c r="AN259" s="4"/>
      <c r="AO259" s="4"/>
      <c r="AP259" s="4"/>
      <c r="AQ259" s="4"/>
    </row>
    <row r="260" spans="1:43" s="2" customFormat="1" x14ac:dyDescent="0.25">
      <c r="A260" s="161" t="str">
        <f t="shared" si="4"/>
        <v>BATTLESHIP_GERMANY</v>
      </c>
      <c r="B260" s="9" t="s">
        <v>126</v>
      </c>
      <c r="C260" s="4" t="s">
        <v>717</v>
      </c>
      <c r="D260" s="4"/>
      <c r="E260" s="4" t="s">
        <v>126</v>
      </c>
      <c r="F260" s="4" t="s">
        <v>126</v>
      </c>
      <c r="G260" s="14" t="s">
        <v>132</v>
      </c>
      <c r="H260" s="4" t="s">
        <v>366</v>
      </c>
      <c r="I260" s="4" t="s">
        <v>131</v>
      </c>
      <c r="J260" s="11"/>
      <c r="K260" s="11"/>
      <c r="L260" s="4"/>
      <c r="M260" s="12"/>
      <c r="N260" s="4"/>
      <c r="O260" s="4"/>
      <c r="P260" s="4"/>
      <c r="Q260" s="11"/>
      <c r="R260" s="11"/>
      <c r="S260" s="4"/>
      <c r="T260" s="11"/>
      <c r="U260" s="11"/>
      <c r="V260" s="4"/>
      <c r="W260" s="11"/>
      <c r="X260" s="11"/>
      <c r="Y260" s="4"/>
      <c r="Z260" s="11"/>
      <c r="AA260" s="11"/>
      <c r="AB260" s="4"/>
      <c r="AC260" s="11"/>
      <c r="AD260" s="11"/>
      <c r="AE260" s="4"/>
      <c r="AF260" s="11"/>
      <c r="AG260" s="11"/>
      <c r="AH260" s="4"/>
      <c r="AI260" s="11"/>
      <c r="AJ260" s="11"/>
      <c r="AK260" s="4"/>
      <c r="AL260" s="4"/>
      <c r="AM260" s="4"/>
      <c r="AN260" s="4"/>
      <c r="AO260" s="4"/>
      <c r="AP260" s="4"/>
      <c r="AQ260" s="4"/>
    </row>
    <row r="261" spans="1:43" s="2" customFormat="1" x14ac:dyDescent="0.25">
      <c r="A261" s="161" t="str">
        <f t="shared" si="4"/>
        <v>BATTLESHIP_ROME</v>
      </c>
      <c r="B261" s="9" t="s">
        <v>126</v>
      </c>
      <c r="C261" s="4" t="s">
        <v>734</v>
      </c>
      <c r="D261" s="4"/>
      <c r="E261" s="4" t="s">
        <v>126</v>
      </c>
      <c r="F261" s="4" t="s">
        <v>126</v>
      </c>
      <c r="G261" s="14" t="s">
        <v>132</v>
      </c>
      <c r="H261" s="4" t="s">
        <v>582</v>
      </c>
      <c r="I261" s="4" t="s">
        <v>1048</v>
      </c>
      <c r="J261" s="11"/>
      <c r="K261" s="11"/>
      <c r="L261" s="4"/>
      <c r="M261" s="12"/>
      <c r="N261" s="4"/>
      <c r="O261" s="4"/>
      <c r="P261" s="4"/>
      <c r="Q261" s="11"/>
      <c r="R261" s="11"/>
      <c r="S261" s="4"/>
      <c r="T261" s="11"/>
      <c r="U261" s="11"/>
      <c r="V261" s="4"/>
      <c r="W261" s="11"/>
      <c r="X261" s="11"/>
      <c r="Y261" s="4"/>
      <c r="Z261" s="11"/>
      <c r="AA261" s="11"/>
      <c r="AB261" s="4"/>
      <c r="AC261" s="11"/>
      <c r="AD261" s="11"/>
      <c r="AE261" s="4"/>
      <c r="AF261" s="11"/>
      <c r="AG261" s="11"/>
      <c r="AH261" s="4"/>
      <c r="AI261" s="11"/>
      <c r="AJ261" s="11"/>
      <c r="AK261" s="4"/>
      <c r="AL261" s="4"/>
      <c r="AM261" s="4"/>
      <c r="AN261" s="4"/>
      <c r="AO261" s="4"/>
      <c r="AP261" s="4"/>
      <c r="AQ261" s="4"/>
    </row>
    <row r="262" spans="1:43" s="2" customFormat="1" x14ac:dyDescent="0.25">
      <c r="A262" s="161" t="str">
        <f t="shared" si="4"/>
        <v>BATTLESHIP_OCEAN</v>
      </c>
      <c r="B262" s="9" t="s">
        <v>126</v>
      </c>
      <c r="C262" s="4" t="s">
        <v>994</v>
      </c>
      <c r="D262" s="4" t="s">
        <v>699</v>
      </c>
      <c r="E262" s="4" t="s">
        <v>126</v>
      </c>
      <c r="F262" s="4" t="s">
        <v>126</v>
      </c>
      <c r="G262" s="14"/>
      <c r="H262" s="4"/>
      <c r="I262" s="4"/>
      <c r="J262" s="11"/>
      <c r="K262" s="11"/>
      <c r="L262" s="4"/>
      <c r="M262" s="12"/>
      <c r="N262" s="4"/>
      <c r="O262" s="4"/>
      <c r="P262" s="4"/>
      <c r="Q262" s="11"/>
      <c r="R262" s="11"/>
      <c r="S262" s="4"/>
      <c r="T262" s="11"/>
      <c r="U262" s="11"/>
      <c r="V262" s="4"/>
      <c r="W262" s="11"/>
      <c r="X262" s="11"/>
      <c r="Y262" s="4"/>
      <c r="Z262" s="11"/>
      <c r="AA262" s="11"/>
      <c r="AB262" s="4"/>
      <c r="AC262" s="11"/>
      <c r="AD262" s="11"/>
      <c r="AE262" s="4"/>
      <c r="AF262" s="11"/>
      <c r="AG262" s="11"/>
      <c r="AH262" s="4"/>
      <c r="AI262" s="11"/>
      <c r="AJ262" s="11"/>
      <c r="AK262" s="4"/>
      <c r="AL262" s="4"/>
      <c r="AM262" s="4"/>
      <c r="AN262" s="4"/>
      <c r="AO262" s="4"/>
      <c r="AP262" s="4"/>
      <c r="AQ262" s="4"/>
    </row>
    <row r="263" spans="1:43" s="2" customFormat="1" x14ac:dyDescent="0.25">
      <c r="A263" s="161" t="str">
        <f t="shared" si="4"/>
        <v>BAZOOKA_INFANTRY</v>
      </c>
      <c r="B263" s="9" t="s">
        <v>2330</v>
      </c>
      <c r="C263" s="5"/>
      <c r="D263" s="5"/>
      <c r="E263" s="5" t="s">
        <v>1110</v>
      </c>
      <c r="F263" s="5" t="s">
        <v>1110</v>
      </c>
      <c r="G263" s="5"/>
      <c r="H263" s="5" t="s">
        <v>1112</v>
      </c>
      <c r="I263" s="5" t="s">
        <v>128</v>
      </c>
      <c r="J263" s="6"/>
      <c r="K263" s="6"/>
      <c r="L263" s="13" t="s">
        <v>1708</v>
      </c>
      <c r="M263" s="8"/>
      <c r="N263" s="5"/>
      <c r="O263" s="5"/>
      <c r="P263" s="5"/>
      <c r="Q263" s="7">
        <v>3</v>
      </c>
      <c r="R263" s="6" t="s">
        <v>1695</v>
      </c>
      <c r="S263" s="13" t="s">
        <v>1611</v>
      </c>
      <c r="T263" s="6"/>
      <c r="U263" s="7" t="s">
        <v>1737</v>
      </c>
      <c r="V263" s="5"/>
      <c r="W263" s="6" t="s">
        <v>3</v>
      </c>
      <c r="X263" s="6" t="s">
        <v>3</v>
      </c>
      <c r="Y263" s="5"/>
      <c r="Z263" s="7">
        <v>1</v>
      </c>
      <c r="AA263" s="6"/>
      <c r="AB263" s="5"/>
      <c r="AC263" s="6"/>
      <c r="AD263" s="6" t="s">
        <v>3</v>
      </c>
      <c r="AE263" s="5"/>
      <c r="AF263" s="6"/>
      <c r="AG263" s="6"/>
      <c r="AH263" s="5"/>
      <c r="AI263" s="6"/>
      <c r="AJ263" s="6"/>
      <c r="AK263" s="5"/>
      <c r="AL263" s="5"/>
      <c r="AM263" s="5"/>
      <c r="AN263" s="5"/>
      <c r="AO263" s="5"/>
      <c r="AP263" s="5"/>
      <c r="AQ263" s="5"/>
    </row>
    <row r="264" spans="1:43" s="2" customFormat="1" x14ac:dyDescent="0.25">
      <c r="A264" s="161" t="str">
        <f t="shared" si="4"/>
        <v>BOMBER</v>
      </c>
      <c r="B264" s="9" t="s">
        <v>118</v>
      </c>
      <c r="C264" s="5"/>
      <c r="D264" s="5"/>
      <c r="E264" s="5" t="s">
        <v>118</v>
      </c>
      <c r="F264" s="5" t="s">
        <v>118</v>
      </c>
      <c r="G264" s="5"/>
      <c r="H264" s="5" t="s">
        <v>40</v>
      </c>
      <c r="I264" s="5" t="s">
        <v>128</v>
      </c>
      <c r="J264" s="6"/>
      <c r="K264" s="7"/>
      <c r="L264" s="13" t="s">
        <v>1711</v>
      </c>
      <c r="M264" s="8">
        <v>1.7</v>
      </c>
      <c r="N264" s="13" t="s">
        <v>1725</v>
      </c>
      <c r="O264" s="13"/>
      <c r="P264" s="13"/>
      <c r="Q264" s="7">
        <v>1</v>
      </c>
      <c r="R264" s="6">
        <v>0.08</v>
      </c>
      <c r="S264" s="13" t="s">
        <v>1615</v>
      </c>
      <c r="T264" s="7">
        <v>3</v>
      </c>
      <c r="U264" s="7" t="s">
        <v>1737</v>
      </c>
      <c r="V264" s="5"/>
      <c r="W264" s="6" t="s">
        <v>3</v>
      </c>
      <c r="X264" s="6" t="s">
        <v>3</v>
      </c>
      <c r="Y264" s="5"/>
      <c r="Z264" s="6"/>
      <c r="AA264" s="6"/>
      <c r="AB264" s="5"/>
      <c r="AC264" s="6"/>
      <c r="AD264" s="6" t="s">
        <v>3</v>
      </c>
      <c r="AE264" s="5"/>
      <c r="AF264" s="6"/>
      <c r="AG264" s="6"/>
      <c r="AH264" s="5"/>
      <c r="AI264" s="6"/>
      <c r="AJ264" s="6"/>
      <c r="AK264" s="5"/>
      <c r="AL264" s="5"/>
      <c r="AM264" s="5"/>
      <c r="AN264" s="5"/>
      <c r="AO264" s="5"/>
      <c r="AP264" s="5"/>
      <c r="AQ264" s="5"/>
    </row>
    <row r="265" spans="1:43" s="2" customFormat="1" x14ac:dyDescent="0.25">
      <c r="A265" s="161" t="str">
        <f t="shared" si="4"/>
        <v>BOMBER_AMER</v>
      </c>
      <c r="B265" s="9" t="s">
        <v>118</v>
      </c>
      <c r="C265" s="5" t="s">
        <v>697</v>
      </c>
      <c r="D265" s="5" t="s">
        <v>699</v>
      </c>
      <c r="E265" s="5" t="s">
        <v>118</v>
      </c>
      <c r="F265" s="5" t="s">
        <v>118</v>
      </c>
      <c r="G265" s="5"/>
      <c r="H265" s="5"/>
      <c r="I265" s="5"/>
      <c r="J265" s="6"/>
      <c r="K265" s="7"/>
      <c r="L265" s="13"/>
      <c r="M265" s="8"/>
      <c r="N265" s="13"/>
      <c r="O265" s="13"/>
      <c r="P265" s="13"/>
      <c r="Q265" s="7"/>
      <c r="R265" s="6"/>
      <c r="S265" s="13"/>
      <c r="T265" s="7"/>
      <c r="U265" s="7"/>
      <c r="V265" s="5"/>
      <c r="W265" s="6"/>
      <c r="X265" s="6"/>
      <c r="Y265" s="5"/>
      <c r="Z265" s="6"/>
      <c r="AA265" s="6"/>
      <c r="AB265" s="5"/>
      <c r="AC265" s="6"/>
      <c r="AD265" s="6"/>
      <c r="AE265" s="5"/>
      <c r="AF265" s="6"/>
      <c r="AG265" s="6"/>
      <c r="AH265" s="5"/>
      <c r="AI265" s="6"/>
      <c r="AJ265" s="6"/>
      <c r="AK265" s="5"/>
      <c r="AL265" s="5"/>
      <c r="AM265" s="5"/>
      <c r="AN265" s="5"/>
      <c r="AO265" s="5"/>
      <c r="AP265" s="5"/>
      <c r="AQ265" s="5"/>
    </row>
    <row r="266" spans="1:43" s="2" customFormat="1" x14ac:dyDescent="0.25">
      <c r="A266" s="161" t="str">
        <f t="shared" si="4"/>
        <v>BOMBER_ASIA</v>
      </c>
      <c r="B266" s="9" t="s">
        <v>118</v>
      </c>
      <c r="C266" s="5" t="s">
        <v>693</v>
      </c>
      <c r="D266" s="5"/>
      <c r="E266" s="5" t="s">
        <v>118</v>
      </c>
      <c r="F266" s="5" t="s">
        <v>118</v>
      </c>
      <c r="G266" s="5"/>
      <c r="H266" s="4" t="s">
        <v>475</v>
      </c>
      <c r="I266" s="5" t="s">
        <v>102</v>
      </c>
      <c r="J266" s="11"/>
      <c r="K266" s="7"/>
      <c r="L266" s="13"/>
      <c r="M266" s="8"/>
      <c r="N266" s="13"/>
      <c r="O266" s="13"/>
      <c r="P266" s="13"/>
      <c r="Q266" s="7"/>
      <c r="R266" s="6"/>
      <c r="S266" s="13"/>
      <c r="T266" s="7"/>
      <c r="U266" s="7"/>
      <c r="V266" s="5"/>
      <c r="W266" s="6"/>
      <c r="X266" s="6"/>
      <c r="Y266" s="5"/>
      <c r="Z266" s="6"/>
      <c r="AA266" s="6"/>
      <c r="AB266" s="5"/>
      <c r="AC266" s="6"/>
      <c r="AD266" s="6"/>
      <c r="AE266" s="5"/>
      <c r="AF266" s="6"/>
      <c r="AG266" s="6"/>
      <c r="AH266" s="5"/>
      <c r="AI266" s="6"/>
      <c r="AJ266" s="6"/>
      <c r="AK266" s="5"/>
      <c r="AL266" s="5"/>
      <c r="AM266" s="5"/>
      <c r="AN266" s="5"/>
      <c r="AO266" s="5"/>
      <c r="AP266" s="5"/>
      <c r="AQ266" s="5"/>
    </row>
    <row r="267" spans="1:43" s="2" customFormat="1" x14ac:dyDescent="0.25">
      <c r="A267" s="161" t="str">
        <f t="shared" si="4"/>
        <v>BOMBER_CHINA</v>
      </c>
      <c r="B267" s="9" t="s">
        <v>118</v>
      </c>
      <c r="C267" s="4" t="s">
        <v>710</v>
      </c>
      <c r="D267" s="4"/>
      <c r="E267" s="4" t="s">
        <v>118</v>
      </c>
      <c r="F267" s="4" t="s">
        <v>118</v>
      </c>
      <c r="G267" s="14" t="s">
        <v>132</v>
      </c>
      <c r="H267" s="4" t="s">
        <v>243</v>
      </c>
      <c r="I267" s="4" t="s">
        <v>102</v>
      </c>
      <c r="J267" s="11"/>
      <c r="K267" s="11"/>
      <c r="L267" s="4"/>
      <c r="M267" s="12"/>
      <c r="N267" s="4"/>
      <c r="O267" s="4"/>
      <c r="P267" s="4"/>
      <c r="Q267" s="11"/>
      <c r="R267" s="11"/>
      <c r="S267" s="4"/>
      <c r="T267" s="11"/>
      <c r="U267" s="11"/>
      <c r="V267" s="4"/>
      <c r="W267" s="11"/>
      <c r="X267" s="11"/>
      <c r="Y267" s="4"/>
      <c r="Z267" s="11"/>
      <c r="AA267" s="11"/>
      <c r="AB267" s="4"/>
      <c r="AC267" s="11"/>
      <c r="AD267" s="11"/>
      <c r="AE267" s="4"/>
      <c r="AF267" s="11"/>
      <c r="AG267" s="11"/>
      <c r="AH267" s="4"/>
      <c r="AI267" s="11"/>
      <c r="AJ267" s="11"/>
      <c r="AK267" s="4"/>
      <c r="AL267" s="4"/>
      <c r="AM267" s="4"/>
      <c r="AN267" s="4"/>
      <c r="AO267" s="4"/>
      <c r="AP267" s="4"/>
      <c r="AQ267" s="4"/>
    </row>
    <row r="268" spans="1:43" s="2" customFormat="1" x14ac:dyDescent="0.25">
      <c r="A268" s="161" t="str">
        <f t="shared" si="4"/>
        <v>BOMBER_JAPAN</v>
      </c>
      <c r="B268" s="9" t="s">
        <v>118</v>
      </c>
      <c r="C268" s="4" t="s">
        <v>722</v>
      </c>
      <c r="D268" s="4" t="s">
        <v>693</v>
      </c>
      <c r="E268" s="4" t="s">
        <v>118</v>
      </c>
      <c r="F268" s="4" t="s">
        <v>118</v>
      </c>
      <c r="G268" s="14" t="s">
        <v>132</v>
      </c>
      <c r="H268" s="4"/>
      <c r="I268" s="4"/>
      <c r="J268" s="11"/>
      <c r="K268" s="11"/>
      <c r="L268" s="4"/>
      <c r="M268" s="12"/>
      <c r="N268" s="4"/>
      <c r="O268" s="4"/>
      <c r="P268" s="4"/>
      <c r="Q268" s="11"/>
      <c r="R268" s="11"/>
      <c r="S268" s="4"/>
      <c r="T268" s="11"/>
      <c r="U268" s="11"/>
      <c r="V268" s="4"/>
      <c r="W268" s="11"/>
      <c r="X268" s="11"/>
      <c r="Y268" s="4"/>
      <c r="Z268" s="11"/>
      <c r="AA268" s="11"/>
      <c r="AB268" s="4"/>
      <c r="AC268" s="11"/>
      <c r="AD268" s="11"/>
      <c r="AE268" s="4"/>
      <c r="AF268" s="11"/>
      <c r="AG268" s="11"/>
      <c r="AH268" s="4"/>
      <c r="AI268" s="11"/>
      <c r="AJ268" s="11"/>
      <c r="AK268" s="4"/>
      <c r="AL268" s="4"/>
      <c r="AM268" s="4"/>
      <c r="AN268" s="4"/>
      <c r="AO268" s="4"/>
      <c r="AP268" s="4"/>
      <c r="AQ268" s="4"/>
    </row>
    <row r="269" spans="1:43" s="2" customFormat="1" x14ac:dyDescent="0.25">
      <c r="A269" s="161" t="str">
        <f t="shared" si="4"/>
        <v>BOMBER_EASTEU</v>
      </c>
      <c r="B269" s="9" t="s">
        <v>118</v>
      </c>
      <c r="C269" s="4" t="s">
        <v>698</v>
      </c>
      <c r="D269" s="4"/>
      <c r="E269" s="4" t="s">
        <v>118</v>
      </c>
      <c r="F269" s="4" t="s">
        <v>118</v>
      </c>
      <c r="G269" s="14"/>
      <c r="H269" s="4" t="s">
        <v>607</v>
      </c>
      <c r="I269" s="4" t="s">
        <v>102</v>
      </c>
      <c r="J269" s="11"/>
      <c r="K269" s="11"/>
      <c r="L269" s="4"/>
      <c r="M269" s="12"/>
      <c r="N269" s="4"/>
      <c r="O269" s="4"/>
      <c r="P269" s="4"/>
      <c r="Q269" s="11"/>
      <c r="R269" s="11"/>
      <c r="S269" s="4"/>
      <c r="T269" s="11"/>
      <c r="U269" s="11"/>
      <c r="V269" s="4"/>
      <c r="W269" s="11"/>
      <c r="X269" s="11"/>
      <c r="Y269" s="4"/>
      <c r="Z269" s="11"/>
      <c r="AA269" s="11"/>
      <c r="AB269" s="4"/>
      <c r="AC269" s="11"/>
      <c r="AD269" s="11"/>
      <c r="AE269" s="4"/>
      <c r="AF269" s="11"/>
      <c r="AG269" s="11"/>
      <c r="AH269" s="4"/>
      <c r="AI269" s="11"/>
      <c r="AJ269" s="11"/>
      <c r="AK269" s="4"/>
      <c r="AL269" s="4"/>
      <c r="AM269" s="4"/>
      <c r="AN269" s="4"/>
      <c r="AO269" s="4"/>
      <c r="AP269" s="4"/>
      <c r="AQ269" s="4"/>
    </row>
    <row r="270" spans="1:43" s="2" customFormat="1" x14ac:dyDescent="0.25">
      <c r="A270" s="161" t="str">
        <f t="shared" si="4"/>
        <v>BOMBER_HUNS</v>
      </c>
      <c r="B270" s="9" t="s">
        <v>118</v>
      </c>
      <c r="C270" s="4" t="s">
        <v>904</v>
      </c>
      <c r="D270" s="4"/>
      <c r="E270" s="4" t="s">
        <v>118</v>
      </c>
      <c r="F270" s="4" t="s">
        <v>118</v>
      </c>
      <c r="G270" s="4"/>
      <c r="H270" s="4" t="s">
        <v>905</v>
      </c>
      <c r="I270" s="4" t="s">
        <v>102</v>
      </c>
      <c r="J270" s="11"/>
      <c r="K270" s="11"/>
      <c r="L270" s="4"/>
      <c r="M270" s="12"/>
      <c r="N270" s="4"/>
      <c r="O270" s="4"/>
      <c r="P270" s="4"/>
      <c r="Q270" s="11"/>
      <c r="R270" s="11"/>
      <c r="S270" s="4"/>
      <c r="T270" s="11"/>
      <c r="U270" s="11"/>
      <c r="V270" s="4"/>
      <c r="W270" s="11"/>
      <c r="X270" s="11"/>
      <c r="Y270" s="4"/>
      <c r="Z270" s="11"/>
      <c r="AA270" s="11"/>
      <c r="AB270" s="4"/>
      <c r="AC270" s="11"/>
      <c r="AD270" s="11"/>
      <c r="AE270" s="4"/>
      <c r="AF270" s="11"/>
      <c r="AG270" s="11"/>
      <c r="AH270" s="4"/>
      <c r="AI270" s="11"/>
      <c r="AJ270" s="11"/>
      <c r="AK270" s="4"/>
      <c r="AL270" s="4"/>
      <c r="AM270" s="4"/>
      <c r="AN270" s="4"/>
      <c r="AO270" s="4"/>
      <c r="AP270" s="4"/>
      <c r="AQ270" s="4"/>
    </row>
    <row r="271" spans="1:43" s="2" customFormat="1" x14ac:dyDescent="0.25">
      <c r="A271" s="161" t="str">
        <f t="shared" si="4"/>
        <v>BOMBER_POLAND</v>
      </c>
      <c r="B271" s="9" t="s">
        <v>118</v>
      </c>
      <c r="C271" s="4" t="s">
        <v>732</v>
      </c>
      <c r="D271" s="4"/>
      <c r="E271" s="4" t="s">
        <v>118</v>
      </c>
      <c r="F271" s="4" t="s">
        <v>118</v>
      </c>
      <c r="G271" s="14" t="s">
        <v>132</v>
      </c>
      <c r="H271" s="4" t="s">
        <v>567</v>
      </c>
      <c r="I271" s="4" t="s">
        <v>102</v>
      </c>
      <c r="J271" s="11"/>
      <c r="K271" s="11"/>
      <c r="L271" s="4"/>
      <c r="M271" s="12"/>
      <c r="N271" s="4"/>
      <c r="O271" s="4"/>
      <c r="P271" s="4"/>
      <c r="Q271" s="11"/>
      <c r="R271" s="11"/>
      <c r="S271" s="4"/>
      <c r="T271" s="11"/>
      <c r="U271" s="11"/>
      <c r="V271" s="4"/>
      <c r="W271" s="11"/>
      <c r="X271" s="11"/>
      <c r="Y271" s="4"/>
      <c r="Z271" s="11"/>
      <c r="AA271" s="11"/>
      <c r="AB271" s="4"/>
      <c r="AC271" s="11"/>
      <c r="AD271" s="11"/>
      <c r="AE271" s="4"/>
      <c r="AF271" s="11"/>
      <c r="AG271" s="11"/>
      <c r="AH271" s="4"/>
      <c r="AI271" s="11"/>
      <c r="AJ271" s="11"/>
      <c r="AK271" s="4"/>
      <c r="AL271" s="4"/>
      <c r="AM271" s="4"/>
      <c r="AN271" s="4"/>
      <c r="AO271" s="4"/>
      <c r="AP271" s="4"/>
      <c r="AQ271" s="4"/>
    </row>
    <row r="272" spans="1:43" s="2" customFormat="1" x14ac:dyDescent="0.25">
      <c r="A272" s="161" t="str">
        <f t="shared" si="4"/>
        <v>BOMBER_RUSSIA</v>
      </c>
      <c r="B272" s="9" t="s">
        <v>118</v>
      </c>
      <c r="C272" s="4" t="s">
        <v>735</v>
      </c>
      <c r="D272" s="4" t="s">
        <v>698</v>
      </c>
      <c r="E272" s="4" t="s">
        <v>118</v>
      </c>
      <c r="F272" s="4" t="s">
        <v>118</v>
      </c>
      <c r="G272" s="14" t="s">
        <v>132</v>
      </c>
      <c r="H272" s="4"/>
      <c r="I272" s="4"/>
      <c r="J272" s="11"/>
      <c r="K272" s="11"/>
      <c r="L272" s="4"/>
      <c r="M272" s="12"/>
      <c r="N272" s="4"/>
      <c r="O272" s="4"/>
      <c r="P272" s="4"/>
      <c r="Q272" s="11"/>
      <c r="R272" s="11"/>
      <c r="S272" s="4"/>
      <c r="T272" s="11"/>
      <c r="U272" s="11"/>
      <c r="V272" s="4"/>
      <c r="W272" s="11"/>
      <c r="X272" s="11"/>
      <c r="Y272" s="4"/>
      <c r="Z272" s="11"/>
      <c r="AA272" s="11"/>
      <c r="AB272" s="4"/>
      <c r="AC272" s="11"/>
      <c r="AD272" s="11"/>
      <c r="AE272" s="4"/>
      <c r="AF272" s="11"/>
      <c r="AG272" s="11"/>
      <c r="AH272" s="4"/>
      <c r="AI272" s="11"/>
      <c r="AJ272" s="11"/>
      <c r="AK272" s="4"/>
      <c r="AL272" s="4"/>
      <c r="AM272" s="4"/>
      <c r="AN272" s="4"/>
      <c r="AO272" s="4"/>
      <c r="AP272" s="4"/>
      <c r="AQ272" s="4"/>
    </row>
    <row r="273" spans="1:43" s="2" customFormat="1" x14ac:dyDescent="0.25">
      <c r="A273" s="161" t="str">
        <f t="shared" si="4"/>
        <v>BOMBER_AMERICA</v>
      </c>
      <c r="B273" s="9" t="s">
        <v>118</v>
      </c>
      <c r="C273" s="4" t="s">
        <v>699</v>
      </c>
      <c r="D273" s="4"/>
      <c r="E273" s="4" t="s">
        <v>118</v>
      </c>
      <c r="F273" s="4" t="s">
        <v>118</v>
      </c>
      <c r="G273" s="14"/>
      <c r="H273" s="4" t="s">
        <v>134</v>
      </c>
      <c r="I273" s="4" t="s">
        <v>102</v>
      </c>
      <c r="J273" s="11"/>
      <c r="K273" s="11"/>
      <c r="L273" s="4"/>
      <c r="M273" s="12"/>
      <c r="N273" s="4"/>
      <c r="O273" s="4"/>
      <c r="P273" s="4"/>
      <c r="Q273" s="11"/>
      <c r="R273" s="11"/>
      <c r="S273" s="4"/>
      <c r="T273" s="11"/>
      <c r="U273" s="11"/>
      <c r="V273" s="4"/>
      <c r="W273" s="11"/>
      <c r="X273" s="11"/>
      <c r="Y273" s="4"/>
      <c r="Z273" s="11"/>
      <c r="AA273" s="11"/>
      <c r="AB273" s="4"/>
      <c r="AC273" s="11"/>
      <c r="AD273" s="11"/>
      <c r="AE273" s="4"/>
      <c r="AF273" s="11"/>
      <c r="AG273" s="11"/>
      <c r="AH273" s="4"/>
      <c r="AI273" s="11"/>
      <c r="AJ273" s="11"/>
      <c r="AK273" s="4"/>
      <c r="AL273" s="4"/>
      <c r="AM273" s="4"/>
      <c r="AN273" s="4"/>
      <c r="AO273" s="4"/>
      <c r="AP273" s="4"/>
      <c r="AQ273" s="4"/>
    </row>
    <row r="274" spans="1:43" s="2" customFormat="1" x14ac:dyDescent="0.25">
      <c r="A274" s="161" t="str">
        <f t="shared" si="4"/>
        <v>BOMBER_AUSTRALIA</v>
      </c>
      <c r="B274" s="9" t="s">
        <v>118</v>
      </c>
      <c r="C274" s="4" t="s">
        <v>1302</v>
      </c>
      <c r="D274" s="4" t="s">
        <v>713</v>
      </c>
      <c r="E274" s="4" t="s">
        <v>118</v>
      </c>
      <c r="F274" s="4" t="s">
        <v>118</v>
      </c>
      <c r="G274" s="14"/>
      <c r="H274" s="4"/>
      <c r="I274" s="4"/>
      <c r="J274" s="11"/>
      <c r="K274" s="11"/>
      <c r="L274" s="4"/>
      <c r="M274" s="12"/>
      <c r="N274" s="4"/>
      <c r="O274" s="4"/>
      <c r="P274" s="4"/>
      <c r="Q274" s="11"/>
      <c r="R274" s="11"/>
      <c r="S274" s="4"/>
      <c r="T274" s="11"/>
      <c r="U274" s="11"/>
      <c r="V274" s="4"/>
      <c r="W274" s="11"/>
      <c r="X274" s="11"/>
      <c r="Y274" s="4"/>
      <c r="Z274" s="11"/>
      <c r="AA274" s="11"/>
      <c r="AB274" s="4"/>
      <c r="AC274" s="11"/>
      <c r="AD274" s="11"/>
      <c r="AE274" s="4"/>
      <c r="AF274" s="11"/>
      <c r="AG274" s="11"/>
      <c r="AH274" s="4"/>
      <c r="AI274" s="11"/>
      <c r="AJ274" s="11"/>
      <c r="AK274" s="4"/>
      <c r="AL274" s="4"/>
      <c r="AM274" s="4"/>
      <c r="AN274" s="4"/>
      <c r="AO274" s="4"/>
      <c r="AP274" s="4"/>
      <c r="AQ274" s="4"/>
    </row>
    <row r="275" spans="1:43" s="2" customFormat="1" x14ac:dyDescent="0.25">
      <c r="A275" s="161" t="str">
        <f t="shared" si="4"/>
        <v>BOMBER_AUSTRIA</v>
      </c>
      <c r="B275" s="9" t="s">
        <v>118</v>
      </c>
      <c r="C275" s="4" t="s">
        <v>701</v>
      </c>
      <c r="D275" s="4"/>
      <c r="E275" s="4" t="s">
        <v>118</v>
      </c>
      <c r="F275" s="4" t="s">
        <v>118</v>
      </c>
      <c r="G275" s="14"/>
      <c r="H275" s="4" t="s">
        <v>177</v>
      </c>
      <c r="I275" s="4" t="s">
        <v>102</v>
      </c>
      <c r="J275" s="11"/>
      <c r="K275" s="11"/>
      <c r="L275" s="4"/>
      <c r="M275" s="12"/>
      <c r="N275" s="4"/>
      <c r="O275" s="4"/>
      <c r="P275" s="4"/>
      <c r="Q275" s="11"/>
      <c r="R275" s="11"/>
      <c r="S275" s="4"/>
      <c r="T275" s="11"/>
      <c r="U275" s="11"/>
      <c r="V275" s="4"/>
      <c r="W275" s="11"/>
      <c r="X275" s="11"/>
      <c r="Y275" s="4"/>
      <c r="Z275" s="11"/>
      <c r="AA275" s="11"/>
      <c r="AB275" s="4"/>
      <c r="AC275" s="11"/>
      <c r="AD275" s="11"/>
      <c r="AE275" s="4"/>
      <c r="AF275" s="11"/>
      <c r="AG275" s="11"/>
      <c r="AH275" s="4"/>
      <c r="AI275" s="11"/>
      <c r="AJ275" s="11"/>
      <c r="AK275" s="4"/>
      <c r="AL275" s="4"/>
      <c r="AM275" s="4"/>
      <c r="AN275" s="4"/>
      <c r="AO275" s="4"/>
      <c r="AP275" s="4"/>
      <c r="AQ275" s="4"/>
    </row>
    <row r="276" spans="1:43" s="2" customFormat="1" x14ac:dyDescent="0.25">
      <c r="A276" s="161" t="str">
        <f t="shared" si="4"/>
        <v>BOMBER_CANADA</v>
      </c>
      <c r="B276" s="9" t="s">
        <v>118</v>
      </c>
      <c r="C276" s="4" t="s">
        <v>2223</v>
      </c>
      <c r="D276" s="4" t="s">
        <v>713</v>
      </c>
      <c r="E276" s="4" t="s">
        <v>118</v>
      </c>
      <c r="F276" s="4" t="s">
        <v>118</v>
      </c>
      <c r="G276" s="14"/>
      <c r="H276" s="4"/>
      <c r="I276" s="4"/>
      <c r="J276" s="11"/>
      <c r="K276" s="11"/>
      <c r="L276" s="4"/>
      <c r="M276" s="12"/>
      <c r="N276" s="4"/>
      <c r="O276" s="4"/>
      <c r="P276" s="4"/>
      <c r="Q276" s="11"/>
      <c r="R276" s="11"/>
      <c r="S276" s="4"/>
      <c r="T276" s="11"/>
      <c r="U276" s="11"/>
      <c r="V276" s="4"/>
      <c r="W276" s="11"/>
      <c r="X276" s="11"/>
      <c r="Y276" s="4"/>
      <c r="Z276" s="11"/>
      <c r="AA276" s="11"/>
      <c r="AB276" s="4"/>
      <c r="AC276" s="11"/>
      <c r="AD276" s="11"/>
      <c r="AE276" s="4"/>
      <c r="AF276" s="11"/>
      <c r="AG276" s="11"/>
      <c r="AH276" s="4"/>
      <c r="AI276" s="11"/>
      <c r="AJ276" s="11"/>
      <c r="AK276" s="4"/>
      <c r="AL276" s="4"/>
      <c r="AM276" s="4"/>
      <c r="AN276" s="4"/>
      <c r="AO276" s="4"/>
      <c r="AP276" s="4"/>
      <c r="AQ276" s="4"/>
    </row>
    <row r="277" spans="1:43" s="2" customFormat="1" x14ac:dyDescent="0.25">
      <c r="A277" s="161" t="str">
        <f t="shared" si="4"/>
        <v>BOMBER_CELTS</v>
      </c>
      <c r="B277" s="9" t="s">
        <v>118</v>
      </c>
      <c r="C277" s="4" t="s">
        <v>709</v>
      </c>
      <c r="D277" s="4" t="s">
        <v>713</v>
      </c>
      <c r="E277" s="4" t="s">
        <v>118</v>
      </c>
      <c r="F277" s="4" t="s">
        <v>118</v>
      </c>
      <c r="G277" s="14"/>
      <c r="H277" s="4"/>
      <c r="I277" s="4"/>
      <c r="J277" s="11"/>
      <c r="K277" s="11"/>
      <c r="L277" s="4"/>
      <c r="M277" s="12"/>
      <c r="N277" s="4"/>
      <c r="O277" s="4"/>
      <c r="P277" s="4"/>
      <c r="Q277" s="11"/>
      <c r="R277" s="11"/>
      <c r="S277" s="4"/>
      <c r="T277" s="11"/>
      <c r="U277" s="11"/>
      <c r="V277" s="4"/>
      <c r="W277" s="11"/>
      <c r="X277" s="11"/>
      <c r="Y277" s="4"/>
      <c r="Z277" s="11"/>
      <c r="AA277" s="11"/>
      <c r="AB277" s="4"/>
      <c r="AC277" s="11"/>
      <c r="AD277" s="11"/>
      <c r="AE277" s="4"/>
      <c r="AF277" s="11"/>
      <c r="AG277" s="11"/>
      <c r="AH277" s="4"/>
      <c r="AI277" s="11"/>
      <c r="AJ277" s="11"/>
      <c r="AK277" s="4"/>
      <c r="AL277" s="4"/>
      <c r="AM277" s="4"/>
      <c r="AN277" s="4"/>
      <c r="AO277" s="4"/>
      <c r="AP277" s="4"/>
      <c r="AQ277" s="4"/>
    </row>
    <row r="278" spans="1:43" s="2" customFormat="1" x14ac:dyDescent="0.25">
      <c r="A278" s="161" t="str">
        <f t="shared" si="4"/>
        <v>BOMBER_ENGLAND</v>
      </c>
      <c r="B278" s="9" t="s">
        <v>118</v>
      </c>
      <c r="C278" s="4" t="s">
        <v>713</v>
      </c>
      <c r="D278" s="4"/>
      <c r="E278" s="4" t="s">
        <v>118</v>
      </c>
      <c r="F278" s="4" t="s">
        <v>118</v>
      </c>
      <c r="G278" s="14" t="s">
        <v>132</v>
      </c>
      <c r="H278" s="4" t="s">
        <v>292</v>
      </c>
      <c r="I278" s="4" t="s">
        <v>102</v>
      </c>
      <c r="J278" s="11"/>
      <c r="K278" s="11"/>
      <c r="L278" s="4"/>
      <c r="M278" s="12"/>
      <c r="N278" s="4"/>
      <c r="O278" s="4"/>
      <c r="P278" s="4"/>
      <c r="Q278" s="11"/>
      <c r="R278" s="11"/>
      <c r="S278" s="4"/>
      <c r="T278" s="11"/>
      <c r="U278" s="11"/>
      <c r="V278" s="4"/>
      <c r="W278" s="11"/>
      <c r="X278" s="11"/>
      <c r="Y278" s="4"/>
      <c r="Z278" s="11"/>
      <c r="AA278" s="11"/>
      <c r="AB278" s="4"/>
      <c r="AC278" s="11"/>
      <c r="AD278" s="11"/>
      <c r="AE278" s="4"/>
      <c r="AF278" s="11"/>
      <c r="AG278" s="11"/>
      <c r="AH278" s="4"/>
      <c r="AI278" s="11"/>
      <c r="AJ278" s="11"/>
      <c r="AK278" s="4"/>
      <c r="AL278" s="4"/>
      <c r="AM278" s="4"/>
      <c r="AN278" s="4"/>
      <c r="AO278" s="4"/>
      <c r="AP278" s="4"/>
      <c r="AQ278" s="4"/>
    </row>
    <row r="279" spans="1:43" s="2" customFormat="1" x14ac:dyDescent="0.25">
      <c r="A279" s="161" t="str">
        <f t="shared" si="4"/>
        <v>BOMBER_FRANCE</v>
      </c>
      <c r="B279" s="9" t="s">
        <v>118</v>
      </c>
      <c r="C279" s="4" t="s">
        <v>715</v>
      </c>
      <c r="D279" s="4"/>
      <c r="E279" s="4" t="s">
        <v>118</v>
      </c>
      <c r="F279" s="4" t="s">
        <v>118</v>
      </c>
      <c r="G279" s="14" t="s">
        <v>132</v>
      </c>
      <c r="H279" s="4" t="s">
        <v>336</v>
      </c>
      <c r="I279" s="4" t="s">
        <v>102</v>
      </c>
      <c r="J279" s="11"/>
      <c r="K279" s="11"/>
      <c r="L279" s="4"/>
      <c r="M279" s="12"/>
      <c r="N279" s="4"/>
      <c r="O279" s="4"/>
      <c r="P279" s="4"/>
      <c r="Q279" s="11"/>
      <c r="R279" s="11"/>
      <c r="S279" s="4"/>
      <c r="T279" s="11"/>
      <c r="U279" s="11"/>
      <c r="V279" s="4"/>
      <c r="W279" s="11"/>
      <c r="X279" s="11"/>
      <c r="Y279" s="4"/>
      <c r="Z279" s="11"/>
      <c r="AA279" s="11"/>
      <c r="AB279" s="4"/>
      <c r="AC279" s="11"/>
      <c r="AD279" s="11"/>
      <c r="AE279" s="4"/>
      <c r="AF279" s="11"/>
      <c r="AG279" s="11"/>
      <c r="AH279" s="4"/>
      <c r="AI279" s="11"/>
      <c r="AJ279" s="11"/>
      <c r="AK279" s="4"/>
      <c r="AL279" s="4"/>
      <c r="AM279" s="4"/>
      <c r="AN279" s="4"/>
      <c r="AO279" s="4"/>
      <c r="AP279" s="4"/>
      <c r="AQ279" s="4"/>
    </row>
    <row r="280" spans="1:43" s="2" customFormat="1" x14ac:dyDescent="0.25">
      <c r="A280" s="161" t="str">
        <f t="shared" si="4"/>
        <v>BOMBER_GERMANY</v>
      </c>
      <c r="B280" s="9" t="s">
        <v>118</v>
      </c>
      <c r="C280" s="4" t="s">
        <v>717</v>
      </c>
      <c r="D280" s="4"/>
      <c r="E280" s="4" t="s">
        <v>118</v>
      </c>
      <c r="F280" s="4" t="s">
        <v>118</v>
      </c>
      <c r="G280" s="14" t="s">
        <v>132</v>
      </c>
      <c r="H280" s="4" t="s">
        <v>367</v>
      </c>
      <c r="I280" s="4" t="s">
        <v>102</v>
      </c>
      <c r="J280" s="11"/>
      <c r="K280" s="11"/>
      <c r="L280" s="4"/>
      <c r="M280" s="12"/>
      <c r="N280" s="4"/>
      <c r="O280" s="4"/>
      <c r="P280" s="4"/>
      <c r="Q280" s="11"/>
      <c r="R280" s="11"/>
      <c r="S280" s="4"/>
      <c r="T280" s="11"/>
      <c r="U280" s="11"/>
      <c r="V280" s="4"/>
      <c r="W280" s="11"/>
      <c r="X280" s="11"/>
      <c r="Y280" s="4"/>
      <c r="Z280" s="11"/>
      <c r="AA280" s="11"/>
      <c r="AB280" s="4"/>
      <c r="AC280" s="11"/>
      <c r="AD280" s="11"/>
      <c r="AE280" s="4"/>
      <c r="AF280" s="11"/>
      <c r="AG280" s="11"/>
      <c r="AH280" s="4"/>
      <c r="AI280" s="11"/>
      <c r="AJ280" s="11"/>
      <c r="AK280" s="4"/>
      <c r="AL280" s="4"/>
      <c r="AM280" s="4"/>
      <c r="AN280" s="4"/>
      <c r="AO280" s="4"/>
      <c r="AP280" s="4"/>
      <c r="AQ280" s="4"/>
    </row>
    <row r="281" spans="1:43" s="2" customFormat="1" x14ac:dyDescent="0.25">
      <c r="A281" s="161" t="str">
        <f t="shared" si="4"/>
        <v>BOMBER_NETHERLANDS</v>
      </c>
      <c r="B281" s="9" t="s">
        <v>118</v>
      </c>
      <c r="C281" s="4" t="s">
        <v>730</v>
      </c>
      <c r="D281" s="4"/>
      <c r="E281" s="4" t="s">
        <v>118</v>
      </c>
      <c r="F281" s="4" t="s">
        <v>118</v>
      </c>
      <c r="G281" s="14" t="s">
        <v>132</v>
      </c>
      <c r="H281" s="4" t="s">
        <v>538</v>
      </c>
      <c r="I281" s="4" t="s">
        <v>102</v>
      </c>
      <c r="J281" s="11"/>
      <c r="K281" s="11"/>
      <c r="L281" s="4"/>
      <c r="M281" s="12"/>
      <c r="N281" s="4"/>
      <c r="O281" s="4"/>
      <c r="P281" s="4"/>
      <c r="Q281" s="11"/>
      <c r="R281" s="11"/>
      <c r="S281" s="4"/>
      <c r="T281" s="11"/>
      <c r="U281" s="11"/>
      <c r="V281" s="4"/>
      <c r="W281" s="11"/>
      <c r="X281" s="11"/>
      <c r="Y281" s="4"/>
      <c r="Z281" s="11"/>
      <c r="AA281" s="11"/>
      <c r="AB281" s="4"/>
      <c r="AC281" s="11"/>
      <c r="AD281" s="11"/>
      <c r="AE281" s="4"/>
      <c r="AF281" s="11"/>
      <c r="AG281" s="11"/>
      <c r="AH281" s="4"/>
      <c r="AI281" s="11"/>
      <c r="AJ281" s="11"/>
      <c r="AK281" s="4"/>
      <c r="AL281" s="4"/>
      <c r="AM281" s="4"/>
      <c r="AN281" s="4"/>
      <c r="AO281" s="4"/>
      <c r="AP281" s="4"/>
      <c r="AQ281" s="4"/>
    </row>
    <row r="282" spans="1:43" s="2" customFormat="1" x14ac:dyDescent="0.25">
      <c r="A282" s="161" t="str">
        <f t="shared" si="4"/>
        <v>BOMBER_GREECE</v>
      </c>
      <c r="B282" s="9" t="s">
        <v>118</v>
      </c>
      <c r="C282" s="4" t="s">
        <v>718</v>
      </c>
      <c r="D282" s="4"/>
      <c r="E282" s="4" t="s">
        <v>118</v>
      </c>
      <c r="F282" s="4" t="s">
        <v>118</v>
      </c>
      <c r="G282" s="14" t="s">
        <v>132</v>
      </c>
      <c r="H282" s="4" t="s">
        <v>398</v>
      </c>
      <c r="I282" s="4" t="s">
        <v>102</v>
      </c>
      <c r="J282" s="11"/>
      <c r="K282" s="11"/>
      <c r="L282" s="4"/>
      <c r="M282" s="12"/>
      <c r="N282" s="4"/>
      <c r="O282" s="4"/>
      <c r="P282" s="4"/>
      <c r="Q282" s="11"/>
      <c r="R282" s="11"/>
      <c r="S282" s="4"/>
      <c r="T282" s="11"/>
      <c r="U282" s="11"/>
      <c r="V282" s="4"/>
      <c r="W282" s="11"/>
      <c r="X282" s="11"/>
      <c r="Y282" s="4"/>
      <c r="Z282" s="11"/>
      <c r="AA282" s="11"/>
      <c r="AB282" s="4"/>
      <c r="AC282" s="11"/>
      <c r="AD282" s="11"/>
      <c r="AE282" s="4"/>
      <c r="AF282" s="11"/>
      <c r="AG282" s="11"/>
      <c r="AH282" s="4"/>
      <c r="AI282" s="11"/>
      <c r="AJ282" s="11"/>
      <c r="AK282" s="4"/>
      <c r="AL282" s="4"/>
      <c r="AM282" s="4"/>
      <c r="AN282" s="4"/>
      <c r="AO282" s="4"/>
      <c r="AP282" s="4"/>
      <c r="AQ282" s="4"/>
    </row>
    <row r="283" spans="1:43" s="2" customFormat="1" x14ac:dyDescent="0.25">
      <c r="A283" s="161" t="str">
        <f t="shared" si="4"/>
        <v>BOMBER_ROME</v>
      </c>
      <c r="B283" s="9" t="s">
        <v>118</v>
      </c>
      <c r="C283" s="4" t="s">
        <v>734</v>
      </c>
      <c r="D283" s="4"/>
      <c r="E283" s="4" t="s">
        <v>118</v>
      </c>
      <c r="F283" s="4" t="s">
        <v>118</v>
      </c>
      <c r="G283" s="14" t="s">
        <v>132</v>
      </c>
      <c r="H283" s="4" t="s">
        <v>1073</v>
      </c>
      <c r="I283" s="4" t="s">
        <v>102</v>
      </c>
      <c r="J283" s="11"/>
      <c r="K283" s="11"/>
      <c r="L283" s="4"/>
      <c r="M283" s="12"/>
      <c r="N283" s="4"/>
      <c r="O283" s="4"/>
      <c r="P283" s="4"/>
      <c r="Q283" s="11"/>
      <c r="R283" s="11"/>
      <c r="S283" s="4"/>
      <c r="T283" s="11"/>
      <c r="U283" s="11"/>
      <c r="V283" s="4"/>
      <c r="W283" s="11"/>
      <c r="X283" s="11"/>
      <c r="Y283" s="4"/>
      <c r="Z283" s="11"/>
      <c r="AA283" s="11"/>
      <c r="AB283" s="4"/>
      <c r="AC283" s="11"/>
      <c r="AD283" s="11"/>
      <c r="AE283" s="4"/>
      <c r="AF283" s="11"/>
      <c r="AG283" s="11"/>
      <c r="AH283" s="4"/>
      <c r="AI283" s="11"/>
      <c r="AJ283" s="11"/>
      <c r="AK283" s="4"/>
      <c r="AL283" s="4"/>
      <c r="AM283" s="4"/>
      <c r="AN283" s="4"/>
      <c r="AO283" s="4"/>
      <c r="AP283" s="4"/>
      <c r="AQ283" s="4"/>
    </row>
    <row r="284" spans="1:43" s="2" customFormat="1" x14ac:dyDescent="0.25">
      <c r="A284" s="161" t="str">
        <f t="shared" si="4"/>
        <v>BOMBER_SPAIN</v>
      </c>
      <c r="B284" s="9" t="s">
        <v>118</v>
      </c>
      <c r="C284" s="4" t="s">
        <v>738</v>
      </c>
      <c r="D284" s="4"/>
      <c r="E284" s="4" t="s">
        <v>118</v>
      </c>
      <c r="F284" s="4" t="s">
        <v>118</v>
      </c>
      <c r="G284" s="14" t="s">
        <v>132</v>
      </c>
      <c r="H284" s="4" t="s">
        <v>648</v>
      </c>
      <c r="I284" s="4" t="s">
        <v>102</v>
      </c>
      <c r="J284" s="11"/>
      <c r="K284" s="11"/>
      <c r="L284" s="4"/>
      <c r="M284" s="12"/>
      <c r="N284" s="4"/>
      <c r="O284" s="4"/>
      <c r="P284" s="4"/>
      <c r="Q284" s="11"/>
      <c r="R284" s="11"/>
      <c r="S284" s="4"/>
      <c r="T284" s="11"/>
      <c r="U284" s="11"/>
      <c r="V284" s="4"/>
      <c r="W284" s="11"/>
      <c r="X284" s="11"/>
      <c r="Y284" s="4"/>
      <c r="Z284" s="11"/>
      <c r="AA284" s="11"/>
      <c r="AB284" s="4"/>
      <c r="AC284" s="11"/>
      <c r="AD284" s="11"/>
      <c r="AE284" s="4"/>
      <c r="AF284" s="11"/>
      <c r="AG284" s="11"/>
      <c r="AH284" s="4"/>
      <c r="AI284" s="11"/>
      <c r="AJ284" s="11"/>
      <c r="AK284" s="4"/>
      <c r="AL284" s="4"/>
      <c r="AM284" s="4"/>
      <c r="AN284" s="4"/>
      <c r="AO284" s="4"/>
      <c r="AP284" s="4"/>
      <c r="AQ284" s="4"/>
    </row>
    <row r="285" spans="1:43" s="2" customFormat="1" x14ac:dyDescent="0.25">
      <c r="A285" s="161" t="str">
        <f t="shared" si="4"/>
        <v>BOMBER_EGYPT</v>
      </c>
      <c r="B285" s="9" t="s">
        <v>118</v>
      </c>
      <c r="C285" s="4" t="s">
        <v>712</v>
      </c>
      <c r="D285" s="4"/>
      <c r="E285" s="4" t="s">
        <v>118</v>
      </c>
      <c r="F285" s="4" t="s">
        <v>118</v>
      </c>
      <c r="G285" s="14" t="s">
        <v>132</v>
      </c>
      <c r="H285" s="4" t="s">
        <v>275</v>
      </c>
      <c r="I285" s="4" t="s">
        <v>102</v>
      </c>
      <c r="J285" s="11"/>
      <c r="K285" s="11"/>
      <c r="L285" s="4"/>
      <c r="M285" s="12"/>
      <c r="N285" s="4"/>
      <c r="O285" s="4"/>
      <c r="P285" s="4"/>
      <c r="Q285" s="11"/>
      <c r="R285" s="11"/>
      <c r="S285" s="4"/>
      <c r="T285" s="11"/>
      <c r="U285" s="11"/>
      <c r="V285" s="4"/>
      <c r="W285" s="11"/>
      <c r="X285" s="11"/>
      <c r="Y285" s="4"/>
      <c r="Z285" s="11"/>
      <c r="AA285" s="11"/>
      <c r="AB285" s="4"/>
      <c r="AC285" s="11"/>
      <c r="AD285" s="11"/>
      <c r="AE285" s="4"/>
      <c r="AF285" s="11"/>
      <c r="AG285" s="11"/>
      <c r="AH285" s="4"/>
      <c r="AI285" s="11"/>
      <c r="AJ285" s="11"/>
      <c r="AK285" s="4"/>
      <c r="AL285" s="4"/>
      <c r="AM285" s="4"/>
      <c r="AN285" s="4"/>
      <c r="AO285" s="4"/>
      <c r="AP285" s="4"/>
      <c r="AQ285" s="4"/>
    </row>
    <row r="286" spans="1:43" s="2" customFormat="1" x14ac:dyDescent="0.25">
      <c r="A286" s="161" t="str">
        <f t="shared" si="4"/>
        <v>BOMBER_SWEDEN</v>
      </c>
      <c r="B286" s="9" t="s">
        <v>118</v>
      </c>
      <c r="C286" s="4" t="s">
        <v>739</v>
      </c>
      <c r="D286" s="4"/>
      <c r="E286" s="4" t="s">
        <v>118</v>
      </c>
      <c r="F286" s="4" t="s">
        <v>118</v>
      </c>
      <c r="G286" s="14" t="s">
        <v>132</v>
      </c>
      <c r="H286" s="4" t="s">
        <v>667</v>
      </c>
      <c r="I286" s="4" t="s">
        <v>102</v>
      </c>
      <c r="J286" s="11"/>
      <c r="K286" s="11"/>
      <c r="L286" s="4"/>
      <c r="M286" s="12"/>
      <c r="N286" s="4"/>
      <c r="O286" s="4"/>
      <c r="P286" s="4"/>
      <c r="Q286" s="11"/>
      <c r="R286" s="11"/>
      <c r="S286" s="4"/>
      <c r="T286" s="11"/>
      <c r="U286" s="11"/>
      <c r="V286" s="4"/>
      <c r="W286" s="11"/>
      <c r="X286" s="11"/>
      <c r="Y286" s="4"/>
      <c r="Z286" s="11"/>
      <c r="AA286" s="11"/>
      <c r="AB286" s="4"/>
      <c r="AC286" s="11"/>
      <c r="AD286" s="11"/>
      <c r="AE286" s="4"/>
      <c r="AF286" s="11"/>
      <c r="AG286" s="11"/>
      <c r="AH286" s="4"/>
      <c r="AI286" s="11"/>
      <c r="AJ286" s="11"/>
      <c r="AK286" s="4"/>
      <c r="AL286" s="4"/>
      <c r="AM286" s="4"/>
      <c r="AN286" s="4"/>
      <c r="AO286" s="4"/>
      <c r="AP286" s="4"/>
      <c r="AQ286" s="4"/>
    </row>
    <row r="287" spans="1:43" s="2" customFormat="1" x14ac:dyDescent="0.25">
      <c r="A287" s="161" t="str">
        <f t="shared" si="4"/>
        <v>BOMBER_OCEAN</v>
      </c>
      <c r="B287" s="9" t="s">
        <v>118</v>
      </c>
      <c r="C287" s="4" t="s">
        <v>994</v>
      </c>
      <c r="D287" s="4" t="s">
        <v>699</v>
      </c>
      <c r="E287" s="4" t="s">
        <v>118</v>
      </c>
      <c r="F287" s="4" t="s">
        <v>118</v>
      </c>
      <c r="G287" s="14"/>
      <c r="H287" s="4"/>
      <c r="I287" s="4"/>
      <c r="J287" s="11"/>
      <c r="K287" s="11"/>
      <c r="L287" s="4"/>
      <c r="M287" s="12"/>
      <c r="N287" s="4"/>
      <c r="O287" s="4"/>
      <c r="P287" s="4"/>
      <c r="Q287" s="11"/>
      <c r="R287" s="11"/>
      <c r="S287" s="4"/>
      <c r="T287" s="11"/>
      <c r="U287" s="11"/>
      <c r="V287" s="4"/>
      <c r="W287" s="11"/>
      <c r="X287" s="11"/>
      <c r="Y287" s="4"/>
      <c r="Z287" s="11"/>
      <c r="AA287" s="11"/>
      <c r="AB287" s="4"/>
      <c r="AC287" s="11"/>
      <c r="AD287" s="11"/>
      <c r="AE287" s="4"/>
      <c r="AF287" s="11"/>
      <c r="AG287" s="11"/>
      <c r="AH287" s="4"/>
      <c r="AI287" s="11"/>
      <c r="AJ287" s="11"/>
      <c r="AK287" s="4"/>
      <c r="AL287" s="4"/>
      <c r="AM287" s="4"/>
      <c r="AN287" s="4"/>
      <c r="AO287" s="4"/>
      <c r="AP287" s="4"/>
      <c r="AQ287" s="4"/>
    </row>
    <row r="288" spans="1:43" s="2" customFormat="1" x14ac:dyDescent="0.25">
      <c r="A288" s="161" t="str">
        <f t="shared" si="4"/>
        <v>CANNON</v>
      </c>
      <c r="B288" s="9" t="s">
        <v>748</v>
      </c>
      <c r="C288" s="5"/>
      <c r="D288" s="5"/>
      <c r="E288" s="5" t="s">
        <v>748</v>
      </c>
      <c r="F288" s="5" t="s">
        <v>748</v>
      </c>
      <c r="G288" s="5"/>
      <c r="H288" s="5" t="s">
        <v>39</v>
      </c>
      <c r="I288" s="5" t="s">
        <v>128</v>
      </c>
      <c r="J288" s="6"/>
      <c r="K288" s="6"/>
      <c r="L288" s="13" t="s">
        <v>746</v>
      </c>
      <c r="M288" s="8"/>
      <c r="N288" s="5"/>
      <c r="O288" s="5"/>
      <c r="P288" s="5"/>
      <c r="Q288" s="7">
        <v>3</v>
      </c>
      <c r="R288" s="6" t="s">
        <v>1695</v>
      </c>
      <c r="S288" s="13" t="s">
        <v>1611</v>
      </c>
      <c r="T288" s="6"/>
      <c r="U288" s="7" t="s">
        <v>1737</v>
      </c>
      <c r="V288" s="5" t="s">
        <v>1697</v>
      </c>
      <c r="W288" s="6" t="s">
        <v>3</v>
      </c>
      <c r="X288" s="6" t="s">
        <v>3</v>
      </c>
      <c r="Y288" s="5"/>
      <c r="Z288" s="7">
        <v>1</v>
      </c>
      <c r="AA288" s="6"/>
      <c r="AB288" s="5"/>
      <c r="AC288" s="6"/>
      <c r="AD288" s="6" t="s">
        <v>3</v>
      </c>
      <c r="AE288" s="5"/>
      <c r="AF288" s="6"/>
      <c r="AG288" s="6"/>
      <c r="AH288" s="5"/>
      <c r="AI288" s="6"/>
      <c r="AJ288" s="6"/>
      <c r="AK288" s="5"/>
      <c r="AL288" s="5"/>
      <c r="AM288" s="5"/>
      <c r="AN288" s="5"/>
      <c r="AO288" s="5"/>
      <c r="AP288" s="5"/>
      <c r="AQ288" s="5"/>
    </row>
    <row r="289" spans="1:43" s="2" customFormat="1" x14ac:dyDescent="0.25">
      <c r="A289" s="161" t="str">
        <f t="shared" si="4"/>
        <v>CANNON_ENGLAND</v>
      </c>
      <c r="B289" s="9" t="s">
        <v>748</v>
      </c>
      <c r="C289" s="4" t="s">
        <v>713</v>
      </c>
      <c r="D289" s="4"/>
      <c r="E289" s="4" t="s">
        <v>748</v>
      </c>
      <c r="F289" s="4" t="s">
        <v>748</v>
      </c>
      <c r="G289" s="14" t="s">
        <v>132</v>
      </c>
      <c r="H289" s="4" t="s">
        <v>293</v>
      </c>
      <c r="I289" s="4" t="s">
        <v>966</v>
      </c>
      <c r="J289" s="11"/>
      <c r="K289" s="11"/>
      <c r="L289" s="4"/>
      <c r="M289" s="12"/>
      <c r="N289" s="4"/>
      <c r="O289" s="4"/>
      <c r="P289" s="4"/>
      <c r="Q289" s="11"/>
      <c r="R289" s="11"/>
      <c r="S289" s="4"/>
      <c r="T289" s="11"/>
      <c r="U289" s="11"/>
      <c r="V289" s="4"/>
      <c r="W289" s="11"/>
      <c r="X289" s="11"/>
      <c r="Y289" s="4"/>
      <c r="Z289" s="11"/>
      <c r="AA289" s="11"/>
      <c r="AB289" s="4"/>
      <c r="AC289" s="11"/>
      <c r="AD289" s="11"/>
      <c r="AE289" s="4"/>
      <c r="AF289" s="11"/>
      <c r="AG289" s="11"/>
      <c r="AH289" s="4"/>
      <c r="AI289" s="11"/>
      <c r="AJ289" s="11"/>
      <c r="AK289" s="4"/>
      <c r="AL289" s="4"/>
      <c r="AM289" s="4"/>
      <c r="AN289" s="4"/>
      <c r="AO289" s="4"/>
      <c r="AP289" s="4"/>
      <c r="AQ289" s="4"/>
    </row>
    <row r="290" spans="1:43" s="2" customFormat="1" x14ac:dyDescent="0.25">
      <c r="A290" s="161" t="str">
        <f t="shared" si="4"/>
        <v>CANNON_FRANCE</v>
      </c>
      <c r="B290" s="9" t="s">
        <v>748</v>
      </c>
      <c r="C290" s="4" t="s">
        <v>715</v>
      </c>
      <c r="D290" s="4"/>
      <c r="E290" s="4" t="s">
        <v>748</v>
      </c>
      <c r="F290" s="4" t="s">
        <v>748</v>
      </c>
      <c r="G290" s="14" t="s">
        <v>132</v>
      </c>
      <c r="H290" s="4" t="s">
        <v>337</v>
      </c>
      <c r="I290" s="4" t="s">
        <v>1059</v>
      </c>
      <c r="J290" s="11"/>
      <c r="K290" s="11"/>
      <c r="L290" s="4"/>
      <c r="M290" s="12"/>
      <c r="N290" s="4"/>
      <c r="O290" s="4"/>
      <c r="P290" s="4"/>
      <c r="Q290" s="11"/>
      <c r="R290" s="11"/>
      <c r="S290" s="4"/>
      <c r="T290" s="11"/>
      <c r="U290" s="11"/>
      <c r="V290" s="4"/>
      <c r="W290" s="11"/>
      <c r="X290" s="11"/>
      <c r="Y290" s="4"/>
      <c r="Z290" s="11"/>
      <c r="AA290" s="11"/>
      <c r="AB290" s="4"/>
      <c r="AC290" s="11"/>
      <c r="AD290" s="11"/>
      <c r="AE290" s="4"/>
      <c r="AF290" s="11"/>
      <c r="AG290" s="11"/>
      <c r="AH290" s="4"/>
      <c r="AI290" s="11"/>
      <c r="AJ290" s="11"/>
      <c r="AK290" s="4"/>
      <c r="AL290" s="4"/>
      <c r="AM290" s="4"/>
      <c r="AN290" s="4"/>
      <c r="AO290" s="4"/>
      <c r="AP290" s="4"/>
      <c r="AQ290" s="4"/>
    </row>
    <row r="291" spans="1:43" s="2" customFormat="1" x14ac:dyDescent="0.25">
      <c r="A291" s="161" t="str">
        <f t="shared" si="4"/>
        <v>CARAVAN</v>
      </c>
      <c r="B291" s="9" t="s">
        <v>1319</v>
      </c>
      <c r="C291" s="5"/>
      <c r="D291" s="5"/>
      <c r="E291" s="5" t="s">
        <v>1319</v>
      </c>
      <c r="F291" s="5" t="s">
        <v>1319</v>
      </c>
      <c r="G291" s="5"/>
      <c r="H291" s="5" t="s">
        <v>1415</v>
      </c>
      <c r="I291" s="5" t="s">
        <v>128</v>
      </c>
      <c r="J291" s="6">
        <v>1</v>
      </c>
      <c r="K291" s="6"/>
      <c r="L291" s="13" t="s">
        <v>1708</v>
      </c>
      <c r="M291" s="8"/>
      <c r="N291" s="5"/>
      <c r="O291" s="5"/>
      <c r="P291" s="5"/>
      <c r="Q291" s="6">
        <v>1</v>
      </c>
      <c r="R291" s="6" t="s">
        <v>1695</v>
      </c>
      <c r="S291" s="13" t="s">
        <v>1616</v>
      </c>
      <c r="T291" s="6"/>
      <c r="U291" s="7" t="s">
        <v>1695</v>
      </c>
      <c r="V291" s="5"/>
      <c r="W291" s="6"/>
      <c r="X291" s="6" t="s">
        <v>3</v>
      </c>
      <c r="Y291" s="5"/>
      <c r="Z291" s="7">
        <v>1</v>
      </c>
      <c r="AA291" s="6"/>
      <c r="AB291" s="5"/>
      <c r="AC291" s="6"/>
      <c r="AD291" s="6" t="s">
        <v>3</v>
      </c>
      <c r="AE291" s="5"/>
      <c r="AF291" s="6">
        <v>1</v>
      </c>
      <c r="AG291" s="6"/>
      <c r="AH291" s="5"/>
      <c r="AI291" s="6"/>
      <c r="AJ291" s="6"/>
      <c r="AK291" s="5"/>
      <c r="AL291" s="5"/>
      <c r="AM291" s="5"/>
      <c r="AN291" s="5"/>
      <c r="AO291" s="5"/>
      <c r="AP291" s="5"/>
      <c r="AQ291" s="5"/>
    </row>
    <row r="292" spans="1:43" s="2" customFormat="1" x14ac:dyDescent="0.25">
      <c r="A292" s="161" t="str">
        <f t="shared" si="4"/>
        <v>CARAVAN</v>
      </c>
      <c r="B292" s="9" t="s">
        <v>1319</v>
      </c>
      <c r="C292" s="5"/>
      <c r="D292" s="5"/>
      <c r="E292" s="5" t="s">
        <v>1319</v>
      </c>
      <c r="F292" s="5" t="s">
        <v>1319</v>
      </c>
      <c r="G292" s="5" t="s">
        <v>2040</v>
      </c>
      <c r="H292" s="5" t="s">
        <v>1416</v>
      </c>
      <c r="I292" s="5" t="s">
        <v>128</v>
      </c>
      <c r="J292" s="6">
        <v>1</v>
      </c>
      <c r="K292" s="6"/>
      <c r="L292" s="13" t="s">
        <v>1708</v>
      </c>
      <c r="M292" s="8"/>
      <c r="N292" s="5"/>
      <c r="O292" s="5"/>
      <c r="P292" s="5"/>
      <c r="Q292" s="6">
        <v>1</v>
      </c>
      <c r="R292" s="6" t="s">
        <v>1695</v>
      </c>
      <c r="S292" s="13" t="s">
        <v>1616</v>
      </c>
      <c r="T292" s="6"/>
      <c r="U292" s="7" t="s">
        <v>1695</v>
      </c>
      <c r="V292" s="5"/>
      <c r="W292" s="6"/>
      <c r="X292" s="6" t="s">
        <v>3</v>
      </c>
      <c r="Y292" s="5"/>
      <c r="Z292" s="7">
        <v>0</v>
      </c>
      <c r="AA292" s="6"/>
      <c r="AB292" s="5"/>
      <c r="AC292" s="6"/>
      <c r="AD292" s="6" t="s">
        <v>3</v>
      </c>
      <c r="AE292" s="5"/>
      <c r="AF292" s="6">
        <v>1</v>
      </c>
      <c r="AG292" s="6"/>
      <c r="AH292" s="5"/>
      <c r="AI292" s="6"/>
      <c r="AJ292" s="6"/>
      <c r="AK292" s="5"/>
      <c r="AL292" s="5"/>
      <c r="AM292" s="5"/>
      <c r="AN292" s="5"/>
      <c r="AO292" s="5"/>
      <c r="AP292" s="5"/>
      <c r="AQ292" s="5"/>
    </row>
    <row r="293" spans="1:43" s="2" customFormat="1" x14ac:dyDescent="0.25">
      <c r="A293" s="161" t="str">
        <f t="shared" si="4"/>
        <v>CARAVAN</v>
      </c>
      <c r="B293" s="9" t="s">
        <v>1319</v>
      </c>
      <c r="C293" s="5"/>
      <c r="D293" s="5"/>
      <c r="E293" s="5" t="s">
        <v>1319</v>
      </c>
      <c r="F293" s="5" t="s">
        <v>1319</v>
      </c>
      <c r="G293" s="5" t="s">
        <v>2041</v>
      </c>
      <c r="H293" s="5" t="s">
        <v>1417</v>
      </c>
      <c r="I293" s="5" t="s">
        <v>128</v>
      </c>
      <c r="J293" s="6">
        <v>1</v>
      </c>
      <c r="K293" s="6"/>
      <c r="L293" s="13" t="s">
        <v>1708</v>
      </c>
      <c r="M293" s="8"/>
      <c r="N293" s="5"/>
      <c r="O293" s="5"/>
      <c r="P293" s="5"/>
      <c r="Q293" s="6">
        <v>1</v>
      </c>
      <c r="R293" s="6" t="s">
        <v>1695</v>
      </c>
      <c r="S293" s="13" t="s">
        <v>1616</v>
      </c>
      <c r="T293" s="6"/>
      <c r="U293" s="7" t="s">
        <v>1695</v>
      </c>
      <c r="V293" s="5"/>
      <c r="W293" s="6"/>
      <c r="X293" s="6" t="s">
        <v>3</v>
      </c>
      <c r="Y293" s="5"/>
      <c r="Z293" s="7">
        <v>0</v>
      </c>
      <c r="AA293" s="6"/>
      <c r="AB293" s="5"/>
      <c r="AC293" s="6"/>
      <c r="AD293" s="6" t="s">
        <v>3</v>
      </c>
      <c r="AE293" s="5"/>
      <c r="AF293" s="6">
        <v>0</v>
      </c>
      <c r="AG293" s="6"/>
      <c r="AH293" s="5"/>
      <c r="AI293" s="6"/>
      <c r="AJ293" s="6"/>
      <c r="AK293" s="5"/>
      <c r="AL293" s="5"/>
      <c r="AM293" s="5"/>
      <c r="AN293" s="5"/>
      <c r="AO293" s="5"/>
      <c r="AP293" s="5"/>
      <c r="AQ293" s="5"/>
    </row>
    <row r="294" spans="1:43" s="2" customFormat="1" x14ac:dyDescent="0.25">
      <c r="A294" s="161" t="str">
        <f t="shared" si="4"/>
        <v>CARAVAN_CENTAS</v>
      </c>
      <c r="B294" s="9" t="s">
        <v>1319</v>
      </c>
      <c r="C294" s="5" t="s">
        <v>918</v>
      </c>
      <c r="D294" s="5" t="s">
        <v>689</v>
      </c>
      <c r="E294" s="5" t="s">
        <v>1319</v>
      </c>
      <c r="F294" s="5" t="s">
        <v>1319</v>
      </c>
      <c r="G294" s="5"/>
      <c r="H294" s="5"/>
      <c r="I294" s="5"/>
      <c r="J294" s="6"/>
      <c r="K294" s="6"/>
      <c r="L294" s="13"/>
      <c r="M294" s="8"/>
      <c r="N294" s="5"/>
      <c r="O294" s="5"/>
      <c r="P294" s="5"/>
      <c r="Q294" s="6"/>
      <c r="R294" s="6"/>
      <c r="S294" s="13"/>
      <c r="T294" s="6"/>
      <c r="U294" s="7"/>
      <c r="V294" s="5"/>
      <c r="W294" s="6"/>
      <c r="X294" s="6"/>
      <c r="Y294" s="5"/>
      <c r="Z294" s="7"/>
      <c r="AA294" s="6"/>
      <c r="AB294" s="5"/>
      <c r="AC294" s="6"/>
      <c r="AD294" s="6"/>
      <c r="AE294" s="5"/>
      <c r="AF294" s="6"/>
      <c r="AG294" s="6"/>
      <c r="AH294" s="5"/>
      <c r="AI294" s="6"/>
      <c r="AJ294" s="6"/>
      <c r="AK294" s="5"/>
      <c r="AL294" s="5"/>
      <c r="AM294" s="5"/>
      <c r="AN294" s="5"/>
      <c r="AO294" s="5"/>
      <c r="AP294" s="5"/>
      <c r="AQ294" s="5"/>
    </row>
    <row r="295" spans="1:43" s="2" customFormat="1" x14ac:dyDescent="0.25">
      <c r="A295" s="161" t="str">
        <f>CONCATENATE(E295,IF(ISBLANK(C295),"",CONCATENATE("_",C295)))</f>
        <v>CARAVAN_EASTEU</v>
      </c>
      <c r="B295" s="9" t="s">
        <v>1319</v>
      </c>
      <c r="C295" s="5" t="s">
        <v>698</v>
      </c>
      <c r="D295" s="5" t="s">
        <v>689</v>
      </c>
      <c r="E295" s="5" t="s">
        <v>1319</v>
      </c>
      <c r="F295" s="5" t="s">
        <v>1319</v>
      </c>
      <c r="G295" s="5"/>
      <c r="H295" s="5"/>
      <c r="I295" s="5"/>
      <c r="J295" s="6"/>
      <c r="K295" s="6"/>
      <c r="L295" s="13"/>
      <c r="M295" s="8"/>
      <c r="N295" s="5"/>
      <c r="O295" s="5"/>
      <c r="P295" s="5"/>
      <c r="Q295" s="6"/>
      <c r="R295" s="6"/>
      <c r="S295" s="13"/>
      <c r="T295" s="6"/>
      <c r="U295" s="7"/>
      <c r="V295" s="5"/>
      <c r="W295" s="6"/>
      <c r="X295" s="6"/>
      <c r="Y295" s="5"/>
      <c r="Z295" s="7"/>
      <c r="AA295" s="6"/>
      <c r="AB295" s="5"/>
      <c r="AC295" s="6"/>
      <c r="AD295" s="6"/>
      <c r="AE295" s="5"/>
      <c r="AF295" s="6"/>
      <c r="AG295" s="6"/>
      <c r="AH295" s="5"/>
      <c r="AI295" s="6"/>
      <c r="AJ295" s="6"/>
      <c r="AK295" s="5"/>
      <c r="AL295" s="5"/>
      <c r="AM295" s="5"/>
      <c r="AN295" s="5"/>
      <c r="AO295" s="5"/>
      <c r="AP295" s="5"/>
      <c r="AQ295" s="5"/>
    </row>
    <row r="296" spans="1:43" s="2" customFormat="1" x14ac:dyDescent="0.25">
      <c r="A296" s="161" t="str">
        <f>CONCATENATE(E296,IF(ISBLANK(C296),"",CONCATENATE("_",C296)))</f>
        <v>CARAVAN_EURO</v>
      </c>
      <c r="B296" s="9" t="s">
        <v>1319</v>
      </c>
      <c r="C296" s="5" t="s">
        <v>689</v>
      </c>
      <c r="D296" s="5"/>
      <c r="E296" s="5" t="s">
        <v>1319</v>
      </c>
      <c r="F296" s="5" t="s">
        <v>1319</v>
      </c>
      <c r="G296" s="5"/>
      <c r="H296" s="5" t="s">
        <v>2119</v>
      </c>
      <c r="I296" s="5" t="s">
        <v>966</v>
      </c>
      <c r="J296" s="6">
        <v>1</v>
      </c>
      <c r="K296" s="6"/>
      <c r="L296" s="13"/>
      <c r="M296" s="8"/>
      <c r="N296" s="5"/>
      <c r="O296" s="5"/>
      <c r="P296" s="5"/>
      <c r="Q296" s="6">
        <v>1</v>
      </c>
      <c r="R296" s="6">
        <v>8.5000000000000006E-2</v>
      </c>
      <c r="S296" s="13" t="s">
        <v>1616</v>
      </c>
      <c r="T296" s="6">
        <v>2</v>
      </c>
      <c r="U296" s="7">
        <v>0.06</v>
      </c>
      <c r="V296" s="5"/>
      <c r="W296" s="6"/>
      <c r="X296" s="6" t="s">
        <v>3</v>
      </c>
      <c r="Y296" s="5"/>
      <c r="Z296" s="7">
        <v>1</v>
      </c>
      <c r="AA296" s="6">
        <v>8.5000000000000006E-2</v>
      </c>
      <c r="AB296" s="5"/>
      <c r="AC296" s="6"/>
      <c r="AD296" s="6" t="s">
        <v>3</v>
      </c>
      <c r="AE296" s="5"/>
      <c r="AF296" s="6">
        <v>2</v>
      </c>
      <c r="AG296" s="6"/>
      <c r="AH296" s="5"/>
      <c r="AI296" s="6"/>
      <c r="AJ296" s="6"/>
      <c r="AK296" s="5"/>
      <c r="AL296" s="5"/>
      <c r="AM296" s="5"/>
      <c r="AN296" s="5"/>
      <c r="AO296" s="5"/>
      <c r="AP296" s="5"/>
      <c r="AQ296" s="5"/>
    </row>
    <row r="297" spans="1:43" s="2" customFormat="1" x14ac:dyDescent="0.25">
      <c r="A297" s="161" t="str">
        <f>CONCATENATE(E297,IF(ISBLANK(C297),"",CONCATENATE("_",C297)))</f>
        <v>CARAVAN_NORTHEU</v>
      </c>
      <c r="B297" s="9" t="s">
        <v>1319</v>
      </c>
      <c r="C297" s="5" t="s">
        <v>962</v>
      </c>
      <c r="D297" s="5" t="s">
        <v>689</v>
      </c>
      <c r="E297" s="5" t="s">
        <v>1319</v>
      </c>
      <c r="F297" s="5" t="s">
        <v>1319</v>
      </c>
      <c r="G297" s="5"/>
      <c r="H297" s="5"/>
      <c r="I297" s="5"/>
      <c r="J297" s="6"/>
      <c r="K297" s="6"/>
      <c r="L297" s="13"/>
      <c r="M297" s="8"/>
      <c r="N297" s="5"/>
      <c r="O297" s="5"/>
      <c r="P297" s="5"/>
      <c r="Q297" s="6"/>
      <c r="R297" s="6"/>
      <c r="S297" s="13"/>
      <c r="T297" s="6"/>
      <c r="U297" s="7"/>
      <c r="V297" s="5"/>
      <c r="W297" s="6"/>
      <c r="X297" s="6"/>
      <c r="Y297" s="5"/>
      <c r="Z297" s="7"/>
      <c r="AA297" s="6"/>
      <c r="AB297" s="5"/>
      <c r="AC297" s="6"/>
      <c r="AD297" s="6"/>
      <c r="AE297" s="5"/>
      <c r="AF297" s="6"/>
      <c r="AG297" s="6"/>
      <c r="AH297" s="5"/>
      <c r="AI297" s="6"/>
      <c r="AJ297" s="6"/>
      <c r="AK297" s="5"/>
      <c r="AL297" s="5"/>
      <c r="AM297" s="5"/>
      <c r="AN297" s="5"/>
      <c r="AO297" s="5"/>
      <c r="AP297" s="5"/>
      <c r="AQ297" s="5"/>
    </row>
    <row r="298" spans="1:43" s="2" customFormat="1" x14ac:dyDescent="0.25">
      <c r="A298" s="161" t="str">
        <f t="shared" si="4"/>
        <v>CARAVAN_POSTMODERN</v>
      </c>
      <c r="B298" s="9" t="s">
        <v>1319</v>
      </c>
      <c r="C298" s="5"/>
      <c r="D298" s="5"/>
      <c r="E298" s="5" t="s">
        <v>1320</v>
      </c>
      <c r="F298" s="5" t="s">
        <v>1321</v>
      </c>
      <c r="G298" s="5"/>
      <c r="H298" s="5" t="s">
        <v>1418</v>
      </c>
      <c r="I298" s="5" t="s">
        <v>128</v>
      </c>
      <c r="J298" s="6"/>
      <c r="K298" s="6"/>
      <c r="L298" s="13" t="s">
        <v>1708</v>
      </c>
      <c r="M298" s="8"/>
      <c r="N298" s="5"/>
      <c r="O298" s="5"/>
      <c r="P298" s="5"/>
      <c r="Q298" s="6">
        <v>1</v>
      </c>
      <c r="R298" s="6">
        <v>0.04</v>
      </c>
      <c r="S298" s="13" t="s">
        <v>1617</v>
      </c>
      <c r="T298" s="6"/>
      <c r="U298" s="7"/>
      <c r="V298" s="5"/>
      <c r="W298" s="6"/>
      <c r="X298" s="6" t="s">
        <v>3</v>
      </c>
      <c r="Y298" s="5"/>
      <c r="Z298" s="7">
        <v>1</v>
      </c>
      <c r="AA298" s="6"/>
      <c r="AB298" s="5"/>
      <c r="AC298" s="6"/>
      <c r="AD298" s="6" t="s">
        <v>3</v>
      </c>
      <c r="AE298" s="5"/>
      <c r="AF298" s="6">
        <v>1</v>
      </c>
      <c r="AG298" s="6"/>
      <c r="AH298" s="5"/>
      <c r="AI298" s="6"/>
      <c r="AJ298" s="6"/>
      <c r="AK298" s="5"/>
      <c r="AL298" s="5"/>
      <c r="AM298" s="5"/>
      <c r="AN298" s="5"/>
      <c r="AO298" s="5"/>
      <c r="AP298" s="5"/>
      <c r="AQ298" s="5"/>
    </row>
    <row r="299" spans="1:43" s="2" customFormat="1" x14ac:dyDescent="0.25">
      <c r="A299" s="161" t="str">
        <f t="shared" si="4"/>
        <v>CARAVAN_POSTMODERN</v>
      </c>
      <c r="B299" s="9" t="s">
        <v>1319</v>
      </c>
      <c r="C299" s="5"/>
      <c r="D299" s="5"/>
      <c r="E299" s="5" t="s">
        <v>1320</v>
      </c>
      <c r="F299" s="5" t="s">
        <v>1321</v>
      </c>
      <c r="G299" s="5" t="s">
        <v>2040</v>
      </c>
      <c r="H299" s="5" t="s">
        <v>1419</v>
      </c>
      <c r="I299" s="5" t="s">
        <v>128</v>
      </c>
      <c r="J299" s="6"/>
      <c r="K299" s="6"/>
      <c r="L299" s="13" t="s">
        <v>1708</v>
      </c>
      <c r="M299" s="8"/>
      <c r="N299" s="5"/>
      <c r="O299" s="5"/>
      <c r="P299" s="5"/>
      <c r="Q299" s="6">
        <v>1</v>
      </c>
      <c r="R299" s="6">
        <v>0.04</v>
      </c>
      <c r="S299" s="13" t="s">
        <v>1617</v>
      </c>
      <c r="T299" s="6"/>
      <c r="U299" s="7"/>
      <c r="V299" s="5"/>
      <c r="W299" s="6"/>
      <c r="X299" s="6" t="s">
        <v>3</v>
      </c>
      <c r="Y299" s="5"/>
      <c r="Z299" s="7">
        <v>0</v>
      </c>
      <c r="AA299" s="6"/>
      <c r="AB299" s="5"/>
      <c r="AC299" s="6"/>
      <c r="AD299" s="6" t="s">
        <v>3</v>
      </c>
      <c r="AE299" s="5"/>
      <c r="AF299" s="6">
        <v>1</v>
      </c>
      <c r="AG299" s="6"/>
      <c r="AH299" s="5"/>
      <c r="AI299" s="6"/>
      <c r="AJ299" s="6"/>
      <c r="AK299" s="5"/>
      <c r="AL299" s="5"/>
      <c r="AM299" s="5"/>
      <c r="AN299" s="5"/>
      <c r="AO299" s="5"/>
      <c r="AP299" s="5"/>
      <c r="AQ299" s="5"/>
    </row>
    <row r="300" spans="1:43" s="2" customFormat="1" x14ac:dyDescent="0.25">
      <c r="A300" s="161" t="str">
        <f t="shared" si="4"/>
        <v>CARAVAN_POSTMODERN</v>
      </c>
      <c r="B300" s="9" t="s">
        <v>1319</v>
      </c>
      <c r="C300" s="5"/>
      <c r="D300" s="5"/>
      <c r="E300" s="5" t="s">
        <v>1320</v>
      </c>
      <c r="F300" s="5" t="s">
        <v>1321</v>
      </c>
      <c r="G300" s="5" t="s">
        <v>2041</v>
      </c>
      <c r="H300" s="5" t="s">
        <v>1420</v>
      </c>
      <c r="I300" s="5" t="s">
        <v>128</v>
      </c>
      <c r="J300" s="6"/>
      <c r="K300" s="6"/>
      <c r="L300" s="13" t="s">
        <v>1708</v>
      </c>
      <c r="M300" s="8"/>
      <c r="N300" s="5"/>
      <c r="O300" s="5"/>
      <c r="P300" s="5"/>
      <c r="Q300" s="6">
        <v>1</v>
      </c>
      <c r="R300" s="6">
        <v>0.04</v>
      </c>
      <c r="S300" s="13" t="s">
        <v>1617</v>
      </c>
      <c r="T300" s="6"/>
      <c r="U300" s="7"/>
      <c r="V300" s="5"/>
      <c r="W300" s="6"/>
      <c r="X300" s="6" t="s">
        <v>3</v>
      </c>
      <c r="Y300" s="5"/>
      <c r="Z300" s="7">
        <v>0</v>
      </c>
      <c r="AA300" s="6"/>
      <c r="AB300" s="5"/>
      <c r="AC300" s="6"/>
      <c r="AD300" s="6" t="s">
        <v>3</v>
      </c>
      <c r="AE300" s="5"/>
      <c r="AF300" s="6">
        <v>0</v>
      </c>
      <c r="AG300" s="6"/>
      <c r="AH300" s="5"/>
      <c r="AI300" s="6"/>
      <c r="AJ300" s="6"/>
      <c r="AK300" s="5"/>
      <c r="AL300" s="5"/>
      <c r="AM300" s="5"/>
      <c r="AN300" s="5"/>
      <c r="AO300" s="5"/>
      <c r="AP300" s="5"/>
      <c r="AQ300" s="5"/>
    </row>
    <row r="301" spans="1:43" s="2" customFormat="1" x14ac:dyDescent="0.25">
      <c r="A301" s="161" t="str">
        <f t="shared" si="4"/>
        <v>CARAVEL</v>
      </c>
      <c r="B301" s="9" t="s">
        <v>749</v>
      </c>
      <c r="C301" s="5"/>
      <c r="D301" s="5"/>
      <c r="E301" s="5" t="s">
        <v>749</v>
      </c>
      <c r="F301" s="5" t="s">
        <v>749</v>
      </c>
      <c r="G301" s="5"/>
      <c r="H301" s="5" t="s">
        <v>38</v>
      </c>
      <c r="I301" s="5" t="s">
        <v>128</v>
      </c>
      <c r="J301" s="6"/>
      <c r="K301" s="7"/>
      <c r="L301" s="13" t="s">
        <v>1713</v>
      </c>
      <c r="M301" s="8"/>
      <c r="N301" s="13" t="s">
        <v>1727</v>
      </c>
      <c r="O301" s="13"/>
      <c r="P301" s="13"/>
      <c r="Q301" s="7">
        <v>1</v>
      </c>
      <c r="R301" s="6" t="s">
        <v>1737</v>
      </c>
      <c r="S301" s="5"/>
      <c r="T301" s="7">
        <v>3</v>
      </c>
      <c r="U301" s="6">
        <v>0.1</v>
      </c>
      <c r="V301" s="5" t="s">
        <v>1698</v>
      </c>
      <c r="W301" s="6"/>
      <c r="X301" s="6"/>
      <c r="Y301" s="5"/>
      <c r="Z301" s="6"/>
      <c r="AA301" s="6"/>
      <c r="AB301" s="5"/>
      <c r="AC301" s="6"/>
      <c r="AD301" s="6"/>
      <c r="AE301" s="5"/>
      <c r="AF301" s="6"/>
      <c r="AG301" s="6"/>
      <c r="AH301" s="5"/>
      <c r="AI301" s="6"/>
      <c r="AJ301" s="6"/>
      <c r="AK301" s="5"/>
      <c r="AL301" s="5"/>
      <c r="AM301" s="5"/>
      <c r="AN301" s="5"/>
      <c r="AO301" s="5"/>
      <c r="AP301" s="5"/>
      <c r="AQ301" s="5"/>
    </row>
    <row r="302" spans="1:43" s="2" customFormat="1" x14ac:dyDescent="0.25">
      <c r="A302" s="161" t="str">
        <f t="shared" si="4"/>
        <v>CARGO_SHIP</v>
      </c>
      <c r="B302" s="9" t="s">
        <v>1322</v>
      </c>
      <c r="C302" s="5"/>
      <c r="D302" s="5"/>
      <c r="E302" s="5" t="s">
        <v>1322</v>
      </c>
      <c r="F302" s="5" t="s">
        <v>1322</v>
      </c>
      <c r="G302" s="5"/>
      <c r="H302" s="5" t="s">
        <v>1421</v>
      </c>
      <c r="I302" s="5" t="s">
        <v>128</v>
      </c>
      <c r="J302" s="6">
        <v>1</v>
      </c>
      <c r="K302" s="7"/>
      <c r="L302" s="13" t="s">
        <v>1708</v>
      </c>
      <c r="M302" s="8"/>
      <c r="N302" s="13" t="s">
        <v>1727</v>
      </c>
      <c r="O302" s="13"/>
      <c r="P302" s="13"/>
      <c r="Q302" s="7">
        <v>1</v>
      </c>
      <c r="R302" s="6">
        <v>0.16</v>
      </c>
      <c r="S302" s="13" t="s">
        <v>1695</v>
      </c>
      <c r="T302" s="7">
        <v>3</v>
      </c>
      <c r="U302" s="7" t="s">
        <v>1695</v>
      </c>
      <c r="V302" s="5" t="s">
        <v>1696</v>
      </c>
      <c r="W302" s="6"/>
      <c r="X302" s="6"/>
      <c r="Y302" s="5"/>
      <c r="Z302" s="6"/>
      <c r="AA302" s="6"/>
      <c r="AB302" s="5"/>
      <c r="AC302" s="6"/>
      <c r="AD302" s="6"/>
      <c r="AE302" s="5"/>
      <c r="AF302" s="6"/>
      <c r="AG302" s="6"/>
      <c r="AH302" s="5"/>
      <c r="AI302" s="6"/>
      <c r="AJ302" s="6"/>
      <c r="AK302" s="5"/>
      <c r="AL302" s="5"/>
      <c r="AM302" s="5"/>
      <c r="AN302" s="5"/>
      <c r="AO302" s="5"/>
      <c r="AP302" s="5"/>
      <c r="AQ302" s="5"/>
    </row>
    <row r="303" spans="1:43" s="2" customFormat="1" x14ac:dyDescent="0.25">
      <c r="A303" s="161" t="str">
        <f t="shared" si="4"/>
        <v>CARGO_SHIP_POSTMODERN</v>
      </c>
      <c r="B303" s="9" t="s">
        <v>1322</v>
      </c>
      <c r="C303" s="5"/>
      <c r="D303" s="5"/>
      <c r="E303" s="5" t="s">
        <v>1323</v>
      </c>
      <c r="F303" s="5" t="s">
        <v>1325</v>
      </c>
      <c r="G303" s="5"/>
      <c r="H303" s="5" t="s">
        <v>1422</v>
      </c>
      <c r="I303" s="5" t="s">
        <v>128</v>
      </c>
      <c r="J303" s="6"/>
      <c r="K303" s="7"/>
      <c r="L303" s="13" t="s">
        <v>1708</v>
      </c>
      <c r="M303" s="8"/>
      <c r="N303" s="13" t="s">
        <v>1727</v>
      </c>
      <c r="O303" s="13"/>
      <c r="P303" s="13"/>
      <c r="Q303" s="7">
        <v>1</v>
      </c>
      <c r="R303" s="6">
        <v>0.08</v>
      </c>
      <c r="S303" s="13" t="s">
        <v>1695</v>
      </c>
      <c r="T303" s="6"/>
      <c r="U303" s="7"/>
      <c r="V303" s="5"/>
      <c r="W303" s="6"/>
      <c r="X303" s="6"/>
      <c r="Y303" s="5"/>
      <c r="Z303" s="6"/>
      <c r="AA303" s="6"/>
      <c r="AB303" s="5"/>
      <c r="AC303" s="6"/>
      <c r="AD303" s="6"/>
      <c r="AE303" s="5"/>
      <c r="AF303" s="6"/>
      <c r="AG303" s="6"/>
      <c r="AH303" s="5"/>
      <c r="AI303" s="6"/>
      <c r="AJ303" s="6"/>
      <c r="AK303" s="5"/>
      <c r="AL303" s="5"/>
      <c r="AM303" s="5"/>
      <c r="AN303" s="5"/>
      <c r="AO303" s="5"/>
      <c r="AP303" s="5"/>
      <c r="AQ303" s="5"/>
    </row>
    <row r="304" spans="1:43" s="2" customFormat="1" x14ac:dyDescent="0.25">
      <c r="A304" s="161" t="str">
        <f>CONCATENATE(E304,IF(ISBLANK(C304),"",CONCATENATE("_",C304)))</f>
        <v>CARGO_SHIP_RENAISSANCE_POSTMODERN</v>
      </c>
      <c r="B304" s="9"/>
      <c r="C304" s="5"/>
      <c r="D304" s="5"/>
      <c r="E304" s="5" t="s">
        <v>2407</v>
      </c>
      <c r="F304" s="5" t="s">
        <v>1325</v>
      </c>
      <c r="G304" s="5"/>
      <c r="H304" s="5" t="s">
        <v>1422</v>
      </c>
      <c r="I304" s="5" t="s">
        <v>128</v>
      </c>
      <c r="J304" s="6"/>
      <c r="K304" s="7"/>
      <c r="L304" s="13"/>
      <c r="M304" s="8"/>
      <c r="N304" s="13"/>
      <c r="O304" s="13"/>
      <c r="P304" s="13"/>
      <c r="Q304" s="7">
        <v>1</v>
      </c>
      <c r="R304" s="6">
        <v>0.08</v>
      </c>
      <c r="S304" s="13" t="s">
        <v>1695</v>
      </c>
      <c r="T304" s="7"/>
      <c r="U304" s="7"/>
      <c r="V304" s="5"/>
      <c r="W304" s="6"/>
      <c r="X304" s="6"/>
      <c r="Y304" s="5"/>
      <c r="Z304" s="6"/>
      <c r="AA304" s="6"/>
      <c r="AB304" s="5"/>
      <c r="AC304" s="6"/>
      <c r="AD304" s="6"/>
      <c r="AE304" s="5"/>
      <c r="AF304" s="6"/>
      <c r="AG304" s="6"/>
      <c r="AH304" s="5"/>
      <c r="AI304" s="6"/>
      <c r="AJ304" s="6"/>
      <c r="AK304" s="5"/>
      <c r="AL304" s="5"/>
      <c r="AM304" s="5"/>
      <c r="AN304" s="5"/>
      <c r="AO304" s="5"/>
      <c r="AP304" s="5"/>
      <c r="AQ304" s="5"/>
    </row>
    <row r="305" spans="1:43" s="2" customFormat="1" x14ac:dyDescent="0.25">
      <c r="A305" s="161" t="str">
        <f t="shared" si="4"/>
        <v>CARGO_SHIP_RENAISSANCE</v>
      </c>
      <c r="B305" s="9" t="s">
        <v>1322</v>
      </c>
      <c r="C305" s="5"/>
      <c r="D305" s="5"/>
      <c r="E305" s="5" t="s">
        <v>1324</v>
      </c>
      <c r="F305" s="5" t="s">
        <v>1326</v>
      </c>
      <c r="G305" s="5"/>
      <c r="H305" s="5" t="s">
        <v>1423</v>
      </c>
      <c r="I305" s="5" t="s">
        <v>128</v>
      </c>
      <c r="J305" s="6">
        <v>1</v>
      </c>
      <c r="K305" s="7"/>
      <c r="L305" s="13" t="s">
        <v>1708</v>
      </c>
      <c r="M305" s="8"/>
      <c r="N305" s="13" t="s">
        <v>1727</v>
      </c>
      <c r="O305" s="13"/>
      <c r="P305" s="13"/>
      <c r="Q305" s="7">
        <v>1</v>
      </c>
      <c r="R305" s="6" t="s">
        <v>1737</v>
      </c>
      <c r="S305" s="13" t="s">
        <v>1695</v>
      </c>
      <c r="T305" s="7">
        <v>3</v>
      </c>
      <c r="U305" s="7" t="s">
        <v>1695</v>
      </c>
      <c r="V305" s="5" t="s">
        <v>1696</v>
      </c>
      <c r="W305" s="6"/>
      <c r="X305" s="6"/>
      <c r="Y305" s="5"/>
      <c r="Z305" s="6"/>
      <c r="AA305" s="6"/>
      <c r="AB305" s="5"/>
      <c r="AC305" s="6"/>
      <c r="AD305" s="6"/>
      <c r="AE305" s="5"/>
      <c r="AF305" s="6"/>
      <c r="AG305" s="6"/>
      <c r="AH305" s="5"/>
      <c r="AI305" s="6"/>
      <c r="AJ305" s="6"/>
      <c r="AK305" s="5"/>
      <c r="AL305" s="5"/>
      <c r="AM305" s="5"/>
      <c r="AN305" s="5"/>
      <c r="AO305" s="5"/>
      <c r="AP305" s="5"/>
      <c r="AQ305" s="5"/>
    </row>
    <row r="306" spans="1:43" x14ac:dyDescent="0.25">
      <c r="A306" s="161" t="str">
        <f t="shared" ref="A306:A319" si="5">CONCATENATE(E306,IF(ISBLANK(C306),"",CONCATENATE("_",C306)))</f>
        <v>CARGO_SHIP_RENAISSANCE_OTTOMAN</v>
      </c>
      <c r="B306" s="9" t="s">
        <v>1322</v>
      </c>
      <c r="C306" s="5" t="s">
        <v>1037</v>
      </c>
      <c r="D306" s="5"/>
      <c r="E306" s="5" t="s">
        <v>1324</v>
      </c>
      <c r="F306" s="5" t="s">
        <v>1326</v>
      </c>
      <c r="G306" s="5"/>
      <c r="H306" s="5" t="s">
        <v>1981</v>
      </c>
      <c r="I306" s="5" t="s">
        <v>1984</v>
      </c>
      <c r="J306" s="6">
        <v>1</v>
      </c>
      <c r="K306" s="7"/>
      <c r="L306" s="13"/>
      <c r="M306" s="8"/>
      <c r="N306" s="13"/>
      <c r="O306" s="13"/>
      <c r="P306" s="13"/>
      <c r="Q306" s="7"/>
      <c r="R306" s="6"/>
      <c r="S306" s="5"/>
      <c r="T306" s="7"/>
      <c r="U306" s="7"/>
      <c r="V306" s="5"/>
      <c r="W306" s="6"/>
      <c r="X306" s="6"/>
      <c r="Y306" s="5"/>
      <c r="Z306" s="6"/>
      <c r="AA306" s="6"/>
      <c r="AB306" s="5"/>
      <c r="AC306" s="6"/>
      <c r="AD306" s="6"/>
      <c r="AE306" s="5"/>
      <c r="AF306" s="6"/>
      <c r="AG306" s="6"/>
      <c r="AH306" s="5"/>
      <c r="AI306" s="6"/>
      <c r="AJ306" s="6"/>
      <c r="AK306" s="5"/>
      <c r="AL306" s="5"/>
      <c r="AM306" s="5"/>
      <c r="AN306" s="5"/>
      <c r="AO306" s="5"/>
      <c r="AP306" s="5"/>
      <c r="AQ306" s="5"/>
    </row>
    <row r="307" spans="1:43" x14ac:dyDescent="0.25">
      <c r="A307" s="161" t="str">
        <f t="shared" si="5"/>
        <v>CARGO_SHIP_RENAISSANCE_POLAND</v>
      </c>
      <c r="B307" s="9" t="s">
        <v>1322</v>
      </c>
      <c r="C307" s="5" t="s">
        <v>732</v>
      </c>
      <c r="D307" s="5" t="s">
        <v>717</v>
      </c>
      <c r="E307" s="5" t="s">
        <v>1324</v>
      </c>
      <c r="F307" s="5" t="s">
        <v>1326</v>
      </c>
      <c r="G307" s="5"/>
      <c r="H307" s="5"/>
      <c r="I307" s="5"/>
      <c r="J307" s="6"/>
      <c r="K307" s="7"/>
      <c r="L307" s="13"/>
      <c r="M307" s="8"/>
      <c r="N307" s="13"/>
      <c r="O307" s="13"/>
      <c r="P307" s="13"/>
      <c r="Q307" s="7"/>
      <c r="R307" s="6"/>
      <c r="S307" s="5"/>
      <c r="T307" s="7"/>
      <c r="U307" s="7"/>
      <c r="V307" s="5"/>
      <c r="W307" s="6"/>
      <c r="X307" s="6"/>
      <c r="Y307" s="5"/>
      <c r="Z307" s="6"/>
      <c r="AA307" s="6"/>
      <c r="AB307" s="5"/>
      <c r="AC307" s="6"/>
      <c r="AD307" s="6"/>
      <c r="AE307" s="5"/>
      <c r="AF307" s="6"/>
      <c r="AG307" s="6"/>
      <c r="AH307" s="5"/>
      <c r="AI307" s="6"/>
      <c r="AJ307" s="6"/>
      <c r="AK307" s="5"/>
      <c r="AL307" s="5"/>
      <c r="AM307" s="5"/>
      <c r="AN307" s="5"/>
      <c r="AO307" s="5"/>
      <c r="AP307" s="5"/>
      <c r="AQ307" s="5"/>
    </row>
    <row r="308" spans="1:43" x14ac:dyDescent="0.25">
      <c r="A308" s="161" t="str">
        <f t="shared" si="5"/>
        <v>CARGO_SHIP_RENAISSANCE_RUSSIA</v>
      </c>
      <c r="B308" s="9" t="s">
        <v>1322</v>
      </c>
      <c r="C308" s="5" t="s">
        <v>735</v>
      </c>
      <c r="D308" s="5"/>
      <c r="E308" s="5" t="s">
        <v>1324</v>
      </c>
      <c r="F308" s="5" t="s">
        <v>1326</v>
      </c>
      <c r="G308" s="5"/>
      <c r="H308" s="5" t="s">
        <v>1977</v>
      </c>
      <c r="I308" s="5" t="s">
        <v>1984</v>
      </c>
      <c r="J308" s="6">
        <v>1</v>
      </c>
      <c r="K308" s="7"/>
      <c r="L308" s="13"/>
      <c r="M308" s="8"/>
      <c r="N308" s="13"/>
      <c r="O308" s="13"/>
      <c r="P308" s="13"/>
      <c r="Q308" s="7"/>
      <c r="R308" s="6"/>
      <c r="S308" s="5"/>
      <c r="T308" s="7"/>
      <c r="U308" s="7"/>
      <c r="V308" s="5"/>
      <c r="W308" s="6"/>
      <c r="X308" s="6"/>
      <c r="Y308" s="5"/>
      <c r="Z308" s="6"/>
      <c r="AA308" s="6"/>
      <c r="AB308" s="5"/>
      <c r="AC308" s="6"/>
      <c r="AD308" s="6"/>
      <c r="AE308" s="5"/>
      <c r="AF308" s="6"/>
      <c r="AG308" s="6"/>
      <c r="AH308" s="5"/>
      <c r="AI308" s="6"/>
      <c r="AJ308" s="6"/>
      <c r="AK308" s="5"/>
      <c r="AL308" s="5"/>
      <c r="AM308" s="5"/>
      <c r="AN308" s="5"/>
      <c r="AO308" s="5"/>
      <c r="AP308" s="5"/>
      <c r="AQ308" s="5"/>
    </row>
    <row r="309" spans="1:43" x14ac:dyDescent="0.25">
      <c r="A309" s="161" t="str">
        <f t="shared" si="5"/>
        <v>CARGO_SHIP_RENAISSANCE_ENGLAND</v>
      </c>
      <c r="B309" s="9" t="s">
        <v>1322</v>
      </c>
      <c r="C309" s="5" t="s">
        <v>713</v>
      </c>
      <c r="D309" s="5"/>
      <c r="E309" s="5" t="s">
        <v>1324</v>
      </c>
      <c r="F309" s="5" t="s">
        <v>1326</v>
      </c>
      <c r="G309" s="5"/>
      <c r="H309" s="5" t="s">
        <v>1978</v>
      </c>
      <c r="I309" s="5" t="s">
        <v>1984</v>
      </c>
      <c r="J309" s="6">
        <v>1</v>
      </c>
      <c r="K309" s="7"/>
      <c r="L309" s="13"/>
      <c r="M309" s="8"/>
      <c r="N309" s="13"/>
      <c r="O309" s="13"/>
      <c r="P309" s="13"/>
      <c r="Q309" s="7"/>
      <c r="R309" s="6"/>
      <c r="S309" s="5"/>
      <c r="T309" s="7"/>
      <c r="U309" s="7"/>
      <c r="V309" s="5"/>
      <c r="W309" s="6"/>
      <c r="X309" s="6"/>
      <c r="Y309" s="5"/>
      <c r="Z309" s="6"/>
      <c r="AA309" s="6"/>
      <c r="AB309" s="5"/>
      <c r="AC309" s="6"/>
      <c r="AD309" s="6"/>
      <c r="AE309" s="5"/>
      <c r="AF309" s="6"/>
      <c r="AG309" s="6"/>
      <c r="AH309" s="5"/>
      <c r="AI309" s="6"/>
      <c r="AJ309" s="6"/>
      <c r="AK309" s="5"/>
      <c r="AL309" s="5"/>
      <c r="AM309" s="5"/>
      <c r="AN309" s="5"/>
      <c r="AO309" s="5"/>
      <c r="AP309" s="5"/>
      <c r="AQ309" s="5"/>
    </row>
    <row r="310" spans="1:43" x14ac:dyDescent="0.25">
      <c r="A310" s="161" t="str">
        <f t="shared" si="5"/>
        <v>CARGO_SHIP_RENAISSANCE_FRANCE</v>
      </c>
      <c r="B310" s="9" t="s">
        <v>1322</v>
      </c>
      <c r="C310" s="5" t="s">
        <v>715</v>
      </c>
      <c r="D310" s="5"/>
      <c r="E310" s="5" t="s">
        <v>1324</v>
      </c>
      <c r="F310" s="5" t="s">
        <v>1326</v>
      </c>
      <c r="G310" s="5"/>
      <c r="H310" s="5" t="s">
        <v>1979</v>
      </c>
      <c r="I310" s="5" t="s">
        <v>1984</v>
      </c>
      <c r="J310" s="6">
        <v>1</v>
      </c>
      <c r="K310" s="7"/>
      <c r="L310" s="13"/>
      <c r="M310" s="8"/>
      <c r="N310" s="13"/>
      <c r="O310" s="13"/>
      <c r="P310" s="13"/>
      <c r="Q310" s="7"/>
      <c r="R310" s="6"/>
      <c r="S310" s="5"/>
      <c r="T310" s="7"/>
      <c r="U310" s="7"/>
      <c r="V310" s="5"/>
      <c r="W310" s="6"/>
      <c r="X310" s="6"/>
      <c r="Y310" s="5"/>
      <c r="Z310" s="6"/>
      <c r="AA310" s="6"/>
      <c r="AB310" s="5"/>
      <c r="AC310" s="6"/>
      <c r="AD310" s="6"/>
      <c r="AE310" s="5"/>
      <c r="AF310" s="6"/>
      <c r="AG310" s="6"/>
      <c r="AH310" s="5"/>
      <c r="AI310" s="6"/>
      <c r="AJ310" s="6"/>
      <c r="AK310" s="5"/>
      <c r="AL310" s="5"/>
      <c r="AM310" s="5"/>
      <c r="AN310" s="5"/>
      <c r="AO310" s="5"/>
      <c r="AP310" s="5"/>
      <c r="AQ310" s="5"/>
    </row>
    <row r="311" spans="1:43" x14ac:dyDescent="0.25">
      <c r="A311" s="161" t="str">
        <f t="shared" si="5"/>
        <v>CARGO_SHIP_RENAISSANCE_GERMANY</v>
      </c>
      <c r="B311" s="9" t="s">
        <v>1322</v>
      </c>
      <c r="C311" s="5" t="s">
        <v>717</v>
      </c>
      <c r="D311" s="5"/>
      <c r="E311" s="5" t="s">
        <v>1324</v>
      </c>
      <c r="F311" s="5" t="s">
        <v>1326</v>
      </c>
      <c r="G311" s="5"/>
      <c r="H311" s="5" t="s">
        <v>1956</v>
      </c>
      <c r="I311" s="5" t="s">
        <v>1957</v>
      </c>
      <c r="J311" s="6">
        <v>1</v>
      </c>
      <c r="K311" s="7"/>
      <c r="L311" s="13"/>
      <c r="M311" s="8"/>
      <c r="N311" s="13"/>
      <c r="O311" s="13"/>
      <c r="P311" s="13"/>
      <c r="Q311" s="7"/>
      <c r="R311" s="6"/>
      <c r="S311" s="5"/>
      <c r="T311" s="7"/>
      <c r="U311" s="7"/>
      <c r="V311" s="5"/>
      <c r="W311" s="6"/>
      <c r="X311" s="6"/>
      <c r="Y311" s="5"/>
      <c r="Z311" s="6"/>
      <c r="AA311" s="6"/>
      <c r="AB311" s="5"/>
      <c r="AC311" s="6"/>
      <c r="AD311" s="6"/>
      <c r="AE311" s="5"/>
      <c r="AF311" s="6"/>
      <c r="AG311" s="6"/>
      <c r="AH311" s="5"/>
      <c r="AI311" s="6"/>
      <c r="AJ311" s="6"/>
      <c r="AK311" s="5"/>
      <c r="AL311" s="5"/>
      <c r="AM311" s="5"/>
      <c r="AN311" s="5"/>
      <c r="AO311" s="5"/>
      <c r="AP311" s="5"/>
      <c r="AQ311" s="5"/>
    </row>
    <row r="312" spans="1:43" x14ac:dyDescent="0.25">
      <c r="A312" s="161" t="str">
        <f t="shared" si="5"/>
        <v>CARGO_SHIP_RENAISSANCE_NETHERLANDS</v>
      </c>
      <c r="B312" s="9" t="s">
        <v>1322</v>
      </c>
      <c r="C312" s="5" t="s">
        <v>730</v>
      </c>
      <c r="D312" s="5" t="s">
        <v>717</v>
      </c>
      <c r="E312" s="5" t="s">
        <v>1324</v>
      </c>
      <c r="F312" s="5" t="s">
        <v>1326</v>
      </c>
      <c r="G312" s="5"/>
      <c r="H312" s="5"/>
      <c r="I312" s="5"/>
      <c r="J312" s="6"/>
      <c r="K312" s="7"/>
      <c r="L312" s="13"/>
      <c r="M312" s="8"/>
      <c r="N312" s="13"/>
      <c r="O312" s="13"/>
      <c r="P312" s="13"/>
      <c r="Q312" s="7"/>
      <c r="R312" s="6"/>
      <c r="S312" s="5"/>
      <c r="T312" s="7"/>
      <c r="U312" s="7"/>
      <c r="V312" s="5"/>
      <c r="W312" s="6"/>
      <c r="X312" s="6"/>
      <c r="Y312" s="5"/>
      <c r="Z312" s="6"/>
      <c r="AA312" s="6"/>
      <c r="AB312" s="5"/>
      <c r="AC312" s="6"/>
      <c r="AD312" s="6"/>
      <c r="AE312" s="5"/>
      <c r="AF312" s="6"/>
      <c r="AG312" s="6"/>
      <c r="AH312" s="5"/>
      <c r="AI312" s="6"/>
      <c r="AJ312" s="6"/>
      <c r="AK312" s="5"/>
      <c r="AL312" s="5"/>
      <c r="AM312" s="5"/>
      <c r="AN312" s="5"/>
      <c r="AO312" s="5"/>
      <c r="AP312" s="5"/>
      <c r="AQ312" s="5"/>
    </row>
    <row r="313" spans="1:43" x14ac:dyDescent="0.25">
      <c r="A313" s="161" t="str">
        <f t="shared" si="5"/>
        <v>CARGO_SHIP_RENAISSANCE_RIGA</v>
      </c>
      <c r="B313" s="9" t="s">
        <v>1322</v>
      </c>
      <c r="C313" s="5" t="s">
        <v>1203</v>
      </c>
      <c r="D313" s="5" t="s">
        <v>717</v>
      </c>
      <c r="E313" s="5" t="s">
        <v>1324</v>
      </c>
      <c r="F313" s="5" t="s">
        <v>1326</v>
      </c>
      <c r="G313" s="5"/>
      <c r="H313" s="5"/>
      <c r="I313" s="5"/>
      <c r="J313" s="6"/>
      <c r="K313" s="7"/>
      <c r="L313" s="13"/>
      <c r="M313" s="8"/>
      <c r="N313" s="13"/>
      <c r="O313" s="13"/>
      <c r="P313" s="13"/>
      <c r="Q313" s="7"/>
      <c r="R313" s="6"/>
      <c r="S313" s="5"/>
      <c r="T313" s="7"/>
      <c r="U313" s="7"/>
      <c r="V313" s="5"/>
      <c r="W313" s="6"/>
      <c r="X313" s="6"/>
      <c r="Y313" s="5"/>
      <c r="Z313" s="6"/>
      <c r="AA313" s="6"/>
      <c r="AB313" s="5"/>
      <c r="AC313" s="6"/>
      <c r="AD313" s="6"/>
      <c r="AE313" s="5"/>
      <c r="AF313" s="6"/>
      <c r="AG313" s="6"/>
      <c r="AH313" s="5"/>
      <c r="AI313" s="6"/>
      <c r="AJ313" s="6"/>
      <c r="AK313" s="5"/>
      <c r="AL313" s="5"/>
      <c r="AM313" s="5"/>
      <c r="AN313" s="5"/>
      <c r="AO313" s="5"/>
      <c r="AP313" s="5"/>
      <c r="AQ313" s="5"/>
    </row>
    <row r="314" spans="1:43" x14ac:dyDescent="0.25">
      <c r="A314" s="161" t="str">
        <f t="shared" si="5"/>
        <v>CARGO_SHIP_RENAISSANCE_WITTENBERG</v>
      </c>
      <c r="B314" s="9" t="s">
        <v>1322</v>
      </c>
      <c r="C314" s="5" t="s">
        <v>1215</v>
      </c>
      <c r="D314" s="5" t="s">
        <v>717</v>
      </c>
      <c r="E314" s="5" t="s">
        <v>1324</v>
      </c>
      <c r="F314" s="5" t="s">
        <v>1326</v>
      </c>
      <c r="G314" s="5"/>
      <c r="H314" s="5"/>
      <c r="I314" s="5"/>
      <c r="J314" s="6"/>
      <c r="K314" s="7"/>
      <c r="L314" s="13"/>
      <c r="M314" s="8"/>
      <c r="N314" s="13"/>
      <c r="O314" s="13"/>
      <c r="P314" s="13"/>
      <c r="Q314" s="7"/>
      <c r="R314" s="6"/>
      <c r="S314" s="5"/>
      <c r="T314" s="7"/>
      <c r="U314" s="7"/>
      <c r="V314" s="5"/>
      <c r="W314" s="6"/>
      <c r="X314" s="6"/>
      <c r="Y314" s="5"/>
      <c r="Z314" s="6"/>
      <c r="AA314" s="6"/>
      <c r="AB314" s="5"/>
      <c r="AC314" s="6"/>
      <c r="AD314" s="6"/>
      <c r="AE314" s="5"/>
      <c r="AF314" s="6"/>
      <c r="AG314" s="6"/>
      <c r="AH314" s="5"/>
      <c r="AI314" s="6"/>
      <c r="AJ314" s="6"/>
      <c r="AK314" s="5"/>
      <c r="AL314" s="5"/>
      <c r="AM314" s="5"/>
      <c r="AN314" s="5"/>
      <c r="AO314" s="5"/>
      <c r="AP314" s="5"/>
      <c r="AQ314" s="5"/>
    </row>
    <row r="315" spans="1:43" x14ac:dyDescent="0.25">
      <c r="A315" s="161" t="str">
        <f t="shared" si="5"/>
        <v>CARGO_SHIP_RENAISSANCE_MED</v>
      </c>
      <c r="B315" s="9" t="s">
        <v>1322</v>
      </c>
      <c r="C315" s="5" t="s">
        <v>692</v>
      </c>
      <c r="D315" s="5"/>
      <c r="E315" s="5" t="s">
        <v>1324</v>
      </c>
      <c r="F315" s="5" t="s">
        <v>1326</v>
      </c>
      <c r="G315" s="5"/>
      <c r="H315" s="5" t="s">
        <v>2065</v>
      </c>
      <c r="I315" s="5" t="s">
        <v>1984</v>
      </c>
      <c r="J315" s="6">
        <v>1</v>
      </c>
      <c r="K315" s="7"/>
      <c r="L315" s="13"/>
      <c r="M315" s="8"/>
      <c r="N315" s="13"/>
      <c r="O315" s="13"/>
      <c r="P315" s="13"/>
      <c r="Q315" s="7"/>
      <c r="R315" s="6"/>
      <c r="S315" s="5"/>
      <c r="T315" s="7"/>
      <c r="U315" s="7"/>
      <c r="V315" s="5"/>
      <c r="W315" s="6"/>
      <c r="X315" s="6"/>
      <c r="Y315" s="5"/>
      <c r="Z315" s="6"/>
      <c r="AA315" s="6"/>
      <c r="AB315" s="5"/>
      <c r="AC315" s="6"/>
      <c r="AD315" s="6"/>
      <c r="AE315" s="5"/>
      <c r="AF315" s="6"/>
      <c r="AG315" s="6"/>
      <c r="AH315" s="5"/>
      <c r="AI315" s="6"/>
      <c r="AJ315" s="6"/>
      <c r="AK315" s="5"/>
      <c r="AL315" s="5"/>
      <c r="AM315" s="5"/>
      <c r="AN315" s="5"/>
      <c r="AO315" s="5"/>
      <c r="AP315" s="5"/>
      <c r="AQ315" s="5"/>
    </row>
    <row r="316" spans="1:43" x14ac:dyDescent="0.25">
      <c r="A316" s="161" t="str">
        <f t="shared" si="5"/>
        <v>CARGO_SHIP_RENAISSANCE_ROME</v>
      </c>
      <c r="B316" s="9" t="s">
        <v>1322</v>
      </c>
      <c r="C316" s="5" t="s">
        <v>734</v>
      </c>
      <c r="D316" s="5"/>
      <c r="E316" s="5" t="s">
        <v>1324</v>
      </c>
      <c r="F316" s="5" t="s">
        <v>1326</v>
      </c>
      <c r="G316" s="5"/>
      <c r="H316" s="5" t="s">
        <v>1983</v>
      </c>
      <c r="I316" s="5" t="s">
        <v>1984</v>
      </c>
      <c r="J316" s="6">
        <v>1</v>
      </c>
      <c r="K316" s="7"/>
      <c r="L316" s="13"/>
      <c r="M316" s="8"/>
      <c r="N316" s="13"/>
      <c r="O316" s="13"/>
      <c r="P316" s="13"/>
      <c r="Q316" s="7"/>
      <c r="R316" s="6"/>
      <c r="S316" s="5"/>
      <c r="T316" s="7"/>
      <c r="U316" s="7"/>
      <c r="V316" s="5"/>
      <c r="W316" s="6"/>
      <c r="X316" s="6"/>
      <c r="Y316" s="5"/>
      <c r="Z316" s="6"/>
      <c r="AA316" s="6"/>
      <c r="AB316" s="5"/>
      <c r="AC316" s="6"/>
      <c r="AD316" s="6"/>
      <c r="AE316" s="5"/>
      <c r="AF316" s="6"/>
      <c r="AG316" s="6"/>
      <c r="AH316" s="5"/>
      <c r="AI316" s="6"/>
      <c r="AJ316" s="6"/>
      <c r="AK316" s="5"/>
      <c r="AL316" s="5"/>
      <c r="AM316" s="5"/>
      <c r="AN316" s="5"/>
      <c r="AO316" s="5"/>
      <c r="AP316" s="5"/>
      <c r="AQ316" s="5"/>
    </row>
    <row r="317" spans="1:43" x14ac:dyDescent="0.25">
      <c r="A317" s="161" t="str">
        <f t="shared" si="5"/>
        <v>CARGO_SHIP_RENAISSANCE_SPAIN</v>
      </c>
      <c r="B317" s="9" t="s">
        <v>1322</v>
      </c>
      <c r="C317" s="5" t="s">
        <v>738</v>
      </c>
      <c r="D317" s="5"/>
      <c r="E317" s="5" t="s">
        <v>1324</v>
      </c>
      <c r="F317" s="5" t="s">
        <v>1326</v>
      </c>
      <c r="G317" s="5"/>
      <c r="H317" s="5" t="s">
        <v>1658</v>
      </c>
      <c r="I317" s="5" t="s">
        <v>128</v>
      </c>
      <c r="J317" s="6">
        <v>1</v>
      </c>
      <c r="K317" s="7"/>
      <c r="L317" s="13" t="s">
        <v>1712</v>
      </c>
      <c r="M317" s="8"/>
      <c r="N317" s="13" t="s">
        <v>1727</v>
      </c>
      <c r="O317" s="13"/>
      <c r="P317" s="13"/>
      <c r="Q317" s="7">
        <v>1</v>
      </c>
      <c r="R317" s="6">
        <v>0.15</v>
      </c>
      <c r="S317" s="13"/>
      <c r="T317" s="6">
        <v>3</v>
      </c>
      <c r="U317" s="6" t="s">
        <v>1695</v>
      </c>
      <c r="V317" s="5" t="s">
        <v>1696</v>
      </c>
      <c r="W317" s="6"/>
      <c r="X317" s="6"/>
      <c r="Y317" s="5"/>
      <c r="Z317" s="7"/>
      <c r="AA317" s="6"/>
      <c r="AB317" s="5"/>
      <c r="AC317" s="6"/>
      <c r="AD317" s="6"/>
      <c r="AE317" s="5"/>
      <c r="AF317" s="6"/>
      <c r="AG317" s="6"/>
      <c r="AH317" s="5"/>
      <c r="AI317" s="6"/>
      <c r="AJ317" s="6"/>
      <c r="AK317" s="5"/>
      <c r="AL317" s="5"/>
      <c r="AM317" s="5"/>
      <c r="AN317" s="5"/>
      <c r="AO317" s="5"/>
      <c r="AP317" s="5"/>
      <c r="AQ317" s="5"/>
    </row>
    <row r="318" spans="1:43" x14ac:dyDescent="0.25">
      <c r="A318" s="161" t="str">
        <f t="shared" si="5"/>
        <v>CARGO_SHIP_RENAISSANCE_NORTHAF</v>
      </c>
      <c r="B318" s="9" t="s">
        <v>1322</v>
      </c>
      <c r="C318" s="5" t="s">
        <v>2011</v>
      </c>
      <c r="D318" s="5"/>
      <c r="E318" s="5" t="s">
        <v>1324</v>
      </c>
      <c r="F318" s="5" t="s">
        <v>1326</v>
      </c>
      <c r="G318" s="5"/>
      <c r="H318" s="5" t="s">
        <v>1980</v>
      </c>
      <c r="I318" s="5" t="s">
        <v>1984</v>
      </c>
      <c r="J318" s="6">
        <v>1</v>
      </c>
      <c r="K318" s="7"/>
      <c r="L318" s="13"/>
      <c r="M318" s="8"/>
      <c r="N318" s="13"/>
      <c r="O318" s="13"/>
      <c r="P318" s="13"/>
      <c r="Q318" s="7"/>
      <c r="R318" s="6"/>
      <c r="S318" s="5"/>
      <c r="T318" s="7"/>
      <c r="U318" s="7"/>
      <c r="V318" s="5"/>
      <c r="W318" s="6"/>
      <c r="X318" s="6"/>
      <c r="Y318" s="5"/>
      <c r="Z318" s="6"/>
      <c r="AA318" s="6"/>
      <c r="AB318" s="5"/>
      <c r="AC318" s="6"/>
      <c r="AD318" s="6"/>
      <c r="AE318" s="5"/>
      <c r="AF318" s="6"/>
      <c r="AG318" s="6"/>
      <c r="AH318" s="5"/>
      <c r="AI318" s="6"/>
      <c r="AJ318" s="6"/>
      <c r="AK318" s="5"/>
      <c r="AL318" s="5"/>
      <c r="AM318" s="5"/>
      <c r="AN318" s="5"/>
      <c r="AO318" s="5"/>
      <c r="AP318" s="5"/>
      <c r="AQ318" s="5"/>
    </row>
    <row r="319" spans="1:43" x14ac:dyDescent="0.25">
      <c r="A319" s="161" t="str">
        <f t="shared" si="5"/>
        <v>CARGO_SHIP_RENAISSANCE_SWEDEN</v>
      </c>
      <c r="B319" s="9" t="s">
        <v>1322</v>
      </c>
      <c r="C319" s="5" t="s">
        <v>739</v>
      </c>
      <c r="D319" s="5"/>
      <c r="E319" s="5" t="s">
        <v>1324</v>
      </c>
      <c r="F319" s="5" t="s">
        <v>1326</v>
      </c>
      <c r="G319" s="5"/>
      <c r="H319" s="5" t="s">
        <v>1982</v>
      </c>
      <c r="I319" s="5" t="s">
        <v>1984</v>
      </c>
      <c r="J319" s="6">
        <v>1</v>
      </c>
      <c r="K319" s="7"/>
      <c r="L319" s="13"/>
      <c r="M319" s="8"/>
      <c r="N319" s="13"/>
      <c r="O319" s="13"/>
      <c r="P319" s="13"/>
      <c r="Q319" s="7"/>
      <c r="R319" s="6"/>
      <c r="S319" s="5"/>
      <c r="T319" s="7"/>
      <c r="U319" s="7"/>
      <c r="V319" s="5"/>
      <c r="W319" s="6"/>
      <c r="X319" s="6"/>
      <c r="Y319" s="5"/>
      <c r="Z319" s="6"/>
      <c r="AA319" s="6"/>
      <c r="AB319" s="5"/>
      <c r="AC319" s="6"/>
      <c r="AD319" s="6"/>
      <c r="AE319" s="5"/>
      <c r="AF319" s="6"/>
      <c r="AG319" s="6"/>
      <c r="AH319" s="5"/>
      <c r="AI319" s="6"/>
      <c r="AJ319" s="6"/>
      <c r="AK319" s="5"/>
      <c r="AL319" s="5"/>
      <c r="AM319" s="5"/>
      <c r="AN319" s="5"/>
      <c r="AO319" s="5"/>
      <c r="AP319" s="5"/>
      <c r="AQ319" s="5"/>
    </row>
    <row r="320" spans="1:43" s="2" customFormat="1" x14ac:dyDescent="0.25">
      <c r="A320" s="161" t="str">
        <f t="shared" si="4"/>
        <v>CARRIER</v>
      </c>
      <c r="B320" s="9" t="s">
        <v>117</v>
      </c>
      <c r="C320" s="5"/>
      <c r="D320" s="5"/>
      <c r="E320" s="5" t="s">
        <v>117</v>
      </c>
      <c r="F320" s="5" t="s">
        <v>117</v>
      </c>
      <c r="G320" s="5"/>
      <c r="H320" s="5" t="s">
        <v>1500</v>
      </c>
      <c r="I320" s="5" t="s">
        <v>102</v>
      </c>
      <c r="J320" s="6"/>
      <c r="K320" s="7"/>
      <c r="L320" s="13" t="s">
        <v>1713</v>
      </c>
      <c r="M320" s="8"/>
      <c r="N320" s="13" t="s">
        <v>1727</v>
      </c>
      <c r="O320" s="13"/>
      <c r="P320" s="13"/>
      <c r="Q320" s="7">
        <v>1</v>
      </c>
      <c r="R320" s="6">
        <v>0.09</v>
      </c>
      <c r="S320" s="5"/>
      <c r="T320" s="6"/>
      <c r="U320" s="6">
        <v>0.105</v>
      </c>
      <c r="V320" s="5"/>
      <c r="W320" s="6"/>
      <c r="X320" s="6"/>
      <c r="Y320" s="5"/>
      <c r="Z320" s="6"/>
      <c r="AA320" s="6"/>
      <c r="AB320" s="5"/>
      <c r="AC320" s="6"/>
      <c r="AD320" s="6"/>
      <c r="AE320" s="5"/>
      <c r="AF320" s="6"/>
      <c r="AG320" s="6"/>
      <c r="AH320" s="5"/>
      <c r="AI320" s="6"/>
      <c r="AJ320" s="6"/>
      <c r="AK320" s="5"/>
      <c r="AL320" s="5"/>
      <c r="AM320" s="5"/>
      <c r="AN320" s="5"/>
      <c r="AO320" s="5"/>
      <c r="AP320" s="5"/>
      <c r="AQ320" s="5"/>
    </row>
    <row r="321" spans="1:43" s="2" customFormat="1" x14ac:dyDescent="0.25">
      <c r="A321" s="161" t="str">
        <f t="shared" si="4"/>
        <v>CARRIER_AMER</v>
      </c>
      <c r="B321" s="9" t="s">
        <v>117</v>
      </c>
      <c r="C321" s="5" t="s">
        <v>697</v>
      </c>
      <c r="D321" s="5" t="s">
        <v>699</v>
      </c>
      <c r="E321" s="5" t="s">
        <v>117</v>
      </c>
      <c r="F321" s="5" t="s">
        <v>117</v>
      </c>
      <c r="G321" s="5"/>
      <c r="H321" s="5"/>
      <c r="I321" s="5"/>
      <c r="J321" s="6"/>
      <c r="K321" s="7"/>
      <c r="L321" s="13"/>
      <c r="M321" s="8"/>
      <c r="N321" s="13"/>
      <c r="O321" s="13"/>
      <c r="P321" s="13"/>
      <c r="Q321" s="7"/>
      <c r="R321" s="6"/>
      <c r="S321" s="5"/>
      <c r="T321" s="6"/>
      <c r="U321" s="6"/>
      <c r="V321" s="5"/>
      <c r="W321" s="6"/>
      <c r="X321" s="6"/>
      <c r="Y321" s="5"/>
      <c r="Z321" s="6"/>
      <c r="AA321" s="6"/>
      <c r="AB321" s="5"/>
      <c r="AC321" s="6"/>
      <c r="AD321" s="6"/>
      <c r="AE321" s="5"/>
      <c r="AF321" s="6"/>
      <c r="AG321" s="6"/>
      <c r="AH321" s="5"/>
      <c r="AI321" s="6"/>
      <c r="AJ321" s="6"/>
      <c r="AK321" s="5"/>
      <c r="AL321" s="5"/>
      <c r="AM321" s="5"/>
      <c r="AN321" s="5"/>
      <c r="AO321" s="5"/>
      <c r="AP321" s="5"/>
      <c r="AQ321" s="5"/>
    </row>
    <row r="322" spans="1:43" s="2" customFormat="1" x14ac:dyDescent="0.25">
      <c r="A322" s="161" t="str">
        <f t="shared" si="4"/>
        <v>CARRIER_ASIA</v>
      </c>
      <c r="B322" s="9" t="s">
        <v>117</v>
      </c>
      <c r="C322" s="5" t="s">
        <v>693</v>
      </c>
      <c r="D322" s="5" t="s">
        <v>698</v>
      </c>
      <c r="E322" s="5" t="s">
        <v>117</v>
      </c>
      <c r="F322" s="5" t="s">
        <v>117</v>
      </c>
      <c r="G322" s="5"/>
      <c r="H322" s="5"/>
      <c r="I322" s="5"/>
      <c r="J322" s="6"/>
      <c r="K322" s="7"/>
      <c r="L322" s="13"/>
      <c r="M322" s="8"/>
      <c r="N322" s="13"/>
      <c r="O322" s="13"/>
      <c r="P322" s="13"/>
      <c r="Q322" s="7"/>
      <c r="R322" s="6"/>
      <c r="S322" s="5"/>
      <c r="T322" s="6"/>
      <c r="U322" s="6"/>
      <c r="V322" s="5"/>
      <c r="W322" s="6"/>
      <c r="X322" s="6"/>
      <c r="Y322" s="5"/>
      <c r="Z322" s="6"/>
      <c r="AA322" s="6"/>
      <c r="AB322" s="5"/>
      <c r="AC322" s="6"/>
      <c r="AD322" s="6"/>
      <c r="AE322" s="5"/>
      <c r="AF322" s="6"/>
      <c r="AG322" s="6"/>
      <c r="AH322" s="5"/>
      <c r="AI322" s="6"/>
      <c r="AJ322" s="6"/>
      <c r="AK322" s="5"/>
      <c r="AL322" s="5"/>
      <c r="AM322" s="5"/>
      <c r="AN322" s="5"/>
      <c r="AO322" s="5"/>
      <c r="AP322" s="5"/>
      <c r="AQ322" s="5"/>
    </row>
    <row r="323" spans="1:43" s="2" customFormat="1" x14ac:dyDescent="0.25">
      <c r="A323" s="161" t="str">
        <f t="shared" si="4"/>
        <v>CARRIER_JAPAN</v>
      </c>
      <c r="B323" s="9" t="s">
        <v>117</v>
      </c>
      <c r="C323" s="4" t="s">
        <v>722</v>
      </c>
      <c r="D323" s="4"/>
      <c r="E323" s="4" t="s">
        <v>117</v>
      </c>
      <c r="F323" s="4" t="s">
        <v>117</v>
      </c>
      <c r="G323" s="14" t="s">
        <v>132</v>
      </c>
      <c r="H323" s="4" t="s">
        <v>1936</v>
      </c>
      <c r="I323" s="4" t="s">
        <v>102</v>
      </c>
      <c r="J323" s="11"/>
      <c r="K323" s="11"/>
      <c r="L323" s="4"/>
      <c r="M323" s="12"/>
      <c r="N323" s="4"/>
      <c r="O323" s="4"/>
      <c r="P323" s="4"/>
      <c r="Q323" s="11"/>
      <c r="R323" s="11"/>
      <c r="S323" s="4"/>
      <c r="T323" s="11"/>
      <c r="U323" s="11"/>
      <c r="V323" s="4"/>
      <c r="W323" s="11"/>
      <c r="X323" s="11"/>
      <c r="Y323" s="4"/>
      <c r="Z323" s="11"/>
      <c r="AA323" s="11"/>
      <c r="AB323" s="4"/>
      <c r="AC323" s="11"/>
      <c r="AD323" s="11"/>
      <c r="AE323" s="4"/>
      <c r="AF323" s="11"/>
      <c r="AG323" s="11"/>
      <c r="AH323" s="4"/>
      <c r="AI323" s="11"/>
      <c r="AJ323" s="11"/>
      <c r="AK323" s="4"/>
      <c r="AL323" s="4"/>
      <c r="AM323" s="4"/>
      <c r="AN323" s="4"/>
      <c r="AO323" s="4"/>
      <c r="AP323" s="4"/>
      <c r="AQ323" s="4"/>
    </row>
    <row r="324" spans="1:43" s="2" customFormat="1" x14ac:dyDescent="0.25">
      <c r="A324" s="161" t="str">
        <f t="shared" si="4"/>
        <v>CARRIER_EASTEU</v>
      </c>
      <c r="B324" s="9" t="s">
        <v>117</v>
      </c>
      <c r="C324" s="4" t="s">
        <v>698</v>
      </c>
      <c r="D324" s="4"/>
      <c r="E324" s="4" t="s">
        <v>117</v>
      </c>
      <c r="F324" s="4" t="s">
        <v>117</v>
      </c>
      <c r="G324" s="14"/>
      <c r="H324" s="4" t="s">
        <v>608</v>
      </c>
      <c r="I324" s="4" t="s">
        <v>102</v>
      </c>
      <c r="J324" s="11"/>
      <c r="K324" s="11"/>
      <c r="L324" s="4"/>
      <c r="M324" s="12"/>
      <c r="N324" s="4"/>
      <c r="O324" s="4"/>
      <c r="P324" s="4"/>
      <c r="Q324" s="11"/>
      <c r="R324" s="11"/>
      <c r="S324" s="4"/>
      <c r="T324" s="11"/>
      <c r="U324" s="11"/>
      <c r="V324" s="4"/>
      <c r="W324" s="11"/>
      <c r="X324" s="11"/>
      <c r="Y324" s="4"/>
      <c r="Z324" s="11"/>
      <c r="AA324" s="11"/>
      <c r="AB324" s="4"/>
      <c r="AC324" s="11"/>
      <c r="AD324" s="11"/>
      <c r="AE324" s="4"/>
      <c r="AF324" s="11"/>
      <c r="AG324" s="11"/>
      <c r="AH324" s="4"/>
      <c r="AI324" s="11"/>
      <c r="AJ324" s="11"/>
      <c r="AK324" s="4"/>
      <c r="AL324" s="4"/>
      <c r="AM324" s="4"/>
      <c r="AN324" s="4"/>
      <c r="AO324" s="4"/>
      <c r="AP324" s="4"/>
      <c r="AQ324" s="4"/>
    </row>
    <row r="325" spans="1:43" s="2" customFormat="1" x14ac:dyDescent="0.25">
      <c r="A325" s="161" t="str">
        <f t="shared" si="4"/>
        <v>CARRIER_RUSSIA</v>
      </c>
      <c r="B325" s="9" t="s">
        <v>117</v>
      </c>
      <c r="C325" s="4" t="s">
        <v>735</v>
      </c>
      <c r="D325" s="4" t="s">
        <v>698</v>
      </c>
      <c r="E325" s="4" t="s">
        <v>117</v>
      </c>
      <c r="F325" s="4" t="s">
        <v>117</v>
      </c>
      <c r="G325" s="14" t="s">
        <v>132</v>
      </c>
      <c r="H325" s="4"/>
      <c r="I325" s="4"/>
      <c r="J325" s="11"/>
      <c r="K325" s="11"/>
      <c r="L325" s="4"/>
      <c r="M325" s="12"/>
      <c r="N325" s="4"/>
      <c r="O325" s="4"/>
      <c r="P325" s="4"/>
      <c r="Q325" s="11"/>
      <c r="R325" s="11"/>
      <c r="S325" s="4"/>
      <c r="T325" s="11"/>
      <c r="U325" s="11"/>
      <c r="V325" s="4"/>
      <c r="W325" s="11"/>
      <c r="X325" s="11"/>
      <c r="Y325" s="4"/>
      <c r="Z325" s="11"/>
      <c r="AA325" s="11"/>
      <c r="AB325" s="4"/>
      <c r="AC325" s="11"/>
      <c r="AD325" s="11"/>
      <c r="AE325" s="4"/>
      <c r="AF325" s="11"/>
      <c r="AG325" s="11"/>
      <c r="AH325" s="4"/>
      <c r="AI325" s="11"/>
      <c r="AJ325" s="11"/>
      <c r="AK325" s="4"/>
      <c r="AL325" s="4"/>
      <c r="AM325" s="4"/>
      <c r="AN325" s="4"/>
      <c r="AO325" s="4"/>
      <c r="AP325" s="4"/>
      <c r="AQ325" s="4"/>
    </row>
    <row r="326" spans="1:43" s="2" customFormat="1" x14ac:dyDescent="0.25">
      <c r="A326" s="161" t="str">
        <f t="shared" si="4"/>
        <v>CARRIER_AMERICA</v>
      </c>
      <c r="B326" s="9" t="s">
        <v>117</v>
      </c>
      <c r="C326" s="4" t="s">
        <v>699</v>
      </c>
      <c r="D326" s="4"/>
      <c r="E326" s="4" t="s">
        <v>117</v>
      </c>
      <c r="F326" s="4" t="s">
        <v>117</v>
      </c>
      <c r="G326" s="14"/>
      <c r="H326" s="4" t="s">
        <v>135</v>
      </c>
      <c r="I326" s="4" t="s">
        <v>102</v>
      </c>
      <c r="J326" s="11"/>
      <c r="K326" s="11"/>
      <c r="L326" s="4"/>
      <c r="M326" s="12"/>
      <c r="N326" s="4"/>
      <c r="O326" s="4"/>
      <c r="P326" s="4"/>
      <c r="Q326" s="11"/>
      <c r="R326" s="11"/>
      <c r="S326" s="4"/>
      <c r="T326" s="11"/>
      <c r="U326" s="11"/>
      <c r="V326" s="4"/>
      <c r="W326" s="11"/>
      <c r="X326" s="11"/>
      <c r="Y326" s="4"/>
      <c r="Z326" s="11"/>
      <c r="AA326" s="11"/>
      <c r="AB326" s="4"/>
      <c r="AC326" s="11"/>
      <c r="AD326" s="11"/>
      <c r="AE326" s="4"/>
      <c r="AF326" s="11"/>
      <c r="AG326" s="11"/>
      <c r="AH326" s="4"/>
      <c r="AI326" s="11"/>
      <c r="AJ326" s="11"/>
      <c r="AK326" s="4"/>
      <c r="AL326" s="4"/>
      <c r="AM326" s="4"/>
      <c r="AN326" s="4"/>
      <c r="AO326" s="4"/>
      <c r="AP326" s="4"/>
      <c r="AQ326" s="4"/>
    </row>
    <row r="327" spans="1:43" s="2" customFormat="1" x14ac:dyDescent="0.25">
      <c r="A327" s="161" t="str">
        <f t="shared" si="4"/>
        <v>CARRIER_AUSTRALIA</v>
      </c>
      <c r="B327" s="9" t="s">
        <v>117</v>
      </c>
      <c r="C327" s="4" t="s">
        <v>1302</v>
      </c>
      <c r="D327" s="4" t="s">
        <v>713</v>
      </c>
      <c r="E327" s="4" t="s">
        <v>117</v>
      </c>
      <c r="F327" s="4" t="s">
        <v>117</v>
      </c>
      <c r="G327" s="14"/>
      <c r="H327" s="4"/>
      <c r="I327" s="4"/>
      <c r="J327" s="11"/>
      <c r="K327" s="11"/>
      <c r="L327" s="4"/>
      <c r="M327" s="12"/>
      <c r="N327" s="4"/>
      <c r="O327" s="4"/>
      <c r="P327" s="4"/>
      <c r="Q327" s="11"/>
      <c r="R327" s="11"/>
      <c r="S327" s="4"/>
      <c r="T327" s="11"/>
      <c r="U327" s="11"/>
      <c r="V327" s="4"/>
      <c r="W327" s="11"/>
      <c r="X327" s="11"/>
      <c r="Y327" s="4"/>
      <c r="Z327" s="11"/>
      <c r="AA327" s="11"/>
      <c r="AB327" s="4"/>
      <c r="AC327" s="11"/>
      <c r="AD327" s="11"/>
      <c r="AE327" s="4"/>
      <c r="AF327" s="11"/>
      <c r="AG327" s="11"/>
      <c r="AH327" s="4"/>
      <c r="AI327" s="11"/>
      <c r="AJ327" s="11"/>
      <c r="AK327" s="4"/>
      <c r="AL327" s="4"/>
      <c r="AM327" s="4"/>
      <c r="AN327" s="4"/>
      <c r="AO327" s="4"/>
      <c r="AP327" s="4"/>
      <c r="AQ327" s="4"/>
    </row>
    <row r="328" spans="1:43" s="2" customFormat="1" x14ac:dyDescent="0.25">
      <c r="A328" s="161" t="str">
        <f t="shared" si="4"/>
        <v>CARRIER_AUSTRIA</v>
      </c>
      <c r="B328" s="9" t="s">
        <v>117</v>
      </c>
      <c r="C328" s="4" t="s">
        <v>701</v>
      </c>
      <c r="D328" s="4" t="s">
        <v>717</v>
      </c>
      <c r="E328" s="4" t="s">
        <v>117</v>
      </c>
      <c r="F328" s="4" t="s">
        <v>117</v>
      </c>
      <c r="G328" s="14"/>
      <c r="H328" s="4"/>
      <c r="I328" s="4"/>
      <c r="J328" s="11"/>
      <c r="K328" s="11"/>
      <c r="L328" s="4"/>
      <c r="M328" s="12"/>
      <c r="N328" s="4"/>
      <c r="O328" s="4"/>
      <c r="P328" s="4"/>
      <c r="Q328" s="11"/>
      <c r="R328" s="11"/>
      <c r="S328" s="4"/>
      <c r="T328" s="11"/>
      <c r="U328" s="11"/>
      <c r="V328" s="4"/>
      <c r="W328" s="11"/>
      <c r="X328" s="11"/>
      <c r="Y328" s="4"/>
      <c r="Z328" s="11"/>
      <c r="AA328" s="11"/>
      <c r="AB328" s="4"/>
      <c r="AC328" s="11"/>
      <c r="AD328" s="11"/>
      <c r="AE328" s="4"/>
      <c r="AF328" s="11"/>
      <c r="AG328" s="11"/>
      <c r="AH328" s="4"/>
      <c r="AI328" s="11"/>
      <c r="AJ328" s="11"/>
      <c r="AK328" s="4"/>
      <c r="AL328" s="4"/>
      <c r="AM328" s="4"/>
      <c r="AN328" s="4"/>
      <c r="AO328" s="4"/>
      <c r="AP328" s="4"/>
      <c r="AQ328" s="4"/>
    </row>
    <row r="329" spans="1:43" s="2" customFormat="1" x14ac:dyDescent="0.25">
      <c r="A329" s="161" t="str">
        <f t="shared" si="4"/>
        <v>CARRIER_CANADA</v>
      </c>
      <c r="B329" s="9" t="s">
        <v>117</v>
      </c>
      <c r="C329" s="4" t="s">
        <v>2223</v>
      </c>
      <c r="D329" s="4" t="s">
        <v>713</v>
      </c>
      <c r="E329" s="4" t="s">
        <v>117</v>
      </c>
      <c r="F329" s="4" t="s">
        <v>117</v>
      </c>
      <c r="G329" s="14"/>
      <c r="H329" s="4"/>
      <c r="I329" s="4"/>
      <c r="J329" s="11"/>
      <c r="K329" s="11"/>
      <c r="L329" s="4"/>
      <c r="M329" s="12"/>
      <c r="N329" s="4"/>
      <c r="O329" s="4"/>
      <c r="P329" s="4"/>
      <c r="Q329" s="11"/>
      <c r="R329" s="11"/>
      <c r="S329" s="4"/>
      <c r="T329" s="11"/>
      <c r="U329" s="11"/>
      <c r="V329" s="4"/>
      <c r="W329" s="11"/>
      <c r="X329" s="11"/>
      <c r="Y329" s="4"/>
      <c r="Z329" s="11"/>
      <c r="AA329" s="11"/>
      <c r="AB329" s="4"/>
      <c r="AC329" s="11"/>
      <c r="AD329" s="11"/>
      <c r="AE329" s="4"/>
      <c r="AF329" s="11"/>
      <c r="AG329" s="11"/>
      <c r="AH329" s="4"/>
      <c r="AI329" s="11"/>
      <c r="AJ329" s="11"/>
      <c r="AK329" s="4"/>
      <c r="AL329" s="4"/>
      <c r="AM329" s="4"/>
      <c r="AN329" s="4"/>
      <c r="AO329" s="4"/>
      <c r="AP329" s="4"/>
      <c r="AQ329" s="4"/>
    </row>
    <row r="330" spans="1:43" s="2" customFormat="1" x14ac:dyDescent="0.25">
      <c r="A330" s="161" t="str">
        <f t="shared" si="4"/>
        <v>CARRIER_CELTS</v>
      </c>
      <c r="B330" s="9" t="s">
        <v>117</v>
      </c>
      <c r="C330" s="4" t="s">
        <v>709</v>
      </c>
      <c r="D330" s="4" t="s">
        <v>713</v>
      </c>
      <c r="E330" s="4" t="s">
        <v>117</v>
      </c>
      <c r="F330" s="4" t="s">
        <v>117</v>
      </c>
      <c r="G330" s="14"/>
      <c r="H330" s="4"/>
      <c r="I330" s="4"/>
      <c r="J330" s="11"/>
      <c r="K330" s="11"/>
      <c r="L330" s="4"/>
      <c r="M330" s="12"/>
      <c r="N330" s="4"/>
      <c r="O330" s="4"/>
      <c r="P330" s="4"/>
      <c r="Q330" s="11"/>
      <c r="R330" s="11"/>
      <c r="S330" s="4"/>
      <c r="T330" s="11"/>
      <c r="U330" s="11"/>
      <c r="V330" s="4"/>
      <c r="W330" s="11"/>
      <c r="X330" s="11"/>
      <c r="Y330" s="4"/>
      <c r="Z330" s="11"/>
      <c r="AA330" s="11"/>
      <c r="AB330" s="4"/>
      <c r="AC330" s="11"/>
      <c r="AD330" s="11"/>
      <c r="AE330" s="4"/>
      <c r="AF330" s="11"/>
      <c r="AG330" s="11"/>
      <c r="AH330" s="4"/>
      <c r="AI330" s="11"/>
      <c r="AJ330" s="11"/>
      <c r="AK330" s="4"/>
      <c r="AL330" s="4"/>
      <c r="AM330" s="4"/>
      <c r="AN330" s="4"/>
      <c r="AO330" s="4"/>
      <c r="AP330" s="4"/>
      <c r="AQ330" s="4"/>
    </row>
    <row r="331" spans="1:43" s="2" customFormat="1" x14ac:dyDescent="0.25">
      <c r="A331" s="161" t="str">
        <f t="shared" si="4"/>
        <v>CARRIER_ENGLAND</v>
      </c>
      <c r="B331" s="9" t="s">
        <v>117</v>
      </c>
      <c r="C331" s="4" t="s">
        <v>713</v>
      </c>
      <c r="D331" s="4"/>
      <c r="E331" s="4" t="s">
        <v>117</v>
      </c>
      <c r="F331" s="4" t="s">
        <v>117</v>
      </c>
      <c r="G331" s="14" t="s">
        <v>132</v>
      </c>
      <c r="H331" s="4" t="s">
        <v>294</v>
      </c>
      <c r="I331" s="4" t="s">
        <v>102</v>
      </c>
      <c r="J331" s="11"/>
      <c r="K331" s="11"/>
      <c r="L331" s="4"/>
      <c r="M331" s="12"/>
      <c r="N331" s="4"/>
      <c r="O331" s="4"/>
      <c r="P331" s="4"/>
      <c r="Q331" s="11"/>
      <c r="R331" s="11"/>
      <c r="S331" s="4"/>
      <c r="T331" s="11"/>
      <c r="U331" s="11"/>
      <c r="V331" s="4"/>
      <c r="W331" s="11"/>
      <c r="X331" s="11"/>
      <c r="Y331" s="4"/>
      <c r="Z331" s="11"/>
      <c r="AA331" s="11"/>
      <c r="AB331" s="4"/>
      <c r="AC331" s="11"/>
      <c r="AD331" s="11"/>
      <c r="AE331" s="4"/>
      <c r="AF331" s="11"/>
      <c r="AG331" s="11"/>
      <c r="AH331" s="4"/>
      <c r="AI331" s="11"/>
      <c r="AJ331" s="11"/>
      <c r="AK331" s="4"/>
      <c r="AL331" s="4"/>
      <c r="AM331" s="4"/>
      <c r="AN331" s="4"/>
      <c r="AO331" s="4"/>
      <c r="AP331" s="4"/>
      <c r="AQ331" s="4"/>
    </row>
    <row r="332" spans="1:43" s="2" customFormat="1" x14ac:dyDescent="0.25">
      <c r="A332" s="161" t="str">
        <f t="shared" si="4"/>
        <v>CARRIER_FRANCE</v>
      </c>
      <c r="B332" s="9" t="s">
        <v>117</v>
      </c>
      <c r="C332" s="4" t="s">
        <v>715</v>
      </c>
      <c r="D332" s="4"/>
      <c r="E332" s="4" t="s">
        <v>117</v>
      </c>
      <c r="F332" s="4" t="s">
        <v>117</v>
      </c>
      <c r="G332" s="14" t="s">
        <v>132</v>
      </c>
      <c r="H332" s="4" t="s">
        <v>338</v>
      </c>
      <c r="I332" s="4" t="s">
        <v>102</v>
      </c>
      <c r="J332" s="11"/>
      <c r="K332" s="11"/>
      <c r="L332" s="4"/>
      <c r="M332" s="12"/>
      <c r="N332" s="4"/>
      <c r="O332" s="4"/>
      <c r="P332" s="4"/>
      <c r="Q332" s="11"/>
      <c r="R332" s="11"/>
      <c r="S332" s="4"/>
      <c r="T332" s="11"/>
      <c r="U332" s="11"/>
      <c r="V332" s="4"/>
      <c r="W332" s="11"/>
      <c r="X332" s="11"/>
      <c r="Y332" s="4"/>
      <c r="Z332" s="11"/>
      <c r="AA332" s="11"/>
      <c r="AB332" s="4"/>
      <c r="AC332" s="11"/>
      <c r="AD332" s="11"/>
      <c r="AE332" s="4"/>
      <c r="AF332" s="11"/>
      <c r="AG332" s="11"/>
      <c r="AH332" s="4"/>
      <c r="AI332" s="11"/>
      <c r="AJ332" s="11"/>
      <c r="AK332" s="4"/>
      <c r="AL332" s="4"/>
      <c r="AM332" s="4"/>
      <c r="AN332" s="4"/>
      <c r="AO332" s="4"/>
      <c r="AP332" s="4"/>
      <c r="AQ332" s="4"/>
    </row>
    <row r="333" spans="1:43" s="2" customFormat="1" x14ac:dyDescent="0.25">
      <c r="A333" s="161" t="str">
        <f t="shared" si="4"/>
        <v>CARRIER_GERMANY</v>
      </c>
      <c r="B333" s="9" t="s">
        <v>117</v>
      </c>
      <c r="C333" s="4" t="s">
        <v>717</v>
      </c>
      <c r="D333" s="4"/>
      <c r="E333" s="4" t="s">
        <v>117</v>
      </c>
      <c r="F333" s="4" t="s">
        <v>117</v>
      </c>
      <c r="G333" s="14" t="s">
        <v>132</v>
      </c>
      <c r="H333" s="4" t="s">
        <v>368</v>
      </c>
      <c r="I333" s="4" t="s">
        <v>102</v>
      </c>
      <c r="J333" s="11"/>
      <c r="K333" s="11"/>
      <c r="L333" s="4"/>
      <c r="M333" s="12"/>
      <c r="N333" s="4"/>
      <c r="O333" s="4"/>
      <c r="P333" s="4"/>
      <c r="Q333" s="11"/>
      <c r="R333" s="11"/>
      <c r="S333" s="4"/>
      <c r="T333" s="11"/>
      <c r="U333" s="11"/>
      <c r="V333" s="4"/>
      <c r="W333" s="11"/>
      <c r="X333" s="11"/>
      <c r="Y333" s="4"/>
      <c r="Z333" s="11"/>
      <c r="AA333" s="11"/>
      <c r="AB333" s="4"/>
      <c r="AC333" s="11"/>
      <c r="AD333" s="11"/>
      <c r="AE333" s="4"/>
      <c r="AF333" s="11"/>
      <c r="AG333" s="11"/>
      <c r="AH333" s="4"/>
      <c r="AI333" s="11"/>
      <c r="AJ333" s="11"/>
      <c r="AK333" s="4"/>
      <c r="AL333" s="4"/>
      <c r="AM333" s="4"/>
      <c r="AN333" s="4"/>
      <c r="AO333" s="4"/>
      <c r="AP333" s="4"/>
      <c r="AQ333" s="4"/>
    </row>
    <row r="334" spans="1:43" s="2" customFormat="1" x14ac:dyDescent="0.25">
      <c r="A334" s="161" t="str">
        <f t="shared" si="4"/>
        <v>CARRIER_ROME</v>
      </c>
      <c r="B334" s="9" t="s">
        <v>117</v>
      </c>
      <c r="C334" s="4" t="s">
        <v>734</v>
      </c>
      <c r="D334" s="4"/>
      <c r="E334" s="4" t="s">
        <v>117</v>
      </c>
      <c r="F334" s="4" t="s">
        <v>117</v>
      </c>
      <c r="G334" s="14" t="s">
        <v>132</v>
      </c>
      <c r="H334" s="4" t="s">
        <v>583</v>
      </c>
      <c r="I334" s="4" t="s">
        <v>102</v>
      </c>
      <c r="J334" s="11"/>
      <c r="K334" s="11"/>
      <c r="L334" s="4"/>
      <c r="M334" s="12"/>
      <c r="N334" s="4"/>
      <c r="O334" s="4"/>
      <c r="P334" s="4"/>
      <c r="Q334" s="11"/>
      <c r="R334" s="11"/>
      <c r="S334" s="4"/>
      <c r="T334" s="11"/>
      <c r="U334" s="11"/>
      <c r="V334" s="4"/>
      <c r="W334" s="11"/>
      <c r="X334" s="11"/>
      <c r="Y334" s="4"/>
      <c r="Z334" s="11"/>
      <c r="AA334" s="11"/>
      <c r="AB334" s="4"/>
      <c r="AC334" s="11"/>
      <c r="AD334" s="11"/>
      <c r="AE334" s="4"/>
      <c r="AF334" s="11"/>
      <c r="AG334" s="11"/>
      <c r="AH334" s="4"/>
      <c r="AI334" s="11"/>
      <c r="AJ334" s="11"/>
      <c r="AK334" s="4"/>
      <c r="AL334" s="4"/>
      <c r="AM334" s="4"/>
      <c r="AN334" s="4"/>
      <c r="AO334" s="4"/>
      <c r="AP334" s="4"/>
      <c r="AQ334" s="4"/>
    </row>
    <row r="335" spans="1:43" s="2" customFormat="1" x14ac:dyDescent="0.25">
      <c r="A335" s="161" t="str">
        <f t="shared" si="4"/>
        <v>CARRIER_SWEDEN</v>
      </c>
      <c r="B335" s="9" t="s">
        <v>117</v>
      </c>
      <c r="C335" s="4" t="s">
        <v>739</v>
      </c>
      <c r="D335" s="4"/>
      <c r="E335" s="4" t="s">
        <v>117</v>
      </c>
      <c r="F335" s="4" t="s">
        <v>117</v>
      </c>
      <c r="G335" s="14" t="s">
        <v>132</v>
      </c>
      <c r="H335" s="4" t="s">
        <v>668</v>
      </c>
      <c r="I335" s="4" t="s">
        <v>102</v>
      </c>
      <c r="J335" s="11"/>
      <c r="K335" s="11"/>
      <c r="L335" s="4"/>
      <c r="M335" s="12"/>
      <c r="N335" s="4"/>
      <c r="O335" s="4"/>
      <c r="P335" s="4"/>
      <c r="Q335" s="11"/>
      <c r="R335" s="11"/>
      <c r="S335" s="4"/>
      <c r="T335" s="11"/>
      <c r="U335" s="11"/>
      <c r="V335" s="4"/>
      <c r="W335" s="11"/>
      <c r="X335" s="11"/>
      <c r="Y335" s="4"/>
      <c r="Z335" s="11"/>
      <c r="AA335" s="11"/>
      <c r="AB335" s="4"/>
      <c r="AC335" s="11"/>
      <c r="AD335" s="11"/>
      <c r="AE335" s="4"/>
      <c r="AF335" s="11"/>
      <c r="AG335" s="11"/>
      <c r="AH335" s="4"/>
      <c r="AI335" s="11"/>
      <c r="AJ335" s="11"/>
      <c r="AK335" s="4"/>
      <c r="AL335" s="4"/>
      <c r="AM335" s="4"/>
      <c r="AN335" s="4"/>
      <c r="AO335" s="4"/>
      <c r="AP335" s="4"/>
      <c r="AQ335" s="4"/>
    </row>
    <row r="336" spans="1:43" s="2" customFormat="1" x14ac:dyDescent="0.25">
      <c r="A336" s="161" t="str">
        <f t="shared" si="4"/>
        <v>CARRIER_OCEAN</v>
      </c>
      <c r="B336" s="9" t="s">
        <v>117</v>
      </c>
      <c r="C336" s="4" t="s">
        <v>994</v>
      </c>
      <c r="D336" s="4" t="s">
        <v>699</v>
      </c>
      <c r="E336" s="4" t="s">
        <v>117</v>
      </c>
      <c r="F336" s="4" t="s">
        <v>117</v>
      </c>
      <c r="G336" s="14"/>
      <c r="H336" s="4"/>
      <c r="I336" s="4"/>
      <c r="J336" s="11"/>
      <c r="K336" s="11"/>
      <c r="L336" s="4"/>
      <c r="M336" s="12"/>
      <c r="N336" s="4"/>
      <c r="O336" s="4"/>
      <c r="P336" s="4"/>
      <c r="Q336" s="11"/>
      <c r="R336" s="11"/>
      <c r="S336" s="4"/>
      <c r="T336" s="11"/>
      <c r="U336" s="11"/>
      <c r="V336" s="4"/>
      <c r="W336" s="11"/>
      <c r="X336" s="11"/>
      <c r="Y336" s="4"/>
      <c r="Z336" s="11"/>
      <c r="AA336" s="11"/>
      <c r="AB336" s="4"/>
      <c r="AC336" s="11"/>
      <c r="AD336" s="11"/>
      <c r="AE336" s="4"/>
      <c r="AF336" s="11"/>
      <c r="AG336" s="11"/>
      <c r="AH336" s="4"/>
      <c r="AI336" s="11"/>
      <c r="AJ336" s="11"/>
      <c r="AK336" s="4"/>
      <c r="AL336" s="4"/>
      <c r="AM336" s="4"/>
      <c r="AN336" s="4"/>
      <c r="AO336" s="4"/>
      <c r="AP336" s="4"/>
      <c r="AQ336" s="4"/>
    </row>
    <row r="337" spans="1:43" s="2" customFormat="1" x14ac:dyDescent="0.25">
      <c r="A337" s="161" t="str">
        <f t="shared" si="4"/>
        <v>CATAPULT</v>
      </c>
      <c r="B337" s="9" t="s">
        <v>750</v>
      </c>
      <c r="C337" s="5"/>
      <c r="D337" s="5"/>
      <c r="E337" s="5" t="s">
        <v>750</v>
      </c>
      <c r="F337" s="5" t="s">
        <v>750</v>
      </c>
      <c r="G337" s="5"/>
      <c r="H337" s="5" t="s">
        <v>36</v>
      </c>
      <c r="I337" s="5" t="s">
        <v>128</v>
      </c>
      <c r="J337" s="6"/>
      <c r="K337" s="6"/>
      <c r="L337" s="13" t="s">
        <v>746</v>
      </c>
      <c r="M337" s="8"/>
      <c r="N337" s="5"/>
      <c r="O337" s="5"/>
      <c r="P337" s="5"/>
      <c r="Q337" s="7">
        <v>2</v>
      </c>
      <c r="R337" s="6" t="s">
        <v>1695</v>
      </c>
      <c r="S337" s="13" t="s">
        <v>1613</v>
      </c>
      <c r="T337" s="6">
        <v>4</v>
      </c>
      <c r="U337" s="6"/>
      <c r="V337" s="5" t="s">
        <v>1611</v>
      </c>
      <c r="W337" s="6">
        <v>7</v>
      </c>
      <c r="X337" s="6" t="s">
        <v>3</v>
      </c>
      <c r="Y337" s="5"/>
      <c r="Z337" s="6">
        <v>1</v>
      </c>
      <c r="AA337" s="6"/>
      <c r="AB337" s="5"/>
      <c r="AC337" s="6"/>
      <c r="AD337" s="6" t="s">
        <v>3</v>
      </c>
      <c r="AE337" s="5"/>
      <c r="AF337" s="6"/>
      <c r="AG337" s="6"/>
      <c r="AH337" s="5"/>
      <c r="AI337" s="6"/>
      <c r="AJ337" s="6"/>
      <c r="AK337" s="5"/>
      <c r="AL337" s="5"/>
      <c r="AM337" s="5"/>
      <c r="AN337" s="5"/>
      <c r="AO337" s="5"/>
      <c r="AP337" s="5"/>
      <c r="AQ337" s="5"/>
    </row>
    <row r="338" spans="1:43" s="2" customFormat="1" x14ac:dyDescent="0.25">
      <c r="A338" s="161" t="str">
        <f t="shared" si="4"/>
        <v>CAVALRY</v>
      </c>
      <c r="B338" s="9" t="s">
        <v>751</v>
      </c>
      <c r="C338" s="5"/>
      <c r="D338" s="5"/>
      <c r="E338" s="5" t="s">
        <v>751</v>
      </c>
      <c r="F338" s="5" t="s">
        <v>751</v>
      </c>
      <c r="G338" s="5"/>
      <c r="H338" s="5" t="s">
        <v>35</v>
      </c>
      <c r="I338" s="5" t="s">
        <v>128</v>
      </c>
      <c r="J338" s="6"/>
      <c r="K338" s="6"/>
      <c r="L338" s="13" t="s">
        <v>1714</v>
      </c>
      <c r="M338" s="8"/>
      <c r="N338" s="5"/>
      <c r="O338" s="5"/>
      <c r="P338" s="5"/>
      <c r="Q338" s="7" t="s">
        <v>1695</v>
      </c>
      <c r="R338" s="6" t="s">
        <v>1695</v>
      </c>
      <c r="S338" s="13" t="s">
        <v>1695</v>
      </c>
      <c r="T338" s="7" t="s">
        <v>1695</v>
      </c>
      <c r="U338" s="6" t="s">
        <v>1695</v>
      </c>
      <c r="V338" s="5"/>
      <c r="W338" s="6" t="s">
        <v>3</v>
      </c>
      <c r="X338" s="6" t="s">
        <v>3</v>
      </c>
      <c r="Y338" s="5"/>
      <c r="Z338" s="6">
        <v>1</v>
      </c>
      <c r="AA338" s="6"/>
      <c r="AB338" s="5"/>
      <c r="AC338" s="6"/>
      <c r="AD338" s="6" t="s">
        <v>3</v>
      </c>
      <c r="AE338" s="5"/>
      <c r="AF338" s="6" t="s">
        <v>1695</v>
      </c>
      <c r="AG338" s="6"/>
      <c r="AH338" s="5"/>
      <c r="AI338" s="6"/>
      <c r="AJ338" s="6"/>
      <c r="AK338" s="5"/>
      <c r="AL338" s="5"/>
      <c r="AM338" s="5"/>
      <c r="AN338" s="5"/>
      <c r="AO338" s="5"/>
      <c r="AP338" s="5"/>
      <c r="AQ338" s="5"/>
    </row>
    <row r="339" spans="1:43" s="2" customFormat="1" x14ac:dyDescent="0.25">
      <c r="A339" s="161" t="str">
        <f t="shared" si="4"/>
        <v>CAVALRY_HUNS</v>
      </c>
      <c r="B339" s="9" t="s">
        <v>751</v>
      </c>
      <c r="C339" s="4" t="s">
        <v>904</v>
      </c>
      <c r="D339" s="4"/>
      <c r="E339" s="4" t="s">
        <v>751</v>
      </c>
      <c r="F339" s="4" t="s">
        <v>762</v>
      </c>
      <c r="G339" s="4"/>
      <c r="H339" s="4" t="s">
        <v>906</v>
      </c>
      <c r="I339" s="4" t="s">
        <v>122</v>
      </c>
      <c r="J339" s="11"/>
      <c r="K339" s="11"/>
      <c r="L339" s="4"/>
      <c r="M339" s="12"/>
      <c r="N339" s="4"/>
      <c r="O339" s="4"/>
      <c r="P339" s="4"/>
      <c r="Q339" s="11"/>
      <c r="R339" s="11"/>
      <c r="S339" s="4"/>
      <c r="T339" s="11"/>
      <c r="U339" s="11"/>
      <c r="V339" s="4"/>
      <c r="W339" s="11"/>
      <c r="X339" s="11"/>
      <c r="Y339" s="4"/>
      <c r="Z339" s="11"/>
      <c r="AA339" s="11"/>
      <c r="AB339" s="4"/>
      <c r="AC339" s="11"/>
      <c r="AD339" s="11"/>
      <c r="AE339" s="4"/>
      <c r="AF339" s="11"/>
      <c r="AG339" s="11"/>
      <c r="AH339" s="4"/>
      <c r="AI339" s="11"/>
      <c r="AJ339" s="11"/>
      <c r="AK339" s="4"/>
      <c r="AL339" s="4"/>
      <c r="AM339" s="4"/>
      <c r="AN339" s="4"/>
      <c r="AO339" s="4"/>
      <c r="AP339" s="4"/>
      <c r="AQ339" s="4"/>
    </row>
    <row r="340" spans="1:43" s="2" customFormat="1" x14ac:dyDescent="0.25">
      <c r="A340" s="161" t="str">
        <f t="shared" si="4"/>
        <v>CAVALRY_FRANCE</v>
      </c>
      <c r="B340" s="9" t="s">
        <v>751</v>
      </c>
      <c r="C340" s="4" t="s">
        <v>715</v>
      </c>
      <c r="D340" s="4"/>
      <c r="E340" s="4" t="s">
        <v>751</v>
      </c>
      <c r="F340" s="4" t="s">
        <v>751</v>
      </c>
      <c r="G340" s="14" t="s">
        <v>132</v>
      </c>
      <c r="H340" s="4" t="s">
        <v>339</v>
      </c>
      <c r="I340" s="4" t="s">
        <v>122</v>
      </c>
      <c r="J340" s="11"/>
      <c r="K340" s="11"/>
      <c r="L340" s="4"/>
      <c r="M340" s="12"/>
      <c r="N340" s="4"/>
      <c r="O340" s="4"/>
      <c r="P340" s="4"/>
      <c r="Q340" s="11"/>
      <c r="R340" s="11"/>
      <c r="S340" s="4"/>
      <c r="T340" s="11"/>
      <c r="U340" s="11"/>
      <c r="V340" s="4"/>
      <c r="W340" s="11"/>
      <c r="X340" s="11"/>
      <c r="Y340" s="4"/>
      <c r="Z340" s="11"/>
      <c r="AA340" s="11"/>
      <c r="AB340" s="4"/>
      <c r="AC340" s="11"/>
      <c r="AD340" s="11"/>
      <c r="AE340" s="4"/>
      <c r="AF340" s="11"/>
      <c r="AG340" s="11"/>
      <c r="AH340" s="4"/>
      <c r="AI340" s="11"/>
      <c r="AJ340" s="11"/>
      <c r="AK340" s="4"/>
      <c r="AL340" s="4"/>
      <c r="AM340" s="4"/>
      <c r="AN340" s="4"/>
      <c r="AO340" s="4"/>
      <c r="AP340" s="4"/>
      <c r="AQ340" s="4"/>
    </row>
    <row r="341" spans="1:43" s="2" customFormat="1" x14ac:dyDescent="0.25">
      <c r="A341" s="161" t="str">
        <f t="shared" si="4"/>
        <v>CAVALRY_GERMANY</v>
      </c>
      <c r="B341" s="9" t="s">
        <v>751</v>
      </c>
      <c r="C341" s="4" t="s">
        <v>717</v>
      </c>
      <c r="D341" s="4"/>
      <c r="E341" s="4" t="s">
        <v>751</v>
      </c>
      <c r="F341" s="4" t="s">
        <v>751</v>
      </c>
      <c r="G341" s="14" t="s">
        <v>132</v>
      </c>
      <c r="H341" s="4" t="s">
        <v>369</v>
      </c>
      <c r="I341" s="4" t="s">
        <v>122</v>
      </c>
      <c r="J341" s="11"/>
      <c r="K341" s="11"/>
      <c r="L341" s="4"/>
      <c r="M341" s="12"/>
      <c r="N341" s="4"/>
      <c r="O341" s="4"/>
      <c r="P341" s="4"/>
      <c r="Q341" s="11"/>
      <c r="R341" s="11"/>
      <c r="S341" s="4"/>
      <c r="T341" s="11"/>
      <c r="U341" s="11"/>
      <c r="V341" s="4"/>
      <c r="W341" s="11"/>
      <c r="X341" s="11"/>
      <c r="Y341" s="4"/>
      <c r="Z341" s="11"/>
      <c r="AA341" s="11"/>
      <c r="AB341" s="4"/>
      <c r="AC341" s="11"/>
      <c r="AD341" s="11"/>
      <c r="AE341" s="4"/>
      <c r="AF341" s="11"/>
      <c r="AG341" s="11"/>
      <c r="AH341" s="4"/>
      <c r="AI341" s="11"/>
      <c r="AJ341" s="11"/>
      <c r="AK341" s="4"/>
      <c r="AL341" s="4"/>
      <c r="AM341" s="4"/>
      <c r="AN341" s="4"/>
      <c r="AO341" s="4"/>
      <c r="AP341" s="4"/>
      <c r="AQ341" s="4"/>
    </row>
    <row r="342" spans="1:43" s="2" customFormat="1" x14ac:dyDescent="0.25">
      <c r="A342" s="161" t="str">
        <f t="shared" si="4"/>
        <v>CAVALRY_MIDEAST</v>
      </c>
      <c r="B342" s="9" t="s">
        <v>751</v>
      </c>
      <c r="C342" s="4" t="s">
        <v>690</v>
      </c>
      <c r="D342" s="4"/>
      <c r="E342" s="4" t="s">
        <v>751</v>
      </c>
      <c r="F342" s="4" t="s">
        <v>751</v>
      </c>
      <c r="G342" s="4"/>
      <c r="H342" s="14" t="s">
        <v>958</v>
      </c>
      <c r="I342" s="4" t="s">
        <v>957</v>
      </c>
      <c r="J342" s="167"/>
      <c r="K342" s="11"/>
      <c r="L342" s="4"/>
      <c r="M342" s="12"/>
      <c r="N342" s="4"/>
      <c r="O342" s="4"/>
      <c r="P342" s="4"/>
      <c r="Q342" s="11"/>
      <c r="R342" s="11"/>
      <c r="S342" s="4"/>
      <c r="T342" s="11"/>
      <c r="U342" s="11"/>
      <c r="V342" s="4"/>
      <c r="W342" s="11"/>
      <c r="X342" s="11"/>
      <c r="Y342" s="4"/>
      <c r="Z342" s="11"/>
      <c r="AA342" s="11"/>
      <c r="AB342" s="4"/>
      <c r="AC342" s="11"/>
      <c r="AD342" s="11"/>
      <c r="AE342" s="4"/>
      <c r="AF342" s="11"/>
      <c r="AG342" s="11"/>
      <c r="AH342" s="4"/>
      <c r="AI342" s="11"/>
      <c r="AJ342" s="11"/>
      <c r="AK342" s="4"/>
      <c r="AL342" s="4"/>
      <c r="AM342" s="4"/>
      <c r="AN342" s="4"/>
      <c r="AO342" s="4"/>
      <c r="AP342" s="4"/>
      <c r="AQ342" s="4"/>
    </row>
    <row r="343" spans="1:43" s="2" customFormat="1" x14ac:dyDescent="0.25">
      <c r="A343" s="161" t="str">
        <f t="shared" si="4"/>
        <v>CAVALRY_NORTHAF</v>
      </c>
      <c r="B343" s="9" t="s">
        <v>751</v>
      </c>
      <c r="C343" s="4" t="s">
        <v>2011</v>
      </c>
      <c r="D343" s="4" t="s">
        <v>690</v>
      </c>
      <c r="E343" s="4" t="s">
        <v>751</v>
      </c>
      <c r="F343" s="4" t="s">
        <v>751</v>
      </c>
      <c r="G343" s="4"/>
      <c r="H343" s="14"/>
      <c r="I343" s="4"/>
      <c r="J343" s="167"/>
      <c r="K343" s="11"/>
      <c r="L343" s="4"/>
      <c r="M343" s="12"/>
      <c r="N343" s="4"/>
      <c r="O343" s="4"/>
      <c r="P343" s="4"/>
      <c r="Q343" s="11"/>
      <c r="R343" s="11"/>
      <c r="S343" s="4"/>
      <c r="T343" s="11"/>
      <c r="U343" s="11"/>
      <c r="V343" s="4"/>
      <c r="W343" s="11"/>
      <c r="X343" s="11"/>
      <c r="Y343" s="4"/>
      <c r="Z343" s="11"/>
      <c r="AA343" s="11"/>
      <c r="AB343" s="4"/>
      <c r="AC343" s="11"/>
      <c r="AD343" s="11"/>
      <c r="AE343" s="4"/>
      <c r="AF343" s="11"/>
      <c r="AG343" s="11"/>
      <c r="AH343" s="4"/>
      <c r="AI343" s="11"/>
      <c r="AJ343" s="11"/>
      <c r="AK343" s="4"/>
      <c r="AL343" s="4"/>
      <c r="AM343" s="4"/>
      <c r="AN343" s="4"/>
      <c r="AO343" s="4"/>
      <c r="AP343" s="4"/>
      <c r="AQ343" s="4"/>
    </row>
    <row r="344" spans="1:43" s="2" customFormat="1" x14ac:dyDescent="0.25">
      <c r="A344" s="161" t="str">
        <f t="shared" si="4"/>
        <v>CHARIOT_ARCHER</v>
      </c>
      <c r="B344" s="9" t="s">
        <v>752</v>
      </c>
      <c r="C344" s="5"/>
      <c r="D344" s="5"/>
      <c r="E344" s="5" t="s">
        <v>752</v>
      </c>
      <c r="F344" s="5" t="s">
        <v>791</v>
      </c>
      <c r="G344" s="5"/>
      <c r="H344" s="5" t="s">
        <v>1424</v>
      </c>
      <c r="I344" s="5" t="s">
        <v>128</v>
      </c>
      <c r="J344" s="6"/>
      <c r="K344" s="6"/>
      <c r="L344" s="13" t="s">
        <v>1709</v>
      </c>
      <c r="M344" s="8"/>
      <c r="N344" s="5"/>
      <c r="O344" s="5"/>
      <c r="P344" s="5"/>
      <c r="Q344" s="7">
        <v>2</v>
      </c>
      <c r="R344" s="6">
        <v>0.13</v>
      </c>
      <c r="S344" s="13" t="s">
        <v>1618</v>
      </c>
      <c r="T344" s="7">
        <v>3</v>
      </c>
      <c r="U344" s="6" t="s">
        <v>1695</v>
      </c>
      <c r="V344" s="5"/>
      <c r="W344" s="6" t="s">
        <v>3</v>
      </c>
      <c r="X344" s="6" t="s">
        <v>3</v>
      </c>
      <c r="Y344" s="5"/>
      <c r="Z344" s="6">
        <v>1</v>
      </c>
      <c r="AA344" s="6"/>
      <c r="AB344" s="5"/>
      <c r="AC344" s="6"/>
      <c r="AD344" s="6" t="s">
        <v>3</v>
      </c>
      <c r="AE344" s="5"/>
      <c r="AF344" s="6"/>
      <c r="AG344" s="6"/>
      <c r="AH344" s="5"/>
      <c r="AI344" s="6"/>
      <c r="AJ344" s="6"/>
      <c r="AK344" s="5"/>
      <c r="AL344" s="5"/>
      <c r="AM344" s="5"/>
      <c r="AN344" s="5"/>
      <c r="AO344" s="5"/>
      <c r="AP344" s="5"/>
      <c r="AQ344" s="5"/>
    </row>
    <row r="345" spans="1:43" s="2" customFormat="1" x14ac:dyDescent="0.25">
      <c r="A345" s="161" t="str">
        <f t="shared" si="4"/>
        <v>CHARIOT_ARCHER_AFRI</v>
      </c>
      <c r="B345" s="9" t="s">
        <v>752</v>
      </c>
      <c r="C345" s="5" t="s">
        <v>694</v>
      </c>
      <c r="D345" s="5"/>
      <c r="E345" s="5" t="s">
        <v>752</v>
      </c>
      <c r="F345" s="5" t="s">
        <v>791</v>
      </c>
      <c r="G345" s="5"/>
      <c r="H345" s="5" t="s">
        <v>1963</v>
      </c>
      <c r="I345" s="5" t="s">
        <v>1025</v>
      </c>
      <c r="J345" s="6"/>
      <c r="K345" s="6"/>
      <c r="L345" s="13"/>
      <c r="M345" s="8"/>
      <c r="N345" s="5"/>
      <c r="O345" s="5"/>
      <c r="P345" s="5"/>
      <c r="Q345" s="7"/>
      <c r="R345" s="6"/>
      <c r="S345" s="13"/>
      <c r="T345" s="7"/>
      <c r="U345" s="6"/>
      <c r="V345" s="5"/>
      <c r="W345" s="6"/>
      <c r="X345" s="6"/>
      <c r="Y345" s="5"/>
      <c r="Z345" s="6"/>
      <c r="AA345" s="6"/>
      <c r="AB345" s="5"/>
      <c r="AC345" s="6"/>
      <c r="AD345" s="6"/>
      <c r="AE345" s="5"/>
      <c r="AF345" s="6"/>
      <c r="AG345" s="6"/>
      <c r="AH345" s="5"/>
      <c r="AI345" s="6"/>
      <c r="AJ345" s="6"/>
      <c r="AK345" s="5"/>
      <c r="AL345" s="5"/>
      <c r="AM345" s="5"/>
      <c r="AN345" s="5"/>
      <c r="AO345" s="5"/>
      <c r="AP345" s="5"/>
      <c r="AQ345" s="5"/>
    </row>
    <row r="346" spans="1:43" s="2" customFormat="1" x14ac:dyDescent="0.25">
      <c r="A346" s="161" t="str">
        <f t="shared" si="4"/>
        <v>CHARIOT_ARCHER_AMER</v>
      </c>
      <c r="B346" s="9" t="s">
        <v>752</v>
      </c>
      <c r="C346" s="4" t="s">
        <v>697</v>
      </c>
      <c r="D346" s="4"/>
      <c r="E346" s="4" t="s">
        <v>752</v>
      </c>
      <c r="F346" s="4" t="s">
        <v>791</v>
      </c>
      <c r="G346" s="4"/>
      <c r="H346" s="4" t="s">
        <v>459</v>
      </c>
      <c r="I346" s="4" t="s">
        <v>835</v>
      </c>
      <c r="J346" s="11"/>
      <c r="K346" s="11"/>
      <c r="L346" s="4"/>
      <c r="M346" s="12"/>
      <c r="N346" s="4"/>
      <c r="O346" s="4"/>
      <c r="P346" s="4"/>
      <c r="Q346" s="11">
        <v>1</v>
      </c>
      <c r="R346" s="11" t="s">
        <v>1695</v>
      </c>
      <c r="S346" s="4" t="s">
        <v>1695</v>
      </c>
      <c r="T346" s="11">
        <v>1</v>
      </c>
      <c r="U346" s="11"/>
      <c r="V346" s="4"/>
      <c r="W346" s="11"/>
      <c r="X346" s="11"/>
      <c r="Y346" s="4"/>
      <c r="Z346" s="11">
        <v>1</v>
      </c>
      <c r="AA346" s="11"/>
      <c r="AB346" s="4"/>
      <c r="AC346" s="11"/>
      <c r="AD346" s="11"/>
      <c r="AE346" s="4"/>
      <c r="AF346" s="11">
        <v>1</v>
      </c>
      <c r="AG346" s="11"/>
      <c r="AH346" s="4"/>
      <c r="AI346" s="11">
        <v>1</v>
      </c>
      <c r="AJ346" s="11"/>
      <c r="AK346" s="4"/>
      <c r="AL346" s="4"/>
      <c r="AM346" s="4"/>
      <c r="AN346" s="4"/>
      <c r="AO346" s="4"/>
      <c r="AP346" s="4"/>
      <c r="AQ346" s="4"/>
    </row>
    <row r="347" spans="1:43" s="2" customFormat="1" x14ac:dyDescent="0.25">
      <c r="A347" s="161" t="str">
        <f t="shared" si="4"/>
        <v>CHARIOT_ARCHER_AMER</v>
      </c>
      <c r="B347" s="9" t="s">
        <v>752</v>
      </c>
      <c r="C347" s="4" t="s">
        <v>697</v>
      </c>
      <c r="D347" s="4"/>
      <c r="E347" s="4" t="s">
        <v>752</v>
      </c>
      <c r="F347" s="4" t="s">
        <v>791</v>
      </c>
      <c r="G347" s="4" t="s">
        <v>2047</v>
      </c>
      <c r="H347" s="4" t="s">
        <v>632</v>
      </c>
      <c r="I347" s="4" t="s">
        <v>835</v>
      </c>
      <c r="J347" s="11"/>
      <c r="K347" s="11"/>
      <c r="L347" s="4"/>
      <c r="M347" s="12"/>
      <c r="N347" s="4"/>
      <c r="O347" s="4"/>
      <c r="P347" s="4"/>
      <c r="Q347" s="11">
        <v>2</v>
      </c>
      <c r="R347" s="11" t="s">
        <v>1695</v>
      </c>
      <c r="S347" s="4" t="s">
        <v>1695</v>
      </c>
      <c r="T347" s="11">
        <v>1</v>
      </c>
      <c r="U347" s="11"/>
      <c r="V347" s="4"/>
      <c r="W347" s="11"/>
      <c r="X347" s="11"/>
      <c r="Y347" s="4"/>
      <c r="Z347" s="11">
        <v>0</v>
      </c>
      <c r="AA347" s="11"/>
      <c r="AB347" s="4"/>
      <c r="AC347" s="11"/>
      <c r="AD347" s="11"/>
      <c r="AE347" s="4"/>
      <c r="AF347" s="11">
        <v>1</v>
      </c>
      <c r="AG347" s="11"/>
      <c r="AH347" s="4"/>
      <c r="AI347" s="11">
        <v>1</v>
      </c>
      <c r="AJ347" s="11"/>
      <c r="AK347" s="4"/>
      <c r="AL347" s="4"/>
      <c r="AM347" s="4"/>
      <c r="AN347" s="4"/>
      <c r="AO347" s="4"/>
      <c r="AP347" s="4"/>
      <c r="AQ347" s="4"/>
    </row>
    <row r="348" spans="1:43" s="2" customFormat="1" x14ac:dyDescent="0.25">
      <c r="A348" s="161" t="str">
        <f t="shared" si="4"/>
        <v>CHARIOT_ARCHER_AMER</v>
      </c>
      <c r="B348" s="9" t="s">
        <v>752</v>
      </c>
      <c r="C348" s="4" t="s">
        <v>697</v>
      </c>
      <c r="D348" s="4"/>
      <c r="E348" s="4" t="s">
        <v>752</v>
      </c>
      <c r="F348" s="4" t="s">
        <v>791</v>
      </c>
      <c r="G348" s="4"/>
      <c r="H348" s="4" t="s">
        <v>459</v>
      </c>
      <c r="I348" s="4" t="s">
        <v>835</v>
      </c>
      <c r="J348" s="11"/>
      <c r="K348" s="11"/>
      <c r="L348" s="4"/>
      <c r="M348" s="12"/>
      <c r="N348" s="4"/>
      <c r="O348" s="4"/>
      <c r="P348" s="4"/>
      <c r="Q348" s="11">
        <v>2</v>
      </c>
      <c r="R348" s="11" t="s">
        <v>1695</v>
      </c>
      <c r="S348" s="4" t="s">
        <v>1695</v>
      </c>
      <c r="T348" s="11">
        <v>1</v>
      </c>
      <c r="U348" s="11"/>
      <c r="V348" s="4"/>
      <c r="W348" s="11"/>
      <c r="X348" s="11"/>
      <c r="Y348" s="4"/>
      <c r="Z348" s="11">
        <v>0</v>
      </c>
      <c r="AA348" s="11"/>
      <c r="AB348" s="4"/>
      <c r="AC348" s="11"/>
      <c r="AD348" s="11"/>
      <c r="AE348" s="4"/>
      <c r="AF348" s="11">
        <v>0</v>
      </c>
      <c r="AG348" s="11"/>
      <c r="AH348" s="4"/>
      <c r="AI348" s="11">
        <v>0</v>
      </c>
      <c r="AJ348" s="11"/>
      <c r="AK348" s="4"/>
      <c r="AL348" s="4"/>
      <c r="AM348" s="4"/>
      <c r="AN348" s="4"/>
      <c r="AO348" s="4"/>
      <c r="AP348" s="4"/>
      <c r="AQ348" s="4"/>
    </row>
    <row r="349" spans="1:43" s="2" customFormat="1" x14ac:dyDescent="0.25">
      <c r="A349" s="161" t="str">
        <f t="shared" si="4"/>
        <v>CHARIOT_ARCHER_ASIA</v>
      </c>
      <c r="B349" s="9" t="s">
        <v>752</v>
      </c>
      <c r="C349" s="4" t="s">
        <v>693</v>
      </c>
      <c r="D349" s="4"/>
      <c r="E349" s="4" t="s">
        <v>752</v>
      </c>
      <c r="F349" s="4" t="s">
        <v>791</v>
      </c>
      <c r="G349" s="4"/>
      <c r="H349" s="4" t="s">
        <v>2125</v>
      </c>
      <c r="I349" s="4" t="s">
        <v>102</v>
      </c>
      <c r="J349" s="11"/>
      <c r="K349" s="11"/>
      <c r="L349" s="4"/>
      <c r="M349" s="12"/>
      <c r="N349" s="4"/>
      <c r="O349" s="4"/>
      <c r="P349" s="4"/>
      <c r="Q349" s="11">
        <v>5</v>
      </c>
      <c r="R349" s="11" t="s">
        <v>1695</v>
      </c>
      <c r="S349" s="4" t="s">
        <v>1695</v>
      </c>
      <c r="T349" s="11">
        <v>3</v>
      </c>
      <c r="U349" s="11"/>
      <c r="V349" s="4"/>
      <c r="W349" s="11"/>
      <c r="X349" s="11"/>
      <c r="Y349" s="4"/>
      <c r="Z349" s="11"/>
      <c r="AA349" s="11"/>
      <c r="AB349" s="4"/>
      <c r="AC349" s="11"/>
      <c r="AD349" s="11"/>
      <c r="AE349" s="4"/>
      <c r="AF349" s="11">
        <v>2</v>
      </c>
      <c r="AG349" s="11"/>
      <c r="AH349" s="4"/>
      <c r="AI349" s="11">
        <v>2</v>
      </c>
      <c r="AJ349" s="11"/>
      <c r="AK349" s="4"/>
      <c r="AL349" s="4"/>
      <c r="AM349" s="4"/>
      <c r="AN349" s="4"/>
      <c r="AO349" s="4"/>
      <c r="AP349" s="4"/>
      <c r="AQ349" s="4"/>
    </row>
    <row r="350" spans="1:43" s="2" customFormat="1" x14ac:dyDescent="0.25">
      <c r="A350" s="161" t="str">
        <f t="shared" si="4"/>
        <v>CHARIOT_ARCHER_NORTHAF</v>
      </c>
      <c r="B350" s="9" t="s">
        <v>752</v>
      </c>
      <c r="C350" s="4" t="s">
        <v>2011</v>
      </c>
      <c r="D350" s="4" t="s">
        <v>694</v>
      </c>
      <c r="E350" s="4" t="s">
        <v>752</v>
      </c>
      <c r="F350" s="4" t="s">
        <v>791</v>
      </c>
      <c r="G350" s="4"/>
      <c r="H350" s="4"/>
      <c r="I350" s="4"/>
      <c r="J350" s="11"/>
      <c r="K350" s="11"/>
      <c r="L350" s="4"/>
      <c r="M350" s="12"/>
      <c r="N350" s="4"/>
      <c r="O350" s="4"/>
      <c r="P350" s="4"/>
      <c r="Q350" s="11"/>
      <c r="R350" s="11"/>
      <c r="S350" s="4"/>
      <c r="T350" s="11"/>
      <c r="U350" s="11"/>
      <c r="V350" s="4"/>
      <c r="W350" s="11"/>
      <c r="X350" s="11"/>
      <c r="Y350" s="4"/>
      <c r="Z350" s="11"/>
      <c r="AA350" s="11"/>
      <c r="AB350" s="4"/>
      <c r="AC350" s="11"/>
      <c r="AD350" s="11"/>
      <c r="AE350" s="4"/>
      <c r="AF350" s="11"/>
      <c r="AG350" s="11"/>
      <c r="AH350" s="4"/>
      <c r="AI350" s="11"/>
      <c r="AJ350" s="11"/>
      <c r="AK350" s="4"/>
      <c r="AL350" s="4"/>
      <c r="AM350" s="4"/>
      <c r="AN350" s="4"/>
      <c r="AO350" s="4"/>
      <c r="AP350" s="4"/>
      <c r="AQ350" s="4"/>
    </row>
    <row r="351" spans="1:43" s="2" customFormat="1" x14ac:dyDescent="0.25">
      <c r="A351" s="161" t="str">
        <f t="shared" si="4"/>
        <v>COMPOSITE_BOWMAN</v>
      </c>
      <c r="B351" s="9" t="s">
        <v>116</v>
      </c>
      <c r="C351" s="5"/>
      <c r="D351" s="5"/>
      <c r="E351" s="5" t="s">
        <v>116</v>
      </c>
      <c r="F351" s="5" t="s">
        <v>116</v>
      </c>
      <c r="G351" s="5"/>
      <c r="H351" s="5" t="s">
        <v>1273</v>
      </c>
      <c r="I351" s="5" t="s">
        <v>128</v>
      </c>
      <c r="J351" s="6"/>
      <c r="K351" s="6"/>
      <c r="L351" s="13" t="s">
        <v>1708</v>
      </c>
      <c r="M351" s="8"/>
      <c r="N351" s="5"/>
      <c r="O351" s="5"/>
      <c r="P351" s="5"/>
      <c r="Q351" s="7" t="s">
        <v>1737</v>
      </c>
      <c r="R351" s="6" t="s">
        <v>1737</v>
      </c>
      <c r="S351" s="13" t="s">
        <v>44</v>
      </c>
      <c r="T351" s="7">
        <v>18</v>
      </c>
      <c r="U351" s="7" t="s">
        <v>1737</v>
      </c>
      <c r="V351" s="5"/>
      <c r="W351" s="6" t="s">
        <v>3</v>
      </c>
      <c r="X351" s="6" t="s">
        <v>3</v>
      </c>
      <c r="Y351" s="5"/>
      <c r="Z351" s="7">
        <v>1</v>
      </c>
      <c r="AA351" s="6"/>
      <c r="AB351" s="5"/>
      <c r="AC351" s="6"/>
      <c r="AD351" s="6" t="s">
        <v>3</v>
      </c>
      <c r="AE351" s="5"/>
      <c r="AF351" s="6" t="s">
        <v>1737</v>
      </c>
      <c r="AG351" s="6"/>
      <c r="AH351" s="5"/>
      <c r="AI351" s="6" t="s">
        <v>1737</v>
      </c>
      <c r="AJ351" s="6"/>
      <c r="AK351" s="5"/>
      <c r="AL351" s="5"/>
      <c r="AM351" s="5"/>
      <c r="AN351" s="5"/>
      <c r="AO351" s="5"/>
      <c r="AP351" s="5"/>
      <c r="AQ351" s="5"/>
    </row>
    <row r="352" spans="1:43" s="2" customFormat="1" x14ac:dyDescent="0.25">
      <c r="A352" s="161" t="str">
        <f t="shared" si="4"/>
        <v>COMPOSITE_BOWMAN_AFRI</v>
      </c>
      <c r="B352" s="9" t="s">
        <v>116</v>
      </c>
      <c r="C352" s="4" t="s">
        <v>694</v>
      </c>
      <c r="D352" s="4"/>
      <c r="E352" s="4" t="s">
        <v>116</v>
      </c>
      <c r="F352" s="4" t="s">
        <v>116</v>
      </c>
      <c r="G352" s="4"/>
      <c r="H352" s="4" t="s">
        <v>320</v>
      </c>
      <c r="I352" s="4" t="s">
        <v>1025</v>
      </c>
      <c r="J352" s="11"/>
      <c r="K352" s="11"/>
      <c r="L352" s="4"/>
      <c r="M352" s="12"/>
      <c r="N352" s="4"/>
      <c r="O352" s="4"/>
      <c r="P352" s="4"/>
      <c r="Q352" s="11"/>
      <c r="R352" s="11"/>
      <c r="S352" s="4"/>
      <c r="T352" s="11"/>
      <c r="U352" s="11"/>
      <c r="V352" s="4"/>
      <c r="W352" s="11"/>
      <c r="X352" s="11"/>
      <c r="Y352" s="4"/>
      <c r="Z352" s="9"/>
      <c r="AA352" s="11"/>
      <c r="AB352" s="4"/>
      <c r="AC352" s="11"/>
      <c r="AD352" s="11"/>
      <c r="AE352" s="4"/>
      <c r="AF352" s="11"/>
      <c r="AG352" s="11"/>
      <c r="AH352" s="4"/>
      <c r="AI352" s="11"/>
      <c r="AJ352" s="11"/>
      <c r="AK352" s="4"/>
      <c r="AL352" s="4"/>
      <c r="AM352" s="4"/>
      <c r="AN352" s="4"/>
      <c r="AO352" s="4"/>
      <c r="AP352" s="4"/>
      <c r="AQ352" s="4"/>
    </row>
    <row r="353" spans="1:43" s="2" customFormat="1" x14ac:dyDescent="0.25">
      <c r="A353" s="161" t="str">
        <f t="shared" si="4"/>
        <v>COMPOSITE_BOWMAN_SONGHAI</v>
      </c>
      <c r="B353" s="9" t="s">
        <v>116</v>
      </c>
      <c r="C353" s="4" t="s">
        <v>737</v>
      </c>
      <c r="D353" s="4"/>
      <c r="E353" s="4" t="s">
        <v>116</v>
      </c>
      <c r="F353" s="4" t="s">
        <v>116</v>
      </c>
      <c r="G353" s="4"/>
      <c r="H353" s="4" t="s">
        <v>1966</v>
      </c>
      <c r="I353" s="4" t="s">
        <v>1025</v>
      </c>
      <c r="J353" s="11"/>
      <c r="K353" s="11"/>
      <c r="L353" s="4"/>
      <c r="M353" s="12"/>
      <c r="N353" s="4"/>
      <c r="O353" s="4"/>
      <c r="P353" s="4"/>
      <c r="Q353" s="11"/>
      <c r="R353" s="11"/>
      <c r="S353" s="4"/>
      <c r="T353" s="11"/>
      <c r="U353" s="11"/>
      <c r="V353" s="4"/>
      <c r="W353" s="11"/>
      <c r="X353" s="11"/>
      <c r="Y353" s="4"/>
      <c r="Z353" s="9"/>
      <c r="AA353" s="11"/>
      <c r="AB353" s="4"/>
      <c r="AC353" s="11"/>
      <c r="AD353" s="11"/>
      <c r="AE353" s="4"/>
      <c r="AF353" s="11"/>
      <c r="AG353" s="11"/>
      <c r="AH353" s="4"/>
      <c r="AI353" s="11"/>
      <c r="AJ353" s="11"/>
      <c r="AK353" s="4"/>
      <c r="AL353" s="4"/>
      <c r="AM353" s="4"/>
      <c r="AN353" s="4"/>
      <c r="AO353" s="4"/>
      <c r="AP353" s="4"/>
      <c r="AQ353" s="4"/>
    </row>
    <row r="354" spans="1:43" s="2" customFormat="1" x14ac:dyDescent="0.25">
      <c r="A354" s="161" t="str">
        <f t="shared" si="4"/>
        <v>COMPOSITE_BOWMAN_AMER</v>
      </c>
      <c r="B354" s="9" t="s">
        <v>116</v>
      </c>
      <c r="C354" s="4" t="s">
        <v>697</v>
      </c>
      <c r="D354" s="4"/>
      <c r="E354" s="4" t="s">
        <v>116</v>
      </c>
      <c r="F354" s="4" t="s">
        <v>116</v>
      </c>
      <c r="G354" s="4"/>
      <c r="H354" s="4" t="s">
        <v>460</v>
      </c>
      <c r="I354" s="4" t="s">
        <v>1935</v>
      </c>
      <c r="J354" s="11"/>
      <c r="K354" s="11"/>
      <c r="L354" s="4"/>
      <c r="M354" s="12"/>
      <c r="N354" s="4"/>
      <c r="O354" s="4"/>
      <c r="P354" s="4"/>
      <c r="Q354" s="11"/>
      <c r="R354" s="11"/>
      <c r="S354" s="4"/>
      <c r="T354" s="11"/>
      <c r="U354" s="11"/>
      <c r="V354" s="4"/>
      <c r="W354" s="11"/>
      <c r="X354" s="11"/>
      <c r="Y354" s="4"/>
      <c r="Z354" s="9"/>
      <c r="AA354" s="11"/>
      <c r="AB354" s="4"/>
      <c r="AC354" s="11"/>
      <c r="AD354" s="11"/>
      <c r="AE354" s="4"/>
      <c r="AF354" s="11"/>
      <c r="AG354" s="11"/>
      <c r="AH354" s="4"/>
      <c r="AI354" s="11"/>
      <c r="AJ354" s="11"/>
      <c r="AK354" s="4"/>
      <c r="AL354" s="4"/>
      <c r="AM354" s="4"/>
      <c r="AN354" s="4"/>
      <c r="AO354" s="4"/>
      <c r="AP354" s="4"/>
      <c r="AQ354" s="4"/>
    </row>
    <row r="355" spans="1:43" s="2" customFormat="1" x14ac:dyDescent="0.25">
      <c r="A355" s="161" t="str">
        <f t="shared" ref="A355:A419" si="6">CONCATENATE(E355,IF(ISBLANK(C355),"",CONCATENATE("_",C355)))</f>
        <v>COMPOSITE_BOWMAN_ASIA</v>
      </c>
      <c r="B355" s="9" t="s">
        <v>116</v>
      </c>
      <c r="C355" s="4" t="s">
        <v>693</v>
      </c>
      <c r="D355" s="4"/>
      <c r="E355" s="4" t="s">
        <v>116</v>
      </c>
      <c r="F355" s="4" t="s">
        <v>116</v>
      </c>
      <c r="G355" s="4"/>
      <c r="H355" s="4" t="s">
        <v>447</v>
      </c>
      <c r="I355" s="4" t="s">
        <v>102</v>
      </c>
      <c r="J355" s="11"/>
      <c r="K355" s="11"/>
      <c r="L355" s="4"/>
      <c r="M355" s="12"/>
      <c r="N355" s="4"/>
      <c r="O355" s="4"/>
      <c r="P355" s="4"/>
      <c r="Q355" s="11"/>
      <c r="R355" s="11"/>
      <c r="S355" s="4"/>
      <c r="T355" s="11"/>
      <c r="U355" s="11"/>
      <c r="V355" s="4"/>
      <c r="W355" s="11"/>
      <c r="X355" s="11"/>
      <c r="Y355" s="4"/>
      <c r="Z355" s="9"/>
      <c r="AA355" s="11"/>
      <c r="AB355" s="4"/>
      <c r="AC355" s="11"/>
      <c r="AD355" s="11"/>
      <c r="AE355" s="4"/>
      <c r="AF355" s="11"/>
      <c r="AG355" s="11"/>
      <c r="AH355" s="4"/>
      <c r="AI355" s="11"/>
      <c r="AJ355" s="11"/>
      <c r="AK355" s="4"/>
      <c r="AL355" s="4"/>
      <c r="AM355" s="4"/>
      <c r="AN355" s="4"/>
      <c r="AO355" s="4"/>
      <c r="AP355" s="4"/>
      <c r="AQ355" s="4"/>
    </row>
    <row r="356" spans="1:43" s="2" customFormat="1" x14ac:dyDescent="0.25">
      <c r="A356" s="161" t="str">
        <f t="shared" si="6"/>
        <v>COMPOSITE_BOWMAN_CHINA</v>
      </c>
      <c r="B356" s="9" t="s">
        <v>116</v>
      </c>
      <c r="C356" s="4" t="s">
        <v>710</v>
      </c>
      <c r="D356" s="4"/>
      <c r="E356" s="4" t="s">
        <v>116</v>
      </c>
      <c r="F356" s="4" t="s">
        <v>116</v>
      </c>
      <c r="G356" s="14" t="s">
        <v>132</v>
      </c>
      <c r="H356" s="4" t="s">
        <v>244</v>
      </c>
      <c r="I356" s="4" t="s">
        <v>102</v>
      </c>
      <c r="J356" s="11"/>
      <c r="K356" s="11"/>
      <c r="L356" s="4"/>
      <c r="M356" s="12"/>
      <c r="N356" s="4"/>
      <c r="O356" s="4"/>
      <c r="P356" s="4"/>
      <c r="Q356" s="11"/>
      <c r="R356" s="11"/>
      <c r="S356" s="4"/>
      <c r="T356" s="11"/>
      <c r="U356" s="11"/>
      <c r="V356" s="4"/>
      <c r="W356" s="11"/>
      <c r="X356" s="11"/>
      <c r="Y356" s="4"/>
      <c r="Z356" s="9"/>
      <c r="AA356" s="11"/>
      <c r="AB356" s="4"/>
      <c r="AC356" s="11"/>
      <c r="AD356" s="11"/>
      <c r="AE356" s="4"/>
      <c r="AF356" s="11"/>
      <c r="AG356" s="11"/>
      <c r="AH356" s="4"/>
      <c r="AI356" s="11"/>
      <c r="AJ356" s="11"/>
      <c r="AK356" s="4"/>
      <c r="AL356" s="4"/>
      <c r="AM356" s="4"/>
      <c r="AN356" s="4"/>
      <c r="AO356" s="4"/>
      <c r="AP356" s="4"/>
      <c r="AQ356" s="4"/>
    </row>
    <row r="357" spans="1:43" s="2" customFormat="1" x14ac:dyDescent="0.25">
      <c r="A357" s="161" t="str">
        <f t="shared" si="6"/>
        <v>COMPOSITE_BOWMAN_JAPAN</v>
      </c>
      <c r="B357" s="9" t="s">
        <v>116</v>
      </c>
      <c r="C357" s="4" t="s">
        <v>722</v>
      </c>
      <c r="D357" s="4"/>
      <c r="E357" s="4" t="s">
        <v>116</v>
      </c>
      <c r="F357" s="4" t="s">
        <v>116</v>
      </c>
      <c r="G357" s="14" t="s">
        <v>132</v>
      </c>
      <c r="H357" s="4" t="s">
        <v>476</v>
      </c>
      <c r="I357" s="4" t="s">
        <v>102</v>
      </c>
      <c r="J357" s="11"/>
      <c r="K357" s="11"/>
      <c r="L357" s="4"/>
      <c r="M357" s="12"/>
      <c r="N357" s="4"/>
      <c r="O357" s="4"/>
      <c r="P357" s="4"/>
      <c r="Q357" s="11"/>
      <c r="R357" s="11"/>
      <c r="S357" s="4"/>
      <c r="T357" s="11"/>
      <c r="U357" s="11"/>
      <c r="V357" s="4"/>
      <c r="W357" s="11"/>
      <c r="X357" s="11"/>
      <c r="Y357" s="4"/>
      <c r="Z357" s="9"/>
      <c r="AA357" s="11"/>
      <c r="AB357" s="4"/>
      <c r="AC357" s="11"/>
      <c r="AD357" s="11"/>
      <c r="AE357" s="4"/>
      <c r="AF357" s="11"/>
      <c r="AG357" s="11"/>
      <c r="AH357" s="4"/>
      <c r="AI357" s="11"/>
      <c r="AJ357" s="11"/>
      <c r="AK357" s="4"/>
      <c r="AL357" s="4"/>
      <c r="AM357" s="4"/>
      <c r="AN357" s="4"/>
      <c r="AO357" s="4"/>
      <c r="AP357" s="4"/>
      <c r="AQ357" s="4"/>
    </row>
    <row r="358" spans="1:43" s="2" customFormat="1" x14ac:dyDescent="0.25">
      <c r="A358" s="161" t="str">
        <f t="shared" si="6"/>
        <v>COMPOSITE_BOWMAN_KOREA</v>
      </c>
      <c r="B358" s="9" t="s">
        <v>116</v>
      </c>
      <c r="C358" s="4" t="s">
        <v>723</v>
      </c>
      <c r="D358" s="4"/>
      <c r="E358" s="4" t="s">
        <v>116</v>
      </c>
      <c r="F358" s="4" t="s">
        <v>116</v>
      </c>
      <c r="G358" s="14" t="s">
        <v>132</v>
      </c>
      <c r="H358" s="4" t="s">
        <v>497</v>
      </c>
      <c r="I358" s="4" t="s">
        <v>102</v>
      </c>
      <c r="J358" s="11"/>
      <c r="K358" s="11"/>
      <c r="L358" s="4"/>
      <c r="M358" s="12"/>
      <c r="N358" s="4"/>
      <c r="O358" s="4"/>
      <c r="P358" s="4"/>
      <c r="Q358" s="11"/>
      <c r="R358" s="11"/>
      <c r="S358" s="4"/>
      <c r="T358" s="11"/>
      <c r="U358" s="11"/>
      <c r="V358" s="4"/>
      <c r="W358" s="11"/>
      <c r="X358" s="11"/>
      <c r="Y358" s="4"/>
      <c r="Z358" s="9"/>
      <c r="AA358" s="11"/>
      <c r="AB358" s="4"/>
      <c r="AC358" s="11"/>
      <c r="AD358" s="11"/>
      <c r="AE358" s="4"/>
      <c r="AF358" s="11"/>
      <c r="AG358" s="11"/>
      <c r="AH358" s="4"/>
      <c r="AI358" s="11"/>
      <c r="AJ358" s="11"/>
      <c r="AK358" s="4"/>
      <c r="AL358" s="4"/>
      <c r="AM358" s="4"/>
      <c r="AN358" s="4"/>
      <c r="AO358" s="4"/>
      <c r="AP358" s="4"/>
      <c r="AQ358" s="4"/>
    </row>
    <row r="359" spans="1:43" s="2" customFormat="1" x14ac:dyDescent="0.25">
      <c r="A359" s="161" t="str">
        <f t="shared" si="6"/>
        <v>COMPOSITE_BOWMAN_MONGOL</v>
      </c>
      <c r="B359" s="9" t="s">
        <v>116</v>
      </c>
      <c r="C359" s="4" t="s">
        <v>728</v>
      </c>
      <c r="D359" s="4"/>
      <c r="E359" s="4" t="s">
        <v>116</v>
      </c>
      <c r="F359" s="4" t="s">
        <v>116</v>
      </c>
      <c r="G359" s="14" t="s">
        <v>132</v>
      </c>
      <c r="H359" s="4" t="s">
        <v>527</v>
      </c>
      <c r="I359" s="4" t="s">
        <v>2103</v>
      </c>
      <c r="J359" s="11"/>
      <c r="K359" s="11"/>
      <c r="L359" s="4"/>
      <c r="M359" s="12"/>
      <c r="N359" s="4"/>
      <c r="O359" s="4"/>
      <c r="P359" s="4"/>
      <c r="Q359" s="11"/>
      <c r="R359" s="11"/>
      <c r="S359" s="4"/>
      <c r="T359" s="11"/>
      <c r="U359" s="11"/>
      <c r="V359" s="4"/>
      <c r="W359" s="11"/>
      <c r="X359" s="11"/>
      <c r="Y359" s="4"/>
      <c r="Z359" s="9"/>
      <c r="AA359" s="11"/>
      <c r="AB359" s="4"/>
      <c r="AC359" s="11"/>
      <c r="AD359" s="11"/>
      <c r="AE359" s="4"/>
      <c r="AF359" s="11"/>
      <c r="AG359" s="11"/>
      <c r="AH359" s="4"/>
      <c r="AI359" s="11"/>
      <c r="AJ359" s="11"/>
      <c r="AK359" s="4"/>
      <c r="AL359" s="4"/>
      <c r="AM359" s="4"/>
      <c r="AN359" s="4"/>
      <c r="AO359" s="4"/>
      <c r="AP359" s="4"/>
      <c r="AQ359" s="4"/>
    </row>
    <row r="360" spans="1:43" s="2" customFormat="1" x14ac:dyDescent="0.25">
      <c r="A360" s="161" t="str">
        <f t="shared" si="6"/>
        <v>COMPOSITE_BOWMAN_CENTAS</v>
      </c>
      <c r="B360" s="9" t="s">
        <v>116</v>
      </c>
      <c r="C360" s="4" t="s">
        <v>918</v>
      </c>
      <c r="D360" s="4"/>
      <c r="E360" s="4" t="s">
        <v>116</v>
      </c>
      <c r="F360" s="4" t="s">
        <v>116</v>
      </c>
      <c r="G360" s="14" t="s">
        <v>132</v>
      </c>
      <c r="H360" s="4" t="s">
        <v>1029</v>
      </c>
      <c r="I360" s="4" t="s">
        <v>2103</v>
      </c>
      <c r="J360" s="11"/>
      <c r="K360" s="11"/>
      <c r="L360" s="4"/>
      <c r="M360" s="12"/>
      <c r="N360" s="4"/>
      <c r="O360" s="4"/>
      <c r="P360" s="4"/>
      <c r="Q360" s="11"/>
      <c r="R360" s="11"/>
      <c r="S360" s="4"/>
      <c r="T360" s="11"/>
      <c r="U360" s="11"/>
      <c r="V360" s="4"/>
      <c r="W360" s="11"/>
      <c r="X360" s="11"/>
      <c r="Y360" s="4"/>
      <c r="Z360" s="9"/>
      <c r="AA360" s="11"/>
      <c r="AB360" s="4"/>
      <c r="AC360" s="11"/>
      <c r="AD360" s="11"/>
      <c r="AE360" s="4"/>
      <c r="AF360" s="11"/>
      <c r="AG360" s="11"/>
      <c r="AH360" s="4"/>
      <c r="AI360" s="11"/>
      <c r="AJ360" s="11"/>
      <c r="AK360" s="4"/>
      <c r="AL360" s="4"/>
      <c r="AM360" s="4"/>
      <c r="AN360" s="4"/>
      <c r="AO360" s="4"/>
      <c r="AP360" s="4"/>
      <c r="AQ360" s="4"/>
    </row>
    <row r="361" spans="1:43" s="2" customFormat="1" x14ac:dyDescent="0.25">
      <c r="A361" s="161" t="str">
        <f t="shared" si="6"/>
        <v>COMPOSITE_BOWMAN_EASTEU</v>
      </c>
      <c r="B361" s="9" t="s">
        <v>116</v>
      </c>
      <c r="C361" s="4" t="s">
        <v>698</v>
      </c>
      <c r="D361" s="4"/>
      <c r="E361" s="4" t="s">
        <v>116</v>
      </c>
      <c r="F361" s="4" t="s">
        <v>116</v>
      </c>
      <c r="G361" s="4"/>
      <c r="H361" s="4" t="s">
        <v>609</v>
      </c>
      <c r="I361" s="4" t="s">
        <v>2103</v>
      </c>
      <c r="J361" s="11"/>
      <c r="K361" s="11"/>
      <c r="L361" s="4"/>
      <c r="M361" s="12"/>
      <c r="N361" s="4"/>
      <c r="O361" s="4"/>
      <c r="P361" s="4"/>
      <c r="Q361" s="11"/>
      <c r="R361" s="11"/>
      <c r="S361" s="4"/>
      <c r="T361" s="11"/>
      <c r="U361" s="11"/>
      <c r="V361" s="4"/>
      <c r="W361" s="11"/>
      <c r="X361" s="11"/>
      <c r="Y361" s="4"/>
      <c r="Z361" s="9"/>
      <c r="AA361" s="11"/>
      <c r="AB361" s="4"/>
      <c r="AC361" s="11"/>
      <c r="AD361" s="11"/>
      <c r="AE361" s="4"/>
      <c r="AF361" s="11"/>
      <c r="AG361" s="11"/>
      <c r="AH361" s="4"/>
      <c r="AI361" s="11"/>
      <c r="AJ361" s="11"/>
      <c r="AK361" s="4"/>
      <c r="AL361" s="4"/>
      <c r="AM361" s="4"/>
      <c r="AN361" s="4"/>
      <c r="AO361" s="4"/>
      <c r="AP361" s="4"/>
      <c r="AQ361" s="4"/>
    </row>
    <row r="362" spans="1:43" s="2" customFormat="1" x14ac:dyDescent="0.25">
      <c r="A362" s="161" t="str">
        <f t="shared" si="6"/>
        <v>COMPOSITE_BOWMAN_RUSSIA</v>
      </c>
      <c r="B362" s="9" t="s">
        <v>116</v>
      </c>
      <c r="C362" s="4" t="s">
        <v>735</v>
      </c>
      <c r="D362" s="4" t="s">
        <v>698</v>
      </c>
      <c r="E362" s="4" t="s">
        <v>116</v>
      </c>
      <c r="F362" s="4" t="s">
        <v>116</v>
      </c>
      <c r="G362" s="14" t="s">
        <v>132</v>
      </c>
      <c r="H362" s="4"/>
      <c r="I362" s="4"/>
      <c r="J362" s="11"/>
      <c r="K362" s="11"/>
      <c r="L362" s="4"/>
      <c r="M362" s="12"/>
      <c r="N362" s="4"/>
      <c r="O362" s="4"/>
      <c r="P362" s="4"/>
      <c r="Q362" s="11"/>
      <c r="R362" s="11"/>
      <c r="S362" s="4"/>
      <c r="T362" s="11"/>
      <c r="U362" s="11"/>
      <c r="V362" s="4"/>
      <c r="W362" s="11"/>
      <c r="X362" s="11"/>
      <c r="Y362" s="4"/>
      <c r="Z362" s="9"/>
      <c r="AA362" s="11"/>
      <c r="AB362" s="4"/>
      <c r="AC362" s="11"/>
      <c r="AD362" s="11"/>
      <c r="AE362" s="4"/>
      <c r="AF362" s="11"/>
      <c r="AG362" s="11"/>
      <c r="AH362" s="4"/>
      <c r="AI362" s="11"/>
      <c r="AJ362" s="11"/>
      <c r="AK362" s="4"/>
      <c r="AL362" s="4"/>
      <c r="AM362" s="4"/>
      <c r="AN362" s="4"/>
      <c r="AO362" s="4"/>
      <c r="AP362" s="4"/>
      <c r="AQ362" s="4"/>
    </row>
    <row r="363" spans="1:43" s="2" customFormat="1" x14ac:dyDescent="0.25">
      <c r="A363" s="161" t="str">
        <f t="shared" si="6"/>
        <v>COMPOSITE_BOWMAN_ENGLAND</v>
      </c>
      <c r="B363" s="9" t="s">
        <v>116</v>
      </c>
      <c r="C363" s="4" t="s">
        <v>713</v>
      </c>
      <c r="D363" s="4"/>
      <c r="E363" s="4" t="s">
        <v>116</v>
      </c>
      <c r="F363" s="4" t="s">
        <v>116</v>
      </c>
      <c r="G363" s="14" t="s">
        <v>132</v>
      </c>
      <c r="H363" s="4" t="s">
        <v>295</v>
      </c>
      <c r="I363" s="4" t="s">
        <v>102</v>
      </c>
      <c r="J363" s="11"/>
      <c r="K363" s="11"/>
      <c r="L363" s="4"/>
      <c r="M363" s="12"/>
      <c r="N363" s="4"/>
      <c r="O363" s="4"/>
      <c r="P363" s="4"/>
      <c r="Q363" s="11"/>
      <c r="R363" s="11"/>
      <c r="S363" s="4"/>
      <c r="T363" s="11"/>
      <c r="U363" s="11"/>
      <c r="V363" s="4"/>
      <c r="W363" s="11"/>
      <c r="X363" s="11"/>
      <c r="Y363" s="4"/>
      <c r="Z363" s="9"/>
      <c r="AA363" s="11"/>
      <c r="AB363" s="4"/>
      <c r="AC363" s="11"/>
      <c r="AD363" s="11"/>
      <c r="AE363" s="4"/>
      <c r="AF363" s="11"/>
      <c r="AG363" s="11"/>
      <c r="AH363" s="4"/>
      <c r="AI363" s="11"/>
      <c r="AJ363" s="11"/>
      <c r="AK363" s="4"/>
      <c r="AL363" s="4"/>
      <c r="AM363" s="4"/>
      <c r="AN363" s="4"/>
      <c r="AO363" s="4"/>
      <c r="AP363" s="4"/>
      <c r="AQ363" s="4"/>
    </row>
    <row r="364" spans="1:43" s="2" customFormat="1" x14ac:dyDescent="0.25">
      <c r="A364" s="161" t="str">
        <f t="shared" si="6"/>
        <v>COMPOSITE_BOWMAN_FRANCE</v>
      </c>
      <c r="B364" s="9" t="s">
        <v>116</v>
      </c>
      <c r="C364" s="4" t="s">
        <v>715</v>
      </c>
      <c r="D364" s="4"/>
      <c r="E364" s="4" t="s">
        <v>116</v>
      </c>
      <c r="F364" s="4" t="s">
        <v>116</v>
      </c>
      <c r="G364" s="14" t="s">
        <v>132</v>
      </c>
      <c r="H364" s="4" t="s">
        <v>340</v>
      </c>
      <c r="I364" s="4" t="s">
        <v>102</v>
      </c>
      <c r="J364" s="11"/>
      <c r="K364" s="11"/>
      <c r="L364" s="4"/>
      <c r="M364" s="12"/>
      <c r="N364" s="4"/>
      <c r="O364" s="4"/>
      <c r="P364" s="4"/>
      <c r="Q364" s="11"/>
      <c r="R364" s="11">
        <v>0.15</v>
      </c>
      <c r="S364" s="4"/>
      <c r="T364" s="11"/>
      <c r="U364" s="11">
        <v>9.5000000000000001E-2</v>
      </c>
      <c r="V364" s="4"/>
      <c r="W364" s="11"/>
      <c r="X364" s="11"/>
      <c r="Y364" s="4"/>
      <c r="Z364" s="9"/>
      <c r="AA364" s="11"/>
      <c r="AB364" s="4"/>
      <c r="AC364" s="11"/>
      <c r="AD364" s="11"/>
      <c r="AE364" s="4"/>
      <c r="AF364" s="11"/>
      <c r="AG364" s="11"/>
      <c r="AH364" s="4"/>
      <c r="AI364" s="11"/>
      <c r="AJ364" s="11"/>
      <c r="AK364" s="4"/>
      <c r="AL364" s="4"/>
      <c r="AM364" s="4"/>
      <c r="AN364" s="4"/>
      <c r="AO364" s="4"/>
      <c r="AP364" s="4"/>
      <c r="AQ364" s="4"/>
    </row>
    <row r="365" spans="1:43" s="2" customFormat="1" x14ac:dyDescent="0.25">
      <c r="A365" s="161" t="str">
        <f t="shared" si="6"/>
        <v>COMPOSITE_BOWMAN_GERMANY</v>
      </c>
      <c r="B365" s="9" t="s">
        <v>116</v>
      </c>
      <c r="C365" s="4" t="s">
        <v>717</v>
      </c>
      <c r="D365" s="4"/>
      <c r="E365" s="4" t="s">
        <v>116</v>
      </c>
      <c r="F365" s="4" t="s">
        <v>116</v>
      </c>
      <c r="G365" s="14" t="s">
        <v>132</v>
      </c>
      <c r="H365" s="4" t="s">
        <v>370</v>
      </c>
      <c r="I365" s="4" t="s">
        <v>102</v>
      </c>
      <c r="J365" s="11"/>
      <c r="K365" s="11"/>
      <c r="L365" s="4"/>
      <c r="M365" s="12"/>
      <c r="N365" s="4"/>
      <c r="O365" s="4"/>
      <c r="P365" s="4"/>
      <c r="Q365" s="11"/>
      <c r="R365" s="11"/>
      <c r="S365" s="4"/>
      <c r="T365" s="11"/>
      <c r="U365" s="11"/>
      <c r="V365" s="4"/>
      <c r="W365" s="11"/>
      <c r="X365" s="11"/>
      <c r="Y365" s="4"/>
      <c r="Z365" s="9"/>
      <c r="AA365" s="11"/>
      <c r="AB365" s="4"/>
      <c r="AC365" s="11"/>
      <c r="AD365" s="11"/>
      <c r="AE365" s="4"/>
      <c r="AF365" s="11"/>
      <c r="AG365" s="11"/>
      <c r="AH365" s="4"/>
      <c r="AI365" s="11"/>
      <c r="AJ365" s="11"/>
      <c r="AK365" s="4"/>
      <c r="AL365" s="4"/>
      <c r="AM365" s="4"/>
      <c r="AN365" s="4"/>
      <c r="AO365" s="4"/>
      <c r="AP365" s="4"/>
      <c r="AQ365" s="4"/>
    </row>
    <row r="366" spans="1:43" x14ac:dyDescent="0.25">
      <c r="A366" s="161" t="str">
        <f t="shared" si="6"/>
        <v>COMPOSITE_BOWMAN_NETHERLANDS</v>
      </c>
      <c r="B366" s="9" t="s">
        <v>116</v>
      </c>
      <c r="C366" s="4" t="s">
        <v>730</v>
      </c>
      <c r="E366" s="4" t="s">
        <v>116</v>
      </c>
      <c r="F366" s="4" t="s">
        <v>116</v>
      </c>
      <c r="G366" s="14" t="s">
        <v>132</v>
      </c>
      <c r="H366" s="4" t="s">
        <v>539</v>
      </c>
      <c r="Z366" s="9"/>
    </row>
    <row r="367" spans="1:43" x14ac:dyDescent="0.25">
      <c r="A367" s="161" t="str">
        <f t="shared" si="6"/>
        <v>COMPOSITE_BOWMAN_MED</v>
      </c>
      <c r="B367" s="9" t="s">
        <v>116</v>
      </c>
      <c r="C367" s="4" t="s">
        <v>692</v>
      </c>
      <c r="E367" s="4" t="s">
        <v>116</v>
      </c>
      <c r="F367" s="4" t="s">
        <v>116</v>
      </c>
      <c r="H367" s="4" t="s">
        <v>649</v>
      </c>
      <c r="I367" s="4" t="s">
        <v>2103</v>
      </c>
      <c r="Z367" s="9"/>
    </row>
    <row r="368" spans="1:43" x14ac:dyDescent="0.25">
      <c r="A368" s="161" t="str">
        <f t="shared" si="6"/>
        <v>COMPOSITE_BOWMAN_GREECE</v>
      </c>
      <c r="B368" s="9" t="s">
        <v>116</v>
      </c>
      <c r="C368" s="4" t="s">
        <v>718</v>
      </c>
      <c r="E368" s="4" t="s">
        <v>116</v>
      </c>
      <c r="F368" s="4" t="s">
        <v>116</v>
      </c>
      <c r="G368" s="14" t="s">
        <v>132</v>
      </c>
      <c r="H368" s="4" t="s">
        <v>399</v>
      </c>
      <c r="I368" s="4" t="s">
        <v>102</v>
      </c>
      <c r="Z368" s="9"/>
    </row>
    <row r="369" spans="1:26" x14ac:dyDescent="0.25">
      <c r="A369" s="161" t="str">
        <f t="shared" si="6"/>
        <v>COMPOSITE_BOWMAN_ROME</v>
      </c>
      <c r="B369" s="9" t="s">
        <v>116</v>
      </c>
      <c r="C369" s="4" t="s">
        <v>734</v>
      </c>
      <c r="E369" s="4" t="s">
        <v>116</v>
      </c>
      <c r="F369" s="4" t="s">
        <v>116</v>
      </c>
      <c r="G369" s="14" t="s">
        <v>132</v>
      </c>
      <c r="H369" s="4" t="s">
        <v>584</v>
      </c>
      <c r="I369" s="4" t="s">
        <v>102</v>
      </c>
      <c r="Z369" s="9"/>
    </row>
    <row r="370" spans="1:26" x14ac:dyDescent="0.25">
      <c r="A370" s="161" t="str">
        <f t="shared" si="6"/>
        <v>COMPOSITE_BOWMAN_SPAIN</v>
      </c>
      <c r="B370" s="9" t="s">
        <v>116</v>
      </c>
      <c r="C370" s="4" t="s">
        <v>738</v>
      </c>
      <c r="D370" s="4" t="s">
        <v>692</v>
      </c>
      <c r="E370" s="4" t="s">
        <v>116</v>
      </c>
      <c r="F370" s="4" t="s">
        <v>116</v>
      </c>
      <c r="G370" s="14" t="s">
        <v>132</v>
      </c>
      <c r="Z370" s="9"/>
    </row>
    <row r="371" spans="1:26" x14ac:dyDescent="0.25">
      <c r="A371" s="161" t="str">
        <f t="shared" si="6"/>
        <v>COMPOSITE_BOWMAN_MIDEAST</v>
      </c>
      <c r="B371" s="9" t="s">
        <v>116</v>
      </c>
      <c r="C371" s="4" t="s">
        <v>690</v>
      </c>
      <c r="E371" s="4" t="s">
        <v>116</v>
      </c>
      <c r="F371" s="4" t="s">
        <v>116</v>
      </c>
      <c r="H371" s="4" t="s">
        <v>158</v>
      </c>
      <c r="I371" s="4" t="s">
        <v>2103</v>
      </c>
      <c r="Z371" s="9"/>
    </row>
    <row r="372" spans="1:26" x14ac:dyDescent="0.25">
      <c r="A372" s="161" t="str">
        <f t="shared" si="6"/>
        <v>COMPOSITE_BOWMAN_BABYLON</v>
      </c>
      <c r="B372" s="9" t="s">
        <v>116</v>
      </c>
      <c r="C372" s="4" t="s">
        <v>703</v>
      </c>
      <c r="E372" s="4" t="s">
        <v>116</v>
      </c>
      <c r="F372" s="4" t="s">
        <v>116</v>
      </c>
      <c r="G372" s="14"/>
      <c r="H372" s="4" t="s">
        <v>206</v>
      </c>
      <c r="I372" s="4" t="s">
        <v>102</v>
      </c>
      <c r="Z372" s="9"/>
    </row>
    <row r="373" spans="1:26" x14ac:dyDescent="0.25">
      <c r="A373" s="161" t="str">
        <f t="shared" si="6"/>
        <v>COMPOSITE_BOWMAN_EGYPT</v>
      </c>
      <c r="B373" s="9" t="s">
        <v>116</v>
      </c>
      <c r="C373" s="4" t="s">
        <v>712</v>
      </c>
      <c r="E373" s="4" t="s">
        <v>116</v>
      </c>
      <c r="F373" s="4" t="s">
        <v>116</v>
      </c>
      <c r="G373" s="14" t="s">
        <v>132</v>
      </c>
      <c r="H373" s="4" t="s">
        <v>276</v>
      </c>
      <c r="I373" s="4" t="s">
        <v>2103</v>
      </c>
      <c r="Z373" s="9"/>
    </row>
    <row r="374" spans="1:26" x14ac:dyDescent="0.25">
      <c r="A374" s="161" t="str">
        <f t="shared" si="6"/>
        <v>COMPOSITE_BOWMAN_LEVANT</v>
      </c>
      <c r="B374" s="9" t="s">
        <v>116</v>
      </c>
      <c r="C374" s="4" t="s">
        <v>724</v>
      </c>
      <c r="E374" s="4" t="s">
        <v>116</v>
      </c>
      <c r="F374" s="4" t="s">
        <v>116</v>
      </c>
      <c r="G374" s="14" t="s">
        <v>132</v>
      </c>
      <c r="H374" s="4" t="s">
        <v>507</v>
      </c>
      <c r="I374" s="4" t="s">
        <v>1063</v>
      </c>
      <c r="Z374" s="9"/>
    </row>
    <row r="375" spans="1:26" x14ac:dyDescent="0.25">
      <c r="A375" s="161" t="str">
        <f t="shared" si="6"/>
        <v>COMPOSITE_BOWMAN_PERSIA</v>
      </c>
      <c r="B375" s="9" t="s">
        <v>116</v>
      </c>
      <c r="C375" s="4" t="s">
        <v>731</v>
      </c>
      <c r="E375" s="4" t="s">
        <v>116</v>
      </c>
      <c r="F375" s="4" t="s">
        <v>116</v>
      </c>
      <c r="G375" s="14" t="s">
        <v>132</v>
      </c>
      <c r="H375" s="4" t="s">
        <v>552</v>
      </c>
      <c r="I375" s="4" t="s">
        <v>102</v>
      </c>
      <c r="Z375" s="9"/>
    </row>
    <row r="376" spans="1:26" x14ac:dyDescent="0.25">
      <c r="A376" s="161" t="str">
        <f t="shared" si="6"/>
        <v>COMPOSITE_BOWMAN_NORTHEU</v>
      </c>
      <c r="B376" s="9" t="s">
        <v>116</v>
      </c>
      <c r="C376" s="4" t="s">
        <v>962</v>
      </c>
      <c r="E376" s="4" t="s">
        <v>116</v>
      </c>
      <c r="F376" s="4" t="s">
        <v>116</v>
      </c>
      <c r="G376" s="14" t="s">
        <v>132</v>
      </c>
      <c r="H376" s="4" t="s">
        <v>265</v>
      </c>
      <c r="I376" s="4" t="s">
        <v>102</v>
      </c>
      <c r="R376" s="11">
        <v>0.15</v>
      </c>
      <c r="U376" s="11">
        <v>9.5000000000000001E-2</v>
      </c>
      <c r="Z376" s="9"/>
    </row>
    <row r="377" spans="1:26" x14ac:dyDescent="0.25">
      <c r="A377" s="161" t="str">
        <f t="shared" si="6"/>
        <v>COMPOSITE_BOWMAN_OCEAN</v>
      </c>
      <c r="B377" s="9" t="s">
        <v>116</v>
      </c>
      <c r="C377" s="4" t="s">
        <v>994</v>
      </c>
      <c r="D377" s="4" t="s">
        <v>691</v>
      </c>
      <c r="E377" s="4" t="s">
        <v>116</v>
      </c>
      <c r="F377" s="4" t="s">
        <v>116</v>
      </c>
      <c r="Z377" s="9"/>
    </row>
    <row r="378" spans="1:26" x14ac:dyDescent="0.25">
      <c r="A378" s="161" t="str">
        <f t="shared" si="6"/>
        <v>COMPOSITE_BOWMAN_SEASIA</v>
      </c>
      <c r="B378" s="9" t="s">
        <v>116</v>
      </c>
      <c r="C378" s="4" t="s">
        <v>696</v>
      </c>
      <c r="D378" s="4" t="s">
        <v>693</v>
      </c>
      <c r="E378" s="4" t="s">
        <v>116</v>
      </c>
      <c r="F378" s="4" t="s">
        <v>116</v>
      </c>
      <c r="Z378" s="9"/>
    </row>
    <row r="379" spans="1:26" x14ac:dyDescent="0.25">
      <c r="A379" s="161" t="str">
        <f t="shared" si="6"/>
        <v>COMPOSITE_BOWMAN_SOUTHAM</v>
      </c>
      <c r="B379" s="9" t="s">
        <v>116</v>
      </c>
      <c r="C379" s="4" t="s">
        <v>691</v>
      </c>
      <c r="E379" s="4" t="s">
        <v>116</v>
      </c>
      <c r="F379" s="4" t="s">
        <v>116</v>
      </c>
      <c r="H379" s="4" t="s">
        <v>192</v>
      </c>
      <c r="I379" s="4" t="s">
        <v>2103</v>
      </c>
      <c r="Z379" s="9"/>
    </row>
    <row r="380" spans="1:26" x14ac:dyDescent="0.25">
      <c r="A380" s="161" t="str">
        <f t="shared" si="6"/>
        <v>COMPOSITE_BOWMAN_AZTEC</v>
      </c>
      <c r="B380" s="9" t="s">
        <v>116</v>
      </c>
      <c r="C380" s="4" t="s">
        <v>702</v>
      </c>
      <c r="D380" s="4" t="s">
        <v>691</v>
      </c>
      <c r="E380" s="4" t="s">
        <v>116</v>
      </c>
      <c r="F380" s="4" t="s">
        <v>116</v>
      </c>
      <c r="G380" s="14"/>
      <c r="Z380" s="9"/>
    </row>
    <row r="381" spans="1:26" x14ac:dyDescent="0.25">
      <c r="A381" s="161" t="str">
        <f t="shared" si="6"/>
        <v>COMPOSITE_BOWMAN_INCA</v>
      </c>
      <c r="B381" s="9" t="s">
        <v>116</v>
      </c>
      <c r="C381" s="4" t="s">
        <v>719</v>
      </c>
      <c r="E381" s="4" t="s">
        <v>116</v>
      </c>
      <c r="F381" s="4" t="s">
        <v>116</v>
      </c>
      <c r="G381" s="14" t="s">
        <v>132</v>
      </c>
      <c r="H381" s="4" t="s">
        <v>418</v>
      </c>
      <c r="I381" s="4" t="s">
        <v>2103</v>
      </c>
      <c r="Z381" s="9"/>
    </row>
    <row r="382" spans="1:26" x14ac:dyDescent="0.25">
      <c r="A382" s="161" t="str">
        <f t="shared" si="6"/>
        <v>COMPOSITE_BOWMAN_MAYA</v>
      </c>
      <c r="B382" s="9" t="s">
        <v>116</v>
      </c>
      <c r="C382" s="4" t="s">
        <v>725</v>
      </c>
      <c r="E382" s="4" t="s">
        <v>116</v>
      </c>
      <c r="F382" s="4" t="s">
        <v>116</v>
      </c>
      <c r="G382" s="14" t="s">
        <v>132</v>
      </c>
      <c r="H382" s="4" t="s">
        <v>515</v>
      </c>
      <c r="I382" s="4" t="s">
        <v>2103</v>
      </c>
      <c r="Z382" s="9"/>
    </row>
    <row r="383" spans="1:26" x14ac:dyDescent="0.25">
      <c r="A383" s="161" t="str">
        <f t="shared" si="6"/>
        <v>COMPOSITE_BOWMAN_SOUTHAS</v>
      </c>
      <c r="B383" s="9" t="s">
        <v>116</v>
      </c>
      <c r="C383" s="4" t="s">
        <v>695</v>
      </c>
      <c r="D383" s="4" t="s">
        <v>693</v>
      </c>
      <c r="E383" s="4" t="s">
        <v>116</v>
      </c>
      <c r="F383" s="4" t="s">
        <v>116</v>
      </c>
      <c r="Z383" s="9"/>
    </row>
    <row r="384" spans="1:26" x14ac:dyDescent="0.25">
      <c r="A384" s="161" t="str">
        <f t="shared" si="6"/>
        <v>COMPOSITE_BOWMAN_INDIA</v>
      </c>
      <c r="B384" s="9" t="s">
        <v>116</v>
      </c>
      <c r="C384" s="4" t="s">
        <v>720</v>
      </c>
      <c r="E384" s="4" t="s">
        <v>116</v>
      </c>
      <c r="F384" s="4" t="s">
        <v>116</v>
      </c>
      <c r="G384" s="14" t="s">
        <v>132</v>
      </c>
      <c r="H384" s="4" t="s">
        <v>431</v>
      </c>
      <c r="I384" s="4" t="s">
        <v>102</v>
      </c>
      <c r="Z384" s="9"/>
    </row>
    <row r="385" spans="1:43" x14ac:dyDescent="0.25">
      <c r="A385" s="161" t="str">
        <f t="shared" si="6"/>
        <v>CONFEDERATE_ARTILLERY_NAPOLEON</v>
      </c>
      <c r="C385" s="5"/>
      <c r="D385" s="5"/>
      <c r="E385" s="5" t="s">
        <v>1327</v>
      </c>
      <c r="F385" s="5" t="s">
        <v>1327</v>
      </c>
      <c r="G385" s="5"/>
      <c r="H385" s="5" t="s">
        <v>1425</v>
      </c>
      <c r="I385" s="5" t="s">
        <v>128</v>
      </c>
      <c r="J385" s="6"/>
      <c r="K385" s="6"/>
      <c r="L385" s="13" t="s">
        <v>746</v>
      </c>
      <c r="M385" s="8"/>
      <c r="N385" s="5"/>
      <c r="O385" s="5"/>
      <c r="P385" s="5"/>
      <c r="Q385" s="7">
        <v>2</v>
      </c>
      <c r="R385" s="6" t="s">
        <v>1695</v>
      </c>
      <c r="S385" s="13" t="s">
        <v>1613</v>
      </c>
      <c r="T385" s="6"/>
      <c r="U385" s="6" t="s">
        <v>1695</v>
      </c>
      <c r="V385" s="5"/>
      <c r="W385" s="7" t="s">
        <v>3</v>
      </c>
      <c r="X385" s="6" t="s">
        <v>3</v>
      </c>
      <c r="Y385" s="5"/>
      <c r="Z385" s="7">
        <v>1</v>
      </c>
      <c r="AA385" s="6"/>
      <c r="AB385" s="5"/>
      <c r="AC385" s="6"/>
      <c r="AD385" s="6" t="s">
        <v>3</v>
      </c>
      <c r="AE385" s="5"/>
      <c r="AF385" s="6"/>
      <c r="AG385" s="6"/>
      <c r="AH385" s="5"/>
      <c r="AI385" s="6"/>
      <c r="AJ385" s="6"/>
      <c r="AK385" s="5"/>
      <c r="AL385" s="5"/>
      <c r="AM385" s="5"/>
      <c r="AN385" s="5"/>
      <c r="AO385" s="5"/>
      <c r="AP385" s="5"/>
      <c r="AQ385" s="5"/>
    </row>
    <row r="386" spans="1:43" x14ac:dyDescent="0.25">
      <c r="A386" s="161" t="str">
        <f t="shared" si="6"/>
        <v>CONFEDERATE_ARTILLERY_PARROTT</v>
      </c>
      <c r="C386" s="5"/>
      <c r="D386" s="5"/>
      <c r="E386" s="5" t="s">
        <v>1328</v>
      </c>
      <c r="F386" s="5" t="s">
        <v>1328</v>
      </c>
      <c r="G386" s="5"/>
      <c r="H386" s="5" t="s">
        <v>1426</v>
      </c>
      <c r="I386" s="5" t="s">
        <v>128</v>
      </c>
      <c r="J386" s="6"/>
      <c r="K386" s="6"/>
      <c r="L386" s="13" t="s">
        <v>746</v>
      </c>
      <c r="M386" s="8"/>
      <c r="N386" s="5"/>
      <c r="O386" s="5"/>
      <c r="P386" s="5"/>
      <c r="Q386" s="7">
        <v>2</v>
      </c>
      <c r="R386" s="6" t="s">
        <v>1695</v>
      </c>
      <c r="S386" s="13" t="s">
        <v>1613</v>
      </c>
      <c r="T386" s="6"/>
      <c r="U386" s="7" t="s">
        <v>1695</v>
      </c>
      <c r="V386" s="5"/>
      <c r="W386" s="7" t="s">
        <v>3</v>
      </c>
      <c r="X386" s="6" t="s">
        <v>3</v>
      </c>
      <c r="Y386" s="5"/>
      <c r="Z386" s="7">
        <v>1</v>
      </c>
      <c r="AA386" s="6"/>
      <c r="AB386" s="5"/>
      <c r="AC386" s="6"/>
      <c r="AD386" s="6" t="s">
        <v>3</v>
      </c>
      <c r="AE386" s="5"/>
      <c r="AF386" s="6"/>
      <c r="AG386" s="6"/>
      <c r="AH386" s="5"/>
      <c r="AI386" s="6"/>
      <c r="AJ386" s="6"/>
      <c r="AK386" s="5"/>
      <c r="AL386" s="5"/>
      <c r="AM386" s="5"/>
      <c r="AN386" s="5"/>
      <c r="AO386" s="5"/>
      <c r="AP386" s="5"/>
      <c r="AQ386" s="5"/>
    </row>
    <row r="387" spans="1:43" x14ac:dyDescent="0.25">
      <c r="A387" s="161" t="str">
        <f t="shared" si="6"/>
        <v>CONFEDERATE_CAVALRY_CARBINE</v>
      </c>
      <c r="C387" s="5"/>
      <c r="D387" s="5"/>
      <c r="E387" s="5" t="s">
        <v>1329</v>
      </c>
      <c r="F387" s="5" t="s">
        <v>1329</v>
      </c>
      <c r="G387" s="5"/>
      <c r="H387" s="5" t="s">
        <v>1427</v>
      </c>
      <c r="I387" s="5" t="s">
        <v>128</v>
      </c>
      <c r="J387" s="6"/>
      <c r="K387" s="6"/>
      <c r="L387" s="13" t="s">
        <v>1714</v>
      </c>
      <c r="M387" s="8"/>
      <c r="N387" s="5"/>
      <c r="O387" s="5"/>
      <c r="P387" s="5"/>
      <c r="Q387" s="7" t="s">
        <v>1695</v>
      </c>
      <c r="R387" s="6" t="s">
        <v>1695</v>
      </c>
      <c r="S387" s="13" t="s">
        <v>1695</v>
      </c>
      <c r="T387" s="6"/>
      <c r="U387" s="7" t="s">
        <v>1695</v>
      </c>
      <c r="V387" s="5"/>
      <c r="W387" s="7" t="s">
        <v>3</v>
      </c>
      <c r="X387" s="6" t="s">
        <v>3</v>
      </c>
      <c r="Y387" s="5"/>
      <c r="Z387" s="7">
        <v>1</v>
      </c>
      <c r="AA387" s="6"/>
      <c r="AB387" s="5"/>
      <c r="AC387" s="6"/>
      <c r="AD387" s="6" t="s">
        <v>3</v>
      </c>
      <c r="AE387" s="5"/>
      <c r="AF387" s="6" t="s">
        <v>1737</v>
      </c>
      <c r="AG387" s="6"/>
      <c r="AH387" s="5"/>
      <c r="AI387" s="6"/>
      <c r="AJ387" s="6"/>
      <c r="AK387" s="5"/>
      <c r="AL387" s="5"/>
      <c r="AM387" s="5"/>
      <c r="AN387" s="5"/>
      <c r="AO387" s="5"/>
      <c r="AP387" s="5"/>
      <c r="AQ387" s="5"/>
    </row>
    <row r="388" spans="1:43" x14ac:dyDescent="0.25">
      <c r="A388" s="161" t="str">
        <f t="shared" si="6"/>
        <v>CONFEDERATE_CAVALRY_PISTOL</v>
      </c>
      <c r="C388" s="5"/>
      <c r="D388" s="5"/>
      <c r="E388" s="5" t="s">
        <v>1330</v>
      </c>
      <c r="F388" s="5" t="s">
        <v>1330</v>
      </c>
      <c r="G388" s="5"/>
      <c r="H388" s="5" t="s">
        <v>1428</v>
      </c>
      <c r="I388" s="5" t="s">
        <v>128</v>
      </c>
      <c r="J388" s="6"/>
      <c r="K388" s="6"/>
      <c r="L388" s="13" t="s">
        <v>1714</v>
      </c>
      <c r="M388" s="8"/>
      <c r="N388" s="5"/>
      <c r="O388" s="5"/>
      <c r="P388" s="5"/>
      <c r="Q388" s="7" t="s">
        <v>1695</v>
      </c>
      <c r="R388" s="6" t="s">
        <v>1695</v>
      </c>
      <c r="S388" s="13" t="s">
        <v>1695</v>
      </c>
      <c r="T388" s="6"/>
      <c r="U388" s="7" t="s">
        <v>1695</v>
      </c>
      <c r="V388" s="5"/>
      <c r="W388" s="7" t="s">
        <v>3</v>
      </c>
      <c r="X388" s="6" t="s">
        <v>3</v>
      </c>
      <c r="Y388" s="5"/>
      <c r="Z388" s="7">
        <v>1</v>
      </c>
      <c r="AA388" s="6"/>
      <c r="AB388" s="5"/>
      <c r="AC388" s="6"/>
      <c r="AD388" s="6" t="s">
        <v>3</v>
      </c>
      <c r="AE388" s="5"/>
      <c r="AF388" s="6" t="s">
        <v>1737</v>
      </c>
      <c r="AG388" s="6"/>
      <c r="AH388" s="5"/>
      <c r="AI388" s="6"/>
      <c r="AJ388" s="6"/>
      <c r="AK388" s="5"/>
      <c r="AL388" s="5"/>
      <c r="AM388" s="5"/>
      <c r="AN388" s="5"/>
      <c r="AO388" s="5"/>
      <c r="AP388" s="5"/>
      <c r="AQ388" s="5"/>
    </row>
    <row r="389" spans="1:43" x14ac:dyDescent="0.25">
      <c r="A389" s="161" t="str">
        <f t="shared" si="6"/>
        <v>CONFEDERATE_CORPS</v>
      </c>
      <c r="C389" s="5"/>
      <c r="D389" s="5"/>
      <c r="E389" s="5" t="s">
        <v>1331</v>
      </c>
      <c r="F389" s="5" t="s">
        <v>1333</v>
      </c>
      <c r="G389" s="5"/>
      <c r="H389" s="5" t="s">
        <v>1431</v>
      </c>
      <c r="I389" s="5" t="s">
        <v>128</v>
      </c>
      <c r="J389" s="6"/>
      <c r="K389" s="6"/>
      <c r="L389" s="13" t="s">
        <v>1708</v>
      </c>
      <c r="M389" s="8"/>
      <c r="N389" s="5"/>
      <c r="O389" s="5"/>
      <c r="P389" s="5"/>
      <c r="Q389" s="6">
        <v>2</v>
      </c>
      <c r="R389" s="6" t="s">
        <v>1737</v>
      </c>
      <c r="S389" s="13" t="s">
        <v>1619</v>
      </c>
      <c r="T389" s="6">
        <v>2</v>
      </c>
      <c r="U389" s="7" t="s">
        <v>1737</v>
      </c>
      <c r="V389" s="5"/>
      <c r="W389" s="7" t="s">
        <v>3</v>
      </c>
      <c r="X389" s="6" t="s">
        <v>3</v>
      </c>
      <c r="Y389" s="5"/>
      <c r="Z389" s="7">
        <v>1</v>
      </c>
      <c r="AA389" s="6"/>
      <c r="AB389" s="5"/>
      <c r="AC389" s="6"/>
      <c r="AD389" s="6" t="s">
        <v>3</v>
      </c>
      <c r="AE389" s="5"/>
      <c r="AF389" s="6">
        <v>1</v>
      </c>
      <c r="AG389" s="6"/>
      <c r="AH389" s="5"/>
      <c r="AI389" s="6">
        <v>1</v>
      </c>
      <c r="AJ389" s="6"/>
      <c r="AK389" s="5"/>
      <c r="AL389" s="5"/>
      <c r="AM389" s="5"/>
      <c r="AN389" s="5"/>
      <c r="AO389" s="5"/>
      <c r="AP389" s="5"/>
      <c r="AQ389" s="5"/>
    </row>
    <row r="390" spans="1:43" x14ac:dyDescent="0.25">
      <c r="A390" s="161" t="str">
        <f t="shared" si="6"/>
        <v>CONFEDERATE_CORPS</v>
      </c>
      <c r="C390" s="5"/>
      <c r="D390" s="5"/>
      <c r="E390" s="5" t="s">
        <v>1331</v>
      </c>
      <c r="F390" s="5" t="s">
        <v>1333</v>
      </c>
      <c r="G390" s="5" t="s">
        <v>2055</v>
      </c>
      <c r="H390" s="5" t="s">
        <v>1432</v>
      </c>
      <c r="I390" s="5" t="s">
        <v>128</v>
      </c>
      <c r="J390" s="6"/>
      <c r="K390" s="6"/>
      <c r="L390" s="13" t="s">
        <v>1708</v>
      </c>
      <c r="M390" s="8"/>
      <c r="N390" s="5"/>
      <c r="O390" s="5"/>
      <c r="P390" s="5"/>
      <c r="Q390" s="6">
        <v>1</v>
      </c>
      <c r="R390" s="6" t="s">
        <v>1737</v>
      </c>
      <c r="S390" s="13" t="s">
        <v>1619</v>
      </c>
      <c r="T390" s="6">
        <v>1</v>
      </c>
      <c r="U390" s="7" t="s">
        <v>1737</v>
      </c>
      <c r="V390" s="5"/>
      <c r="W390" s="7" t="s">
        <v>3</v>
      </c>
      <c r="X390" s="6" t="s">
        <v>3</v>
      </c>
      <c r="Y390" s="5"/>
      <c r="Z390" s="7">
        <v>1</v>
      </c>
      <c r="AA390" s="6"/>
      <c r="AB390" s="5"/>
      <c r="AC390" s="6"/>
      <c r="AD390" s="6" t="s">
        <v>3</v>
      </c>
      <c r="AE390" s="5"/>
      <c r="AF390" s="6">
        <v>1</v>
      </c>
      <c r="AG390" s="6"/>
      <c r="AH390" s="5"/>
      <c r="AI390" s="6">
        <v>1</v>
      </c>
      <c r="AJ390" s="6"/>
      <c r="AK390" s="5"/>
      <c r="AL390" s="5"/>
      <c r="AM390" s="5"/>
      <c r="AN390" s="5"/>
      <c r="AO390" s="5"/>
      <c r="AP390" s="5"/>
      <c r="AQ390" s="5"/>
    </row>
    <row r="391" spans="1:43" x14ac:dyDescent="0.25">
      <c r="A391" s="161" t="str">
        <f t="shared" si="6"/>
        <v>CONFEDERATE_CORPS</v>
      </c>
      <c r="C391" s="5"/>
      <c r="D391" s="5"/>
      <c r="E391" s="5" t="s">
        <v>1331</v>
      </c>
      <c r="F391" s="5" t="s">
        <v>1333</v>
      </c>
      <c r="G391" s="5" t="s">
        <v>2047</v>
      </c>
      <c r="H391" s="5" t="s">
        <v>1433</v>
      </c>
      <c r="I391" s="5" t="s">
        <v>128</v>
      </c>
      <c r="J391" s="6"/>
      <c r="K391" s="6"/>
      <c r="L391" s="13" t="s">
        <v>1708</v>
      </c>
      <c r="M391" s="8"/>
      <c r="N391" s="5"/>
      <c r="O391" s="5"/>
      <c r="P391" s="5"/>
      <c r="Q391" s="6">
        <v>2</v>
      </c>
      <c r="R391" s="6" t="s">
        <v>1737</v>
      </c>
      <c r="S391" s="13" t="s">
        <v>1619</v>
      </c>
      <c r="T391" s="6">
        <v>2</v>
      </c>
      <c r="U391" s="7" t="s">
        <v>1737</v>
      </c>
      <c r="V391" s="5"/>
      <c r="W391" s="7" t="s">
        <v>3</v>
      </c>
      <c r="X391" s="6" t="s">
        <v>3</v>
      </c>
      <c r="Y391" s="5"/>
      <c r="Z391" s="7">
        <v>0</v>
      </c>
      <c r="AA391" s="6"/>
      <c r="AB391" s="5"/>
      <c r="AC391" s="6"/>
      <c r="AD391" s="6" t="s">
        <v>3</v>
      </c>
      <c r="AE391" s="5"/>
      <c r="AF391" s="6">
        <v>1</v>
      </c>
      <c r="AG391" s="6"/>
      <c r="AH391" s="5"/>
      <c r="AI391" s="6">
        <v>1</v>
      </c>
      <c r="AJ391" s="6"/>
      <c r="AK391" s="5"/>
      <c r="AL391" s="5"/>
      <c r="AM391" s="5"/>
      <c r="AN391" s="5"/>
      <c r="AO391" s="5"/>
      <c r="AP391" s="5"/>
      <c r="AQ391" s="5"/>
    </row>
    <row r="392" spans="1:43" x14ac:dyDescent="0.25">
      <c r="A392" s="161" t="str">
        <f t="shared" si="6"/>
        <v>CONFEDERATE_CORPS</v>
      </c>
      <c r="C392" s="5"/>
      <c r="D392" s="5"/>
      <c r="E392" s="5" t="s">
        <v>1331</v>
      </c>
      <c r="F392" s="5" t="s">
        <v>1333</v>
      </c>
      <c r="G392" s="5"/>
      <c r="H392" s="5" t="s">
        <v>1431</v>
      </c>
      <c r="I392" s="5" t="s">
        <v>128</v>
      </c>
      <c r="J392" s="6"/>
      <c r="K392" s="6"/>
      <c r="L392" s="13" t="s">
        <v>1708</v>
      </c>
      <c r="M392" s="8"/>
      <c r="N392" s="5"/>
      <c r="O392" s="5"/>
      <c r="P392" s="5"/>
      <c r="Q392" s="6">
        <v>1</v>
      </c>
      <c r="R392" s="6" t="s">
        <v>1737</v>
      </c>
      <c r="S392" s="13" t="s">
        <v>1619</v>
      </c>
      <c r="T392" s="6">
        <v>1</v>
      </c>
      <c r="U392" s="7" t="s">
        <v>1737</v>
      </c>
      <c r="V392" s="5"/>
      <c r="W392" s="7" t="s">
        <v>3</v>
      </c>
      <c r="X392" s="6" t="s">
        <v>3</v>
      </c>
      <c r="Y392" s="5"/>
      <c r="Z392" s="7">
        <v>0</v>
      </c>
      <c r="AA392" s="6"/>
      <c r="AB392" s="5"/>
      <c r="AC392" s="6"/>
      <c r="AD392" s="6" t="s">
        <v>3</v>
      </c>
      <c r="AE392" s="5"/>
      <c r="AF392" s="6">
        <v>1</v>
      </c>
      <c r="AG392" s="6"/>
      <c r="AH392" s="5"/>
      <c r="AI392" s="6">
        <v>1</v>
      </c>
      <c r="AJ392" s="6"/>
      <c r="AK392" s="5"/>
      <c r="AL392" s="5"/>
      <c r="AM392" s="5"/>
      <c r="AN392" s="5"/>
      <c r="AO392" s="5"/>
      <c r="AP392" s="5"/>
      <c r="AQ392" s="5"/>
    </row>
    <row r="393" spans="1:43" x14ac:dyDescent="0.25">
      <c r="A393" s="161" t="str">
        <f t="shared" si="6"/>
        <v>CONFEDERATE_CORPS</v>
      </c>
      <c r="C393" s="5"/>
      <c r="D393" s="5"/>
      <c r="E393" s="5" t="s">
        <v>1331</v>
      </c>
      <c r="F393" s="5" t="s">
        <v>1333</v>
      </c>
      <c r="G393" s="5" t="s">
        <v>2055</v>
      </c>
      <c r="H393" s="5" t="s">
        <v>1432</v>
      </c>
      <c r="I393" s="5" t="s">
        <v>128</v>
      </c>
      <c r="J393" s="6"/>
      <c r="K393" s="6"/>
      <c r="L393" s="13" t="s">
        <v>1708</v>
      </c>
      <c r="M393" s="8"/>
      <c r="N393" s="5"/>
      <c r="O393" s="5"/>
      <c r="P393" s="5"/>
      <c r="Q393" s="6">
        <v>1</v>
      </c>
      <c r="R393" s="6" t="s">
        <v>1737</v>
      </c>
      <c r="S393" s="13" t="s">
        <v>1619</v>
      </c>
      <c r="T393" s="6">
        <v>1</v>
      </c>
      <c r="U393" s="7" t="s">
        <v>1737</v>
      </c>
      <c r="V393" s="5"/>
      <c r="W393" s="7" t="s">
        <v>3</v>
      </c>
      <c r="X393" s="6" t="s">
        <v>3</v>
      </c>
      <c r="Y393" s="5"/>
      <c r="Z393" s="7">
        <v>0</v>
      </c>
      <c r="AA393" s="6"/>
      <c r="AB393" s="5"/>
      <c r="AC393" s="6"/>
      <c r="AD393" s="6" t="s">
        <v>3</v>
      </c>
      <c r="AE393" s="5"/>
      <c r="AF393" s="6">
        <v>0</v>
      </c>
      <c r="AG393" s="6"/>
      <c r="AH393" s="5"/>
      <c r="AI393" s="6">
        <v>1</v>
      </c>
      <c r="AJ393" s="6"/>
      <c r="AK393" s="5"/>
      <c r="AL393" s="5"/>
      <c r="AM393" s="5"/>
      <c r="AN393" s="5"/>
      <c r="AO393" s="5"/>
      <c r="AP393" s="5"/>
      <c r="AQ393" s="5"/>
    </row>
    <row r="394" spans="1:43" x14ac:dyDescent="0.25">
      <c r="A394" s="161" t="str">
        <f t="shared" si="6"/>
        <v>CONFEDERATE_CORPS</v>
      </c>
      <c r="C394" s="5"/>
      <c r="D394" s="5"/>
      <c r="E394" s="5" t="s">
        <v>1331</v>
      </c>
      <c r="F394" s="5" t="s">
        <v>1333</v>
      </c>
      <c r="G394" s="5"/>
      <c r="H394" s="5" t="s">
        <v>1431</v>
      </c>
      <c r="I394" s="5" t="s">
        <v>128</v>
      </c>
      <c r="J394" s="6"/>
      <c r="K394" s="6"/>
      <c r="L394" s="13" t="s">
        <v>1708</v>
      </c>
      <c r="M394" s="8"/>
      <c r="N394" s="5"/>
      <c r="O394" s="5"/>
      <c r="P394" s="5"/>
      <c r="Q394" s="6">
        <v>2</v>
      </c>
      <c r="R394" s="6" t="s">
        <v>1737</v>
      </c>
      <c r="S394" s="13" t="s">
        <v>1619</v>
      </c>
      <c r="T394" s="6">
        <v>2</v>
      </c>
      <c r="U394" s="7" t="s">
        <v>1737</v>
      </c>
      <c r="V394" s="5"/>
      <c r="W394" s="7" t="s">
        <v>3</v>
      </c>
      <c r="X394" s="6" t="s">
        <v>3</v>
      </c>
      <c r="Y394" s="5"/>
      <c r="Z394" s="7">
        <v>0</v>
      </c>
      <c r="AA394" s="6"/>
      <c r="AB394" s="5"/>
      <c r="AC394" s="6"/>
      <c r="AD394" s="6" t="s">
        <v>3</v>
      </c>
      <c r="AE394" s="5"/>
      <c r="AF394" s="6">
        <v>0</v>
      </c>
      <c r="AG394" s="6"/>
      <c r="AH394" s="5"/>
      <c r="AI394" s="6">
        <v>1</v>
      </c>
      <c r="AJ394" s="6"/>
      <c r="AK394" s="5"/>
      <c r="AL394" s="5"/>
      <c r="AM394" s="5"/>
      <c r="AN394" s="5"/>
      <c r="AO394" s="5"/>
      <c r="AP394" s="5"/>
      <c r="AQ394" s="5"/>
    </row>
    <row r="395" spans="1:43" x14ac:dyDescent="0.25">
      <c r="A395" s="161" t="str">
        <f t="shared" si="6"/>
        <v>CONFEDERATE_CORPS</v>
      </c>
      <c r="C395" s="5"/>
      <c r="D395" s="5"/>
      <c r="E395" s="5" t="s">
        <v>1331</v>
      </c>
      <c r="F395" s="5" t="s">
        <v>1333</v>
      </c>
      <c r="G395" s="5" t="s">
        <v>2047</v>
      </c>
      <c r="H395" s="5" t="s">
        <v>1433</v>
      </c>
      <c r="I395" s="5" t="s">
        <v>128</v>
      </c>
      <c r="J395" s="6"/>
      <c r="K395" s="6"/>
      <c r="L395" s="13" t="s">
        <v>1708</v>
      </c>
      <c r="M395" s="8"/>
      <c r="N395" s="5"/>
      <c r="O395" s="5"/>
      <c r="P395" s="5"/>
      <c r="Q395" s="6">
        <v>4</v>
      </c>
      <c r="R395" s="6" t="s">
        <v>1737</v>
      </c>
      <c r="S395" s="13" t="s">
        <v>1619</v>
      </c>
      <c r="T395" s="6">
        <v>4</v>
      </c>
      <c r="U395" s="7" t="s">
        <v>1737</v>
      </c>
      <c r="V395" s="5"/>
      <c r="W395" s="7" t="s">
        <v>3</v>
      </c>
      <c r="X395" s="6" t="s">
        <v>3</v>
      </c>
      <c r="Y395" s="5"/>
      <c r="Z395" s="7">
        <v>0</v>
      </c>
      <c r="AA395" s="6"/>
      <c r="AB395" s="5"/>
      <c r="AC395" s="6"/>
      <c r="AD395" s="6" t="s">
        <v>3</v>
      </c>
      <c r="AE395" s="5"/>
      <c r="AF395" s="6">
        <v>0</v>
      </c>
      <c r="AG395" s="6"/>
      <c r="AH395" s="5"/>
      <c r="AI395" s="6">
        <v>1</v>
      </c>
      <c r="AJ395" s="6"/>
      <c r="AK395" s="5"/>
      <c r="AL395" s="5"/>
      <c r="AM395" s="5"/>
      <c r="AN395" s="5"/>
      <c r="AO395" s="5"/>
      <c r="AP395" s="5"/>
      <c r="AQ395" s="5"/>
    </row>
    <row r="396" spans="1:43" x14ac:dyDescent="0.25">
      <c r="A396" s="161" t="str">
        <f t="shared" si="6"/>
        <v>CONFEDERATE_CORPS</v>
      </c>
      <c r="C396" s="5"/>
      <c r="D396" s="5"/>
      <c r="E396" s="5" t="s">
        <v>1331</v>
      </c>
      <c r="F396" s="5" t="s">
        <v>1333</v>
      </c>
      <c r="G396" s="5" t="s">
        <v>2055</v>
      </c>
      <c r="H396" s="5" t="s">
        <v>1432</v>
      </c>
      <c r="I396" s="5" t="s">
        <v>128</v>
      </c>
      <c r="J396" s="6"/>
      <c r="K396" s="6"/>
      <c r="L396" s="13" t="s">
        <v>1708</v>
      </c>
      <c r="M396" s="8"/>
      <c r="N396" s="5"/>
      <c r="O396" s="5"/>
      <c r="P396" s="5"/>
      <c r="Q396" s="6">
        <v>1</v>
      </c>
      <c r="R396" s="6" t="s">
        <v>1737</v>
      </c>
      <c r="S396" s="13" t="s">
        <v>1619</v>
      </c>
      <c r="T396" s="6">
        <v>1</v>
      </c>
      <c r="U396" s="7" t="s">
        <v>1737</v>
      </c>
      <c r="V396" s="5"/>
      <c r="W396" s="7" t="s">
        <v>3</v>
      </c>
      <c r="X396" s="6" t="s">
        <v>3</v>
      </c>
      <c r="Y396" s="5"/>
      <c r="Z396" s="7">
        <v>0</v>
      </c>
      <c r="AA396" s="6"/>
      <c r="AB396" s="5"/>
      <c r="AC396" s="6"/>
      <c r="AD396" s="6" t="s">
        <v>3</v>
      </c>
      <c r="AE396" s="5"/>
      <c r="AF396" s="6">
        <v>0</v>
      </c>
      <c r="AG396" s="6"/>
      <c r="AH396" s="5"/>
      <c r="AI396" s="6">
        <v>1</v>
      </c>
      <c r="AJ396" s="6"/>
      <c r="AK396" s="5"/>
      <c r="AL396" s="5"/>
      <c r="AM396" s="5"/>
      <c r="AN396" s="5"/>
      <c r="AO396" s="5"/>
      <c r="AP396" s="5"/>
      <c r="AQ396" s="5"/>
    </row>
    <row r="397" spans="1:43" x14ac:dyDescent="0.25">
      <c r="A397" s="161" t="str">
        <f t="shared" si="6"/>
        <v>CONFEDERATE_DIVISION</v>
      </c>
      <c r="C397" s="5"/>
      <c r="D397" s="5"/>
      <c r="E397" s="5" t="s">
        <v>1332</v>
      </c>
      <c r="F397" s="5" t="s">
        <v>1333</v>
      </c>
      <c r="G397" s="5"/>
      <c r="H397" s="5" t="s">
        <v>1431</v>
      </c>
      <c r="I397" s="5" t="s">
        <v>128</v>
      </c>
      <c r="J397" s="6"/>
      <c r="K397" s="6"/>
      <c r="L397" s="13" t="s">
        <v>1708</v>
      </c>
      <c r="M397" s="8"/>
      <c r="N397" s="5"/>
      <c r="O397" s="5"/>
      <c r="P397" s="5"/>
      <c r="Q397" s="6">
        <v>2</v>
      </c>
      <c r="R397" s="6" t="s">
        <v>1737</v>
      </c>
      <c r="S397" s="13" t="s">
        <v>1619</v>
      </c>
      <c r="T397" s="6">
        <v>2</v>
      </c>
      <c r="U397" s="7" t="s">
        <v>1737</v>
      </c>
      <c r="V397" s="5"/>
      <c r="W397" s="7" t="s">
        <v>3</v>
      </c>
      <c r="X397" s="6" t="s">
        <v>3</v>
      </c>
      <c r="Y397" s="5"/>
      <c r="Z397" s="7">
        <v>1</v>
      </c>
      <c r="AA397" s="6"/>
      <c r="AB397" s="5"/>
      <c r="AC397" s="6"/>
      <c r="AD397" s="6" t="s">
        <v>3</v>
      </c>
      <c r="AE397" s="5"/>
      <c r="AF397" s="6">
        <v>1</v>
      </c>
      <c r="AG397" s="6"/>
      <c r="AH397" s="5"/>
      <c r="AI397" s="6">
        <v>1</v>
      </c>
      <c r="AJ397" s="6"/>
      <c r="AK397" s="5"/>
      <c r="AL397" s="5"/>
      <c r="AM397" s="5"/>
      <c r="AN397" s="5"/>
      <c r="AO397" s="5"/>
      <c r="AP397" s="5"/>
      <c r="AQ397" s="5"/>
    </row>
    <row r="398" spans="1:43" x14ac:dyDescent="0.25">
      <c r="A398" s="161" t="str">
        <f t="shared" si="6"/>
        <v>CONFEDERATE_DIVISION</v>
      </c>
      <c r="C398" s="5"/>
      <c r="D398" s="5"/>
      <c r="E398" s="5" t="s">
        <v>1332</v>
      </c>
      <c r="F398" s="5" t="s">
        <v>1333</v>
      </c>
      <c r="G398" s="5" t="s">
        <v>2055</v>
      </c>
      <c r="H398" s="5" t="s">
        <v>1432</v>
      </c>
      <c r="I398" s="5" t="s">
        <v>128</v>
      </c>
      <c r="J398" s="6"/>
      <c r="K398" s="6"/>
      <c r="L398" s="13" t="s">
        <v>1708</v>
      </c>
      <c r="M398" s="8"/>
      <c r="N398" s="5"/>
      <c r="O398" s="5"/>
      <c r="P398" s="5"/>
      <c r="Q398" s="6">
        <v>1</v>
      </c>
      <c r="R398" s="6" t="s">
        <v>1737</v>
      </c>
      <c r="S398" s="13" t="s">
        <v>1619</v>
      </c>
      <c r="T398" s="6">
        <v>1</v>
      </c>
      <c r="U398" s="7" t="s">
        <v>1737</v>
      </c>
      <c r="V398" s="5"/>
      <c r="W398" s="7" t="s">
        <v>3</v>
      </c>
      <c r="X398" s="6" t="s">
        <v>3</v>
      </c>
      <c r="Y398" s="5"/>
      <c r="Z398" s="7">
        <v>0</v>
      </c>
      <c r="AA398" s="6"/>
      <c r="AB398" s="5"/>
      <c r="AC398" s="6"/>
      <c r="AD398" s="6" t="s">
        <v>3</v>
      </c>
      <c r="AE398" s="5"/>
      <c r="AF398" s="6">
        <v>1</v>
      </c>
      <c r="AG398" s="6"/>
      <c r="AH398" s="5"/>
      <c r="AI398" s="6">
        <v>1</v>
      </c>
      <c r="AJ398" s="6"/>
      <c r="AK398" s="5"/>
      <c r="AL398" s="5"/>
      <c r="AM398" s="5"/>
      <c r="AN398" s="5"/>
      <c r="AO398" s="5"/>
      <c r="AP398" s="5"/>
      <c r="AQ398" s="5"/>
    </row>
    <row r="399" spans="1:43" x14ac:dyDescent="0.25">
      <c r="A399" s="161" t="str">
        <f t="shared" si="6"/>
        <v>CONFEDERATE_DIVISION</v>
      </c>
      <c r="C399" s="5"/>
      <c r="D399" s="5"/>
      <c r="E399" s="5" t="s">
        <v>1332</v>
      </c>
      <c r="F399" s="5" t="s">
        <v>1333</v>
      </c>
      <c r="G399" s="5" t="s">
        <v>2047</v>
      </c>
      <c r="H399" s="5" t="s">
        <v>1433</v>
      </c>
      <c r="I399" s="5" t="s">
        <v>128</v>
      </c>
      <c r="J399" s="6"/>
      <c r="K399" s="6"/>
      <c r="L399" s="13" t="s">
        <v>1708</v>
      </c>
      <c r="M399" s="8"/>
      <c r="N399" s="5"/>
      <c r="O399" s="5"/>
      <c r="P399" s="5"/>
      <c r="Q399" s="6">
        <v>2</v>
      </c>
      <c r="R399" s="6" t="s">
        <v>1737</v>
      </c>
      <c r="S399" s="13" t="s">
        <v>1619</v>
      </c>
      <c r="T399" s="6">
        <v>2</v>
      </c>
      <c r="U399" s="7" t="s">
        <v>1737</v>
      </c>
      <c r="V399" s="5"/>
      <c r="W399" s="7" t="s">
        <v>3</v>
      </c>
      <c r="X399" s="6" t="s">
        <v>3</v>
      </c>
      <c r="Y399" s="5"/>
      <c r="Z399" s="7">
        <v>0</v>
      </c>
      <c r="AA399" s="6"/>
      <c r="AB399" s="5"/>
      <c r="AC399" s="6"/>
      <c r="AD399" s="6" t="s">
        <v>3</v>
      </c>
      <c r="AE399" s="5"/>
      <c r="AF399" s="6">
        <v>0</v>
      </c>
      <c r="AG399" s="6"/>
      <c r="AH399" s="5"/>
      <c r="AI399" s="6">
        <v>1</v>
      </c>
      <c r="AJ399" s="6"/>
      <c r="AK399" s="5"/>
      <c r="AL399" s="5"/>
      <c r="AM399" s="5"/>
      <c r="AN399" s="5"/>
      <c r="AO399" s="5"/>
      <c r="AP399" s="5"/>
      <c r="AQ399" s="5"/>
    </row>
    <row r="400" spans="1:43" x14ac:dyDescent="0.25">
      <c r="A400" s="161" t="str">
        <f t="shared" si="6"/>
        <v>CONFEDERATE_DIVISION</v>
      </c>
      <c r="C400" s="5"/>
      <c r="D400" s="5"/>
      <c r="E400" s="5" t="s">
        <v>1332</v>
      </c>
      <c r="F400" s="5" t="s">
        <v>1333</v>
      </c>
      <c r="G400" s="5"/>
      <c r="H400" s="5" t="s">
        <v>1431</v>
      </c>
      <c r="I400" s="5" t="s">
        <v>128</v>
      </c>
      <c r="J400" s="6"/>
      <c r="K400" s="6"/>
      <c r="L400" s="13" t="s">
        <v>1708</v>
      </c>
      <c r="M400" s="8"/>
      <c r="N400" s="5"/>
      <c r="O400" s="5"/>
      <c r="P400" s="5"/>
      <c r="Q400" s="6">
        <v>1</v>
      </c>
      <c r="R400" s="6" t="s">
        <v>1737</v>
      </c>
      <c r="S400" s="13" t="s">
        <v>1619</v>
      </c>
      <c r="T400" s="6">
        <v>1</v>
      </c>
      <c r="U400" s="7" t="s">
        <v>1737</v>
      </c>
      <c r="V400" s="5"/>
      <c r="W400" s="7" t="s">
        <v>3</v>
      </c>
      <c r="X400" s="6" t="s">
        <v>3</v>
      </c>
      <c r="Y400" s="5"/>
      <c r="Z400" s="7">
        <v>0</v>
      </c>
      <c r="AA400" s="6"/>
      <c r="AB400" s="5"/>
      <c r="AC400" s="6"/>
      <c r="AD400" s="6" t="s">
        <v>3</v>
      </c>
      <c r="AE400" s="5"/>
      <c r="AF400" s="6">
        <v>0</v>
      </c>
      <c r="AG400" s="6"/>
      <c r="AH400" s="5"/>
      <c r="AI400" s="6">
        <v>1</v>
      </c>
      <c r="AJ400" s="6"/>
      <c r="AK400" s="5"/>
      <c r="AL400" s="5"/>
      <c r="AM400" s="5"/>
      <c r="AN400" s="5"/>
      <c r="AO400" s="5"/>
      <c r="AP400" s="5"/>
      <c r="AQ400" s="5"/>
    </row>
    <row r="401" spans="1:43" x14ac:dyDescent="0.25">
      <c r="A401" s="161" t="str">
        <f t="shared" si="6"/>
        <v>CONFEDERATE_DIVISION</v>
      </c>
      <c r="C401" s="5"/>
      <c r="D401" s="5"/>
      <c r="E401" s="5" t="s">
        <v>1332</v>
      </c>
      <c r="F401" s="5" t="s">
        <v>1333</v>
      </c>
      <c r="G401" s="5" t="s">
        <v>2055</v>
      </c>
      <c r="H401" s="5" t="s">
        <v>1432</v>
      </c>
      <c r="I401" s="5" t="s">
        <v>128</v>
      </c>
      <c r="J401" s="6"/>
      <c r="K401" s="6"/>
      <c r="L401" s="13" t="s">
        <v>1708</v>
      </c>
      <c r="M401" s="8"/>
      <c r="N401" s="5"/>
      <c r="O401" s="5"/>
      <c r="P401" s="5"/>
      <c r="Q401" s="6">
        <v>1</v>
      </c>
      <c r="R401" s="7" t="s">
        <v>1737</v>
      </c>
      <c r="S401" s="13" t="s">
        <v>1619</v>
      </c>
      <c r="T401" s="6">
        <v>1</v>
      </c>
      <c r="U401" s="7" t="s">
        <v>1737</v>
      </c>
      <c r="V401" s="5"/>
      <c r="W401" s="7" t="s">
        <v>3</v>
      </c>
      <c r="X401" s="6" t="s">
        <v>3</v>
      </c>
      <c r="Y401" s="5"/>
      <c r="Z401" s="7">
        <v>0</v>
      </c>
      <c r="AA401" s="6"/>
      <c r="AB401" s="5"/>
      <c r="AC401" s="6"/>
      <c r="AD401" s="6" t="s">
        <v>3</v>
      </c>
      <c r="AE401" s="5"/>
      <c r="AF401" s="6">
        <v>0</v>
      </c>
      <c r="AG401" s="6"/>
      <c r="AH401" s="5"/>
      <c r="AI401" s="6">
        <v>1</v>
      </c>
      <c r="AJ401" s="6"/>
      <c r="AK401" s="5"/>
      <c r="AL401" s="5"/>
      <c r="AM401" s="5"/>
      <c r="AN401" s="5"/>
      <c r="AO401" s="5"/>
      <c r="AP401" s="5"/>
      <c r="AQ401" s="5"/>
    </row>
    <row r="402" spans="1:43" x14ac:dyDescent="0.25">
      <c r="A402" s="161" t="str">
        <f t="shared" si="6"/>
        <v>CONFEDERATE_GENERAL</v>
      </c>
      <c r="C402" s="5"/>
      <c r="D402" s="5"/>
      <c r="E402" s="5" t="s">
        <v>1334</v>
      </c>
      <c r="F402" s="5" t="s">
        <v>1335</v>
      </c>
      <c r="G402" s="5"/>
      <c r="H402" s="5" t="s">
        <v>1429</v>
      </c>
      <c r="I402" s="5" t="s">
        <v>128</v>
      </c>
      <c r="J402" s="6"/>
      <c r="K402" s="6"/>
      <c r="L402" s="13" t="s">
        <v>1710</v>
      </c>
      <c r="M402" s="8"/>
      <c r="N402" s="5"/>
      <c r="O402" s="5"/>
      <c r="P402" s="5"/>
      <c r="Q402" s="7">
        <v>1</v>
      </c>
      <c r="R402" s="6" t="s">
        <v>1695</v>
      </c>
      <c r="S402" s="13" t="s">
        <v>1620</v>
      </c>
      <c r="T402" s="6"/>
      <c r="U402" s="7" t="s">
        <v>1737</v>
      </c>
      <c r="V402" s="5"/>
      <c r="W402" s="6"/>
      <c r="X402" s="6" t="s">
        <v>3</v>
      </c>
      <c r="Y402" s="5"/>
      <c r="Z402" s="6"/>
      <c r="AA402" s="6"/>
      <c r="AB402" s="5"/>
      <c r="AC402" s="6"/>
      <c r="AD402" s="6" t="s">
        <v>3</v>
      </c>
      <c r="AE402" s="5"/>
      <c r="AF402" s="6"/>
      <c r="AG402" s="6"/>
      <c r="AH402" s="5"/>
      <c r="AI402" s="6"/>
      <c r="AJ402" s="6"/>
      <c r="AK402" s="5"/>
      <c r="AL402" s="5"/>
      <c r="AM402" s="5"/>
      <c r="AN402" s="5"/>
      <c r="AO402" s="5"/>
      <c r="AP402" s="5"/>
      <c r="AQ402" s="5"/>
    </row>
    <row r="403" spans="1:43" x14ac:dyDescent="0.25">
      <c r="A403" s="161" t="str">
        <f t="shared" si="6"/>
        <v>CONFEDERATE_IRONCLAD</v>
      </c>
      <c r="C403" s="5"/>
      <c r="D403" s="5"/>
      <c r="E403" s="5" t="s">
        <v>1336</v>
      </c>
      <c r="F403" s="5" t="s">
        <v>1336</v>
      </c>
      <c r="G403" s="5"/>
      <c r="H403" s="5" t="s">
        <v>1430</v>
      </c>
      <c r="I403" s="5" t="s">
        <v>128</v>
      </c>
      <c r="J403" s="6"/>
      <c r="K403" s="7"/>
      <c r="L403" s="13" t="s">
        <v>1713</v>
      </c>
      <c r="M403" s="8"/>
      <c r="N403" s="13" t="s">
        <v>1727</v>
      </c>
      <c r="O403" s="13"/>
      <c r="P403" s="13"/>
      <c r="Q403" s="7">
        <v>1</v>
      </c>
      <c r="R403" s="6" t="s">
        <v>1737</v>
      </c>
      <c r="S403" s="5"/>
      <c r="T403" s="6"/>
      <c r="U403" s="6"/>
      <c r="V403" s="5"/>
      <c r="W403" s="6" t="s">
        <v>3</v>
      </c>
      <c r="X403" s="6"/>
      <c r="Y403" s="5"/>
      <c r="Z403" s="6"/>
      <c r="AA403" s="6"/>
      <c r="AB403" s="5"/>
      <c r="AC403" s="6"/>
      <c r="AD403" s="6"/>
      <c r="AE403" s="5"/>
      <c r="AF403" s="6"/>
      <c r="AG403" s="6"/>
      <c r="AH403" s="5"/>
      <c r="AI403" s="6"/>
      <c r="AJ403" s="6"/>
      <c r="AK403" s="5"/>
      <c r="AL403" s="5"/>
      <c r="AM403" s="5"/>
      <c r="AN403" s="5"/>
      <c r="AO403" s="5"/>
      <c r="AP403" s="5"/>
      <c r="AQ403" s="5"/>
    </row>
    <row r="404" spans="1:43" x14ac:dyDescent="0.25">
      <c r="A404" s="161" t="str">
        <f t="shared" si="6"/>
        <v>CROSSBOWMAN</v>
      </c>
      <c r="B404" s="9" t="s">
        <v>115</v>
      </c>
      <c r="C404" s="5"/>
      <c r="D404" s="5"/>
      <c r="E404" s="5" t="s">
        <v>115</v>
      </c>
      <c r="F404" s="5" t="s">
        <v>115</v>
      </c>
      <c r="G404" s="5"/>
      <c r="H404" s="5" t="s">
        <v>34</v>
      </c>
      <c r="I404" s="5" t="s">
        <v>128</v>
      </c>
      <c r="J404" s="6"/>
      <c r="K404" s="6"/>
      <c r="L404" s="13" t="s">
        <v>1708</v>
      </c>
      <c r="M404" s="8"/>
      <c r="N404" s="5"/>
      <c r="O404" s="5"/>
      <c r="P404" s="5"/>
      <c r="Q404" s="7" t="s">
        <v>1737</v>
      </c>
      <c r="R404" s="6" t="s">
        <v>1737</v>
      </c>
      <c r="S404" s="13" t="s">
        <v>44</v>
      </c>
      <c r="T404" s="7">
        <v>15</v>
      </c>
      <c r="U404" s="7" t="s">
        <v>1737</v>
      </c>
      <c r="V404" s="5" t="s">
        <v>34</v>
      </c>
      <c r="W404" s="6" t="s">
        <v>3</v>
      </c>
      <c r="X404" s="6" t="s">
        <v>3</v>
      </c>
      <c r="Y404" s="5"/>
      <c r="Z404" s="7">
        <v>1</v>
      </c>
      <c r="AA404" s="6"/>
      <c r="AB404" s="5"/>
      <c r="AC404" s="6"/>
      <c r="AD404" s="6" t="s">
        <v>3</v>
      </c>
      <c r="AE404" s="5"/>
      <c r="AF404" s="7" t="s">
        <v>1737</v>
      </c>
      <c r="AG404" s="6"/>
      <c r="AH404" s="5"/>
      <c r="AI404" s="7" t="s">
        <v>1737</v>
      </c>
      <c r="AJ404" s="6"/>
      <c r="AK404" s="5"/>
      <c r="AL404" s="5"/>
      <c r="AM404" s="5"/>
      <c r="AN404" s="5"/>
      <c r="AO404" s="5"/>
      <c r="AP404" s="5"/>
      <c r="AQ404" s="5"/>
    </row>
    <row r="405" spans="1:43" x14ac:dyDescent="0.25">
      <c r="A405" s="161" t="str">
        <f t="shared" si="6"/>
        <v>CROSSBOWMAN_AFRI</v>
      </c>
      <c r="B405" s="9" t="s">
        <v>115</v>
      </c>
      <c r="C405" s="4" t="s">
        <v>694</v>
      </c>
      <c r="E405" s="4" t="s">
        <v>115</v>
      </c>
      <c r="F405" s="4" t="s">
        <v>115</v>
      </c>
      <c r="H405" s="4" t="s">
        <v>321</v>
      </c>
      <c r="I405" s="4" t="s">
        <v>1025</v>
      </c>
      <c r="Z405" s="9"/>
    </row>
    <row r="406" spans="1:43" x14ac:dyDescent="0.25">
      <c r="A406" s="161" t="str">
        <f t="shared" si="6"/>
        <v>CROSSBOWMAN_SONGHAI</v>
      </c>
      <c r="B406" s="9" t="s">
        <v>115</v>
      </c>
      <c r="C406" s="4" t="s">
        <v>737</v>
      </c>
      <c r="E406" s="4" t="s">
        <v>115</v>
      </c>
      <c r="F406" s="4" t="s">
        <v>115</v>
      </c>
      <c r="H406" s="4" t="s">
        <v>1962</v>
      </c>
      <c r="I406" s="4" t="s">
        <v>1025</v>
      </c>
      <c r="Z406" s="9"/>
    </row>
    <row r="407" spans="1:43" x14ac:dyDescent="0.25">
      <c r="A407" s="161" t="str">
        <f t="shared" si="6"/>
        <v>CROSSBOWMAN_AMER</v>
      </c>
      <c r="B407" s="9" t="s">
        <v>115</v>
      </c>
      <c r="C407" s="4" t="s">
        <v>697</v>
      </c>
      <c r="E407" s="4" t="s">
        <v>115</v>
      </c>
      <c r="F407" s="4" t="s">
        <v>115</v>
      </c>
      <c r="H407" s="4" t="s">
        <v>461</v>
      </c>
      <c r="I407" s="4" t="s">
        <v>1935</v>
      </c>
      <c r="Z407" s="9"/>
      <c r="AF407" s="9"/>
      <c r="AI407" s="9"/>
    </row>
    <row r="408" spans="1:43" x14ac:dyDescent="0.25">
      <c r="A408" s="161" t="str">
        <f t="shared" si="6"/>
        <v>CROSSBOWMAN_IROQUOIS</v>
      </c>
      <c r="B408" s="9" t="s">
        <v>115</v>
      </c>
      <c r="C408" s="4" t="s">
        <v>721</v>
      </c>
      <c r="E408" s="4" t="s">
        <v>115</v>
      </c>
      <c r="F408" s="4" t="s">
        <v>115</v>
      </c>
      <c r="H408" s="4" t="s">
        <v>931</v>
      </c>
      <c r="I408" s="4" t="s">
        <v>1935</v>
      </c>
      <c r="Q408" s="11">
        <v>2</v>
      </c>
      <c r="T408" s="11">
        <v>1</v>
      </c>
      <c r="Z408" s="9">
        <v>1</v>
      </c>
      <c r="AF408" s="11">
        <v>1</v>
      </c>
      <c r="AI408" s="11">
        <v>1</v>
      </c>
    </row>
    <row r="409" spans="1:43" x14ac:dyDescent="0.25">
      <c r="A409" s="161" t="str">
        <f t="shared" si="6"/>
        <v>CROSSBOWMAN_IROQUOIS</v>
      </c>
      <c r="B409" s="9" t="s">
        <v>115</v>
      </c>
      <c r="C409" s="4" t="s">
        <v>721</v>
      </c>
      <c r="E409" s="4" t="s">
        <v>115</v>
      </c>
      <c r="F409" s="4" t="s">
        <v>115</v>
      </c>
      <c r="G409" s="4" t="s">
        <v>2047</v>
      </c>
      <c r="H409" s="4" t="s">
        <v>932</v>
      </c>
      <c r="I409" s="4" t="s">
        <v>1935</v>
      </c>
      <c r="Q409" s="11">
        <v>1</v>
      </c>
      <c r="T409" s="11">
        <v>3</v>
      </c>
      <c r="Z409" s="9">
        <v>0</v>
      </c>
      <c r="AF409" s="11">
        <v>1</v>
      </c>
      <c r="AI409" s="11">
        <v>1</v>
      </c>
    </row>
    <row r="410" spans="1:43" x14ac:dyDescent="0.25">
      <c r="A410" s="161" t="str">
        <f t="shared" si="6"/>
        <v>CROSSBOWMAN_IROQUOIS</v>
      </c>
      <c r="B410" s="9" t="s">
        <v>115</v>
      </c>
      <c r="C410" s="4" t="s">
        <v>721</v>
      </c>
      <c r="E410" s="4" t="s">
        <v>115</v>
      </c>
      <c r="F410" s="4" t="s">
        <v>115</v>
      </c>
      <c r="G410" s="4" t="s">
        <v>2049</v>
      </c>
      <c r="H410" s="4" t="s">
        <v>933</v>
      </c>
      <c r="I410" s="4" t="s">
        <v>1935</v>
      </c>
      <c r="Q410" s="11">
        <v>2</v>
      </c>
      <c r="T410" s="11">
        <v>1</v>
      </c>
      <c r="Z410" s="9">
        <v>0</v>
      </c>
      <c r="AF410" s="11">
        <v>1</v>
      </c>
      <c r="AI410" s="11">
        <v>1</v>
      </c>
    </row>
    <row r="411" spans="1:43" x14ac:dyDescent="0.25">
      <c r="A411" s="161" t="str">
        <f t="shared" si="6"/>
        <v>CROSSBOWMAN_IROQUOIS</v>
      </c>
      <c r="B411" s="9" t="s">
        <v>115</v>
      </c>
      <c r="C411" s="4" t="s">
        <v>721</v>
      </c>
      <c r="E411" s="4" t="s">
        <v>115</v>
      </c>
      <c r="F411" s="4" t="s">
        <v>115</v>
      </c>
      <c r="G411" s="4" t="s">
        <v>2048</v>
      </c>
      <c r="H411" s="4" t="s">
        <v>461</v>
      </c>
      <c r="I411" s="4" t="s">
        <v>1935</v>
      </c>
      <c r="Q411" s="9">
        <v>3</v>
      </c>
      <c r="T411" s="11">
        <v>2</v>
      </c>
      <c r="Z411" s="9">
        <v>0</v>
      </c>
      <c r="AF411" s="11">
        <v>0</v>
      </c>
      <c r="AI411" s="11">
        <v>1</v>
      </c>
    </row>
    <row r="412" spans="1:43" x14ac:dyDescent="0.25">
      <c r="A412" s="161" t="str">
        <f t="shared" si="6"/>
        <v>CROSSBOWMAN_IROQUOIS</v>
      </c>
      <c r="B412" s="9" t="s">
        <v>115</v>
      </c>
      <c r="C412" s="4" t="s">
        <v>721</v>
      </c>
      <c r="E412" s="4" t="s">
        <v>115</v>
      </c>
      <c r="F412" s="4" t="s">
        <v>115</v>
      </c>
      <c r="H412" s="4" t="s">
        <v>931</v>
      </c>
      <c r="I412" s="4" t="s">
        <v>1935</v>
      </c>
      <c r="Q412" s="9">
        <v>1</v>
      </c>
      <c r="T412" s="11">
        <v>3</v>
      </c>
      <c r="Z412" s="9">
        <v>0</v>
      </c>
      <c r="AF412" s="11">
        <v>0</v>
      </c>
      <c r="AI412" s="11">
        <v>1</v>
      </c>
    </row>
    <row r="413" spans="1:43" x14ac:dyDescent="0.25">
      <c r="A413" s="161" t="str">
        <f t="shared" si="6"/>
        <v>CROSSBOWMAN_IROQUOIS</v>
      </c>
      <c r="B413" s="9" t="s">
        <v>115</v>
      </c>
      <c r="C413" s="4" t="s">
        <v>721</v>
      </c>
      <c r="E413" s="4" t="s">
        <v>115</v>
      </c>
      <c r="F413" s="4" t="s">
        <v>115</v>
      </c>
      <c r="G413" s="4" t="s">
        <v>2047</v>
      </c>
      <c r="H413" s="4" t="s">
        <v>932</v>
      </c>
      <c r="I413" s="4" t="s">
        <v>1935</v>
      </c>
      <c r="Q413" s="9">
        <v>2</v>
      </c>
      <c r="T413" s="11">
        <v>1</v>
      </c>
      <c r="Z413" s="9">
        <v>0</v>
      </c>
      <c r="AF413" s="11">
        <v>0</v>
      </c>
      <c r="AI413" s="11">
        <v>1</v>
      </c>
    </row>
    <row r="414" spans="1:43" x14ac:dyDescent="0.25">
      <c r="A414" s="161" t="str">
        <f t="shared" si="6"/>
        <v>CROSSBOWMAN_IROQUOIS</v>
      </c>
      <c r="B414" s="9" t="s">
        <v>115</v>
      </c>
      <c r="C414" s="4" t="s">
        <v>721</v>
      </c>
      <c r="E414" s="4" t="s">
        <v>115</v>
      </c>
      <c r="F414" s="4" t="s">
        <v>115</v>
      </c>
      <c r="G414" s="4" t="s">
        <v>2049</v>
      </c>
      <c r="H414" s="4" t="s">
        <v>933</v>
      </c>
      <c r="I414" s="4" t="s">
        <v>1935</v>
      </c>
      <c r="Q414" s="9">
        <v>1</v>
      </c>
      <c r="T414" s="11">
        <v>3</v>
      </c>
      <c r="Z414" s="9">
        <v>0</v>
      </c>
      <c r="AF414" s="11">
        <v>0</v>
      </c>
      <c r="AI414" s="11">
        <v>1</v>
      </c>
    </row>
    <row r="415" spans="1:43" x14ac:dyDescent="0.25">
      <c r="A415" s="161" t="str">
        <f t="shared" si="6"/>
        <v>CROSSBOWMAN_IROQUOIS</v>
      </c>
      <c r="B415" s="9" t="s">
        <v>115</v>
      </c>
      <c r="C415" s="4" t="s">
        <v>721</v>
      </c>
      <c r="E415" s="4" t="s">
        <v>115</v>
      </c>
      <c r="F415" s="4" t="s">
        <v>115</v>
      </c>
      <c r="G415" s="4" t="s">
        <v>2048</v>
      </c>
      <c r="H415" s="4" t="s">
        <v>461</v>
      </c>
      <c r="I415" s="4" t="s">
        <v>1935</v>
      </c>
      <c r="Q415" s="9">
        <v>0</v>
      </c>
      <c r="T415" s="11">
        <v>1</v>
      </c>
      <c r="Z415" s="9">
        <v>0</v>
      </c>
      <c r="AF415" s="11">
        <v>0</v>
      </c>
      <c r="AI415" s="11">
        <v>0</v>
      </c>
    </row>
    <row r="416" spans="1:43" x14ac:dyDescent="0.25">
      <c r="A416" s="161" t="str">
        <f t="shared" si="6"/>
        <v>CROSSBOWMAN_ASIA</v>
      </c>
      <c r="B416" s="9" t="s">
        <v>115</v>
      </c>
      <c r="C416" s="4" t="s">
        <v>693</v>
      </c>
      <c r="E416" s="4" t="s">
        <v>115</v>
      </c>
      <c r="F416" s="4" t="s">
        <v>115</v>
      </c>
      <c r="H416" s="4" t="s">
        <v>245</v>
      </c>
      <c r="I416" s="4" t="s">
        <v>102</v>
      </c>
      <c r="Z416" s="9"/>
      <c r="AF416" s="9"/>
      <c r="AI416" s="9"/>
    </row>
    <row r="417" spans="1:35" x14ac:dyDescent="0.25">
      <c r="A417" s="161" t="str">
        <f t="shared" si="6"/>
        <v>CROSSBOWMAN_CHINA</v>
      </c>
      <c r="B417" s="9" t="s">
        <v>115</v>
      </c>
      <c r="C417" s="4" t="s">
        <v>710</v>
      </c>
      <c r="D417" s="4" t="s">
        <v>693</v>
      </c>
      <c r="E417" s="4" t="s">
        <v>115</v>
      </c>
      <c r="F417" s="4" t="s">
        <v>115</v>
      </c>
      <c r="G417" s="14" t="s">
        <v>132</v>
      </c>
    </row>
    <row r="418" spans="1:35" x14ac:dyDescent="0.25">
      <c r="A418" s="161" t="str">
        <f t="shared" si="6"/>
        <v>CROSSBOWMAN_JAPAN</v>
      </c>
      <c r="B418" s="9" t="s">
        <v>115</v>
      </c>
      <c r="C418" s="4" t="s">
        <v>722</v>
      </c>
      <c r="E418" s="4" t="s">
        <v>115</v>
      </c>
      <c r="F418" s="4" t="s">
        <v>115</v>
      </c>
      <c r="G418" s="14" t="s">
        <v>132</v>
      </c>
      <c r="H418" s="4" t="s">
        <v>477</v>
      </c>
      <c r="I418" s="4" t="s">
        <v>102</v>
      </c>
      <c r="Z418" s="9"/>
      <c r="AF418" s="9"/>
      <c r="AI418" s="9"/>
    </row>
    <row r="419" spans="1:35" x14ac:dyDescent="0.25">
      <c r="A419" s="161" t="str">
        <f t="shared" si="6"/>
        <v>CROSSBOWMAN_MONGOL</v>
      </c>
      <c r="B419" s="9" t="s">
        <v>115</v>
      </c>
      <c r="C419" s="4" t="s">
        <v>728</v>
      </c>
      <c r="E419" s="4" t="s">
        <v>115</v>
      </c>
      <c r="F419" s="4" t="s">
        <v>115</v>
      </c>
      <c r="G419" s="14" t="s">
        <v>132</v>
      </c>
      <c r="H419" s="4" t="s">
        <v>528</v>
      </c>
      <c r="I419" s="4" t="s">
        <v>2103</v>
      </c>
      <c r="Z419" s="9"/>
      <c r="AF419" s="9"/>
      <c r="AI419" s="9"/>
    </row>
    <row r="420" spans="1:35" x14ac:dyDescent="0.25">
      <c r="A420" s="161" t="str">
        <f t="shared" ref="A420:A496" si="7">CONCATENATE(E420,IF(ISBLANK(C420),"",CONCATENATE("_",C420)))</f>
        <v>CROSSBOWMAN_CENTAS</v>
      </c>
      <c r="B420" s="9" t="s">
        <v>115</v>
      </c>
      <c r="C420" s="4" t="s">
        <v>918</v>
      </c>
      <c r="E420" s="4" t="s">
        <v>115</v>
      </c>
      <c r="F420" s="4" t="s">
        <v>115</v>
      </c>
      <c r="G420" s="14" t="s">
        <v>132</v>
      </c>
      <c r="H420" s="4" t="s">
        <v>1027</v>
      </c>
      <c r="I420" s="4" t="s">
        <v>2103</v>
      </c>
      <c r="Z420" s="9"/>
      <c r="AF420" s="9"/>
      <c r="AI420" s="9"/>
    </row>
    <row r="421" spans="1:35" x14ac:dyDescent="0.25">
      <c r="A421" s="161" t="str">
        <f t="shared" si="7"/>
        <v>CROSSBOWMAN_RUSSIA</v>
      </c>
      <c r="B421" s="9" t="s">
        <v>115</v>
      </c>
      <c r="C421" s="4" t="s">
        <v>735</v>
      </c>
      <c r="E421" s="4" t="s">
        <v>115</v>
      </c>
      <c r="F421" s="4" t="s">
        <v>115</v>
      </c>
      <c r="G421" s="14" t="s">
        <v>132</v>
      </c>
      <c r="H421" s="4" t="s">
        <v>610</v>
      </c>
      <c r="I421" s="4" t="s">
        <v>2103</v>
      </c>
      <c r="Z421" s="9"/>
      <c r="AF421" s="9"/>
      <c r="AI421" s="9"/>
    </row>
    <row r="422" spans="1:35" x14ac:dyDescent="0.25">
      <c r="A422" s="161" t="str">
        <f t="shared" si="7"/>
        <v>CROSSBOWMAN_AMERICA</v>
      </c>
      <c r="B422" s="9" t="s">
        <v>115</v>
      </c>
      <c r="C422" s="4" t="s">
        <v>699</v>
      </c>
      <c r="E422" s="4" t="s">
        <v>115</v>
      </c>
      <c r="F422" s="4" t="s">
        <v>115</v>
      </c>
      <c r="G422" s="14"/>
      <c r="H422" s="4" t="s">
        <v>136</v>
      </c>
      <c r="I422" s="4" t="s">
        <v>1941</v>
      </c>
      <c r="Z422" s="9"/>
      <c r="AF422" s="9"/>
      <c r="AI422" s="9"/>
    </row>
    <row r="423" spans="1:35" x14ac:dyDescent="0.25">
      <c r="A423" s="161" t="str">
        <f t="shared" si="7"/>
        <v>CROSSBOWMAN_FRANCE</v>
      </c>
      <c r="B423" s="9" t="s">
        <v>115</v>
      </c>
      <c r="C423" s="4" t="s">
        <v>715</v>
      </c>
      <c r="E423" s="4" t="s">
        <v>115</v>
      </c>
      <c r="F423" s="4" t="s">
        <v>115</v>
      </c>
      <c r="G423" s="14" t="s">
        <v>132</v>
      </c>
      <c r="H423" s="4" t="s">
        <v>341</v>
      </c>
      <c r="I423" s="4" t="s">
        <v>102</v>
      </c>
      <c r="Z423" s="9"/>
      <c r="AF423" s="9"/>
      <c r="AI423" s="9"/>
    </row>
    <row r="424" spans="1:35" x14ac:dyDescent="0.25">
      <c r="A424" s="161" t="str">
        <f t="shared" si="7"/>
        <v>CROSSBOWMAN_GERMANY</v>
      </c>
      <c r="B424" s="9" t="s">
        <v>115</v>
      </c>
      <c r="C424" s="4" t="s">
        <v>717</v>
      </c>
      <c r="E424" s="4" t="s">
        <v>115</v>
      </c>
      <c r="F424" s="4" t="s">
        <v>115</v>
      </c>
      <c r="G424" s="14" t="s">
        <v>132</v>
      </c>
      <c r="H424" s="4" t="s">
        <v>371</v>
      </c>
      <c r="I424" s="4" t="s">
        <v>102</v>
      </c>
      <c r="Z424" s="9"/>
      <c r="AF424" s="9"/>
      <c r="AI424" s="9"/>
    </row>
    <row r="425" spans="1:35" x14ac:dyDescent="0.25">
      <c r="A425" s="161" t="str">
        <f t="shared" si="7"/>
        <v>CROSSBOWMAN_MED</v>
      </c>
      <c r="B425" s="9" t="s">
        <v>115</v>
      </c>
      <c r="C425" s="4" t="s">
        <v>692</v>
      </c>
      <c r="E425" s="4" t="s">
        <v>115</v>
      </c>
      <c r="F425" s="4" t="s">
        <v>115</v>
      </c>
      <c r="H425" s="4" t="s">
        <v>650</v>
      </c>
      <c r="I425" s="4" t="s">
        <v>2103</v>
      </c>
      <c r="Z425" s="9"/>
      <c r="AF425" s="9"/>
      <c r="AI425" s="9"/>
    </row>
    <row r="426" spans="1:35" x14ac:dyDescent="0.25">
      <c r="A426" s="161" t="str">
        <f t="shared" si="7"/>
        <v>CROSSBOWMAN_GREECE</v>
      </c>
      <c r="B426" s="9" t="s">
        <v>115</v>
      </c>
      <c r="C426" s="4" t="s">
        <v>718</v>
      </c>
      <c r="E426" s="4" t="s">
        <v>115</v>
      </c>
      <c r="F426" s="4" t="s">
        <v>115</v>
      </c>
      <c r="G426" s="14" t="s">
        <v>132</v>
      </c>
      <c r="H426" s="4" t="s">
        <v>400</v>
      </c>
      <c r="I426" s="4" t="s">
        <v>102</v>
      </c>
      <c r="Z426" s="9"/>
      <c r="AF426" s="9"/>
      <c r="AI426" s="9"/>
    </row>
    <row r="427" spans="1:35" x14ac:dyDescent="0.25">
      <c r="A427" s="161" t="str">
        <f t="shared" si="7"/>
        <v>CROSSBOWMAN_ROME</v>
      </c>
      <c r="B427" s="9" t="s">
        <v>115</v>
      </c>
      <c r="C427" s="4" t="s">
        <v>734</v>
      </c>
      <c r="E427" s="4" t="s">
        <v>115</v>
      </c>
      <c r="F427" s="4" t="s">
        <v>115</v>
      </c>
      <c r="G427" s="14" t="s">
        <v>132</v>
      </c>
      <c r="H427" s="4" t="s">
        <v>585</v>
      </c>
      <c r="I427" s="4" t="s">
        <v>102</v>
      </c>
      <c r="Z427" s="9"/>
      <c r="AF427" s="9"/>
      <c r="AI427" s="9"/>
    </row>
    <row r="428" spans="1:35" x14ac:dyDescent="0.25">
      <c r="A428" s="161" t="str">
        <f t="shared" si="7"/>
        <v>CROSSBOWMAN_SPAIN</v>
      </c>
      <c r="B428" s="9" t="s">
        <v>115</v>
      </c>
      <c r="C428" s="4" t="s">
        <v>738</v>
      </c>
      <c r="D428" s="4" t="s">
        <v>692</v>
      </c>
      <c r="E428" s="4" t="s">
        <v>115</v>
      </c>
      <c r="F428" s="4" t="s">
        <v>115</v>
      </c>
      <c r="G428" s="14" t="s">
        <v>132</v>
      </c>
      <c r="Z428" s="9"/>
      <c r="AF428" s="9"/>
      <c r="AI428" s="9"/>
    </row>
    <row r="429" spans="1:35" x14ac:dyDescent="0.25">
      <c r="A429" s="161" t="str">
        <f t="shared" si="7"/>
        <v>CROSSBOWMAN_MIDEAST</v>
      </c>
      <c r="B429" s="9" t="s">
        <v>115</v>
      </c>
      <c r="C429" s="4" t="s">
        <v>690</v>
      </c>
      <c r="E429" s="4" t="s">
        <v>115</v>
      </c>
      <c r="F429" s="4" t="s">
        <v>115</v>
      </c>
      <c r="H429" s="4" t="s">
        <v>159</v>
      </c>
      <c r="I429" s="4" t="s">
        <v>2103</v>
      </c>
      <c r="Z429" s="9"/>
      <c r="AF429" s="9"/>
      <c r="AI429" s="9"/>
    </row>
    <row r="430" spans="1:35" x14ac:dyDescent="0.25">
      <c r="A430" s="161" t="str">
        <f t="shared" si="7"/>
        <v>CROSSBOWMAN_ARABIA</v>
      </c>
      <c r="B430" s="9" t="s">
        <v>115</v>
      </c>
      <c r="C430" s="4" t="s">
        <v>700</v>
      </c>
      <c r="D430" s="14" t="s">
        <v>690</v>
      </c>
      <c r="E430" s="4" t="s">
        <v>115</v>
      </c>
      <c r="F430" s="4" t="s">
        <v>115</v>
      </c>
      <c r="G430" s="14"/>
      <c r="Z430" s="9"/>
      <c r="AF430" s="9"/>
      <c r="AI430" s="9"/>
    </row>
    <row r="431" spans="1:35" x14ac:dyDescent="0.25">
      <c r="A431" s="161" t="str">
        <f t="shared" si="7"/>
        <v>CROSSBOWMAN_BABYLON</v>
      </c>
      <c r="B431" s="9" t="s">
        <v>115</v>
      </c>
      <c r="C431" s="4" t="s">
        <v>703</v>
      </c>
      <c r="E431" s="4" t="s">
        <v>115</v>
      </c>
      <c r="F431" s="4" t="s">
        <v>115</v>
      </c>
      <c r="G431" s="14"/>
      <c r="H431" s="4" t="s">
        <v>207</v>
      </c>
      <c r="I431" s="4" t="s">
        <v>102</v>
      </c>
      <c r="Z431" s="9"/>
      <c r="AF431" s="9"/>
      <c r="AI431" s="9"/>
    </row>
    <row r="432" spans="1:35" x14ac:dyDescent="0.25">
      <c r="A432" s="161" t="str">
        <f t="shared" si="7"/>
        <v>CROSSBOWMAN_EGYPT</v>
      </c>
      <c r="B432" s="9" t="s">
        <v>115</v>
      </c>
      <c r="C432" s="4" t="s">
        <v>712</v>
      </c>
      <c r="E432" s="4" t="s">
        <v>115</v>
      </c>
      <c r="F432" s="4" t="s">
        <v>115</v>
      </c>
      <c r="G432" s="14" t="s">
        <v>132</v>
      </c>
      <c r="H432" s="4" t="s">
        <v>277</v>
      </c>
      <c r="I432" s="4" t="s">
        <v>2103</v>
      </c>
      <c r="Z432" s="9"/>
      <c r="AF432" s="9"/>
      <c r="AI432" s="9"/>
    </row>
    <row r="433" spans="1:43" x14ac:dyDescent="0.25">
      <c r="A433" s="161" t="str">
        <f t="shared" si="7"/>
        <v>CROSSBOWMAN_LEVANT</v>
      </c>
      <c r="B433" s="9" t="s">
        <v>115</v>
      </c>
      <c r="C433" s="4" t="s">
        <v>724</v>
      </c>
      <c r="E433" s="4" t="s">
        <v>115</v>
      </c>
      <c r="F433" s="4" t="s">
        <v>115</v>
      </c>
      <c r="G433" s="14" t="s">
        <v>132</v>
      </c>
      <c r="H433" s="4" t="s">
        <v>508</v>
      </c>
      <c r="I433" s="4" t="s">
        <v>102</v>
      </c>
      <c r="Z433" s="9"/>
      <c r="AF433" s="9"/>
      <c r="AI433" s="9"/>
    </row>
    <row r="434" spans="1:43" x14ac:dyDescent="0.25">
      <c r="A434" s="161" t="str">
        <f t="shared" si="7"/>
        <v>CROSSBOWMAN_PERSIA</v>
      </c>
      <c r="B434" s="9" t="s">
        <v>115</v>
      </c>
      <c r="C434" s="4" t="s">
        <v>731</v>
      </c>
      <c r="E434" s="4" t="s">
        <v>115</v>
      </c>
      <c r="F434" s="4" t="s">
        <v>115</v>
      </c>
      <c r="G434" s="14" t="s">
        <v>132</v>
      </c>
      <c r="H434" s="4" t="s">
        <v>553</v>
      </c>
      <c r="I434" s="4" t="s">
        <v>102</v>
      </c>
      <c r="Z434" s="9"/>
      <c r="AF434" s="9"/>
      <c r="AI434" s="9"/>
    </row>
    <row r="435" spans="1:43" x14ac:dyDescent="0.25">
      <c r="A435" s="161" t="str">
        <f>CONCATENATE(E435,IF(ISBLANK(C435),"",CONCATENATE("_",C435)))</f>
        <v>CROSSBOWMAN_NORTHAF</v>
      </c>
      <c r="B435" s="9" t="s">
        <v>115</v>
      </c>
      <c r="C435" s="4" t="s">
        <v>2011</v>
      </c>
      <c r="E435" s="4" t="s">
        <v>115</v>
      </c>
      <c r="F435" s="4" t="s">
        <v>115</v>
      </c>
      <c r="G435" s="14" t="s">
        <v>132</v>
      </c>
      <c r="H435" s="4" t="s">
        <v>536</v>
      </c>
      <c r="I435" s="4" t="s">
        <v>1066</v>
      </c>
      <c r="Z435" s="9"/>
      <c r="AF435" s="9"/>
      <c r="AI435" s="9"/>
    </row>
    <row r="436" spans="1:43" x14ac:dyDescent="0.25">
      <c r="A436" s="161" t="str">
        <f t="shared" si="7"/>
        <v>CROSSBOWMAN_NORTHEU</v>
      </c>
      <c r="B436" s="9" t="s">
        <v>115</v>
      </c>
      <c r="C436" s="4" t="s">
        <v>962</v>
      </c>
      <c r="E436" s="4" t="s">
        <v>115</v>
      </c>
      <c r="F436" s="4" t="s">
        <v>115</v>
      </c>
      <c r="G436" s="14" t="s">
        <v>132</v>
      </c>
      <c r="H436" s="4" t="s">
        <v>266</v>
      </c>
      <c r="I436" s="4" t="s">
        <v>102</v>
      </c>
      <c r="Z436" s="9"/>
      <c r="AF436" s="9"/>
      <c r="AI436" s="9"/>
    </row>
    <row r="437" spans="1:43" x14ac:dyDescent="0.25">
      <c r="A437" s="161" t="str">
        <f t="shared" si="7"/>
        <v>CROSSBOWMAN_OCEAN</v>
      </c>
      <c r="B437" s="9" t="s">
        <v>115</v>
      </c>
      <c r="C437" s="4" t="s">
        <v>994</v>
      </c>
      <c r="D437" s="4" t="s">
        <v>691</v>
      </c>
      <c r="E437" s="4" t="s">
        <v>115</v>
      </c>
      <c r="F437" s="4" t="s">
        <v>115</v>
      </c>
      <c r="Z437" s="9"/>
      <c r="AF437" s="9"/>
      <c r="AI437" s="9"/>
    </row>
    <row r="438" spans="1:43" x14ac:dyDescent="0.25">
      <c r="A438" s="161" t="str">
        <f t="shared" si="7"/>
        <v>CROSSBOWMAN_SEASIA</v>
      </c>
      <c r="B438" s="9" t="s">
        <v>115</v>
      </c>
      <c r="C438" s="4" t="s">
        <v>696</v>
      </c>
      <c r="D438" s="4" t="s">
        <v>693</v>
      </c>
      <c r="E438" s="4" t="s">
        <v>115</v>
      </c>
      <c r="F438" s="4" t="s">
        <v>115</v>
      </c>
      <c r="Z438" s="9"/>
      <c r="AF438" s="9"/>
      <c r="AI438" s="9"/>
    </row>
    <row r="439" spans="1:43" x14ac:dyDescent="0.25">
      <c r="A439" s="161" t="str">
        <f t="shared" si="7"/>
        <v>CROSSBOWMAN_SOUTHAM</v>
      </c>
      <c r="B439" s="9" t="s">
        <v>115</v>
      </c>
      <c r="C439" s="4" t="s">
        <v>691</v>
      </c>
      <c r="E439" s="4" t="s">
        <v>115</v>
      </c>
      <c r="F439" s="4" t="s">
        <v>115</v>
      </c>
      <c r="H439" s="4" t="s">
        <v>193</v>
      </c>
      <c r="I439" s="4" t="s">
        <v>2103</v>
      </c>
      <c r="Z439" s="9"/>
      <c r="AF439" s="9"/>
      <c r="AI439" s="9"/>
    </row>
    <row r="440" spans="1:43" x14ac:dyDescent="0.25">
      <c r="A440" s="161" t="str">
        <f t="shared" si="7"/>
        <v>CROSSBOWMAN_AZTEC</v>
      </c>
      <c r="B440" s="9" t="s">
        <v>115</v>
      </c>
      <c r="C440" s="4" t="s">
        <v>702</v>
      </c>
      <c r="D440" s="4" t="s">
        <v>691</v>
      </c>
      <c r="E440" s="4" t="s">
        <v>115</v>
      </c>
      <c r="F440" s="4" t="s">
        <v>115</v>
      </c>
      <c r="G440" s="14"/>
      <c r="Z440" s="9"/>
      <c r="AF440" s="9"/>
      <c r="AI440" s="9"/>
    </row>
    <row r="441" spans="1:43" x14ac:dyDescent="0.25">
      <c r="A441" s="161" t="str">
        <f t="shared" si="7"/>
        <v>CROSSBOWMAN_INCA</v>
      </c>
      <c r="B441" s="9" t="s">
        <v>115</v>
      </c>
      <c r="C441" s="4" t="s">
        <v>719</v>
      </c>
      <c r="E441" s="4" t="s">
        <v>115</v>
      </c>
      <c r="F441" s="4" t="s">
        <v>115</v>
      </c>
      <c r="G441" s="14" t="s">
        <v>132</v>
      </c>
      <c r="H441" s="4" t="s">
        <v>419</v>
      </c>
      <c r="I441" s="4" t="s">
        <v>2103</v>
      </c>
      <c r="Z441" s="9"/>
      <c r="AF441" s="9"/>
      <c r="AI441" s="9"/>
    </row>
    <row r="442" spans="1:43" x14ac:dyDescent="0.25">
      <c r="A442" s="161" t="str">
        <f t="shared" si="7"/>
        <v>CROSSBOWMAN_MAYA</v>
      </c>
      <c r="B442" s="9" t="s">
        <v>115</v>
      </c>
      <c r="C442" s="4" t="s">
        <v>725</v>
      </c>
      <c r="E442" s="4" t="s">
        <v>115</v>
      </c>
      <c r="F442" s="4" t="s">
        <v>115</v>
      </c>
      <c r="G442" s="14" t="s">
        <v>132</v>
      </c>
      <c r="H442" s="4" t="s">
        <v>516</v>
      </c>
      <c r="I442" s="4" t="s">
        <v>2103</v>
      </c>
      <c r="Z442" s="9"/>
      <c r="AF442" s="9"/>
      <c r="AI442" s="9"/>
    </row>
    <row r="443" spans="1:43" x14ac:dyDescent="0.25">
      <c r="A443" s="161" t="str">
        <f t="shared" si="7"/>
        <v>CROSSBOWMAN_SOUTHAS</v>
      </c>
      <c r="B443" s="9" t="s">
        <v>115</v>
      </c>
      <c r="C443" s="4" t="s">
        <v>695</v>
      </c>
      <c r="E443" s="4" t="s">
        <v>115</v>
      </c>
      <c r="F443" s="4" t="s">
        <v>115</v>
      </c>
      <c r="H443" s="4" t="s">
        <v>432</v>
      </c>
      <c r="I443" s="4" t="s">
        <v>102</v>
      </c>
      <c r="Z443" s="9"/>
      <c r="AF443" s="9"/>
      <c r="AI443" s="9"/>
    </row>
    <row r="444" spans="1:43" x14ac:dyDescent="0.25">
      <c r="A444" s="161" t="str">
        <f t="shared" si="7"/>
        <v>DESTROYER</v>
      </c>
      <c r="B444" s="9" t="s">
        <v>114</v>
      </c>
      <c r="C444" s="5"/>
      <c r="D444" s="5"/>
      <c r="E444" s="5" t="s">
        <v>114</v>
      </c>
      <c r="F444" s="5" t="s">
        <v>114</v>
      </c>
      <c r="G444" s="5"/>
      <c r="H444" s="5" t="s">
        <v>1501</v>
      </c>
      <c r="I444" s="5" t="s">
        <v>102</v>
      </c>
      <c r="J444" s="6"/>
      <c r="K444" s="7"/>
      <c r="L444" s="13" t="s">
        <v>1713</v>
      </c>
      <c r="M444" s="8"/>
      <c r="N444" s="13" t="s">
        <v>1727</v>
      </c>
      <c r="O444" s="13"/>
      <c r="P444" s="13"/>
      <c r="Q444" s="7">
        <v>1</v>
      </c>
      <c r="R444" s="6" t="s">
        <v>1695</v>
      </c>
      <c r="S444" s="5"/>
      <c r="T444" s="6"/>
      <c r="U444" s="6"/>
      <c r="V444" s="5"/>
      <c r="W444" s="6" t="s">
        <v>3</v>
      </c>
      <c r="X444" s="6"/>
      <c r="Y444" s="5" t="s">
        <v>1700</v>
      </c>
      <c r="Z444" s="6"/>
      <c r="AA444" s="6"/>
      <c r="AB444" s="5"/>
      <c r="AC444" s="6"/>
      <c r="AD444" s="6"/>
      <c r="AE444" s="5"/>
      <c r="AF444" s="6"/>
      <c r="AG444" s="6"/>
      <c r="AH444" s="5"/>
      <c r="AI444" s="6"/>
      <c r="AJ444" s="6"/>
      <c r="AK444" s="5"/>
      <c r="AL444" s="5"/>
      <c r="AM444" s="5"/>
      <c r="AN444" s="5"/>
      <c r="AO444" s="5"/>
      <c r="AP444" s="5"/>
      <c r="AQ444" s="5"/>
    </row>
    <row r="445" spans="1:43" x14ac:dyDescent="0.25">
      <c r="A445" s="161" t="str">
        <f t="shared" si="7"/>
        <v>DESTROYER_AMER</v>
      </c>
      <c r="B445" s="9" t="s">
        <v>114</v>
      </c>
      <c r="C445" s="5" t="s">
        <v>697</v>
      </c>
      <c r="D445" s="5" t="s">
        <v>699</v>
      </c>
      <c r="E445" s="5" t="s">
        <v>114</v>
      </c>
      <c r="F445" s="5" t="s">
        <v>114</v>
      </c>
      <c r="G445" s="5"/>
      <c r="H445" s="5"/>
      <c r="I445" s="5"/>
      <c r="J445" s="6"/>
      <c r="K445" s="7"/>
      <c r="L445" s="13"/>
      <c r="M445" s="8"/>
      <c r="N445" s="13"/>
      <c r="O445" s="13"/>
      <c r="P445" s="13"/>
      <c r="Q445" s="7"/>
      <c r="R445" s="6"/>
      <c r="S445" s="5"/>
      <c r="T445" s="6"/>
      <c r="U445" s="6"/>
      <c r="V445" s="5"/>
      <c r="W445" s="6"/>
      <c r="X445" s="6"/>
      <c r="Y445" s="5"/>
      <c r="Z445" s="6"/>
      <c r="AA445" s="6"/>
      <c r="AB445" s="5"/>
      <c r="AC445" s="6"/>
      <c r="AD445" s="6"/>
      <c r="AE445" s="5"/>
      <c r="AF445" s="6"/>
      <c r="AG445" s="6"/>
      <c r="AH445" s="5"/>
      <c r="AI445" s="6"/>
      <c r="AJ445" s="6"/>
      <c r="AK445" s="5"/>
      <c r="AL445" s="5"/>
      <c r="AM445" s="5"/>
      <c r="AN445" s="5"/>
      <c r="AO445" s="5"/>
      <c r="AP445" s="5"/>
      <c r="AQ445" s="5"/>
    </row>
    <row r="446" spans="1:43" x14ac:dyDescent="0.25">
      <c r="A446" s="161" t="str">
        <f t="shared" si="7"/>
        <v>DESTROYER_ASIA</v>
      </c>
      <c r="B446" s="9" t="s">
        <v>114</v>
      </c>
      <c r="C446" s="5" t="s">
        <v>693</v>
      </c>
      <c r="D446" s="5" t="s">
        <v>698</v>
      </c>
      <c r="E446" s="5" t="s">
        <v>114</v>
      </c>
      <c r="F446" s="5" t="s">
        <v>114</v>
      </c>
      <c r="G446" s="5"/>
      <c r="H446" s="5"/>
      <c r="I446" s="5"/>
      <c r="J446" s="6"/>
      <c r="K446" s="7"/>
      <c r="L446" s="13"/>
      <c r="M446" s="8"/>
      <c r="N446" s="13"/>
      <c r="O446" s="13"/>
      <c r="P446" s="13"/>
      <c r="Q446" s="7"/>
      <c r="R446" s="6"/>
      <c r="S446" s="5"/>
      <c r="T446" s="6"/>
      <c r="U446" s="6"/>
      <c r="V446" s="5"/>
      <c r="W446" s="6"/>
      <c r="X446" s="6"/>
      <c r="Y446" s="5"/>
      <c r="Z446" s="6"/>
      <c r="AA446" s="6"/>
      <c r="AB446" s="5"/>
      <c r="AC446" s="6"/>
      <c r="AD446" s="6"/>
      <c r="AE446" s="5"/>
      <c r="AF446" s="6"/>
      <c r="AG446" s="6"/>
      <c r="AH446" s="5"/>
      <c r="AI446" s="6"/>
      <c r="AJ446" s="6"/>
      <c r="AK446" s="5"/>
      <c r="AL446" s="5"/>
      <c r="AM446" s="5"/>
      <c r="AN446" s="5"/>
      <c r="AO446" s="5"/>
      <c r="AP446" s="5"/>
      <c r="AQ446" s="5"/>
    </row>
    <row r="447" spans="1:43" x14ac:dyDescent="0.25">
      <c r="A447" s="161" t="str">
        <f t="shared" si="7"/>
        <v>DESTROYER_JAPAN</v>
      </c>
      <c r="B447" s="9" t="s">
        <v>114</v>
      </c>
      <c r="C447" s="4" t="s">
        <v>722</v>
      </c>
      <c r="E447" s="4" t="s">
        <v>114</v>
      </c>
      <c r="F447" s="4" t="s">
        <v>114</v>
      </c>
      <c r="G447" s="14" t="s">
        <v>132</v>
      </c>
      <c r="H447" s="4" t="s">
        <v>478</v>
      </c>
      <c r="I447" s="4" t="s">
        <v>102</v>
      </c>
    </row>
    <row r="448" spans="1:43" x14ac:dyDescent="0.25">
      <c r="A448" s="161" t="str">
        <f t="shared" si="7"/>
        <v>DESTROYER_EASTEU</v>
      </c>
      <c r="B448" s="9" t="s">
        <v>114</v>
      </c>
      <c r="C448" s="4" t="s">
        <v>698</v>
      </c>
      <c r="E448" s="4" t="s">
        <v>114</v>
      </c>
      <c r="F448" s="4" t="s">
        <v>114</v>
      </c>
      <c r="G448" s="14"/>
      <c r="H448" s="4" t="s">
        <v>611</v>
      </c>
      <c r="I448" s="4" t="s">
        <v>102</v>
      </c>
    </row>
    <row r="449" spans="1:43" x14ac:dyDescent="0.25">
      <c r="A449" s="161" t="str">
        <f t="shared" si="7"/>
        <v>DESTROYER_POLAND</v>
      </c>
      <c r="B449" s="9" t="s">
        <v>114</v>
      </c>
      <c r="C449" s="4" t="s">
        <v>732</v>
      </c>
      <c r="E449" s="4" t="s">
        <v>114</v>
      </c>
      <c r="F449" s="4" t="s">
        <v>114</v>
      </c>
      <c r="G449" s="14" t="s">
        <v>132</v>
      </c>
      <c r="H449" s="4" t="s">
        <v>568</v>
      </c>
      <c r="I449" s="4" t="s">
        <v>102</v>
      </c>
    </row>
    <row r="450" spans="1:43" x14ac:dyDescent="0.25">
      <c r="A450" s="161" t="str">
        <f t="shared" si="7"/>
        <v>DESTROYER_RUSSIA</v>
      </c>
      <c r="B450" s="9" t="s">
        <v>114</v>
      </c>
      <c r="C450" s="4" t="s">
        <v>735</v>
      </c>
      <c r="D450" s="4" t="s">
        <v>698</v>
      </c>
      <c r="E450" s="4" t="s">
        <v>114</v>
      </c>
      <c r="F450" s="4" t="s">
        <v>114</v>
      </c>
      <c r="G450" s="14" t="s">
        <v>132</v>
      </c>
      <c r="I450" s="4" t="s">
        <v>102</v>
      </c>
    </row>
    <row r="451" spans="1:43" x14ac:dyDescent="0.25">
      <c r="A451" s="161" t="str">
        <f t="shared" si="7"/>
        <v>DESTROYER_AMERICA</v>
      </c>
      <c r="B451" s="9" t="s">
        <v>114</v>
      </c>
      <c r="C451" s="4" t="s">
        <v>699</v>
      </c>
      <c r="E451" s="4" t="s">
        <v>114</v>
      </c>
      <c r="F451" s="4" t="s">
        <v>114</v>
      </c>
      <c r="G451" s="14"/>
      <c r="H451" s="4" t="s">
        <v>137</v>
      </c>
      <c r="I451" s="4" t="s">
        <v>102</v>
      </c>
    </row>
    <row r="452" spans="1:43" x14ac:dyDescent="0.25">
      <c r="A452" s="161" t="str">
        <f t="shared" si="7"/>
        <v>DESTROYER_AUSTRALIA</v>
      </c>
      <c r="B452" s="9" t="s">
        <v>114</v>
      </c>
      <c r="C452" s="4" t="s">
        <v>1302</v>
      </c>
      <c r="D452" s="4" t="s">
        <v>713</v>
      </c>
      <c r="E452" s="4" t="s">
        <v>114</v>
      </c>
      <c r="F452" s="4" t="s">
        <v>114</v>
      </c>
      <c r="G452" s="14"/>
    </row>
    <row r="453" spans="1:43" x14ac:dyDescent="0.25">
      <c r="A453" s="161" t="str">
        <f t="shared" si="7"/>
        <v>DESTROYER_AUSTRIA</v>
      </c>
      <c r="B453" s="9" t="s">
        <v>114</v>
      </c>
      <c r="C453" s="4" t="s">
        <v>701</v>
      </c>
      <c r="D453" s="4" t="s">
        <v>717</v>
      </c>
      <c r="E453" s="4" t="s">
        <v>114</v>
      </c>
      <c r="F453" s="4" t="s">
        <v>114</v>
      </c>
      <c r="G453" s="14"/>
    </row>
    <row r="454" spans="1:43" x14ac:dyDescent="0.25">
      <c r="A454" s="161" t="str">
        <f t="shared" si="7"/>
        <v>DESTROYER_CANADA</v>
      </c>
      <c r="B454" s="9" t="s">
        <v>114</v>
      </c>
      <c r="C454" s="4" t="s">
        <v>2223</v>
      </c>
      <c r="D454" s="4" t="s">
        <v>713</v>
      </c>
      <c r="E454" s="4" t="s">
        <v>114</v>
      </c>
      <c r="F454" s="4" t="s">
        <v>114</v>
      </c>
      <c r="G454" s="14"/>
    </row>
    <row r="455" spans="1:43" x14ac:dyDescent="0.25">
      <c r="A455" s="161" t="str">
        <f t="shared" si="7"/>
        <v>DESTROYER_CELTS</v>
      </c>
      <c r="B455" s="9" t="s">
        <v>114</v>
      </c>
      <c r="C455" s="4" t="s">
        <v>709</v>
      </c>
      <c r="D455" s="4" t="s">
        <v>713</v>
      </c>
      <c r="E455" s="4" t="s">
        <v>114</v>
      </c>
      <c r="F455" s="4" t="s">
        <v>114</v>
      </c>
      <c r="G455" s="14"/>
    </row>
    <row r="456" spans="1:43" x14ac:dyDescent="0.25">
      <c r="A456" s="161" t="str">
        <f t="shared" si="7"/>
        <v>DESTROYER_ENGLAND</v>
      </c>
      <c r="B456" s="9" t="s">
        <v>114</v>
      </c>
      <c r="C456" s="4" t="s">
        <v>713</v>
      </c>
      <c r="E456" s="4" t="s">
        <v>114</v>
      </c>
      <c r="F456" s="4" t="s">
        <v>114</v>
      </c>
      <c r="G456" s="14" t="s">
        <v>132</v>
      </c>
      <c r="H456" s="4" t="s">
        <v>296</v>
      </c>
      <c r="I456" s="4" t="s">
        <v>102</v>
      </c>
    </row>
    <row r="457" spans="1:43" x14ac:dyDescent="0.25">
      <c r="A457" s="161" t="str">
        <f t="shared" si="7"/>
        <v>DESTROYER_FRANCE</v>
      </c>
      <c r="B457" s="9" t="s">
        <v>114</v>
      </c>
      <c r="C457" s="4" t="s">
        <v>715</v>
      </c>
      <c r="E457" s="4" t="s">
        <v>114</v>
      </c>
      <c r="F457" s="4" t="s">
        <v>114</v>
      </c>
      <c r="G457" s="14" t="s">
        <v>132</v>
      </c>
      <c r="H457" s="4" t="s">
        <v>342</v>
      </c>
      <c r="I457" s="4" t="s">
        <v>102</v>
      </c>
    </row>
    <row r="458" spans="1:43" x14ac:dyDescent="0.25">
      <c r="A458" s="161" t="str">
        <f t="shared" si="7"/>
        <v>DESTROYER_GERMANY</v>
      </c>
      <c r="B458" s="9" t="s">
        <v>114</v>
      </c>
      <c r="C458" s="4" t="s">
        <v>717</v>
      </c>
      <c r="E458" s="4" t="s">
        <v>114</v>
      </c>
      <c r="F458" s="4" t="s">
        <v>114</v>
      </c>
      <c r="G458" s="14" t="s">
        <v>132</v>
      </c>
      <c r="H458" s="4" t="s">
        <v>372</v>
      </c>
      <c r="I458" s="4" t="s">
        <v>102</v>
      </c>
    </row>
    <row r="459" spans="1:43" x14ac:dyDescent="0.25">
      <c r="A459" s="161" t="str">
        <f t="shared" si="7"/>
        <v>DESTROYER_NETHERLANDS</v>
      </c>
      <c r="B459" s="9" t="s">
        <v>114</v>
      </c>
      <c r="C459" s="4" t="s">
        <v>730</v>
      </c>
      <c r="E459" s="4" t="s">
        <v>114</v>
      </c>
      <c r="F459" s="4" t="s">
        <v>114</v>
      </c>
      <c r="G459" s="14" t="s">
        <v>132</v>
      </c>
      <c r="H459" s="4" t="s">
        <v>540</v>
      </c>
      <c r="I459" s="4" t="s">
        <v>102</v>
      </c>
    </row>
    <row r="460" spans="1:43" x14ac:dyDescent="0.25">
      <c r="A460" s="161" t="str">
        <f t="shared" si="7"/>
        <v>DESTROYER_GREECE</v>
      </c>
      <c r="B460" s="9" t="s">
        <v>114</v>
      </c>
      <c r="C460" s="4" t="s">
        <v>718</v>
      </c>
      <c r="E460" s="4" t="s">
        <v>114</v>
      </c>
      <c r="F460" s="4" t="s">
        <v>114</v>
      </c>
      <c r="G460" s="14" t="s">
        <v>132</v>
      </c>
      <c r="H460" s="4" t="s">
        <v>401</v>
      </c>
      <c r="I460" s="4" t="s">
        <v>102</v>
      </c>
    </row>
    <row r="461" spans="1:43" x14ac:dyDescent="0.25">
      <c r="A461" s="161" t="str">
        <f t="shared" si="7"/>
        <v>DESTROYER_ROME</v>
      </c>
      <c r="B461" s="9" t="s">
        <v>114</v>
      </c>
      <c r="C461" s="4" t="s">
        <v>734</v>
      </c>
      <c r="E461" s="4" t="s">
        <v>114</v>
      </c>
      <c r="F461" s="4" t="s">
        <v>114</v>
      </c>
      <c r="G461" s="14" t="s">
        <v>132</v>
      </c>
      <c r="H461" s="4" t="s">
        <v>586</v>
      </c>
      <c r="I461" s="4" t="s">
        <v>102</v>
      </c>
    </row>
    <row r="462" spans="1:43" x14ac:dyDescent="0.25">
      <c r="A462" s="161" t="str">
        <f t="shared" si="7"/>
        <v>DESTROYER_SWEDEN</v>
      </c>
      <c r="B462" s="9" t="s">
        <v>114</v>
      </c>
      <c r="C462" s="4" t="s">
        <v>739</v>
      </c>
      <c r="E462" s="4" t="s">
        <v>114</v>
      </c>
      <c r="F462" s="4" t="s">
        <v>114</v>
      </c>
      <c r="G462" s="14" t="s">
        <v>132</v>
      </c>
      <c r="H462" s="4" t="s">
        <v>669</v>
      </c>
      <c r="I462" s="4" t="s">
        <v>102</v>
      </c>
    </row>
    <row r="463" spans="1:43" x14ac:dyDescent="0.25">
      <c r="A463" s="161" t="str">
        <f t="shared" si="7"/>
        <v>DESTROYER_OCEAN</v>
      </c>
      <c r="B463" s="9" t="s">
        <v>114</v>
      </c>
      <c r="C463" s="4" t="s">
        <v>994</v>
      </c>
      <c r="D463" s="4" t="s">
        <v>699</v>
      </c>
      <c r="E463" s="4" t="s">
        <v>114</v>
      </c>
      <c r="F463" s="4" t="s">
        <v>114</v>
      </c>
      <c r="G463" s="14"/>
      <c r="H463" s="1"/>
    </row>
    <row r="464" spans="1:43" x14ac:dyDescent="0.25">
      <c r="A464" s="161" t="str">
        <f t="shared" si="7"/>
        <v>ENGINEER</v>
      </c>
      <c r="B464" s="9" t="s">
        <v>1315</v>
      </c>
      <c r="C464" s="5"/>
      <c r="D464" s="5"/>
      <c r="E464" s="5" t="s">
        <v>1315</v>
      </c>
      <c r="F464" s="5" t="s">
        <v>1313</v>
      </c>
      <c r="G464" s="5"/>
      <c r="H464" s="5" t="s">
        <v>1719</v>
      </c>
      <c r="I464" s="5" t="s">
        <v>128</v>
      </c>
      <c r="J464" s="6">
        <v>1</v>
      </c>
      <c r="K464" s="6"/>
      <c r="L464" s="13" t="s">
        <v>1710</v>
      </c>
      <c r="M464" s="8"/>
      <c r="N464" s="5"/>
      <c r="O464" s="5"/>
      <c r="P464" s="5"/>
      <c r="Q464" s="7">
        <v>1</v>
      </c>
      <c r="R464" s="7" t="s">
        <v>1695</v>
      </c>
      <c r="S464" s="5"/>
      <c r="T464" s="6"/>
      <c r="U464" s="7" t="s">
        <v>1737</v>
      </c>
      <c r="V464" s="5"/>
      <c r="W464" s="6"/>
      <c r="X464" s="6" t="s">
        <v>3</v>
      </c>
      <c r="Y464" s="5"/>
      <c r="Z464" s="6"/>
      <c r="AA464" s="6"/>
      <c r="AB464" s="5"/>
      <c r="AC464" s="6"/>
      <c r="AD464" s="6" t="s">
        <v>3</v>
      </c>
      <c r="AE464" s="5"/>
      <c r="AF464" s="6"/>
      <c r="AG464" s="6"/>
      <c r="AH464" s="5"/>
      <c r="AI464" s="6"/>
      <c r="AJ464" s="6"/>
      <c r="AK464" s="5"/>
      <c r="AL464" s="5"/>
      <c r="AM464" s="5"/>
      <c r="AN464" s="5"/>
      <c r="AO464" s="5"/>
      <c r="AP464" s="5"/>
      <c r="AQ464" s="5"/>
    </row>
    <row r="465" spans="1:43" x14ac:dyDescent="0.25">
      <c r="A465" s="161" t="str">
        <f t="shared" si="7"/>
        <v>ENGINEER_LATE</v>
      </c>
      <c r="B465" s="9" t="s">
        <v>1315</v>
      </c>
      <c r="C465" s="5"/>
      <c r="D465" s="5"/>
      <c r="E465" s="5" t="s">
        <v>1337</v>
      </c>
      <c r="F465" s="5" t="s">
        <v>1314</v>
      </c>
      <c r="G465" s="5"/>
      <c r="H465" s="5" t="s">
        <v>1720</v>
      </c>
      <c r="I465" s="5" t="s">
        <v>128</v>
      </c>
      <c r="J465" s="6"/>
      <c r="K465" s="6"/>
      <c r="L465" s="13" t="s">
        <v>1710</v>
      </c>
      <c r="M465" s="8"/>
      <c r="N465" s="5"/>
      <c r="O465" s="5"/>
      <c r="P465" s="5"/>
      <c r="Q465" s="7">
        <v>1</v>
      </c>
      <c r="R465" s="7">
        <v>0.09</v>
      </c>
      <c r="S465" s="5"/>
      <c r="T465" s="6"/>
      <c r="U465" s="7">
        <v>0.08</v>
      </c>
      <c r="V465" s="5"/>
      <c r="W465" s="6"/>
      <c r="X465" s="6" t="s">
        <v>3</v>
      </c>
      <c r="Y465" s="5"/>
      <c r="Z465" s="6"/>
      <c r="AA465" s="6"/>
      <c r="AB465" s="5"/>
      <c r="AC465" s="6"/>
      <c r="AD465" s="6" t="s">
        <v>3</v>
      </c>
      <c r="AE465" s="5"/>
      <c r="AF465" s="6"/>
      <c r="AG465" s="6"/>
      <c r="AH465" s="5"/>
      <c r="AI465" s="6"/>
      <c r="AJ465" s="6"/>
      <c r="AK465" s="5"/>
      <c r="AL465" s="5"/>
      <c r="AM465" s="5"/>
      <c r="AN465" s="5"/>
      <c r="AO465" s="5"/>
      <c r="AP465" s="5"/>
      <c r="AQ465" s="5"/>
    </row>
    <row r="466" spans="1:43" x14ac:dyDescent="0.25">
      <c r="A466" s="161" t="str">
        <f t="shared" si="7"/>
        <v>EXPLORER</v>
      </c>
      <c r="C466" s="5"/>
      <c r="D466" s="5"/>
      <c r="E466" s="5" t="s">
        <v>1338</v>
      </c>
      <c r="F466" s="5" t="s">
        <v>1339</v>
      </c>
      <c r="G466" s="5"/>
      <c r="H466" s="5" t="s">
        <v>1452</v>
      </c>
      <c r="I466" s="5" t="s">
        <v>128</v>
      </c>
      <c r="J466" s="6"/>
      <c r="K466" s="6"/>
      <c r="L466" s="13" t="s">
        <v>1708</v>
      </c>
      <c r="M466" s="8"/>
      <c r="N466" s="5"/>
      <c r="O466" s="5"/>
      <c r="P466" s="5"/>
      <c r="Q466" s="6">
        <v>1</v>
      </c>
      <c r="R466" s="7" t="s">
        <v>1695</v>
      </c>
      <c r="S466" s="13" t="s">
        <v>1614</v>
      </c>
      <c r="T466" s="6">
        <v>1</v>
      </c>
      <c r="U466" s="7" t="s">
        <v>1737</v>
      </c>
      <c r="V466" s="5"/>
      <c r="W466" s="6"/>
      <c r="X466" s="6" t="s">
        <v>3</v>
      </c>
      <c r="Y466" s="5"/>
      <c r="Z466" s="6">
        <v>1</v>
      </c>
      <c r="AA466" s="6"/>
      <c r="AB466" s="5"/>
      <c r="AC466" s="6"/>
      <c r="AD466" s="6" t="s">
        <v>3</v>
      </c>
      <c r="AE466" s="5"/>
      <c r="AF466" s="6">
        <v>1</v>
      </c>
      <c r="AG466" s="6"/>
      <c r="AH466" s="5"/>
      <c r="AI466" s="6">
        <v>1</v>
      </c>
      <c r="AJ466" s="6"/>
      <c r="AK466" s="5"/>
      <c r="AL466" s="5"/>
      <c r="AM466" s="5"/>
      <c r="AN466" s="5"/>
      <c r="AO466" s="5"/>
      <c r="AP466" s="5"/>
      <c r="AQ466" s="5"/>
    </row>
    <row r="467" spans="1:43" x14ac:dyDescent="0.25">
      <c r="A467" s="161" t="str">
        <f t="shared" si="7"/>
        <v>EXPLORER</v>
      </c>
      <c r="C467" s="5"/>
      <c r="D467" s="5"/>
      <c r="E467" s="5" t="s">
        <v>1338</v>
      </c>
      <c r="F467" s="5" t="s">
        <v>1339</v>
      </c>
      <c r="G467" s="5" t="s">
        <v>2040</v>
      </c>
      <c r="H467" s="5" t="s">
        <v>1451</v>
      </c>
      <c r="I467" s="5" t="s">
        <v>128</v>
      </c>
      <c r="J467" s="6"/>
      <c r="K467" s="6"/>
      <c r="L467" s="13" t="s">
        <v>1708</v>
      </c>
      <c r="M467" s="8"/>
      <c r="N467" s="5"/>
      <c r="O467" s="5"/>
      <c r="P467" s="5"/>
      <c r="Q467" s="6">
        <v>6</v>
      </c>
      <c r="R467" s="7" t="s">
        <v>1695</v>
      </c>
      <c r="S467" s="13" t="s">
        <v>1614</v>
      </c>
      <c r="T467" s="6">
        <v>6</v>
      </c>
      <c r="U467" s="7" t="s">
        <v>1737</v>
      </c>
      <c r="V467" s="5"/>
      <c r="W467" s="6"/>
      <c r="X467" s="6" t="s">
        <v>3</v>
      </c>
      <c r="Y467" s="5"/>
      <c r="Z467" s="6">
        <v>0</v>
      </c>
      <c r="AA467" s="6"/>
      <c r="AB467" s="5"/>
      <c r="AC467" s="6"/>
      <c r="AD467" s="6" t="s">
        <v>3</v>
      </c>
      <c r="AE467" s="5"/>
      <c r="AF467" s="6">
        <v>1</v>
      </c>
      <c r="AG467" s="6"/>
      <c r="AH467" s="5"/>
      <c r="AI467" s="6">
        <v>3</v>
      </c>
      <c r="AJ467" s="6"/>
      <c r="AK467" s="5"/>
      <c r="AL467" s="5"/>
      <c r="AM467" s="5"/>
      <c r="AN467" s="5"/>
      <c r="AO467" s="5"/>
      <c r="AP467" s="5"/>
      <c r="AQ467" s="5"/>
    </row>
    <row r="468" spans="1:43" x14ac:dyDescent="0.25">
      <c r="A468" s="161" t="str">
        <f t="shared" si="7"/>
        <v>EXPLORER</v>
      </c>
      <c r="C468" s="5"/>
      <c r="D468" s="5"/>
      <c r="E468" s="5" t="s">
        <v>1338</v>
      </c>
      <c r="F468" s="5" t="s">
        <v>1339</v>
      </c>
      <c r="G468" s="5" t="s">
        <v>2041</v>
      </c>
      <c r="H468" s="5" t="s">
        <v>1453</v>
      </c>
      <c r="I468" s="5" t="s">
        <v>128</v>
      </c>
      <c r="J468" s="6"/>
      <c r="K468" s="6"/>
      <c r="L468" s="13" t="s">
        <v>1708</v>
      </c>
      <c r="M468" s="8"/>
      <c r="N468" s="5"/>
      <c r="O468" s="5"/>
      <c r="P468" s="5"/>
      <c r="Q468" s="6">
        <v>1</v>
      </c>
      <c r="R468" s="7" t="s">
        <v>1695</v>
      </c>
      <c r="S468" s="13" t="s">
        <v>1614</v>
      </c>
      <c r="T468" s="6">
        <v>1</v>
      </c>
      <c r="U468" s="7" t="s">
        <v>1737</v>
      </c>
      <c r="V468" s="5"/>
      <c r="W468" s="6"/>
      <c r="X468" s="6" t="s">
        <v>3</v>
      </c>
      <c r="Y468" s="5"/>
      <c r="Z468" s="6">
        <v>0</v>
      </c>
      <c r="AA468" s="6"/>
      <c r="AB468" s="5"/>
      <c r="AC468" s="6"/>
      <c r="AD468" s="6" t="s">
        <v>3</v>
      </c>
      <c r="AE468" s="5"/>
      <c r="AF468" s="6">
        <v>0</v>
      </c>
      <c r="AG468" s="6"/>
      <c r="AH468" s="5"/>
      <c r="AI468" s="6">
        <v>1</v>
      </c>
      <c r="AJ468" s="6"/>
      <c r="AK468" s="5"/>
      <c r="AL468" s="5"/>
      <c r="AM468" s="5"/>
      <c r="AN468" s="5"/>
      <c r="AO468" s="5"/>
      <c r="AP468" s="5"/>
      <c r="AQ468" s="5"/>
    </row>
    <row r="469" spans="1:43" x14ac:dyDescent="0.25">
      <c r="A469" s="161" t="str">
        <f t="shared" si="7"/>
        <v>FIGHTER</v>
      </c>
      <c r="B469" s="9" t="s">
        <v>113</v>
      </c>
      <c r="C469" s="5"/>
      <c r="D469" s="5"/>
      <c r="E469" s="5" t="s">
        <v>113</v>
      </c>
      <c r="F469" s="5" t="s">
        <v>113</v>
      </c>
      <c r="G469" s="5"/>
      <c r="H469" s="5" t="s">
        <v>32</v>
      </c>
      <c r="I469" s="5" t="s">
        <v>128</v>
      </c>
      <c r="J469" s="6"/>
      <c r="K469" s="7"/>
      <c r="L469" s="13" t="s">
        <v>1711</v>
      </c>
      <c r="M469" s="8">
        <v>2</v>
      </c>
      <c r="N469" s="13" t="s">
        <v>1725</v>
      </c>
      <c r="O469" s="13"/>
      <c r="P469" s="13"/>
      <c r="Q469" s="7">
        <v>3</v>
      </c>
      <c r="R469" s="6">
        <v>7.4999999999999997E-2</v>
      </c>
      <c r="S469" s="13" t="s">
        <v>1621</v>
      </c>
      <c r="T469" s="7">
        <v>4</v>
      </c>
      <c r="U469" s="6">
        <v>7.0000000000000007E-2</v>
      </c>
      <c r="V469" s="5" t="s">
        <v>1699</v>
      </c>
      <c r="W469" s="6" t="s">
        <v>3</v>
      </c>
      <c r="X469" s="6" t="s">
        <v>3</v>
      </c>
      <c r="Y469" s="5"/>
      <c r="Z469" s="6">
        <v>1</v>
      </c>
      <c r="AA469" s="6"/>
      <c r="AB469" s="5"/>
      <c r="AC469" s="6"/>
      <c r="AD469" s="6" t="s">
        <v>3</v>
      </c>
      <c r="AE469" s="5"/>
      <c r="AF469" s="6"/>
      <c r="AG469" s="6"/>
      <c r="AH469" s="5"/>
      <c r="AI469" s="6"/>
      <c r="AJ469" s="6"/>
      <c r="AK469" s="5"/>
      <c r="AL469" s="5"/>
      <c r="AM469" s="5"/>
      <c r="AN469" s="5"/>
      <c r="AO469" s="5"/>
      <c r="AP469" s="5"/>
      <c r="AQ469" s="5"/>
    </row>
    <row r="470" spans="1:43" x14ac:dyDescent="0.25">
      <c r="A470" s="161" t="str">
        <f t="shared" si="7"/>
        <v>FIGHTER_AFRI</v>
      </c>
      <c r="B470" s="9" t="s">
        <v>113</v>
      </c>
      <c r="C470" s="4" t="s">
        <v>694</v>
      </c>
      <c r="D470" s="4" t="s">
        <v>690</v>
      </c>
      <c r="E470" s="4" t="s">
        <v>113</v>
      </c>
      <c r="F470" s="4" t="s">
        <v>113</v>
      </c>
    </row>
    <row r="471" spans="1:43" x14ac:dyDescent="0.25">
      <c r="A471" s="161" t="str">
        <f t="shared" si="7"/>
        <v>FIGHTER_AMER</v>
      </c>
      <c r="B471" s="9" t="s">
        <v>113</v>
      </c>
      <c r="C471" s="4" t="s">
        <v>697</v>
      </c>
      <c r="D471" s="4" t="s">
        <v>690</v>
      </c>
      <c r="E471" s="4" t="s">
        <v>113</v>
      </c>
      <c r="F471" s="4" t="s">
        <v>113</v>
      </c>
    </row>
    <row r="472" spans="1:43" x14ac:dyDescent="0.25">
      <c r="A472" s="161" t="str">
        <f t="shared" si="7"/>
        <v>FIGHTER_CHINA</v>
      </c>
      <c r="B472" s="9" t="s">
        <v>113</v>
      </c>
      <c r="C472" s="4" t="s">
        <v>710</v>
      </c>
      <c r="E472" s="4" t="s">
        <v>113</v>
      </c>
      <c r="F472" s="4" t="s">
        <v>113</v>
      </c>
      <c r="G472" s="14" t="s">
        <v>132</v>
      </c>
      <c r="H472" s="4" t="s">
        <v>246</v>
      </c>
      <c r="I472" s="4" t="s">
        <v>102</v>
      </c>
    </row>
    <row r="473" spans="1:43" x14ac:dyDescent="0.25">
      <c r="A473" s="161" t="str">
        <f t="shared" si="7"/>
        <v>FIGHTER_OTTOMAN</v>
      </c>
      <c r="B473" s="9" t="s">
        <v>113</v>
      </c>
      <c r="C473" s="4" t="s">
        <v>1037</v>
      </c>
      <c r="E473" s="4" t="s">
        <v>113</v>
      </c>
      <c r="F473" s="4" t="s">
        <v>113</v>
      </c>
      <c r="G473" s="14" t="s">
        <v>132</v>
      </c>
      <c r="H473" s="14" t="s">
        <v>1038</v>
      </c>
      <c r="I473" s="4" t="s">
        <v>120</v>
      </c>
      <c r="J473" s="167"/>
    </row>
    <row r="474" spans="1:43" x14ac:dyDescent="0.25">
      <c r="A474" s="161" t="str">
        <f t="shared" si="7"/>
        <v>FIGHTER_EASTEU</v>
      </c>
      <c r="B474" s="9" t="s">
        <v>113</v>
      </c>
      <c r="C474" s="4" t="s">
        <v>698</v>
      </c>
      <c r="E474" s="4" t="s">
        <v>113</v>
      </c>
      <c r="F474" s="4" t="s">
        <v>113</v>
      </c>
      <c r="G474" s="14"/>
      <c r="H474" s="4" t="s">
        <v>612</v>
      </c>
      <c r="I474" s="4" t="s">
        <v>102</v>
      </c>
    </row>
    <row r="475" spans="1:43" x14ac:dyDescent="0.25">
      <c r="A475" s="161" t="str">
        <f t="shared" si="7"/>
        <v>FIGHTER_HUNS</v>
      </c>
      <c r="B475" s="9" t="s">
        <v>113</v>
      </c>
      <c r="C475" s="4" t="s">
        <v>904</v>
      </c>
      <c r="E475" s="4" t="s">
        <v>113</v>
      </c>
      <c r="F475" s="4" t="s">
        <v>113</v>
      </c>
      <c r="H475" s="4" t="s">
        <v>1101</v>
      </c>
      <c r="I475" s="4" t="s">
        <v>102</v>
      </c>
    </row>
    <row r="476" spans="1:43" x14ac:dyDescent="0.25">
      <c r="A476" s="161" t="str">
        <f t="shared" si="7"/>
        <v>FIGHTER_POLAND</v>
      </c>
      <c r="B476" s="9" t="s">
        <v>113</v>
      </c>
      <c r="C476" s="4" t="s">
        <v>732</v>
      </c>
      <c r="E476" s="4" t="s">
        <v>113</v>
      </c>
      <c r="F476" s="4" t="s">
        <v>113</v>
      </c>
      <c r="G476" s="14" t="s">
        <v>132</v>
      </c>
      <c r="H476" s="4" t="s">
        <v>569</v>
      </c>
      <c r="I476" s="4" t="s">
        <v>102</v>
      </c>
    </row>
    <row r="477" spans="1:43" x14ac:dyDescent="0.25">
      <c r="A477" s="161" t="str">
        <f t="shared" si="7"/>
        <v>FIGHTER_RUSSIA</v>
      </c>
      <c r="B477" s="9" t="s">
        <v>113</v>
      </c>
      <c r="C477" s="4" t="s">
        <v>735</v>
      </c>
      <c r="D477" s="4" t="s">
        <v>698</v>
      </c>
      <c r="E477" s="4" t="s">
        <v>113</v>
      </c>
      <c r="F477" s="4" t="s">
        <v>113</v>
      </c>
      <c r="G477" s="14"/>
    </row>
    <row r="478" spans="1:43" x14ac:dyDescent="0.25">
      <c r="A478" s="161" t="str">
        <f t="shared" si="7"/>
        <v>FIGHTER_AMERICA</v>
      </c>
      <c r="B478" s="9" t="s">
        <v>113</v>
      </c>
      <c r="C478" s="4" t="s">
        <v>699</v>
      </c>
      <c r="E478" s="4" t="s">
        <v>113</v>
      </c>
      <c r="F478" s="4" t="s">
        <v>113</v>
      </c>
      <c r="G478" s="14"/>
      <c r="H478" s="4" t="s">
        <v>138</v>
      </c>
      <c r="I478" s="4" t="s">
        <v>130</v>
      </c>
    </row>
    <row r="479" spans="1:43" x14ac:dyDescent="0.25">
      <c r="A479" s="161" t="str">
        <f t="shared" si="7"/>
        <v>FIGHTER_AUSTRALIA</v>
      </c>
      <c r="B479" s="9" t="s">
        <v>113</v>
      </c>
      <c r="C479" s="4" t="s">
        <v>1302</v>
      </c>
      <c r="E479" s="4" t="s">
        <v>113</v>
      </c>
      <c r="F479" s="4" t="s">
        <v>113</v>
      </c>
      <c r="G479" s="14"/>
      <c r="H479" s="4" t="s">
        <v>2254</v>
      </c>
      <c r="I479" s="4" t="s">
        <v>120</v>
      </c>
    </row>
    <row r="480" spans="1:43" x14ac:dyDescent="0.25">
      <c r="A480" s="161" t="str">
        <f t="shared" si="7"/>
        <v>FIGHTER_AUSTRIA</v>
      </c>
      <c r="B480" s="9" t="s">
        <v>113</v>
      </c>
      <c r="C480" s="4" t="s">
        <v>701</v>
      </c>
      <c r="E480" s="4" t="s">
        <v>113</v>
      </c>
      <c r="F480" s="4" t="s">
        <v>113</v>
      </c>
      <c r="G480" s="14"/>
      <c r="H480" s="4" t="s">
        <v>178</v>
      </c>
      <c r="I480" s="4" t="s">
        <v>102</v>
      </c>
    </row>
    <row r="481" spans="1:9" x14ac:dyDescent="0.25">
      <c r="A481" s="161" t="str">
        <f t="shared" si="7"/>
        <v>FIGHTER_CANADA</v>
      </c>
      <c r="B481" s="9" t="s">
        <v>113</v>
      </c>
      <c r="C481" s="4" t="s">
        <v>2223</v>
      </c>
      <c r="D481" s="4" t="s">
        <v>713</v>
      </c>
      <c r="E481" s="4" t="s">
        <v>113</v>
      </c>
      <c r="F481" s="4" t="s">
        <v>113</v>
      </c>
      <c r="G481" s="14"/>
    </row>
    <row r="482" spans="1:9" x14ac:dyDescent="0.25">
      <c r="A482" s="161" t="str">
        <f t="shared" si="7"/>
        <v>FIGHTER_CELTS</v>
      </c>
      <c r="B482" s="9" t="s">
        <v>113</v>
      </c>
      <c r="C482" s="4" t="s">
        <v>709</v>
      </c>
      <c r="D482" s="4" t="s">
        <v>713</v>
      </c>
      <c r="E482" s="4" t="s">
        <v>113</v>
      </c>
      <c r="F482" s="4" t="s">
        <v>113</v>
      </c>
      <c r="G482" s="14"/>
    </row>
    <row r="483" spans="1:9" x14ac:dyDescent="0.25">
      <c r="A483" s="161" t="str">
        <f t="shared" si="7"/>
        <v>FIGHTER_ENGLAND</v>
      </c>
      <c r="B483" s="9" t="s">
        <v>113</v>
      </c>
      <c r="C483" s="4" t="s">
        <v>713</v>
      </c>
      <c r="E483" s="4" t="s">
        <v>113</v>
      </c>
      <c r="F483" s="4" t="s">
        <v>113</v>
      </c>
      <c r="G483" s="14" t="s">
        <v>132</v>
      </c>
      <c r="H483" s="4" t="s">
        <v>297</v>
      </c>
      <c r="I483" s="4" t="s">
        <v>1056</v>
      </c>
    </row>
    <row r="484" spans="1:9" x14ac:dyDescent="0.25">
      <c r="A484" s="161" t="str">
        <f t="shared" si="7"/>
        <v>FIGHTER_FRANCE</v>
      </c>
      <c r="B484" s="9" t="s">
        <v>113</v>
      </c>
      <c r="C484" s="4" t="s">
        <v>715</v>
      </c>
      <c r="E484" s="4" t="s">
        <v>113</v>
      </c>
      <c r="F484" s="4" t="s">
        <v>113</v>
      </c>
      <c r="G484" s="14" t="s">
        <v>132</v>
      </c>
      <c r="H484" s="4" t="s">
        <v>343</v>
      </c>
      <c r="I484" s="4" t="s">
        <v>102</v>
      </c>
    </row>
    <row r="485" spans="1:9" x14ac:dyDescent="0.25">
      <c r="A485" s="161" t="str">
        <f t="shared" si="7"/>
        <v>FIGHTER_GERMANY</v>
      </c>
      <c r="B485" s="9" t="s">
        <v>113</v>
      </c>
      <c r="C485" s="4" t="s">
        <v>717</v>
      </c>
      <c r="E485" s="4" t="s">
        <v>113</v>
      </c>
      <c r="F485" s="4" t="s">
        <v>113</v>
      </c>
      <c r="G485" s="14" t="s">
        <v>132</v>
      </c>
      <c r="H485" s="4" t="s">
        <v>373</v>
      </c>
      <c r="I485" s="4" t="s">
        <v>102</v>
      </c>
    </row>
    <row r="486" spans="1:9" x14ac:dyDescent="0.25">
      <c r="A486" s="161" t="str">
        <f t="shared" si="7"/>
        <v>FIGHTER_NETHERLANDS</v>
      </c>
      <c r="B486" s="9" t="s">
        <v>113</v>
      </c>
      <c r="C486" s="4" t="s">
        <v>730</v>
      </c>
      <c r="E486" s="4" t="s">
        <v>113</v>
      </c>
      <c r="F486" s="4" t="s">
        <v>113</v>
      </c>
      <c r="G486" s="14" t="s">
        <v>132</v>
      </c>
      <c r="H486" s="4" t="s">
        <v>541</v>
      </c>
      <c r="I486" s="4" t="s">
        <v>102</v>
      </c>
    </row>
    <row r="487" spans="1:9" x14ac:dyDescent="0.25">
      <c r="A487" s="161" t="str">
        <f t="shared" si="7"/>
        <v>FIGHTER_BRAZIL</v>
      </c>
      <c r="B487" s="9" t="s">
        <v>113</v>
      </c>
      <c r="C487" s="4" t="s">
        <v>706</v>
      </c>
      <c r="E487" s="4" t="s">
        <v>113</v>
      </c>
      <c r="F487" s="4" t="s">
        <v>113</v>
      </c>
      <c r="G487" s="14" t="s">
        <v>132</v>
      </c>
      <c r="H487" s="4" t="s">
        <v>222</v>
      </c>
      <c r="I487" s="4" t="s">
        <v>120</v>
      </c>
    </row>
    <row r="488" spans="1:9" x14ac:dyDescent="0.25">
      <c r="A488" s="161" t="str">
        <f t="shared" si="7"/>
        <v>FIGHTER_GREECE</v>
      </c>
      <c r="B488" s="9" t="s">
        <v>113</v>
      </c>
      <c r="C488" s="4" t="s">
        <v>718</v>
      </c>
      <c r="E488" s="4" t="s">
        <v>113</v>
      </c>
      <c r="F488" s="4" t="s">
        <v>113</v>
      </c>
      <c r="G488" s="14" t="s">
        <v>132</v>
      </c>
      <c r="H488" s="4" t="s">
        <v>402</v>
      </c>
      <c r="I488" s="4" t="s">
        <v>102</v>
      </c>
    </row>
    <row r="489" spans="1:9" x14ac:dyDescent="0.25">
      <c r="A489" s="161" t="str">
        <f t="shared" si="7"/>
        <v>FIGHTER_ROME</v>
      </c>
      <c r="B489" s="9" t="s">
        <v>113</v>
      </c>
      <c r="C489" s="4" t="s">
        <v>734</v>
      </c>
      <c r="E489" s="4" t="s">
        <v>113</v>
      </c>
      <c r="F489" s="4" t="s">
        <v>113</v>
      </c>
      <c r="G489" s="14" t="s">
        <v>132</v>
      </c>
      <c r="H489" s="4" t="s">
        <v>587</v>
      </c>
      <c r="I489" s="4" t="s">
        <v>1067</v>
      </c>
    </row>
    <row r="490" spans="1:9" x14ac:dyDescent="0.25">
      <c r="A490" s="161" t="str">
        <f t="shared" si="7"/>
        <v>FIGHTER_SPAIN</v>
      </c>
      <c r="B490" s="9" t="s">
        <v>113</v>
      </c>
      <c r="C490" s="4" t="s">
        <v>738</v>
      </c>
      <c r="E490" s="4" t="s">
        <v>113</v>
      </c>
      <c r="F490" s="4" t="s">
        <v>113</v>
      </c>
      <c r="G490" s="14" t="s">
        <v>132</v>
      </c>
      <c r="H490" s="4" t="s">
        <v>651</v>
      </c>
      <c r="I490" s="4" t="s">
        <v>102</v>
      </c>
    </row>
    <row r="491" spans="1:9" x14ac:dyDescent="0.25">
      <c r="A491" s="161" t="str">
        <f t="shared" si="7"/>
        <v>FIGHTER_MIDEAST</v>
      </c>
      <c r="B491" s="9" t="s">
        <v>113</v>
      </c>
      <c r="C491" s="4" t="s">
        <v>690</v>
      </c>
      <c r="E491" s="4" t="s">
        <v>113</v>
      </c>
      <c r="F491" s="4" t="s">
        <v>113</v>
      </c>
      <c r="H491" s="4" t="s">
        <v>160</v>
      </c>
      <c r="I491" s="4" t="s">
        <v>102</v>
      </c>
    </row>
    <row r="492" spans="1:9" x14ac:dyDescent="0.25">
      <c r="A492" s="161" t="str">
        <f t="shared" si="7"/>
        <v>FIGHTER_EGYPT</v>
      </c>
      <c r="B492" s="9" t="s">
        <v>113</v>
      </c>
      <c r="C492" s="4" t="s">
        <v>712</v>
      </c>
      <c r="E492" s="4" t="s">
        <v>113</v>
      </c>
      <c r="F492" s="4" t="s">
        <v>113</v>
      </c>
      <c r="G492" s="14" t="s">
        <v>132</v>
      </c>
      <c r="H492" s="4" t="s">
        <v>278</v>
      </c>
      <c r="I492" s="4" t="s">
        <v>120</v>
      </c>
    </row>
    <row r="493" spans="1:9" x14ac:dyDescent="0.25">
      <c r="A493" s="161" t="str">
        <f t="shared" si="7"/>
        <v>FIGHTER_SWEDEN</v>
      </c>
      <c r="B493" s="9" t="s">
        <v>113</v>
      </c>
      <c r="C493" s="4" t="s">
        <v>739</v>
      </c>
      <c r="E493" s="4" t="s">
        <v>113</v>
      </c>
      <c r="F493" s="4" t="s">
        <v>113</v>
      </c>
      <c r="G493" s="14" t="s">
        <v>132</v>
      </c>
      <c r="H493" s="4" t="s">
        <v>670</v>
      </c>
      <c r="I493" s="4" t="s">
        <v>102</v>
      </c>
    </row>
    <row r="494" spans="1:9" x14ac:dyDescent="0.25">
      <c r="A494" s="161" t="str">
        <f t="shared" si="7"/>
        <v>FIGHTER_OCEAN</v>
      </c>
      <c r="B494" s="9" t="s">
        <v>113</v>
      </c>
      <c r="C494" s="4" t="s">
        <v>994</v>
      </c>
      <c r="D494" s="4" t="s">
        <v>690</v>
      </c>
      <c r="E494" s="4" t="s">
        <v>113</v>
      </c>
      <c r="F494" s="4" t="s">
        <v>113</v>
      </c>
    </row>
    <row r="495" spans="1:9" x14ac:dyDescent="0.25">
      <c r="A495" s="161" t="str">
        <f t="shared" si="7"/>
        <v>FIGHTER_SAHUL</v>
      </c>
      <c r="B495" s="9" t="s">
        <v>113</v>
      </c>
      <c r="C495" s="4" t="s">
        <v>1788</v>
      </c>
      <c r="D495" s="4" t="s">
        <v>1302</v>
      </c>
      <c r="E495" s="4" t="s">
        <v>113</v>
      </c>
      <c r="F495" s="4" t="s">
        <v>113</v>
      </c>
    </row>
    <row r="496" spans="1:9" x14ac:dyDescent="0.25">
      <c r="A496" s="161" t="str">
        <f t="shared" si="7"/>
        <v>FIGHTER_SOUTHAM</v>
      </c>
      <c r="B496" s="9" t="s">
        <v>113</v>
      </c>
      <c r="C496" s="4" t="s">
        <v>691</v>
      </c>
      <c r="D496" s="4" t="s">
        <v>690</v>
      </c>
      <c r="E496" s="4" t="s">
        <v>113</v>
      </c>
      <c r="F496" s="4" t="s">
        <v>113</v>
      </c>
    </row>
    <row r="497" spans="1:43" x14ac:dyDescent="0.25">
      <c r="A497" s="161" t="str">
        <f t="shared" ref="A497:A564" si="8">CONCATENATE(E497,IF(ISBLANK(C497),"",CONCATENATE("_",C497)))</f>
        <v>FRIGATE</v>
      </c>
      <c r="B497" s="9" t="s">
        <v>753</v>
      </c>
      <c r="C497" s="5"/>
      <c r="D497" s="5"/>
      <c r="E497" s="5" t="s">
        <v>753</v>
      </c>
      <c r="F497" s="5" t="s">
        <v>753</v>
      </c>
      <c r="G497" s="5"/>
      <c r="H497" s="5" t="s">
        <v>31</v>
      </c>
      <c r="I497" s="5" t="s">
        <v>128</v>
      </c>
      <c r="J497" s="6"/>
      <c r="K497" s="7"/>
      <c r="L497" s="13" t="s">
        <v>1712</v>
      </c>
      <c r="M497" s="8"/>
      <c r="N497" s="13" t="s">
        <v>1727</v>
      </c>
      <c r="O497" s="13"/>
      <c r="P497" s="13"/>
      <c r="Q497" s="7">
        <v>1</v>
      </c>
      <c r="R497" s="6" t="s">
        <v>1737</v>
      </c>
      <c r="S497" s="13"/>
      <c r="T497" s="7">
        <v>2</v>
      </c>
      <c r="U497" s="6">
        <v>0.115</v>
      </c>
      <c r="V497" s="5" t="s">
        <v>1700</v>
      </c>
      <c r="W497" s="6"/>
      <c r="X497" s="6"/>
      <c r="Y497" s="5"/>
      <c r="Z497" s="6"/>
      <c r="AA497" s="6"/>
      <c r="AB497" s="5"/>
      <c r="AC497" s="6"/>
      <c r="AD497" s="6"/>
      <c r="AE497" s="5"/>
      <c r="AF497" s="6"/>
      <c r="AG497" s="6"/>
      <c r="AH497" s="5"/>
      <c r="AI497" s="6"/>
      <c r="AJ497" s="6"/>
      <c r="AK497" s="5"/>
      <c r="AL497" s="5"/>
      <c r="AM497" s="5"/>
      <c r="AN497" s="5"/>
      <c r="AO497" s="5"/>
      <c r="AP497" s="5"/>
      <c r="AQ497" s="5"/>
    </row>
    <row r="498" spans="1:43" x14ac:dyDescent="0.25">
      <c r="A498" s="161" t="str">
        <f t="shared" si="8"/>
        <v>GADRAUHTS_SWORDSMAN</v>
      </c>
      <c r="C498" s="5"/>
      <c r="D498" s="5"/>
      <c r="E498" s="5" t="s">
        <v>1340</v>
      </c>
      <c r="F498" s="5" t="s">
        <v>1340</v>
      </c>
      <c r="G498" s="5"/>
      <c r="H498" s="5" t="s">
        <v>1442</v>
      </c>
      <c r="I498" s="5" t="s">
        <v>128</v>
      </c>
      <c r="J498" s="6"/>
      <c r="K498" s="6"/>
      <c r="L498" s="13" t="s">
        <v>1708</v>
      </c>
      <c r="M498" s="8"/>
      <c r="N498" s="5"/>
      <c r="O498" s="5"/>
      <c r="P498" s="5"/>
      <c r="Q498" s="7">
        <v>10</v>
      </c>
      <c r="R498" s="6" t="s">
        <v>1737</v>
      </c>
      <c r="S498" s="13" t="s">
        <v>1620</v>
      </c>
      <c r="T498" s="7" t="s">
        <v>1737</v>
      </c>
      <c r="U498" s="7" t="s">
        <v>1737</v>
      </c>
      <c r="V498" s="5"/>
      <c r="W498" s="6" t="s">
        <v>3</v>
      </c>
      <c r="X498" s="6" t="s">
        <v>3</v>
      </c>
      <c r="Y498" s="5"/>
      <c r="Z498" s="6">
        <v>1</v>
      </c>
      <c r="AA498" s="6"/>
      <c r="AB498" s="5"/>
      <c r="AC498" s="6"/>
      <c r="AD498" s="6" t="s">
        <v>3</v>
      </c>
      <c r="AE498" s="5"/>
      <c r="AF498" s="7" t="s">
        <v>1737</v>
      </c>
      <c r="AG498" s="6"/>
      <c r="AH498" s="5"/>
      <c r="AI498" s="7">
        <v>6</v>
      </c>
      <c r="AJ498" s="6"/>
      <c r="AK498" s="5"/>
      <c r="AL498" s="5"/>
      <c r="AM498" s="5"/>
      <c r="AN498" s="5"/>
      <c r="AO498" s="5"/>
      <c r="AP498" s="5"/>
      <c r="AQ498" s="5"/>
    </row>
    <row r="499" spans="1:43" x14ac:dyDescent="0.25">
      <c r="A499" s="161" t="str">
        <f t="shared" si="8"/>
        <v>GALLEASS</v>
      </c>
      <c r="B499" s="9" t="s">
        <v>754</v>
      </c>
      <c r="C499" s="5"/>
      <c r="D499" s="5"/>
      <c r="E499" s="5" t="s">
        <v>754</v>
      </c>
      <c r="F499" s="5" t="s">
        <v>754</v>
      </c>
      <c r="G499" s="5"/>
      <c r="H499" s="5" t="s">
        <v>1278</v>
      </c>
      <c r="I499" s="5" t="s">
        <v>128</v>
      </c>
      <c r="J499" s="6"/>
      <c r="K499" s="7"/>
      <c r="L499" s="13" t="s">
        <v>1712</v>
      </c>
      <c r="M499" s="8"/>
      <c r="N499" s="13" t="s">
        <v>1727</v>
      </c>
      <c r="O499" s="13"/>
      <c r="P499" s="13"/>
      <c r="Q499" s="7">
        <v>1</v>
      </c>
      <c r="R499" s="6" t="s">
        <v>1737</v>
      </c>
      <c r="S499" s="5"/>
      <c r="T499" s="7">
        <v>3</v>
      </c>
      <c r="U499" s="7" t="s">
        <v>1737</v>
      </c>
      <c r="V499" s="5" t="s">
        <v>1698</v>
      </c>
      <c r="W499" s="6"/>
      <c r="X499" s="6"/>
      <c r="Y499" s="5"/>
      <c r="Z499" s="6"/>
      <c r="AA499" s="6"/>
      <c r="AB499" s="5"/>
      <c r="AC499" s="6"/>
      <c r="AD499" s="6"/>
      <c r="AE499" s="5"/>
      <c r="AF499" s="6"/>
      <c r="AG499" s="6"/>
      <c r="AH499" s="5"/>
      <c r="AI499" s="6"/>
      <c r="AJ499" s="6"/>
      <c r="AK499" s="5"/>
      <c r="AL499" s="5"/>
      <c r="AM499" s="5"/>
      <c r="AN499" s="5"/>
      <c r="AO499" s="5"/>
      <c r="AP499" s="5"/>
      <c r="AQ499" s="5"/>
    </row>
    <row r="500" spans="1:43" x14ac:dyDescent="0.25">
      <c r="A500" s="161" t="str">
        <f t="shared" si="8"/>
        <v>GALLEON</v>
      </c>
      <c r="C500" s="5"/>
      <c r="D500" s="5"/>
      <c r="E500" s="5" t="s">
        <v>844</v>
      </c>
      <c r="F500" s="5" t="s">
        <v>844</v>
      </c>
      <c r="G500" s="5"/>
      <c r="H500" s="5" t="s">
        <v>850</v>
      </c>
      <c r="I500" s="5" t="s">
        <v>964</v>
      </c>
      <c r="J500" s="6"/>
      <c r="K500" s="7"/>
      <c r="L500" s="13" t="s">
        <v>1712</v>
      </c>
      <c r="M500" s="8"/>
      <c r="N500" s="13" t="s">
        <v>1727</v>
      </c>
      <c r="O500" s="13"/>
      <c r="P500" s="13"/>
      <c r="Q500" s="7">
        <v>2</v>
      </c>
      <c r="R500" s="6" t="s">
        <v>1695</v>
      </c>
      <c r="S500" s="13" t="s">
        <v>1613</v>
      </c>
      <c r="T500" s="7">
        <v>3</v>
      </c>
      <c r="U500" s="6">
        <v>0.115</v>
      </c>
      <c r="V500" s="5" t="s">
        <v>1696</v>
      </c>
      <c r="W500" s="6"/>
      <c r="X500" s="6"/>
      <c r="Y500" s="5"/>
      <c r="Z500" s="6">
        <v>1</v>
      </c>
      <c r="AA500" s="6"/>
      <c r="AB500" s="5"/>
      <c r="AC500" s="6"/>
      <c r="AD500" s="6"/>
      <c r="AE500" s="5"/>
      <c r="AF500" s="6"/>
      <c r="AG500" s="6"/>
      <c r="AH500" s="5"/>
      <c r="AI500" s="6"/>
      <c r="AJ500" s="6"/>
      <c r="AK500" s="5"/>
      <c r="AL500" s="5"/>
      <c r="AM500" s="5"/>
      <c r="AN500" s="5"/>
      <c r="AO500" s="5"/>
      <c r="AP500" s="5"/>
      <c r="AQ500" s="5"/>
    </row>
    <row r="501" spans="1:43" x14ac:dyDescent="0.25">
      <c r="A501" s="161" t="str">
        <f t="shared" si="8"/>
        <v>GALLEON_AFRI</v>
      </c>
      <c r="C501" s="4" t="s">
        <v>694</v>
      </c>
      <c r="D501" s="4" t="s">
        <v>692</v>
      </c>
      <c r="E501" s="4" t="s">
        <v>844</v>
      </c>
      <c r="F501" s="4" t="s">
        <v>844</v>
      </c>
    </row>
    <row r="502" spans="1:43" x14ac:dyDescent="0.25">
      <c r="A502" s="161" t="str">
        <f t="shared" si="8"/>
        <v>GALLEON_AMER</v>
      </c>
      <c r="C502" s="4" t="s">
        <v>697</v>
      </c>
      <c r="D502" s="4" t="s">
        <v>689</v>
      </c>
      <c r="E502" s="4" t="s">
        <v>844</v>
      </c>
      <c r="F502" s="4" t="s">
        <v>844</v>
      </c>
    </row>
    <row r="503" spans="1:43" x14ac:dyDescent="0.25">
      <c r="A503" s="161" t="str">
        <f t="shared" si="8"/>
        <v>GALLEON_ASIA</v>
      </c>
      <c r="C503" s="4" t="s">
        <v>693</v>
      </c>
      <c r="E503" s="4" t="s">
        <v>844</v>
      </c>
      <c r="F503" s="4" t="s">
        <v>844</v>
      </c>
      <c r="H503" s="4" t="s">
        <v>852</v>
      </c>
      <c r="I503" s="4" t="s">
        <v>1052</v>
      </c>
      <c r="U503" s="11">
        <v>9.5000000000000001E-2</v>
      </c>
    </row>
    <row r="504" spans="1:43" x14ac:dyDescent="0.25">
      <c r="A504" s="161" t="str">
        <f t="shared" si="8"/>
        <v>GALLEON_CENTAS</v>
      </c>
      <c r="C504" s="4" t="s">
        <v>918</v>
      </c>
      <c r="D504" s="4" t="s">
        <v>692</v>
      </c>
      <c r="E504" s="4" t="s">
        <v>844</v>
      </c>
      <c r="F504" s="4" t="s">
        <v>844</v>
      </c>
      <c r="G504" s="14"/>
      <c r="H504" s="14"/>
      <c r="J504" s="167"/>
    </row>
    <row r="505" spans="1:43" x14ac:dyDescent="0.25">
      <c r="A505" s="161" t="str">
        <f t="shared" si="8"/>
        <v>GALLEON_EASTEU</v>
      </c>
      <c r="C505" s="4" t="s">
        <v>698</v>
      </c>
      <c r="D505" s="4" t="s">
        <v>689</v>
      </c>
      <c r="E505" s="4" t="s">
        <v>844</v>
      </c>
      <c r="F505" s="4" t="s">
        <v>844</v>
      </c>
    </row>
    <row r="506" spans="1:43" x14ac:dyDescent="0.25">
      <c r="A506" s="161" t="str">
        <f t="shared" si="8"/>
        <v>GALLEON_RUSSIA</v>
      </c>
      <c r="C506" s="4" t="s">
        <v>735</v>
      </c>
      <c r="E506" s="4" t="s">
        <v>844</v>
      </c>
      <c r="F506" s="4" t="s">
        <v>844</v>
      </c>
      <c r="H506" s="4" t="s">
        <v>983</v>
      </c>
      <c r="I506" s="4" t="s">
        <v>991</v>
      </c>
    </row>
    <row r="507" spans="1:43" x14ac:dyDescent="0.25">
      <c r="A507" s="161" t="str">
        <f t="shared" si="8"/>
        <v>GALLEON_ENGLAND</v>
      </c>
      <c r="C507" s="4" t="s">
        <v>713</v>
      </c>
      <c r="E507" s="4" t="s">
        <v>844</v>
      </c>
      <c r="F507" s="4" t="s">
        <v>844</v>
      </c>
      <c r="H507" s="4" t="s">
        <v>987</v>
      </c>
      <c r="I507" s="4" t="s">
        <v>991</v>
      </c>
    </row>
    <row r="508" spans="1:43" x14ac:dyDescent="0.25">
      <c r="A508" s="161" t="str">
        <f t="shared" si="8"/>
        <v>GALLEON_FRANCE</v>
      </c>
      <c r="C508" s="4" t="s">
        <v>715</v>
      </c>
      <c r="E508" s="4" t="s">
        <v>844</v>
      </c>
      <c r="F508" s="4" t="s">
        <v>844</v>
      </c>
      <c r="H508" s="4" t="s">
        <v>988</v>
      </c>
      <c r="I508" s="4" t="s">
        <v>991</v>
      </c>
    </row>
    <row r="509" spans="1:43" x14ac:dyDescent="0.25">
      <c r="A509" s="161" t="str">
        <f t="shared" si="8"/>
        <v>GALLEON_GERMANY</v>
      </c>
      <c r="C509" s="4" t="s">
        <v>717</v>
      </c>
      <c r="E509" s="4" t="s">
        <v>844</v>
      </c>
      <c r="F509" s="4" t="s">
        <v>844</v>
      </c>
      <c r="H509" s="4" t="s">
        <v>989</v>
      </c>
      <c r="I509" s="4" t="s">
        <v>991</v>
      </c>
    </row>
    <row r="510" spans="1:43" x14ac:dyDescent="0.25">
      <c r="A510" s="161" t="str">
        <f t="shared" si="8"/>
        <v>GALLEON_MED</v>
      </c>
      <c r="C510" s="4" t="s">
        <v>692</v>
      </c>
      <c r="E510" s="4" t="s">
        <v>844</v>
      </c>
      <c r="F510" s="4" t="s">
        <v>844</v>
      </c>
      <c r="H510" s="4" t="s">
        <v>843</v>
      </c>
      <c r="I510" s="4" t="s">
        <v>964</v>
      </c>
    </row>
    <row r="511" spans="1:43" x14ac:dyDescent="0.25">
      <c r="A511" s="161" t="str">
        <f t="shared" si="8"/>
        <v>GALLEON_GREECE</v>
      </c>
      <c r="C511" s="4" t="s">
        <v>718</v>
      </c>
      <c r="E511" s="4" t="s">
        <v>844</v>
      </c>
      <c r="F511" s="4" t="s">
        <v>844</v>
      </c>
      <c r="H511" s="4" t="s">
        <v>990</v>
      </c>
      <c r="I511" s="4" t="s">
        <v>991</v>
      </c>
    </row>
    <row r="512" spans="1:43" x14ac:dyDescent="0.25">
      <c r="A512" s="161" t="str">
        <f t="shared" si="8"/>
        <v>GALLEON_PORTUGAL</v>
      </c>
      <c r="C512" s="4" t="s">
        <v>733</v>
      </c>
      <c r="E512" s="4" t="s">
        <v>844</v>
      </c>
      <c r="F512" s="4" t="s">
        <v>844</v>
      </c>
      <c r="H512" s="4" t="s">
        <v>981</v>
      </c>
      <c r="I512" s="4" t="s">
        <v>991</v>
      </c>
    </row>
    <row r="513" spans="1:43" x14ac:dyDescent="0.25">
      <c r="A513" s="161" t="str">
        <f t="shared" si="8"/>
        <v>GALLEON_ROME</v>
      </c>
      <c r="C513" s="4" t="s">
        <v>734</v>
      </c>
      <c r="E513" s="4" t="s">
        <v>844</v>
      </c>
      <c r="F513" s="4" t="s">
        <v>844</v>
      </c>
      <c r="H513" s="4" t="s">
        <v>982</v>
      </c>
      <c r="I513" s="4" t="s">
        <v>991</v>
      </c>
    </row>
    <row r="514" spans="1:43" x14ac:dyDescent="0.25">
      <c r="A514" s="161" t="str">
        <f t="shared" si="8"/>
        <v>GALLEON_SPAIN</v>
      </c>
      <c r="C514" s="4" t="s">
        <v>738</v>
      </c>
      <c r="E514" s="4" t="s">
        <v>844</v>
      </c>
      <c r="F514" s="4" t="s">
        <v>844</v>
      </c>
      <c r="H514" s="4" t="s">
        <v>984</v>
      </c>
      <c r="I514" s="4" t="s">
        <v>991</v>
      </c>
    </row>
    <row r="515" spans="1:43" x14ac:dyDescent="0.25">
      <c r="A515" s="161" t="str">
        <f t="shared" si="8"/>
        <v>GALLEON_MIDEAST</v>
      </c>
      <c r="C515" s="4" t="s">
        <v>690</v>
      </c>
      <c r="D515" s="4" t="s">
        <v>692</v>
      </c>
      <c r="E515" s="4" t="s">
        <v>844</v>
      </c>
      <c r="F515" s="4" t="s">
        <v>844</v>
      </c>
    </row>
    <row r="516" spans="1:43" x14ac:dyDescent="0.25">
      <c r="A516" s="161" t="str">
        <f t="shared" si="8"/>
        <v>GALLEON_NORTHEU</v>
      </c>
      <c r="C516" s="4" t="s">
        <v>962</v>
      </c>
      <c r="D516" s="4" t="s">
        <v>689</v>
      </c>
      <c r="E516" s="4" t="s">
        <v>844</v>
      </c>
      <c r="F516" s="4" t="s">
        <v>844</v>
      </c>
    </row>
    <row r="517" spans="1:43" x14ac:dyDescent="0.25">
      <c r="A517" s="161" t="str">
        <f t="shared" si="8"/>
        <v>GALLEON_DENMARK</v>
      </c>
      <c r="C517" s="4" t="s">
        <v>711</v>
      </c>
      <c r="E517" s="4" t="s">
        <v>844</v>
      </c>
      <c r="F517" s="4" t="s">
        <v>844</v>
      </c>
      <c r="H517" s="4" t="s">
        <v>986</v>
      </c>
      <c r="I517" s="4" t="s">
        <v>991</v>
      </c>
    </row>
    <row r="518" spans="1:43" x14ac:dyDescent="0.25">
      <c r="A518" s="161" t="str">
        <f t="shared" si="8"/>
        <v>GALLEON_SWEDEN</v>
      </c>
      <c r="C518" s="4" t="s">
        <v>739</v>
      </c>
      <c r="E518" s="4" t="s">
        <v>844</v>
      </c>
      <c r="F518" s="4" t="s">
        <v>844</v>
      </c>
      <c r="H518" s="4" t="s">
        <v>985</v>
      </c>
      <c r="I518" s="4" t="s">
        <v>991</v>
      </c>
    </row>
    <row r="519" spans="1:43" x14ac:dyDescent="0.25">
      <c r="A519" s="161" t="str">
        <f t="shared" si="8"/>
        <v>GALLEON_OCEAN</v>
      </c>
      <c r="C519" s="4" t="s">
        <v>994</v>
      </c>
      <c r="D519" s="4" t="s">
        <v>689</v>
      </c>
      <c r="E519" s="4" t="s">
        <v>844</v>
      </c>
      <c r="F519" s="4" t="s">
        <v>844</v>
      </c>
    </row>
    <row r="520" spans="1:43" x14ac:dyDescent="0.25">
      <c r="A520" s="161" t="str">
        <f t="shared" si="8"/>
        <v>GALLEON_SEASIA</v>
      </c>
      <c r="C520" s="4" t="s">
        <v>696</v>
      </c>
      <c r="D520" s="4" t="s">
        <v>693</v>
      </c>
      <c r="E520" s="4" t="s">
        <v>844</v>
      </c>
      <c r="F520" s="4" t="s">
        <v>844</v>
      </c>
    </row>
    <row r="521" spans="1:43" x14ac:dyDescent="0.25">
      <c r="A521" s="161" t="str">
        <f t="shared" si="8"/>
        <v>GALLEON_SOUTHAM</v>
      </c>
      <c r="C521" s="4" t="s">
        <v>691</v>
      </c>
      <c r="D521" s="4" t="s">
        <v>689</v>
      </c>
      <c r="E521" s="4" t="s">
        <v>844</v>
      </c>
      <c r="F521" s="4" t="s">
        <v>844</v>
      </c>
    </row>
    <row r="522" spans="1:43" x14ac:dyDescent="0.25">
      <c r="A522" s="161" t="str">
        <f t="shared" si="8"/>
        <v>GALLEON_SOUTHAS</v>
      </c>
      <c r="C522" s="4" t="s">
        <v>695</v>
      </c>
      <c r="D522" s="4" t="s">
        <v>692</v>
      </c>
      <c r="E522" s="4" t="s">
        <v>844</v>
      </c>
      <c r="F522" s="4" t="s">
        <v>844</v>
      </c>
    </row>
    <row r="523" spans="1:43" x14ac:dyDescent="0.25">
      <c r="A523" s="161" t="str">
        <f t="shared" si="8"/>
        <v>GALLEY</v>
      </c>
      <c r="C523" s="5"/>
      <c r="D523" s="5"/>
      <c r="E523" s="5" t="s">
        <v>784</v>
      </c>
      <c r="F523" s="5" t="s">
        <v>784</v>
      </c>
      <c r="G523" s="5"/>
      <c r="H523" s="5" t="s">
        <v>1118</v>
      </c>
      <c r="I523" s="5" t="s">
        <v>128</v>
      </c>
      <c r="J523" s="6"/>
      <c r="K523" s="7"/>
      <c r="L523" s="13" t="s">
        <v>1712</v>
      </c>
      <c r="M523" s="8"/>
      <c r="N523" s="13" t="s">
        <v>1727</v>
      </c>
      <c r="O523" s="13"/>
      <c r="P523" s="13"/>
      <c r="Q523" s="7">
        <v>2</v>
      </c>
      <c r="R523" s="6" t="s">
        <v>1737</v>
      </c>
      <c r="S523" s="13" t="s">
        <v>1613</v>
      </c>
      <c r="T523" s="7">
        <v>5</v>
      </c>
      <c r="U523" s="7">
        <v>0.1</v>
      </c>
      <c r="V523" s="5" t="s">
        <v>1696</v>
      </c>
      <c r="W523" s="6"/>
      <c r="X523" s="6"/>
      <c r="Y523" s="5"/>
      <c r="Z523" s="6">
        <v>1</v>
      </c>
      <c r="AA523" s="6"/>
      <c r="AB523" s="5"/>
      <c r="AC523" s="6"/>
      <c r="AD523" s="6"/>
      <c r="AE523" s="5"/>
      <c r="AF523" s="6"/>
      <c r="AG523" s="6"/>
      <c r="AH523" s="5"/>
      <c r="AI523" s="6"/>
      <c r="AJ523" s="6"/>
      <c r="AK523" s="5"/>
      <c r="AL523" s="5"/>
      <c r="AM523" s="5"/>
      <c r="AN523" s="5"/>
      <c r="AO523" s="5"/>
      <c r="AP523" s="5"/>
      <c r="AQ523" s="5"/>
    </row>
    <row r="524" spans="1:43" x14ac:dyDescent="0.25">
      <c r="A524" s="161" t="str">
        <f t="shared" si="8"/>
        <v>GALLEY_AFRI</v>
      </c>
      <c r="C524" s="4" t="s">
        <v>694</v>
      </c>
      <c r="D524" s="4" t="s">
        <v>690</v>
      </c>
      <c r="E524" s="4" t="s">
        <v>784</v>
      </c>
      <c r="F524" s="4" t="s">
        <v>784</v>
      </c>
    </row>
    <row r="525" spans="1:43" x14ac:dyDescent="0.25">
      <c r="A525" s="161" t="str">
        <f t="shared" si="8"/>
        <v>GALLEY_AMER</v>
      </c>
      <c r="C525" s="4" t="s">
        <v>697</v>
      </c>
      <c r="E525" s="4" t="s">
        <v>784</v>
      </c>
      <c r="F525" s="4" t="s">
        <v>784</v>
      </c>
      <c r="H525" s="4" t="s">
        <v>858</v>
      </c>
      <c r="I525" s="4" t="s">
        <v>965</v>
      </c>
      <c r="R525" s="11">
        <v>0.1</v>
      </c>
      <c r="U525" s="11">
        <v>0.1</v>
      </c>
    </row>
    <row r="526" spans="1:43" x14ac:dyDescent="0.25">
      <c r="A526" s="161" t="str">
        <f t="shared" si="8"/>
        <v>GALLEY_CENTAS</v>
      </c>
      <c r="C526" s="4" t="s">
        <v>918</v>
      </c>
      <c r="D526" s="4" t="s">
        <v>690</v>
      </c>
      <c r="E526" s="4" t="s">
        <v>784</v>
      </c>
      <c r="F526" s="4" t="s">
        <v>784</v>
      </c>
    </row>
    <row r="527" spans="1:43" x14ac:dyDescent="0.25">
      <c r="A527" s="161" t="str">
        <f t="shared" si="8"/>
        <v>GALLEY_MIDEAST</v>
      </c>
      <c r="C527" s="4" t="s">
        <v>690</v>
      </c>
      <c r="E527" s="4" t="s">
        <v>784</v>
      </c>
      <c r="F527" s="4" t="s">
        <v>784</v>
      </c>
      <c r="H527" s="4" t="s">
        <v>960</v>
      </c>
      <c r="I527" s="4" t="s">
        <v>966</v>
      </c>
      <c r="U527" s="11">
        <v>0.1</v>
      </c>
    </row>
    <row r="528" spans="1:43" x14ac:dyDescent="0.25">
      <c r="A528" s="161" t="str">
        <f t="shared" si="8"/>
        <v>GALLEY_NORTHEU</v>
      </c>
      <c r="C528" s="4" t="s">
        <v>962</v>
      </c>
      <c r="E528" s="4" t="s">
        <v>784</v>
      </c>
      <c r="F528" s="4" t="s">
        <v>784</v>
      </c>
      <c r="G528" s="14" t="s">
        <v>132</v>
      </c>
      <c r="H528" s="14" t="s">
        <v>992</v>
      </c>
      <c r="I528" s="4" t="s">
        <v>128</v>
      </c>
      <c r="J528" s="167"/>
      <c r="R528" s="11">
        <v>0.06</v>
      </c>
      <c r="U528" s="11">
        <v>5.5E-2</v>
      </c>
    </row>
    <row r="529" spans="1:43" x14ac:dyDescent="0.25">
      <c r="A529" s="161" t="str">
        <f t="shared" si="8"/>
        <v>GALLEY_OCEAN</v>
      </c>
      <c r="C529" s="4" t="s">
        <v>994</v>
      </c>
      <c r="E529" s="4" t="s">
        <v>784</v>
      </c>
      <c r="F529" s="4" t="s">
        <v>784</v>
      </c>
      <c r="G529" s="14"/>
      <c r="H529" s="14" t="s">
        <v>995</v>
      </c>
      <c r="I529" s="4" t="s">
        <v>128</v>
      </c>
      <c r="J529" s="167"/>
      <c r="R529" s="11">
        <v>0.05</v>
      </c>
      <c r="U529" s="11">
        <v>0.04</v>
      </c>
    </row>
    <row r="530" spans="1:43" x14ac:dyDescent="0.25">
      <c r="A530" s="161" t="str">
        <f t="shared" si="8"/>
        <v>GALLEY_SOUTHAM</v>
      </c>
      <c r="C530" s="4" t="s">
        <v>691</v>
      </c>
      <c r="E530" s="4" t="s">
        <v>784</v>
      </c>
      <c r="F530" s="4" t="s">
        <v>784</v>
      </c>
      <c r="H530" s="4" t="s">
        <v>194</v>
      </c>
      <c r="I530" s="4" t="s">
        <v>1054</v>
      </c>
      <c r="U530" s="11">
        <v>0.1</v>
      </c>
    </row>
    <row r="531" spans="1:43" x14ac:dyDescent="0.25">
      <c r="A531" s="161" t="str">
        <f t="shared" si="8"/>
        <v>GATLINGGUN</v>
      </c>
      <c r="B531" s="9" t="s">
        <v>755</v>
      </c>
      <c r="C531" s="5"/>
      <c r="D531" s="5"/>
      <c r="E531" s="5" t="s">
        <v>755</v>
      </c>
      <c r="F531" s="5" t="s">
        <v>755</v>
      </c>
      <c r="G531" s="5"/>
      <c r="H531" s="5" t="s">
        <v>1443</v>
      </c>
      <c r="I531" s="5" t="s">
        <v>128</v>
      </c>
      <c r="J531" s="6"/>
      <c r="K531" s="6"/>
      <c r="L531" s="13" t="s">
        <v>1708</v>
      </c>
      <c r="M531" s="8"/>
      <c r="N531" s="5"/>
      <c r="O531" s="5"/>
      <c r="P531" s="5"/>
      <c r="Q531" s="7">
        <v>3</v>
      </c>
      <c r="R531" s="6" t="s">
        <v>1695</v>
      </c>
      <c r="S531" s="13" t="s">
        <v>1611</v>
      </c>
      <c r="T531" s="6"/>
      <c r="U531" s="7" t="s">
        <v>1695</v>
      </c>
      <c r="V531" s="5"/>
      <c r="W531" s="6">
        <v>7</v>
      </c>
      <c r="X531" s="6" t="s">
        <v>3</v>
      </c>
      <c r="Y531" s="5"/>
      <c r="Z531" s="6">
        <v>1</v>
      </c>
      <c r="AA531" s="6"/>
      <c r="AB531" s="5"/>
      <c r="AC531" s="6"/>
      <c r="AD531" s="6" t="s">
        <v>3</v>
      </c>
      <c r="AE531" s="5"/>
      <c r="AF531" s="6"/>
      <c r="AG531" s="6"/>
      <c r="AH531" s="5"/>
      <c r="AI531" s="6"/>
      <c r="AJ531" s="6"/>
      <c r="AK531" s="5"/>
      <c r="AL531" s="5"/>
      <c r="AM531" s="5"/>
      <c r="AN531" s="5"/>
      <c r="AO531" s="5"/>
      <c r="AP531" s="5"/>
      <c r="AQ531" s="5"/>
    </row>
    <row r="532" spans="1:43" x14ac:dyDescent="0.25">
      <c r="A532" s="161" t="str">
        <f t="shared" si="8"/>
        <v>GENERAL</v>
      </c>
      <c r="B532" s="9" t="s">
        <v>2332</v>
      </c>
      <c r="C532" s="5"/>
      <c r="D532" s="5"/>
      <c r="E532" s="5" t="s">
        <v>1341</v>
      </c>
      <c r="F532" s="5" t="s">
        <v>1344</v>
      </c>
      <c r="G532" s="5"/>
      <c r="H532" s="5" t="s">
        <v>1476</v>
      </c>
      <c r="I532" s="5" t="s">
        <v>128</v>
      </c>
      <c r="J532" s="6">
        <v>1</v>
      </c>
      <c r="K532" s="6"/>
      <c r="L532" s="13" t="s">
        <v>1710</v>
      </c>
      <c r="M532" s="8"/>
      <c r="N532" s="5"/>
      <c r="O532" s="5"/>
      <c r="P532" s="5"/>
      <c r="Q532" s="7">
        <v>1</v>
      </c>
      <c r="R532" s="7" t="s">
        <v>1695</v>
      </c>
      <c r="S532" s="5"/>
      <c r="T532" s="6"/>
      <c r="U532" s="7" t="s">
        <v>1737</v>
      </c>
      <c r="V532" s="5"/>
      <c r="W532" s="6"/>
      <c r="X532" s="6" t="s">
        <v>3</v>
      </c>
      <c r="Y532" s="5"/>
      <c r="Z532" s="6"/>
      <c r="AA532" s="6"/>
      <c r="AB532" s="5"/>
      <c r="AC532" s="6"/>
      <c r="AD532" s="6" t="s">
        <v>3</v>
      </c>
      <c r="AE532" s="5"/>
      <c r="AF532" s="6"/>
      <c r="AG532" s="6"/>
      <c r="AH532" s="5"/>
      <c r="AI532" s="6"/>
      <c r="AJ532" s="6"/>
      <c r="AK532" s="5"/>
      <c r="AL532" s="5"/>
      <c r="AM532" s="5"/>
      <c r="AN532" s="5"/>
      <c r="AO532" s="5"/>
      <c r="AP532" s="5"/>
      <c r="AQ532" s="5"/>
    </row>
    <row r="533" spans="1:43" x14ac:dyDescent="0.25">
      <c r="A533" s="161" t="str">
        <f t="shared" si="8"/>
        <v>GENERAL_ROME</v>
      </c>
      <c r="B533" s="9" t="s">
        <v>2332</v>
      </c>
      <c r="C533" s="5" t="s">
        <v>734</v>
      </c>
      <c r="D533" s="5"/>
      <c r="E533" s="5" t="s">
        <v>1341</v>
      </c>
      <c r="F533" s="5" t="s">
        <v>1344</v>
      </c>
      <c r="G533" s="5"/>
      <c r="H533" s="5" t="s">
        <v>2016</v>
      </c>
      <c r="I533" s="5" t="s">
        <v>1971</v>
      </c>
      <c r="J533" s="6">
        <v>1</v>
      </c>
      <c r="K533" s="6"/>
      <c r="L533" s="13"/>
      <c r="M533" s="8"/>
      <c r="N533" s="5"/>
      <c r="O533" s="5"/>
      <c r="P533" s="5"/>
      <c r="Q533" s="7"/>
      <c r="R533" s="7"/>
      <c r="S533" s="5"/>
      <c r="T533" s="6"/>
      <c r="U533" s="7"/>
      <c r="V533" s="5"/>
      <c r="W533" s="6"/>
      <c r="X533" s="6"/>
      <c r="Y533" s="5"/>
      <c r="Z533" s="6"/>
      <c r="AA533" s="6"/>
      <c r="AB533" s="5"/>
      <c r="AC533" s="6"/>
      <c r="AD533" s="6"/>
      <c r="AE533" s="5"/>
      <c r="AF533" s="6"/>
      <c r="AG533" s="6"/>
      <c r="AH533" s="5"/>
      <c r="AI533" s="6"/>
      <c r="AJ533" s="6"/>
      <c r="AK533" s="5"/>
      <c r="AL533" s="5"/>
      <c r="AM533" s="5"/>
      <c r="AN533" s="5"/>
      <c r="AO533" s="5"/>
      <c r="AP533" s="5"/>
      <c r="AQ533" s="5"/>
    </row>
    <row r="534" spans="1:43" x14ac:dyDescent="0.25">
      <c r="A534" s="161" t="str">
        <f t="shared" si="8"/>
        <v>GENERAL_KHAN</v>
      </c>
      <c r="B534" s="9" t="s">
        <v>2396</v>
      </c>
      <c r="C534" s="5"/>
      <c r="D534" s="5"/>
      <c r="E534" s="5" t="s">
        <v>1342</v>
      </c>
      <c r="F534" s="5" t="s">
        <v>1345</v>
      </c>
      <c r="G534" s="5"/>
      <c r="H534" s="5" t="s">
        <v>1475</v>
      </c>
      <c r="I534" s="5" t="s">
        <v>128</v>
      </c>
      <c r="J534" s="6"/>
      <c r="K534" s="6"/>
      <c r="L534" s="13" t="s">
        <v>1710</v>
      </c>
      <c r="M534" s="8"/>
      <c r="N534" s="5"/>
      <c r="O534" s="5"/>
      <c r="P534" s="5"/>
      <c r="Q534" s="7">
        <v>1</v>
      </c>
      <c r="R534" s="7" t="s">
        <v>1695</v>
      </c>
      <c r="S534" s="5"/>
      <c r="T534" s="6"/>
      <c r="U534" s="7" t="s">
        <v>1695</v>
      </c>
      <c r="V534" s="5"/>
      <c r="W534" s="6"/>
      <c r="X534" s="6" t="s">
        <v>3</v>
      </c>
      <c r="Y534" s="5"/>
      <c r="Z534" s="6"/>
      <c r="AA534" s="6"/>
      <c r="AB534" s="5"/>
      <c r="AC534" s="6"/>
      <c r="AD534" s="6" t="s">
        <v>3</v>
      </c>
      <c r="AE534" s="5"/>
      <c r="AF534" s="6"/>
      <c r="AG534" s="6"/>
      <c r="AH534" s="5"/>
      <c r="AI534" s="6"/>
      <c r="AJ534" s="6"/>
      <c r="AK534" s="5"/>
      <c r="AL534" s="5"/>
      <c r="AM534" s="5"/>
      <c r="AN534" s="5"/>
      <c r="AO534" s="5"/>
      <c r="AP534" s="5"/>
      <c r="AQ534" s="5"/>
    </row>
    <row r="535" spans="1:43" x14ac:dyDescent="0.25">
      <c r="A535" s="161" t="str">
        <f t="shared" si="8"/>
        <v>GENERAL_LATE</v>
      </c>
      <c r="B535" s="9" t="s">
        <v>2332</v>
      </c>
      <c r="C535" s="5"/>
      <c r="D535" s="5"/>
      <c r="E535" s="5" t="s">
        <v>1343</v>
      </c>
      <c r="F535" s="5" t="s">
        <v>1346</v>
      </c>
      <c r="G535" s="5"/>
      <c r="H535" s="5" t="s">
        <v>1477</v>
      </c>
      <c r="I535" s="5" t="s">
        <v>128</v>
      </c>
      <c r="J535" s="6"/>
      <c r="K535" s="6"/>
      <c r="L535" s="13" t="s">
        <v>1710</v>
      </c>
      <c r="M535" s="8"/>
      <c r="N535" s="5"/>
      <c r="O535" s="5"/>
      <c r="P535" s="5"/>
      <c r="Q535" s="7">
        <v>1</v>
      </c>
      <c r="R535" s="7" t="s">
        <v>1695</v>
      </c>
      <c r="S535" s="5"/>
      <c r="T535" s="6"/>
      <c r="U535" s="7" t="s">
        <v>1737</v>
      </c>
      <c r="V535" s="5"/>
      <c r="W535" s="6"/>
      <c r="X535" s="6" t="s">
        <v>3</v>
      </c>
      <c r="Y535" s="5"/>
      <c r="Z535" s="6"/>
      <c r="AA535" s="6"/>
      <c r="AB535" s="5"/>
      <c r="AC535" s="6"/>
      <c r="AD535" s="6" t="s">
        <v>3</v>
      </c>
      <c r="AE535" s="5"/>
      <c r="AF535" s="6"/>
      <c r="AG535" s="6"/>
      <c r="AH535" s="5"/>
      <c r="AI535" s="6"/>
      <c r="AJ535" s="6"/>
      <c r="AK535" s="5"/>
      <c r="AL535" s="5"/>
      <c r="AM535" s="5"/>
      <c r="AN535" s="5"/>
      <c r="AO535" s="5"/>
      <c r="AP535" s="5"/>
      <c r="AQ535" s="5"/>
    </row>
    <row r="536" spans="1:43" x14ac:dyDescent="0.25">
      <c r="A536" s="161" t="str">
        <f t="shared" si="8"/>
        <v>GREAT_ADMIRAL</v>
      </c>
      <c r="B536" s="9" t="s">
        <v>1347</v>
      </c>
      <c r="C536" s="5"/>
      <c r="D536" s="5"/>
      <c r="E536" s="5" t="s">
        <v>1347</v>
      </c>
      <c r="F536" s="5" t="s">
        <v>1347</v>
      </c>
      <c r="G536" s="5"/>
      <c r="H536" s="5" t="s">
        <v>1444</v>
      </c>
      <c r="I536" s="5" t="s">
        <v>128</v>
      </c>
      <c r="J536" s="6">
        <v>1</v>
      </c>
      <c r="K536" s="7"/>
      <c r="L536" s="13" t="s">
        <v>1712</v>
      </c>
      <c r="M536" s="8"/>
      <c r="N536" s="13" t="s">
        <v>1727</v>
      </c>
      <c r="O536" s="13"/>
      <c r="P536" s="13"/>
      <c r="Q536" s="7">
        <v>1</v>
      </c>
      <c r="R536" s="6">
        <v>0.125</v>
      </c>
      <c r="S536" s="13" t="s">
        <v>1695</v>
      </c>
      <c r="T536" s="6"/>
      <c r="U536" s="6">
        <v>0.1</v>
      </c>
      <c r="V536" s="5"/>
      <c r="W536" s="6"/>
      <c r="X536" s="6"/>
      <c r="Y536" s="5"/>
      <c r="Z536" s="6"/>
      <c r="AA536" s="6"/>
      <c r="AB536" s="5"/>
      <c r="AC536" s="6"/>
      <c r="AD536" s="6"/>
      <c r="AE536" s="5"/>
      <c r="AF536" s="6"/>
      <c r="AG536" s="6"/>
      <c r="AH536" s="5"/>
      <c r="AI536" s="6"/>
      <c r="AJ536" s="6"/>
      <c r="AK536" s="5"/>
      <c r="AL536" s="5"/>
      <c r="AM536" s="5"/>
      <c r="AN536" s="5"/>
      <c r="AO536" s="5"/>
      <c r="AP536" s="5"/>
      <c r="AQ536" s="5"/>
    </row>
    <row r="537" spans="1:43" x14ac:dyDescent="0.25">
      <c r="A537" s="161" t="str">
        <f t="shared" si="8"/>
        <v>GREAT_ADMIRAL_LATE</v>
      </c>
      <c r="B537" s="9" t="s">
        <v>1347</v>
      </c>
      <c r="C537" s="5"/>
      <c r="D537" s="5"/>
      <c r="E537" s="5" t="s">
        <v>1348</v>
      </c>
      <c r="F537" s="5" t="s">
        <v>1348</v>
      </c>
      <c r="G537" s="5"/>
      <c r="H537" s="5" t="s">
        <v>1123</v>
      </c>
      <c r="I537" s="5" t="s">
        <v>128</v>
      </c>
      <c r="J537" s="6"/>
      <c r="K537" s="7"/>
      <c r="L537" s="13" t="s">
        <v>1712</v>
      </c>
      <c r="M537" s="8"/>
      <c r="N537" s="13" t="s">
        <v>1727</v>
      </c>
      <c r="O537" s="13"/>
      <c r="P537" s="13"/>
      <c r="Q537" s="7">
        <v>1</v>
      </c>
      <c r="R537" s="6" t="s">
        <v>1695</v>
      </c>
      <c r="S537" s="13" t="s">
        <v>1695</v>
      </c>
      <c r="T537" s="6"/>
      <c r="U537" s="6">
        <v>0.1</v>
      </c>
      <c r="V537" s="5"/>
      <c r="W537" s="6"/>
      <c r="X537" s="6"/>
      <c r="Y537" s="5"/>
      <c r="Z537" s="6"/>
      <c r="AA537" s="6"/>
      <c r="AB537" s="5"/>
      <c r="AC537" s="6"/>
      <c r="AD537" s="6"/>
      <c r="AE537" s="5"/>
      <c r="AF537" s="6"/>
      <c r="AG537" s="6"/>
      <c r="AH537" s="5"/>
      <c r="AI537" s="6"/>
      <c r="AJ537" s="6"/>
      <c r="AK537" s="5"/>
      <c r="AL537" s="5"/>
      <c r="AM537" s="5"/>
      <c r="AN537" s="5"/>
      <c r="AO537" s="5"/>
      <c r="AP537" s="5"/>
      <c r="AQ537" s="5"/>
    </row>
    <row r="538" spans="1:43" x14ac:dyDescent="0.25">
      <c r="A538" s="161" t="str">
        <f t="shared" si="8"/>
        <v>GREAT_ARTIST</v>
      </c>
      <c r="B538" s="9" t="s">
        <v>1312</v>
      </c>
      <c r="C538" s="5"/>
      <c r="D538" s="5"/>
      <c r="E538" s="5" t="s">
        <v>1349</v>
      </c>
      <c r="F538" s="5" t="s">
        <v>1349</v>
      </c>
      <c r="G538" s="5"/>
      <c r="H538" s="5" t="s">
        <v>1445</v>
      </c>
      <c r="I538" s="5" t="s">
        <v>128</v>
      </c>
      <c r="J538" s="6">
        <v>1</v>
      </c>
      <c r="K538" s="6"/>
      <c r="L538" s="13" t="s">
        <v>1710</v>
      </c>
      <c r="M538" s="8"/>
      <c r="N538" s="5"/>
      <c r="O538" s="5"/>
      <c r="P538" s="5"/>
      <c r="Q538" s="6">
        <v>1</v>
      </c>
      <c r="R538" s="6" t="s">
        <v>1695</v>
      </c>
      <c r="S538" s="13" t="s">
        <v>1695</v>
      </c>
      <c r="T538" s="6">
        <v>1</v>
      </c>
      <c r="U538" s="7" t="s">
        <v>1737</v>
      </c>
      <c r="V538" s="5"/>
      <c r="W538" s="6"/>
      <c r="X538" s="6" t="s">
        <v>3</v>
      </c>
      <c r="Y538" s="5"/>
      <c r="Z538" s="6">
        <v>1</v>
      </c>
      <c r="AA538" s="6"/>
      <c r="AB538" s="5"/>
      <c r="AC538" s="6"/>
      <c r="AD538" s="6" t="s">
        <v>3</v>
      </c>
      <c r="AE538" s="5"/>
      <c r="AF538" s="6">
        <v>1</v>
      </c>
      <c r="AG538" s="6"/>
      <c r="AH538" s="5"/>
      <c r="AI538" s="6"/>
      <c r="AJ538" s="6"/>
      <c r="AK538" s="5"/>
      <c r="AL538" s="5"/>
      <c r="AM538" s="5"/>
      <c r="AN538" s="5"/>
      <c r="AO538" s="5"/>
      <c r="AP538" s="5"/>
      <c r="AQ538" s="5"/>
    </row>
    <row r="539" spans="1:43" x14ac:dyDescent="0.25">
      <c r="A539" s="161" t="str">
        <f t="shared" si="8"/>
        <v>GREAT_ARTIST</v>
      </c>
      <c r="B539" s="9" t="s">
        <v>1312</v>
      </c>
      <c r="C539" s="5"/>
      <c r="D539" s="5"/>
      <c r="E539" s="5" t="s">
        <v>1349</v>
      </c>
      <c r="F539" s="5" t="s">
        <v>1349</v>
      </c>
      <c r="G539" s="5" t="s">
        <v>2040</v>
      </c>
      <c r="H539" s="5" t="s">
        <v>1446</v>
      </c>
      <c r="I539" s="5" t="s">
        <v>128</v>
      </c>
      <c r="J539" s="6">
        <v>1</v>
      </c>
      <c r="K539" s="6"/>
      <c r="L539" s="13" t="s">
        <v>1710</v>
      </c>
      <c r="M539" s="8"/>
      <c r="N539" s="5"/>
      <c r="O539" s="5"/>
      <c r="P539" s="5"/>
      <c r="Q539" s="6">
        <v>1</v>
      </c>
      <c r="R539" s="6" t="s">
        <v>1695</v>
      </c>
      <c r="S539" s="13" t="s">
        <v>1695</v>
      </c>
      <c r="T539" s="6">
        <v>1</v>
      </c>
      <c r="U539" s="7" t="s">
        <v>1737</v>
      </c>
      <c r="V539" s="5"/>
      <c r="W539" s="6"/>
      <c r="X539" s="6" t="s">
        <v>3</v>
      </c>
      <c r="Y539" s="5"/>
      <c r="Z539" s="6">
        <v>0</v>
      </c>
      <c r="AA539" s="6"/>
      <c r="AB539" s="5"/>
      <c r="AC539" s="6"/>
      <c r="AD539" s="6" t="s">
        <v>3</v>
      </c>
      <c r="AE539" s="5"/>
      <c r="AF539" s="6">
        <v>1</v>
      </c>
      <c r="AG539" s="6"/>
      <c r="AH539" s="5"/>
      <c r="AI539" s="6"/>
      <c r="AJ539" s="6"/>
      <c r="AK539" s="5"/>
      <c r="AL539" s="5"/>
      <c r="AM539" s="5"/>
      <c r="AN539" s="5"/>
      <c r="AO539" s="5"/>
      <c r="AP539" s="5"/>
      <c r="AQ539" s="5"/>
    </row>
    <row r="540" spans="1:43" x14ac:dyDescent="0.25">
      <c r="A540" s="161" t="str">
        <f t="shared" si="8"/>
        <v>GREAT_ARTIST</v>
      </c>
      <c r="B540" s="9" t="s">
        <v>1312</v>
      </c>
      <c r="C540" s="5"/>
      <c r="D540" s="5"/>
      <c r="E540" s="5" t="s">
        <v>1349</v>
      </c>
      <c r="F540" s="5" t="s">
        <v>1349</v>
      </c>
      <c r="G540" s="5" t="s">
        <v>2041</v>
      </c>
      <c r="H540" s="5" t="s">
        <v>1447</v>
      </c>
      <c r="I540" s="5" t="s">
        <v>128</v>
      </c>
      <c r="J540" s="6">
        <v>1</v>
      </c>
      <c r="K540" s="6"/>
      <c r="L540" s="13" t="s">
        <v>1710</v>
      </c>
      <c r="M540" s="8"/>
      <c r="N540" s="5"/>
      <c r="O540" s="5"/>
      <c r="P540" s="5"/>
      <c r="Q540" s="6">
        <v>1</v>
      </c>
      <c r="R540" s="6" t="s">
        <v>1695</v>
      </c>
      <c r="S540" s="13" t="s">
        <v>1695</v>
      </c>
      <c r="T540" s="6">
        <v>1</v>
      </c>
      <c r="U540" s="7" t="s">
        <v>1737</v>
      </c>
      <c r="V540" s="5"/>
      <c r="W540" s="6"/>
      <c r="X540" s="6" t="s">
        <v>3</v>
      </c>
      <c r="Y540" s="5"/>
      <c r="Z540" s="6">
        <v>0</v>
      </c>
      <c r="AA540" s="6"/>
      <c r="AB540" s="5"/>
      <c r="AC540" s="6"/>
      <c r="AD540" s="6" t="s">
        <v>3</v>
      </c>
      <c r="AE540" s="5"/>
      <c r="AF540" s="6">
        <v>0</v>
      </c>
      <c r="AG540" s="6"/>
      <c r="AH540" s="5"/>
      <c r="AI540" s="6"/>
      <c r="AJ540" s="6"/>
      <c r="AK540" s="5"/>
      <c r="AL540" s="5"/>
      <c r="AM540" s="5"/>
      <c r="AN540" s="5"/>
      <c r="AO540" s="5"/>
      <c r="AP540" s="5"/>
      <c r="AQ540" s="5"/>
    </row>
    <row r="541" spans="1:43" x14ac:dyDescent="0.25">
      <c r="A541" s="161" t="str">
        <f t="shared" si="8"/>
        <v>GREAT_ARTIST_POSTMODERN</v>
      </c>
      <c r="B541" s="9" t="s">
        <v>1312</v>
      </c>
      <c r="C541" s="5"/>
      <c r="D541" s="5"/>
      <c r="E541" s="5" t="s">
        <v>1350</v>
      </c>
      <c r="F541" s="5" t="s">
        <v>1355</v>
      </c>
      <c r="G541" s="5"/>
      <c r="H541" s="5" t="s">
        <v>1450</v>
      </c>
      <c r="I541" s="5" t="s">
        <v>128</v>
      </c>
      <c r="J541" s="6"/>
      <c r="K541" s="6"/>
      <c r="L541" s="13" t="s">
        <v>1710</v>
      </c>
      <c r="M541" s="8"/>
      <c r="N541" s="5"/>
      <c r="O541" s="5"/>
      <c r="P541" s="5"/>
      <c r="Q541" s="6">
        <v>1</v>
      </c>
      <c r="R541" s="6" t="s">
        <v>1695</v>
      </c>
      <c r="S541" s="13" t="s">
        <v>1695</v>
      </c>
      <c r="T541" s="6">
        <v>1</v>
      </c>
      <c r="U541" s="7" t="s">
        <v>1737</v>
      </c>
      <c r="V541" s="5"/>
      <c r="W541" s="6"/>
      <c r="X541" s="6" t="s">
        <v>3</v>
      </c>
      <c r="Y541" s="5"/>
      <c r="Z541" s="7">
        <v>1</v>
      </c>
      <c r="AA541" s="6"/>
      <c r="AB541" s="5"/>
      <c r="AC541" s="6"/>
      <c r="AD541" s="6" t="s">
        <v>3</v>
      </c>
      <c r="AE541" s="5"/>
      <c r="AF541" s="6">
        <v>1</v>
      </c>
      <c r="AG541" s="6"/>
      <c r="AH541" s="5"/>
      <c r="AI541" s="6"/>
      <c r="AJ541" s="6"/>
      <c r="AK541" s="5"/>
      <c r="AL541" s="5"/>
      <c r="AM541" s="5"/>
      <c r="AN541" s="5"/>
      <c r="AO541" s="5"/>
      <c r="AP541" s="5"/>
      <c r="AQ541" s="5"/>
    </row>
    <row r="542" spans="1:43" x14ac:dyDescent="0.25">
      <c r="A542" s="161" t="str">
        <f t="shared" si="8"/>
        <v>GREAT_ARTIST_POSTMODERN</v>
      </c>
      <c r="B542" s="9" t="s">
        <v>1312</v>
      </c>
      <c r="C542" s="5"/>
      <c r="D542" s="5"/>
      <c r="E542" s="5" t="s">
        <v>1350</v>
      </c>
      <c r="F542" s="5" t="s">
        <v>1355</v>
      </c>
      <c r="G542" s="5" t="s">
        <v>2040</v>
      </c>
      <c r="H542" s="5" t="s">
        <v>1448</v>
      </c>
      <c r="I542" s="5" t="s">
        <v>128</v>
      </c>
      <c r="J542" s="6"/>
      <c r="K542" s="6"/>
      <c r="L542" s="13" t="s">
        <v>1710</v>
      </c>
      <c r="M542" s="8"/>
      <c r="N542" s="5"/>
      <c r="O542" s="5"/>
      <c r="P542" s="5"/>
      <c r="Q542" s="6">
        <v>1</v>
      </c>
      <c r="R542" s="6" t="s">
        <v>1695</v>
      </c>
      <c r="S542" s="13" t="s">
        <v>1695</v>
      </c>
      <c r="T542" s="6">
        <v>1</v>
      </c>
      <c r="U542" s="7" t="s">
        <v>1737</v>
      </c>
      <c r="V542" s="5"/>
      <c r="W542" s="6"/>
      <c r="X542" s="6" t="s">
        <v>3</v>
      </c>
      <c r="Y542" s="5"/>
      <c r="Z542" s="7">
        <v>0</v>
      </c>
      <c r="AA542" s="6"/>
      <c r="AB542" s="5"/>
      <c r="AC542" s="6"/>
      <c r="AD542" s="6" t="s">
        <v>3</v>
      </c>
      <c r="AE542" s="5"/>
      <c r="AF542" s="6">
        <v>1</v>
      </c>
      <c r="AG542" s="6"/>
      <c r="AH542" s="5"/>
      <c r="AI542" s="6"/>
      <c r="AJ542" s="6"/>
      <c r="AK542" s="5"/>
      <c r="AL542" s="5"/>
      <c r="AM542" s="5"/>
      <c r="AN542" s="5"/>
      <c r="AO542" s="5"/>
      <c r="AP542" s="5"/>
      <c r="AQ542" s="5"/>
    </row>
    <row r="543" spans="1:43" x14ac:dyDescent="0.25">
      <c r="A543" s="161" t="str">
        <f t="shared" si="8"/>
        <v>GREAT_ARTIST_POSTMODERN</v>
      </c>
      <c r="B543" s="9" t="s">
        <v>1312</v>
      </c>
      <c r="C543" s="5"/>
      <c r="D543" s="5"/>
      <c r="E543" s="5" t="s">
        <v>1350</v>
      </c>
      <c r="F543" s="5" t="s">
        <v>1355</v>
      </c>
      <c r="G543" s="5" t="s">
        <v>2041</v>
      </c>
      <c r="H543" s="5" t="s">
        <v>1449</v>
      </c>
      <c r="I543" s="5" t="s">
        <v>128</v>
      </c>
      <c r="J543" s="6"/>
      <c r="K543" s="6"/>
      <c r="L543" s="13" t="s">
        <v>1710</v>
      </c>
      <c r="M543" s="8"/>
      <c r="N543" s="5"/>
      <c r="O543" s="5"/>
      <c r="P543" s="5"/>
      <c r="Q543" s="6">
        <v>1</v>
      </c>
      <c r="R543" s="6" t="s">
        <v>1695</v>
      </c>
      <c r="S543" s="13" t="s">
        <v>1695</v>
      </c>
      <c r="T543" s="6">
        <v>1</v>
      </c>
      <c r="U543" s="7" t="s">
        <v>1737</v>
      </c>
      <c r="V543" s="5"/>
      <c r="W543" s="6"/>
      <c r="X543" s="6" t="s">
        <v>3</v>
      </c>
      <c r="Y543" s="5"/>
      <c r="Z543" s="7">
        <v>0</v>
      </c>
      <c r="AA543" s="6"/>
      <c r="AB543" s="5"/>
      <c r="AC543" s="6"/>
      <c r="AD543" s="6" t="s">
        <v>3</v>
      </c>
      <c r="AE543" s="5"/>
      <c r="AF543" s="6">
        <v>0</v>
      </c>
      <c r="AG543" s="6"/>
      <c r="AH543" s="5"/>
      <c r="AI543" s="6"/>
      <c r="AJ543" s="6"/>
      <c r="AK543" s="5"/>
      <c r="AL543" s="5"/>
      <c r="AM543" s="5"/>
      <c r="AN543" s="5"/>
      <c r="AO543" s="5"/>
      <c r="AP543" s="5"/>
      <c r="AQ543" s="5"/>
    </row>
    <row r="544" spans="1:43" x14ac:dyDescent="0.25">
      <c r="A544" s="161" t="str">
        <f t="shared" si="8"/>
        <v>GREAT_MUSICIAN</v>
      </c>
      <c r="B544" s="9" t="s">
        <v>2333</v>
      </c>
      <c r="C544" s="5"/>
      <c r="D544" s="5"/>
      <c r="E544" s="5" t="s">
        <v>1351</v>
      </c>
      <c r="F544" s="5" t="s">
        <v>1351</v>
      </c>
      <c r="G544" s="5"/>
      <c r="H544" s="5" t="s">
        <v>1456</v>
      </c>
      <c r="I544" s="5" t="s">
        <v>128</v>
      </c>
      <c r="J544" s="6">
        <v>1</v>
      </c>
      <c r="K544" s="6"/>
      <c r="L544" s="13" t="s">
        <v>1710</v>
      </c>
      <c r="M544" s="8"/>
      <c r="N544" s="5"/>
      <c r="O544" s="5"/>
      <c r="P544" s="5"/>
      <c r="Q544" s="6">
        <v>1</v>
      </c>
      <c r="R544" s="6" t="s">
        <v>1695</v>
      </c>
      <c r="S544" s="13" t="s">
        <v>1614</v>
      </c>
      <c r="T544" s="6">
        <v>1</v>
      </c>
      <c r="U544" s="7" t="s">
        <v>1737</v>
      </c>
      <c r="V544" s="5"/>
      <c r="W544" s="6"/>
      <c r="X544" s="6" t="s">
        <v>3</v>
      </c>
      <c r="Y544" s="5"/>
      <c r="Z544" s="7">
        <v>1</v>
      </c>
      <c r="AA544" s="6"/>
      <c r="AB544" s="5"/>
      <c r="AC544" s="6"/>
      <c r="AD544" s="6" t="s">
        <v>3</v>
      </c>
      <c r="AE544" s="5"/>
      <c r="AF544" s="6">
        <v>1</v>
      </c>
      <c r="AG544" s="6"/>
      <c r="AH544" s="5"/>
      <c r="AI544" s="6"/>
      <c r="AJ544" s="6"/>
      <c r="AK544" s="5"/>
      <c r="AL544" s="5"/>
      <c r="AM544" s="5"/>
      <c r="AN544" s="5"/>
      <c r="AO544" s="5"/>
      <c r="AP544" s="5"/>
      <c r="AQ544" s="5"/>
    </row>
    <row r="545" spans="1:43" x14ac:dyDescent="0.25">
      <c r="A545" s="161" t="str">
        <f t="shared" si="8"/>
        <v>GREAT_MUSICIAN</v>
      </c>
      <c r="B545" s="9" t="s">
        <v>2333</v>
      </c>
      <c r="C545" s="5"/>
      <c r="D545" s="5"/>
      <c r="E545" s="5" t="s">
        <v>1351</v>
      </c>
      <c r="F545" s="5" t="s">
        <v>1351</v>
      </c>
      <c r="G545" s="5" t="s">
        <v>2040</v>
      </c>
      <c r="H545" s="5" t="s">
        <v>1457</v>
      </c>
      <c r="I545" s="5" t="s">
        <v>128</v>
      </c>
      <c r="J545" s="6">
        <v>1</v>
      </c>
      <c r="K545" s="6"/>
      <c r="L545" s="13" t="s">
        <v>1710</v>
      </c>
      <c r="M545" s="8"/>
      <c r="N545" s="5"/>
      <c r="O545" s="5"/>
      <c r="P545" s="5"/>
      <c r="Q545" s="6">
        <v>1</v>
      </c>
      <c r="R545" s="6" t="s">
        <v>1695</v>
      </c>
      <c r="S545" s="13" t="s">
        <v>1614</v>
      </c>
      <c r="T545" s="6">
        <v>1</v>
      </c>
      <c r="U545" s="7" t="s">
        <v>1737</v>
      </c>
      <c r="V545" s="5"/>
      <c r="W545" s="6"/>
      <c r="X545" s="6" t="s">
        <v>3</v>
      </c>
      <c r="Y545" s="5"/>
      <c r="Z545" s="7">
        <v>0</v>
      </c>
      <c r="AA545" s="6"/>
      <c r="AB545" s="5"/>
      <c r="AC545" s="6"/>
      <c r="AD545" s="6" t="s">
        <v>3</v>
      </c>
      <c r="AE545" s="5"/>
      <c r="AF545" s="6">
        <v>1</v>
      </c>
      <c r="AG545" s="6"/>
      <c r="AH545" s="5"/>
      <c r="AI545" s="6"/>
      <c r="AJ545" s="6"/>
      <c r="AK545" s="5"/>
      <c r="AL545" s="5"/>
      <c r="AM545" s="5"/>
      <c r="AN545" s="5"/>
      <c r="AO545" s="5"/>
      <c r="AP545" s="5"/>
      <c r="AQ545" s="5"/>
    </row>
    <row r="546" spans="1:43" x14ac:dyDescent="0.25">
      <c r="A546" s="161" t="str">
        <f t="shared" si="8"/>
        <v>GREAT_MUSICIAN</v>
      </c>
      <c r="B546" s="9" t="s">
        <v>2333</v>
      </c>
      <c r="C546" s="5"/>
      <c r="D546" s="5"/>
      <c r="E546" s="5" t="s">
        <v>1351</v>
      </c>
      <c r="F546" s="5" t="s">
        <v>1351</v>
      </c>
      <c r="G546" s="5" t="s">
        <v>2041</v>
      </c>
      <c r="H546" s="5" t="s">
        <v>1454</v>
      </c>
      <c r="I546" s="5" t="s">
        <v>128</v>
      </c>
      <c r="J546" s="6">
        <v>1</v>
      </c>
      <c r="K546" s="6"/>
      <c r="L546" s="13" t="s">
        <v>1710</v>
      </c>
      <c r="M546" s="8"/>
      <c r="N546" s="5"/>
      <c r="O546" s="5"/>
      <c r="P546" s="5"/>
      <c r="Q546" s="6">
        <v>1</v>
      </c>
      <c r="R546" s="6" t="s">
        <v>1695</v>
      </c>
      <c r="S546" s="13" t="s">
        <v>1614</v>
      </c>
      <c r="T546" s="6">
        <v>1</v>
      </c>
      <c r="U546" s="7" t="s">
        <v>1737</v>
      </c>
      <c r="V546" s="5"/>
      <c r="W546" s="6"/>
      <c r="X546" s="6" t="s">
        <v>3</v>
      </c>
      <c r="Y546" s="5"/>
      <c r="Z546" s="7">
        <v>0</v>
      </c>
      <c r="AA546" s="6"/>
      <c r="AB546" s="5"/>
      <c r="AC546" s="6"/>
      <c r="AD546" s="6" t="s">
        <v>3</v>
      </c>
      <c r="AE546" s="5"/>
      <c r="AF546" s="6">
        <v>0</v>
      </c>
      <c r="AG546" s="6"/>
      <c r="AH546" s="5"/>
      <c r="AI546" s="6"/>
      <c r="AJ546" s="6"/>
      <c r="AK546" s="5"/>
      <c r="AL546" s="5"/>
      <c r="AM546" s="5"/>
      <c r="AN546" s="5"/>
      <c r="AO546" s="5"/>
      <c r="AP546" s="5"/>
      <c r="AQ546" s="5"/>
    </row>
    <row r="547" spans="1:43" x14ac:dyDescent="0.25">
      <c r="A547" s="161" t="str">
        <f t="shared" si="8"/>
        <v>GREAT_MUSICIAN_POSTMODERN</v>
      </c>
      <c r="B547" s="9" t="s">
        <v>2333</v>
      </c>
      <c r="C547" s="5"/>
      <c r="D547" s="5"/>
      <c r="E547" s="5" t="s">
        <v>1352</v>
      </c>
      <c r="F547" s="5" t="s">
        <v>1356</v>
      </c>
      <c r="G547" s="5"/>
      <c r="H547" s="5" t="s">
        <v>1458</v>
      </c>
      <c r="I547" s="5" t="s">
        <v>128</v>
      </c>
      <c r="J547" s="6"/>
      <c r="K547" s="6"/>
      <c r="L547" s="13" t="s">
        <v>1710</v>
      </c>
      <c r="M547" s="8"/>
      <c r="N547" s="5"/>
      <c r="O547" s="5"/>
      <c r="P547" s="5"/>
      <c r="Q547" s="6">
        <v>1</v>
      </c>
      <c r="R547" s="6">
        <v>0.125</v>
      </c>
      <c r="S547" s="13" t="s">
        <v>1614</v>
      </c>
      <c r="T547" s="6">
        <v>1</v>
      </c>
      <c r="U547" s="7" t="s">
        <v>1737</v>
      </c>
      <c r="V547" s="5"/>
      <c r="W547" s="6"/>
      <c r="X547" s="6" t="s">
        <v>3</v>
      </c>
      <c r="Y547" s="5"/>
      <c r="Z547" s="7">
        <v>1</v>
      </c>
      <c r="AA547" s="6"/>
      <c r="AB547" s="5"/>
      <c r="AC547" s="6"/>
      <c r="AD547" s="6" t="s">
        <v>3</v>
      </c>
      <c r="AE547" s="5"/>
      <c r="AF547" s="6">
        <v>1</v>
      </c>
      <c r="AG547" s="6"/>
      <c r="AH547" s="5"/>
      <c r="AI547" s="6"/>
      <c r="AJ547" s="6"/>
      <c r="AK547" s="5"/>
      <c r="AL547" s="5"/>
      <c r="AM547" s="5"/>
      <c r="AN547" s="5"/>
      <c r="AO547" s="5"/>
      <c r="AP547" s="5"/>
      <c r="AQ547" s="5"/>
    </row>
    <row r="548" spans="1:43" x14ac:dyDescent="0.25">
      <c r="A548" s="161" t="str">
        <f t="shared" si="8"/>
        <v>GREAT_MUSICIAN_POSTMODERN</v>
      </c>
      <c r="B548" s="9" t="s">
        <v>2333</v>
      </c>
      <c r="C548" s="5"/>
      <c r="D548" s="5"/>
      <c r="E548" s="5" t="s">
        <v>1352</v>
      </c>
      <c r="F548" s="5" t="s">
        <v>1356</v>
      </c>
      <c r="G548" s="5" t="s">
        <v>2040</v>
      </c>
      <c r="H548" s="5" t="s">
        <v>1459</v>
      </c>
      <c r="I548" s="5" t="s">
        <v>128</v>
      </c>
      <c r="J548" s="6"/>
      <c r="K548" s="6"/>
      <c r="L548" s="13" t="s">
        <v>1710</v>
      </c>
      <c r="M548" s="8"/>
      <c r="N548" s="5"/>
      <c r="O548" s="5"/>
      <c r="P548" s="5"/>
      <c r="Q548" s="6">
        <v>1</v>
      </c>
      <c r="R548" s="6">
        <v>0.125</v>
      </c>
      <c r="S548" s="13" t="s">
        <v>1614</v>
      </c>
      <c r="T548" s="6">
        <v>1</v>
      </c>
      <c r="U548" s="7" t="s">
        <v>1737</v>
      </c>
      <c r="V548" s="5"/>
      <c r="W548" s="6"/>
      <c r="X548" s="6" t="s">
        <v>3</v>
      </c>
      <c r="Y548" s="5"/>
      <c r="Z548" s="7">
        <v>0</v>
      </c>
      <c r="AA548" s="6"/>
      <c r="AB548" s="5"/>
      <c r="AC548" s="6"/>
      <c r="AD548" s="6" t="s">
        <v>3</v>
      </c>
      <c r="AE548" s="5"/>
      <c r="AF548" s="6">
        <v>1</v>
      </c>
      <c r="AG548" s="6"/>
      <c r="AH548" s="5"/>
      <c r="AI548" s="6"/>
      <c r="AJ548" s="6"/>
      <c r="AK548" s="5"/>
      <c r="AL548" s="5"/>
      <c r="AM548" s="5"/>
      <c r="AN548" s="5"/>
      <c r="AO548" s="5"/>
      <c r="AP548" s="5"/>
      <c r="AQ548" s="5"/>
    </row>
    <row r="549" spans="1:43" x14ac:dyDescent="0.25">
      <c r="A549" s="161" t="str">
        <f t="shared" si="8"/>
        <v>GREAT_MUSICIAN_POSTMODERN</v>
      </c>
      <c r="B549" s="9" t="s">
        <v>2333</v>
      </c>
      <c r="C549" s="5"/>
      <c r="D549" s="5"/>
      <c r="E549" s="5" t="s">
        <v>1352</v>
      </c>
      <c r="F549" s="5" t="s">
        <v>1356</v>
      </c>
      <c r="G549" s="5" t="s">
        <v>2041</v>
      </c>
      <c r="H549" s="5" t="s">
        <v>1455</v>
      </c>
      <c r="I549" s="5" t="s">
        <v>128</v>
      </c>
      <c r="J549" s="6"/>
      <c r="K549" s="6"/>
      <c r="L549" s="13" t="s">
        <v>1710</v>
      </c>
      <c r="M549" s="8"/>
      <c r="N549" s="5"/>
      <c r="O549" s="5"/>
      <c r="P549" s="5"/>
      <c r="Q549" s="6">
        <v>1</v>
      </c>
      <c r="R549" s="6">
        <v>0.125</v>
      </c>
      <c r="S549" s="13" t="s">
        <v>1614</v>
      </c>
      <c r="T549" s="6">
        <v>1</v>
      </c>
      <c r="U549" s="7" t="s">
        <v>1737</v>
      </c>
      <c r="V549" s="5"/>
      <c r="W549" s="6"/>
      <c r="X549" s="6" t="s">
        <v>3</v>
      </c>
      <c r="Y549" s="5"/>
      <c r="Z549" s="7">
        <v>0</v>
      </c>
      <c r="AA549" s="6"/>
      <c r="AB549" s="5"/>
      <c r="AC549" s="6"/>
      <c r="AD549" s="6" t="s">
        <v>3</v>
      </c>
      <c r="AE549" s="5"/>
      <c r="AF549" s="6">
        <v>0</v>
      </c>
      <c r="AG549" s="6"/>
      <c r="AH549" s="5"/>
      <c r="AI549" s="6"/>
      <c r="AJ549" s="6"/>
      <c r="AK549" s="5"/>
      <c r="AL549" s="5"/>
      <c r="AM549" s="5"/>
      <c r="AN549" s="5"/>
      <c r="AO549" s="5"/>
      <c r="AP549" s="5"/>
      <c r="AQ549" s="5"/>
    </row>
    <row r="550" spans="1:43" x14ac:dyDescent="0.25">
      <c r="A550" s="161" t="str">
        <f t="shared" si="8"/>
        <v>GREAT_PROPHET</v>
      </c>
      <c r="B550" s="9" t="s">
        <v>2334</v>
      </c>
      <c r="C550" s="5"/>
      <c r="D550" s="5"/>
      <c r="E550" s="5" t="s">
        <v>756</v>
      </c>
      <c r="F550" s="5" t="s">
        <v>756</v>
      </c>
      <c r="G550" s="5"/>
      <c r="H550" s="5" t="s">
        <v>1113</v>
      </c>
      <c r="I550" s="5" t="s">
        <v>128</v>
      </c>
      <c r="J550" s="6">
        <v>1</v>
      </c>
      <c r="K550" s="6"/>
      <c r="L550" s="13" t="s">
        <v>1710</v>
      </c>
      <c r="M550" s="8"/>
      <c r="N550" s="5"/>
      <c r="O550" s="5"/>
      <c r="P550" s="5"/>
      <c r="Q550" s="6">
        <v>1</v>
      </c>
      <c r="R550" s="6" t="s">
        <v>1695</v>
      </c>
      <c r="S550" s="13" t="s">
        <v>1614</v>
      </c>
      <c r="T550" s="6">
        <v>1</v>
      </c>
      <c r="U550" s="7" t="s">
        <v>1737</v>
      </c>
      <c r="V550" s="5"/>
      <c r="W550" s="6"/>
      <c r="X550" s="6" t="s">
        <v>3</v>
      </c>
      <c r="Y550" s="5"/>
      <c r="Z550" s="7">
        <v>1</v>
      </c>
      <c r="AA550" s="6"/>
      <c r="AB550" s="5"/>
      <c r="AC550" s="6"/>
      <c r="AD550" s="6" t="s">
        <v>3</v>
      </c>
      <c r="AE550" s="5"/>
      <c r="AF550" s="6">
        <v>1</v>
      </c>
      <c r="AG550" s="6"/>
      <c r="AH550" s="5"/>
      <c r="AI550" s="6"/>
      <c r="AJ550" s="6"/>
      <c r="AK550" s="5"/>
      <c r="AL550" s="5"/>
      <c r="AM550" s="5"/>
      <c r="AN550" s="5"/>
      <c r="AO550" s="5"/>
      <c r="AP550" s="5"/>
      <c r="AQ550" s="5"/>
    </row>
    <row r="551" spans="1:43" x14ac:dyDescent="0.25">
      <c r="A551" s="161" t="str">
        <f t="shared" si="8"/>
        <v>GREAT_PROPHET</v>
      </c>
      <c r="B551" s="9" t="s">
        <v>2334</v>
      </c>
      <c r="C551" s="5"/>
      <c r="D551" s="5"/>
      <c r="E551" s="5" t="s">
        <v>756</v>
      </c>
      <c r="F551" s="5" t="s">
        <v>756</v>
      </c>
      <c r="G551" s="5" t="s">
        <v>2056</v>
      </c>
      <c r="H551" s="5" t="s">
        <v>1460</v>
      </c>
      <c r="I551" s="5" t="s">
        <v>128</v>
      </c>
      <c r="J551" s="6">
        <v>1</v>
      </c>
      <c r="K551" s="6"/>
      <c r="L551" s="13" t="s">
        <v>1710</v>
      </c>
      <c r="M551" s="8"/>
      <c r="N551" s="5"/>
      <c r="O551" s="5"/>
      <c r="P551" s="5"/>
      <c r="Q551" s="6">
        <v>1</v>
      </c>
      <c r="R551" s="6" t="s">
        <v>1695</v>
      </c>
      <c r="S551" s="13" t="s">
        <v>1614</v>
      </c>
      <c r="T551" s="6">
        <v>1</v>
      </c>
      <c r="U551" s="7" t="s">
        <v>1695</v>
      </c>
      <c r="V551" s="5"/>
      <c r="W551" s="6"/>
      <c r="X551" s="6" t="s">
        <v>3</v>
      </c>
      <c r="Y551" s="5"/>
      <c r="Z551" s="7">
        <v>0</v>
      </c>
      <c r="AA551" s="6"/>
      <c r="AB551" s="5"/>
      <c r="AC551" s="6"/>
      <c r="AD551" s="6" t="s">
        <v>3</v>
      </c>
      <c r="AE551" s="5"/>
      <c r="AF551" s="6">
        <v>1</v>
      </c>
      <c r="AG551" s="6"/>
      <c r="AH551" s="5"/>
      <c r="AI551" s="6"/>
      <c r="AJ551" s="6"/>
      <c r="AK551" s="5"/>
      <c r="AL551" s="5"/>
      <c r="AM551" s="5"/>
      <c r="AN551" s="5"/>
      <c r="AO551" s="5"/>
      <c r="AP551" s="5"/>
      <c r="AQ551" s="5"/>
    </row>
    <row r="552" spans="1:43" x14ac:dyDescent="0.25">
      <c r="A552" s="161" t="str">
        <f t="shared" si="8"/>
        <v>GREAT_PROPHET</v>
      </c>
      <c r="B552" s="9" t="s">
        <v>2334</v>
      </c>
      <c r="C552" s="5"/>
      <c r="D552" s="5"/>
      <c r="E552" s="5" t="s">
        <v>756</v>
      </c>
      <c r="F552" s="5" t="s">
        <v>756</v>
      </c>
      <c r="G552" s="5" t="s">
        <v>2057</v>
      </c>
      <c r="H552" s="5" t="s">
        <v>1461</v>
      </c>
      <c r="I552" s="5" t="s">
        <v>128</v>
      </c>
      <c r="J552" s="6">
        <v>1</v>
      </c>
      <c r="K552" s="6"/>
      <c r="L552" s="13" t="s">
        <v>1710</v>
      </c>
      <c r="M552" s="8"/>
      <c r="N552" s="5"/>
      <c r="O552" s="5"/>
      <c r="P552" s="5"/>
      <c r="Q552" s="6">
        <v>1</v>
      </c>
      <c r="R552" s="6" t="s">
        <v>1695</v>
      </c>
      <c r="S552" s="13" t="s">
        <v>1614</v>
      </c>
      <c r="T552" s="6">
        <v>1</v>
      </c>
      <c r="U552" s="7" t="s">
        <v>1737</v>
      </c>
      <c r="V552" s="5"/>
      <c r="W552" s="6"/>
      <c r="X552" s="6" t="s">
        <v>3</v>
      </c>
      <c r="Y552" s="5"/>
      <c r="Z552" s="7">
        <v>0</v>
      </c>
      <c r="AA552" s="6"/>
      <c r="AB552" s="5"/>
      <c r="AC552" s="6"/>
      <c r="AD552" s="6" t="s">
        <v>3</v>
      </c>
      <c r="AE552" s="5"/>
      <c r="AF552" s="6">
        <v>0</v>
      </c>
      <c r="AG552" s="6"/>
      <c r="AH552" s="5"/>
      <c r="AI552" s="6"/>
      <c r="AJ552" s="6"/>
      <c r="AK552" s="5"/>
      <c r="AL552" s="5"/>
      <c r="AM552" s="5"/>
      <c r="AN552" s="5"/>
      <c r="AO552" s="5"/>
      <c r="AP552" s="5"/>
      <c r="AQ552" s="5"/>
    </row>
    <row r="553" spans="1:43" x14ac:dyDescent="0.25">
      <c r="A553" s="161" t="str">
        <f>CONCATENATE(E553,IF(ISBLANK(C553),"",CONCATENATE("_",C553)))</f>
        <v>GREAT_PROPHET_RENAISSANCE</v>
      </c>
      <c r="B553" s="9" t="s">
        <v>2334</v>
      </c>
      <c r="C553" s="5"/>
      <c r="D553" s="5"/>
      <c r="E553" s="5" t="s">
        <v>2133</v>
      </c>
      <c r="F553" s="5" t="s">
        <v>756</v>
      </c>
      <c r="G553" s="5"/>
      <c r="H553" s="5" t="s">
        <v>1113</v>
      </c>
      <c r="I553" s="5" t="s">
        <v>128</v>
      </c>
      <c r="J553" s="6"/>
      <c r="K553" s="6"/>
      <c r="L553" s="13" t="s">
        <v>1710</v>
      </c>
      <c r="M553" s="8"/>
      <c r="N553" s="5"/>
      <c r="O553" s="5"/>
      <c r="P553" s="5"/>
      <c r="Q553" s="6">
        <v>1</v>
      </c>
      <c r="R553" s="6" t="s">
        <v>1695</v>
      </c>
      <c r="S553" s="13" t="s">
        <v>1614</v>
      </c>
      <c r="T553" s="6">
        <v>1</v>
      </c>
      <c r="U553" s="7" t="s">
        <v>1737</v>
      </c>
      <c r="V553" s="5"/>
      <c r="W553" s="6"/>
      <c r="X553" s="6" t="s">
        <v>3</v>
      </c>
      <c r="Y553" s="5"/>
      <c r="Z553" s="7">
        <v>1</v>
      </c>
      <c r="AA553" s="6"/>
      <c r="AB553" s="5"/>
      <c r="AC553" s="6"/>
      <c r="AD553" s="6" t="s">
        <v>3</v>
      </c>
      <c r="AE553" s="5"/>
      <c r="AF553" s="6">
        <v>1</v>
      </c>
      <c r="AG553" s="6"/>
      <c r="AH553" s="5"/>
      <c r="AI553" s="6"/>
      <c r="AJ553" s="6"/>
      <c r="AK553" s="5"/>
      <c r="AL553" s="5"/>
      <c r="AM553" s="5"/>
      <c r="AN553" s="5"/>
      <c r="AO553" s="5"/>
      <c r="AP553" s="5"/>
      <c r="AQ553" s="5"/>
    </row>
    <row r="554" spans="1:43" x14ac:dyDescent="0.25">
      <c r="A554" s="161" t="str">
        <f>CONCATENATE(E554,IF(ISBLANK(C554),"",CONCATENATE("_",C554)))</f>
        <v>GREAT_PROPHET_RENAISSANCE</v>
      </c>
      <c r="B554" s="9" t="s">
        <v>2334</v>
      </c>
      <c r="C554" s="5"/>
      <c r="D554" s="5"/>
      <c r="E554" s="5" t="s">
        <v>2133</v>
      </c>
      <c r="F554" s="5" t="s">
        <v>756</v>
      </c>
      <c r="G554" s="5" t="s">
        <v>2056</v>
      </c>
      <c r="H554" s="5" t="s">
        <v>1460</v>
      </c>
      <c r="I554" s="5" t="s">
        <v>128</v>
      </c>
      <c r="J554" s="6"/>
      <c r="K554" s="6"/>
      <c r="L554" s="13" t="s">
        <v>1710</v>
      </c>
      <c r="M554" s="8"/>
      <c r="N554" s="5"/>
      <c r="O554" s="5"/>
      <c r="P554" s="5"/>
      <c r="Q554" s="6">
        <v>1</v>
      </c>
      <c r="R554" s="6" t="s">
        <v>1695</v>
      </c>
      <c r="S554" s="13" t="s">
        <v>1614</v>
      </c>
      <c r="T554" s="6">
        <v>1</v>
      </c>
      <c r="U554" s="7" t="s">
        <v>1695</v>
      </c>
      <c r="V554" s="5"/>
      <c r="W554" s="6"/>
      <c r="X554" s="6" t="s">
        <v>3</v>
      </c>
      <c r="Y554" s="5"/>
      <c r="Z554" s="7">
        <v>0</v>
      </c>
      <c r="AA554" s="6"/>
      <c r="AB554" s="5"/>
      <c r="AC554" s="6"/>
      <c r="AD554" s="6" t="s">
        <v>3</v>
      </c>
      <c r="AE554" s="5"/>
      <c r="AF554" s="6">
        <v>1</v>
      </c>
      <c r="AG554" s="6"/>
      <c r="AH554" s="5"/>
      <c r="AI554" s="6"/>
      <c r="AJ554" s="6"/>
      <c r="AK554" s="5"/>
      <c r="AL554" s="5"/>
      <c r="AM554" s="5"/>
      <c r="AN554" s="5"/>
      <c r="AO554" s="5"/>
      <c r="AP554" s="5"/>
      <c r="AQ554" s="5"/>
    </row>
    <row r="555" spans="1:43" x14ac:dyDescent="0.25">
      <c r="A555" s="161" t="str">
        <f>CONCATENATE(E555,IF(ISBLANK(C555),"",CONCATENATE("_",C555)))</f>
        <v>GREAT_PROPHET_RENAISSANCE</v>
      </c>
      <c r="B555" s="9" t="s">
        <v>2334</v>
      </c>
      <c r="C555" s="5"/>
      <c r="D555" s="5"/>
      <c r="E555" s="5" t="s">
        <v>2133</v>
      </c>
      <c r="F555" s="5" t="s">
        <v>756</v>
      </c>
      <c r="G555" s="5" t="s">
        <v>2057</v>
      </c>
      <c r="H555" s="5" t="s">
        <v>1461</v>
      </c>
      <c r="I555" s="5" t="s">
        <v>128</v>
      </c>
      <c r="J555" s="6"/>
      <c r="K555" s="6"/>
      <c r="L555" s="13" t="s">
        <v>1710</v>
      </c>
      <c r="M555" s="8"/>
      <c r="N555" s="5"/>
      <c r="O555" s="5"/>
      <c r="P555" s="5"/>
      <c r="Q555" s="6">
        <v>1</v>
      </c>
      <c r="R555" s="6" t="s">
        <v>1695</v>
      </c>
      <c r="S555" s="13" t="s">
        <v>1614</v>
      </c>
      <c r="T555" s="6">
        <v>1</v>
      </c>
      <c r="U555" s="7" t="s">
        <v>1737</v>
      </c>
      <c r="V555" s="5"/>
      <c r="W555" s="6"/>
      <c r="X555" s="6" t="s">
        <v>3</v>
      </c>
      <c r="Y555" s="5"/>
      <c r="Z555" s="7">
        <v>0</v>
      </c>
      <c r="AA555" s="6"/>
      <c r="AB555" s="5"/>
      <c r="AC555" s="6"/>
      <c r="AD555" s="6" t="s">
        <v>3</v>
      </c>
      <c r="AE555" s="5"/>
      <c r="AF555" s="6">
        <v>0</v>
      </c>
      <c r="AG555" s="6"/>
      <c r="AH555" s="5"/>
      <c r="AI555" s="6"/>
      <c r="AJ555" s="6"/>
      <c r="AK555" s="5"/>
      <c r="AL555" s="5"/>
      <c r="AM555" s="5"/>
      <c r="AN555" s="5"/>
      <c r="AO555" s="5"/>
      <c r="AP555" s="5"/>
      <c r="AQ555" s="5"/>
    </row>
    <row r="556" spans="1:43" x14ac:dyDescent="0.25">
      <c r="A556" s="161" t="str">
        <f t="shared" si="8"/>
        <v>GREAT_WRITER</v>
      </c>
      <c r="B556" s="9" t="s">
        <v>2335</v>
      </c>
      <c r="C556" s="5"/>
      <c r="D556" s="5"/>
      <c r="E556" s="5" t="s">
        <v>1353</v>
      </c>
      <c r="F556" s="5" t="s">
        <v>1353</v>
      </c>
      <c r="G556" s="5"/>
      <c r="H556" s="5" t="s">
        <v>1462</v>
      </c>
      <c r="I556" s="5" t="s">
        <v>128</v>
      </c>
      <c r="J556" s="6">
        <v>1</v>
      </c>
      <c r="K556" s="6"/>
      <c r="L556" s="13" t="s">
        <v>1710</v>
      </c>
      <c r="M556" s="8"/>
      <c r="N556" s="5"/>
      <c r="O556" s="5"/>
      <c r="P556" s="5"/>
      <c r="Q556" s="6">
        <v>1</v>
      </c>
      <c r="R556" s="6" t="s">
        <v>1695</v>
      </c>
      <c r="S556" s="13" t="s">
        <v>1695</v>
      </c>
      <c r="T556" s="6">
        <v>1</v>
      </c>
      <c r="U556" s="7" t="s">
        <v>1737</v>
      </c>
      <c r="V556" s="5"/>
      <c r="W556" s="6"/>
      <c r="X556" s="6" t="s">
        <v>3</v>
      </c>
      <c r="Y556" s="5"/>
      <c r="Z556" s="7">
        <v>1</v>
      </c>
      <c r="AA556" s="6"/>
      <c r="AB556" s="5"/>
      <c r="AC556" s="6"/>
      <c r="AD556" s="6" t="s">
        <v>3</v>
      </c>
      <c r="AE556" s="5"/>
      <c r="AF556" s="6">
        <v>1</v>
      </c>
      <c r="AG556" s="6"/>
      <c r="AH556" s="5"/>
      <c r="AI556" s="6"/>
      <c r="AJ556" s="6"/>
      <c r="AK556" s="5"/>
      <c r="AL556" s="5"/>
      <c r="AM556" s="5"/>
      <c r="AN556" s="5"/>
      <c r="AO556" s="5"/>
      <c r="AP556" s="5"/>
      <c r="AQ556" s="5"/>
    </row>
    <row r="557" spans="1:43" x14ac:dyDescent="0.25">
      <c r="A557" s="161" t="str">
        <f t="shared" si="8"/>
        <v>GREAT_WRITER</v>
      </c>
      <c r="B557" s="9" t="s">
        <v>2335</v>
      </c>
      <c r="C557" s="5"/>
      <c r="D557" s="5"/>
      <c r="E557" s="5" t="s">
        <v>1353</v>
      </c>
      <c r="F557" s="5" t="s">
        <v>1353</v>
      </c>
      <c r="G557" s="5" t="s">
        <v>2040</v>
      </c>
      <c r="H557" s="5" t="s">
        <v>1463</v>
      </c>
      <c r="I557" s="5" t="s">
        <v>128</v>
      </c>
      <c r="J557" s="6">
        <v>1</v>
      </c>
      <c r="K557" s="6"/>
      <c r="L557" s="13" t="s">
        <v>1710</v>
      </c>
      <c r="M557" s="8"/>
      <c r="N557" s="5"/>
      <c r="O557" s="5"/>
      <c r="P557" s="5"/>
      <c r="Q557" s="6">
        <v>1</v>
      </c>
      <c r="R557" s="6" t="s">
        <v>1695</v>
      </c>
      <c r="S557" s="13" t="s">
        <v>1695</v>
      </c>
      <c r="T557" s="6">
        <v>1</v>
      </c>
      <c r="U557" s="7" t="s">
        <v>1737</v>
      </c>
      <c r="V557" s="5"/>
      <c r="W557" s="6"/>
      <c r="X557" s="6" t="s">
        <v>3</v>
      </c>
      <c r="Y557" s="5"/>
      <c r="Z557" s="7">
        <v>0</v>
      </c>
      <c r="AA557" s="6"/>
      <c r="AB557" s="5"/>
      <c r="AC557" s="6"/>
      <c r="AD557" s="6" t="s">
        <v>3</v>
      </c>
      <c r="AE557" s="5"/>
      <c r="AF557" s="6">
        <v>1</v>
      </c>
      <c r="AG557" s="6"/>
      <c r="AH557" s="5"/>
      <c r="AI557" s="6"/>
      <c r="AJ557" s="6"/>
      <c r="AK557" s="5"/>
      <c r="AL557" s="5"/>
      <c r="AM557" s="5"/>
      <c r="AN557" s="5"/>
      <c r="AO557" s="5"/>
      <c r="AP557" s="5"/>
      <c r="AQ557" s="5"/>
    </row>
    <row r="558" spans="1:43" x14ac:dyDescent="0.25">
      <c r="A558" s="161" t="str">
        <f t="shared" si="8"/>
        <v>GREAT_WRITER</v>
      </c>
      <c r="B558" s="9" t="s">
        <v>2335</v>
      </c>
      <c r="C558" s="5"/>
      <c r="D558" s="5"/>
      <c r="E558" s="5" t="s">
        <v>1353</v>
      </c>
      <c r="F558" s="5" t="s">
        <v>1353</v>
      </c>
      <c r="G558" s="5" t="s">
        <v>2041</v>
      </c>
      <c r="H558" s="5" t="s">
        <v>1464</v>
      </c>
      <c r="I558" s="5" t="s">
        <v>128</v>
      </c>
      <c r="J558" s="6">
        <v>1</v>
      </c>
      <c r="K558" s="6"/>
      <c r="L558" s="13" t="s">
        <v>1710</v>
      </c>
      <c r="M558" s="8"/>
      <c r="N558" s="5"/>
      <c r="O558" s="5"/>
      <c r="P558" s="5"/>
      <c r="Q558" s="6">
        <v>1</v>
      </c>
      <c r="R558" s="6" t="s">
        <v>1695</v>
      </c>
      <c r="S558" s="13" t="s">
        <v>1695</v>
      </c>
      <c r="T558" s="6">
        <v>1</v>
      </c>
      <c r="U558" s="7" t="s">
        <v>1737</v>
      </c>
      <c r="V558" s="5"/>
      <c r="W558" s="6"/>
      <c r="X558" s="6" t="s">
        <v>3</v>
      </c>
      <c r="Y558" s="5"/>
      <c r="Z558" s="7">
        <v>0</v>
      </c>
      <c r="AA558" s="6"/>
      <c r="AB558" s="5"/>
      <c r="AC558" s="6"/>
      <c r="AD558" s="6" t="s">
        <v>3</v>
      </c>
      <c r="AE558" s="5"/>
      <c r="AF558" s="6">
        <v>0</v>
      </c>
      <c r="AG558" s="6"/>
      <c r="AH558" s="5"/>
      <c r="AI558" s="6"/>
      <c r="AJ558" s="6"/>
      <c r="AK558" s="5"/>
      <c r="AL558" s="5"/>
      <c r="AM558" s="5"/>
      <c r="AN558" s="5"/>
      <c r="AO558" s="5"/>
      <c r="AP558" s="5"/>
      <c r="AQ558" s="5"/>
    </row>
    <row r="559" spans="1:43" x14ac:dyDescent="0.25">
      <c r="A559" s="161" t="str">
        <f t="shared" si="8"/>
        <v>GREAT_WRITER_POSTMODERN</v>
      </c>
      <c r="B559" s="9" t="s">
        <v>2335</v>
      </c>
      <c r="C559" s="5"/>
      <c r="D559" s="5"/>
      <c r="E559" s="5" t="s">
        <v>1354</v>
      </c>
      <c r="F559" s="5" t="s">
        <v>1357</v>
      </c>
      <c r="G559" s="5"/>
      <c r="H559" s="5" t="s">
        <v>1466</v>
      </c>
      <c r="I559" s="5" t="s">
        <v>128</v>
      </c>
      <c r="J559" s="6"/>
      <c r="K559" s="6"/>
      <c r="L559" s="13" t="s">
        <v>1710</v>
      </c>
      <c r="M559" s="8"/>
      <c r="N559" s="5"/>
      <c r="O559" s="5"/>
      <c r="P559" s="5"/>
      <c r="Q559" s="6">
        <v>1</v>
      </c>
      <c r="R559" s="6">
        <v>0.125</v>
      </c>
      <c r="S559" s="13" t="s">
        <v>1695</v>
      </c>
      <c r="T559" s="6">
        <v>1</v>
      </c>
      <c r="U559" s="7" t="s">
        <v>1737</v>
      </c>
      <c r="V559" s="5"/>
      <c r="W559" s="6"/>
      <c r="X559" s="6" t="s">
        <v>3</v>
      </c>
      <c r="Y559" s="5"/>
      <c r="Z559" s="7">
        <v>1</v>
      </c>
      <c r="AA559" s="6"/>
      <c r="AB559" s="5"/>
      <c r="AC559" s="6"/>
      <c r="AD559" s="6" t="s">
        <v>3</v>
      </c>
      <c r="AE559" s="5"/>
      <c r="AF559" s="6">
        <v>1</v>
      </c>
      <c r="AG559" s="6"/>
      <c r="AH559" s="5"/>
      <c r="AI559" s="6"/>
      <c r="AJ559" s="6"/>
      <c r="AK559" s="5"/>
      <c r="AL559" s="5"/>
      <c r="AM559" s="5"/>
      <c r="AN559" s="5"/>
      <c r="AO559" s="5"/>
      <c r="AP559" s="5"/>
      <c r="AQ559" s="5"/>
    </row>
    <row r="560" spans="1:43" x14ac:dyDescent="0.25">
      <c r="A560" s="161" t="str">
        <f t="shared" si="8"/>
        <v>GREAT_WRITER_POSTMODERN</v>
      </c>
      <c r="B560" s="9" t="s">
        <v>2335</v>
      </c>
      <c r="C560" s="5"/>
      <c r="D560" s="5"/>
      <c r="E560" s="5" t="s">
        <v>1354</v>
      </c>
      <c r="F560" s="5" t="s">
        <v>1357</v>
      </c>
      <c r="G560" s="5" t="s">
        <v>2040</v>
      </c>
      <c r="H560" s="5" t="s">
        <v>1467</v>
      </c>
      <c r="I560" s="5" t="s">
        <v>128</v>
      </c>
      <c r="J560" s="6"/>
      <c r="K560" s="6"/>
      <c r="L560" s="13" t="s">
        <v>1710</v>
      </c>
      <c r="M560" s="8"/>
      <c r="N560" s="5"/>
      <c r="O560" s="5"/>
      <c r="P560" s="5"/>
      <c r="Q560" s="6">
        <v>1</v>
      </c>
      <c r="R560" s="6">
        <v>0.125</v>
      </c>
      <c r="S560" s="13" t="s">
        <v>1695</v>
      </c>
      <c r="T560" s="6">
        <v>1</v>
      </c>
      <c r="U560" s="7" t="s">
        <v>1737</v>
      </c>
      <c r="V560" s="5"/>
      <c r="W560" s="6"/>
      <c r="X560" s="6" t="s">
        <v>3</v>
      </c>
      <c r="Y560" s="5"/>
      <c r="Z560" s="7">
        <v>0</v>
      </c>
      <c r="AA560" s="6"/>
      <c r="AB560" s="5"/>
      <c r="AC560" s="6"/>
      <c r="AD560" s="6" t="s">
        <v>3</v>
      </c>
      <c r="AE560" s="5"/>
      <c r="AF560" s="6">
        <v>1</v>
      </c>
      <c r="AG560" s="6"/>
      <c r="AH560" s="5"/>
      <c r="AI560" s="6"/>
      <c r="AJ560" s="6"/>
      <c r="AK560" s="5"/>
      <c r="AL560" s="5"/>
      <c r="AM560" s="5"/>
      <c r="AN560" s="5"/>
      <c r="AO560" s="5"/>
      <c r="AP560" s="5"/>
      <c r="AQ560" s="5"/>
    </row>
    <row r="561" spans="1:43" x14ac:dyDescent="0.25">
      <c r="A561" s="161" t="str">
        <f t="shared" si="8"/>
        <v>GREAT_WRITER_POSTMODERN</v>
      </c>
      <c r="B561" s="9" t="s">
        <v>2335</v>
      </c>
      <c r="C561" s="5"/>
      <c r="D561" s="5"/>
      <c r="E561" s="5" t="s">
        <v>1354</v>
      </c>
      <c r="F561" s="5" t="s">
        <v>1357</v>
      </c>
      <c r="G561" s="5" t="s">
        <v>2041</v>
      </c>
      <c r="H561" s="5" t="s">
        <v>1465</v>
      </c>
      <c r="I561" s="5" t="s">
        <v>128</v>
      </c>
      <c r="J561" s="6"/>
      <c r="K561" s="6"/>
      <c r="L561" s="13" t="s">
        <v>1710</v>
      </c>
      <c r="M561" s="8"/>
      <c r="N561" s="5"/>
      <c r="O561" s="5"/>
      <c r="P561" s="5"/>
      <c r="Q561" s="6">
        <v>1</v>
      </c>
      <c r="R561" s="6">
        <v>0.125</v>
      </c>
      <c r="S561" s="13" t="s">
        <v>1695</v>
      </c>
      <c r="T561" s="6">
        <v>1</v>
      </c>
      <c r="U561" s="7" t="s">
        <v>1737</v>
      </c>
      <c r="V561" s="5"/>
      <c r="W561" s="6"/>
      <c r="X561" s="6" t="s">
        <v>3</v>
      </c>
      <c r="Y561" s="5"/>
      <c r="Z561" s="7">
        <v>0</v>
      </c>
      <c r="AA561" s="6"/>
      <c r="AB561" s="5"/>
      <c r="AC561" s="6"/>
      <c r="AD561" s="6" t="s">
        <v>3</v>
      </c>
      <c r="AE561" s="5"/>
      <c r="AF561" s="6">
        <v>0</v>
      </c>
      <c r="AG561" s="6"/>
      <c r="AH561" s="5"/>
      <c r="AI561" s="6"/>
      <c r="AJ561" s="6"/>
      <c r="AK561" s="5"/>
      <c r="AL561" s="5"/>
      <c r="AM561" s="5"/>
      <c r="AN561" s="5"/>
      <c r="AO561" s="5"/>
      <c r="AP561" s="5"/>
      <c r="AQ561" s="5"/>
    </row>
    <row r="562" spans="1:43" x14ac:dyDescent="0.25">
      <c r="A562" s="161" t="str">
        <f t="shared" si="8"/>
        <v>GUIDED_MISSILE</v>
      </c>
      <c r="B562" s="9" t="s">
        <v>757</v>
      </c>
      <c r="C562" s="5"/>
      <c r="D562" s="5"/>
      <c r="E562" s="5" t="s">
        <v>757</v>
      </c>
      <c r="F562" s="5" t="s">
        <v>792</v>
      </c>
      <c r="G562" s="5"/>
      <c r="H562" s="5" t="s">
        <v>1483</v>
      </c>
      <c r="I562" s="5" t="s">
        <v>128</v>
      </c>
      <c r="J562" s="6"/>
      <c r="K562" s="7"/>
      <c r="L562" s="13" t="s">
        <v>1711</v>
      </c>
      <c r="M562" s="8"/>
      <c r="N562" s="13" t="s">
        <v>1725</v>
      </c>
      <c r="O562" s="13"/>
      <c r="P562" s="13"/>
      <c r="Q562" s="7">
        <v>1</v>
      </c>
      <c r="R562" s="6" t="s">
        <v>1737</v>
      </c>
      <c r="S562" s="5"/>
      <c r="T562" s="6"/>
      <c r="U562" s="6"/>
      <c r="V562" s="5"/>
      <c r="W562" s="6"/>
      <c r="X562" s="6" t="s">
        <v>3</v>
      </c>
      <c r="Y562" s="5"/>
      <c r="Z562" s="6"/>
      <c r="AA562" s="6"/>
      <c r="AB562" s="5"/>
      <c r="AC562" s="6"/>
      <c r="AD562" s="6" t="s">
        <v>3</v>
      </c>
      <c r="AE562" s="5"/>
      <c r="AF562" s="6"/>
      <c r="AG562" s="6"/>
      <c r="AH562" s="5"/>
      <c r="AI562" s="6"/>
      <c r="AJ562" s="6"/>
      <c r="AK562" s="5"/>
      <c r="AL562" s="5"/>
      <c r="AM562" s="5"/>
      <c r="AN562" s="5"/>
      <c r="AO562" s="5"/>
      <c r="AP562" s="5"/>
      <c r="AQ562" s="5"/>
    </row>
    <row r="563" spans="1:43" x14ac:dyDescent="0.25">
      <c r="A563" s="161" t="str">
        <f t="shared" si="8"/>
        <v>GUIDED_MISSILE_EASTEU</v>
      </c>
      <c r="B563" s="9" t="s">
        <v>757</v>
      </c>
      <c r="C563" s="5" t="s">
        <v>698</v>
      </c>
      <c r="D563" s="5" t="s">
        <v>717</v>
      </c>
      <c r="E563" s="5" t="s">
        <v>757</v>
      </c>
      <c r="F563" s="5" t="s">
        <v>792</v>
      </c>
      <c r="G563" s="5"/>
      <c r="H563" s="5"/>
      <c r="I563" s="5"/>
      <c r="J563" s="6"/>
      <c r="K563" s="7"/>
      <c r="L563" s="13"/>
      <c r="M563" s="8"/>
      <c r="N563" s="13"/>
      <c r="O563" s="13"/>
      <c r="P563" s="13"/>
      <c r="Q563" s="7"/>
      <c r="R563" s="6"/>
      <c r="S563" s="5"/>
      <c r="T563" s="6"/>
      <c r="U563" s="6"/>
      <c r="V563" s="5"/>
      <c r="W563" s="6"/>
      <c r="X563" s="6"/>
      <c r="Y563" s="5"/>
      <c r="Z563" s="6"/>
      <c r="AA563" s="6"/>
      <c r="AB563" s="5"/>
      <c r="AC563" s="6"/>
      <c r="AD563" s="6"/>
      <c r="AE563" s="5"/>
      <c r="AF563" s="6"/>
      <c r="AG563" s="6"/>
      <c r="AH563" s="5"/>
      <c r="AI563" s="6"/>
      <c r="AJ563" s="6"/>
      <c r="AK563" s="5"/>
      <c r="AL563" s="5"/>
      <c r="AM563" s="5"/>
      <c r="AN563" s="5"/>
      <c r="AO563" s="5"/>
      <c r="AP563" s="5"/>
      <c r="AQ563" s="5"/>
    </row>
    <row r="564" spans="1:43" x14ac:dyDescent="0.25">
      <c r="A564" s="161" t="str">
        <f t="shared" si="8"/>
        <v>GUIDED_MISSILE_AUSTRIA</v>
      </c>
      <c r="B564" s="9" t="s">
        <v>757</v>
      </c>
      <c r="C564" s="5" t="s">
        <v>701</v>
      </c>
      <c r="D564" s="5" t="s">
        <v>717</v>
      </c>
      <c r="E564" s="5" t="s">
        <v>757</v>
      </c>
      <c r="F564" s="5" t="s">
        <v>792</v>
      </c>
      <c r="G564" s="5"/>
      <c r="H564" s="5"/>
      <c r="I564" s="5"/>
      <c r="J564" s="6"/>
      <c r="K564" s="7"/>
      <c r="L564" s="13"/>
      <c r="M564" s="8"/>
      <c r="N564" s="13"/>
      <c r="O564" s="13"/>
      <c r="P564" s="13"/>
      <c r="Q564" s="7"/>
      <c r="R564" s="6"/>
      <c r="S564" s="5"/>
      <c r="T564" s="6"/>
      <c r="U564" s="6"/>
      <c r="V564" s="5"/>
      <c r="W564" s="6"/>
      <c r="X564" s="6"/>
      <c r="Y564" s="5"/>
      <c r="Z564" s="6"/>
      <c r="AA564" s="6"/>
      <c r="AB564" s="5"/>
      <c r="AC564" s="6"/>
      <c r="AD564" s="6"/>
      <c r="AE564" s="5"/>
      <c r="AF564" s="6"/>
      <c r="AG564" s="6"/>
      <c r="AH564" s="5"/>
      <c r="AI564" s="6"/>
      <c r="AJ564" s="6"/>
      <c r="AK564" s="5"/>
      <c r="AL564" s="5"/>
      <c r="AM564" s="5"/>
      <c r="AN564" s="5"/>
      <c r="AO564" s="5"/>
      <c r="AP564" s="5"/>
      <c r="AQ564" s="5"/>
    </row>
    <row r="565" spans="1:43" x14ac:dyDescent="0.25">
      <c r="A565" s="161" t="str">
        <f t="shared" ref="A565:A643" si="9">CONCATENATE(E565,IF(ISBLANK(C565),"",CONCATENATE("_",C565)))</f>
        <v>GUIDED_MISSILE_GERMANY</v>
      </c>
      <c r="B565" s="9" t="s">
        <v>757</v>
      </c>
      <c r="C565" s="4" t="s">
        <v>717</v>
      </c>
      <c r="E565" s="4" t="s">
        <v>757</v>
      </c>
      <c r="F565" s="4" t="s">
        <v>792</v>
      </c>
      <c r="G565" s="14" t="s">
        <v>132</v>
      </c>
      <c r="H565" s="4" t="s">
        <v>374</v>
      </c>
      <c r="I565" s="4" t="s">
        <v>966</v>
      </c>
    </row>
    <row r="566" spans="1:43" x14ac:dyDescent="0.25">
      <c r="A566" s="161" t="str">
        <f t="shared" si="9"/>
        <v>HAND_AXE_BARBARIAN</v>
      </c>
      <c r="B566" s="9" t="s">
        <v>2337</v>
      </c>
      <c r="C566" s="5"/>
      <c r="D566" s="5"/>
      <c r="E566" s="5" t="s">
        <v>1358</v>
      </c>
      <c r="F566" s="5" t="s">
        <v>1358</v>
      </c>
      <c r="G566" s="5"/>
      <c r="H566" s="5" t="s">
        <v>1484</v>
      </c>
      <c r="I566" s="5" t="s">
        <v>128</v>
      </c>
      <c r="J566" s="6"/>
      <c r="K566" s="6"/>
      <c r="L566" s="13" t="s">
        <v>1708</v>
      </c>
      <c r="M566" s="8"/>
      <c r="N566" s="5"/>
      <c r="O566" s="5"/>
      <c r="P566" s="5"/>
      <c r="Q566" s="7">
        <v>10</v>
      </c>
      <c r="R566" s="6" t="s">
        <v>1737</v>
      </c>
      <c r="S566" s="13" t="s">
        <v>44</v>
      </c>
      <c r="T566" s="6"/>
      <c r="U566" s="7" t="s">
        <v>1695</v>
      </c>
      <c r="V566" s="5"/>
      <c r="W566" s="6" t="s">
        <v>3</v>
      </c>
      <c r="X566" s="6" t="s">
        <v>3</v>
      </c>
      <c r="Y566" s="5"/>
      <c r="Z566" s="7">
        <v>1</v>
      </c>
      <c r="AA566" s="6"/>
      <c r="AB566" s="5"/>
      <c r="AC566" s="6"/>
      <c r="AD566" s="6" t="s">
        <v>3</v>
      </c>
      <c r="AE566" s="5"/>
      <c r="AF566" s="7" t="s">
        <v>1737</v>
      </c>
      <c r="AG566" s="6"/>
      <c r="AH566" s="5"/>
      <c r="AI566" s="7">
        <v>6</v>
      </c>
      <c r="AJ566" s="6"/>
      <c r="AK566" s="5"/>
      <c r="AL566" s="5"/>
      <c r="AM566" s="5"/>
      <c r="AN566" s="5"/>
      <c r="AO566" s="5"/>
      <c r="AP566" s="5"/>
      <c r="AQ566" s="5"/>
    </row>
    <row r="567" spans="1:43" x14ac:dyDescent="0.25">
      <c r="A567" s="161" t="str">
        <f t="shared" si="9"/>
        <v>HELICOPTER_GUNSHIP</v>
      </c>
      <c r="B567" s="9" t="s">
        <v>758</v>
      </c>
      <c r="C567" s="5"/>
      <c r="D567" s="5"/>
      <c r="E567" s="5" t="s">
        <v>758</v>
      </c>
      <c r="F567" s="5" t="s">
        <v>793</v>
      </c>
      <c r="G567" s="5"/>
      <c r="H567" s="5" t="s">
        <v>1485</v>
      </c>
      <c r="I567" s="5" t="s">
        <v>128</v>
      </c>
      <c r="J567" s="6"/>
      <c r="K567" s="7"/>
      <c r="L567" s="13" t="s">
        <v>1709</v>
      </c>
      <c r="M567" s="8"/>
      <c r="N567" s="13" t="s">
        <v>1726</v>
      </c>
      <c r="O567" s="13"/>
      <c r="P567" s="13"/>
      <c r="Q567" s="7">
        <v>1</v>
      </c>
      <c r="R567" s="6">
        <v>0.1</v>
      </c>
      <c r="S567" s="5"/>
      <c r="T567" s="6"/>
      <c r="U567" s="6">
        <v>0.1</v>
      </c>
      <c r="V567" s="5"/>
      <c r="W567" s="6" t="s">
        <v>3</v>
      </c>
      <c r="X567" s="6" t="s">
        <v>3</v>
      </c>
      <c r="Y567" s="5" t="s">
        <v>1723</v>
      </c>
      <c r="Z567" s="6"/>
      <c r="AA567" s="6"/>
      <c r="AB567" s="5"/>
      <c r="AC567" s="6"/>
      <c r="AD567" s="6" t="s">
        <v>3</v>
      </c>
      <c r="AE567" s="5"/>
      <c r="AF567" s="6"/>
      <c r="AG567" s="6"/>
      <c r="AH567" s="5"/>
      <c r="AI567" s="6"/>
      <c r="AJ567" s="6"/>
      <c r="AK567" s="5"/>
      <c r="AL567" s="5"/>
      <c r="AM567" s="5"/>
      <c r="AN567" s="5"/>
      <c r="AO567" s="5"/>
      <c r="AP567" s="5"/>
      <c r="AQ567" s="5"/>
    </row>
    <row r="568" spans="1:43" x14ac:dyDescent="0.25">
      <c r="A568" s="161" t="str">
        <f t="shared" si="9"/>
        <v>HELICOPTER_GUNSHIP_AFRI</v>
      </c>
      <c r="B568" s="9" t="s">
        <v>758</v>
      </c>
      <c r="C568" s="4" t="s">
        <v>694</v>
      </c>
      <c r="D568" s="4" t="s">
        <v>690</v>
      </c>
      <c r="E568" s="4" t="s">
        <v>758</v>
      </c>
      <c r="F568" s="4" t="s">
        <v>793</v>
      </c>
    </row>
    <row r="569" spans="1:43" x14ac:dyDescent="0.25">
      <c r="A569" s="161" t="str">
        <f t="shared" si="9"/>
        <v>HELICOPTER_GUNSHIP_ETHIOPIA</v>
      </c>
      <c r="B569" s="9" t="s">
        <v>758</v>
      </c>
      <c r="C569" s="4" t="s">
        <v>714</v>
      </c>
      <c r="E569" s="4" t="s">
        <v>758</v>
      </c>
      <c r="F569" s="4" t="s">
        <v>793</v>
      </c>
      <c r="G569" s="14" t="s">
        <v>132</v>
      </c>
      <c r="H569" s="4" t="s">
        <v>322</v>
      </c>
      <c r="I569" s="4" t="s">
        <v>120</v>
      </c>
    </row>
    <row r="570" spans="1:43" x14ac:dyDescent="0.25">
      <c r="A570" s="161" t="str">
        <f t="shared" si="9"/>
        <v>HELICOPTER_GUNSHIP_AMER</v>
      </c>
      <c r="B570" s="9" t="s">
        <v>758</v>
      </c>
      <c r="C570" s="4" t="s">
        <v>697</v>
      </c>
      <c r="D570" s="4" t="s">
        <v>699</v>
      </c>
      <c r="E570" s="4" t="s">
        <v>758</v>
      </c>
      <c r="F570" s="4" t="s">
        <v>793</v>
      </c>
      <c r="G570" s="14"/>
    </row>
    <row r="571" spans="1:43" x14ac:dyDescent="0.25">
      <c r="A571" s="161" t="str">
        <f t="shared" si="9"/>
        <v>HELICOPTER_GUNSHIP_ASIA</v>
      </c>
      <c r="B571" s="9" t="s">
        <v>758</v>
      </c>
      <c r="C571" s="4" t="s">
        <v>693</v>
      </c>
      <c r="D571" s="4" t="s">
        <v>698</v>
      </c>
      <c r="E571" s="4" t="s">
        <v>758</v>
      </c>
      <c r="F571" s="4" t="s">
        <v>793</v>
      </c>
    </row>
    <row r="572" spans="1:43" x14ac:dyDescent="0.25">
      <c r="A572" s="161" t="str">
        <f t="shared" si="9"/>
        <v>HELICOPTER_GUNSHIP_JAPAN</v>
      </c>
      <c r="B572" s="9" t="s">
        <v>758</v>
      </c>
      <c r="C572" s="4" t="s">
        <v>722</v>
      </c>
      <c r="E572" s="4" t="s">
        <v>758</v>
      </c>
      <c r="F572" s="4" t="s">
        <v>793</v>
      </c>
      <c r="G572" s="14" t="s">
        <v>132</v>
      </c>
      <c r="H572" s="4" t="s">
        <v>479</v>
      </c>
      <c r="I572" s="4" t="s">
        <v>120</v>
      </c>
    </row>
    <row r="573" spans="1:43" x14ac:dyDescent="0.25">
      <c r="A573" s="161" t="str">
        <f t="shared" si="9"/>
        <v>HELICOPTER_GUNSHIP_EASTEU</v>
      </c>
      <c r="B573" s="9" t="s">
        <v>758</v>
      </c>
      <c r="C573" s="4" t="s">
        <v>698</v>
      </c>
      <c r="E573" s="4" t="s">
        <v>758</v>
      </c>
      <c r="F573" s="4" t="s">
        <v>793</v>
      </c>
      <c r="G573" s="14"/>
      <c r="H573" s="4" t="s">
        <v>247</v>
      </c>
      <c r="I573" s="4" t="s">
        <v>120</v>
      </c>
    </row>
    <row r="574" spans="1:43" x14ac:dyDescent="0.25">
      <c r="A574" s="161" t="str">
        <f t="shared" si="9"/>
        <v>HELICOPTER_GUNSHIP_KIEV</v>
      </c>
      <c r="B574" s="9" t="s">
        <v>758</v>
      </c>
      <c r="C574" s="4" t="s">
        <v>1187</v>
      </c>
      <c r="E574" s="4" t="s">
        <v>758</v>
      </c>
      <c r="F574" s="4" t="s">
        <v>793</v>
      </c>
      <c r="G574" s="14"/>
      <c r="H574" s="4" t="s">
        <v>1945</v>
      </c>
      <c r="I574" s="4" t="s">
        <v>120</v>
      </c>
    </row>
    <row r="575" spans="1:43" x14ac:dyDescent="0.25">
      <c r="A575" s="161" t="str">
        <f t="shared" si="9"/>
        <v>HELICOPTER_GUNSHIP_POLAND</v>
      </c>
      <c r="B575" s="9" t="s">
        <v>758</v>
      </c>
      <c r="C575" s="4" t="s">
        <v>732</v>
      </c>
      <c r="E575" s="4" t="s">
        <v>758</v>
      </c>
      <c r="F575" s="4" t="s">
        <v>793</v>
      </c>
      <c r="G575" s="14" t="s">
        <v>132</v>
      </c>
      <c r="H575" s="4" t="s">
        <v>570</v>
      </c>
      <c r="I575" s="4" t="s">
        <v>120</v>
      </c>
    </row>
    <row r="576" spans="1:43" x14ac:dyDescent="0.25">
      <c r="A576" s="161" t="str">
        <f t="shared" si="9"/>
        <v>HELICOPTER_GUNSHIP_RUSSIA</v>
      </c>
      <c r="B576" s="9" t="s">
        <v>758</v>
      </c>
      <c r="C576" s="4" t="s">
        <v>735</v>
      </c>
      <c r="E576" s="4" t="s">
        <v>758</v>
      </c>
      <c r="F576" s="4" t="s">
        <v>793</v>
      </c>
      <c r="G576" s="14"/>
      <c r="H576" s="4" t="s">
        <v>1946</v>
      </c>
      <c r="I576" s="4" t="s">
        <v>120</v>
      </c>
    </row>
    <row r="577" spans="1:9" x14ac:dyDescent="0.25">
      <c r="A577" s="161" t="str">
        <f t="shared" si="9"/>
        <v>HELICOPTER_GUNSHIP_AMERICA</v>
      </c>
      <c r="B577" s="9" t="s">
        <v>758</v>
      </c>
      <c r="C577" s="4" t="s">
        <v>699</v>
      </c>
      <c r="E577" s="4" t="s">
        <v>758</v>
      </c>
      <c r="F577" s="4" t="s">
        <v>793</v>
      </c>
      <c r="G577" s="14"/>
      <c r="H577" s="4" t="s">
        <v>139</v>
      </c>
      <c r="I577" s="4" t="s">
        <v>120</v>
      </c>
    </row>
    <row r="578" spans="1:9" x14ac:dyDescent="0.25">
      <c r="A578" s="161" t="str">
        <f t="shared" si="9"/>
        <v>HELICOPTER_GUNSHIP_AUSTRALIA</v>
      </c>
      <c r="B578" s="9" t="s">
        <v>758</v>
      </c>
      <c r="C578" s="4" t="s">
        <v>1302</v>
      </c>
      <c r="E578" s="4" t="s">
        <v>758</v>
      </c>
      <c r="F578" s="4" t="s">
        <v>793</v>
      </c>
      <c r="G578" s="14"/>
      <c r="H578" s="4" t="s">
        <v>1303</v>
      </c>
      <c r="I578" s="4" t="s">
        <v>1050</v>
      </c>
    </row>
    <row r="579" spans="1:9" x14ac:dyDescent="0.25">
      <c r="A579" s="161" t="str">
        <f t="shared" si="9"/>
        <v>HELICOPTER_GUNSHIP_AUSTRIA</v>
      </c>
      <c r="B579" s="9" t="s">
        <v>758</v>
      </c>
      <c r="C579" s="4" t="s">
        <v>701</v>
      </c>
      <c r="E579" s="4" t="s">
        <v>758</v>
      </c>
      <c r="F579" s="4" t="s">
        <v>793</v>
      </c>
      <c r="G579" s="14"/>
      <c r="H579" s="4" t="s">
        <v>179</v>
      </c>
      <c r="I579" s="4" t="s">
        <v>1050</v>
      </c>
    </row>
    <row r="580" spans="1:9" x14ac:dyDescent="0.25">
      <c r="A580" s="161" t="str">
        <f t="shared" si="9"/>
        <v>HELICOPTER_GUNSHIP_CANADA</v>
      </c>
      <c r="B580" s="9" t="s">
        <v>758</v>
      </c>
      <c r="C580" s="4" t="s">
        <v>2223</v>
      </c>
      <c r="D580" s="4" t="s">
        <v>713</v>
      </c>
      <c r="E580" s="4" t="s">
        <v>758</v>
      </c>
      <c r="F580" s="4" t="s">
        <v>793</v>
      </c>
      <c r="G580" s="14"/>
    </row>
    <row r="581" spans="1:9" x14ac:dyDescent="0.25">
      <c r="A581" s="161" t="str">
        <f t="shared" si="9"/>
        <v>HELICOPTER_GUNSHIP_CELTS</v>
      </c>
      <c r="B581" s="9" t="s">
        <v>758</v>
      </c>
      <c r="C581" s="4" t="s">
        <v>709</v>
      </c>
      <c r="D581" s="4" t="s">
        <v>713</v>
      </c>
      <c r="E581" s="4" t="s">
        <v>758</v>
      </c>
      <c r="F581" s="4" t="s">
        <v>793</v>
      </c>
      <c r="G581" s="14"/>
    </row>
    <row r="582" spans="1:9" x14ac:dyDescent="0.25">
      <c r="A582" s="161" t="str">
        <f t="shared" si="9"/>
        <v>HELICOPTER_GUNSHIP_ENGLAND</v>
      </c>
      <c r="B582" s="9" t="s">
        <v>758</v>
      </c>
      <c r="C582" s="4" t="s">
        <v>713</v>
      </c>
      <c r="E582" s="4" t="s">
        <v>758</v>
      </c>
      <c r="F582" s="4" t="s">
        <v>793</v>
      </c>
      <c r="G582" s="14" t="s">
        <v>132</v>
      </c>
      <c r="H582" s="4" t="s">
        <v>298</v>
      </c>
      <c r="I582" s="4" t="s">
        <v>120</v>
      </c>
    </row>
    <row r="583" spans="1:9" x14ac:dyDescent="0.25">
      <c r="A583" s="161" t="str">
        <f t="shared" si="9"/>
        <v>HELICOPTER_GUNSHIP_FRANCE</v>
      </c>
      <c r="B583" s="9" t="s">
        <v>758</v>
      </c>
      <c r="C583" s="4" t="s">
        <v>715</v>
      </c>
      <c r="E583" s="4" t="s">
        <v>758</v>
      </c>
      <c r="F583" s="4" t="s">
        <v>793</v>
      </c>
      <c r="G583" s="14" t="s">
        <v>132</v>
      </c>
      <c r="H583" s="4" t="s">
        <v>344</v>
      </c>
      <c r="I583" s="4" t="s">
        <v>1050</v>
      </c>
    </row>
    <row r="584" spans="1:9" x14ac:dyDescent="0.25">
      <c r="A584" s="161" t="str">
        <f t="shared" si="9"/>
        <v>HELICOPTER_GUNSHIP_GERMANY</v>
      </c>
      <c r="B584" s="9" t="s">
        <v>758</v>
      </c>
      <c r="C584" s="4" t="s">
        <v>717</v>
      </c>
      <c r="E584" s="4" t="s">
        <v>758</v>
      </c>
      <c r="F584" s="4" t="s">
        <v>793</v>
      </c>
      <c r="G584" s="14" t="s">
        <v>132</v>
      </c>
      <c r="H584" s="4" t="s">
        <v>375</v>
      </c>
      <c r="I584" s="4" t="s">
        <v>1050</v>
      </c>
    </row>
    <row r="585" spans="1:9" x14ac:dyDescent="0.25">
      <c r="A585" s="161" t="str">
        <f t="shared" si="9"/>
        <v>HELICOPTER_GUNSHIP_NETHERLANDS</v>
      </c>
      <c r="B585" s="9" t="s">
        <v>758</v>
      </c>
      <c r="C585" s="4" t="s">
        <v>730</v>
      </c>
      <c r="E585" s="4" t="s">
        <v>758</v>
      </c>
      <c r="F585" s="4" t="s">
        <v>793</v>
      </c>
      <c r="G585" s="14" t="s">
        <v>132</v>
      </c>
      <c r="H585" s="4" t="s">
        <v>542</v>
      </c>
      <c r="I585" s="4" t="s">
        <v>1050</v>
      </c>
    </row>
    <row r="586" spans="1:9" x14ac:dyDescent="0.25">
      <c r="A586" s="161" t="str">
        <f t="shared" si="9"/>
        <v>HELICOPTER_GUNSHIP_GREECE</v>
      </c>
      <c r="B586" s="9" t="s">
        <v>758</v>
      </c>
      <c r="C586" s="4" t="s">
        <v>718</v>
      </c>
      <c r="E586" s="4" t="s">
        <v>758</v>
      </c>
      <c r="F586" s="4" t="s">
        <v>793</v>
      </c>
      <c r="G586" s="14" t="s">
        <v>132</v>
      </c>
      <c r="H586" s="4" t="s">
        <v>403</v>
      </c>
      <c r="I586" s="4" t="s">
        <v>120</v>
      </c>
    </row>
    <row r="587" spans="1:9" x14ac:dyDescent="0.25">
      <c r="A587" s="161" t="str">
        <f t="shared" si="9"/>
        <v>HELICOPTER_GUNSHIP_ROME</v>
      </c>
      <c r="B587" s="9" t="s">
        <v>758</v>
      </c>
      <c r="C587" s="4" t="s">
        <v>734</v>
      </c>
      <c r="E587" s="4" t="s">
        <v>758</v>
      </c>
      <c r="F587" s="4" t="s">
        <v>793</v>
      </c>
      <c r="G587" s="14" t="s">
        <v>132</v>
      </c>
      <c r="H587" s="4" t="s">
        <v>588</v>
      </c>
      <c r="I587" s="4" t="s">
        <v>1068</v>
      </c>
    </row>
    <row r="588" spans="1:9" x14ac:dyDescent="0.25">
      <c r="A588" s="161" t="str">
        <f t="shared" si="9"/>
        <v>HELICOPTER_GUNSHIP_SPAIN</v>
      </c>
      <c r="B588" s="9" t="s">
        <v>758</v>
      </c>
      <c r="C588" s="4" t="s">
        <v>738</v>
      </c>
      <c r="E588" s="4" t="s">
        <v>758</v>
      </c>
      <c r="F588" s="4" t="s">
        <v>793</v>
      </c>
      <c r="G588" s="14" t="s">
        <v>132</v>
      </c>
      <c r="H588" s="4" t="s">
        <v>652</v>
      </c>
      <c r="I588" s="4" t="s">
        <v>1050</v>
      </c>
    </row>
    <row r="589" spans="1:9" x14ac:dyDescent="0.25">
      <c r="A589" s="161" t="str">
        <f t="shared" si="9"/>
        <v>HELICOPTER_GUNSHIP_MIDEAST</v>
      </c>
      <c r="B589" s="9" t="s">
        <v>758</v>
      </c>
      <c r="C589" s="4" t="s">
        <v>690</v>
      </c>
      <c r="E589" s="4" t="s">
        <v>758</v>
      </c>
      <c r="F589" s="4" t="s">
        <v>793</v>
      </c>
      <c r="G589" s="14" t="s">
        <v>132</v>
      </c>
      <c r="H589" s="4" t="s">
        <v>228</v>
      </c>
      <c r="I589" s="4" t="s">
        <v>120</v>
      </c>
    </row>
    <row r="590" spans="1:9" x14ac:dyDescent="0.25">
      <c r="A590" s="161" t="str">
        <f t="shared" si="9"/>
        <v>HELICOPTER_GUNSHIP_ARABIA</v>
      </c>
      <c r="B590" s="9" t="s">
        <v>758</v>
      </c>
      <c r="C590" s="4" t="s">
        <v>700</v>
      </c>
      <c r="D590" s="14"/>
      <c r="E590" s="4" t="s">
        <v>758</v>
      </c>
      <c r="F590" s="4" t="s">
        <v>793</v>
      </c>
      <c r="G590" s="14"/>
      <c r="H590" s="4" t="s">
        <v>161</v>
      </c>
      <c r="I590" s="4" t="s">
        <v>120</v>
      </c>
    </row>
    <row r="591" spans="1:9" x14ac:dyDescent="0.25">
      <c r="A591" s="161" t="str">
        <f t="shared" si="9"/>
        <v>HELICOPTER_GUNSHIP_BABYLON</v>
      </c>
      <c r="B591" s="9" t="s">
        <v>758</v>
      </c>
      <c r="C591" s="4" t="s">
        <v>703</v>
      </c>
      <c r="E591" s="4" t="s">
        <v>758</v>
      </c>
      <c r="F591" s="4" t="s">
        <v>793</v>
      </c>
      <c r="G591" s="14"/>
      <c r="H591" s="4" t="s">
        <v>208</v>
      </c>
      <c r="I591" s="4" t="s">
        <v>120</v>
      </c>
    </row>
    <row r="592" spans="1:9" x14ac:dyDescent="0.25">
      <c r="A592" s="161" t="str">
        <f t="shared" si="9"/>
        <v>HELICOPTER_GUNSHIP_EGYPT</v>
      </c>
      <c r="B592" s="9" t="s">
        <v>758</v>
      </c>
      <c r="C592" s="4" t="s">
        <v>712</v>
      </c>
      <c r="E592" s="4" t="s">
        <v>758</v>
      </c>
      <c r="F592" s="4" t="s">
        <v>793</v>
      </c>
      <c r="G592" s="14" t="s">
        <v>132</v>
      </c>
      <c r="H592" s="4" t="s">
        <v>279</v>
      </c>
      <c r="I592" s="4" t="s">
        <v>120</v>
      </c>
    </row>
    <row r="593" spans="1:43" x14ac:dyDescent="0.25">
      <c r="A593" s="161" t="str">
        <f>CONCATENATE(E593,IF(ISBLANK(C593),"",CONCATENATE("_",C593)))</f>
        <v>HELICOPTER_GUNSHIP_NORTHAF</v>
      </c>
      <c r="B593" s="9" t="s">
        <v>758</v>
      </c>
      <c r="C593" s="4" t="s">
        <v>2011</v>
      </c>
      <c r="D593" s="4" t="s">
        <v>690</v>
      </c>
      <c r="E593" s="4" t="s">
        <v>758</v>
      </c>
      <c r="F593" s="4" t="s">
        <v>793</v>
      </c>
      <c r="G593" s="14" t="s">
        <v>132</v>
      </c>
    </row>
    <row r="594" spans="1:43" x14ac:dyDescent="0.25">
      <c r="A594" s="161" t="str">
        <f t="shared" si="9"/>
        <v>HELICOPTER_GUNSHIP_SWEDEN</v>
      </c>
      <c r="B594" s="9" t="s">
        <v>758</v>
      </c>
      <c r="C594" s="4" t="s">
        <v>739</v>
      </c>
      <c r="E594" s="4" t="s">
        <v>758</v>
      </c>
      <c r="F594" s="4" t="s">
        <v>793</v>
      </c>
      <c r="G594" s="14" t="s">
        <v>132</v>
      </c>
      <c r="H594" s="4" t="s">
        <v>671</v>
      </c>
      <c r="I594" s="4" t="s">
        <v>1050</v>
      </c>
    </row>
    <row r="595" spans="1:43" x14ac:dyDescent="0.25">
      <c r="A595" s="161" t="str">
        <f t="shared" si="9"/>
        <v>HELICOPTER_GUNSHIP_OCEAN</v>
      </c>
      <c r="B595" s="9" t="s">
        <v>758</v>
      </c>
      <c r="C595" s="4" t="s">
        <v>994</v>
      </c>
      <c r="D595" s="4" t="s">
        <v>699</v>
      </c>
      <c r="E595" s="4" t="s">
        <v>758</v>
      </c>
      <c r="F595" s="4" t="s">
        <v>793</v>
      </c>
      <c r="G595" s="14"/>
    </row>
    <row r="596" spans="1:43" x14ac:dyDescent="0.25">
      <c r="A596" s="161" t="str">
        <f t="shared" si="9"/>
        <v>HELICOPTER_GUNSHIP_SAHUL</v>
      </c>
      <c r="B596" s="9" t="s">
        <v>758</v>
      </c>
      <c r="C596" s="4" t="s">
        <v>1788</v>
      </c>
      <c r="D596" s="4" t="s">
        <v>1302</v>
      </c>
      <c r="E596" s="4" t="s">
        <v>758</v>
      </c>
      <c r="F596" s="4" t="s">
        <v>793</v>
      </c>
      <c r="G596" s="14"/>
    </row>
    <row r="597" spans="1:43" x14ac:dyDescent="0.25">
      <c r="A597" s="161" t="str">
        <f t="shared" si="9"/>
        <v>HELICOPTER_GUNSHIP_SOUTHAM</v>
      </c>
      <c r="B597" s="9" t="s">
        <v>758</v>
      </c>
      <c r="C597" s="4" t="s">
        <v>691</v>
      </c>
      <c r="D597" s="4" t="s">
        <v>693</v>
      </c>
      <c r="E597" s="4" t="s">
        <v>758</v>
      </c>
      <c r="F597" s="4" t="s">
        <v>793</v>
      </c>
    </row>
    <row r="598" spans="1:43" x14ac:dyDescent="0.25">
      <c r="A598" s="161" t="str">
        <f t="shared" si="9"/>
        <v>HELICOPTER_GUNSHIP_AZTEC</v>
      </c>
      <c r="B598" s="9" t="s">
        <v>758</v>
      </c>
      <c r="C598" s="4" t="s">
        <v>702</v>
      </c>
      <c r="E598" s="4" t="s">
        <v>758</v>
      </c>
      <c r="F598" s="4" t="s">
        <v>793</v>
      </c>
      <c r="G598" s="14"/>
      <c r="H598" s="4" t="s">
        <v>195</v>
      </c>
      <c r="I598" s="4" t="s">
        <v>120</v>
      </c>
    </row>
    <row r="599" spans="1:43" x14ac:dyDescent="0.25">
      <c r="A599" s="161" t="str">
        <f t="shared" si="9"/>
        <v>HELICOPTER_GUNSHIP_SOUTHAS</v>
      </c>
      <c r="B599" s="9" t="s">
        <v>758</v>
      </c>
      <c r="C599" s="4" t="s">
        <v>695</v>
      </c>
      <c r="E599" s="4" t="s">
        <v>758</v>
      </c>
      <c r="F599" s="4" t="s">
        <v>793</v>
      </c>
      <c r="H599" s="4" t="s">
        <v>433</v>
      </c>
      <c r="I599" s="4" t="s">
        <v>120</v>
      </c>
    </row>
    <row r="600" spans="1:43" x14ac:dyDescent="0.25">
      <c r="A600" s="161" t="str">
        <f t="shared" si="9"/>
        <v>HORSEMAN</v>
      </c>
      <c r="B600" s="9" t="s">
        <v>112</v>
      </c>
      <c r="C600" s="5"/>
      <c r="D600" s="5"/>
      <c r="E600" s="5" t="s">
        <v>112</v>
      </c>
      <c r="F600" s="5" t="s">
        <v>112</v>
      </c>
      <c r="G600" s="5"/>
      <c r="H600" s="5" t="s">
        <v>30</v>
      </c>
      <c r="I600" s="5" t="s">
        <v>128</v>
      </c>
      <c r="J600" s="6"/>
      <c r="K600" s="6"/>
      <c r="L600" s="13" t="s">
        <v>1714</v>
      </c>
      <c r="M600" s="8"/>
      <c r="N600" s="5"/>
      <c r="O600" s="5"/>
      <c r="P600" s="5"/>
      <c r="Q600" s="7" t="s">
        <v>1695</v>
      </c>
      <c r="R600" s="6" t="s">
        <v>1695</v>
      </c>
      <c r="S600" s="13" t="s">
        <v>1695</v>
      </c>
      <c r="T600" s="6"/>
      <c r="U600" s="6" t="s">
        <v>1695</v>
      </c>
      <c r="V600" s="5"/>
      <c r="W600" s="6" t="s">
        <v>3</v>
      </c>
      <c r="X600" s="6" t="s">
        <v>3</v>
      </c>
      <c r="Y600" s="5"/>
      <c r="Z600" s="7">
        <v>1</v>
      </c>
      <c r="AA600" s="6"/>
      <c r="AB600" s="5"/>
      <c r="AC600" s="6"/>
      <c r="AD600" s="6" t="s">
        <v>3</v>
      </c>
      <c r="AE600" s="5"/>
      <c r="AF600" s="7" t="s">
        <v>1695</v>
      </c>
      <c r="AG600" s="6"/>
      <c r="AH600" s="5"/>
      <c r="AI600" s="6"/>
      <c r="AJ600" s="6"/>
      <c r="AK600" s="5"/>
      <c r="AL600" s="5"/>
      <c r="AM600" s="5"/>
      <c r="AN600" s="5"/>
      <c r="AO600" s="5"/>
      <c r="AP600" s="5"/>
      <c r="AQ600" s="5"/>
    </row>
    <row r="601" spans="1:43" x14ac:dyDescent="0.25">
      <c r="A601" s="161" t="str">
        <f t="shared" si="9"/>
        <v>HORSEMAN_AFRI</v>
      </c>
      <c r="B601" s="9" t="s">
        <v>112</v>
      </c>
      <c r="C601" s="4" t="s">
        <v>694</v>
      </c>
      <c r="E601" s="4" t="s">
        <v>112</v>
      </c>
      <c r="F601" s="4" t="s">
        <v>112</v>
      </c>
      <c r="H601" s="4" t="s">
        <v>683</v>
      </c>
      <c r="I601" s="4" t="s">
        <v>1796</v>
      </c>
      <c r="Q601" s="11">
        <v>1</v>
      </c>
      <c r="T601" s="11">
        <v>1</v>
      </c>
      <c r="Z601" s="11">
        <v>1</v>
      </c>
      <c r="AF601" s="11">
        <v>1</v>
      </c>
    </row>
    <row r="602" spans="1:43" x14ac:dyDescent="0.25">
      <c r="A602" s="161" t="str">
        <f>CONCATENATE(E602,IF(ISBLANK(C602),"",CONCATENATE("_",C602)))</f>
        <v>HORSEMAN_AFRI</v>
      </c>
      <c r="B602" s="9" t="s">
        <v>112</v>
      </c>
      <c r="C602" s="4" t="s">
        <v>694</v>
      </c>
      <c r="E602" s="4" t="s">
        <v>112</v>
      </c>
      <c r="F602" s="4" t="s">
        <v>112</v>
      </c>
      <c r="G602" s="4" t="s">
        <v>2047</v>
      </c>
      <c r="H602" s="4" t="s">
        <v>1797</v>
      </c>
      <c r="I602" s="4" t="s">
        <v>1796</v>
      </c>
      <c r="Q602" s="11">
        <v>2</v>
      </c>
      <c r="T602" s="11">
        <v>2</v>
      </c>
      <c r="Z602" s="11">
        <v>0</v>
      </c>
      <c r="AF602" s="11">
        <v>1</v>
      </c>
    </row>
    <row r="603" spans="1:43" x14ac:dyDescent="0.25">
      <c r="A603" s="161" t="str">
        <f>CONCATENATE(E603,IF(ISBLANK(C603),"",CONCATENATE("_",C603)))</f>
        <v>HORSEMAN_AFRI</v>
      </c>
      <c r="B603" s="9" t="s">
        <v>112</v>
      </c>
      <c r="C603" s="4" t="s">
        <v>694</v>
      </c>
      <c r="E603" s="4" t="s">
        <v>112</v>
      </c>
      <c r="F603" s="4" t="s">
        <v>112</v>
      </c>
      <c r="H603" s="4" t="s">
        <v>683</v>
      </c>
      <c r="I603" s="4" t="s">
        <v>1796</v>
      </c>
      <c r="Q603" s="11">
        <v>1</v>
      </c>
      <c r="T603" s="11">
        <v>2</v>
      </c>
      <c r="Z603" s="11">
        <v>0</v>
      </c>
      <c r="AF603" s="11">
        <v>1</v>
      </c>
    </row>
    <row r="604" spans="1:43" x14ac:dyDescent="0.25">
      <c r="A604" s="161" t="str">
        <f>CONCATENATE(E604,IF(ISBLANK(C604),"",CONCATENATE("_",C604)))</f>
        <v>HORSEMAN_AFRI</v>
      </c>
      <c r="B604" s="9" t="s">
        <v>112</v>
      </c>
      <c r="C604" s="4" t="s">
        <v>694</v>
      </c>
      <c r="E604" s="4" t="s">
        <v>112</v>
      </c>
      <c r="F604" s="4" t="s">
        <v>112</v>
      </c>
      <c r="G604" s="4" t="s">
        <v>2047</v>
      </c>
      <c r="H604" s="4" t="s">
        <v>1797</v>
      </c>
      <c r="I604" s="4" t="s">
        <v>1796</v>
      </c>
      <c r="Q604" s="11">
        <v>1</v>
      </c>
      <c r="T604" s="11">
        <v>2</v>
      </c>
      <c r="Z604" s="11">
        <v>0</v>
      </c>
      <c r="AF604" s="11">
        <v>0</v>
      </c>
    </row>
    <row r="605" spans="1:43" x14ac:dyDescent="0.25">
      <c r="A605" s="161" t="str">
        <f t="shared" si="9"/>
        <v>HORSEMAN_ETHIOPIA</v>
      </c>
      <c r="B605" s="9" t="s">
        <v>112</v>
      </c>
      <c r="C605" s="4" t="s">
        <v>714</v>
      </c>
      <c r="E605" s="4" t="s">
        <v>112</v>
      </c>
      <c r="F605" s="4" t="s">
        <v>112</v>
      </c>
      <c r="G605" s="14" t="s">
        <v>132</v>
      </c>
      <c r="H605" s="4" t="s">
        <v>323</v>
      </c>
      <c r="I605" s="4" t="s">
        <v>1025</v>
      </c>
      <c r="Q605" s="11" t="s">
        <v>1695</v>
      </c>
      <c r="T605" s="11" t="s">
        <v>1695</v>
      </c>
      <c r="W605" s="11" t="s">
        <v>3</v>
      </c>
      <c r="Z605" s="11">
        <v>1</v>
      </c>
      <c r="AD605" s="11" t="s">
        <v>3</v>
      </c>
      <c r="AF605" s="11" t="s">
        <v>1695</v>
      </c>
    </row>
    <row r="606" spans="1:43" x14ac:dyDescent="0.25">
      <c r="A606" s="161" t="str">
        <f t="shared" si="9"/>
        <v>HORSEMAN_SONGHAI</v>
      </c>
      <c r="B606" s="9" t="s">
        <v>112</v>
      </c>
      <c r="C606" s="4" t="s">
        <v>737</v>
      </c>
      <c r="E606" s="4" t="s">
        <v>112</v>
      </c>
      <c r="F606" s="4" t="s">
        <v>112</v>
      </c>
      <c r="G606" s="14"/>
      <c r="H606" s="4" t="s">
        <v>1968</v>
      </c>
      <c r="I606" s="4" t="s">
        <v>1025</v>
      </c>
      <c r="Q606" s="11">
        <v>1</v>
      </c>
      <c r="T606" s="11">
        <v>1</v>
      </c>
      <c r="Z606" s="11">
        <v>0</v>
      </c>
      <c r="AF606" s="11">
        <v>1</v>
      </c>
    </row>
    <row r="607" spans="1:43" x14ac:dyDescent="0.25">
      <c r="A607" s="161" t="str">
        <f>CONCATENATE(E607,IF(ISBLANK(C607),"",CONCATENATE("_",C607)))</f>
        <v>HORSEMAN_SONGHAI</v>
      </c>
      <c r="B607" s="9" t="s">
        <v>112</v>
      </c>
      <c r="C607" s="4" t="s">
        <v>737</v>
      </c>
      <c r="E607" s="4" t="s">
        <v>112</v>
      </c>
      <c r="F607" s="4" t="s">
        <v>112</v>
      </c>
      <c r="G607" s="14" t="s">
        <v>2047</v>
      </c>
      <c r="H607" s="4" t="s">
        <v>1986</v>
      </c>
      <c r="I607" s="4" t="s">
        <v>1025</v>
      </c>
      <c r="Q607" s="11">
        <v>3</v>
      </c>
      <c r="T607" s="11">
        <v>2</v>
      </c>
      <c r="Z607" s="11">
        <v>1</v>
      </c>
      <c r="AF607" s="11">
        <v>2</v>
      </c>
    </row>
    <row r="608" spans="1:43" x14ac:dyDescent="0.25">
      <c r="A608" s="161" t="str">
        <f>CONCATENATE(E608,IF(ISBLANK(C608),"",CONCATENATE("_",C608)))</f>
        <v>HORSEMAN_SONGHAI</v>
      </c>
      <c r="B608" s="9" t="s">
        <v>112</v>
      </c>
      <c r="C608" s="4" t="s">
        <v>737</v>
      </c>
      <c r="E608" s="4" t="s">
        <v>112</v>
      </c>
      <c r="F608" s="4" t="s">
        <v>112</v>
      </c>
      <c r="G608" s="14"/>
      <c r="H608" s="4" t="s">
        <v>1968</v>
      </c>
      <c r="I608" s="4" t="s">
        <v>1025</v>
      </c>
      <c r="Q608" s="11">
        <v>1</v>
      </c>
      <c r="T608" s="11">
        <v>1</v>
      </c>
      <c r="Z608" s="11">
        <v>0</v>
      </c>
      <c r="AF608" s="11">
        <v>0</v>
      </c>
    </row>
    <row r="609" spans="1:32" x14ac:dyDescent="0.25">
      <c r="A609" s="161" t="str">
        <f>CONCATENATE(E609,IF(ISBLANK(C609),"",CONCATENATE("_",C609)))</f>
        <v>HORSEMAN_SONGHAI</v>
      </c>
      <c r="B609" s="9" t="s">
        <v>112</v>
      </c>
      <c r="C609" s="4" t="s">
        <v>737</v>
      </c>
      <c r="E609" s="4" t="s">
        <v>112</v>
      </c>
      <c r="F609" s="4" t="s">
        <v>112</v>
      </c>
      <c r="G609" s="14" t="s">
        <v>2047</v>
      </c>
      <c r="H609" s="4" t="s">
        <v>1986</v>
      </c>
      <c r="I609" s="4" t="s">
        <v>1025</v>
      </c>
      <c r="Q609" s="11">
        <v>0</v>
      </c>
      <c r="T609" s="11">
        <v>3</v>
      </c>
      <c r="Z609" s="11">
        <v>0</v>
      </c>
      <c r="AF609" s="11">
        <v>0</v>
      </c>
    </row>
    <row r="610" spans="1:32" x14ac:dyDescent="0.25">
      <c r="A610" s="161" t="str">
        <f t="shared" si="9"/>
        <v>HORSEMAN_AMER</v>
      </c>
      <c r="B610" s="9" t="s">
        <v>112</v>
      </c>
      <c r="C610" s="4" t="s">
        <v>697</v>
      </c>
      <c r="E610" s="4" t="s">
        <v>112</v>
      </c>
      <c r="F610" s="4" t="s">
        <v>112</v>
      </c>
      <c r="H610" s="4" t="s">
        <v>462</v>
      </c>
      <c r="I610" s="4" t="s">
        <v>1935</v>
      </c>
    </row>
    <row r="611" spans="1:32" x14ac:dyDescent="0.25">
      <c r="A611" s="161" t="str">
        <f t="shared" si="9"/>
        <v>HORSEMAN_IROQUOIS</v>
      </c>
      <c r="B611" s="9" t="s">
        <v>112</v>
      </c>
      <c r="C611" s="4" t="s">
        <v>721</v>
      </c>
      <c r="E611" s="4" t="s">
        <v>112</v>
      </c>
      <c r="F611" s="4" t="s">
        <v>112</v>
      </c>
      <c r="H611" s="4" t="s">
        <v>934</v>
      </c>
      <c r="I611" s="4" t="s">
        <v>1935</v>
      </c>
      <c r="Q611" s="11">
        <v>1</v>
      </c>
      <c r="T611" s="11">
        <v>1</v>
      </c>
      <c r="Z611" s="11">
        <v>0</v>
      </c>
      <c r="AF611" s="11">
        <v>1</v>
      </c>
    </row>
    <row r="612" spans="1:32" x14ac:dyDescent="0.25">
      <c r="A612" s="161" t="str">
        <f t="shared" si="9"/>
        <v>HORSEMAN_IROQUOIS</v>
      </c>
      <c r="B612" s="9" t="s">
        <v>112</v>
      </c>
      <c r="C612" s="4" t="s">
        <v>721</v>
      </c>
      <c r="E612" s="4" t="s">
        <v>112</v>
      </c>
      <c r="F612" s="4" t="s">
        <v>112</v>
      </c>
      <c r="G612" s="4" t="s">
        <v>2047</v>
      </c>
      <c r="H612" s="4" t="s">
        <v>935</v>
      </c>
      <c r="I612" s="4" t="s">
        <v>1935</v>
      </c>
      <c r="Q612" s="11">
        <v>1</v>
      </c>
      <c r="T612" s="11">
        <v>2</v>
      </c>
      <c r="Z612" s="11">
        <v>1</v>
      </c>
      <c r="AF612" s="11">
        <v>1</v>
      </c>
    </row>
    <row r="613" spans="1:32" x14ac:dyDescent="0.25">
      <c r="A613" s="161" t="str">
        <f t="shared" si="9"/>
        <v>HORSEMAN_IROQUOIS</v>
      </c>
      <c r="B613" s="9" t="s">
        <v>112</v>
      </c>
      <c r="C613" s="4" t="s">
        <v>721</v>
      </c>
      <c r="E613" s="4" t="s">
        <v>112</v>
      </c>
      <c r="F613" s="4" t="s">
        <v>112</v>
      </c>
      <c r="G613" s="4" t="s">
        <v>2049</v>
      </c>
      <c r="H613" s="4" t="s">
        <v>936</v>
      </c>
      <c r="I613" s="4" t="s">
        <v>1935</v>
      </c>
      <c r="Q613" s="11">
        <v>1</v>
      </c>
      <c r="T613" s="11">
        <v>1</v>
      </c>
      <c r="Z613" s="11">
        <v>0</v>
      </c>
      <c r="AF613" s="11">
        <v>1</v>
      </c>
    </row>
    <row r="614" spans="1:32" x14ac:dyDescent="0.25">
      <c r="A614" s="161" t="str">
        <f t="shared" si="9"/>
        <v>HORSEMAN_IROQUOIS</v>
      </c>
      <c r="B614" s="9" t="s">
        <v>112</v>
      </c>
      <c r="C614" s="4" t="s">
        <v>721</v>
      </c>
      <c r="E614" s="4" t="s">
        <v>112</v>
      </c>
      <c r="F614" s="4" t="s">
        <v>112</v>
      </c>
      <c r="G614" s="4" t="s">
        <v>2048</v>
      </c>
      <c r="H614" s="4" t="s">
        <v>937</v>
      </c>
      <c r="I614" s="4" t="s">
        <v>1935</v>
      </c>
      <c r="Q614" s="9">
        <v>1</v>
      </c>
      <c r="T614" s="11">
        <v>1</v>
      </c>
      <c r="Z614" s="9">
        <v>0</v>
      </c>
      <c r="AF614" s="11">
        <v>0</v>
      </c>
    </row>
    <row r="615" spans="1:32" x14ac:dyDescent="0.25">
      <c r="A615" s="161" t="str">
        <f t="shared" si="9"/>
        <v>HORSEMAN_IROQUOIS</v>
      </c>
      <c r="B615" s="9" t="s">
        <v>112</v>
      </c>
      <c r="C615" s="4" t="s">
        <v>721</v>
      </c>
      <c r="E615" s="4" t="s">
        <v>112</v>
      </c>
      <c r="F615" s="4" t="s">
        <v>112</v>
      </c>
      <c r="G615" s="4" t="s">
        <v>2058</v>
      </c>
      <c r="H615" s="4" t="s">
        <v>462</v>
      </c>
      <c r="I615" s="4" t="s">
        <v>1935</v>
      </c>
      <c r="Q615" s="9">
        <v>1</v>
      </c>
      <c r="T615" s="11">
        <v>2</v>
      </c>
      <c r="Z615" s="9">
        <v>0</v>
      </c>
      <c r="AF615" s="11">
        <v>0</v>
      </c>
    </row>
    <row r="616" spans="1:32" x14ac:dyDescent="0.25">
      <c r="A616" s="161" t="str">
        <f t="shared" si="9"/>
        <v>HORSEMAN_ASIA</v>
      </c>
      <c r="B616" s="9" t="s">
        <v>112</v>
      </c>
      <c r="C616" s="4" t="s">
        <v>693</v>
      </c>
      <c r="E616" s="4" t="s">
        <v>112</v>
      </c>
      <c r="F616" s="4" t="s">
        <v>112</v>
      </c>
      <c r="H616" s="4" t="s">
        <v>448</v>
      </c>
      <c r="I616" s="4" t="s">
        <v>102</v>
      </c>
    </row>
    <row r="617" spans="1:32" x14ac:dyDescent="0.25">
      <c r="A617" s="161" t="str">
        <f t="shared" si="9"/>
        <v>HORSEMAN_CHINA</v>
      </c>
      <c r="B617" s="9" t="s">
        <v>112</v>
      </c>
      <c r="C617" s="4" t="s">
        <v>710</v>
      </c>
      <c r="E617" s="4" t="s">
        <v>112</v>
      </c>
      <c r="F617" s="4" t="s">
        <v>112</v>
      </c>
      <c r="G617" s="14" t="s">
        <v>132</v>
      </c>
      <c r="H617" s="4" t="s">
        <v>248</v>
      </c>
      <c r="I617" s="4" t="s">
        <v>102</v>
      </c>
    </row>
    <row r="618" spans="1:32" x14ac:dyDescent="0.25">
      <c r="A618" s="161" t="str">
        <f t="shared" si="9"/>
        <v>HORSEMAN_JAPAN</v>
      </c>
      <c r="B618" s="9" t="s">
        <v>112</v>
      </c>
      <c r="C618" s="4" t="s">
        <v>722</v>
      </c>
      <c r="E618" s="4" t="s">
        <v>112</v>
      </c>
      <c r="F618" s="4" t="s">
        <v>112</v>
      </c>
      <c r="G618" s="14" t="s">
        <v>132</v>
      </c>
      <c r="H618" s="4" t="s">
        <v>480</v>
      </c>
      <c r="I618" s="4" t="s">
        <v>102</v>
      </c>
    </row>
    <row r="619" spans="1:32" x14ac:dyDescent="0.25">
      <c r="A619" s="161" t="str">
        <f t="shared" si="9"/>
        <v>HORSEMAN_KOREA</v>
      </c>
      <c r="B619" s="9" t="s">
        <v>112</v>
      </c>
      <c r="C619" s="4" t="s">
        <v>723</v>
      </c>
      <c r="E619" s="4" t="s">
        <v>112</v>
      </c>
      <c r="F619" s="4" t="s">
        <v>112</v>
      </c>
      <c r="G619" s="14" t="s">
        <v>132</v>
      </c>
      <c r="H619" s="4" t="s">
        <v>498</v>
      </c>
      <c r="I619" s="4" t="s">
        <v>102</v>
      </c>
    </row>
    <row r="620" spans="1:32" x14ac:dyDescent="0.25">
      <c r="A620" s="161" t="str">
        <f t="shared" si="9"/>
        <v>HORSEMAN_MONGOL</v>
      </c>
      <c r="B620" s="9" t="s">
        <v>112</v>
      </c>
      <c r="C620" s="4" t="s">
        <v>728</v>
      </c>
      <c r="E620" s="4" t="s">
        <v>112</v>
      </c>
      <c r="F620" s="4" t="s">
        <v>112</v>
      </c>
      <c r="G620" s="14" t="s">
        <v>132</v>
      </c>
      <c r="H620" s="4" t="s">
        <v>529</v>
      </c>
      <c r="I620" s="4" t="s">
        <v>2103</v>
      </c>
    </row>
    <row r="621" spans="1:32" x14ac:dyDescent="0.25">
      <c r="A621" s="161" t="str">
        <f t="shared" si="9"/>
        <v>HORSEMAN_CENTAS</v>
      </c>
      <c r="B621" s="9" t="s">
        <v>112</v>
      </c>
      <c r="C621" s="4" t="s">
        <v>918</v>
      </c>
      <c r="E621" s="4" t="s">
        <v>112</v>
      </c>
      <c r="F621" s="4" t="s">
        <v>112</v>
      </c>
      <c r="G621" s="14" t="s">
        <v>132</v>
      </c>
      <c r="H621" s="4" t="s">
        <v>907</v>
      </c>
      <c r="I621" s="4" t="s">
        <v>1063</v>
      </c>
    </row>
    <row r="622" spans="1:32" x14ac:dyDescent="0.25">
      <c r="A622" s="161" t="str">
        <f t="shared" si="9"/>
        <v>HORSEMAN_OTTOMAN</v>
      </c>
      <c r="B622" s="9" t="s">
        <v>112</v>
      </c>
      <c r="C622" s="4" t="s">
        <v>1037</v>
      </c>
      <c r="E622" s="4" t="s">
        <v>112</v>
      </c>
      <c r="F622" s="4" t="s">
        <v>112</v>
      </c>
      <c r="G622" s="14" t="s">
        <v>132</v>
      </c>
      <c r="H622" s="4" t="s">
        <v>1028</v>
      </c>
      <c r="I622" s="4" t="s">
        <v>2103</v>
      </c>
    </row>
    <row r="623" spans="1:32" x14ac:dyDescent="0.25">
      <c r="A623" s="161" t="str">
        <f t="shared" si="9"/>
        <v>HORSEMAN_EASTEU</v>
      </c>
      <c r="B623" s="9" t="s">
        <v>112</v>
      </c>
      <c r="C623" s="4" t="s">
        <v>698</v>
      </c>
      <c r="E623" s="4" t="s">
        <v>112</v>
      </c>
      <c r="F623" s="4" t="s">
        <v>112</v>
      </c>
      <c r="G623" s="14" t="s">
        <v>132</v>
      </c>
      <c r="H623" s="4" t="s">
        <v>1002</v>
      </c>
      <c r="I623" s="4" t="s">
        <v>2103</v>
      </c>
    </row>
    <row r="624" spans="1:32" x14ac:dyDescent="0.25">
      <c r="A624" s="161" t="str">
        <f t="shared" si="9"/>
        <v>HORSEMAN_RUSSIA</v>
      </c>
      <c r="B624" s="9" t="s">
        <v>112</v>
      </c>
      <c r="C624" s="4" t="s">
        <v>735</v>
      </c>
      <c r="E624" s="4" t="s">
        <v>112</v>
      </c>
      <c r="F624" s="4" t="s">
        <v>112</v>
      </c>
      <c r="H624" s="4" t="s">
        <v>1002</v>
      </c>
      <c r="I624" s="4" t="s">
        <v>2103</v>
      </c>
      <c r="Q624" s="11">
        <v>1</v>
      </c>
      <c r="T624" s="11">
        <v>1</v>
      </c>
      <c r="Z624" s="11">
        <v>0</v>
      </c>
      <c r="AF624" s="11">
        <v>0</v>
      </c>
    </row>
    <row r="625" spans="1:32" x14ac:dyDescent="0.25">
      <c r="A625" s="161" t="str">
        <f t="shared" si="9"/>
        <v>HORSEMAN_RUSSIA</v>
      </c>
      <c r="B625" s="9" t="s">
        <v>112</v>
      </c>
      <c r="C625" s="4" t="s">
        <v>735</v>
      </c>
      <c r="E625" s="4" t="s">
        <v>112</v>
      </c>
      <c r="F625" s="4" t="s">
        <v>112</v>
      </c>
      <c r="G625" s="4" t="s">
        <v>2047</v>
      </c>
      <c r="H625" s="4" t="s">
        <v>613</v>
      </c>
      <c r="I625" s="4" t="s">
        <v>2103</v>
      </c>
      <c r="Q625" s="11">
        <v>2</v>
      </c>
      <c r="T625" s="11">
        <v>2</v>
      </c>
      <c r="Z625" s="11">
        <v>1</v>
      </c>
      <c r="AF625" s="11">
        <v>1</v>
      </c>
    </row>
    <row r="626" spans="1:32" x14ac:dyDescent="0.25">
      <c r="A626" s="161" t="str">
        <f t="shared" si="9"/>
        <v>HORSEMAN_RUSSIA</v>
      </c>
      <c r="B626" s="9" t="s">
        <v>112</v>
      </c>
      <c r="C626" s="4" t="s">
        <v>735</v>
      </c>
      <c r="E626" s="4" t="s">
        <v>112</v>
      </c>
      <c r="F626" s="4" t="s">
        <v>112</v>
      </c>
      <c r="H626" s="4" t="s">
        <v>1002</v>
      </c>
      <c r="I626" s="4" t="s">
        <v>2103</v>
      </c>
      <c r="Q626" s="11">
        <v>1</v>
      </c>
      <c r="T626" s="11">
        <v>2</v>
      </c>
      <c r="Z626" s="11">
        <v>0</v>
      </c>
      <c r="AF626" s="11">
        <v>1</v>
      </c>
    </row>
    <row r="627" spans="1:32" x14ac:dyDescent="0.25">
      <c r="A627" s="161" t="str">
        <f t="shared" si="9"/>
        <v>HORSEMAN_RUSSIA</v>
      </c>
      <c r="B627" s="9" t="s">
        <v>112</v>
      </c>
      <c r="C627" s="4" t="s">
        <v>735</v>
      </c>
      <c r="E627" s="4" t="s">
        <v>112</v>
      </c>
      <c r="F627" s="4" t="s">
        <v>112</v>
      </c>
      <c r="G627" s="4" t="s">
        <v>2047</v>
      </c>
      <c r="H627" s="4" t="s">
        <v>613</v>
      </c>
      <c r="I627" s="4" t="s">
        <v>2103</v>
      </c>
      <c r="Q627" s="9">
        <v>1</v>
      </c>
      <c r="T627" s="11">
        <v>2</v>
      </c>
      <c r="Z627" s="9">
        <v>0</v>
      </c>
      <c r="AF627" s="11">
        <v>1</v>
      </c>
    </row>
    <row r="628" spans="1:32" x14ac:dyDescent="0.25">
      <c r="A628" s="161" t="str">
        <f t="shared" si="9"/>
        <v>HORSEMAN_ENGLAND</v>
      </c>
      <c r="B628" s="9" t="s">
        <v>112</v>
      </c>
      <c r="C628" s="4" t="s">
        <v>713</v>
      </c>
      <c r="E628" s="4" t="s">
        <v>112</v>
      </c>
      <c r="F628" s="4" t="s">
        <v>112</v>
      </c>
      <c r="G628" s="14" t="s">
        <v>132</v>
      </c>
      <c r="H628" s="4" t="s">
        <v>299</v>
      </c>
      <c r="I628" s="4" t="s">
        <v>102</v>
      </c>
    </row>
    <row r="629" spans="1:32" x14ac:dyDescent="0.25">
      <c r="A629" s="161" t="str">
        <f t="shared" si="9"/>
        <v>HORSEMAN_FRANCE</v>
      </c>
      <c r="B629" s="9" t="s">
        <v>112</v>
      </c>
      <c r="C629" s="4" t="s">
        <v>715</v>
      </c>
      <c r="E629" s="4" t="s">
        <v>112</v>
      </c>
      <c r="F629" s="4" t="s">
        <v>112</v>
      </c>
      <c r="G629" s="14" t="s">
        <v>132</v>
      </c>
      <c r="H629" s="4" t="s">
        <v>345</v>
      </c>
      <c r="I629" s="4" t="s">
        <v>102</v>
      </c>
    </row>
    <row r="630" spans="1:32" x14ac:dyDescent="0.25">
      <c r="A630" s="161" t="str">
        <f t="shared" si="9"/>
        <v>HORSEMAN_GERMANY</v>
      </c>
      <c r="B630" s="9" t="s">
        <v>112</v>
      </c>
      <c r="C630" s="4" t="s">
        <v>717</v>
      </c>
      <c r="E630" s="4" t="s">
        <v>112</v>
      </c>
      <c r="F630" s="4" t="s">
        <v>112</v>
      </c>
      <c r="G630" s="14" t="s">
        <v>132</v>
      </c>
      <c r="H630" s="4" t="s">
        <v>376</v>
      </c>
      <c r="I630" s="4" t="s">
        <v>102</v>
      </c>
    </row>
    <row r="631" spans="1:32" x14ac:dyDescent="0.25">
      <c r="A631" s="161" t="str">
        <f t="shared" si="9"/>
        <v>HORSEMAN_MED</v>
      </c>
      <c r="B631" s="9" t="s">
        <v>112</v>
      </c>
      <c r="C631" s="4" t="s">
        <v>692</v>
      </c>
      <c r="E631" s="4" t="s">
        <v>112</v>
      </c>
      <c r="F631" s="4" t="s">
        <v>112</v>
      </c>
      <c r="H631" s="4" t="s">
        <v>925</v>
      </c>
      <c r="I631" s="4" t="s">
        <v>128</v>
      </c>
      <c r="U631" s="11" t="s">
        <v>1695</v>
      </c>
    </row>
    <row r="632" spans="1:32" x14ac:dyDescent="0.25">
      <c r="A632" s="161" t="str">
        <f t="shared" si="9"/>
        <v>HORSEMAN_ROME</v>
      </c>
      <c r="B632" s="9" t="s">
        <v>112</v>
      </c>
      <c r="C632" s="4" t="s">
        <v>734</v>
      </c>
      <c r="E632" s="4" t="s">
        <v>112</v>
      </c>
      <c r="F632" s="4" t="s">
        <v>112</v>
      </c>
      <c r="H632" s="4" t="s">
        <v>1000</v>
      </c>
      <c r="I632" s="4" t="s">
        <v>102</v>
      </c>
      <c r="Q632" s="11">
        <v>1</v>
      </c>
      <c r="T632" s="11">
        <v>1</v>
      </c>
      <c r="Z632" s="11">
        <v>0</v>
      </c>
      <c r="AF632" s="11">
        <v>0</v>
      </c>
    </row>
    <row r="633" spans="1:32" x14ac:dyDescent="0.25">
      <c r="A633" s="161" t="str">
        <f t="shared" si="9"/>
        <v>HORSEMAN_ROME</v>
      </c>
      <c r="B633" s="9" t="s">
        <v>112</v>
      </c>
      <c r="C633" s="4" t="s">
        <v>734</v>
      </c>
      <c r="E633" s="4" t="s">
        <v>112</v>
      </c>
      <c r="F633" s="4" t="s">
        <v>112</v>
      </c>
      <c r="G633" s="4" t="s">
        <v>2047</v>
      </c>
      <c r="H633" s="4" t="s">
        <v>589</v>
      </c>
      <c r="I633" s="4" t="s">
        <v>102</v>
      </c>
      <c r="Q633" s="11">
        <v>2</v>
      </c>
      <c r="T633" s="11">
        <v>2</v>
      </c>
      <c r="Z633" s="11">
        <v>1</v>
      </c>
      <c r="AF633" s="11">
        <v>1</v>
      </c>
    </row>
    <row r="634" spans="1:32" x14ac:dyDescent="0.25">
      <c r="A634" s="161" t="str">
        <f t="shared" si="9"/>
        <v>HORSEMAN_ROME</v>
      </c>
      <c r="B634" s="9" t="s">
        <v>112</v>
      </c>
      <c r="C634" s="4" t="s">
        <v>734</v>
      </c>
      <c r="E634" s="4" t="s">
        <v>112</v>
      </c>
      <c r="F634" s="4" t="s">
        <v>112</v>
      </c>
      <c r="H634" s="4" t="s">
        <v>1000</v>
      </c>
      <c r="I634" s="4" t="s">
        <v>102</v>
      </c>
      <c r="Q634" s="11">
        <v>1</v>
      </c>
      <c r="T634" s="11">
        <v>1</v>
      </c>
      <c r="Z634" s="11">
        <v>0</v>
      </c>
      <c r="AF634" s="11">
        <v>1</v>
      </c>
    </row>
    <row r="635" spans="1:32" x14ac:dyDescent="0.25">
      <c r="A635" s="161" t="str">
        <f t="shared" si="9"/>
        <v>HORSEMAN_ROME</v>
      </c>
      <c r="B635" s="9" t="s">
        <v>112</v>
      </c>
      <c r="C635" s="4" t="s">
        <v>734</v>
      </c>
      <c r="E635" s="4" t="s">
        <v>112</v>
      </c>
      <c r="F635" s="4" t="s">
        <v>112</v>
      </c>
      <c r="G635" s="4" t="s">
        <v>2047</v>
      </c>
      <c r="H635" s="4" t="s">
        <v>589</v>
      </c>
      <c r="I635" s="4" t="s">
        <v>102</v>
      </c>
      <c r="Q635" s="9">
        <v>1</v>
      </c>
      <c r="T635" s="11">
        <v>3</v>
      </c>
      <c r="Z635" s="9">
        <v>0</v>
      </c>
      <c r="AF635" s="11">
        <v>1</v>
      </c>
    </row>
    <row r="636" spans="1:32" x14ac:dyDescent="0.25">
      <c r="A636" s="161" t="str">
        <f t="shared" si="9"/>
        <v>HORSEMAN_SPAIN</v>
      </c>
      <c r="B636" s="9" t="s">
        <v>112</v>
      </c>
      <c r="C636" s="4" t="s">
        <v>738</v>
      </c>
      <c r="E636" s="4" t="s">
        <v>112</v>
      </c>
      <c r="F636" s="4" t="s">
        <v>112</v>
      </c>
      <c r="G636" s="14" t="s">
        <v>132</v>
      </c>
      <c r="H636" s="4" t="s">
        <v>653</v>
      </c>
      <c r="I636" s="4" t="s">
        <v>2103</v>
      </c>
    </row>
    <row r="637" spans="1:32" x14ac:dyDescent="0.25">
      <c r="A637" s="161" t="str">
        <f t="shared" si="9"/>
        <v>HORSEMAN_MIDEAST</v>
      </c>
      <c r="B637" s="9" t="s">
        <v>112</v>
      </c>
      <c r="C637" s="4" t="s">
        <v>690</v>
      </c>
      <c r="E637" s="4" t="s">
        <v>112</v>
      </c>
      <c r="F637" s="4" t="s">
        <v>112</v>
      </c>
      <c r="H637" s="4" t="s">
        <v>162</v>
      </c>
      <c r="I637" s="4" t="s">
        <v>2103</v>
      </c>
    </row>
    <row r="638" spans="1:32" x14ac:dyDescent="0.25">
      <c r="A638" s="161" t="str">
        <f t="shared" si="9"/>
        <v>HORSEMAN_ARABIA</v>
      </c>
      <c r="B638" s="9" t="s">
        <v>112</v>
      </c>
      <c r="C638" s="4" t="s">
        <v>700</v>
      </c>
      <c r="D638" s="14" t="s">
        <v>690</v>
      </c>
      <c r="E638" s="4" t="s">
        <v>112</v>
      </c>
      <c r="F638" s="4" t="s">
        <v>112</v>
      </c>
      <c r="G638" s="14"/>
    </row>
    <row r="639" spans="1:32" x14ac:dyDescent="0.25">
      <c r="A639" s="161" t="str">
        <f t="shared" si="9"/>
        <v>HORSEMAN_BABYLON</v>
      </c>
      <c r="B639" s="9" t="s">
        <v>112</v>
      </c>
      <c r="C639" s="4" t="s">
        <v>703</v>
      </c>
      <c r="E639" s="4" t="s">
        <v>112</v>
      </c>
      <c r="F639" s="4" t="s">
        <v>112</v>
      </c>
      <c r="G639" s="14"/>
      <c r="H639" s="4" t="s">
        <v>209</v>
      </c>
      <c r="I639" s="4" t="s">
        <v>102</v>
      </c>
    </row>
    <row r="640" spans="1:32" x14ac:dyDescent="0.25">
      <c r="A640" s="161" t="str">
        <f t="shared" si="9"/>
        <v>HORSEMAN_EGYPT</v>
      </c>
      <c r="B640" s="9" t="s">
        <v>112</v>
      </c>
      <c r="C640" s="4" t="s">
        <v>712</v>
      </c>
      <c r="E640" s="4" t="s">
        <v>112</v>
      </c>
      <c r="F640" s="4" t="s">
        <v>112</v>
      </c>
      <c r="G640" s="14" t="s">
        <v>132</v>
      </c>
      <c r="H640" s="4" t="s">
        <v>280</v>
      </c>
      <c r="I640" s="4" t="s">
        <v>2103</v>
      </c>
    </row>
    <row r="641" spans="1:43" x14ac:dyDescent="0.25">
      <c r="A641" s="161" t="str">
        <f t="shared" si="9"/>
        <v>HORSEMAN_LEVANT</v>
      </c>
      <c r="B641" s="9" t="s">
        <v>112</v>
      </c>
      <c r="C641" s="4" t="s">
        <v>724</v>
      </c>
      <c r="E641" s="4" t="s">
        <v>112</v>
      </c>
      <c r="F641" s="4" t="s">
        <v>112</v>
      </c>
      <c r="G641" s="14" t="s">
        <v>132</v>
      </c>
      <c r="H641" s="4" t="s">
        <v>509</v>
      </c>
      <c r="I641" s="4" t="s">
        <v>1063</v>
      </c>
    </row>
    <row r="642" spans="1:43" x14ac:dyDescent="0.25">
      <c r="A642" s="161" t="str">
        <f t="shared" si="9"/>
        <v>HORSEMAN_PERSIA</v>
      </c>
      <c r="B642" s="9" t="s">
        <v>112</v>
      </c>
      <c r="C642" s="4" t="s">
        <v>731</v>
      </c>
      <c r="E642" s="4" t="s">
        <v>112</v>
      </c>
      <c r="F642" s="4" t="s">
        <v>112</v>
      </c>
      <c r="G642" s="14" t="s">
        <v>132</v>
      </c>
      <c r="H642" s="4" t="s">
        <v>554</v>
      </c>
      <c r="I642" s="4" t="s">
        <v>102</v>
      </c>
    </row>
    <row r="643" spans="1:43" x14ac:dyDescent="0.25">
      <c r="A643" s="161" t="str">
        <f t="shared" si="9"/>
        <v>HORSEMAN_NORTHEU</v>
      </c>
      <c r="B643" s="9" t="s">
        <v>112</v>
      </c>
      <c r="C643" s="4" t="s">
        <v>962</v>
      </c>
      <c r="E643" s="4" t="s">
        <v>112</v>
      </c>
      <c r="F643" s="4" t="s">
        <v>112</v>
      </c>
      <c r="G643" s="14" t="s">
        <v>132</v>
      </c>
      <c r="H643" s="4" t="s">
        <v>267</v>
      </c>
      <c r="I643" s="4" t="s">
        <v>102</v>
      </c>
    </row>
    <row r="644" spans="1:43" x14ac:dyDescent="0.25">
      <c r="A644" s="161" t="str">
        <f t="shared" ref="A644:A733" si="10">CONCATENATE(E644,IF(ISBLANK(C644),"",CONCATENATE("_",C644)))</f>
        <v>HORSEMAN_OCEAN</v>
      </c>
      <c r="B644" s="9" t="s">
        <v>112</v>
      </c>
      <c r="C644" s="4" t="s">
        <v>994</v>
      </c>
      <c r="D644" s="4" t="s">
        <v>691</v>
      </c>
      <c r="E644" s="4" t="s">
        <v>112</v>
      </c>
      <c r="F644" s="4" t="s">
        <v>112</v>
      </c>
    </row>
    <row r="645" spans="1:43" x14ac:dyDescent="0.25">
      <c r="A645" s="161" t="str">
        <f t="shared" si="10"/>
        <v>HORSEMAN_SEASIA</v>
      </c>
      <c r="B645" s="9" t="s">
        <v>112</v>
      </c>
      <c r="C645" s="4" t="s">
        <v>696</v>
      </c>
      <c r="D645" s="4" t="s">
        <v>693</v>
      </c>
      <c r="E645" s="4" t="s">
        <v>112</v>
      </c>
      <c r="F645" s="4" t="s">
        <v>112</v>
      </c>
    </row>
    <row r="646" spans="1:43" x14ac:dyDescent="0.25">
      <c r="A646" s="161" t="str">
        <f t="shared" si="10"/>
        <v>HORSEMAN_SOUTHAM</v>
      </c>
      <c r="B646" s="9" t="s">
        <v>112</v>
      </c>
      <c r="C646" s="4" t="s">
        <v>691</v>
      </c>
      <c r="E646" s="4" t="s">
        <v>112</v>
      </c>
      <c r="F646" s="4" t="s">
        <v>112</v>
      </c>
      <c r="H646" s="4" t="s">
        <v>517</v>
      </c>
      <c r="I646" s="4" t="s">
        <v>2103</v>
      </c>
    </row>
    <row r="647" spans="1:43" x14ac:dyDescent="0.25">
      <c r="A647" s="161" t="str">
        <f t="shared" si="10"/>
        <v>HORSEMAN_AZTEC</v>
      </c>
      <c r="B647" s="9" t="s">
        <v>112</v>
      </c>
      <c r="C647" s="4" t="s">
        <v>702</v>
      </c>
      <c r="E647" s="4" t="s">
        <v>112</v>
      </c>
      <c r="F647" s="4" t="s">
        <v>112</v>
      </c>
      <c r="G647" s="14"/>
      <c r="H647" s="4" t="s">
        <v>196</v>
      </c>
      <c r="I647" s="4" t="s">
        <v>2103</v>
      </c>
    </row>
    <row r="648" spans="1:43" x14ac:dyDescent="0.25">
      <c r="A648" s="161" t="str">
        <f t="shared" si="10"/>
        <v>HORSEMAN_INCA</v>
      </c>
      <c r="B648" s="9" t="s">
        <v>112</v>
      </c>
      <c r="C648" s="4" t="s">
        <v>719</v>
      </c>
      <c r="E648" s="4" t="s">
        <v>112</v>
      </c>
      <c r="F648" s="4" t="s">
        <v>112</v>
      </c>
      <c r="G648" s="14" t="s">
        <v>132</v>
      </c>
      <c r="H648" s="4" t="s">
        <v>420</v>
      </c>
      <c r="I648" s="4" t="s">
        <v>2103</v>
      </c>
    </row>
    <row r="649" spans="1:43" x14ac:dyDescent="0.25">
      <c r="A649" s="161" t="str">
        <f t="shared" si="10"/>
        <v>HORSEMAN_MAYA</v>
      </c>
      <c r="B649" s="9" t="s">
        <v>112</v>
      </c>
      <c r="C649" s="4" t="s">
        <v>725</v>
      </c>
      <c r="D649" s="4" t="s">
        <v>691</v>
      </c>
      <c r="E649" s="4" t="s">
        <v>112</v>
      </c>
      <c r="F649" s="4" t="s">
        <v>112</v>
      </c>
      <c r="G649" s="14" t="s">
        <v>132</v>
      </c>
    </row>
    <row r="650" spans="1:43" x14ac:dyDescent="0.25">
      <c r="A650" s="161" t="str">
        <f t="shared" si="10"/>
        <v>HORSEMAN_SOUTHAS</v>
      </c>
      <c r="B650" s="9" t="s">
        <v>112</v>
      </c>
      <c r="C650" s="4" t="s">
        <v>695</v>
      </c>
      <c r="E650" s="4" t="s">
        <v>112</v>
      </c>
      <c r="F650" s="4" t="s">
        <v>112</v>
      </c>
      <c r="H650" s="4" t="s">
        <v>434</v>
      </c>
      <c r="I650" s="4" t="s">
        <v>102</v>
      </c>
    </row>
    <row r="651" spans="1:43" x14ac:dyDescent="0.25">
      <c r="A651" s="161" t="str">
        <f t="shared" si="10"/>
        <v>INFANTRY</v>
      </c>
      <c r="C651" s="5"/>
      <c r="D651" s="5"/>
      <c r="E651" s="5" t="s">
        <v>111</v>
      </c>
      <c r="F651" s="5" t="s">
        <v>111</v>
      </c>
      <c r="G651" s="5"/>
      <c r="H651" s="5" t="s">
        <v>1502</v>
      </c>
      <c r="I651" s="5" t="s">
        <v>102</v>
      </c>
      <c r="J651" s="6"/>
      <c r="K651" s="6"/>
      <c r="L651" s="13" t="s">
        <v>1708</v>
      </c>
      <c r="M651" s="8"/>
      <c r="N651" s="5"/>
      <c r="O651" s="5"/>
      <c r="P651" s="5"/>
      <c r="Q651" s="7" t="s">
        <v>1737</v>
      </c>
      <c r="R651" s="6" t="s">
        <v>1737</v>
      </c>
      <c r="S651" s="13" t="s">
        <v>1620</v>
      </c>
      <c r="T651" s="6">
        <v>18</v>
      </c>
      <c r="U651" s="7" t="s">
        <v>1737</v>
      </c>
      <c r="V651" s="5"/>
      <c r="W651" s="6" t="s">
        <v>3</v>
      </c>
      <c r="X651" s="6" t="s">
        <v>3</v>
      </c>
      <c r="Y651" s="5"/>
      <c r="Z651" s="7">
        <v>1</v>
      </c>
      <c r="AA651" s="6"/>
      <c r="AB651" s="5"/>
      <c r="AC651" s="6"/>
      <c r="AD651" s="6" t="s">
        <v>3</v>
      </c>
      <c r="AE651" s="5"/>
      <c r="AF651" s="7" t="s">
        <v>1737</v>
      </c>
      <c r="AG651" s="6"/>
      <c r="AH651" s="5"/>
      <c r="AI651" s="6" t="s">
        <v>1737</v>
      </c>
      <c r="AJ651" s="6"/>
      <c r="AK651" s="5"/>
      <c r="AL651" s="5"/>
      <c r="AM651" s="5"/>
      <c r="AN651" s="5"/>
      <c r="AO651" s="5"/>
      <c r="AP651" s="5"/>
      <c r="AQ651" s="5"/>
    </row>
    <row r="652" spans="1:43" x14ac:dyDescent="0.25">
      <c r="A652" s="161" t="str">
        <f t="shared" si="10"/>
        <v>INQUISITOR</v>
      </c>
      <c r="B652" s="9" t="s">
        <v>759</v>
      </c>
      <c r="C652" s="5"/>
      <c r="D652" s="5"/>
      <c r="E652" s="5" t="s">
        <v>759</v>
      </c>
      <c r="F652" s="5" t="s">
        <v>759</v>
      </c>
      <c r="G652" s="5"/>
      <c r="H652" s="5" t="s">
        <v>7</v>
      </c>
      <c r="I652" s="5" t="s">
        <v>128</v>
      </c>
      <c r="J652" s="11">
        <v>1</v>
      </c>
      <c r="K652" s="6"/>
      <c r="L652" s="13" t="s">
        <v>1708</v>
      </c>
      <c r="M652" s="8"/>
      <c r="N652" s="5"/>
      <c r="O652" s="5"/>
      <c r="P652" s="5"/>
      <c r="Q652" s="6">
        <v>1</v>
      </c>
      <c r="R652" s="6" t="s">
        <v>1737</v>
      </c>
      <c r="S652" s="13" t="s">
        <v>1614</v>
      </c>
      <c r="T652" s="6">
        <v>1</v>
      </c>
      <c r="U652" s="7" t="s">
        <v>1737</v>
      </c>
      <c r="V652" s="5"/>
      <c r="W652" s="6"/>
      <c r="X652" s="6" t="s">
        <v>3</v>
      </c>
      <c r="Y652" s="5"/>
      <c r="Z652" s="7">
        <v>1</v>
      </c>
      <c r="AA652" s="6"/>
      <c r="AB652" s="5"/>
      <c r="AC652" s="6"/>
      <c r="AD652" s="6" t="s">
        <v>3</v>
      </c>
      <c r="AE652" s="5"/>
      <c r="AF652" s="6">
        <v>1</v>
      </c>
      <c r="AG652" s="6"/>
      <c r="AH652" s="5"/>
      <c r="AI652" s="6"/>
      <c r="AJ652" s="6"/>
      <c r="AK652" s="5"/>
      <c r="AL652" s="5"/>
      <c r="AM652" s="5"/>
      <c r="AN652" s="5"/>
      <c r="AO652" s="5"/>
      <c r="AP652" s="5"/>
      <c r="AQ652" s="5"/>
    </row>
    <row r="653" spans="1:43" x14ac:dyDescent="0.25">
      <c r="A653" s="161" t="str">
        <f t="shared" si="10"/>
        <v>INQUISITOR</v>
      </c>
      <c r="B653" s="9" t="s">
        <v>759</v>
      </c>
      <c r="C653" s="5"/>
      <c r="D653" s="5"/>
      <c r="E653" s="5" t="s">
        <v>759</v>
      </c>
      <c r="F653" s="5" t="s">
        <v>759</v>
      </c>
      <c r="G653" s="5" t="s">
        <v>2080</v>
      </c>
      <c r="H653" s="5" t="s">
        <v>1486</v>
      </c>
      <c r="I653" s="5" t="s">
        <v>128</v>
      </c>
      <c r="J653" s="11">
        <v>1</v>
      </c>
      <c r="K653" s="6"/>
      <c r="L653" s="13" t="s">
        <v>1708</v>
      </c>
      <c r="M653" s="8"/>
      <c r="N653" s="5"/>
      <c r="O653" s="5"/>
      <c r="P653" s="5"/>
      <c r="Q653" s="6">
        <v>1</v>
      </c>
      <c r="R653" s="6">
        <v>0.125</v>
      </c>
      <c r="S653" s="13" t="s">
        <v>1614</v>
      </c>
      <c r="T653" s="6">
        <v>1</v>
      </c>
      <c r="U653" s="7" t="s">
        <v>1737</v>
      </c>
      <c r="V653" s="5"/>
      <c r="W653" s="6"/>
      <c r="X653" s="6" t="s">
        <v>3</v>
      </c>
      <c r="Y653" s="5"/>
      <c r="Z653" s="7">
        <v>0</v>
      </c>
      <c r="AA653" s="6"/>
      <c r="AB653" s="5"/>
      <c r="AC653" s="6"/>
      <c r="AD653" s="6" t="s">
        <v>3</v>
      </c>
      <c r="AE653" s="5"/>
      <c r="AF653" s="6">
        <v>1</v>
      </c>
      <c r="AG653" s="6"/>
      <c r="AH653" s="5"/>
      <c r="AI653" s="6"/>
      <c r="AJ653" s="6"/>
      <c r="AK653" s="5"/>
      <c r="AL653" s="5"/>
      <c r="AM653" s="5"/>
      <c r="AN653" s="5"/>
      <c r="AO653" s="5"/>
      <c r="AP653" s="5"/>
      <c r="AQ653" s="5"/>
    </row>
    <row r="654" spans="1:43" x14ac:dyDescent="0.25">
      <c r="A654" s="161" t="str">
        <f t="shared" si="10"/>
        <v>INQUISITOR</v>
      </c>
      <c r="B654" s="9" t="s">
        <v>759</v>
      </c>
      <c r="C654" s="5"/>
      <c r="D654" s="5"/>
      <c r="E654" s="5" t="s">
        <v>759</v>
      </c>
      <c r="F654" s="5" t="s">
        <v>759</v>
      </c>
      <c r="G654" s="5" t="s">
        <v>2081</v>
      </c>
      <c r="H654" s="5" t="s">
        <v>1487</v>
      </c>
      <c r="I654" s="5" t="s">
        <v>128</v>
      </c>
      <c r="J654" s="11">
        <v>1</v>
      </c>
      <c r="K654" s="6"/>
      <c r="L654" s="13" t="s">
        <v>1708</v>
      </c>
      <c r="M654" s="8"/>
      <c r="N654" s="5"/>
      <c r="O654" s="5"/>
      <c r="P654" s="5"/>
      <c r="Q654" s="6">
        <v>1</v>
      </c>
      <c r="R654" s="6">
        <v>0.13</v>
      </c>
      <c r="S654" s="13" t="s">
        <v>1614</v>
      </c>
      <c r="T654" s="6">
        <v>1</v>
      </c>
      <c r="U654" s="7" t="s">
        <v>1737</v>
      </c>
      <c r="V654" s="5"/>
      <c r="W654" s="6"/>
      <c r="X654" s="6" t="s">
        <v>3</v>
      </c>
      <c r="Y654" s="5"/>
      <c r="Z654" s="7">
        <v>0</v>
      </c>
      <c r="AA654" s="6"/>
      <c r="AB654" s="5"/>
      <c r="AC654" s="6"/>
      <c r="AD654" s="6" t="s">
        <v>3</v>
      </c>
      <c r="AE654" s="5"/>
      <c r="AF654" s="6">
        <v>0</v>
      </c>
      <c r="AG654" s="6"/>
      <c r="AH654" s="5"/>
      <c r="AI654" s="6"/>
      <c r="AJ654" s="6"/>
      <c r="AK654" s="5"/>
      <c r="AL654" s="5"/>
      <c r="AM654" s="5"/>
      <c r="AN654" s="5"/>
      <c r="AO654" s="5"/>
      <c r="AP654" s="5"/>
      <c r="AQ654" s="5"/>
    </row>
    <row r="655" spans="1:43" x14ac:dyDescent="0.25">
      <c r="A655" s="161" t="str">
        <f t="shared" si="10"/>
        <v>INQUISITOR_AFRI</v>
      </c>
      <c r="B655" s="9" t="s">
        <v>759</v>
      </c>
      <c r="C655" s="4" t="s">
        <v>694</v>
      </c>
      <c r="D655" s="4" t="s">
        <v>690</v>
      </c>
      <c r="E655" s="4" t="s">
        <v>759</v>
      </c>
      <c r="F655" s="4" t="s">
        <v>759</v>
      </c>
    </row>
    <row r="656" spans="1:43" x14ac:dyDescent="0.25">
      <c r="A656" s="161" t="str">
        <f>CONCATENATE(E656,IF(ISBLANK(C656),"",CONCATENATE("_",C656)))</f>
        <v>INQUISITOR_AMER</v>
      </c>
      <c r="B656" s="9" t="s">
        <v>759</v>
      </c>
      <c r="C656" s="4" t="s">
        <v>697</v>
      </c>
      <c r="E656" s="4" t="s">
        <v>759</v>
      </c>
      <c r="F656" s="4" t="s">
        <v>759</v>
      </c>
      <c r="H656" s="4" t="s">
        <v>1798</v>
      </c>
      <c r="I656" s="4" t="s">
        <v>963</v>
      </c>
      <c r="J656" s="11">
        <v>1</v>
      </c>
      <c r="Q656" s="11">
        <v>1</v>
      </c>
      <c r="Z656" s="11">
        <v>1</v>
      </c>
      <c r="AF656" s="11">
        <v>1</v>
      </c>
    </row>
    <row r="657" spans="1:43" x14ac:dyDescent="0.25">
      <c r="A657" s="161" t="str">
        <f>CONCATENATE(E657,IF(ISBLANK(C657),"",CONCATENATE("_",C657)))</f>
        <v>INQUISITOR_AMER</v>
      </c>
      <c r="B657" s="9" t="s">
        <v>759</v>
      </c>
      <c r="C657" s="4" t="s">
        <v>697</v>
      </c>
      <c r="E657" s="4" t="s">
        <v>759</v>
      </c>
      <c r="F657" s="4" t="s">
        <v>759</v>
      </c>
      <c r="G657" s="4" t="s">
        <v>2040</v>
      </c>
      <c r="H657" s="4" t="s">
        <v>1801</v>
      </c>
      <c r="I657" s="4" t="s">
        <v>963</v>
      </c>
      <c r="J657" s="11">
        <v>1</v>
      </c>
      <c r="Q657" s="11">
        <v>2</v>
      </c>
      <c r="Z657" s="11">
        <v>0</v>
      </c>
      <c r="AF657" s="11">
        <v>1</v>
      </c>
    </row>
    <row r="658" spans="1:43" x14ac:dyDescent="0.25">
      <c r="A658" s="161" t="str">
        <f t="shared" si="10"/>
        <v>INQUISITOR_ASIA</v>
      </c>
      <c r="B658" s="9" t="s">
        <v>759</v>
      </c>
      <c r="C658" s="4" t="s">
        <v>693</v>
      </c>
      <c r="E658" s="4" t="s">
        <v>759</v>
      </c>
      <c r="F658" s="4" t="s">
        <v>759</v>
      </c>
      <c r="H658" s="4" t="s">
        <v>842</v>
      </c>
      <c r="I658" s="4" t="s">
        <v>102</v>
      </c>
      <c r="J658" s="11">
        <v>1</v>
      </c>
      <c r="Q658" s="11">
        <v>1</v>
      </c>
      <c r="Z658" s="11">
        <v>1</v>
      </c>
      <c r="AF658" s="11">
        <v>1</v>
      </c>
    </row>
    <row r="659" spans="1:43" x14ac:dyDescent="0.25">
      <c r="A659" s="161" t="str">
        <f>CONCATENATE(E659,IF(ISBLANK(C659),"",CONCATENATE("_",C659)))</f>
        <v>INQUISITOR_ASIA</v>
      </c>
      <c r="B659" s="9" t="s">
        <v>759</v>
      </c>
      <c r="C659" s="4" t="s">
        <v>693</v>
      </c>
      <c r="E659" s="4" t="s">
        <v>759</v>
      </c>
      <c r="F659" s="4" t="s">
        <v>759</v>
      </c>
      <c r="G659" s="4" t="s">
        <v>2040</v>
      </c>
      <c r="H659" s="4" t="s">
        <v>1793</v>
      </c>
      <c r="I659" s="4" t="s">
        <v>102</v>
      </c>
      <c r="J659" s="11">
        <v>1</v>
      </c>
      <c r="Q659" s="11">
        <v>2</v>
      </c>
      <c r="R659" s="11">
        <v>0.13500000000000001</v>
      </c>
      <c r="Z659" s="11">
        <v>0</v>
      </c>
      <c r="AF659" s="11">
        <v>1</v>
      </c>
    </row>
    <row r="660" spans="1:43" x14ac:dyDescent="0.25">
      <c r="A660" s="161" t="str">
        <f t="shared" si="10"/>
        <v>INQUISITOR_CENTAS</v>
      </c>
      <c r="B660" s="9" t="s">
        <v>759</v>
      </c>
      <c r="C660" s="4" t="s">
        <v>918</v>
      </c>
      <c r="D660" s="4" t="s">
        <v>690</v>
      </c>
      <c r="E660" s="4" t="s">
        <v>759</v>
      </c>
      <c r="F660" s="4" t="s">
        <v>759</v>
      </c>
      <c r="G660" s="14" t="s">
        <v>132</v>
      </c>
      <c r="H660" s="14"/>
    </row>
    <row r="661" spans="1:43" x14ac:dyDescent="0.25">
      <c r="A661" s="161" t="str">
        <f t="shared" si="10"/>
        <v>INQUISITOR_CELTS</v>
      </c>
      <c r="B661" s="9" t="s">
        <v>759</v>
      </c>
      <c r="C661" s="4" t="s">
        <v>709</v>
      </c>
      <c r="E661" s="4" t="s">
        <v>759</v>
      </c>
      <c r="F661" s="4" t="s">
        <v>759</v>
      </c>
      <c r="G661" s="14" t="s">
        <v>132</v>
      </c>
      <c r="H661" s="4" t="s">
        <v>237</v>
      </c>
      <c r="I661" s="4" t="s">
        <v>957</v>
      </c>
      <c r="J661" s="11">
        <v>1</v>
      </c>
      <c r="Q661" s="11">
        <v>3</v>
      </c>
      <c r="Z661" s="11">
        <v>1</v>
      </c>
      <c r="AF661" s="11">
        <v>2</v>
      </c>
    </row>
    <row r="662" spans="1:43" x14ac:dyDescent="0.25">
      <c r="A662" s="161" t="str">
        <f t="shared" si="10"/>
        <v>INQUISITOR_MIDEAST</v>
      </c>
      <c r="B662" s="9" t="s">
        <v>759</v>
      </c>
      <c r="C662" s="4" t="s">
        <v>690</v>
      </c>
      <c r="E662" s="4" t="s">
        <v>759</v>
      </c>
      <c r="F662" s="4" t="s">
        <v>759</v>
      </c>
      <c r="H662" s="4" t="s">
        <v>859</v>
      </c>
      <c r="I662" s="4" t="s">
        <v>951</v>
      </c>
      <c r="J662" s="11">
        <v>1</v>
      </c>
      <c r="Q662" s="11">
        <v>3</v>
      </c>
      <c r="R662" s="11">
        <v>1.7</v>
      </c>
      <c r="U662" s="11">
        <v>1.3</v>
      </c>
      <c r="Z662" s="9">
        <v>1</v>
      </c>
      <c r="AF662" s="11">
        <v>2</v>
      </c>
    </row>
    <row r="663" spans="1:43" x14ac:dyDescent="0.25">
      <c r="A663" s="161" t="str">
        <f t="shared" si="10"/>
        <v>INQUISITOR_OCEAN</v>
      </c>
      <c r="B663" s="9" t="s">
        <v>759</v>
      </c>
      <c r="C663" s="4" t="s">
        <v>994</v>
      </c>
      <c r="D663" s="4" t="s">
        <v>691</v>
      </c>
      <c r="E663" s="4" t="s">
        <v>759</v>
      </c>
      <c r="F663" s="4" t="s">
        <v>759</v>
      </c>
    </row>
    <row r="664" spans="1:43" x14ac:dyDescent="0.25">
      <c r="A664" s="161" t="str">
        <f t="shared" si="10"/>
        <v>INQUISITOR_SEASIA</v>
      </c>
      <c r="B664" s="9" t="s">
        <v>759</v>
      </c>
      <c r="C664" s="4" t="s">
        <v>696</v>
      </c>
      <c r="D664" s="4" t="s">
        <v>693</v>
      </c>
      <c r="E664" s="4" t="s">
        <v>759</v>
      </c>
      <c r="F664" s="4" t="s">
        <v>759</v>
      </c>
    </row>
    <row r="665" spans="1:43" x14ac:dyDescent="0.25">
      <c r="A665" s="161" t="str">
        <f>CONCATENATE(E665,IF(ISBLANK(C665),"",CONCATENATE("_",C665)))</f>
        <v>INQUISITOR_SOUTHAM</v>
      </c>
      <c r="B665" s="9" t="s">
        <v>759</v>
      </c>
      <c r="C665" s="4" t="s">
        <v>691</v>
      </c>
      <c r="E665" s="4" t="s">
        <v>759</v>
      </c>
      <c r="F665" s="4" t="s">
        <v>759</v>
      </c>
      <c r="H665" s="4" t="s">
        <v>2192</v>
      </c>
      <c r="I665" s="4" t="s">
        <v>1046</v>
      </c>
      <c r="J665" s="11">
        <v>1</v>
      </c>
      <c r="Q665" s="11">
        <v>1</v>
      </c>
      <c r="Z665" s="11">
        <v>1</v>
      </c>
      <c r="AF665" s="11">
        <v>1</v>
      </c>
    </row>
    <row r="666" spans="1:43" x14ac:dyDescent="0.25">
      <c r="A666" s="161" t="str">
        <f>CONCATENATE(E666,IF(ISBLANK(C666),"",CONCATENATE("_",C666)))</f>
        <v>INQUISITOR_SOUTHAM</v>
      </c>
      <c r="B666" s="9" t="s">
        <v>759</v>
      </c>
      <c r="C666" s="4" t="s">
        <v>691</v>
      </c>
      <c r="E666" s="4" t="s">
        <v>759</v>
      </c>
      <c r="F666" s="4" t="s">
        <v>759</v>
      </c>
      <c r="G666" s="4" t="s">
        <v>2040</v>
      </c>
      <c r="H666" s="4" t="s">
        <v>1799</v>
      </c>
      <c r="I666" s="4" t="s">
        <v>963</v>
      </c>
      <c r="J666" s="11">
        <v>1</v>
      </c>
      <c r="Q666" s="11">
        <v>2</v>
      </c>
      <c r="Z666" s="11">
        <v>0</v>
      </c>
      <c r="AF666" s="11">
        <v>1</v>
      </c>
    </row>
    <row r="667" spans="1:43" x14ac:dyDescent="0.25">
      <c r="A667" s="161" t="str">
        <f t="shared" si="10"/>
        <v>INQUISITOR_SOUTHAS</v>
      </c>
      <c r="B667" s="9" t="s">
        <v>759</v>
      </c>
      <c r="C667" s="4" t="s">
        <v>695</v>
      </c>
      <c r="D667" s="4" t="s">
        <v>693</v>
      </c>
      <c r="E667" s="4" t="s">
        <v>759</v>
      </c>
      <c r="F667" s="4" t="s">
        <v>759</v>
      </c>
    </row>
    <row r="668" spans="1:43" x14ac:dyDescent="0.25">
      <c r="A668" s="161" t="str">
        <f t="shared" ref="A668:A683" si="11">CONCATENATE(E668,IF(ISBLANK(C668),"",CONCATENATE("_",C668)))</f>
        <v>INQUISITOR_RENAISSANCE</v>
      </c>
      <c r="B668" s="9" t="s">
        <v>759</v>
      </c>
      <c r="C668" s="5"/>
      <c r="D668" s="5"/>
      <c r="E668" s="5" t="s">
        <v>2132</v>
      </c>
      <c r="F668" s="5" t="s">
        <v>759</v>
      </c>
      <c r="G668" s="5"/>
      <c r="H668" s="5" t="s">
        <v>7</v>
      </c>
      <c r="I668" s="5" t="s">
        <v>128</v>
      </c>
      <c r="K668" s="6"/>
      <c r="L668" s="13" t="s">
        <v>1708</v>
      </c>
      <c r="M668" s="8"/>
      <c r="N668" s="5"/>
      <c r="O668" s="5"/>
      <c r="P668" s="5"/>
      <c r="Q668" s="6">
        <v>1</v>
      </c>
      <c r="R668" s="6" t="s">
        <v>1737</v>
      </c>
      <c r="S668" s="13" t="s">
        <v>1614</v>
      </c>
      <c r="T668" s="6">
        <v>1</v>
      </c>
      <c r="U668" s="7" t="s">
        <v>1737</v>
      </c>
      <c r="V668" s="5"/>
      <c r="W668" s="6"/>
      <c r="X668" s="6" t="s">
        <v>3</v>
      </c>
      <c r="Y668" s="5"/>
      <c r="Z668" s="7">
        <v>1</v>
      </c>
      <c r="AA668" s="6"/>
      <c r="AB668" s="5"/>
      <c r="AC668" s="6"/>
      <c r="AD668" s="6" t="s">
        <v>3</v>
      </c>
      <c r="AE668" s="5"/>
      <c r="AF668" s="6">
        <v>1</v>
      </c>
      <c r="AG668" s="6"/>
      <c r="AH668" s="5"/>
      <c r="AI668" s="6"/>
      <c r="AJ668" s="6"/>
      <c r="AK668" s="5"/>
      <c r="AL668" s="5"/>
      <c r="AM668" s="5"/>
      <c r="AN668" s="5"/>
      <c r="AO668" s="5"/>
      <c r="AP668" s="5"/>
      <c r="AQ668" s="5"/>
    </row>
    <row r="669" spans="1:43" x14ac:dyDescent="0.25">
      <c r="A669" s="161" t="str">
        <f t="shared" si="11"/>
        <v>INQUISITOR_RENAISSANCE</v>
      </c>
      <c r="B669" s="9" t="s">
        <v>759</v>
      </c>
      <c r="C669" s="5"/>
      <c r="D669" s="5"/>
      <c r="E669" s="5" t="s">
        <v>2132</v>
      </c>
      <c r="F669" s="5" t="s">
        <v>759</v>
      </c>
      <c r="G669" s="5" t="s">
        <v>2080</v>
      </c>
      <c r="H669" s="5" t="s">
        <v>1486</v>
      </c>
      <c r="I669" s="5" t="s">
        <v>128</v>
      </c>
      <c r="K669" s="6"/>
      <c r="L669" s="13" t="s">
        <v>1708</v>
      </c>
      <c r="M669" s="8"/>
      <c r="N669" s="5"/>
      <c r="O669" s="5"/>
      <c r="P669" s="5"/>
      <c r="Q669" s="6">
        <v>1</v>
      </c>
      <c r="R669" s="6">
        <v>0.125</v>
      </c>
      <c r="S669" s="13" t="s">
        <v>1614</v>
      </c>
      <c r="T669" s="6">
        <v>1</v>
      </c>
      <c r="U669" s="7" t="s">
        <v>1737</v>
      </c>
      <c r="V669" s="5"/>
      <c r="W669" s="6"/>
      <c r="X669" s="6" t="s">
        <v>3</v>
      </c>
      <c r="Y669" s="5"/>
      <c r="Z669" s="7">
        <v>0</v>
      </c>
      <c r="AA669" s="6"/>
      <c r="AB669" s="5"/>
      <c r="AC669" s="6"/>
      <c r="AD669" s="6" t="s">
        <v>3</v>
      </c>
      <c r="AE669" s="5"/>
      <c r="AF669" s="6">
        <v>1</v>
      </c>
      <c r="AG669" s="6"/>
      <c r="AH669" s="5"/>
      <c r="AI669" s="6"/>
      <c r="AJ669" s="6"/>
      <c r="AK669" s="5"/>
      <c r="AL669" s="5"/>
      <c r="AM669" s="5"/>
      <c r="AN669" s="5"/>
      <c r="AO669" s="5"/>
      <c r="AP669" s="5"/>
      <c r="AQ669" s="5"/>
    </row>
    <row r="670" spans="1:43" x14ac:dyDescent="0.25">
      <c r="A670" s="161" t="str">
        <f t="shared" si="11"/>
        <v>INQUISITOR_RENAISSANCE</v>
      </c>
      <c r="B670" s="9" t="s">
        <v>759</v>
      </c>
      <c r="C670" s="5"/>
      <c r="D670" s="5"/>
      <c r="E670" s="5" t="s">
        <v>2132</v>
      </c>
      <c r="F670" s="5" t="s">
        <v>759</v>
      </c>
      <c r="G670" s="5" t="s">
        <v>2081</v>
      </c>
      <c r="H670" s="5" t="s">
        <v>1487</v>
      </c>
      <c r="I670" s="5" t="s">
        <v>128</v>
      </c>
      <c r="K670" s="6"/>
      <c r="L670" s="13" t="s">
        <v>1708</v>
      </c>
      <c r="M670" s="8"/>
      <c r="N670" s="5"/>
      <c r="O670" s="5"/>
      <c r="P670" s="5"/>
      <c r="Q670" s="6">
        <v>1</v>
      </c>
      <c r="R670" s="6">
        <v>0.13</v>
      </c>
      <c r="S670" s="13" t="s">
        <v>1614</v>
      </c>
      <c r="T670" s="6">
        <v>1</v>
      </c>
      <c r="U670" s="7" t="s">
        <v>1737</v>
      </c>
      <c r="V670" s="5"/>
      <c r="W670" s="6"/>
      <c r="X670" s="6" t="s">
        <v>3</v>
      </c>
      <c r="Y670" s="5"/>
      <c r="Z670" s="7">
        <v>0</v>
      </c>
      <c r="AA670" s="6"/>
      <c r="AB670" s="5"/>
      <c r="AC670" s="6"/>
      <c r="AD670" s="6" t="s">
        <v>3</v>
      </c>
      <c r="AE670" s="5"/>
      <c r="AF670" s="6">
        <v>0</v>
      </c>
      <c r="AG670" s="6"/>
      <c r="AH670" s="5"/>
      <c r="AI670" s="6"/>
      <c r="AJ670" s="6"/>
      <c r="AK670" s="5"/>
      <c r="AL670" s="5"/>
      <c r="AM670" s="5"/>
      <c r="AN670" s="5"/>
      <c r="AO670" s="5"/>
      <c r="AP670" s="5"/>
      <c r="AQ670" s="5"/>
    </row>
    <row r="671" spans="1:43" x14ac:dyDescent="0.25">
      <c r="A671" s="161" t="str">
        <f t="shared" si="11"/>
        <v>INQUISITOR_RENAISSANCE_AFRI</v>
      </c>
      <c r="B671" s="9" t="s">
        <v>759</v>
      </c>
      <c r="C671" s="4" t="s">
        <v>694</v>
      </c>
      <c r="D671" s="4" t="s">
        <v>690</v>
      </c>
      <c r="E671" s="4" t="s">
        <v>2132</v>
      </c>
      <c r="F671" s="4" t="s">
        <v>759</v>
      </c>
    </row>
    <row r="672" spans="1:43" x14ac:dyDescent="0.25">
      <c r="A672" s="161" t="str">
        <f t="shared" si="11"/>
        <v>INQUISITOR_RENAISSANCE_AMER</v>
      </c>
      <c r="B672" s="9" t="s">
        <v>759</v>
      </c>
      <c r="C672" s="4" t="s">
        <v>697</v>
      </c>
      <c r="E672" s="4" t="s">
        <v>2132</v>
      </c>
      <c r="F672" s="4" t="s">
        <v>759</v>
      </c>
      <c r="H672" s="4" t="s">
        <v>1798</v>
      </c>
      <c r="I672" s="4" t="s">
        <v>963</v>
      </c>
      <c r="Q672" s="11">
        <v>1</v>
      </c>
      <c r="Z672" s="11">
        <v>1</v>
      </c>
      <c r="AF672" s="11">
        <v>1</v>
      </c>
    </row>
    <row r="673" spans="1:43" x14ac:dyDescent="0.25">
      <c r="A673" s="161" t="str">
        <f t="shared" si="11"/>
        <v>INQUISITOR_RENAISSANCE_AMER</v>
      </c>
      <c r="B673" s="9" t="s">
        <v>759</v>
      </c>
      <c r="C673" s="4" t="s">
        <v>697</v>
      </c>
      <c r="E673" s="4" t="s">
        <v>2132</v>
      </c>
      <c r="F673" s="4" t="s">
        <v>759</v>
      </c>
      <c r="G673" s="4" t="s">
        <v>2040</v>
      </c>
      <c r="H673" s="4" t="s">
        <v>1801</v>
      </c>
      <c r="I673" s="4" t="s">
        <v>963</v>
      </c>
      <c r="Q673" s="11">
        <v>2</v>
      </c>
      <c r="Z673" s="11">
        <v>0</v>
      </c>
      <c r="AF673" s="11">
        <v>1</v>
      </c>
    </row>
    <row r="674" spans="1:43" x14ac:dyDescent="0.25">
      <c r="A674" s="161" t="str">
        <f t="shared" si="11"/>
        <v>INQUISITOR_RENAISSANCE_ASIA</v>
      </c>
      <c r="B674" s="9" t="s">
        <v>759</v>
      </c>
      <c r="C674" s="4" t="s">
        <v>693</v>
      </c>
      <c r="E674" s="4" t="s">
        <v>2132</v>
      </c>
      <c r="F674" s="4" t="s">
        <v>759</v>
      </c>
      <c r="H674" s="4" t="s">
        <v>842</v>
      </c>
      <c r="I674" s="4" t="s">
        <v>102</v>
      </c>
      <c r="Q674" s="11">
        <v>1</v>
      </c>
      <c r="Z674" s="11">
        <v>1</v>
      </c>
      <c r="AF674" s="11">
        <v>1</v>
      </c>
    </row>
    <row r="675" spans="1:43" x14ac:dyDescent="0.25">
      <c r="A675" s="161" t="str">
        <f t="shared" si="11"/>
        <v>INQUISITOR_RENAISSANCE_ASIA</v>
      </c>
      <c r="B675" s="9" t="s">
        <v>759</v>
      </c>
      <c r="C675" s="4" t="s">
        <v>693</v>
      </c>
      <c r="E675" s="4" t="s">
        <v>2132</v>
      </c>
      <c r="F675" s="4" t="s">
        <v>759</v>
      </c>
      <c r="G675" s="4" t="s">
        <v>2040</v>
      </c>
      <c r="H675" s="4" t="s">
        <v>1793</v>
      </c>
      <c r="I675" s="4" t="s">
        <v>102</v>
      </c>
      <c r="Q675" s="11">
        <v>2</v>
      </c>
      <c r="R675" s="11">
        <v>0.13500000000000001</v>
      </c>
      <c r="Z675" s="11">
        <v>0</v>
      </c>
      <c r="AF675" s="11">
        <v>1</v>
      </c>
    </row>
    <row r="676" spans="1:43" x14ac:dyDescent="0.25">
      <c r="A676" s="161" t="str">
        <f t="shared" si="11"/>
        <v>INQUISITOR_RENAISSANCE_CENTAS</v>
      </c>
      <c r="B676" s="9" t="s">
        <v>759</v>
      </c>
      <c r="C676" s="4" t="s">
        <v>918</v>
      </c>
      <c r="D676" s="4" t="s">
        <v>690</v>
      </c>
      <c r="E676" s="4" t="s">
        <v>2132</v>
      </c>
      <c r="F676" s="4" t="s">
        <v>759</v>
      </c>
      <c r="G676" s="14" t="s">
        <v>132</v>
      </c>
      <c r="H676" s="14"/>
    </row>
    <row r="677" spans="1:43" x14ac:dyDescent="0.25">
      <c r="A677" s="161" t="str">
        <f t="shared" si="11"/>
        <v>INQUISITOR_RENAISSANCE_CELTS</v>
      </c>
      <c r="B677" s="9" t="s">
        <v>759</v>
      </c>
      <c r="C677" s="4" t="s">
        <v>709</v>
      </c>
      <c r="E677" s="4" t="s">
        <v>2132</v>
      </c>
      <c r="F677" s="4" t="s">
        <v>759</v>
      </c>
      <c r="G677" s="14" t="s">
        <v>132</v>
      </c>
      <c r="H677" s="4" t="s">
        <v>237</v>
      </c>
      <c r="I677" s="4" t="s">
        <v>957</v>
      </c>
      <c r="Q677" s="11">
        <v>3</v>
      </c>
      <c r="Z677" s="11">
        <v>1</v>
      </c>
      <c r="AF677" s="11">
        <v>2</v>
      </c>
    </row>
    <row r="678" spans="1:43" x14ac:dyDescent="0.25">
      <c r="A678" s="161" t="str">
        <f t="shared" si="11"/>
        <v>INQUISITOR_RENAISSANCE_MIDEAST</v>
      </c>
      <c r="B678" s="9" t="s">
        <v>759</v>
      </c>
      <c r="C678" s="4" t="s">
        <v>690</v>
      </c>
      <c r="E678" s="4" t="s">
        <v>2132</v>
      </c>
      <c r="F678" s="4" t="s">
        <v>759</v>
      </c>
      <c r="H678" s="4" t="s">
        <v>859</v>
      </c>
      <c r="I678" s="4" t="s">
        <v>951</v>
      </c>
      <c r="Q678" s="11">
        <v>3</v>
      </c>
      <c r="R678" s="11">
        <v>1.5</v>
      </c>
      <c r="U678" s="11">
        <v>1.1000000000000001</v>
      </c>
      <c r="Z678" s="9">
        <v>1</v>
      </c>
      <c r="AF678" s="11">
        <v>2</v>
      </c>
    </row>
    <row r="679" spans="1:43" x14ac:dyDescent="0.25">
      <c r="A679" s="161" t="str">
        <f t="shared" si="11"/>
        <v>INQUISITOR_RENAISSANCE_OCEAN</v>
      </c>
      <c r="B679" s="9" t="s">
        <v>759</v>
      </c>
      <c r="C679" s="4" t="s">
        <v>994</v>
      </c>
      <c r="D679" s="4" t="s">
        <v>691</v>
      </c>
      <c r="E679" s="4" t="s">
        <v>2132</v>
      </c>
      <c r="F679" s="4" t="s">
        <v>759</v>
      </c>
    </row>
    <row r="680" spans="1:43" x14ac:dyDescent="0.25">
      <c r="A680" s="161" t="str">
        <f t="shared" si="11"/>
        <v>INQUISITOR_RENAISSANCE_SEASIA</v>
      </c>
      <c r="B680" s="9" t="s">
        <v>759</v>
      </c>
      <c r="C680" s="4" t="s">
        <v>696</v>
      </c>
      <c r="D680" s="4" t="s">
        <v>693</v>
      </c>
      <c r="E680" s="4" t="s">
        <v>2132</v>
      </c>
      <c r="F680" s="4" t="s">
        <v>759</v>
      </c>
    </row>
    <row r="681" spans="1:43" x14ac:dyDescent="0.25">
      <c r="A681" s="161" t="str">
        <f t="shared" si="11"/>
        <v>INQUISITOR_RENAISSANCE_SOUTHAM</v>
      </c>
      <c r="B681" s="9" t="s">
        <v>759</v>
      </c>
      <c r="C681" s="4" t="s">
        <v>691</v>
      </c>
      <c r="E681" s="4" t="s">
        <v>2132</v>
      </c>
      <c r="F681" s="4" t="s">
        <v>759</v>
      </c>
      <c r="H681" s="4" t="s">
        <v>2192</v>
      </c>
      <c r="I681" s="4" t="s">
        <v>957</v>
      </c>
      <c r="Q681" s="11">
        <v>1</v>
      </c>
      <c r="Z681" s="11">
        <v>1</v>
      </c>
      <c r="AF681" s="11">
        <v>1</v>
      </c>
    </row>
    <row r="682" spans="1:43" x14ac:dyDescent="0.25">
      <c r="A682" s="161" t="str">
        <f t="shared" si="11"/>
        <v>INQUISITOR_RENAISSANCE_SOUTHAM</v>
      </c>
      <c r="B682" s="9" t="s">
        <v>759</v>
      </c>
      <c r="C682" s="4" t="s">
        <v>691</v>
      </c>
      <c r="E682" s="4" t="s">
        <v>2132</v>
      </c>
      <c r="F682" s="4" t="s">
        <v>759</v>
      </c>
      <c r="G682" s="4" t="s">
        <v>2040</v>
      </c>
      <c r="H682" s="4" t="s">
        <v>1799</v>
      </c>
      <c r="I682" s="4" t="s">
        <v>963</v>
      </c>
      <c r="Q682" s="11">
        <v>2</v>
      </c>
      <c r="Z682" s="11">
        <v>0</v>
      </c>
      <c r="AF682" s="11">
        <v>1</v>
      </c>
    </row>
    <row r="683" spans="1:43" x14ac:dyDescent="0.25">
      <c r="A683" s="161" t="str">
        <f t="shared" si="11"/>
        <v>INQUISITOR_RENAISSANCE_SOUTHAS</v>
      </c>
      <c r="B683" s="9" t="s">
        <v>759</v>
      </c>
      <c r="C683" s="4" t="s">
        <v>695</v>
      </c>
      <c r="D683" s="4" t="s">
        <v>693</v>
      </c>
      <c r="E683" s="4" t="s">
        <v>2132</v>
      </c>
      <c r="F683" s="4" t="s">
        <v>759</v>
      </c>
    </row>
    <row r="684" spans="1:43" x14ac:dyDescent="0.25">
      <c r="A684" s="161" t="str">
        <f t="shared" si="10"/>
        <v>IRONCLAD</v>
      </c>
      <c r="B684" s="9" t="s">
        <v>760</v>
      </c>
      <c r="C684" s="5"/>
      <c r="D684" s="5"/>
      <c r="E684" s="5" t="s">
        <v>760</v>
      </c>
      <c r="F684" s="5" t="s">
        <v>760</v>
      </c>
      <c r="G684" s="5"/>
      <c r="H684" s="5" t="s">
        <v>29</v>
      </c>
      <c r="I684" s="5" t="s">
        <v>128</v>
      </c>
      <c r="J684" s="6"/>
      <c r="K684" s="7"/>
      <c r="L684" s="13" t="s">
        <v>1713</v>
      </c>
      <c r="M684" s="8"/>
      <c r="N684" s="13" t="s">
        <v>1727</v>
      </c>
      <c r="O684" s="13"/>
      <c r="P684" s="13"/>
      <c r="Q684" s="7">
        <v>1</v>
      </c>
      <c r="R684" s="6" t="s">
        <v>1695</v>
      </c>
      <c r="S684" s="5"/>
      <c r="T684" s="6"/>
      <c r="U684" s="6">
        <v>0.1</v>
      </c>
      <c r="V684" s="5"/>
      <c r="W684" s="6"/>
      <c r="X684" s="6"/>
      <c r="Y684" s="5"/>
      <c r="Z684" s="6"/>
      <c r="AA684" s="6"/>
      <c r="AB684" s="5"/>
      <c r="AC684" s="6"/>
      <c r="AD684" s="6"/>
      <c r="AE684" s="5"/>
      <c r="AF684" s="6"/>
      <c r="AG684" s="6"/>
      <c r="AH684" s="5"/>
      <c r="AI684" s="6"/>
      <c r="AJ684" s="6"/>
      <c r="AK684" s="5"/>
      <c r="AL684" s="5"/>
      <c r="AM684" s="5"/>
      <c r="AN684" s="5"/>
      <c r="AO684" s="5"/>
      <c r="AP684" s="5"/>
      <c r="AQ684" s="5"/>
    </row>
    <row r="685" spans="1:43" x14ac:dyDescent="0.25">
      <c r="A685" s="161" t="str">
        <f t="shared" si="10"/>
        <v>IRONCLAD_AMER</v>
      </c>
      <c r="B685" s="9" t="s">
        <v>760</v>
      </c>
      <c r="C685" s="5" t="s">
        <v>697</v>
      </c>
      <c r="D685" s="5" t="s">
        <v>699</v>
      </c>
      <c r="E685" s="5" t="s">
        <v>760</v>
      </c>
      <c r="F685" s="5" t="s">
        <v>760</v>
      </c>
      <c r="G685" s="5"/>
      <c r="H685" s="5"/>
      <c r="I685" s="5"/>
      <c r="J685" s="6"/>
      <c r="K685" s="7"/>
      <c r="L685" s="13"/>
      <c r="M685" s="8"/>
      <c r="N685" s="13"/>
      <c r="O685" s="13"/>
      <c r="P685" s="13"/>
      <c r="Q685" s="7"/>
      <c r="R685" s="6"/>
      <c r="S685" s="5"/>
      <c r="T685" s="6"/>
      <c r="U685" s="6"/>
      <c r="V685" s="5"/>
      <c r="W685" s="6"/>
      <c r="X685" s="6"/>
      <c r="Y685" s="5"/>
      <c r="Z685" s="6"/>
      <c r="AA685" s="6"/>
      <c r="AB685" s="5"/>
      <c r="AC685" s="6"/>
      <c r="AD685" s="6"/>
      <c r="AE685" s="5"/>
      <c r="AF685" s="6"/>
      <c r="AG685" s="6"/>
      <c r="AH685" s="5"/>
      <c r="AI685" s="6"/>
      <c r="AJ685" s="6"/>
      <c r="AK685" s="5"/>
      <c r="AL685" s="5"/>
      <c r="AM685" s="5"/>
      <c r="AN685" s="5"/>
      <c r="AO685" s="5"/>
      <c r="AP685" s="5"/>
      <c r="AQ685" s="5"/>
    </row>
    <row r="686" spans="1:43" x14ac:dyDescent="0.25">
      <c r="A686" s="161" t="str">
        <f t="shared" si="10"/>
        <v>IRONCLAD_ASIA</v>
      </c>
      <c r="B686" s="9" t="s">
        <v>760</v>
      </c>
      <c r="C686" s="5" t="s">
        <v>693</v>
      </c>
      <c r="D686" s="5"/>
      <c r="E686" s="5" t="s">
        <v>760</v>
      </c>
      <c r="F686" s="5" t="s">
        <v>760</v>
      </c>
      <c r="G686" s="5"/>
      <c r="H686" s="5" t="s">
        <v>1934</v>
      </c>
      <c r="I686" s="5" t="s">
        <v>1943</v>
      </c>
      <c r="J686" s="6"/>
      <c r="K686" s="7"/>
      <c r="L686" s="13"/>
      <c r="M686" s="8"/>
      <c r="N686" s="13"/>
      <c r="O686" s="13"/>
      <c r="P686" s="13"/>
      <c r="Q686" s="7"/>
      <c r="R686" s="6">
        <v>0.08</v>
      </c>
      <c r="S686" s="5"/>
      <c r="T686" s="1"/>
      <c r="U686" s="6">
        <v>0.08</v>
      </c>
      <c r="V686" s="5"/>
      <c r="W686" s="6"/>
      <c r="X686" s="6"/>
      <c r="Y686" s="5"/>
      <c r="Z686" s="6"/>
      <c r="AA686" s="6"/>
      <c r="AB686" s="5"/>
      <c r="AC686" s="6"/>
      <c r="AD686" s="6"/>
      <c r="AE686" s="5"/>
      <c r="AF686" s="6"/>
      <c r="AG686" s="6"/>
      <c r="AH686" s="5"/>
      <c r="AI686" s="6"/>
      <c r="AJ686" s="6"/>
      <c r="AK686" s="5"/>
      <c r="AL686" s="5"/>
      <c r="AM686" s="5"/>
      <c r="AN686" s="5"/>
      <c r="AO686" s="5"/>
      <c r="AP686" s="5"/>
      <c r="AQ686" s="5"/>
    </row>
    <row r="687" spans="1:43" x14ac:dyDescent="0.25">
      <c r="A687" s="161" t="str">
        <f t="shared" si="10"/>
        <v>IRONCLAD_JAPAN</v>
      </c>
      <c r="B687" s="9" t="s">
        <v>760</v>
      </c>
      <c r="C687" s="5" t="s">
        <v>722</v>
      </c>
      <c r="D687" s="5" t="s">
        <v>693</v>
      </c>
      <c r="E687" s="5" t="s">
        <v>760</v>
      </c>
      <c r="F687" s="5" t="s">
        <v>760</v>
      </c>
      <c r="G687" s="5"/>
      <c r="H687" s="5"/>
      <c r="I687" s="5"/>
      <c r="J687" s="6"/>
      <c r="K687" s="7"/>
      <c r="L687" s="13"/>
      <c r="M687" s="8"/>
      <c r="N687" s="13"/>
      <c r="O687" s="13"/>
      <c r="P687" s="13"/>
      <c r="Q687" s="7"/>
      <c r="R687" s="6"/>
      <c r="S687" s="5"/>
      <c r="T687" s="1"/>
      <c r="U687" s="6"/>
      <c r="V687" s="5"/>
      <c r="W687" s="6"/>
      <c r="X687" s="6"/>
      <c r="Y687" s="5"/>
      <c r="Z687" s="6"/>
      <c r="AA687" s="6"/>
      <c r="AB687" s="5"/>
      <c r="AC687" s="6"/>
      <c r="AD687" s="6"/>
      <c r="AE687" s="5"/>
      <c r="AF687" s="6"/>
      <c r="AG687" s="6"/>
      <c r="AH687" s="5"/>
      <c r="AI687" s="6"/>
      <c r="AJ687" s="6"/>
      <c r="AK687" s="5"/>
      <c r="AL687" s="5"/>
      <c r="AM687" s="5"/>
      <c r="AN687" s="5"/>
      <c r="AO687" s="5"/>
      <c r="AP687" s="5"/>
      <c r="AQ687" s="5"/>
    </row>
    <row r="688" spans="1:43" x14ac:dyDescent="0.25">
      <c r="A688" s="161" t="str">
        <f t="shared" si="10"/>
        <v>IRONCLAD_CENTAS</v>
      </c>
      <c r="B688" s="9" t="s">
        <v>760</v>
      </c>
      <c r="C688" s="5" t="s">
        <v>918</v>
      </c>
      <c r="D688" s="5" t="s">
        <v>701</v>
      </c>
      <c r="E688" s="5" t="s">
        <v>760</v>
      </c>
      <c r="F688" s="5" t="s">
        <v>760</v>
      </c>
      <c r="G688" s="5"/>
      <c r="H688" s="5"/>
      <c r="I688" s="5"/>
      <c r="J688" s="6"/>
      <c r="K688" s="7"/>
      <c r="L688" s="13"/>
      <c r="M688" s="8"/>
      <c r="N688" s="13"/>
      <c r="O688" s="13"/>
      <c r="P688" s="13"/>
      <c r="Q688" s="7"/>
      <c r="R688" s="6"/>
      <c r="S688" s="5"/>
      <c r="T688" s="1"/>
      <c r="U688" s="6"/>
      <c r="V688" s="5"/>
      <c r="W688" s="6"/>
      <c r="X688" s="6"/>
      <c r="Y688" s="5"/>
      <c r="Z688" s="6"/>
      <c r="AA688" s="6"/>
      <c r="AB688" s="5"/>
      <c r="AC688" s="6"/>
      <c r="AD688" s="6"/>
      <c r="AE688" s="5"/>
      <c r="AF688" s="6"/>
      <c r="AG688" s="6"/>
      <c r="AH688" s="5"/>
      <c r="AI688" s="6"/>
      <c r="AJ688" s="6"/>
      <c r="AK688" s="5"/>
      <c r="AL688" s="5"/>
      <c r="AM688" s="5"/>
      <c r="AN688" s="5"/>
      <c r="AO688" s="5"/>
      <c r="AP688" s="5"/>
      <c r="AQ688" s="5"/>
    </row>
    <row r="689" spans="1:43" x14ac:dyDescent="0.25">
      <c r="A689" s="161" t="str">
        <f t="shared" si="10"/>
        <v>IRONCLAD_EASTEU</v>
      </c>
      <c r="B689" s="9" t="s">
        <v>760</v>
      </c>
      <c r="C689" s="5" t="s">
        <v>698</v>
      </c>
      <c r="D689" s="5"/>
      <c r="E689" s="5" t="s">
        <v>760</v>
      </c>
      <c r="F689" s="5" t="s">
        <v>760</v>
      </c>
      <c r="G689" s="5"/>
      <c r="H689" s="5" t="s">
        <v>1927</v>
      </c>
      <c r="I689" s="5" t="s">
        <v>1943</v>
      </c>
      <c r="J689" s="6"/>
      <c r="K689" s="7"/>
      <c r="L689" s="13"/>
      <c r="M689" s="8"/>
      <c r="N689" s="13"/>
      <c r="O689" s="13"/>
      <c r="P689" s="13"/>
      <c r="Q689" s="7"/>
      <c r="R689" s="6">
        <v>7.4999999999999997E-2</v>
      </c>
      <c r="S689" s="5"/>
      <c r="T689" s="1"/>
      <c r="U689" s="6">
        <v>7.4999999999999997E-2</v>
      </c>
      <c r="V689" s="5"/>
      <c r="W689" s="6"/>
      <c r="X689" s="6"/>
      <c r="Y689" s="5"/>
      <c r="Z689" s="6"/>
      <c r="AA689" s="6"/>
      <c r="AB689" s="5"/>
      <c r="AC689" s="6"/>
      <c r="AD689" s="6"/>
      <c r="AE689" s="5"/>
      <c r="AF689" s="6"/>
      <c r="AG689" s="6"/>
      <c r="AH689" s="5"/>
      <c r="AI689" s="6"/>
      <c r="AJ689" s="6"/>
      <c r="AK689" s="5"/>
      <c r="AL689" s="5"/>
      <c r="AM689" s="5"/>
      <c r="AN689" s="5"/>
      <c r="AO689" s="5"/>
      <c r="AP689" s="5"/>
      <c r="AQ689" s="5"/>
    </row>
    <row r="690" spans="1:43" x14ac:dyDescent="0.25">
      <c r="A690" s="161" t="str">
        <f>CONCATENATE(E690,IF(ISBLANK(C690),"",CONCATENATE("_",C690)))</f>
        <v>IRONCLAD_RUSSIA</v>
      </c>
      <c r="B690" s="9" t="s">
        <v>760</v>
      </c>
      <c r="C690" s="5" t="s">
        <v>735</v>
      </c>
      <c r="D690" s="5" t="s">
        <v>698</v>
      </c>
      <c r="E690" s="5" t="s">
        <v>760</v>
      </c>
      <c r="F690" s="5" t="s">
        <v>760</v>
      </c>
      <c r="G690" s="5"/>
      <c r="H690" s="5"/>
      <c r="I690" s="5"/>
      <c r="J690" s="6"/>
      <c r="K690" s="7"/>
      <c r="L690" s="13"/>
      <c r="M690" s="8"/>
      <c r="N690" s="13"/>
      <c r="O690" s="13"/>
      <c r="P690" s="13"/>
      <c r="Q690" s="7"/>
      <c r="R690" s="6"/>
      <c r="S690" s="5"/>
      <c r="T690" s="1"/>
      <c r="U690" s="6"/>
      <c r="V690" s="5"/>
      <c r="W690" s="6"/>
      <c r="X690" s="6"/>
      <c r="Y690" s="5"/>
      <c r="Z690" s="6"/>
      <c r="AA690" s="6"/>
      <c r="AB690" s="5"/>
      <c r="AC690" s="6"/>
      <c r="AD690" s="6"/>
      <c r="AE690" s="5"/>
      <c r="AF690" s="6"/>
      <c r="AG690" s="6"/>
      <c r="AH690" s="5"/>
      <c r="AI690" s="6"/>
      <c r="AJ690" s="6"/>
      <c r="AK690" s="5"/>
      <c r="AL690" s="5"/>
      <c r="AM690" s="5"/>
      <c r="AN690" s="5"/>
      <c r="AO690" s="5"/>
      <c r="AP690" s="5"/>
      <c r="AQ690" s="5"/>
    </row>
    <row r="691" spans="1:43" x14ac:dyDescent="0.25">
      <c r="A691" s="161" t="str">
        <f>CONCATENATE(E691,IF(ISBLANK(C691),"",CONCATENATE("_",C691)))</f>
        <v>IRONCLAD_EURO</v>
      </c>
      <c r="B691" s="9" t="s">
        <v>760</v>
      </c>
      <c r="C691" s="5" t="s">
        <v>689</v>
      </c>
      <c r="D691" s="5"/>
      <c r="E691" s="5" t="s">
        <v>760</v>
      </c>
      <c r="F691" s="5" t="s">
        <v>760</v>
      </c>
      <c r="G691" s="5"/>
      <c r="H691" s="5" t="s">
        <v>1931</v>
      </c>
      <c r="I691" s="5" t="s">
        <v>1943</v>
      </c>
      <c r="J691" s="6"/>
      <c r="K691" s="7"/>
      <c r="L691" s="13"/>
      <c r="M691" s="8"/>
      <c r="N691" s="13"/>
      <c r="O691" s="13"/>
      <c r="P691" s="13"/>
      <c r="Q691" s="7"/>
      <c r="R691" s="6">
        <v>7.0000000000000007E-2</v>
      </c>
      <c r="S691" s="5"/>
      <c r="T691" s="1"/>
      <c r="U691" s="6">
        <v>7.0000000000000007E-2</v>
      </c>
      <c r="V691" s="5"/>
      <c r="W691" s="6"/>
      <c r="X691" s="6"/>
      <c r="Y691" s="5"/>
      <c r="Z691" s="6"/>
      <c r="AA691" s="6"/>
      <c r="AB691" s="5"/>
      <c r="AC691" s="6"/>
      <c r="AD691" s="6"/>
      <c r="AE691" s="5"/>
      <c r="AF691" s="6"/>
      <c r="AG691" s="6"/>
      <c r="AH691" s="5"/>
      <c r="AI691" s="6"/>
      <c r="AJ691" s="6"/>
      <c r="AK691" s="5"/>
      <c r="AL691" s="5"/>
      <c r="AM691" s="5"/>
      <c r="AN691" s="5"/>
      <c r="AO691" s="5"/>
      <c r="AP691" s="5"/>
      <c r="AQ691" s="5"/>
    </row>
    <row r="692" spans="1:43" x14ac:dyDescent="0.25">
      <c r="A692" s="161" t="str">
        <f t="shared" si="10"/>
        <v>IRONCLAD_AMERICA</v>
      </c>
      <c r="B692" s="9" t="s">
        <v>760</v>
      </c>
      <c r="C692" s="5" t="s">
        <v>699</v>
      </c>
      <c r="D692" s="5"/>
      <c r="E692" s="5" t="s">
        <v>760</v>
      </c>
      <c r="F692" s="5" t="s">
        <v>760</v>
      </c>
      <c r="G692" s="5"/>
      <c r="H692" s="5" t="s">
        <v>1933</v>
      </c>
      <c r="I692" s="5" t="s">
        <v>1943</v>
      </c>
      <c r="J692" s="6"/>
      <c r="K692" s="7"/>
      <c r="L692" s="13"/>
      <c r="M692" s="8"/>
      <c r="N692" s="13"/>
      <c r="O692" s="13"/>
      <c r="P692" s="13"/>
      <c r="Q692" s="7"/>
      <c r="R692" s="6">
        <v>6.5000000000000002E-2</v>
      </c>
      <c r="S692" s="5"/>
      <c r="T692" s="1"/>
      <c r="U692" s="6">
        <v>6.5000000000000002E-2</v>
      </c>
      <c r="V692" s="5"/>
      <c r="W692" s="6"/>
      <c r="X692" s="6"/>
      <c r="Y692" s="5"/>
      <c r="Z692" s="6"/>
      <c r="AA692" s="6"/>
      <c r="AB692" s="5"/>
      <c r="AC692" s="6"/>
      <c r="AD692" s="6"/>
      <c r="AE692" s="5"/>
      <c r="AF692" s="6"/>
      <c r="AG692" s="6"/>
      <c r="AH692" s="5"/>
      <c r="AI692" s="6"/>
      <c r="AJ692" s="6"/>
      <c r="AK692" s="5"/>
      <c r="AL692" s="5"/>
      <c r="AM692" s="5"/>
      <c r="AN692" s="5"/>
      <c r="AO692" s="5"/>
      <c r="AP692" s="5"/>
      <c r="AQ692" s="5"/>
    </row>
    <row r="693" spans="1:43" x14ac:dyDescent="0.25">
      <c r="A693" s="161" t="str">
        <f t="shared" si="10"/>
        <v>IRONCLAD_AUSTRALIA</v>
      </c>
      <c r="B693" s="9" t="s">
        <v>760</v>
      </c>
      <c r="C693" s="5" t="s">
        <v>1302</v>
      </c>
      <c r="D693" s="5" t="s">
        <v>713</v>
      </c>
      <c r="E693" s="5" t="s">
        <v>760</v>
      </c>
      <c r="F693" s="5" t="s">
        <v>760</v>
      </c>
      <c r="G693" s="5"/>
      <c r="H693" s="5"/>
      <c r="I693" s="5"/>
      <c r="J693" s="6"/>
      <c r="K693" s="7"/>
      <c r="L693" s="13"/>
      <c r="M693" s="8"/>
      <c r="N693" s="13"/>
      <c r="O693" s="13"/>
      <c r="P693" s="13"/>
      <c r="Q693" s="7"/>
      <c r="R693" s="6"/>
      <c r="S693" s="5"/>
      <c r="T693" s="1"/>
      <c r="U693" s="6"/>
      <c r="V693" s="5"/>
      <c r="W693" s="6"/>
      <c r="X693" s="6"/>
      <c r="Y693" s="5"/>
      <c r="Z693" s="6"/>
      <c r="AA693" s="6"/>
      <c r="AB693" s="5"/>
      <c r="AC693" s="6"/>
      <c r="AD693" s="6"/>
      <c r="AE693" s="5"/>
      <c r="AF693" s="6"/>
      <c r="AG693" s="6"/>
      <c r="AH693" s="5"/>
      <c r="AI693" s="6"/>
      <c r="AJ693" s="6"/>
      <c r="AK693" s="5"/>
      <c r="AL693" s="5"/>
      <c r="AM693" s="5"/>
      <c r="AN693" s="5"/>
      <c r="AO693" s="5"/>
      <c r="AP693" s="5"/>
      <c r="AQ693" s="5"/>
    </row>
    <row r="694" spans="1:43" x14ac:dyDescent="0.25">
      <c r="A694" s="161" t="str">
        <f t="shared" si="10"/>
        <v>IRONCLAD_AUSTRIA</v>
      </c>
      <c r="B694" s="9" t="s">
        <v>760</v>
      </c>
      <c r="C694" s="5" t="s">
        <v>701</v>
      </c>
      <c r="D694" s="5"/>
      <c r="E694" s="5" t="s">
        <v>760</v>
      </c>
      <c r="F694" s="5" t="s">
        <v>760</v>
      </c>
      <c r="G694" s="5"/>
      <c r="H694" s="5" t="s">
        <v>1932</v>
      </c>
      <c r="I694" s="5" t="s">
        <v>1943</v>
      </c>
      <c r="J694" s="6"/>
      <c r="K694" s="7"/>
      <c r="L694" s="13"/>
      <c r="M694" s="8"/>
      <c r="N694" s="13"/>
      <c r="O694" s="13"/>
      <c r="P694" s="13"/>
      <c r="Q694" s="7"/>
      <c r="R694" s="6">
        <v>0.08</v>
      </c>
      <c r="S694" s="5"/>
      <c r="T694" s="1"/>
      <c r="U694" s="6">
        <v>0.08</v>
      </c>
      <c r="V694" s="5"/>
      <c r="W694" s="6"/>
      <c r="X694" s="6"/>
      <c r="Y694" s="5"/>
      <c r="Z694" s="6"/>
      <c r="AA694" s="6"/>
      <c r="AB694" s="5"/>
      <c r="AC694" s="6"/>
      <c r="AD694" s="6"/>
      <c r="AE694" s="5"/>
      <c r="AF694" s="6"/>
      <c r="AG694" s="6"/>
      <c r="AH694" s="5"/>
      <c r="AI694" s="6"/>
      <c r="AJ694" s="6"/>
      <c r="AK694" s="5"/>
      <c r="AL694" s="5"/>
      <c r="AM694" s="5"/>
      <c r="AN694" s="5"/>
      <c r="AO694" s="5"/>
      <c r="AP694" s="5"/>
      <c r="AQ694" s="5"/>
    </row>
    <row r="695" spans="1:43" x14ac:dyDescent="0.25">
      <c r="A695" s="161" t="str">
        <f t="shared" si="10"/>
        <v>IRONCLAD_CANADA</v>
      </c>
      <c r="B695" s="9" t="s">
        <v>760</v>
      </c>
      <c r="C695" s="5" t="s">
        <v>2223</v>
      </c>
      <c r="D695" s="5" t="s">
        <v>713</v>
      </c>
      <c r="E695" s="5" t="s">
        <v>760</v>
      </c>
      <c r="F695" s="5" t="s">
        <v>760</v>
      </c>
      <c r="G695" s="5"/>
      <c r="H695" s="5"/>
      <c r="I695" s="5"/>
      <c r="J695" s="6"/>
      <c r="K695" s="7"/>
      <c r="L695" s="13"/>
      <c r="M695" s="8"/>
      <c r="N695" s="13"/>
      <c r="O695" s="13"/>
      <c r="P695" s="13"/>
      <c r="Q695" s="7"/>
      <c r="R695" s="6"/>
      <c r="S695" s="5"/>
      <c r="T695" s="1"/>
      <c r="U695" s="6"/>
      <c r="V695" s="5"/>
      <c r="W695" s="6"/>
      <c r="X695" s="6"/>
      <c r="Y695" s="5"/>
      <c r="Z695" s="6"/>
      <c r="AA695" s="6"/>
      <c r="AB695" s="5"/>
      <c r="AC695" s="6"/>
      <c r="AD695" s="6"/>
      <c r="AE695" s="5"/>
      <c r="AF695" s="6"/>
      <c r="AG695" s="6"/>
      <c r="AH695" s="5"/>
      <c r="AI695" s="6"/>
      <c r="AJ695" s="6"/>
      <c r="AK695" s="5"/>
      <c r="AL695" s="5"/>
      <c r="AM695" s="5"/>
      <c r="AN695" s="5"/>
      <c r="AO695" s="5"/>
      <c r="AP695" s="5"/>
      <c r="AQ695" s="5"/>
    </row>
    <row r="696" spans="1:43" x14ac:dyDescent="0.25">
      <c r="A696" s="161" t="str">
        <f t="shared" si="10"/>
        <v>IRONCLAD_CELTS</v>
      </c>
      <c r="B696" s="9" t="s">
        <v>760</v>
      </c>
      <c r="C696" s="5" t="s">
        <v>709</v>
      </c>
      <c r="D696" s="5" t="s">
        <v>713</v>
      </c>
      <c r="E696" s="5" t="s">
        <v>760</v>
      </c>
      <c r="F696" s="5" t="s">
        <v>760</v>
      </c>
      <c r="G696" s="5"/>
      <c r="H696" s="5"/>
      <c r="I696" s="5"/>
      <c r="J696" s="6"/>
      <c r="K696" s="7"/>
      <c r="L696" s="13"/>
      <c r="M696" s="8"/>
      <c r="N696" s="13"/>
      <c r="O696" s="13"/>
      <c r="P696" s="13"/>
      <c r="Q696" s="7"/>
      <c r="R696" s="6"/>
      <c r="S696" s="5"/>
      <c r="T696" s="1"/>
      <c r="U696" s="6"/>
      <c r="V696" s="5"/>
      <c r="W696" s="6"/>
      <c r="X696" s="6"/>
      <c r="Y696" s="5"/>
      <c r="Z696" s="6"/>
      <c r="AA696" s="6"/>
      <c r="AB696" s="5"/>
      <c r="AC696" s="6"/>
      <c r="AD696" s="6"/>
      <c r="AE696" s="5"/>
      <c r="AF696" s="6"/>
      <c r="AG696" s="6"/>
      <c r="AH696" s="5"/>
      <c r="AI696" s="6"/>
      <c r="AJ696" s="6"/>
      <c r="AK696" s="5"/>
      <c r="AL696" s="5"/>
      <c r="AM696" s="5"/>
      <c r="AN696" s="5"/>
      <c r="AO696" s="5"/>
      <c r="AP696" s="5"/>
      <c r="AQ696" s="5"/>
    </row>
    <row r="697" spans="1:43" x14ac:dyDescent="0.25">
      <c r="A697" s="161" t="str">
        <f t="shared" si="10"/>
        <v>IRONCLAD_ENGLAND</v>
      </c>
      <c r="B697" s="9" t="s">
        <v>760</v>
      </c>
      <c r="C697" s="5" t="s">
        <v>713</v>
      </c>
      <c r="D697" s="5" t="s">
        <v>689</v>
      </c>
      <c r="E697" s="5" t="s">
        <v>760</v>
      </c>
      <c r="F697" s="5" t="s">
        <v>760</v>
      </c>
      <c r="G697" s="5"/>
      <c r="H697" s="5"/>
      <c r="I697" s="5"/>
      <c r="J697" s="6"/>
      <c r="K697" s="7"/>
      <c r="L697" s="13"/>
      <c r="M697" s="8"/>
      <c r="N697" s="13"/>
      <c r="O697" s="13"/>
      <c r="P697" s="13"/>
      <c r="Q697" s="7"/>
      <c r="R697" s="6"/>
      <c r="S697" s="5"/>
      <c r="T697" s="1"/>
      <c r="U697" s="6"/>
      <c r="V697" s="5"/>
      <c r="W697" s="6"/>
      <c r="X697" s="6"/>
      <c r="Y697" s="5"/>
      <c r="Z697" s="6"/>
      <c r="AA697" s="6"/>
      <c r="AB697" s="5"/>
      <c r="AC697" s="6"/>
      <c r="AD697" s="6"/>
      <c r="AE697" s="5"/>
      <c r="AF697" s="6"/>
      <c r="AG697" s="6"/>
      <c r="AH697" s="5"/>
      <c r="AI697" s="6"/>
      <c r="AJ697" s="6"/>
      <c r="AK697" s="5"/>
      <c r="AL697" s="5"/>
      <c r="AM697" s="5"/>
      <c r="AN697" s="5"/>
      <c r="AO697" s="5"/>
      <c r="AP697" s="5"/>
      <c r="AQ697" s="5"/>
    </row>
    <row r="698" spans="1:43" x14ac:dyDescent="0.25">
      <c r="A698" s="161" t="str">
        <f t="shared" si="10"/>
        <v>IRONCLAD_FRANCE</v>
      </c>
      <c r="B698" s="9" t="s">
        <v>760</v>
      </c>
      <c r="C698" s="5" t="s">
        <v>715</v>
      </c>
      <c r="D698" s="5"/>
      <c r="E698" s="5" t="s">
        <v>760</v>
      </c>
      <c r="F698" s="5" t="s">
        <v>760</v>
      </c>
      <c r="G698" s="5"/>
      <c r="H698" s="5" t="s">
        <v>1930</v>
      </c>
      <c r="I698" s="5" t="s">
        <v>1943</v>
      </c>
      <c r="J698" s="6"/>
      <c r="K698" s="7"/>
      <c r="L698" s="13"/>
      <c r="M698" s="8"/>
      <c r="N698" s="13"/>
      <c r="O698" s="13"/>
      <c r="P698" s="13"/>
      <c r="Q698" s="7"/>
      <c r="R698" s="6">
        <v>8.5000000000000006E-2</v>
      </c>
      <c r="S698" s="5"/>
      <c r="T698" s="1"/>
      <c r="U698" s="6" t="s">
        <v>1695</v>
      </c>
      <c r="V698" s="5"/>
      <c r="W698" s="6"/>
      <c r="X698" s="6"/>
      <c r="Y698" s="5"/>
      <c r="Z698" s="6"/>
      <c r="AA698" s="6"/>
      <c r="AB698" s="5"/>
      <c r="AC698" s="6"/>
      <c r="AD698" s="6"/>
      <c r="AE698" s="5"/>
      <c r="AF698" s="6"/>
      <c r="AG698" s="6"/>
      <c r="AH698" s="5"/>
      <c r="AI698" s="6"/>
      <c r="AJ698" s="6"/>
      <c r="AK698" s="5"/>
      <c r="AL698" s="5"/>
      <c r="AM698" s="5"/>
      <c r="AN698" s="5"/>
      <c r="AO698" s="5"/>
      <c r="AP698" s="5"/>
      <c r="AQ698" s="5"/>
    </row>
    <row r="699" spans="1:43" x14ac:dyDescent="0.25">
      <c r="A699" s="161" t="str">
        <f t="shared" si="10"/>
        <v>IRONCLAD_GERMANY</v>
      </c>
      <c r="B699" s="9" t="s">
        <v>760</v>
      </c>
      <c r="C699" s="5" t="s">
        <v>717</v>
      </c>
      <c r="D699" s="5"/>
      <c r="E699" s="5" t="s">
        <v>760</v>
      </c>
      <c r="F699" s="5" t="s">
        <v>760</v>
      </c>
      <c r="G699" s="5"/>
      <c r="H699" s="5" t="s">
        <v>1929</v>
      </c>
      <c r="I699" s="5" t="s">
        <v>1943</v>
      </c>
      <c r="J699" s="6"/>
      <c r="K699" s="7"/>
      <c r="L699" s="13"/>
      <c r="M699" s="8"/>
      <c r="N699" s="13"/>
      <c r="O699" s="13"/>
      <c r="P699" s="13"/>
      <c r="Q699" s="7"/>
      <c r="R699" s="6">
        <v>7.4999999999999997E-2</v>
      </c>
      <c r="S699" s="5"/>
      <c r="T699" s="1"/>
      <c r="U699" s="6">
        <v>7.4999999999999997E-2</v>
      </c>
      <c r="V699" s="5"/>
      <c r="W699" s="6"/>
      <c r="X699" s="6"/>
      <c r="Y699" s="5"/>
      <c r="Z699" s="6"/>
      <c r="AA699" s="6"/>
      <c r="AB699" s="5"/>
      <c r="AC699" s="6"/>
      <c r="AD699" s="6"/>
      <c r="AE699" s="5"/>
      <c r="AF699" s="6"/>
      <c r="AG699" s="6"/>
      <c r="AH699" s="5"/>
      <c r="AI699" s="6"/>
      <c r="AJ699" s="6"/>
      <c r="AK699" s="5"/>
      <c r="AL699" s="5"/>
      <c r="AM699" s="5"/>
      <c r="AN699" s="5"/>
      <c r="AO699" s="5"/>
      <c r="AP699" s="5"/>
      <c r="AQ699" s="5"/>
    </row>
    <row r="700" spans="1:43" x14ac:dyDescent="0.25">
      <c r="A700" s="161" t="str">
        <f t="shared" si="10"/>
        <v>IRONCLAD_MED</v>
      </c>
      <c r="B700" s="9" t="s">
        <v>760</v>
      </c>
      <c r="C700" s="5" t="s">
        <v>692</v>
      </c>
      <c r="D700" s="5"/>
      <c r="E700" s="5" t="s">
        <v>760</v>
      </c>
      <c r="F700" s="5" t="s">
        <v>760</v>
      </c>
      <c r="G700" s="5"/>
      <c r="H700" s="5" t="s">
        <v>1926</v>
      </c>
      <c r="I700" s="5" t="s">
        <v>1943</v>
      </c>
      <c r="J700" s="6"/>
      <c r="K700" s="7"/>
      <c r="L700" s="13"/>
      <c r="M700" s="8"/>
      <c r="N700" s="13"/>
      <c r="O700" s="13"/>
      <c r="P700" s="13"/>
      <c r="Q700" s="7"/>
      <c r="R700" s="6">
        <v>8.5000000000000006E-2</v>
      </c>
      <c r="S700" s="5"/>
      <c r="T700" s="1"/>
      <c r="U700" s="6" t="s">
        <v>1695</v>
      </c>
      <c r="V700" s="5"/>
      <c r="W700" s="6"/>
      <c r="X700" s="6"/>
      <c r="Y700" s="5"/>
      <c r="Z700" s="6"/>
      <c r="AA700" s="6"/>
      <c r="AB700" s="5"/>
      <c r="AC700" s="6"/>
      <c r="AD700" s="6"/>
      <c r="AE700" s="5"/>
      <c r="AF700" s="6"/>
      <c r="AG700" s="6"/>
      <c r="AH700" s="5"/>
      <c r="AI700" s="6"/>
      <c r="AJ700" s="6"/>
      <c r="AK700" s="5"/>
      <c r="AL700" s="5"/>
      <c r="AM700" s="5"/>
      <c r="AN700" s="5"/>
      <c r="AO700" s="5"/>
      <c r="AP700" s="5"/>
      <c r="AQ700" s="5"/>
    </row>
    <row r="701" spans="1:43" x14ac:dyDescent="0.25">
      <c r="A701" s="161" t="str">
        <f t="shared" si="10"/>
        <v>IRONCLAD_ROME</v>
      </c>
      <c r="B701" s="9" t="s">
        <v>760</v>
      </c>
      <c r="C701" s="5" t="s">
        <v>734</v>
      </c>
      <c r="D701" s="5"/>
      <c r="E701" s="5" t="s">
        <v>760</v>
      </c>
      <c r="F701" s="5" t="s">
        <v>760</v>
      </c>
      <c r="G701" s="5"/>
      <c r="H701" s="5" t="s">
        <v>1928</v>
      </c>
      <c r="I701" s="5" t="s">
        <v>1943</v>
      </c>
      <c r="J701" s="6"/>
      <c r="K701" s="7"/>
      <c r="L701" s="13"/>
      <c r="M701" s="8"/>
      <c r="N701" s="13"/>
      <c r="O701" s="13"/>
      <c r="P701" s="13"/>
      <c r="Q701" s="7"/>
      <c r="R701" s="6">
        <v>0.08</v>
      </c>
      <c r="S701" s="5"/>
      <c r="T701" s="1"/>
      <c r="U701" s="6">
        <v>0.08</v>
      </c>
      <c r="V701" s="5"/>
      <c r="W701" s="6"/>
      <c r="X701" s="6"/>
      <c r="Y701" s="5"/>
      <c r="Z701" s="6"/>
      <c r="AA701" s="6"/>
      <c r="AB701" s="5"/>
      <c r="AC701" s="6"/>
      <c r="AD701" s="6"/>
      <c r="AE701" s="5"/>
      <c r="AF701" s="6"/>
      <c r="AG701" s="6"/>
      <c r="AH701" s="5"/>
      <c r="AI701" s="6"/>
      <c r="AJ701" s="6"/>
      <c r="AK701" s="5"/>
      <c r="AL701" s="5"/>
      <c r="AM701" s="5"/>
      <c r="AN701" s="5"/>
      <c r="AO701" s="5"/>
      <c r="AP701" s="5"/>
      <c r="AQ701" s="5"/>
    </row>
    <row r="702" spans="1:43" x14ac:dyDescent="0.25">
      <c r="A702" s="161" t="str">
        <f t="shared" si="10"/>
        <v>IRONCLAD_SPAIN</v>
      </c>
      <c r="B702" s="9" t="s">
        <v>760</v>
      </c>
      <c r="C702" s="5" t="s">
        <v>738</v>
      </c>
      <c r="D702" s="5" t="s">
        <v>692</v>
      </c>
      <c r="E702" s="5" t="s">
        <v>760</v>
      </c>
      <c r="F702" s="5" t="s">
        <v>760</v>
      </c>
      <c r="G702" s="5"/>
      <c r="H702" s="5"/>
      <c r="I702" s="5"/>
      <c r="J702" s="6"/>
      <c r="K702" s="7"/>
      <c r="L702" s="13"/>
      <c r="M702" s="8"/>
      <c r="N702" s="13"/>
      <c r="O702" s="13"/>
      <c r="P702" s="13"/>
      <c r="Q702" s="7"/>
      <c r="R702" s="6"/>
      <c r="S702" s="5"/>
      <c r="T702" s="6"/>
      <c r="U702" s="6"/>
      <c r="V702" s="5"/>
      <c r="W702" s="6"/>
      <c r="X702" s="6"/>
      <c r="Y702" s="5"/>
      <c r="Z702" s="6"/>
      <c r="AA702" s="6"/>
      <c r="AB702" s="5"/>
      <c r="AC702" s="6"/>
      <c r="AD702" s="6"/>
      <c r="AE702" s="5"/>
      <c r="AF702" s="6"/>
      <c r="AG702" s="6"/>
      <c r="AH702" s="5"/>
      <c r="AI702" s="6"/>
      <c r="AJ702" s="6"/>
      <c r="AK702" s="5"/>
      <c r="AL702" s="5"/>
      <c r="AM702" s="5"/>
      <c r="AN702" s="5"/>
      <c r="AO702" s="5"/>
      <c r="AP702" s="5"/>
      <c r="AQ702" s="5"/>
    </row>
    <row r="703" spans="1:43" x14ac:dyDescent="0.25">
      <c r="A703" s="161" t="str">
        <f t="shared" si="10"/>
        <v>IRONCLAD_SOUTHAS</v>
      </c>
      <c r="B703" s="9" t="s">
        <v>760</v>
      </c>
      <c r="C703" s="5" t="s">
        <v>695</v>
      </c>
      <c r="D703" s="5" t="s">
        <v>693</v>
      </c>
      <c r="E703" s="5" t="s">
        <v>760</v>
      </c>
      <c r="F703" s="5" t="s">
        <v>760</v>
      </c>
      <c r="G703" s="5"/>
      <c r="H703" s="5"/>
      <c r="I703" s="5"/>
      <c r="J703" s="6"/>
      <c r="K703" s="7"/>
      <c r="L703" s="13"/>
      <c r="M703" s="8"/>
      <c r="N703" s="13"/>
      <c r="O703" s="13"/>
      <c r="P703" s="13"/>
      <c r="Q703" s="7"/>
      <c r="R703" s="6"/>
      <c r="S703" s="5"/>
      <c r="T703" s="6"/>
      <c r="U703" s="6"/>
      <c r="V703" s="5"/>
      <c r="W703" s="6"/>
      <c r="X703" s="6"/>
      <c r="Y703" s="5"/>
      <c r="Z703" s="6"/>
      <c r="AA703" s="6"/>
      <c r="AB703" s="5"/>
      <c r="AC703" s="6"/>
      <c r="AD703" s="6"/>
      <c r="AE703" s="5"/>
      <c r="AF703" s="6"/>
      <c r="AG703" s="6"/>
      <c r="AH703" s="5"/>
      <c r="AI703" s="6"/>
      <c r="AJ703" s="6"/>
      <c r="AK703" s="5"/>
      <c r="AL703" s="5"/>
      <c r="AM703" s="5"/>
      <c r="AN703" s="5"/>
      <c r="AO703" s="5"/>
      <c r="AP703" s="5"/>
      <c r="AQ703" s="5"/>
    </row>
    <row r="704" spans="1:43" x14ac:dyDescent="0.25">
      <c r="A704" s="161" t="str">
        <f t="shared" si="10"/>
        <v>JET_FIGHTER</v>
      </c>
      <c r="B704" s="9" t="s">
        <v>761</v>
      </c>
      <c r="C704" s="5"/>
      <c r="D704" s="5"/>
      <c r="E704" s="5" t="s">
        <v>761</v>
      </c>
      <c r="F704" s="5" t="s">
        <v>794</v>
      </c>
      <c r="G704" s="5"/>
      <c r="H704" s="5" t="s">
        <v>1503</v>
      </c>
      <c r="I704" s="5" t="s">
        <v>102</v>
      </c>
      <c r="J704" s="6"/>
      <c r="K704" s="7"/>
      <c r="L704" s="13" t="s">
        <v>1711</v>
      </c>
      <c r="M704" s="8">
        <v>2.5</v>
      </c>
      <c r="N704" s="13" t="s">
        <v>1725</v>
      </c>
      <c r="O704" s="13"/>
      <c r="P704" s="13"/>
      <c r="Q704" s="7">
        <v>1</v>
      </c>
      <c r="R704" s="6">
        <v>0.1</v>
      </c>
      <c r="S704" s="13" t="s">
        <v>1621</v>
      </c>
      <c r="T704" s="7">
        <v>2</v>
      </c>
      <c r="U704" s="6">
        <v>0.105</v>
      </c>
      <c r="V704" s="5" t="s">
        <v>1621</v>
      </c>
      <c r="W704" s="6" t="s">
        <v>3</v>
      </c>
      <c r="X704" s="6" t="s">
        <v>3</v>
      </c>
      <c r="Y704" s="5"/>
      <c r="Z704" s="6"/>
      <c r="AA704" s="6"/>
      <c r="AB704" s="5"/>
      <c r="AC704" s="6"/>
      <c r="AD704" s="6" t="s">
        <v>3</v>
      </c>
      <c r="AE704" s="5"/>
      <c r="AF704" s="6"/>
      <c r="AG704" s="6"/>
      <c r="AH704" s="5"/>
      <c r="AI704" s="6"/>
      <c r="AJ704" s="6"/>
      <c r="AK704" s="5"/>
      <c r="AL704" s="5"/>
      <c r="AM704" s="5"/>
      <c r="AN704" s="5"/>
      <c r="AO704" s="5"/>
      <c r="AP704" s="5"/>
      <c r="AQ704" s="5"/>
    </row>
    <row r="705" spans="1:43" x14ac:dyDescent="0.25">
      <c r="A705" s="161" t="str">
        <f t="shared" si="10"/>
        <v>JET_FIGHTER_AMER</v>
      </c>
      <c r="B705" s="9" t="s">
        <v>761</v>
      </c>
      <c r="C705" s="5" t="s">
        <v>697</v>
      </c>
      <c r="D705" s="5" t="s">
        <v>2223</v>
      </c>
      <c r="E705" s="5" t="s">
        <v>761</v>
      </c>
      <c r="F705" s="5" t="s">
        <v>794</v>
      </c>
      <c r="G705" s="5"/>
      <c r="H705" s="5"/>
      <c r="I705" s="5"/>
      <c r="J705" s="6"/>
      <c r="K705" s="7"/>
      <c r="L705" s="13"/>
      <c r="M705" s="8"/>
      <c r="N705" s="13"/>
      <c r="O705" s="13"/>
      <c r="P705" s="13"/>
      <c r="Q705" s="7"/>
      <c r="R705" s="6"/>
      <c r="S705" s="13"/>
      <c r="T705" s="7"/>
      <c r="U705" s="6"/>
      <c r="V705" s="5"/>
      <c r="W705" s="6"/>
      <c r="X705" s="6"/>
      <c r="Y705" s="5"/>
      <c r="Z705" s="6"/>
      <c r="AA705" s="6"/>
      <c r="AB705" s="5"/>
      <c r="AC705" s="6"/>
      <c r="AD705" s="6"/>
      <c r="AE705" s="5"/>
      <c r="AF705" s="6"/>
      <c r="AG705" s="6"/>
      <c r="AH705" s="5"/>
      <c r="AI705" s="6"/>
      <c r="AJ705" s="6"/>
      <c r="AK705" s="5"/>
      <c r="AL705" s="5"/>
      <c r="AM705" s="5"/>
      <c r="AN705" s="5"/>
      <c r="AO705" s="5"/>
      <c r="AP705" s="5"/>
      <c r="AQ705" s="5"/>
    </row>
    <row r="706" spans="1:43" x14ac:dyDescent="0.25">
      <c r="A706" s="161" t="str">
        <f t="shared" si="10"/>
        <v>JET_FIGHTER_ASIA</v>
      </c>
      <c r="B706" s="9" t="s">
        <v>761</v>
      </c>
      <c r="C706" s="5" t="s">
        <v>693</v>
      </c>
      <c r="D706" s="5" t="s">
        <v>698</v>
      </c>
      <c r="E706" s="5" t="s">
        <v>761</v>
      </c>
      <c r="F706" s="5" t="s">
        <v>794</v>
      </c>
      <c r="G706" s="5"/>
      <c r="H706" s="5"/>
      <c r="I706" s="5"/>
      <c r="J706" s="6"/>
      <c r="K706" s="7"/>
      <c r="L706" s="13"/>
      <c r="M706" s="8"/>
      <c r="N706" s="13"/>
      <c r="O706" s="13"/>
      <c r="P706" s="13"/>
      <c r="Q706" s="7"/>
      <c r="R706" s="6"/>
      <c r="S706" s="13"/>
      <c r="T706" s="7"/>
      <c r="U706" s="6"/>
      <c r="V706" s="5"/>
      <c r="W706" s="6"/>
      <c r="X706" s="6"/>
      <c r="Y706" s="5"/>
      <c r="Z706" s="6"/>
      <c r="AA706" s="6"/>
      <c r="AB706" s="5"/>
      <c r="AC706" s="6"/>
      <c r="AD706" s="6"/>
      <c r="AE706" s="5"/>
      <c r="AF706" s="6"/>
      <c r="AG706" s="6"/>
      <c r="AH706" s="5"/>
      <c r="AI706" s="6"/>
      <c r="AJ706" s="6"/>
      <c r="AK706" s="5"/>
      <c r="AL706" s="5"/>
      <c r="AM706" s="5"/>
      <c r="AN706" s="5"/>
      <c r="AO706" s="5"/>
      <c r="AP706" s="5"/>
      <c r="AQ706" s="5"/>
    </row>
    <row r="707" spans="1:43" x14ac:dyDescent="0.25">
      <c r="A707" s="161" t="str">
        <f t="shared" si="10"/>
        <v>JET_FIGHTER_JAPAN</v>
      </c>
      <c r="B707" s="9" t="s">
        <v>761</v>
      </c>
      <c r="C707" s="4" t="s">
        <v>722</v>
      </c>
      <c r="E707" s="4" t="s">
        <v>761</v>
      </c>
      <c r="F707" s="4" t="s">
        <v>794</v>
      </c>
      <c r="G707" s="14" t="s">
        <v>132</v>
      </c>
      <c r="H707" s="4" t="s">
        <v>482</v>
      </c>
      <c r="I707" s="4" t="s">
        <v>120</v>
      </c>
    </row>
    <row r="708" spans="1:43" x14ac:dyDescent="0.25">
      <c r="A708" s="161" t="str">
        <f t="shared" si="10"/>
        <v>JET_FIGHTER_KOREA</v>
      </c>
      <c r="B708" s="9" t="s">
        <v>761</v>
      </c>
      <c r="C708" s="4" t="s">
        <v>723</v>
      </c>
      <c r="E708" s="4" t="s">
        <v>761</v>
      </c>
      <c r="F708" s="4" t="s">
        <v>794</v>
      </c>
      <c r="G708" s="14" t="s">
        <v>132</v>
      </c>
      <c r="H708" s="4" t="s">
        <v>499</v>
      </c>
      <c r="I708" s="4" t="s">
        <v>120</v>
      </c>
    </row>
    <row r="709" spans="1:43" x14ac:dyDescent="0.25">
      <c r="A709" s="161" t="str">
        <f t="shared" si="10"/>
        <v>JET_FIGHTER_OTTOMAN</v>
      </c>
      <c r="B709" s="9" t="s">
        <v>761</v>
      </c>
      <c r="C709" s="4" t="s">
        <v>1037</v>
      </c>
      <c r="E709" s="4" t="s">
        <v>761</v>
      </c>
      <c r="F709" s="4" t="s">
        <v>794</v>
      </c>
      <c r="G709" s="14" t="s">
        <v>132</v>
      </c>
      <c r="H709" s="4" t="s">
        <v>1039</v>
      </c>
      <c r="I709" s="4" t="s">
        <v>120</v>
      </c>
    </row>
    <row r="710" spans="1:43" x14ac:dyDescent="0.25">
      <c r="A710" s="161" t="str">
        <f t="shared" si="10"/>
        <v>JET_FIGHTER_EASTEU</v>
      </c>
      <c r="B710" s="9" t="s">
        <v>761</v>
      </c>
      <c r="C710" s="4" t="s">
        <v>698</v>
      </c>
      <c r="E710" s="4" t="s">
        <v>761</v>
      </c>
      <c r="F710" s="4" t="s">
        <v>794</v>
      </c>
      <c r="G710" s="14"/>
      <c r="H710" s="5" t="s">
        <v>1939</v>
      </c>
      <c r="I710" s="4" t="s">
        <v>120</v>
      </c>
      <c r="J710" s="6"/>
    </row>
    <row r="711" spans="1:43" x14ac:dyDescent="0.25">
      <c r="A711" s="161" t="str">
        <f t="shared" si="10"/>
        <v>JET_FIGHTER_KIEV</v>
      </c>
      <c r="B711" s="9" t="s">
        <v>761</v>
      </c>
      <c r="C711" s="4" t="s">
        <v>1187</v>
      </c>
      <c r="E711" s="4" t="s">
        <v>761</v>
      </c>
      <c r="F711" s="4" t="s">
        <v>794</v>
      </c>
      <c r="G711" s="14"/>
      <c r="H711" s="5" t="s">
        <v>1940</v>
      </c>
      <c r="I711" s="4" t="s">
        <v>120</v>
      </c>
      <c r="J711" s="6"/>
    </row>
    <row r="712" spans="1:43" x14ac:dyDescent="0.25">
      <c r="A712" s="161" t="str">
        <f t="shared" si="10"/>
        <v>JET_FIGHTER_RUSSIA</v>
      </c>
      <c r="B712" s="9" t="s">
        <v>761</v>
      </c>
      <c r="C712" s="4" t="s">
        <v>735</v>
      </c>
      <c r="E712" s="4" t="s">
        <v>761</v>
      </c>
      <c r="F712" s="4" t="s">
        <v>794</v>
      </c>
      <c r="G712" s="14" t="s">
        <v>132</v>
      </c>
      <c r="H712" s="4" t="s">
        <v>615</v>
      </c>
      <c r="I712" s="4" t="s">
        <v>120</v>
      </c>
    </row>
    <row r="713" spans="1:43" x14ac:dyDescent="0.25">
      <c r="A713" s="161" t="str">
        <f t="shared" si="10"/>
        <v>JET_FIGHTER_AMERICA</v>
      </c>
      <c r="B713" s="9" t="s">
        <v>761</v>
      </c>
      <c r="C713" s="4" t="s">
        <v>699</v>
      </c>
      <c r="E713" s="4" t="s">
        <v>761</v>
      </c>
      <c r="F713" s="4" t="s">
        <v>794</v>
      </c>
      <c r="G713" s="14"/>
      <c r="H713" s="4" t="s">
        <v>141</v>
      </c>
      <c r="I713" s="4" t="s">
        <v>1935</v>
      </c>
      <c r="U713" s="11">
        <v>0.11</v>
      </c>
    </row>
    <row r="714" spans="1:43" x14ac:dyDescent="0.25">
      <c r="A714" s="161" t="str">
        <f t="shared" si="10"/>
        <v>JET_FIGHTER_AUSTRALIA</v>
      </c>
      <c r="B714" s="9" t="s">
        <v>761</v>
      </c>
      <c r="C714" s="4" t="s">
        <v>1302</v>
      </c>
      <c r="D714" s="4" t="s">
        <v>713</v>
      </c>
      <c r="E714" s="4" t="s">
        <v>761</v>
      </c>
      <c r="F714" s="4" t="s">
        <v>794</v>
      </c>
      <c r="G714" s="14"/>
    </row>
    <row r="715" spans="1:43" x14ac:dyDescent="0.25">
      <c r="A715" s="161" t="str">
        <f t="shared" si="10"/>
        <v>JET_FIGHTER_AUSTRIA</v>
      </c>
      <c r="B715" s="9" t="s">
        <v>761</v>
      </c>
      <c r="C715" s="4" t="s">
        <v>701</v>
      </c>
      <c r="E715" s="4" t="s">
        <v>761</v>
      </c>
      <c r="F715" s="4" t="s">
        <v>794</v>
      </c>
      <c r="G715" s="14"/>
      <c r="H715" s="4" t="s">
        <v>181</v>
      </c>
      <c r="I715" s="4" t="s">
        <v>120</v>
      </c>
    </row>
    <row r="716" spans="1:43" x14ac:dyDescent="0.25">
      <c r="A716" s="161" t="str">
        <f t="shared" si="10"/>
        <v>JET_FIGHTER_CANADA</v>
      </c>
      <c r="B716" s="9" t="s">
        <v>761</v>
      </c>
      <c r="C716" s="4" t="s">
        <v>2223</v>
      </c>
      <c r="E716" s="4" t="s">
        <v>761</v>
      </c>
      <c r="F716" s="4" t="s">
        <v>794</v>
      </c>
      <c r="G716" s="14"/>
      <c r="H716" s="4" t="s">
        <v>2226</v>
      </c>
      <c r="I716" s="4" t="s">
        <v>2227</v>
      </c>
    </row>
    <row r="717" spans="1:43" x14ac:dyDescent="0.25">
      <c r="A717" s="161" t="str">
        <f t="shared" si="10"/>
        <v>JET_FIGHTER_CELTS</v>
      </c>
      <c r="B717" s="9" t="s">
        <v>761</v>
      </c>
      <c r="C717" s="4" t="s">
        <v>709</v>
      </c>
      <c r="D717" s="4" t="s">
        <v>713</v>
      </c>
      <c r="E717" s="4" t="s">
        <v>761</v>
      </c>
      <c r="F717" s="4" t="s">
        <v>794</v>
      </c>
      <c r="G717" s="14"/>
    </row>
    <row r="718" spans="1:43" x14ac:dyDescent="0.25">
      <c r="A718" s="161" t="str">
        <f t="shared" si="10"/>
        <v>JET_FIGHTER_ENGLAND</v>
      </c>
      <c r="B718" s="9" t="s">
        <v>761</v>
      </c>
      <c r="C718" s="4" t="s">
        <v>713</v>
      </c>
      <c r="E718" s="4" t="s">
        <v>761</v>
      </c>
      <c r="F718" s="4" t="s">
        <v>794</v>
      </c>
      <c r="G718" s="14" t="s">
        <v>132</v>
      </c>
      <c r="H718" s="4" t="s">
        <v>301</v>
      </c>
      <c r="I718" s="4" t="s">
        <v>120</v>
      </c>
    </row>
    <row r="719" spans="1:43" x14ac:dyDescent="0.25">
      <c r="A719" s="161" t="str">
        <f t="shared" si="10"/>
        <v>JET_FIGHTER_FRANCE</v>
      </c>
      <c r="B719" s="9" t="s">
        <v>761</v>
      </c>
      <c r="C719" s="4" t="s">
        <v>715</v>
      </c>
      <c r="E719" s="4" t="s">
        <v>761</v>
      </c>
      <c r="F719" s="4" t="s">
        <v>794</v>
      </c>
      <c r="G719" s="14" t="s">
        <v>132</v>
      </c>
      <c r="H719" s="4" t="s">
        <v>347</v>
      </c>
      <c r="I719" s="4" t="s">
        <v>966</v>
      </c>
    </row>
    <row r="720" spans="1:43" x14ac:dyDescent="0.25">
      <c r="A720" s="161" t="str">
        <f t="shared" si="10"/>
        <v>JET_FIGHTER_GERMANY</v>
      </c>
      <c r="B720" s="9" t="s">
        <v>761</v>
      </c>
      <c r="C720" s="4" t="s">
        <v>717</v>
      </c>
      <c r="E720" s="4" t="s">
        <v>761</v>
      </c>
      <c r="F720" s="4" t="s">
        <v>794</v>
      </c>
      <c r="G720" s="14" t="s">
        <v>132</v>
      </c>
      <c r="H720" s="4" t="s">
        <v>378</v>
      </c>
      <c r="I720" s="4" t="s">
        <v>120</v>
      </c>
    </row>
    <row r="721" spans="1:43" x14ac:dyDescent="0.25">
      <c r="A721" s="161" t="str">
        <f t="shared" si="10"/>
        <v>JET_FIGHTER_GREECE</v>
      </c>
      <c r="B721" s="9" t="s">
        <v>761</v>
      </c>
      <c r="C721" s="4" t="s">
        <v>718</v>
      </c>
      <c r="E721" s="4" t="s">
        <v>761</v>
      </c>
      <c r="F721" s="4" t="s">
        <v>794</v>
      </c>
      <c r="G721" s="14" t="s">
        <v>132</v>
      </c>
      <c r="H721" s="4" t="s">
        <v>405</v>
      </c>
      <c r="I721" s="4" t="s">
        <v>120</v>
      </c>
    </row>
    <row r="722" spans="1:43" x14ac:dyDescent="0.25">
      <c r="A722" s="161" t="str">
        <f t="shared" si="10"/>
        <v>JET_FIGHTER_PORTUGAL</v>
      </c>
      <c r="B722" s="9" t="s">
        <v>761</v>
      </c>
      <c r="C722" s="4" t="s">
        <v>733</v>
      </c>
      <c r="E722" s="4" t="s">
        <v>761</v>
      </c>
      <c r="F722" s="4" t="s">
        <v>794</v>
      </c>
      <c r="G722" s="14" t="s">
        <v>132</v>
      </c>
      <c r="H722" s="4" t="s">
        <v>578</v>
      </c>
      <c r="I722" s="4" t="s">
        <v>1062</v>
      </c>
    </row>
    <row r="723" spans="1:43" x14ac:dyDescent="0.25">
      <c r="A723" s="161" t="str">
        <f t="shared" si="10"/>
        <v>JET_FIGHTER_ROME</v>
      </c>
      <c r="B723" s="9" t="s">
        <v>761</v>
      </c>
      <c r="C723" s="4" t="s">
        <v>734</v>
      </c>
      <c r="E723" s="4" t="s">
        <v>761</v>
      </c>
      <c r="F723" s="4" t="s">
        <v>794</v>
      </c>
      <c r="G723" s="14" t="s">
        <v>132</v>
      </c>
      <c r="H723" s="4" t="s">
        <v>591</v>
      </c>
      <c r="I723" s="4" t="s">
        <v>120</v>
      </c>
    </row>
    <row r="724" spans="1:43" x14ac:dyDescent="0.25">
      <c r="A724" s="161" t="str">
        <f t="shared" si="10"/>
        <v>JET_FIGHTER_SPAIN</v>
      </c>
      <c r="B724" s="9" t="s">
        <v>761</v>
      </c>
      <c r="C724" s="4" t="s">
        <v>738</v>
      </c>
      <c r="E724" s="4" t="s">
        <v>761</v>
      </c>
      <c r="F724" s="4" t="s">
        <v>794</v>
      </c>
      <c r="G724" s="14" t="s">
        <v>132</v>
      </c>
      <c r="H724" s="4" t="s">
        <v>655</v>
      </c>
      <c r="I724" s="4" t="s">
        <v>120</v>
      </c>
    </row>
    <row r="725" spans="1:43" x14ac:dyDescent="0.25">
      <c r="A725" s="161" t="str">
        <f t="shared" si="10"/>
        <v>JET_FIGHTER_BABYLON</v>
      </c>
      <c r="B725" s="9" t="s">
        <v>761</v>
      </c>
      <c r="C725" s="4" t="s">
        <v>703</v>
      </c>
      <c r="E725" s="4" t="s">
        <v>761</v>
      </c>
      <c r="F725" s="4" t="s">
        <v>794</v>
      </c>
      <c r="G725" s="14"/>
      <c r="H725" s="4" t="s">
        <v>210</v>
      </c>
      <c r="I725" s="4" t="s">
        <v>120</v>
      </c>
    </row>
    <row r="726" spans="1:43" x14ac:dyDescent="0.25">
      <c r="A726" s="161" t="str">
        <f t="shared" si="10"/>
        <v>JET_FIGHTER_EGYPT</v>
      </c>
      <c r="B726" s="9" t="s">
        <v>761</v>
      </c>
      <c r="C726" s="4" t="s">
        <v>712</v>
      </c>
      <c r="E726" s="4" t="s">
        <v>761</v>
      </c>
      <c r="F726" s="4" t="s">
        <v>794</v>
      </c>
      <c r="G726" s="14" t="s">
        <v>132</v>
      </c>
      <c r="H726" s="4" t="s">
        <v>281</v>
      </c>
      <c r="I726" s="4" t="s">
        <v>120</v>
      </c>
    </row>
    <row r="727" spans="1:43" x14ac:dyDescent="0.25">
      <c r="A727" s="161" t="str">
        <f t="shared" si="10"/>
        <v>JET_FIGHTER_LEVANT</v>
      </c>
      <c r="B727" s="9" t="s">
        <v>761</v>
      </c>
      <c r="C727" s="4" t="s">
        <v>724</v>
      </c>
      <c r="E727" s="4" t="s">
        <v>761</v>
      </c>
      <c r="F727" s="4" t="s">
        <v>794</v>
      </c>
      <c r="G727" s="14" t="s">
        <v>132</v>
      </c>
      <c r="H727" s="4" t="s">
        <v>510</v>
      </c>
      <c r="I727" s="4" t="s">
        <v>120</v>
      </c>
    </row>
    <row r="728" spans="1:43" x14ac:dyDescent="0.25">
      <c r="A728" s="161" t="str">
        <f t="shared" si="10"/>
        <v>JET_FIGHTER_PERSIA</v>
      </c>
      <c r="B728" s="9" t="s">
        <v>761</v>
      </c>
      <c r="C728" s="4" t="s">
        <v>731</v>
      </c>
      <c r="E728" s="4" t="s">
        <v>761</v>
      </c>
      <c r="F728" s="4" t="s">
        <v>794</v>
      </c>
      <c r="G728" s="14" t="s">
        <v>132</v>
      </c>
      <c r="H728" s="4" t="s">
        <v>555</v>
      </c>
      <c r="I728" s="4" t="s">
        <v>120</v>
      </c>
    </row>
    <row r="729" spans="1:43" x14ac:dyDescent="0.25">
      <c r="A729" s="161" t="str">
        <f t="shared" si="10"/>
        <v>JET_FIGHTER_NORTHEU</v>
      </c>
      <c r="B729" s="9" t="s">
        <v>761</v>
      </c>
      <c r="C729" s="4" t="s">
        <v>962</v>
      </c>
      <c r="E729" s="4" t="s">
        <v>761</v>
      </c>
      <c r="F729" s="4" t="s">
        <v>794</v>
      </c>
      <c r="G729" s="14"/>
      <c r="H729" s="4" t="s">
        <v>2234</v>
      </c>
      <c r="I729" s="4" t="s">
        <v>1062</v>
      </c>
    </row>
    <row r="730" spans="1:43" x14ac:dyDescent="0.25">
      <c r="A730" s="161" t="str">
        <f t="shared" si="10"/>
        <v>JET_FIGHTER_OCEAN</v>
      </c>
      <c r="B730" s="9" t="s">
        <v>761</v>
      </c>
      <c r="C730" s="4" t="s">
        <v>994</v>
      </c>
      <c r="D730" s="4" t="s">
        <v>699</v>
      </c>
      <c r="E730" s="4" t="s">
        <v>761</v>
      </c>
      <c r="F730" s="4" t="s">
        <v>794</v>
      </c>
      <c r="G730" s="14"/>
    </row>
    <row r="731" spans="1:43" x14ac:dyDescent="0.25">
      <c r="A731" s="161" t="str">
        <f t="shared" si="10"/>
        <v>JET_FIGHTER_SIAM</v>
      </c>
      <c r="B731" s="9" t="s">
        <v>761</v>
      </c>
      <c r="C731" s="4" t="s">
        <v>736</v>
      </c>
      <c r="E731" s="4" t="s">
        <v>761</v>
      </c>
      <c r="F731" s="4" t="s">
        <v>794</v>
      </c>
      <c r="G731" s="14" t="s">
        <v>132</v>
      </c>
      <c r="H731" s="4" t="s">
        <v>637</v>
      </c>
      <c r="I731" s="4" t="s">
        <v>1062</v>
      </c>
    </row>
    <row r="732" spans="1:43" x14ac:dyDescent="0.25">
      <c r="A732" s="161" t="str">
        <f t="shared" si="10"/>
        <v>JET_FIGHTER_SOUTHAM</v>
      </c>
      <c r="B732" s="9" t="s">
        <v>761</v>
      </c>
      <c r="C732" s="4" t="s">
        <v>691</v>
      </c>
      <c r="E732" s="4" t="s">
        <v>761</v>
      </c>
      <c r="F732" s="4" t="s">
        <v>794</v>
      </c>
      <c r="G732" s="14" t="s">
        <v>132</v>
      </c>
      <c r="H732" s="4" t="s">
        <v>421</v>
      </c>
      <c r="I732" s="4" t="s">
        <v>120</v>
      </c>
    </row>
    <row r="733" spans="1:43" x14ac:dyDescent="0.25">
      <c r="A733" s="161" t="str">
        <f t="shared" si="10"/>
        <v>JET_FIGHTER_SOUTHAS</v>
      </c>
      <c r="B733" s="9" t="s">
        <v>761</v>
      </c>
      <c r="C733" s="4" t="s">
        <v>695</v>
      </c>
      <c r="E733" s="4" t="s">
        <v>761</v>
      </c>
      <c r="F733" s="4" t="s">
        <v>794</v>
      </c>
      <c r="H733" s="4" t="s">
        <v>435</v>
      </c>
      <c r="I733" s="4" t="s">
        <v>120</v>
      </c>
    </row>
    <row r="734" spans="1:43" x14ac:dyDescent="0.25">
      <c r="A734" s="161" t="str">
        <f t="shared" ref="A734:A799" si="12">CONCATENATE(E734,IF(ISBLANK(C734),"",CONCATENATE("_",C734)))</f>
        <v>KNIGHT</v>
      </c>
      <c r="B734" s="9" t="s">
        <v>110</v>
      </c>
      <c r="C734" s="5"/>
      <c r="D734" s="5"/>
      <c r="E734" s="5" t="s">
        <v>110</v>
      </c>
      <c r="F734" s="5" t="s">
        <v>110</v>
      </c>
      <c r="G734" s="5"/>
      <c r="H734" s="5" t="s">
        <v>28</v>
      </c>
      <c r="I734" s="5" t="s">
        <v>128</v>
      </c>
      <c r="J734" s="6"/>
      <c r="K734" s="6"/>
      <c r="L734" s="13" t="s">
        <v>1714</v>
      </c>
      <c r="M734" s="8"/>
      <c r="N734" s="5"/>
      <c r="O734" s="5"/>
      <c r="P734" s="5"/>
      <c r="Q734" s="7" t="s">
        <v>1695</v>
      </c>
      <c r="R734" s="6" t="s">
        <v>1695</v>
      </c>
      <c r="S734" s="13" t="s">
        <v>1695</v>
      </c>
      <c r="T734" s="7" t="s">
        <v>1695</v>
      </c>
      <c r="U734" s="7" t="s">
        <v>1695</v>
      </c>
      <c r="V734" s="5"/>
      <c r="W734" s="6" t="s">
        <v>3</v>
      </c>
      <c r="X734" s="6" t="s">
        <v>3</v>
      </c>
      <c r="Y734" s="5"/>
      <c r="Z734" s="7">
        <v>1</v>
      </c>
      <c r="AA734" s="6"/>
      <c r="AB734" s="5"/>
      <c r="AC734" s="6"/>
      <c r="AD734" s="6" t="s">
        <v>3</v>
      </c>
      <c r="AE734" s="5"/>
      <c r="AF734" s="7" t="s">
        <v>1695</v>
      </c>
      <c r="AG734" s="6"/>
      <c r="AH734" s="5"/>
      <c r="AI734" s="6"/>
      <c r="AJ734" s="6"/>
      <c r="AK734" s="5"/>
      <c r="AL734" s="5"/>
      <c r="AM734" s="5"/>
      <c r="AN734" s="5"/>
      <c r="AO734" s="5"/>
      <c r="AP734" s="5"/>
      <c r="AQ734" s="5"/>
    </row>
    <row r="735" spans="1:43" x14ac:dyDescent="0.25">
      <c r="A735" s="161" t="str">
        <f t="shared" si="12"/>
        <v>KNIGHT_AFRI</v>
      </c>
      <c r="B735" s="9" t="s">
        <v>110</v>
      </c>
      <c r="C735" s="4" t="s">
        <v>694</v>
      </c>
      <c r="E735" s="4" t="s">
        <v>110</v>
      </c>
      <c r="F735" s="4" t="s">
        <v>110</v>
      </c>
      <c r="H735" s="4" t="s">
        <v>325</v>
      </c>
      <c r="I735" s="4" t="s">
        <v>1025</v>
      </c>
    </row>
    <row r="736" spans="1:43" x14ac:dyDescent="0.25">
      <c r="A736" s="161" t="str">
        <f t="shared" si="12"/>
        <v>KNIGHT_AMER</v>
      </c>
      <c r="B736" s="9" t="s">
        <v>110</v>
      </c>
      <c r="C736" s="4" t="s">
        <v>697</v>
      </c>
      <c r="E736" s="4" t="s">
        <v>110</v>
      </c>
      <c r="F736" s="4" t="s">
        <v>110</v>
      </c>
      <c r="H736" s="4" t="s">
        <v>633</v>
      </c>
      <c r="I736" s="4" t="s">
        <v>1013</v>
      </c>
    </row>
    <row r="737" spans="1:35" x14ac:dyDescent="0.25">
      <c r="A737" s="161" t="str">
        <f t="shared" si="12"/>
        <v>KNIGHT_IROQUOIS</v>
      </c>
      <c r="B737" s="9" t="s">
        <v>110</v>
      </c>
      <c r="C737" s="4" t="s">
        <v>721</v>
      </c>
      <c r="E737" s="4" t="s">
        <v>110</v>
      </c>
      <c r="F737" s="4" t="s">
        <v>110</v>
      </c>
      <c r="H737" s="4" t="s">
        <v>938</v>
      </c>
      <c r="I737" s="4" t="s">
        <v>1935</v>
      </c>
      <c r="Q737" s="11">
        <v>1</v>
      </c>
      <c r="T737" s="11">
        <v>1</v>
      </c>
      <c r="Z737" s="11">
        <v>0</v>
      </c>
      <c r="AF737" s="11">
        <v>1</v>
      </c>
      <c r="AI737" s="11">
        <v>0</v>
      </c>
    </row>
    <row r="738" spans="1:35" x14ac:dyDescent="0.25">
      <c r="A738" s="161" t="str">
        <f t="shared" si="12"/>
        <v>KNIGHT_IROQUOIS</v>
      </c>
      <c r="B738" s="9" t="s">
        <v>110</v>
      </c>
      <c r="C738" s="4" t="s">
        <v>721</v>
      </c>
      <c r="E738" s="4" t="s">
        <v>110</v>
      </c>
      <c r="F738" s="4" t="s">
        <v>110</v>
      </c>
      <c r="G738" s="4" t="s">
        <v>2047</v>
      </c>
      <c r="H738" s="4" t="s">
        <v>939</v>
      </c>
      <c r="I738" s="4" t="s">
        <v>1935</v>
      </c>
      <c r="Q738" s="11">
        <v>1</v>
      </c>
      <c r="T738" s="11">
        <v>2</v>
      </c>
      <c r="Z738" s="11">
        <v>1</v>
      </c>
      <c r="AF738" s="11">
        <v>1</v>
      </c>
      <c r="AI738" s="11">
        <v>1</v>
      </c>
    </row>
    <row r="739" spans="1:35" x14ac:dyDescent="0.25">
      <c r="A739" s="161" t="str">
        <f t="shared" si="12"/>
        <v>KNIGHT_IROQUOIS</v>
      </c>
      <c r="B739" s="9" t="s">
        <v>110</v>
      </c>
      <c r="C739" s="4" t="s">
        <v>721</v>
      </c>
      <c r="E739" s="4" t="s">
        <v>110</v>
      </c>
      <c r="F739" s="4" t="s">
        <v>110</v>
      </c>
      <c r="G739" s="4" t="s">
        <v>2049</v>
      </c>
      <c r="H739" s="4" t="s">
        <v>940</v>
      </c>
      <c r="I739" s="4" t="s">
        <v>1935</v>
      </c>
      <c r="Q739" s="11">
        <v>1</v>
      </c>
      <c r="T739" s="11">
        <v>1</v>
      </c>
      <c r="Z739" s="11">
        <v>0</v>
      </c>
      <c r="AF739" s="11">
        <v>0</v>
      </c>
      <c r="AI739" s="11">
        <v>0</v>
      </c>
    </row>
    <row r="740" spans="1:35" x14ac:dyDescent="0.25">
      <c r="A740" s="161" t="str">
        <f t="shared" si="12"/>
        <v>KNIGHT_IROQUOIS</v>
      </c>
      <c r="B740" s="9" t="s">
        <v>110</v>
      </c>
      <c r="C740" s="4" t="s">
        <v>721</v>
      </c>
      <c r="E740" s="4" t="s">
        <v>110</v>
      </c>
      <c r="F740" s="4" t="s">
        <v>110</v>
      </c>
      <c r="G740" s="4" t="s">
        <v>2048</v>
      </c>
      <c r="H740" s="4" t="s">
        <v>941</v>
      </c>
      <c r="I740" s="4" t="s">
        <v>1935</v>
      </c>
      <c r="Q740" s="9">
        <v>1</v>
      </c>
      <c r="T740" s="11">
        <v>1</v>
      </c>
      <c r="Z740" s="9">
        <v>0</v>
      </c>
      <c r="AF740" s="11">
        <v>0</v>
      </c>
      <c r="AI740" s="11">
        <v>0</v>
      </c>
    </row>
    <row r="741" spans="1:35" x14ac:dyDescent="0.25">
      <c r="A741" s="161" t="str">
        <f t="shared" si="12"/>
        <v>KNIGHT_IROQUOIS</v>
      </c>
      <c r="B741" s="9" t="s">
        <v>110</v>
      </c>
      <c r="C741" s="4" t="s">
        <v>721</v>
      </c>
      <c r="E741" s="4" t="s">
        <v>110</v>
      </c>
      <c r="F741" s="4" t="s">
        <v>110</v>
      </c>
      <c r="G741" s="4" t="s">
        <v>2058</v>
      </c>
      <c r="H741" s="4" t="s">
        <v>464</v>
      </c>
      <c r="I741" s="4" t="s">
        <v>1935</v>
      </c>
      <c r="Q741" s="9">
        <v>1</v>
      </c>
      <c r="T741" s="11">
        <v>2</v>
      </c>
      <c r="Z741" s="9">
        <v>0</v>
      </c>
      <c r="AF741" s="11">
        <v>1</v>
      </c>
      <c r="AI741" s="11">
        <v>1</v>
      </c>
    </row>
    <row r="742" spans="1:35" x14ac:dyDescent="0.25">
      <c r="A742" s="161" t="str">
        <f t="shared" si="12"/>
        <v>KNIGHT_ASIA</v>
      </c>
      <c r="B742" s="9" t="s">
        <v>110</v>
      </c>
      <c r="C742" s="4" t="s">
        <v>693</v>
      </c>
      <c r="E742" s="4" t="s">
        <v>110</v>
      </c>
      <c r="F742" s="4" t="s">
        <v>110</v>
      </c>
      <c r="H742" s="4" t="s">
        <v>530</v>
      </c>
      <c r="I742" s="4" t="s">
        <v>2103</v>
      </c>
    </row>
    <row r="743" spans="1:35" x14ac:dyDescent="0.25">
      <c r="A743" s="161" t="str">
        <f t="shared" si="12"/>
        <v>KNIGHT_CHINA</v>
      </c>
      <c r="B743" s="9" t="s">
        <v>110</v>
      </c>
      <c r="C743" s="4" t="s">
        <v>710</v>
      </c>
      <c r="E743" s="4" t="s">
        <v>110</v>
      </c>
      <c r="F743" s="4" t="s">
        <v>110</v>
      </c>
      <c r="G743" s="14" t="s">
        <v>132</v>
      </c>
      <c r="H743" s="4" t="s">
        <v>250</v>
      </c>
      <c r="I743" s="4" t="s">
        <v>102</v>
      </c>
    </row>
    <row r="744" spans="1:35" x14ac:dyDescent="0.25">
      <c r="A744" s="161" t="str">
        <f t="shared" si="12"/>
        <v>KNIGHT_JAPAN</v>
      </c>
      <c r="B744" s="9" t="s">
        <v>110</v>
      </c>
      <c r="C744" s="4" t="s">
        <v>722</v>
      </c>
      <c r="E744" s="4" t="s">
        <v>110</v>
      </c>
      <c r="F744" s="4" t="s">
        <v>110</v>
      </c>
      <c r="G744" s="14" t="s">
        <v>132</v>
      </c>
      <c r="H744" s="4" t="s">
        <v>483</v>
      </c>
      <c r="I744" s="10" t="s">
        <v>102</v>
      </c>
    </row>
    <row r="745" spans="1:35" x14ac:dyDescent="0.25">
      <c r="A745" s="161" t="str">
        <f t="shared" si="12"/>
        <v>KNIGHT_KOREA</v>
      </c>
      <c r="B745" s="9" t="s">
        <v>110</v>
      </c>
      <c r="C745" s="4" t="s">
        <v>723</v>
      </c>
      <c r="E745" s="4" t="s">
        <v>110</v>
      </c>
      <c r="F745" s="4" t="s">
        <v>110</v>
      </c>
      <c r="G745" s="14" t="s">
        <v>132</v>
      </c>
      <c r="H745" s="4" t="s">
        <v>500</v>
      </c>
      <c r="I745" s="4" t="s">
        <v>102</v>
      </c>
    </row>
    <row r="746" spans="1:35" x14ac:dyDescent="0.25">
      <c r="A746" s="161" t="str">
        <f t="shared" si="12"/>
        <v>KNIGHT_CENTAS</v>
      </c>
      <c r="B746" s="9" t="s">
        <v>110</v>
      </c>
      <c r="C746" s="4" t="s">
        <v>918</v>
      </c>
      <c r="E746" s="4" t="s">
        <v>110</v>
      </c>
      <c r="F746" s="4" t="s">
        <v>110</v>
      </c>
      <c r="H746" s="4" t="s">
        <v>909</v>
      </c>
      <c r="I746" s="4" t="s">
        <v>1063</v>
      </c>
    </row>
    <row r="747" spans="1:35" x14ac:dyDescent="0.25">
      <c r="A747" s="161" t="str">
        <f t="shared" si="12"/>
        <v>KNIGHT_OTTOMAN</v>
      </c>
      <c r="B747" s="9" t="s">
        <v>110</v>
      </c>
      <c r="C747" s="4" t="s">
        <v>1037</v>
      </c>
      <c r="E747" s="4" t="s">
        <v>110</v>
      </c>
      <c r="F747" s="4" t="s">
        <v>110</v>
      </c>
      <c r="H747" s="4" t="s">
        <v>1033</v>
      </c>
      <c r="I747" s="4" t="s">
        <v>2103</v>
      </c>
    </row>
    <row r="748" spans="1:35" x14ac:dyDescent="0.25">
      <c r="A748" s="161" t="str">
        <f t="shared" si="12"/>
        <v>KNIGHT_EASTEU</v>
      </c>
      <c r="B748" s="9" t="s">
        <v>110</v>
      </c>
      <c r="C748" s="4" t="s">
        <v>698</v>
      </c>
      <c r="E748" s="4" t="s">
        <v>110</v>
      </c>
      <c r="F748" s="4" t="s">
        <v>110</v>
      </c>
      <c r="H748" s="4" t="s">
        <v>2104</v>
      </c>
      <c r="I748" s="4" t="s">
        <v>1024</v>
      </c>
    </row>
    <row r="749" spans="1:35" x14ac:dyDescent="0.25">
      <c r="A749" s="161" t="str">
        <f t="shared" si="12"/>
        <v>KNIGHT_POLAN D</v>
      </c>
      <c r="B749" s="9" t="s">
        <v>110</v>
      </c>
      <c r="C749" s="4" t="s">
        <v>2196</v>
      </c>
      <c r="E749" s="4" t="s">
        <v>110</v>
      </c>
      <c r="F749" s="4" t="s">
        <v>110</v>
      </c>
      <c r="H749" s="4" t="s">
        <v>2195</v>
      </c>
      <c r="I749" s="4" t="s">
        <v>1024</v>
      </c>
    </row>
    <row r="750" spans="1:35" x14ac:dyDescent="0.25">
      <c r="A750" s="161" t="str">
        <f t="shared" si="12"/>
        <v>KNIGHT_RUSSIA</v>
      </c>
      <c r="B750" s="9" t="s">
        <v>110</v>
      </c>
      <c r="C750" s="4" t="s">
        <v>735</v>
      </c>
      <c r="E750" s="4" t="s">
        <v>110</v>
      </c>
      <c r="F750" s="4" t="s">
        <v>110</v>
      </c>
      <c r="H750" s="4" t="s">
        <v>616</v>
      </c>
      <c r="I750" s="4" t="s">
        <v>2103</v>
      </c>
      <c r="Q750" s="11">
        <v>1</v>
      </c>
      <c r="T750" s="11">
        <v>1</v>
      </c>
      <c r="Z750" s="11">
        <v>0</v>
      </c>
      <c r="AF750" s="11">
        <v>1</v>
      </c>
    </row>
    <row r="751" spans="1:35" x14ac:dyDescent="0.25">
      <c r="A751" s="161" t="str">
        <f t="shared" si="12"/>
        <v>KNIGHT_RUSSIA</v>
      </c>
      <c r="B751" s="9" t="s">
        <v>110</v>
      </c>
      <c r="C751" s="4" t="s">
        <v>735</v>
      </c>
      <c r="E751" s="4" t="s">
        <v>110</v>
      </c>
      <c r="F751" s="4" t="s">
        <v>110</v>
      </c>
      <c r="G751" s="4" t="s">
        <v>2047</v>
      </c>
      <c r="H751" s="4" t="s">
        <v>1003</v>
      </c>
      <c r="I751" s="4" t="s">
        <v>2103</v>
      </c>
      <c r="Q751" s="11">
        <v>2</v>
      </c>
      <c r="T751" s="11">
        <v>2</v>
      </c>
      <c r="Z751" s="11">
        <v>1</v>
      </c>
      <c r="AF751" s="11">
        <v>1</v>
      </c>
    </row>
    <row r="752" spans="1:35" x14ac:dyDescent="0.25">
      <c r="A752" s="161" t="str">
        <f t="shared" si="12"/>
        <v>KNIGHT_RUSSIA</v>
      </c>
      <c r="B752" s="9" t="s">
        <v>110</v>
      </c>
      <c r="C752" s="4" t="s">
        <v>735</v>
      </c>
      <c r="E752" s="4" t="s">
        <v>110</v>
      </c>
      <c r="F752" s="4" t="s">
        <v>110</v>
      </c>
      <c r="G752" s="4" t="s">
        <v>2049</v>
      </c>
      <c r="H752" s="4" t="s">
        <v>1004</v>
      </c>
      <c r="I752" s="4" t="s">
        <v>2103</v>
      </c>
      <c r="Q752" s="11">
        <v>1</v>
      </c>
      <c r="T752" s="11">
        <v>2</v>
      </c>
      <c r="Z752" s="11">
        <v>0</v>
      </c>
      <c r="AF752" s="11">
        <v>1</v>
      </c>
    </row>
    <row r="753" spans="1:32" x14ac:dyDescent="0.25">
      <c r="A753" s="161" t="str">
        <f t="shared" si="12"/>
        <v>KNIGHT_RUSSIA</v>
      </c>
      <c r="B753" s="9" t="s">
        <v>110</v>
      </c>
      <c r="C753" s="4" t="s">
        <v>735</v>
      </c>
      <c r="E753" s="4" t="s">
        <v>110</v>
      </c>
      <c r="F753" s="4" t="s">
        <v>110</v>
      </c>
      <c r="G753" s="14" t="s">
        <v>132</v>
      </c>
      <c r="H753" s="4" t="s">
        <v>616</v>
      </c>
      <c r="I753" s="4" t="s">
        <v>2103</v>
      </c>
      <c r="Q753" s="9">
        <v>1</v>
      </c>
      <c r="T753" s="11">
        <v>2</v>
      </c>
      <c r="Z753" s="11">
        <v>0</v>
      </c>
      <c r="AF753" s="11">
        <v>0</v>
      </c>
    </row>
    <row r="754" spans="1:32" x14ac:dyDescent="0.25">
      <c r="A754" s="161" t="str">
        <f t="shared" si="12"/>
        <v>KNIGHT_ENGLAND</v>
      </c>
      <c r="B754" s="9" t="s">
        <v>110</v>
      </c>
      <c r="C754" s="4" t="s">
        <v>713</v>
      </c>
      <c r="E754" s="4" t="s">
        <v>110</v>
      </c>
      <c r="F754" s="4" t="s">
        <v>110</v>
      </c>
      <c r="H754" s="4" t="s">
        <v>863</v>
      </c>
      <c r="I754" s="4" t="s">
        <v>102</v>
      </c>
      <c r="Q754" s="9">
        <v>1</v>
      </c>
      <c r="T754" s="11">
        <v>1</v>
      </c>
      <c r="Z754" s="9">
        <v>0</v>
      </c>
      <c r="AF754" s="11">
        <v>0</v>
      </c>
    </row>
    <row r="755" spans="1:32" x14ac:dyDescent="0.25">
      <c r="A755" s="161" t="str">
        <f t="shared" si="12"/>
        <v>KNIGHT_ENGLAND</v>
      </c>
      <c r="B755" s="9" t="s">
        <v>110</v>
      </c>
      <c r="C755" s="4" t="s">
        <v>713</v>
      </c>
      <c r="E755" s="4" t="s">
        <v>110</v>
      </c>
      <c r="F755" s="4" t="s">
        <v>110</v>
      </c>
      <c r="G755" s="4" t="s">
        <v>2047</v>
      </c>
      <c r="H755" s="4" t="s">
        <v>302</v>
      </c>
      <c r="I755" s="4" t="s">
        <v>125</v>
      </c>
      <c r="Q755" s="9">
        <v>1</v>
      </c>
      <c r="T755" s="11">
        <v>1</v>
      </c>
      <c r="Z755" s="9">
        <v>1</v>
      </c>
      <c r="AF755" s="11">
        <v>1</v>
      </c>
    </row>
    <row r="756" spans="1:32" x14ac:dyDescent="0.25">
      <c r="A756" s="161" t="str">
        <f t="shared" si="12"/>
        <v>KNIGHT_ENGLAND</v>
      </c>
      <c r="B756" s="9" t="s">
        <v>110</v>
      </c>
      <c r="C756" s="4" t="s">
        <v>713</v>
      </c>
      <c r="E756" s="4" t="s">
        <v>110</v>
      </c>
      <c r="F756" s="4" t="s">
        <v>110</v>
      </c>
      <c r="H756" s="4" t="s">
        <v>863</v>
      </c>
      <c r="I756" s="4" t="s">
        <v>102</v>
      </c>
      <c r="Q756" s="9">
        <v>2</v>
      </c>
      <c r="T756" s="11">
        <v>2</v>
      </c>
      <c r="Z756" s="9">
        <v>0</v>
      </c>
      <c r="AF756" s="11">
        <v>1</v>
      </c>
    </row>
    <row r="757" spans="1:32" x14ac:dyDescent="0.25">
      <c r="A757" s="161" t="str">
        <f t="shared" si="12"/>
        <v>KNIGHT_ENGLAND</v>
      </c>
      <c r="B757" s="9" t="s">
        <v>110</v>
      </c>
      <c r="C757" s="4" t="s">
        <v>713</v>
      </c>
      <c r="E757" s="4" t="s">
        <v>110</v>
      </c>
      <c r="F757" s="4" t="s">
        <v>110</v>
      </c>
      <c r="G757" s="4" t="s">
        <v>2047</v>
      </c>
      <c r="H757" s="4" t="s">
        <v>302</v>
      </c>
      <c r="I757" s="4" t="s">
        <v>125</v>
      </c>
      <c r="Q757" s="9">
        <v>1</v>
      </c>
      <c r="T757" s="11">
        <v>3</v>
      </c>
      <c r="Z757" s="9">
        <v>0</v>
      </c>
      <c r="AF757" s="11">
        <v>1</v>
      </c>
    </row>
    <row r="758" spans="1:32" x14ac:dyDescent="0.25">
      <c r="A758" s="161" t="str">
        <f t="shared" si="12"/>
        <v>KNIGHT_FRANCE</v>
      </c>
      <c r="B758" s="9" t="s">
        <v>110</v>
      </c>
      <c r="C758" s="4" t="s">
        <v>715</v>
      </c>
      <c r="E758" s="4" t="s">
        <v>110</v>
      </c>
      <c r="F758" s="4" t="s">
        <v>110</v>
      </c>
      <c r="H758" s="4" t="s">
        <v>874</v>
      </c>
      <c r="I758" s="4" t="s">
        <v>125</v>
      </c>
      <c r="Q758" s="9">
        <v>1</v>
      </c>
      <c r="T758" s="11">
        <v>1</v>
      </c>
      <c r="Z758" s="9">
        <v>0</v>
      </c>
      <c r="AF758" s="11">
        <v>1</v>
      </c>
    </row>
    <row r="759" spans="1:32" x14ac:dyDescent="0.25">
      <c r="A759" s="161" t="str">
        <f t="shared" si="12"/>
        <v>KNIGHT_FRANCE</v>
      </c>
      <c r="B759" s="9" t="s">
        <v>110</v>
      </c>
      <c r="C759" s="4" t="s">
        <v>715</v>
      </c>
      <c r="E759" s="4" t="s">
        <v>110</v>
      </c>
      <c r="F759" s="4" t="s">
        <v>110</v>
      </c>
      <c r="G759" s="4" t="s">
        <v>2047</v>
      </c>
      <c r="H759" s="4" t="s">
        <v>875</v>
      </c>
      <c r="I759" s="4" t="s">
        <v>102</v>
      </c>
      <c r="Q759" s="9">
        <v>1</v>
      </c>
      <c r="T759" s="11">
        <v>1</v>
      </c>
      <c r="Z759" s="9">
        <v>1</v>
      </c>
      <c r="AF759" s="11">
        <v>1</v>
      </c>
    </row>
    <row r="760" spans="1:32" x14ac:dyDescent="0.25">
      <c r="A760" s="161" t="str">
        <f t="shared" si="12"/>
        <v>KNIGHT_FRANCE</v>
      </c>
      <c r="B760" s="9" t="s">
        <v>110</v>
      </c>
      <c r="C760" s="4" t="s">
        <v>715</v>
      </c>
      <c r="E760" s="4" t="s">
        <v>110</v>
      </c>
      <c r="F760" s="4" t="s">
        <v>110</v>
      </c>
      <c r="G760" s="4" t="s">
        <v>2049</v>
      </c>
      <c r="H760" s="4" t="s">
        <v>348</v>
      </c>
      <c r="I760" s="4" t="s">
        <v>102</v>
      </c>
      <c r="Q760" s="9">
        <v>1</v>
      </c>
      <c r="T760" s="11">
        <v>1</v>
      </c>
      <c r="Z760" s="9">
        <v>0</v>
      </c>
      <c r="AF760" s="11">
        <v>1</v>
      </c>
    </row>
    <row r="761" spans="1:32" x14ac:dyDescent="0.25">
      <c r="A761" s="161" t="str">
        <f t="shared" si="12"/>
        <v>KNIGHT_FRANCE</v>
      </c>
      <c r="B761" s="9" t="s">
        <v>110</v>
      </c>
      <c r="C761" s="4" t="s">
        <v>715</v>
      </c>
      <c r="E761" s="4" t="s">
        <v>110</v>
      </c>
      <c r="F761" s="4" t="s">
        <v>110</v>
      </c>
      <c r="H761" s="4" t="s">
        <v>874</v>
      </c>
      <c r="I761" s="4" t="s">
        <v>125</v>
      </c>
      <c r="Q761" s="9">
        <v>1</v>
      </c>
      <c r="T761" s="11">
        <v>1</v>
      </c>
      <c r="Z761" s="9">
        <v>0</v>
      </c>
      <c r="AF761" s="11">
        <v>0</v>
      </c>
    </row>
    <row r="762" spans="1:32" x14ac:dyDescent="0.25">
      <c r="A762" s="161" t="str">
        <f t="shared" si="12"/>
        <v>KNIGHT_FRANCE</v>
      </c>
      <c r="B762" s="9" t="s">
        <v>110</v>
      </c>
      <c r="C762" s="4" t="s">
        <v>715</v>
      </c>
      <c r="E762" s="4" t="s">
        <v>110</v>
      </c>
      <c r="F762" s="4" t="s">
        <v>110</v>
      </c>
      <c r="G762" s="4" t="s">
        <v>2047</v>
      </c>
      <c r="H762" s="4" t="s">
        <v>875</v>
      </c>
      <c r="I762" s="4" t="s">
        <v>102</v>
      </c>
      <c r="Q762" s="9">
        <v>1</v>
      </c>
      <c r="T762" s="11">
        <v>1</v>
      </c>
      <c r="Z762" s="9">
        <v>0</v>
      </c>
      <c r="AF762" s="11">
        <v>0</v>
      </c>
    </row>
    <row r="763" spans="1:32" x14ac:dyDescent="0.25">
      <c r="A763" s="161" t="str">
        <f t="shared" si="12"/>
        <v>KNIGHT_FRANCE</v>
      </c>
      <c r="B763" s="9" t="s">
        <v>110</v>
      </c>
      <c r="C763" s="4" t="s">
        <v>715</v>
      </c>
      <c r="E763" s="4" t="s">
        <v>110</v>
      </c>
      <c r="F763" s="4" t="s">
        <v>110</v>
      </c>
      <c r="G763" s="4" t="s">
        <v>2049</v>
      </c>
      <c r="H763" s="4" t="s">
        <v>348</v>
      </c>
      <c r="I763" s="4" t="s">
        <v>102</v>
      </c>
      <c r="Q763" s="9">
        <v>0</v>
      </c>
      <c r="T763" s="11">
        <v>2</v>
      </c>
      <c r="Z763" s="9">
        <v>0</v>
      </c>
      <c r="AF763" s="11">
        <v>0</v>
      </c>
    </row>
    <row r="764" spans="1:32" x14ac:dyDescent="0.25">
      <c r="A764" s="161" t="str">
        <f t="shared" si="12"/>
        <v>KNIGHT_GERMANY</v>
      </c>
      <c r="B764" s="9" t="s">
        <v>110</v>
      </c>
      <c r="C764" s="4" t="s">
        <v>717</v>
      </c>
      <c r="E764" s="4" t="s">
        <v>110</v>
      </c>
      <c r="F764" s="4" t="s">
        <v>110</v>
      </c>
      <c r="H764" s="4" t="s">
        <v>888</v>
      </c>
      <c r="I764" s="4" t="s">
        <v>102</v>
      </c>
      <c r="Q764" s="9">
        <v>1</v>
      </c>
      <c r="T764" s="11">
        <v>1</v>
      </c>
      <c r="Z764" s="9">
        <v>1</v>
      </c>
      <c r="AF764" s="11">
        <v>1</v>
      </c>
    </row>
    <row r="765" spans="1:32" x14ac:dyDescent="0.25">
      <c r="A765" s="161" t="str">
        <f t="shared" si="12"/>
        <v>KNIGHT_GERMANY</v>
      </c>
      <c r="B765" s="9" t="s">
        <v>110</v>
      </c>
      <c r="C765" s="4" t="s">
        <v>717</v>
      </c>
      <c r="E765" s="4" t="s">
        <v>110</v>
      </c>
      <c r="F765" s="4" t="s">
        <v>110</v>
      </c>
      <c r="G765" s="4" t="s">
        <v>2047</v>
      </c>
      <c r="H765" s="4" t="s">
        <v>889</v>
      </c>
      <c r="I765" s="4" t="s">
        <v>122</v>
      </c>
      <c r="Q765" s="9">
        <v>1</v>
      </c>
      <c r="T765" s="11">
        <v>1</v>
      </c>
      <c r="Z765" s="9">
        <v>0</v>
      </c>
      <c r="AF765" s="11">
        <v>1</v>
      </c>
    </row>
    <row r="766" spans="1:32" x14ac:dyDescent="0.25">
      <c r="A766" s="161" t="str">
        <f t="shared" si="12"/>
        <v>KNIGHT_GERMANY</v>
      </c>
      <c r="B766" s="9" t="s">
        <v>110</v>
      </c>
      <c r="C766" s="4" t="s">
        <v>717</v>
      </c>
      <c r="E766" s="4" t="s">
        <v>110</v>
      </c>
      <c r="F766" s="4" t="s">
        <v>110</v>
      </c>
      <c r="G766" s="4" t="s">
        <v>2049</v>
      </c>
      <c r="H766" s="4" t="s">
        <v>890</v>
      </c>
      <c r="I766" s="4" t="s">
        <v>122</v>
      </c>
      <c r="Q766" s="9">
        <v>1</v>
      </c>
      <c r="T766" s="11">
        <v>1</v>
      </c>
      <c r="Z766" s="9">
        <v>0</v>
      </c>
      <c r="AF766" s="11">
        <v>1</v>
      </c>
    </row>
    <row r="767" spans="1:32" x14ac:dyDescent="0.25">
      <c r="A767" s="161" t="str">
        <f t="shared" si="12"/>
        <v>KNIGHT_GERMANY</v>
      </c>
      <c r="B767" s="9" t="s">
        <v>110</v>
      </c>
      <c r="C767" s="4" t="s">
        <v>717</v>
      </c>
      <c r="E767" s="4" t="s">
        <v>110</v>
      </c>
      <c r="F767" s="4" t="s">
        <v>110</v>
      </c>
      <c r="G767" s="4" t="s">
        <v>2048</v>
      </c>
      <c r="H767" s="4" t="s">
        <v>891</v>
      </c>
      <c r="I767" s="4" t="s">
        <v>122</v>
      </c>
      <c r="Q767" s="9">
        <v>1</v>
      </c>
      <c r="T767" s="11">
        <v>1</v>
      </c>
      <c r="Z767" s="9">
        <v>0</v>
      </c>
      <c r="AF767" s="11">
        <v>0</v>
      </c>
    </row>
    <row r="768" spans="1:32" x14ac:dyDescent="0.25">
      <c r="A768" s="161" t="str">
        <f t="shared" si="12"/>
        <v>KNIGHT_GERMANY</v>
      </c>
      <c r="B768" s="9" t="s">
        <v>110</v>
      </c>
      <c r="C768" s="4" t="s">
        <v>717</v>
      </c>
      <c r="E768" s="4" t="s">
        <v>110</v>
      </c>
      <c r="F768" s="4" t="s">
        <v>110</v>
      </c>
      <c r="G768" s="4" t="s">
        <v>2058</v>
      </c>
      <c r="H768" s="4" t="s">
        <v>892</v>
      </c>
      <c r="I768" s="4" t="s">
        <v>122</v>
      </c>
      <c r="Q768" s="9">
        <v>0</v>
      </c>
      <c r="T768" s="11">
        <v>1</v>
      </c>
      <c r="Z768" s="9">
        <v>0</v>
      </c>
      <c r="AF768" s="11">
        <v>0</v>
      </c>
    </row>
    <row r="769" spans="1:35" x14ac:dyDescent="0.25">
      <c r="A769" s="161" t="str">
        <f t="shared" si="12"/>
        <v>KNIGHT_GERMANY</v>
      </c>
      <c r="B769" s="9" t="s">
        <v>110</v>
      </c>
      <c r="C769" s="4" t="s">
        <v>717</v>
      </c>
      <c r="E769" s="4" t="s">
        <v>110</v>
      </c>
      <c r="F769" s="4" t="s">
        <v>110</v>
      </c>
      <c r="G769" s="4" t="s">
        <v>2059</v>
      </c>
      <c r="H769" s="4" t="s">
        <v>379</v>
      </c>
      <c r="I769" s="4" t="s">
        <v>122</v>
      </c>
      <c r="Q769" s="9">
        <v>1</v>
      </c>
      <c r="T769" s="11">
        <v>2</v>
      </c>
      <c r="Z769" s="9">
        <v>0</v>
      </c>
      <c r="AF769" s="11">
        <v>0</v>
      </c>
    </row>
    <row r="770" spans="1:35" x14ac:dyDescent="0.25">
      <c r="A770" s="161" t="str">
        <f t="shared" si="12"/>
        <v>KNIGHT_WITTENBERG</v>
      </c>
      <c r="B770" s="9" t="s">
        <v>110</v>
      </c>
      <c r="C770" s="4" t="s">
        <v>1215</v>
      </c>
      <c r="E770" s="4" t="s">
        <v>110</v>
      </c>
      <c r="F770" s="4" t="s">
        <v>110</v>
      </c>
      <c r="H770" s="4" t="s">
        <v>1958</v>
      </c>
      <c r="I770" s="4" t="s">
        <v>1959</v>
      </c>
      <c r="Q770" s="9"/>
      <c r="Z770" s="9"/>
    </row>
    <row r="771" spans="1:35" x14ac:dyDescent="0.25">
      <c r="A771" s="161" t="str">
        <f t="shared" si="12"/>
        <v>KNIGHT_GREECE</v>
      </c>
      <c r="B771" s="9" t="s">
        <v>110</v>
      </c>
      <c r="C771" s="4" t="s">
        <v>718</v>
      </c>
      <c r="E771" s="4" t="s">
        <v>110</v>
      </c>
      <c r="F771" s="4" t="s">
        <v>110</v>
      </c>
      <c r="G771" s="14" t="s">
        <v>132</v>
      </c>
      <c r="H771" s="4" t="s">
        <v>406</v>
      </c>
      <c r="I771" s="4" t="s">
        <v>102</v>
      </c>
      <c r="Q771" s="9">
        <v>1</v>
      </c>
      <c r="T771" s="9">
        <v>2</v>
      </c>
      <c r="W771" s="9"/>
      <c r="Z771" s="9">
        <v>1</v>
      </c>
      <c r="AF771" s="9">
        <v>1</v>
      </c>
      <c r="AI771" s="9"/>
    </row>
    <row r="772" spans="1:35" x14ac:dyDescent="0.25">
      <c r="A772" s="161" t="str">
        <f t="shared" si="12"/>
        <v>KNIGHT_GREECE</v>
      </c>
      <c r="B772" s="9" t="s">
        <v>110</v>
      </c>
      <c r="C772" s="4" t="s">
        <v>718</v>
      </c>
      <c r="E772" s="4" t="s">
        <v>110</v>
      </c>
      <c r="F772" s="4" t="s">
        <v>110</v>
      </c>
      <c r="G772" s="14" t="s">
        <v>132</v>
      </c>
      <c r="H772" s="4" t="s">
        <v>1072</v>
      </c>
      <c r="I772" s="4" t="s">
        <v>102</v>
      </c>
      <c r="Q772" s="9">
        <v>1</v>
      </c>
      <c r="T772" s="9">
        <v>1</v>
      </c>
      <c r="W772" s="9"/>
      <c r="Z772" s="9">
        <v>0</v>
      </c>
      <c r="AF772" s="9">
        <v>1</v>
      </c>
      <c r="AI772" s="9"/>
    </row>
    <row r="773" spans="1:35" x14ac:dyDescent="0.25">
      <c r="A773" s="161" t="str">
        <f t="shared" si="12"/>
        <v>KNIGHT_GREECE</v>
      </c>
      <c r="B773" s="9" t="s">
        <v>110</v>
      </c>
      <c r="C773" s="4" t="s">
        <v>718</v>
      </c>
      <c r="E773" s="4" t="s">
        <v>110</v>
      </c>
      <c r="F773" s="4" t="s">
        <v>110</v>
      </c>
      <c r="G773" s="14" t="s">
        <v>132</v>
      </c>
      <c r="H773" s="4" t="s">
        <v>406</v>
      </c>
      <c r="I773" s="4" t="s">
        <v>102</v>
      </c>
      <c r="Q773" s="9">
        <v>2</v>
      </c>
      <c r="T773" s="9">
        <v>3</v>
      </c>
      <c r="W773" s="9"/>
      <c r="Z773" s="9">
        <v>0</v>
      </c>
      <c r="AF773" s="9">
        <v>1</v>
      </c>
      <c r="AI773" s="9"/>
    </row>
    <row r="774" spans="1:35" x14ac:dyDescent="0.25">
      <c r="A774" s="161" t="str">
        <f t="shared" si="12"/>
        <v>KNIGHT_GREECE</v>
      </c>
      <c r="B774" s="9" t="s">
        <v>110</v>
      </c>
      <c r="C774" s="4" t="s">
        <v>718</v>
      </c>
      <c r="E774" s="4" t="s">
        <v>110</v>
      </c>
      <c r="F774" s="4" t="s">
        <v>110</v>
      </c>
      <c r="G774" s="14" t="s">
        <v>132</v>
      </c>
      <c r="H774" s="4" t="s">
        <v>1072</v>
      </c>
      <c r="I774" s="4" t="s">
        <v>102</v>
      </c>
      <c r="Q774" s="9">
        <v>1</v>
      </c>
      <c r="T774" s="9">
        <v>1</v>
      </c>
      <c r="W774" s="9"/>
      <c r="Z774" s="9">
        <v>0</v>
      </c>
      <c r="AF774" s="9">
        <v>0</v>
      </c>
      <c r="AI774" s="9"/>
    </row>
    <row r="775" spans="1:35" x14ac:dyDescent="0.25">
      <c r="A775" s="161" t="str">
        <f t="shared" si="12"/>
        <v>KNIGHT_ROME</v>
      </c>
      <c r="B775" s="9" t="s">
        <v>110</v>
      </c>
      <c r="C775" s="4" t="s">
        <v>734</v>
      </c>
      <c r="E775" s="4" t="s">
        <v>110</v>
      </c>
      <c r="F775" s="4" t="s">
        <v>110</v>
      </c>
      <c r="H775" s="4" t="s">
        <v>1001</v>
      </c>
      <c r="I775" s="4" t="s">
        <v>1024</v>
      </c>
      <c r="Q775" s="9">
        <v>1</v>
      </c>
      <c r="T775" s="11">
        <v>1</v>
      </c>
      <c r="Z775" s="9">
        <v>1</v>
      </c>
      <c r="AF775" s="11">
        <v>1</v>
      </c>
    </row>
    <row r="776" spans="1:35" x14ac:dyDescent="0.25">
      <c r="A776" s="161" t="str">
        <f t="shared" si="12"/>
        <v>KNIGHT_ROME</v>
      </c>
      <c r="B776" s="9" t="s">
        <v>110</v>
      </c>
      <c r="C776" s="4" t="s">
        <v>734</v>
      </c>
      <c r="E776" s="4" t="s">
        <v>110</v>
      </c>
      <c r="F776" s="4" t="s">
        <v>110</v>
      </c>
      <c r="G776" s="4" t="s">
        <v>2047</v>
      </c>
      <c r="H776" s="4" t="s">
        <v>592</v>
      </c>
      <c r="I776" s="4" t="s">
        <v>1024</v>
      </c>
      <c r="Q776" s="9">
        <v>2</v>
      </c>
      <c r="T776" s="11">
        <v>2</v>
      </c>
      <c r="Z776" s="9">
        <v>0</v>
      </c>
      <c r="AF776" s="11">
        <v>1</v>
      </c>
    </row>
    <row r="777" spans="1:35" x14ac:dyDescent="0.25">
      <c r="A777" s="161" t="str">
        <f t="shared" si="12"/>
        <v>KNIGHT_ROME</v>
      </c>
      <c r="B777" s="9" t="s">
        <v>110</v>
      </c>
      <c r="C777" s="4" t="s">
        <v>734</v>
      </c>
      <c r="E777" s="4" t="s">
        <v>110</v>
      </c>
      <c r="F777" s="4" t="s">
        <v>110</v>
      </c>
      <c r="H777" s="4" t="s">
        <v>1001</v>
      </c>
      <c r="I777" s="4" t="s">
        <v>1024</v>
      </c>
      <c r="Q777" s="9">
        <v>1</v>
      </c>
      <c r="T777" s="11">
        <v>2</v>
      </c>
      <c r="Z777" s="9">
        <v>0</v>
      </c>
      <c r="AF777" s="11">
        <v>1</v>
      </c>
    </row>
    <row r="778" spans="1:35" x14ac:dyDescent="0.25">
      <c r="A778" s="161" t="str">
        <f t="shared" si="12"/>
        <v>KNIGHT_ROME</v>
      </c>
      <c r="B778" s="9" t="s">
        <v>110</v>
      </c>
      <c r="C778" s="4" t="s">
        <v>734</v>
      </c>
      <c r="E778" s="4" t="s">
        <v>110</v>
      </c>
      <c r="F778" s="4" t="s">
        <v>110</v>
      </c>
      <c r="G778" s="4" t="s">
        <v>2047</v>
      </c>
      <c r="H778" s="4" t="s">
        <v>592</v>
      </c>
      <c r="I778" s="4" t="s">
        <v>1024</v>
      </c>
      <c r="Q778" s="9">
        <v>1</v>
      </c>
      <c r="T778" s="11">
        <v>2</v>
      </c>
      <c r="Z778" s="9">
        <v>0</v>
      </c>
      <c r="AF778" s="11">
        <v>0</v>
      </c>
    </row>
    <row r="779" spans="1:35" x14ac:dyDescent="0.25">
      <c r="A779" s="161" t="str">
        <f t="shared" si="12"/>
        <v>KNIGHT_SPAIN</v>
      </c>
      <c r="B779" s="9" t="s">
        <v>110</v>
      </c>
      <c r="C779" s="4" t="s">
        <v>738</v>
      </c>
      <c r="E779" s="4" t="s">
        <v>110</v>
      </c>
      <c r="F779" s="4" t="s">
        <v>110</v>
      </c>
      <c r="G779" s="14" t="s">
        <v>132</v>
      </c>
      <c r="H779" s="4" t="s">
        <v>656</v>
      </c>
      <c r="I779" s="4" t="s">
        <v>2103</v>
      </c>
    </row>
    <row r="780" spans="1:35" x14ac:dyDescent="0.25">
      <c r="A780" s="161" t="str">
        <f t="shared" si="12"/>
        <v>KNIGHT_MIDEAST</v>
      </c>
      <c r="B780" s="9" t="s">
        <v>110</v>
      </c>
      <c r="C780" s="4" t="s">
        <v>690</v>
      </c>
      <c r="E780" s="4" t="s">
        <v>110</v>
      </c>
      <c r="F780" s="4" t="s">
        <v>110</v>
      </c>
      <c r="H780" s="4" t="s">
        <v>163</v>
      </c>
      <c r="I780" s="4" t="s">
        <v>2103</v>
      </c>
    </row>
    <row r="781" spans="1:35" x14ac:dyDescent="0.25">
      <c r="A781" s="161" t="str">
        <f t="shared" si="12"/>
        <v>KNIGHT_ARABIA</v>
      </c>
      <c r="B781" s="9" t="s">
        <v>110</v>
      </c>
      <c r="C781" s="4" t="s">
        <v>700</v>
      </c>
      <c r="D781" s="14" t="s">
        <v>690</v>
      </c>
      <c r="E781" s="4" t="s">
        <v>110</v>
      </c>
      <c r="F781" s="4" t="s">
        <v>110</v>
      </c>
      <c r="G781" s="14"/>
    </row>
    <row r="782" spans="1:35" x14ac:dyDescent="0.25">
      <c r="A782" s="161" t="str">
        <f t="shared" si="12"/>
        <v>KNIGHT_BABYLON</v>
      </c>
      <c r="B782" s="9" t="s">
        <v>110</v>
      </c>
      <c r="C782" s="4" t="s">
        <v>703</v>
      </c>
      <c r="E782" s="4" t="s">
        <v>110</v>
      </c>
      <c r="F782" s="4" t="s">
        <v>110</v>
      </c>
      <c r="G782" s="14"/>
      <c r="H782" s="4" t="s">
        <v>211</v>
      </c>
      <c r="I782" s="4" t="s">
        <v>102</v>
      </c>
    </row>
    <row r="783" spans="1:35" x14ac:dyDescent="0.25">
      <c r="A783" s="161" t="str">
        <f t="shared" si="12"/>
        <v>KNIGHT_EGYPT</v>
      </c>
      <c r="B783" s="9" t="s">
        <v>110</v>
      </c>
      <c r="C783" s="4" t="s">
        <v>712</v>
      </c>
      <c r="E783" s="4" t="s">
        <v>110</v>
      </c>
      <c r="F783" s="4" t="s">
        <v>110</v>
      </c>
      <c r="G783" s="14" t="s">
        <v>132</v>
      </c>
      <c r="H783" s="4" t="s">
        <v>282</v>
      </c>
      <c r="I783" s="4" t="s">
        <v>2103</v>
      </c>
    </row>
    <row r="784" spans="1:35" x14ac:dyDescent="0.25">
      <c r="A784" s="161" t="str">
        <f t="shared" si="12"/>
        <v>KNIGHT_LEVANT</v>
      </c>
      <c r="B784" s="9" t="s">
        <v>110</v>
      </c>
      <c r="C784" s="4" t="s">
        <v>724</v>
      </c>
      <c r="E784" s="4" t="s">
        <v>110</v>
      </c>
      <c r="F784" s="4" t="s">
        <v>110</v>
      </c>
      <c r="G784" s="14" t="s">
        <v>132</v>
      </c>
      <c r="H784" s="4" t="s">
        <v>511</v>
      </c>
      <c r="I784" s="4" t="s">
        <v>102</v>
      </c>
    </row>
    <row r="785" spans="1:35" x14ac:dyDescent="0.25">
      <c r="A785" s="161" t="str">
        <f t="shared" si="12"/>
        <v>KNIGHT_PERSIA</v>
      </c>
      <c r="B785" s="9" t="s">
        <v>110</v>
      </c>
      <c r="C785" s="4" t="s">
        <v>731</v>
      </c>
      <c r="E785" s="4" t="s">
        <v>110</v>
      </c>
      <c r="F785" s="4" t="s">
        <v>110</v>
      </c>
      <c r="H785" s="4" t="s">
        <v>978</v>
      </c>
      <c r="I785" s="4" t="s">
        <v>102</v>
      </c>
      <c r="Q785" s="11">
        <v>1</v>
      </c>
      <c r="T785" s="11">
        <v>1</v>
      </c>
      <c r="Z785" s="11">
        <v>0</v>
      </c>
      <c r="AF785" s="11">
        <v>1</v>
      </c>
      <c r="AI785" s="11">
        <v>1</v>
      </c>
    </row>
    <row r="786" spans="1:35" x14ac:dyDescent="0.25">
      <c r="A786" s="161" t="str">
        <f t="shared" si="12"/>
        <v>KNIGHT_PERSIA</v>
      </c>
      <c r="B786" s="9" t="s">
        <v>110</v>
      </c>
      <c r="C786" s="4" t="s">
        <v>731</v>
      </c>
      <c r="E786" s="4" t="s">
        <v>110</v>
      </c>
      <c r="F786" s="4" t="s">
        <v>110</v>
      </c>
      <c r="G786" s="4" t="s">
        <v>2047</v>
      </c>
      <c r="H786" s="4" t="s">
        <v>556</v>
      </c>
      <c r="I786" s="4" t="s">
        <v>102</v>
      </c>
      <c r="Q786" s="11">
        <v>2</v>
      </c>
      <c r="T786" s="11">
        <v>2</v>
      </c>
      <c r="Z786" s="11">
        <v>1</v>
      </c>
      <c r="AF786" s="11">
        <v>1</v>
      </c>
      <c r="AI786" s="11">
        <v>2</v>
      </c>
    </row>
    <row r="787" spans="1:35" x14ac:dyDescent="0.25">
      <c r="A787" s="161" t="str">
        <f t="shared" si="12"/>
        <v>KNIGHT_PERSIA</v>
      </c>
      <c r="B787" s="9" t="s">
        <v>110</v>
      </c>
      <c r="C787" s="4" t="s">
        <v>731</v>
      </c>
      <c r="E787" s="4" t="s">
        <v>110</v>
      </c>
      <c r="F787" s="4" t="s">
        <v>110</v>
      </c>
      <c r="H787" s="4" t="s">
        <v>978</v>
      </c>
      <c r="I787" s="4" t="s">
        <v>102</v>
      </c>
      <c r="Q787" s="11">
        <v>1</v>
      </c>
      <c r="T787" s="11">
        <v>2</v>
      </c>
      <c r="Z787" s="11">
        <v>0</v>
      </c>
      <c r="AF787" s="11">
        <v>1</v>
      </c>
      <c r="AI787" s="11">
        <v>1</v>
      </c>
    </row>
    <row r="788" spans="1:35" x14ac:dyDescent="0.25">
      <c r="A788" s="161" t="str">
        <f t="shared" si="12"/>
        <v>KNIGHT_PERSIA</v>
      </c>
      <c r="B788" s="9" t="s">
        <v>110</v>
      </c>
      <c r="C788" s="4" t="s">
        <v>731</v>
      </c>
      <c r="E788" s="4" t="s">
        <v>110</v>
      </c>
      <c r="F788" s="4" t="s">
        <v>110</v>
      </c>
      <c r="G788" s="4" t="s">
        <v>2047</v>
      </c>
      <c r="H788" s="4" t="s">
        <v>556</v>
      </c>
      <c r="I788" s="4" t="s">
        <v>102</v>
      </c>
      <c r="Q788" s="9">
        <v>1</v>
      </c>
      <c r="T788" s="11">
        <v>2</v>
      </c>
      <c r="Z788" s="9">
        <v>0</v>
      </c>
      <c r="AF788" s="11">
        <v>0</v>
      </c>
      <c r="AI788" s="11">
        <v>1</v>
      </c>
    </row>
    <row r="789" spans="1:35" x14ac:dyDescent="0.25">
      <c r="A789" s="161" t="str">
        <f t="shared" si="12"/>
        <v>KNIGHT_NORTHEU</v>
      </c>
      <c r="B789" s="9" t="s">
        <v>110</v>
      </c>
      <c r="C789" s="4" t="s">
        <v>962</v>
      </c>
      <c r="E789" s="4" t="s">
        <v>110</v>
      </c>
      <c r="F789" s="4" t="s">
        <v>110</v>
      </c>
      <c r="G789" s="14" t="s">
        <v>132</v>
      </c>
      <c r="H789" s="4" t="s">
        <v>268</v>
      </c>
      <c r="I789" s="4" t="s">
        <v>102</v>
      </c>
    </row>
    <row r="790" spans="1:35" x14ac:dyDescent="0.25">
      <c r="A790" s="161" t="str">
        <f t="shared" si="12"/>
        <v>KNIGHT_OCEAN</v>
      </c>
      <c r="B790" s="9" t="s">
        <v>110</v>
      </c>
      <c r="C790" s="4" t="s">
        <v>994</v>
      </c>
      <c r="D790" s="4" t="s">
        <v>691</v>
      </c>
      <c r="E790" s="4" t="s">
        <v>110</v>
      </c>
      <c r="F790" s="4" t="s">
        <v>110</v>
      </c>
    </row>
    <row r="791" spans="1:35" x14ac:dyDescent="0.25">
      <c r="A791" s="161" t="str">
        <f t="shared" si="12"/>
        <v>KNIGHT_SEASIA</v>
      </c>
      <c r="B791" s="9" t="s">
        <v>110</v>
      </c>
      <c r="C791" s="4" t="s">
        <v>696</v>
      </c>
      <c r="E791" s="4" t="s">
        <v>110</v>
      </c>
      <c r="F791" s="4" t="s">
        <v>110</v>
      </c>
      <c r="H791" s="4" t="s">
        <v>1783</v>
      </c>
      <c r="I791" s="4" t="s">
        <v>1814</v>
      </c>
    </row>
    <row r="792" spans="1:35" x14ac:dyDescent="0.25">
      <c r="A792" s="161" t="str">
        <f t="shared" si="12"/>
        <v>KNIGHT_SOUTHAM</v>
      </c>
      <c r="B792" s="9" t="s">
        <v>110</v>
      </c>
      <c r="C792" s="4" t="s">
        <v>691</v>
      </c>
      <c r="E792" s="4" t="s">
        <v>110</v>
      </c>
      <c r="F792" s="4" t="s">
        <v>110</v>
      </c>
      <c r="H792" s="4" t="s">
        <v>518</v>
      </c>
      <c r="I792" s="4" t="s">
        <v>2103</v>
      </c>
    </row>
    <row r="793" spans="1:35" x14ac:dyDescent="0.25">
      <c r="A793" s="161" t="str">
        <f t="shared" si="12"/>
        <v>KNIGHT_AZTEC</v>
      </c>
      <c r="B793" s="9" t="s">
        <v>110</v>
      </c>
      <c r="C793" s="4" t="s">
        <v>702</v>
      </c>
      <c r="E793" s="4" t="s">
        <v>110</v>
      </c>
      <c r="F793" s="4" t="s">
        <v>110</v>
      </c>
      <c r="G793" s="14"/>
      <c r="H793" s="4" t="s">
        <v>197</v>
      </c>
      <c r="I793" s="4" t="s">
        <v>2103</v>
      </c>
    </row>
    <row r="794" spans="1:35" x14ac:dyDescent="0.25">
      <c r="A794" s="161" t="str">
        <f t="shared" si="12"/>
        <v>KNIGHT_INCA</v>
      </c>
      <c r="B794" s="9" t="s">
        <v>110</v>
      </c>
      <c r="C794" s="4" t="s">
        <v>719</v>
      </c>
      <c r="E794" s="4" t="s">
        <v>110</v>
      </c>
      <c r="F794" s="4" t="s">
        <v>110</v>
      </c>
      <c r="G794" s="14" t="s">
        <v>132</v>
      </c>
      <c r="H794" s="4" t="s">
        <v>422</v>
      </c>
      <c r="I794" s="4" t="s">
        <v>2103</v>
      </c>
    </row>
    <row r="795" spans="1:35" x14ac:dyDescent="0.25">
      <c r="A795" s="161" t="str">
        <f t="shared" si="12"/>
        <v>KNIGHT_MAYA</v>
      </c>
      <c r="B795" s="9" t="s">
        <v>110</v>
      </c>
      <c r="C795" s="4" t="s">
        <v>725</v>
      </c>
      <c r="D795" s="4" t="s">
        <v>691</v>
      </c>
      <c r="E795" s="4" t="s">
        <v>110</v>
      </c>
      <c r="F795" s="4" t="s">
        <v>110</v>
      </c>
      <c r="G795" s="14" t="s">
        <v>132</v>
      </c>
    </row>
    <row r="796" spans="1:35" x14ac:dyDescent="0.25">
      <c r="A796" s="161" t="str">
        <f t="shared" si="12"/>
        <v>KNIGHT_SOUTHAS</v>
      </c>
      <c r="B796" s="9" t="s">
        <v>110</v>
      </c>
      <c r="C796" s="4" t="s">
        <v>695</v>
      </c>
      <c r="E796" s="4" t="s">
        <v>110</v>
      </c>
      <c r="F796" s="4" t="s">
        <v>110</v>
      </c>
      <c r="H796" s="4" t="s">
        <v>849</v>
      </c>
      <c r="I796" s="4" t="s">
        <v>102</v>
      </c>
      <c r="Q796" s="11">
        <v>1</v>
      </c>
      <c r="T796" s="11">
        <v>1</v>
      </c>
      <c r="Z796" s="11">
        <v>0</v>
      </c>
      <c r="AF796" s="11">
        <v>1</v>
      </c>
      <c r="AI796" s="11">
        <v>1</v>
      </c>
    </row>
    <row r="797" spans="1:35" x14ac:dyDescent="0.25">
      <c r="A797" s="161" t="str">
        <f t="shared" si="12"/>
        <v>KNIGHT_SOUTHAS</v>
      </c>
      <c r="B797" s="9" t="s">
        <v>110</v>
      </c>
      <c r="C797" s="4" t="s">
        <v>695</v>
      </c>
      <c r="E797" s="4" t="s">
        <v>110</v>
      </c>
      <c r="F797" s="4" t="s">
        <v>110</v>
      </c>
      <c r="G797" s="4" t="s">
        <v>2047</v>
      </c>
      <c r="H797" s="4" t="s">
        <v>848</v>
      </c>
      <c r="I797" s="4" t="s">
        <v>102</v>
      </c>
      <c r="Q797" s="11">
        <v>1</v>
      </c>
      <c r="T797" s="11">
        <v>1</v>
      </c>
      <c r="Z797" s="11">
        <v>0</v>
      </c>
      <c r="AF797" s="11">
        <v>0</v>
      </c>
      <c r="AI797" s="11">
        <v>1</v>
      </c>
    </row>
    <row r="798" spans="1:35" x14ac:dyDescent="0.25">
      <c r="A798" s="161" t="str">
        <f t="shared" si="12"/>
        <v>KNIGHT_SOUTHAS</v>
      </c>
      <c r="B798" s="9" t="s">
        <v>110</v>
      </c>
      <c r="C798" s="4" t="s">
        <v>695</v>
      </c>
      <c r="E798" s="4" t="s">
        <v>110</v>
      </c>
      <c r="F798" s="4" t="s">
        <v>110</v>
      </c>
      <c r="G798" s="4" t="s">
        <v>2049</v>
      </c>
      <c r="H798" s="4" t="s">
        <v>847</v>
      </c>
      <c r="I798" s="4" t="s">
        <v>102</v>
      </c>
      <c r="Q798" s="11">
        <v>1</v>
      </c>
      <c r="T798" s="11">
        <v>2</v>
      </c>
      <c r="Z798" s="11">
        <v>1</v>
      </c>
      <c r="AF798" s="11">
        <v>1</v>
      </c>
      <c r="AI798" s="11">
        <v>1</v>
      </c>
    </row>
    <row r="799" spans="1:35" x14ac:dyDescent="0.25">
      <c r="A799" s="161" t="str">
        <f t="shared" si="12"/>
        <v>KNIGHT_SOUTHAS</v>
      </c>
      <c r="B799" s="9" t="s">
        <v>110</v>
      </c>
      <c r="C799" s="4" t="s">
        <v>695</v>
      </c>
      <c r="E799" s="4" t="s">
        <v>110</v>
      </c>
      <c r="F799" s="4" t="s">
        <v>110</v>
      </c>
      <c r="G799" s="4" t="s">
        <v>2048</v>
      </c>
      <c r="H799" s="4" t="s">
        <v>846</v>
      </c>
      <c r="I799" s="4" t="s">
        <v>102</v>
      </c>
      <c r="Q799" s="9">
        <v>1</v>
      </c>
      <c r="T799" s="11">
        <v>1</v>
      </c>
      <c r="Z799" s="9">
        <v>0</v>
      </c>
      <c r="AF799" s="11">
        <v>0</v>
      </c>
      <c r="AI799" s="11">
        <v>1</v>
      </c>
    </row>
    <row r="800" spans="1:35" x14ac:dyDescent="0.25">
      <c r="A800" s="161" t="str">
        <f t="shared" ref="A800:A870" si="13">CONCATENATE(E800,IF(ISBLANK(C800),"",CONCATENATE("_",C800)))</f>
        <v>KNIGHT_SOUTHAS</v>
      </c>
      <c r="B800" s="9" t="s">
        <v>110</v>
      </c>
      <c r="C800" s="4" t="s">
        <v>695</v>
      </c>
      <c r="E800" s="4" t="s">
        <v>110</v>
      </c>
      <c r="F800" s="4" t="s">
        <v>110</v>
      </c>
      <c r="G800" s="4" t="s">
        <v>2058</v>
      </c>
      <c r="H800" s="4" t="s">
        <v>436</v>
      </c>
      <c r="I800" s="4" t="s">
        <v>102</v>
      </c>
      <c r="Q800" s="9">
        <v>1</v>
      </c>
      <c r="T800" s="11">
        <v>2</v>
      </c>
      <c r="Z800" s="9">
        <v>0</v>
      </c>
      <c r="AF800" s="11">
        <v>1</v>
      </c>
      <c r="AI800" s="11">
        <v>1</v>
      </c>
    </row>
    <row r="801" spans="1:43" x14ac:dyDescent="0.25">
      <c r="A801" s="161" t="str">
        <f t="shared" si="13"/>
        <v>LANCER</v>
      </c>
      <c r="B801" s="9" t="s">
        <v>762</v>
      </c>
      <c r="C801" s="5"/>
      <c r="D801" s="5"/>
      <c r="E801" s="5" t="s">
        <v>762</v>
      </c>
      <c r="F801" s="5" t="s">
        <v>762</v>
      </c>
      <c r="G801" s="5"/>
      <c r="H801" s="5" t="s">
        <v>27</v>
      </c>
      <c r="I801" s="5" t="s">
        <v>128</v>
      </c>
      <c r="J801" s="6"/>
      <c r="K801" s="6"/>
      <c r="L801" s="13" t="s">
        <v>1714</v>
      </c>
      <c r="M801" s="8"/>
      <c r="N801" s="5"/>
      <c r="O801" s="5"/>
      <c r="P801" s="5"/>
      <c r="Q801" s="7" t="s">
        <v>1695</v>
      </c>
      <c r="R801" s="6" t="s">
        <v>1695</v>
      </c>
      <c r="S801" s="13" t="s">
        <v>1695</v>
      </c>
      <c r="T801" s="6" t="s">
        <v>1695</v>
      </c>
      <c r="U801" s="7" t="s">
        <v>1695</v>
      </c>
      <c r="V801" s="5" t="s">
        <v>1701</v>
      </c>
      <c r="W801" s="6" t="s">
        <v>3</v>
      </c>
      <c r="X801" s="6" t="s">
        <v>3</v>
      </c>
      <c r="Y801" s="5"/>
      <c r="Z801" s="7">
        <v>1</v>
      </c>
      <c r="AA801" s="6"/>
      <c r="AB801" s="5"/>
      <c r="AC801" s="6"/>
      <c r="AD801" s="6" t="s">
        <v>3</v>
      </c>
      <c r="AE801" s="5"/>
      <c r="AF801" s="7" t="s">
        <v>1695</v>
      </c>
      <c r="AG801" s="6"/>
      <c r="AH801" s="5"/>
      <c r="AI801" s="6"/>
      <c r="AJ801" s="6"/>
      <c r="AK801" s="5"/>
      <c r="AL801" s="5"/>
      <c r="AM801" s="5"/>
      <c r="AN801" s="5"/>
      <c r="AO801" s="5"/>
      <c r="AP801" s="5"/>
      <c r="AQ801" s="5"/>
    </row>
    <row r="802" spans="1:43" x14ac:dyDescent="0.25">
      <c r="A802" s="161" t="str">
        <f t="shared" si="13"/>
        <v>LANCER_JAPAN</v>
      </c>
      <c r="B802" s="9" t="s">
        <v>762</v>
      </c>
      <c r="C802" s="4" t="s">
        <v>722</v>
      </c>
      <c r="E802" s="4" t="s">
        <v>762</v>
      </c>
      <c r="F802" s="4" t="s">
        <v>762</v>
      </c>
      <c r="G802" s="14" t="s">
        <v>132</v>
      </c>
      <c r="H802" s="4" t="s">
        <v>484</v>
      </c>
      <c r="I802" s="4" t="s">
        <v>102</v>
      </c>
    </row>
    <row r="803" spans="1:43" x14ac:dyDescent="0.25">
      <c r="A803" s="161" t="str">
        <f t="shared" si="13"/>
        <v>LANCER_CENTAS</v>
      </c>
      <c r="B803" s="9" t="s">
        <v>762</v>
      </c>
      <c r="C803" s="4" t="s">
        <v>918</v>
      </c>
      <c r="D803" s="4" t="s">
        <v>690</v>
      </c>
      <c r="E803" s="4" t="s">
        <v>762</v>
      </c>
      <c r="F803" s="4" t="s">
        <v>762</v>
      </c>
      <c r="G803" s="14" t="s">
        <v>132</v>
      </c>
    </row>
    <row r="804" spans="1:43" x14ac:dyDescent="0.25">
      <c r="A804" s="161" t="str">
        <f t="shared" si="13"/>
        <v>LANCER_FRANCE</v>
      </c>
      <c r="B804" s="9" t="s">
        <v>762</v>
      </c>
      <c r="C804" s="4" t="s">
        <v>715</v>
      </c>
      <c r="E804" s="4" t="s">
        <v>762</v>
      </c>
      <c r="F804" s="4" t="s">
        <v>762</v>
      </c>
      <c r="G804" s="14" t="s">
        <v>132</v>
      </c>
      <c r="H804" s="4" t="s">
        <v>349</v>
      </c>
      <c r="I804" s="4" t="s">
        <v>122</v>
      </c>
    </row>
    <row r="805" spans="1:43" x14ac:dyDescent="0.25">
      <c r="A805" s="161" t="str">
        <f t="shared" si="13"/>
        <v>LANCER_GERMANY</v>
      </c>
      <c r="B805" s="9" t="s">
        <v>762</v>
      </c>
      <c r="C805" s="4" t="s">
        <v>717</v>
      </c>
      <c r="E805" s="4" t="s">
        <v>762</v>
      </c>
      <c r="F805" s="4" t="s">
        <v>762</v>
      </c>
      <c r="G805" s="14" t="s">
        <v>132</v>
      </c>
      <c r="H805" s="4" t="s">
        <v>380</v>
      </c>
      <c r="I805" s="4" t="s">
        <v>122</v>
      </c>
    </row>
    <row r="806" spans="1:43" x14ac:dyDescent="0.25">
      <c r="A806" s="161" t="str">
        <f t="shared" si="13"/>
        <v>LANCER_NETHERLANDS</v>
      </c>
      <c r="B806" s="9" t="s">
        <v>762</v>
      </c>
      <c r="C806" s="4" t="s">
        <v>730</v>
      </c>
      <c r="E806" s="4" t="s">
        <v>762</v>
      </c>
      <c r="F806" s="4" t="s">
        <v>762</v>
      </c>
      <c r="G806" s="14" t="s">
        <v>132</v>
      </c>
      <c r="H806" s="4" t="s">
        <v>544</v>
      </c>
      <c r="I806" s="4" t="s">
        <v>122</v>
      </c>
    </row>
    <row r="807" spans="1:43" x14ac:dyDescent="0.25">
      <c r="A807" s="161" t="str">
        <f t="shared" si="13"/>
        <v>LANCER_MIDEAST</v>
      </c>
      <c r="B807" s="9" t="s">
        <v>762</v>
      </c>
      <c r="C807" s="4" t="s">
        <v>690</v>
      </c>
      <c r="E807" s="4" t="s">
        <v>762</v>
      </c>
      <c r="F807" s="4" t="s">
        <v>762</v>
      </c>
      <c r="H807" s="4" t="s">
        <v>557</v>
      </c>
      <c r="I807" s="4" t="s">
        <v>966</v>
      </c>
    </row>
    <row r="808" spans="1:43" x14ac:dyDescent="0.25">
      <c r="A808" s="161" t="str">
        <f t="shared" si="13"/>
        <v>LONGSWORDSMAN</v>
      </c>
      <c r="B808" s="9" t="s">
        <v>109</v>
      </c>
      <c r="C808" s="5"/>
      <c r="D808" s="5"/>
      <c r="E808" s="5" t="s">
        <v>109</v>
      </c>
      <c r="F808" s="5" t="s">
        <v>109</v>
      </c>
      <c r="G808" s="5"/>
      <c r="H808" s="5" t="s">
        <v>26</v>
      </c>
      <c r="I808" s="5" t="s">
        <v>128</v>
      </c>
      <c r="J808" s="6"/>
      <c r="K808" s="6"/>
      <c r="L808" s="13" t="s">
        <v>1708</v>
      </c>
      <c r="M808" s="8"/>
      <c r="N808" s="5"/>
      <c r="O808" s="5"/>
      <c r="P808" s="5"/>
      <c r="Q808" s="7" t="s">
        <v>1737</v>
      </c>
      <c r="R808" s="6" t="s">
        <v>1737</v>
      </c>
      <c r="S808" s="13" t="s">
        <v>1737</v>
      </c>
      <c r="T808" s="6" t="s">
        <v>1737</v>
      </c>
      <c r="U808" s="7" t="s">
        <v>1737</v>
      </c>
      <c r="V808" s="5"/>
      <c r="W808" s="7" t="s">
        <v>3</v>
      </c>
      <c r="X808" s="6" t="s">
        <v>3</v>
      </c>
      <c r="Y808" s="5"/>
      <c r="Z808" s="7">
        <v>1</v>
      </c>
      <c r="AA808" s="6"/>
      <c r="AB808" s="5"/>
      <c r="AC808" s="6"/>
      <c r="AD808" s="6" t="s">
        <v>3</v>
      </c>
      <c r="AE808" s="5"/>
      <c r="AF808" s="7" t="s">
        <v>1737</v>
      </c>
      <c r="AG808" s="6"/>
      <c r="AH808" s="5"/>
      <c r="AI808" s="6" t="s">
        <v>1737</v>
      </c>
      <c r="AJ808" s="6"/>
      <c r="AK808" s="5"/>
      <c r="AL808" s="5"/>
      <c r="AM808" s="5"/>
      <c r="AN808" s="5"/>
      <c r="AO808" s="5"/>
      <c r="AP808" s="5"/>
      <c r="AQ808" s="5"/>
    </row>
    <row r="809" spans="1:43" x14ac:dyDescent="0.25">
      <c r="A809" s="161" t="str">
        <f t="shared" si="13"/>
        <v>LONGSWORDSMAN_AFRI</v>
      </c>
      <c r="B809" s="9" t="s">
        <v>109</v>
      </c>
      <c r="C809" s="5" t="s">
        <v>694</v>
      </c>
      <c r="D809" s="5"/>
      <c r="E809" s="5" t="s">
        <v>109</v>
      </c>
      <c r="F809" s="5" t="s">
        <v>109</v>
      </c>
      <c r="G809" s="5"/>
      <c r="H809" s="5" t="s">
        <v>2122</v>
      </c>
      <c r="I809" s="5" t="s">
        <v>1025</v>
      </c>
      <c r="J809" s="6"/>
      <c r="K809" s="6"/>
      <c r="L809" s="13"/>
      <c r="M809" s="8"/>
      <c r="N809" s="5"/>
      <c r="O809" s="5"/>
      <c r="P809" s="5"/>
      <c r="Q809" s="7">
        <v>1</v>
      </c>
      <c r="R809" s="6"/>
      <c r="S809" s="13"/>
      <c r="T809" s="6">
        <v>2</v>
      </c>
      <c r="U809" s="7"/>
      <c r="V809" s="5"/>
      <c r="W809" s="7"/>
      <c r="X809" s="6"/>
      <c r="Y809" s="5"/>
      <c r="Z809" s="7">
        <v>1</v>
      </c>
      <c r="AA809" s="6"/>
      <c r="AB809" s="5"/>
      <c r="AC809" s="6"/>
      <c r="AD809" s="6"/>
      <c r="AE809" s="5"/>
      <c r="AF809" s="7">
        <v>1</v>
      </c>
      <c r="AG809" s="6"/>
      <c r="AH809" s="5"/>
      <c r="AI809" s="6">
        <v>1</v>
      </c>
      <c r="AJ809" s="6"/>
      <c r="AK809" s="5"/>
      <c r="AL809" s="5"/>
      <c r="AM809" s="5"/>
      <c r="AN809" s="5"/>
      <c r="AO809" s="5"/>
      <c r="AP809" s="5"/>
      <c r="AQ809" s="5"/>
    </row>
    <row r="810" spans="1:43" x14ac:dyDescent="0.25">
      <c r="A810" s="161" t="str">
        <f t="shared" si="13"/>
        <v>LONGSWORDSMAN_AFRI</v>
      </c>
      <c r="B810" s="9" t="s">
        <v>109</v>
      </c>
      <c r="C810" s="5" t="s">
        <v>694</v>
      </c>
      <c r="D810" s="5"/>
      <c r="E810" s="5" t="s">
        <v>109</v>
      </c>
      <c r="F810" s="5" t="s">
        <v>109</v>
      </c>
      <c r="G810" s="5" t="s">
        <v>2047</v>
      </c>
      <c r="H810" s="5" t="s">
        <v>2123</v>
      </c>
      <c r="I810" s="5" t="s">
        <v>1025</v>
      </c>
      <c r="J810" s="6"/>
      <c r="K810" s="6"/>
      <c r="L810" s="13"/>
      <c r="M810" s="8"/>
      <c r="N810" s="5"/>
      <c r="O810" s="5"/>
      <c r="P810" s="5"/>
      <c r="Q810" s="7">
        <v>2</v>
      </c>
      <c r="R810" s="6"/>
      <c r="S810" s="13"/>
      <c r="T810" s="6">
        <v>2</v>
      </c>
      <c r="U810" s="7"/>
      <c r="V810" s="5"/>
      <c r="W810" s="7"/>
      <c r="X810" s="6"/>
      <c r="Y810" s="5"/>
      <c r="Z810" s="7">
        <v>0</v>
      </c>
      <c r="AA810" s="6"/>
      <c r="AB810" s="5"/>
      <c r="AC810" s="6"/>
      <c r="AD810" s="6"/>
      <c r="AE810" s="5"/>
      <c r="AF810" s="7">
        <v>1</v>
      </c>
      <c r="AG810" s="6"/>
      <c r="AH810" s="5"/>
      <c r="AI810" s="6">
        <v>1</v>
      </c>
      <c r="AJ810" s="6"/>
      <c r="AK810" s="5"/>
      <c r="AL810" s="5"/>
      <c r="AM810" s="5"/>
      <c r="AN810" s="5"/>
      <c r="AO810" s="5"/>
      <c r="AP810" s="5"/>
      <c r="AQ810" s="5"/>
    </row>
    <row r="811" spans="1:43" x14ac:dyDescent="0.25">
      <c r="A811" s="161" t="s">
        <v>2124</v>
      </c>
      <c r="B811" s="9" t="s">
        <v>109</v>
      </c>
      <c r="C811" s="4" t="s">
        <v>694</v>
      </c>
      <c r="E811" s="4" t="s">
        <v>109</v>
      </c>
      <c r="F811" s="4" t="s">
        <v>109</v>
      </c>
      <c r="H811" s="4" t="s">
        <v>2122</v>
      </c>
      <c r="I811" s="4" t="s">
        <v>1025</v>
      </c>
      <c r="Q811" s="11">
        <v>3</v>
      </c>
      <c r="T811" s="11">
        <v>4</v>
      </c>
      <c r="Z811" s="11">
        <v>0</v>
      </c>
      <c r="AF811" s="11">
        <v>1</v>
      </c>
      <c r="AI811" s="11">
        <v>2</v>
      </c>
    </row>
    <row r="812" spans="1:43" x14ac:dyDescent="0.25">
      <c r="A812" s="161" t="s">
        <v>2124</v>
      </c>
      <c r="B812" s="9" t="s">
        <v>109</v>
      </c>
      <c r="C812" s="4" t="s">
        <v>694</v>
      </c>
      <c r="E812" s="4" t="s">
        <v>109</v>
      </c>
      <c r="F812" s="4" t="s">
        <v>109</v>
      </c>
      <c r="G812" s="4" t="s">
        <v>2047</v>
      </c>
      <c r="H812" s="4" t="s">
        <v>2123</v>
      </c>
      <c r="I812" s="4" t="s">
        <v>1025</v>
      </c>
      <c r="Q812" s="11">
        <v>3</v>
      </c>
      <c r="T812" s="11">
        <v>4</v>
      </c>
      <c r="Z812" s="11">
        <v>0</v>
      </c>
      <c r="AF812" s="11">
        <v>0</v>
      </c>
      <c r="AI812" s="11">
        <v>1</v>
      </c>
    </row>
    <row r="813" spans="1:43" x14ac:dyDescent="0.25">
      <c r="A813" s="161" t="s">
        <v>2124</v>
      </c>
      <c r="B813" s="9" t="s">
        <v>109</v>
      </c>
      <c r="C813" s="4" t="s">
        <v>694</v>
      </c>
      <c r="E813" s="4" t="s">
        <v>109</v>
      </c>
      <c r="F813" s="4" t="s">
        <v>109</v>
      </c>
      <c r="H813" s="4" t="s">
        <v>2122</v>
      </c>
      <c r="I813" s="4" t="s">
        <v>1025</v>
      </c>
      <c r="Q813" s="11">
        <v>2</v>
      </c>
      <c r="T813" s="11">
        <v>2</v>
      </c>
      <c r="Z813" s="11">
        <v>0</v>
      </c>
      <c r="AF813" s="11">
        <v>0</v>
      </c>
      <c r="AI813" s="11">
        <v>1</v>
      </c>
    </row>
    <row r="814" spans="1:43" x14ac:dyDescent="0.25">
      <c r="A814" s="161" t="s">
        <v>2124</v>
      </c>
      <c r="B814" s="9" t="s">
        <v>109</v>
      </c>
      <c r="C814" s="4" t="s">
        <v>694</v>
      </c>
      <c r="E814" s="4" t="s">
        <v>109</v>
      </c>
      <c r="F814" s="4" t="s">
        <v>109</v>
      </c>
      <c r="G814" s="4" t="s">
        <v>2047</v>
      </c>
      <c r="H814" s="4" t="s">
        <v>2123</v>
      </c>
      <c r="I814" s="4" t="s">
        <v>1025</v>
      </c>
      <c r="Q814" s="9">
        <v>1</v>
      </c>
      <c r="T814" s="11">
        <v>2</v>
      </c>
      <c r="Z814" s="9">
        <v>0</v>
      </c>
      <c r="AF814" s="11">
        <v>0</v>
      </c>
      <c r="AI814" s="11">
        <v>1</v>
      </c>
    </row>
    <row r="815" spans="1:43" x14ac:dyDescent="0.25">
      <c r="A815" s="161" t="str">
        <f t="shared" si="13"/>
        <v>LONGSWORDSMAN_ETHIOPIA</v>
      </c>
      <c r="B815" s="9" t="s">
        <v>109</v>
      </c>
      <c r="C815" s="4" t="s">
        <v>714</v>
      </c>
      <c r="E815" s="4" t="s">
        <v>109</v>
      </c>
      <c r="F815" s="4" t="s">
        <v>109</v>
      </c>
      <c r="G815" s="14" t="s">
        <v>132</v>
      </c>
      <c r="H815" s="4" t="s">
        <v>332</v>
      </c>
      <c r="I815" s="4" t="s">
        <v>1025</v>
      </c>
      <c r="Q815" s="9" t="s">
        <v>1737</v>
      </c>
      <c r="Z815" s="9"/>
    </row>
    <row r="816" spans="1:43" x14ac:dyDescent="0.25">
      <c r="A816" s="161" t="str">
        <f t="shared" si="13"/>
        <v>LONGSWORDSMAN_SONGHAI</v>
      </c>
      <c r="B816" s="9" t="s">
        <v>109</v>
      </c>
      <c r="C816" s="4" t="s">
        <v>737</v>
      </c>
      <c r="E816" s="4" t="s">
        <v>109</v>
      </c>
      <c r="F816" s="4" t="s">
        <v>109</v>
      </c>
      <c r="G816" s="14"/>
      <c r="H816" s="4" t="s">
        <v>1964</v>
      </c>
      <c r="I816" s="4" t="s">
        <v>1025</v>
      </c>
      <c r="Q816" s="9">
        <v>1</v>
      </c>
      <c r="T816" s="11">
        <v>2</v>
      </c>
      <c r="Z816" s="9">
        <v>1</v>
      </c>
      <c r="AF816" s="11">
        <v>1</v>
      </c>
      <c r="AI816" s="11">
        <v>1</v>
      </c>
    </row>
    <row r="817" spans="1:35" x14ac:dyDescent="0.25">
      <c r="A817" s="161" t="str">
        <f>CONCATENATE(E817,IF(ISBLANK(C817),"",CONCATENATE("_",C817)))</f>
        <v>LONGSWORDSMAN_SONGHAI</v>
      </c>
      <c r="B817" s="9" t="s">
        <v>109</v>
      </c>
      <c r="C817" s="4" t="s">
        <v>737</v>
      </c>
      <c r="E817" s="4" t="s">
        <v>109</v>
      </c>
      <c r="F817" s="4" t="s">
        <v>109</v>
      </c>
      <c r="G817" s="14" t="s">
        <v>2047</v>
      </c>
      <c r="H817" s="4" t="s">
        <v>1965</v>
      </c>
      <c r="I817" s="4" t="s">
        <v>1025</v>
      </c>
      <c r="Q817" s="9">
        <v>2</v>
      </c>
      <c r="T817" s="11">
        <v>2</v>
      </c>
      <c r="Z817" s="9">
        <v>0</v>
      </c>
      <c r="AF817" s="11">
        <v>1</v>
      </c>
      <c r="AI817" s="11">
        <v>1</v>
      </c>
    </row>
    <row r="818" spans="1:35" x14ac:dyDescent="0.25">
      <c r="A818" s="161" t="str">
        <f>CONCATENATE(E818,IF(ISBLANK(C818),"",CONCATENATE("_",C818)))</f>
        <v>LONGSWORDSMAN_SONGHAI</v>
      </c>
      <c r="B818" s="9" t="s">
        <v>109</v>
      </c>
      <c r="C818" s="4" t="s">
        <v>737</v>
      </c>
      <c r="E818" s="4" t="s">
        <v>109</v>
      </c>
      <c r="F818" s="4" t="s">
        <v>109</v>
      </c>
      <c r="G818" s="14"/>
      <c r="H818" s="4" t="s">
        <v>1964</v>
      </c>
      <c r="I818" s="4" t="s">
        <v>1025</v>
      </c>
      <c r="Q818" s="9">
        <v>3</v>
      </c>
      <c r="T818" s="11">
        <v>4</v>
      </c>
      <c r="Z818" s="9">
        <v>0</v>
      </c>
      <c r="AF818" s="11">
        <v>1</v>
      </c>
      <c r="AI818" s="11">
        <v>2</v>
      </c>
    </row>
    <row r="819" spans="1:35" x14ac:dyDescent="0.25">
      <c r="A819" s="161" t="str">
        <f>CONCATENATE(E819,IF(ISBLANK(C819),"",CONCATENATE("_",C819)))</f>
        <v>LONGSWORDSMAN_SONGHAI</v>
      </c>
      <c r="B819" s="9" t="s">
        <v>109</v>
      </c>
      <c r="C819" s="4" t="s">
        <v>737</v>
      </c>
      <c r="E819" s="4" t="s">
        <v>109</v>
      </c>
      <c r="F819" s="4" t="s">
        <v>109</v>
      </c>
      <c r="G819" s="14" t="s">
        <v>2047</v>
      </c>
      <c r="H819" s="4" t="s">
        <v>1965</v>
      </c>
      <c r="I819" s="4" t="s">
        <v>1025</v>
      </c>
      <c r="Q819" s="9">
        <v>3</v>
      </c>
      <c r="T819" s="11">
        <v>4</v>
      </c>
      <c r="Z819" s="9">
        <v>0</v>
      </c>
      <c r="AF819" s="11">
        <v>0</v>
      </c>
      <c r="AI819" s="11">
        <v>1</v>
      </c>
    </row>
    <row r="820" spans="1:35" x14ac:dyDescent="0.25">
      <c r="A820" s="161" t="str">
        <f>CONCATENATE(E820,IF(ISBLANK(C820),"",CONCATENATE("_",C820)))</f>
        <v>LONGSWORDSMAN_SONGHAI</v>
      </c>
      <c r="B820" s="9" t="s">
        <v>109</v>
      </c>
      <c r="C820" s="4" t="s">
        <v>737</v>
      </c>
      <c r="E820" s="4" t="s">
        <v>109</v>
      </c>
      <c r="F820" s="4" t="s">
        <v>109</v>
      </c>
      <c r="G820" s="14"/>
      <c r="H820" s="4" t="s">
        <v>1964</v>
      </c>
      <c r="I820" s="4" t="s">
        <v>1025</v>
      </c>
      <c r="Q820" s="9">
        <v>2</v>
      </c>
      <c r="T820" s="11">
        <v>2</v>
      </c>
      <c r="Z820" s="9">
        <v>0</v>
      </c>
      <c r="AF820" s="11">
        <v>0</v>
      </c>
      <c r="AI820" s="11">
        <v>1</v>
      </c>
    </row>
    <row r="821" spans="1:35" x14ac:dyDescent="0.25">
      <c r="A821" s="161" t="str">
        <f>CONCATENATE(E821,IF(ISBLANK(C821),"",CONCATENATE("_",C821)))</f>
        <v>LONGSWORDSMAN_SONGHAI</v>
      </c>
      <c r="B821" s="9" t="s">
        <v>109</v>
      </c>
      <c r="C821" s="4" t="s">
        <v>737</v>
      </c>
      <c r="E821" s="4" t="s">
        <v>109</v>
      </c>
      <c r="F821" s="4" t="s">
        <v>109</v>
      </c>
      <c r="G821" s="14" t="s">
        <v>2047</v>
      </c>
      <c r="H821" s="4" t="s">
        <v>1965</v>
      </c>
      <c r="I821" s="4" t="s">
        <v>1025</v>
      </c>
      <c r="Q821" s="9">
        <v>1</v>
      </c>
      <c r="T821" s="11">
        <v>2</v>
      </c>
      <c r="Z821" s="9">
        <v>0</v>
      </c>
      <c r="AF821" s="11">
        <v>0</v>
      </c>
      <c r="AI821" s="11">
        <v>1</v>
      </c>
    </row>
    <row r="822" spans="1:35" x14ac:dyDescent="0.25">
      <c r="A822" s="161" t="str">
        <f t="shared" si="13"/>
        <v>LONGSWORDSMAN_AMER</v>
      </c>
      <c r="B822" s="9" t="s">
        <v>109</v>
      </c>
      <c r="C822" s="4" t="s">
        <v>697</v>
      </c>
      <c r="E822" s="4" t="s">
        <v>109</v>
      </c>
      <c r="F822" s="4" t="s">
        <v>109</v>
      </c>
      <c r="H822" s="4" t="s">
        <v>634</v>
      </c>
      <c r="I822" s="4" t="s">
        <v>1935</v>
      </c>
    </row>
    <row r="823" spans="1:35" x14ac:dyDescent="0.25">
      <c r="A823" s="161" t="str">
        <f t="shared" si="13"/>
        <v>LONGSWORDSMAN_IROQUOIS</v>
      </c>
      <c r="B823" s="9" t="s">
        <v>109</v>
      </c>
      <c r="C823" s="4" t="s">
        <v>721</v>
      </c>
      <c r="E823" s="4" t="s">
        <v>109</v>
      </c>
      <c r="F823" s="4" t="s">
        <v>109</v>
      </c>
      <c r="H823" s="4" t="s">
        <v>465</v>
      </c>
      <c r="I823" s="4" t="s">
        <v>1935</v>
      </c>
      <c r="Q823" s="11">
        <v>2</v>
      </c>
      <c r="T823" s="11">
        <v>2</v>
      </c>
      <c r="Z823" s="9">
        <v>1</v>
      </c>
      <c r="AF823" s="11">
        <v>1</v>
      </c>
      <c r="AI823" s="11">
        <v>1</v>
      </c>
    </row>
    <row r="824" spans="1:35" x14ac:dyDescent="0.25">
      <c r="A824" s="161" t="str">
        <f t="shared" si="13"/>
        <v>LONGSWORDSMAN_IROQUOIS</v>
      </c>
      <c r="B824" s="9" t="s">
        <v>109</v>
      </c>
      <c r="C824" s="4" t="s">
        <v>721</v>
      </c>
      <c r="E824" s="4" t="s">
        <v>109</v>
      </c>
      <c r="F824" s="4" t="s">
        <v>109</v>
      </c>
      <c r="G824" s="4" t="s">
        <v>2047</v>
      </c>
      <c r="H824" s="4" t="s">
        <v>942</v>
      </c>
      <c r="I824" s="4" t="s">
        <v>1935</v>
      </c>
      <c r="Q824" s="11">
        <v>3</v>
      </c>
      <c r="T824" s="11">
        <v>4</v>
      </c>
      <c r="Z824" s="9">
        <v>0</v>
      </c>
      <c r="AF824" s="11">
        <v>1</v>
      </c>
      <c r="AI824" s="11">
        <v>2</v>
      </c>
    </row>
    <row r="825" spans="1:35" x14ac:dyDescent="0.25">
      <c r="A825" s="161" t="str">
        <f t="shared" si="13"/>
        <v>LONGSWORDSMAN_IROQUOIS</v>
      </c>
      <c r="B825" s="9" t="s">
        <v>109</v>
      </c>
      <c r="C825" s="4" t="s">
        <v>721</v>
      </c>
      <c r="E825" s="4" t="s">
        <v>109</v>
      </c>
      <c r="F825" s="4" t="s">
        <v>109</v>
      </c>
      <c r="G825" s="4" t="s">
        <v>2049</v>
      </c>
      <c r="H825" s="4" t="s">
        <v>943</v>
      </c>
      <c r="I825" s="4" t="s">
        <v>1935</v>
      </c>
      <c r="Q825" s="11">
        <v>2</v>
      </c>
      <c r="T825" s="11">
        <v>4</v>
      </c>
      <c r="Z825" s="9">
        <v>0</v>
      </c>
      <c r="AF825" s="11">
        <v>1</v>
      </c>
      <c r="AI825" s="11">
        <v>2</v>
      </c>
    </row>
    <row r="826" spans="1:35" x14ac:dyDescent="0.25">
      <c r="A826" s="161" t="str">
        <f t="shared" si="13"/>
        <v>LONGSWORDSMAN_IROQUOIS</v>
      </c>
      <c r="B826" s="9" t="s">
        <v>109</v>
      </c>
      <c r="C826" s="4" t="s">
        <v>721</v>
      </c>
      <c r="E826" s="4" t="s">
        <v>109</v>
      </c>
      <c r="F826" s="4" t="s">
        <v>109</v>
      </c>
      <c r="G826" s="4" t="s">
        <v>2048</v>
      </c>
      <c r="H826" s="4" t="s">
        <v>634</v>
      </c>
      <c r="I826" s="4" t="s">
        <v>1935</v>
      </c>
      <c r="Q826" s="9">
        <v>3</v>
      </c>
      <c r="T826" s="11">
        <v>4</v>
      </c>
      <c r="Z826" s="9">
        <v>0</v>
      </c>
      <c r="AF826" s="11">
        <v>0</v>
      </c>
      <c r="AI826" s="11">
        <v>1</v>
      </c>
    </row>
    <row r="827" spans="1:35" x14ac:dyDescent="0.25">
      <c r="A827" s="161" t="str">
        <f t="shared" si="13"/>
        <v>LONGSWORDSMAN_IROQUOIS</v>
      </c>
      <c r="B827" s="9" t="s">
        <v>109</v>
      </c>
      <c r="C827" s="4" t="s">
        <v>721</v>
      </c>
      <c r="E827" s="4" t="s">
        <v>109</v>
      </c>
      <c r="F827" s="4" t="s">
        <v>109</v>
      </c>
      <c r="G827" s="14" t="s">
        <v>132</v>
      </c>
      <c r="H827" s="4" t="s">
        <v>465</v>
      </c>
      <c r="I827" s="4" t="s">
        <v>1935</v>
      </c>
      <c r="Q827" s="9">
        <v>2</v>
      </c>
      <c r="T827" s="11">
        <v>2</v>
      </c>
      <c r="Z827" s="9">
        <v>0</v>
      </c>
      <c r="AF827" s="11">
        <v>0</v>
      </c>
      <c r="AI827" s="11">
        <v>1</v>
      </c>
    </row>
    <row r="828" spans="1:35" x14ac:dyDescent="0.25">
      <c r="A828" s="161" t="str">
        <f t="shared" si="13"/>
        <v>LONGSWORDSMAN_ASIA</v>
      </c>
      <c r="B828" s="9" t="s">
        <v>109</v>
      </c>
      <c r="C828" s="4" t="s">
        <v>693</v>
      </c>
      <c r="E828" s="4" t="s">
        <v>109</v>
      </c>
      <c r="F828" s="4" t="s">
        <v>109</v>
      </c>
      <c r="H828" s="4" t="s">
        <v>450</v>
      </c>
      <c r="I828" s="4" t="s">
        <v>102</v>
      </c>
    </row>
    <row r="829" spans="1:35" x14ac:dyDescent="0.25">
      <c r="A829" s="161" t="str">
        <f t="shared" si="13"/>
        <v>LONGSWORDSMAN_CHINA</v>
      </c>
      <c r="B829" s="9" t="s">
        <v>109</v>
      </c>
      <c r="C829" s="4" t="s">
        <v>710</v>
      </c>
      <c r="E829" s="4" t="s">
        <v>109</v>
      </c>
      <c r="F829" s="4" t="s">
        <v>109</v>
      </c>
      <c r="H829" s="4" t="s">
        <v>450</v>
      </c>
      <c r="I829" s="4" t="s">
        <v>102</v>
      </c>
      <c r="Q829" s="9">
        <v>2</v>
      </c>
      <c r="T829" s="11">
        <v>3</v>
      </c>
      <c r="Z829" s="9">
        <v>0</v>
      </c>
      <c r="AF829" s="11">
        <v>1</v>
      </c>
      <c r="AI829" s="11">
        <v>1</v>
      </c>
    </row>
    <row r="830" spans="1:35" x14ac:dyDescent="0.25">
      <c r="A830" s="161" t="str">
        <f t="shared" si="13"/>
        <v>LONGSWORDSMAN_CHINA</v>
      </c>
      <c r="B830" s="9" t="s">
        <v>109</v>
      </c>
      <c r="C830" s="4" t="s">
        <v>710</v>
      </c>
      <c r="E830" s="4" t="s">
        <v>109</v>
      </c>
      <c r="F830" s="4" t="s">
        <v>109</v>
      </c>
      <c r="G830" s="4" t="s">
        <v>2047</v>
      </c>
      <c r="H830" s="4" t="s">
        <v>834</v>
      </c>
      <c r="I830" s="4" t="s">
        <v>102</v>
      </c>
      <c r="Q830" s="9">
        <v>2</v>
      </c>
      <c r="T830" s="11">
        <v>2</v>
      </c>
      <c r="Z830" s="9">
        <v>1</v>
      </c>
      <c r="AF830" s="11">
        <v>1</v>
      </c>
      <c r="AI830" s="11">
        <v>1</v>
      </c>
    </row>
    <row r="831" spans="1:35" x14ac:dyDescent="0.25">
      <c r="A831" s="161" t="str">
        <f t="shared" si="13"/>
        <v>LONGSWORDSMAN_CHINA</v>
      </c>
      <c r="B831" s="9" t="s">
        <v>109</v>
      </c>
      <c r="C831" s="4" t="s">
        <v>710</v>
      </c>
      <c r="E831" s="4" t="s">
        <v>109</v>
      </c>
      <c r="F831" s="4" t="s">
        <v>109</v>
      </c>
      <c r="G831" s="4" t="s">
        <v>2049</v>
      </c>
      <c r="H831" s="4" t="s">
        <v>251</v>
      </c>
      <c r="I831" s="4" t="s">
        <v>102</v>
      </c>
      <c r="Q831" s="9">
        <v>2</v>
      </c>
      <c r="T831" s="11">
        <v>3</v>
      </c>
      <c r="Z831" s="9">
        <v>0</v>
      </c>
      <c r="AF831" s="11">
        <v>1</v>
      </c>
      <c r="AI831" s="11">
        <v>1</v>
      </c>
    </row>
    <row r="832" spans="1:35" x14ac:dyDescent="0.25">
      <c r="A832" s="161" t="str">
        <f t="shared" si="13"/>
        <v>LONGSWORDSMAN_CHINA</v>
      </c>
      <c r="B832" s="9" t="s">
        <v>109</v>
      </c>
      <c r="C832" s="4" t="s">
        <v>710</v>
      </c>
      <c r="E832" s="4" t="s">
        <v>109</v>
      </c>
      <c r="F832" s="4" t="s">
        <v>109</v>
      </c>
      <c r="H832" s="4" t="s">
        <v>450</v>
      </c>
      <c r="I832" s="4" t="s">
        <v>102</v>
      </c>
      <c r="Q832" s="9">
        <v>2</v>
      </c>
      <c r="T832" s="11">
        <v>2</v>
      </c>
      <c r="Z832" s="9">
        <v>0</v>
      </c>
      <c r="AF832" s="11">
        <v>0</v>
      </c>
      <c r="AI832" s="11">
        <v>2</v>
      </c>
    </row>
    <row r="833" spans="1:35" x14ac:dyDescent="0.25">
      <c r="A833" s="161" t="str">
        <f t="shared" si="13"/>
        <v>LONGSWORDSMAN_CHINA</v>
      </c>
      <c r="B833" s="9" t="s">
        <v>109</v>
      </c>
      <c r="C833" s="4" t="s">
        <v>710</v>
      </c>
      <c r="E833" s="4" t="s">
        <v>109</v>
      </c>
      <c r="F833" s="4" t="s">
        <v>109</v>
      </c>
      <c r="G833" s="4" t="s">
        <v>2047</v>
      </c>
      <c r="H833" s="4" t="s">
        <v>834</v>
      </c>
      <c r="I833" s="4" t="s">
        <v>102</v>
      </c>
      <c r="Q833" s="9">
        <v>2</v>
      </c>
      <c r="T833" s="11">
        <v>3</v>
      </c>
      <c r="Z833" s="9">
        <v>0</v>
      </c>
      <c r="AF833" s="11">
        <v>0</v>
      </c>
      <c r="AI833" s="11">
        <v>1</v>
      </c>
    </row>
    <row r="834" spans="1:35" x14ac:dyDescent="0.25">
      <c r="A834" s="161" t="str">
        <f t="shared" si="13"/>
        <v>LONGSWORDSMAN_CHINA</v>
      </c>
      <c r="B834" s="9" t="s">
        <v>109</v>
      </c>
      <c r="C834" s="4" t="s">
        <v>710</v>
      </c>
      <c r="E834" s="4" t="s">
        <v>109</v>
      </c>
      <c r="F834" s="4" t="s">
        <v>109</v>
      </c>
      <c r="G834" s="4" t="s">
        <v>2049</v>
      </c>
      <c r="H834" s="4" t="s">
        <v>251</v>
      </c>
      <c r="I834" s="4" t="s">
        <v>102</v>
      </c>
      <c r="Q834" s="9">
        <v>2</v>
      </c>
      <c r="T834" s="11">
        <v>3</v>
      </c>
      <c r="Z834" s="9">
        <v>0</v>
      </c>
      <c r="AF834" s="11">
        <v>0</v>
      </c>
      <c r="AI834" s="11">
        <v>1</v>
      </c>
    </row>
    <row r="835" spans="1:35" x14ac:dyDescent="0.25">
      <c r="A835" s="161" t="str">
        <f t="shared" si="13"/>
        <v>LONGSWORDSMAN_JAPAN</v>
      </c>
      <c r="B835" s="9" t="s">
        <v>109</v>
      </c>
      <c r="C835" s="4" t="s">
        <v>722</v>
      </c>
      <c r="E835" s="4" t="s">
        <v>109</v>
      </c>
      <c r="F835" s="4" t="s">
        <v>109</v>
      </c>
      <c r="G835" s="14" t="s">
        <v>132</v>
      </c>
      <c r="H835" s="4" t="s">
        <v>485</v>
      </c>
      <c r="I835" s="4" t="s">
        <v>102</v>
      </c>
    </row>
    <row r="836" spans="1:35" x14ac:dyDescent="0.25">
      <c r="A836" s="161" t="str">
        <f t="shared" si="13"/>
        <v>LONGSWORDSMAN_KOREA</v>
      </c>
      <c r="B836" s="9" t="s">
        <v>109</v>
      </c>
      <c r="C836" s="4" t="s">
        <v>723</v>
      </c>
      <c r="E836" s="4" t="s">
        <v>109</v>
      </c>
      <c r="F836" s="4" t="s">
        <v>109</v>
      </c>
      <c r="G836" s="14" t="s">
        <v>132</v>
      </c>
      <c r="H836" s="4" t="s">
        <v>501</v>
      </c>
      <c r="I836" s="4" t="s">
        <v>102</v>
      </c>
    </row>
    <row r="837" spans="1:35" x14ac:dyDescent="0.25">
      <c r="A837" s="161" t="str">
        <f t="shared" si="13"/>
        <v>LONGSWORDSMAN_MONGOL</v>
      </c>
      <c r="B837" s="9" t="s">
        <v>109</v>
      </c>
      <c r="C837" s="4" t="s">
        <v>728</v>
      </c>
      <c r="E837" s="4" t="s">
        <v>109</v>
      </c>
      <c r="F837" s="4" t="s">
        <v>109</v>
      </c>
      <c r="G837" s="14" t="s">
        <v>132</v>
      </c>
      <c r="H837" s="4" t="s">
        <v>531</v>
      </c>
      <c r="I837" s="4" t="s">
        <v>2103</v>
      </c>
    </row>
    <row r="838" spans="1:35" x14ac:dyDescent="0.25">
      <c r="A838" s="161" t="str">
        <f t="shared" si="13"/>
        <v>LONGSWORDSMAN_CENTAS</v>
      </c>
      <c r="B838" s="9" t="s">
        <v>109</v>
      </c>
      <c r="C838" s="4" t="s">
        <v>918</v>
      </c>
      <c r="E838" s="4" t="s">
        <v>109</v>
      </c>
      <c r="F838" s="4" t="s">
        <v>109</v>
      </c>
      <c r="G838" s="14"/>
      <c r="H838" s="4" t="s">
        <v>1030</v>
      </c>
      <c r="I838" s="4" t="s">
        <v>2103</v>
      </c>
    </row>
    <row r="839" spans="1:35" x14ac:dyDescent="0.25">
      <c r="A839" s="161" t="str">
        <f t="shared" si="13"/>
        <v>LONGSWORDSMAN_HUNS</v>
      </c>
      <c r="B839" s="9" t="s">
        <v>109</v>
      </c>
      <c r="C839" s="4" t="s">
        <v>904</v>
      </c>
      <c r="E839" s="4" t="s">
        <v>109</v>
      </c>
      <c r="F839" s="4" t="s">
        <v>109</v>
      </c>
      <c r="H839" s="4" t="s">
        <v>910</v>
      </c>
      <c r="I839" s="4" t="s">
        <v>122</v>
      </c>
    </row>
    <row r="840" spans="1:35" x14ac:dyDescent="0.25">
      <c r="A840" s="161" t="str">
        <f t="shared" si="13"/>
        <v>LONGSWORDSMAN_OTTOMAN</v>
      </c>
      <c r="B840" s="9" t="s">
        <v>109</v>
      </c>
      <c r="C840" s="4" t="s">
        <v>1037</v>
      </c>
      <c r="E840" s="4" t="s">
        <v>109</v>
      </c>
      <c r="F840" s="4" t="s">
        <v>109</v>
      </c>
      <c r="G840" s="14" t="s">
        <v>132</v>
      </c>
      <c r="H840" s="4" t="s">
        <v>1030</v>
      </c>
      <c r="I840" s="4" t="s">
        <v>2103</v>
      </c>
      <c r="Q840" s="11">
        <v>3</v>
      </c>
      <c r="T840" s="11">
        <v>4</v>
      </c>
      <c r="Z840" s="11">
        <v>1</v>
      </c>
      <c r="AF840" s="11">
        <v>1</v>
      </c>
      <c r="AI840" s="11">
        <v>2</v>
      </c>
    </row>
    <row r="841" spans="1:35" x14ac:dyDescent="0.25">
      <c r="A841" s="161" t="str">
        <f t="shared" si="13"/>
        <v>LONGSWORDSMAN_OTTOMAN</v>
      </c>
      <c r="B841" s="9" t="s">
        <v>109</v>
      </c>
      <c r="C841" s="4" t="s">
        <v>1037</v>
      </c>
      <c r="E841" s="4" t="s">
        <v>109</v>
      </c>
      <c r="F841" s="4" t="s">
        <v>109</v>
      </c>
      <c r="G841" s="14" t="s">
        <v>2047</v>
      </c>
      <c r="H841" s="4" t="s">
        <v>1031</v>
      </c>
      <c r="I841" s="4" t="s">
        <v>2103</v>
      </c>
      <c r="Q841" s="11">
        <v>2</v>
      </c>
      <c r="T841" s="11">
        <v>3</v>
      </c>
      <c r="Z841" s="11">
        <v>0</v>
      </c>
      <c r="AF841" s="11">
        <v>1</v>
      </c>
      <c r="AI841" s="11">
        <v>1</v>
      </c>
    </row>
    <row r="842" spans="1:35" x14ac:dyDescent="0.25">
      <c r="A842" s="161" t="str">
        <f t="shared" si="13"/>
        <v>LONGSWORDSMAN_OTTOMAN</v>
      </c>
      <c r="B842" s="9" t="s">
        <v>109</v>
      </c>
      <c r="C842" s="4" t="s">
        <v>1037</v>
      </c>
      <c r="E842" s="4" t="s">
        <v>109</v>
      </c>
      <c r="F842" s="4" t="s">
        <v>109</v>
      </c>
      <c r="G842" s="14" t="s">
        <v>2049</v>
      </c>
      <c r="H842" s="4" t="s">
        <v>1032</v>
      </c>
      <c r="I842" s="4" t="s">
        <v>2103</v>
      </c>
      <c r="Q842" s="11">
        <v>1</v>
      </c>
      <c r="T842" s="11">
        <v>1</v>
      </c>
      <c r="Z842" s="11">
        <v>0</v>
      </c>
      <c r="AF842" s="11">
        <v>1</v>
      </c>
      <c r="AI842" s="11">
        <v>1</v>
      </c>
    </row>
    <row r="843" spans="1:35" x14ac:dyDescent="0.25">
      <c r="A843" s="161" t="str">
        <f t="shared" si="13"/>
        <v>LONGSWORDSMAN_OTTOMAN</v>
      </c>
      <c r="B843" s="9" t="s">
        <v>109</v>
      </c>
      <c r="C843" s="4" t="s">
        <v>1037</v>
      </c>
      <c r="E843" s="4" t="s">
        <v>109</v>
      </c>
      <c r="F843" s="4" t="s">
        <v>109</v>
      </c>
      <c r="G843" s="14" t="s">
        <v>132</v>
      </c>
      <c r="H843" s="4" t="s">
        <v>1030</v>
      </c>
      <c r="I843" s="4" t="s">
        <v>2103</v>
      </c>
      <c r="Q843" s="9">
        <v>3</v>
      </c>
      <c r="T843" s="11">
        <v>4</v>
      </c>
      <c r="Z843" s="9">
        <v>0</v>
      </c>
      <c r="AF843" s="11">
        <v>0</v>
      </c>
      <c r="AI843" s="11">
        <v>2</v>
      </c>
    </row>
    <row r="844" spans="1:35" x14ac:dyDescent="0.25">
      <c r="A844" s="161" t="str">
        <f t="shared" si="13"/>
        <v>LONGSWORDSMAN_OTTOMAN</v>
      </c>
      <c r="B844" s="9" t="s">
        <v>109</v>
      </c>
      <c r="C844" s="4" t="s">
        <v>1037</v>
      </c>
      <c r="E844" s="4" t="s">
        <v>109</v>
      </c>
      <c r="F844" s="4" t="s">
        <v>109</v>
      </c>
      <c r="G844" s="14" t="s">
        <v>2047</v>
      </c>
      <c r="H844" s="4" t="s">
        <v>1031</v>
      </c>
      <c r="I844" s="4" t="s">
        <v>2103</v>
      </c>
      <c r="Q844" s="9">
        <v>2</v>
      </c>
      <c r="T844" s="11">
        <v>3</v>
      </c>
      <c r="Z844" s="9">
        <v>0</v>
      </c>
      <c r="AF844" s="11">
        <v>0</v>
      </c>
      <c r="AI844" s="11">
        <v>1</v>
      </c>
    </row>
    <row r="845" spans="1:35" x14ac:dyDescent="0.25">
      <c r="A845" s="161" t="str">
        <f t="shared" si="13"/>
        <v>LONGSWORDSMAN_OTTOMAN</v>
      </c>
      <c r="B845" s="9" t="s">
        <v>109</v>
      </c>
      <c r="C845" s="4" t="s">
        <v>1037</v>
      </c>
      <c r="E845" s="4" t="s">
        <v>109</v>
      </c>
      <c r="F845" s="4" t="s">
        <v>109</v>
      </c>
      <c r="G845" s="14" t="s">
        <v>2049</v>
      </c>
      <c r="H845" s="4" t="s">
        <v>1032</v>
      </c>
      <c r="I845" s="4" t="s">
        <v>2103</v>
      </c>
      <c r="Q845" s="9">
        <v>1</v>
      </c>
      <c r="T845" s="11">
        <v>1</v>
      </c>
      <c r="Z845" s="9">
        <v>0</v>
      </c>
      <c r="AF845" s="11">
        <v>0</v>
      </c>
      <c r="AI845" s="11">
        <v>0</v>
      </c>
    </row>
    <row r="846" spans="1:35" x14ac:dyDescent="0.25">
      <c r="A846" s="161" t="str">
        <f t="shared" si="13"/>
        <v>LONGSWORDSMAN_POLAND</v>
      </c>
      <c r="B846" s="9" t="s">
        <v>109</v>
      </c>
      <c r="C846" s="4" t="s">
        <v>732</v>
      </c>
      <c r="E846" s="4" t="s">
        <v>109</v>
      </c>
      <c r="F846" s="4" t="s">
        <v>109</v>
      </c>
      <c r="G846" s="14" t="s">
        <v>132</v>
      </c>
      <c r="H846" s="4" t="s">
        <v>572</v>
      </c>
      <c r="I846" s="4" t="s">
        <v>122</v>
      </c>
      <c r="AF846" s="9"/>
    </row>
    <row r="847" spans="1:35" x14ac:dyDescent="0.25">
      <c r="A847" s="161" t="str">
        <f t="shared" si="13"/>
        <v>LONGSWORDSMAN_RUSSIA</v>
      </c>
      <c r="B847" s="9" t="s">
        <v>109</v>
      </c>
      <c r="C847" s="4" t="s">
        <v>735</v>
      </c>
      <c r="E847" s="4" t="s">
        <v>109</v>
      </c>
      <c r="F847" s="4" t="s">
        <v>109</v>
      </c>
      <c r="H847" s="4" t="s">
        <v>1005</v>
      </c>
      <c r="I847" s="4" t="s">
        <v>2103</v>
      </c>
      <c r="Q847" s="9">
        <v>2</v>
      </c>
      <c r="T847" s="11">
        <v>3</v>
      </c>
      <c r="Z847" s="9">
        <v>1</v>
      </c>
      <c r="AF847" s="11">
        <v>1</v>
      </c>
      <c r="AI847" s="11">
        <v>1</v>
      </c>
    </row>
    <row r="848" spans="1:35" x14ac:dyDescent="0.25">
      <c r="A848" s="161" t="str">
        <f t="shared" si="13"/>
        <v>LONGSWORDSMAN_RUSSIA</v>
      </c>
      <c r="B848" s="9" t="s">
        <v>109</v>
      </c>
      <c r="C848" s="4" t="s">
        <v>735</v>
      </c>
      <c r="E848" s="4" t="s">
        <v>109</v>
      </c>
      <c r="F848" s="4" t="s">
        <v>109</v>
      </c>
      <c r="G848" s="4" t="s">
        <v>2047</v>
      </c>
      <c r="H848" s="4" t="s">
        <v>1006</v>
      </c>
      <c r="I848" s="4" t="s">
        <v>2103</v>
      </c>
      <c r="Q848" s="9">
        <v>2</v>
      </c>
      <c r="T848" s="11">
        <v>2</v>
      </c>
      <c r="Z848" s="9">
        <v>0</v>
      </c>
      <c r="AF848" s="11">
        <v>1</v>
      </c>
      <c r="AI848" s="11">
        <v>1</v>
      </c>
    </row>
    <row r="849" spans="1:35" x14ac:dyDescent="0.25">
      <c r="A849" s="161" t="str">
        <f t="shared" si="13"/>
        <v>LONGSWORDSMAN_RUSSIA</v>
      </c>
      <c r="B849" s="9" t="s">
        <v>109</v>
      </c>
      <c r="C849" s="4" t="s">
        <v>735</v>
      </c>
      <c r="E849" s="4" t="s">
        <v>109</v>
      </c>
      <c r="F849" s="4" t="s">
        <v>109</v>
      </c>
      <c r="G849" s="4" t="s">
        <v>2049</v>
      </c>
      <c r="H849" s="4" t="s">
        <v>617</v>
      </c>
      <c r="I849" s="4" t="s">
        <v>2103</v>
      </c>
      <c r="Q849" s="9">
        <v>2</v>
      </c>
      <c r="T849" s="11">
        <v>3</v>
      </c>
      <c r="Z849" s="9">
        <v>0</v>
      </c>
      <c r="AF849" s="11">
        <v>1</v>
      </c>
      <c r="AI849" s="11">
        <v>1</v>
      </c>
    </row>
    <row r="850" spans="1:35" x14ac:dyDescent="0.25">
      <c r="A850" s="161" t="str">
        <f t="shared" si="13"/>
        <v>LONGSWORDSMAN_RUSSIA</v>
      </c>
      <c r="B850" s="9" t="s">
        <v>109</v>
      </c>
      <c r="C850" s="4" t="s">
        <v>735</v>
      </c>
      <c r="E850" s="4" t="s">
        <v>109</v>
      </c>
      <c r="F850" s="4" t="s">
        <v>109</v>
      </c>
      <c r="H850" s="4" t="s">
        <v>1005</v>
      </c>
      <c r="I850" s="4" t="s">
        <v>2103</v>
      </c>
      <c r="Q850" s="9">
        <v>2</v>
      </c>
      <c r="T850" s="11">
        <v>2</v>
      </c>
      <c r="Z850" s="9">
        <v>0</v>
      </c>
      <c r="AF850" s="11">
        <v>0</v>
      </c>
      <c r="AI850" s="11">
        <v>2</v>
      </c>
    </row>
    <row r="851" spans="1:35" x14ac:dyDescent="0.25">
      <c r="A851" s="161" t="str">
        <f t="shared" si="13"/>
        <v>LONGSWORDSMAN_RUSSIA</v>
      </c>
      <c r="B851" s="9" t="s">
        <v>109</v>
      </c>
      <c r="C851" s="4" t="s">
        <v>735</v>
      </c>
      <c r="E851" s="4" t="s">
        <v>109</v>
      </c>
      <c r="F851" s="4" t="s">
        <v>109</v>
      </c>
      <c r="G851" s="4" t="s">
        <v>2047</v>
      </c>
      <c r="H851" s="4" t="s">
        <v>1006</v>
      </c>
      <c r="I851" s="4" t="s">
        <v>2103</v>
      </c>
      <c r="Q851" s="9">
        <v>2</v>
      </c>
      <c r="T851" s="11">
        <v>3</v>
      </c>
      <c r="Z851" s="9">
        <v>0</v>
      </c>
      <c r="AF851" s="11">
        <v>0</v>
      </c>
      <c r="AI851" s="11">
        <v>1</v>
      </c>
    </row>
    <row r="852" spans="1:35" x14ac:dyDescent="0.25">
      <c r="A852" s="161" t="str">
        <f t="shared" si="13"/>
        <v>LONGSWORDSMAN_RUSSIA</v>
      </c>
      <c r="B852" s="9" t="s">
        <v>109</v>
      </c>
      <c r="C852" s="4" t="s">
        <v>735</v>
      </c>
      <c r="E852" s="4" t="s">
        <v>109</v>
      </c>
      <c r="F852" s="4" t="s">
        <v>109</v>
      </c>
      <c r="G852" s="4" t="s">
        <v>2049</v>
      </c>
      <c r="H852" s="4" t="s">
        <v>617</v>
      </c>
      <c r="I852" s="4" t="s">
        <v>2103</v>
      </c>
      <c r="Q852" s="9">
        <v>2</v>
      </c>
      <c r="T852" s="11">
        <v>3</v>
      </c>
      <c r="Z852" s="9">
        <v>0</v>
      </c>
      <c r="AF852" s="11">
        <v>0</v>
      </c>
      <c r="AI852" s="11">
        <v>1</v>
      </c>
    </row>
    <row r="853" spans="1:35" x14ac:dyDescent="0.25">
      <c r="A853" s="161" t="str">
        <f t="shared" si="13"/>
        <v>LONGSWORDSMAN_AMERICA</v>
      </c>
      <c r="B853" s="9" t="s">
        <v>109</v>
      </c>
      <c r="C853" s="4" t="s">
        <v>699</v>
      </c>
      <c r="E853" s="4" t="s">
        <v>109</v>
      </c>
      <c r="F853" s="4" t="s">
        <v>109</v>
      </c>
      <c r="G853" s="14"/>
      <c r="H853" s="4" t="s">
        <v>142</v>
      </c>
      <c r="I853" s="4" t="s">
        <v>122</v>
      </c>
    </row>
    <row r="854" spans="1:35" x14ac:dyDescent="0.25">
      <c r="A854" s="161" t="str">
        <f t="shared" si="13"/>
        <v>LONGSWORDSMAN_AUSTRIA</v>
      </c>
      <c r="B854" s="9" t="s">
        <v>109</v>
      </c>
      <c r="C854" s="4" t="s">
        <v>701</v>
      </c>
      <c r="E854" s="4" t="s">
        <v>109</v>
      </c>
      <c r="F854" s="4" t="s">
        <v>109</v>
      </c>
      <c r="G854" s="14"/>
      <c r="H854" s="4" t="s">
        <v>182</v>
      </c>
      <c r="I854" s="4" t="s">
        <v>122</v>
      </c>
    </row>
    <row r="855" spans="1:35" x14ac:dyDescent="0.25">
      <c r="A855" s="161" t="str">
        <f t="shared" si="13"/>
        <v>LONGSWORDSMAN_BOHEMIA</v>
      </c>
      <c r="B855" s="9" t="s">
        <v>109</v>
      </c>
      <c r="C855" s="4" t="s">
        <v>705</v>
      </c>
      <c r="E855" s="4" t="s">
        <v>109</v>
      </c>
      <c r="F855" s="4" t="s">
        <v>109</v>
      </c>
      <c r="G855" s="14"/>
      <c r="H855" s="4" t="s">
        <v>221</v>
      </c>
      <c r="I855" s="4" t="s">
        <v>967</v>
      </c>
    </row>
    <row r="856" spans="1:35" x14ac:dyDescent="0.25">
      <c r="A856" s="161" t="str">
        <f t="shared" si="13"/>
        <v>LONGSWORDSMAN_CELTS</v>
      </c>
      <c r="B856" s="9" t="s">
        <v>109</v>
      </c>
      <c r="C856" s="4" t="s">
        <v>709</v>
      </c>
      <c r="E856" s="4" t="s">
        <v>109</v>
      </c>
      <c r="F856" s="4" t="s">
        <v>109</v>
      </c>
      <c r="H856" s="4" t="s">
        <v>824</v>
      </c>
      <c r="I856" s="4" t="s">
        <v>122</v>
      </c>
      <c r="Q856" s="11">
        <v>2</v>
      </c>
      <c r="T856" s="11">
        <v>3</v>
      </c>
      <c r="Z856" s="11">
        <v>0</v>
      </c>
      <c r="AF856" s="11">
        <v>1</v>
      </c>
      <c r="AI856" s="11">
        <v>3</v>
      </c>
    </row>
    <row r="857" spans="1:35" x14ac:dyDescent="0.25">
      <c r="A857" s="161" t="str">
        <f t="shared" si="13"/>
        <v>LONGSWORDSMAN_CELTS</v>
      </c>
      <c r="B857" s="9" t="s">
        <v>109</v>
      </c>
      <c r="C857" s="4" t="s">
        <v>709</v>
      </c>
      <c r="E857" s="4" t="s">
        <v>109</v>
      </c>
      <c r="F857" s="4" t="s">
        <v>109</v>
      </c>
      <c r="G857" s="4" t="s">
        <v>2047</v>
      </c>
      <c r="H857" s="4" t="s">
        <v>238</v>
      </c>
      <c r="I857" s="4" t="s">
        <v>122</v>
      </c>
      <c r="Q857" s="11">
        <v>3</v>
      </c>
      <c r="T857" s="11">
        <v>5</v>
      </c>
      <c r="Z857" s="11">
        <v>1</v>
      </c>
      <c r="AF857" s="11">
        <v>1</v>
      </c>
      <c r="AI857" s="11">
        <v>5</v>
      </c>
    </row>
    <row r="858" spans="1:35" x14ac:dyDescent="0.25">
      <c r="A858" s="161" t="str">
        <f t="shared" si="13"/>
        <v>LONGSWORDSMAN_CELTS</v>
      </c>
      <c r="B858" s="9" t="s">
        <v>109</v>
      </c>
      <c r="C858" s="4" t="s">
        <v>709</v>
      </c>
      <c r="E858" s="4" t="s">
        <v>109</v>
      </c>
      <c r="F858" s="4" t="s">
        <v>109</v>
      </c>
      <c r="H858" s="4" t="s">
        <v>824</v>
      </c>
      <c r="I858" s="4" t="s">
        <v>122</v>
      </c>
      <c r="Q858" s="11">
        <v>4</v>
      </c>
      <c r="T858" s="11">
        <v>5</v>
      </c>
      <c r="Z858" s="11">
        <v>0</v>
      </c>
      <c r="AF858" s="11">
        <v>1</v>
      </c>
      <c r="AI858" s="11">
        <v>5</v>
      </c>
    </row>
    <row r="859" spans="1:35" x14ac:dyDescent="0.25">
      <c r="A859" s="161" t="str">
        <f t="shared" si="13"/>
        <v>LONGSWORDSMAN_CELTS</v>
      </c>
      <c r="B859" s="9" t="s">
        <v>109</v>
      </c>
      <c r="C859" s="4" t="s">
        <v>709</v>
      </c>
      <c r="E859" s="4" t="s">
        <v>109</v>
      </c>
      <c r="F859" s="4" t="s">
        <v>109</v>
      </c>
      <c r="G859" s="4" t="s">
        <v>2047</v>
      </c>
      <c r="H859" s="4" t="s">
        <v>238</v>
      </c>
      <c r="I859" s="4" t="s">
        <v>122</v>
      </c>
      <c r="Q859" s="9">
        <v>3</v>
      </c>
      <c r="T859" s="11">
        <v>3</v>
      </c>
      <c r="Z859" s="9">
        <v>0</v>
      </c>
      <c r="AF859" s="11">
        <v>0</v>
      </c>
      <c r="AI859" s="11">
        <v>3</v>
      </c>
    </row>
    <row r="860" spans="1:35" x14ac:dyDescent="0.25">
      <c r="A860" s="161" t="str">
        <f t="shared" si="13"/>
        <v>LONGSWORDSMAN_ENGLAND</v>
      </c>
      <c r="B860" s="9" t="s">
        <v>109</v>
      </c>
      <c r="C860" s="4" t="s">
        <v>713</v>
      </c>
      <c r="E860" s="4" t="s">
        <v>109</v>
      </c>
      <c r="F860" s="4" t="s">
        <v>109</v>
      </c>
      <c r="H860" s="4" t="s">
        <v>864</v>
      </c>
      <c r="I860" s="4" t="s">
        <v>102</v>
      </c>
      <c r="Q860" s="9">
        <v>2</v>
      </c>
      <c r="T860" s="11">
        <v>3</v>
      </c>
      <c r="Z860" s="9">
        <v>1</v>
      </c>
      <c r="AF860" s="11">
        <v>1</v>
      </c>
      <c r="AI860" s="11">
        <v>3</v>
      </c>
    </row>
    <row r="861" spans="1:35" x14ac:dyDescent="0.25">
      <c r="A861" s="161" t="str">
        <f t="shared" si="13"/>
        <v>LONGSWORDSMAN_ENGLAND</v>
      </c>
      <c r="B861" s="9" t="s">
        <v>109</v>
      </c>
      <c r="C861" s="4" t="s">
        <v>713</v>
      </c>
      <c r="E861" s="4" t="s">
        <v>109</v>
      </c>
      <c r="F861" s="4" t="s">
        <v>109</v>
      </c>
      <c r="G861" s="4" t="s">
        <v>2047</v>
      </c>
      <c r="H861" s="4" t="s">
        <v>865</v>
      </c>
      <c r="I861" s="4" t="s">
        <v>122</v>
      </c>
      <c r="Q861" s="9">
        <v>2</v>
      </c>
      <c r="T861" s="11">
        <v>2</v>
      </c>
      <c r="Z861" s="9">
        <v>0</v>
      </c>
      <c r="AF861" s="11">
        <v>1</v>
      </c>
      <c r="AI861" s="11">
        <v>2</v>
      </c>
    </row>
    <row r="862" spans="1:35" x14ac:dyDescent="0.25">
      <c r="A862" s="161" t="str">
        <f t="shared" si="13"/>
        <v>LONGSWORDSMAN_ENGLAND</v>
      </c>
      <c r="B862" s="9" t="s">
        <v>109</v>
      </c>
      <c r="C862" s="4" t="s">
        <v>713</v>
      </c>
      <c r="E862" s="4" t="s">
        <v>109</v>
      </c>
      <c r="F862" s="4" t="s">
        <v>109</v>
      </c>
      <c r="G862" s="4" t="s">
        <v>2049</v>
      </c>
      <c r="H862" s="4" t="s">
        <v>303</v>
      </c>
      <c r="I862" s="4" t="s">
        <v>122</v>
      </c>
      <c r="Q862" s="9">
        <v>2</v>
      </c>
      <c r="T862" s="11">
        <v>3</v>
      </c>
      <c r="Z862" s="9">
        <v>0</v>
      </c>
      <c r="AF862" s="11">
        <v>1</v>
      </c>
      <c r="AI862" s="11">
        <v>3</v>
      </c>
    </row>
    <row r="863" spans="1:35" x14ac:dyDescent="0.25">
      <c r="A863" s="161" t="str">
        <f t="shared" si="13"/>
        <v>LONGSWORDSMAN_ENGLAND</v>
      </c>
      <c r="B863" s="9" t="s">
        <v>109</v>
      </c>
      <c r="C863" s="4" t="s">
        <v>713</v>
      </c>
      <c r="E863" s="4" t="s">
        <v>109</v>
      </c>
      <c r="F863" s="4" t="s">
        <v>109</v>
      </c>
      <c r="H863" s="4" t="s">
        <v>864</v>
      </c>
      <c r="I863" s="4" t="s">
        <v>102</v>
      </c>
      <c r="Q863" s="9">
        <v>2</v>
      </c>
      <c r="T863" s="11">
        <v>2</v>
      </c>
      <c r="Z863" s="9">
        <v>0</v>
      </c>
      <c r="AF863" s="11">
        <v>0</v>
      </c>
      <c r="AI863" s="11">
        <v>2</v>
      </c>
    </row>
    <row r="864" spans="1:35" x14ac:dyDescent="0.25">
      <c r="A864" s="161" t="str">
        <f t="shared" si="13"/>
        <v>LONGSWORDSMAN_ENGLAND</v>
      </c>
      <c r="B864" s="9" t="s">
        <v>109</v>
      </c>
      <c r="C864" s="4" t="s">
        <v>713</v>
      </c>
      <c r="E864" s="4" t="s">
        <v>109</v>
      </c>
      <c r="F864" s="4" t="s">
        <v>109</v>
      </c>
      <c r="G864" s="4" t="s">
        <v>2047</v>
      </c>
      <c r="H864" s="4" t="s">
        <v>865</v>
      </c>
      <c r="I864" s="4" t="s">
        <v>122</v>
      </c>
      <c r="Q864" s="9">
        <v>2</v>
      </c>
      <c r="T864" s="11">
        <v>3</v>
      </c>
      <c r="Z864" s="9">
        <v>0</v>
      </c>
      <c r="AF864" s="11">
        <v>0</v>
      </c>
      <c r="AI864" s="11">
        <v>3</v>
      </c>
    </row>
    <row r="865" spans="1:35" x14ac:dyDescent="0.25">
      <c r="A865" s="161" t="str">
        <f t="shared" si="13"/>
        <v>LONGSWORDSMAN_ENGLAND</v>
      </c>
      <c r="B865" s="9" t="s">
        <v>109</v>
      </c>
      <c r="C865" s="4" t="s">
        <v>713</v>
      </c>
      <c r="E865" s="4" t="s">
        <v>109</v>
      </c>
      <c r="F865" s="4" t="s">
        <v>109</v>
      </c>
      <c r="G865" s="4" t="s">
        <v>2049</v>
      </c>
      <c r="H865" s="4" t="s">
        <v>303</v>
      </c>
      <c r="I865" s="4" t="s">
        <v>122</v>
      </c>
      <c r="Q865" s="9">
        <v>2</v>
      </c>
      <c r="T865" s="11">
        <v>3</v>
      </c>
      <c r="Z865" s="9">
        <v>0</v>
      </c>
      <c r="AF865" s="11">
        <v>0</v>
      </c>
      <c r="AI865" s="11">
        <v>3</v>
      </c>
    </row>
    <row r="866" spans="1:35" x14ac:dyDescent="0.25">
      <c r="A866" s="161" t="str">
        <f t="shared" si="13"/>
        <v>LONGSWORDSMAN_FRANCE</v>
      </c>
      <c r="B866" s="9" t="s">
        <v>109</v>
      </c>
      <c r="C866" s="4" t="s">
        <v>715</v>
      </c>
      <c r="E866" s="4" t="s">
        <v>109</v>
      </c>
      <c r="F866" s="4" t="s">
        <v>109</v>
      </c>
      <c r="H866" s="4" t="s">
        <v>876</v>
      </c>
      <c r="I866" s="4" t="s">
        <v>125</v>
      </c>
      <c r="Q866" s="9">
        <v>1</v>
      </c>
      <c r="T866" s="11">
        <v>1</v>
      </c>
      <c r="Z866" s="9">
        <v>0</v>
      </c>
      <c r="AF866" s="11">
        <v>0</v>
      </c>
      <c r="AI866" s="11">
        <v>1</v>
      </c>
    </row>
    <row r="867" spans="1:35" x14ac:dyDescent="0.25">
      <c r="A867" s="161" t="str">
        <f t="shared" si="13"/>
        <v>LONGSWORDSMAN_FRANCE</v>
      </c>
      <c r="B867" s="9" t="s">
        <v>109</v>
      </c>
      <c r="C867" s="4" t="s">
        <v>715</v>
      </c>
      <c r="E867" s="4" t="s">
        <v>109</v>
      </c>
      <c r="F867" s="4" t="s">
        <v>109</v>
      </c>
      <c r="G867" s="4" t="s">
        <v>2047</v>
      </c>
      <c r="H867" s="4" t="s">
        <v>877</v>
      </c>
      <c r="I867" s="4" t="s">
        <v>102</v>
      </c>
      <c r="Q867" s="9">
        <v>2</v>
      </c>
      <c r="T867" s="11">
        <v>2</v>
      </c>
      <c r="Z867" s="9">
        <v>1</v>
      </c>
      <c r="AF867" s="11">
        <v>1</v>
      </c>
      <c r="AI867" s="11">
        <v>2</v>
      </c>
    </row>
    <row r="868" spans="1:35" x14ac:dyDescent="0.25">
      <c r="A868" s="161" t="str">
        <f t="shared" si="13"/>
        <v>LONGSWORDSMAN_FRANCE</v>
      </c>
      <c r="B868" s="9" t="s">
        <v>109</v>
      </c>
      <c r="C868" s="4" t="s">
        <v>715</v>
      </c>
      <c r="E868" s="4" t="s">
        <v>109</v>
      </c>
      <c r="F868" s="4" t="s">
        <v>109</v>
      </c>
      <c r="G868" s="4" t="s">
        <v>2049</v>
      </c>
      <c r="H868" s="4" t="s">
        <v>878</v>
      </c>
      <c r="I868" s="4" t="s">
        <v>122</v>
      </c>
      <c r="Q868" s="9">
        <v>2</v>
      </c>
      <c r="T868" s="11">
        <v>3</v>
      </c>
      <c r="Z868" s="9">
        <v>0</v>
      </c>
      <c r="AF868" s="11">
        <v>1</v>
      </c>
      <c r="AI868" s="11">
        <v>3</v>
      </c>
    </row>
    <row r="869" spans="1:35" x14ac:dyDescent="0.25">
      <c r="A869" s="161" t="str">
        <f t="shared" si="13"/>
        <v>LONGSWORDSMAN_FRANCE</v>
      </c>
      <c r="B869" s="9" t="s">
        <v>109</v>
      </c>
      <c r="C869" s="4" t="s">
        <v>715</v>
      </c>
      <c r="E869" s="4" t="s">
        <v>109</v>
      </c>
      <c r="F869" s="4" t="s">
        <v>109</v>
      </c>
      <c r="G869" s="4" t="s">
        <v>2048</v>
      </c>
      <c r="H869" s="4" t="s">
        <v>350</v>
      </c>
      <c r="I869" s="4" t="s">
        <v>122</v>
      </c>
      <c r="Q869" s="9">
        <v>1</v>
      </c>
      <c r="T869" s="11">
        <v>2</v>
      </c>
      <c r="Z869" s="9">
        <v>0</v>
      </c>
      <c r="AF869" s="11">
        <v>1</v>
      </c>
      <c r="AI869" s="11">
        <v>2</v>
      </c>
    </row>
    <row r="870" spans="1:35" x14ac:dyDescent="0.25">
      <c r="A870" s="161" t="str">
        <f t="shared" si="13"/>
        <v>LONGSWORDSMAN_FRANCE</v>
      </c>
      <c r="B870" s="9" t="s">
        <v>109</v>
      </c>
      <c r="C870" s="4" t="s">
        <v>715</v>
      </c>
      <c r="E870" s="4" t="s">
        <v>109</v>
      </c>
      <c r="F870" s="4" t="s">
        <v>109</v>
      </c>
      <c r="H870" s="4" t="s">
        <v>876</v>
      </c>
      <c r="I870" s="4" t="s">
        <v>125</v>
      </c>
      <c r="Q870" s="9">
        <v>1</v>
      </c>
      <c r="T870" s="11">
        <v>1</v>
      </c>
      <c r="Z870" s="9">
        <v>0</v>
      </c>
      <c r="AF870" s="11">
        <v>0</v>
      </c>
      <c r="AI870" s="11">
        <v>1</v>
      </c>
    </row>
    <row r="871" spans="1:35" x14ac:dyDescent="0.25">
      <c r="A871" s="161" t="str">
        <f t="shared" ref="A871:A930" si="14">CONCATENATE(E871,IF(ISBLANK(C871),"",CONCATENATE("_",C871)))</f>
        <v>LONGSWORDSMAN_FRANCE</v>
      </c>
      <c r="B871" s="9" t="s">
        <v>109</v>
      </c>
      <c r="C871" s="4" t="s">
        <v>715</v>
      </c>
      <c r="E871" s="4" t="s">
        <v>109</v>
      </c>
      <c r="F871" s="4" t="s">
        <v>109</v>
      </c>
      <c r="G871" s="4" t="s">
        <v>2047</v>
      </c>
      <c r="H871" s="4" t="s">
        <v>877</v>
      </c>
      <c r="I871" s="4" t="s">
        <v>102</v>
      </c>
      <c r="Q871" s="9">
        <v>2</v>
      </c>
      <c r="T871" s="11">
        <v>2</v>
      </c>
      <c r="Z871" s="9">
        <v>0</v>
      </c>
      <c r="AF871" s="11">
        <v>0</v>
      </c>
      <c r="AI871" s="11">
        <v>2</v>
      </c>
    </row>
    <row r="872" spans="1:35" x14ac:dyDescent="0.25">
      <c r="A872" s="161" t="str">
        <f t="shared" si="14"/>
        <v>LONGSWORDSMAN_FRANCE</v>
      </c>
      <c r="B872" s="9" t="s">
        <v>109</v>
      </c>
      <c r="C872" s="4" t="s">
        <v>715</v>
      </c>
      <c r="E872" s="4" t="s">
        <v>109</v>
      </c>
      <c r="F872" s="4" t="s">
        <v>109</v>
      </c>
      <c r="G872" s="4" t="s">
        <v>2049</v>
      </c>
      <c r="H872" s="4" t="s">
        <v>878</v>
      </c>
      <c r="I872" s="4" t="s">
        <v>122</v>
      </c>
      <c r="Q872" s="9">
        <v>1</v>
      </c>
      <c r="T872" s="11">
        <v>2</v>
      </c>
      <c r="Z872" s="9">
        <v>0</v>
      </c>
      <c r="AF872" s="11">
        <v>0</v>
      </c>
      <c r="AI872" s="11">
        <v>2</v>
      </c>
    </row>
    <row r="873" spans="1:35" x14ac:dyDescent="0.25">
      <c r="A873" s="161" t="str">
        <f t="shared" si="14"/>
        <v>LONGSWORDSMAN_FRANCE</v>
      </c>
      <c r="B873" s="9" t="s">
        <v>109</v>
      </c>
      <c r="C873" s="4" t="s">
        <v>715</v>
      </c>
      <c r="E873" s="4" t="s">
        <v>109</v>
      </c>
      <c r="F873" s="4" t="s">
        <v>109</v>
      </c>
      <c r="G873" s="4" t="s">
        <v>2048</v>
      </c>
      <c r="H873" s="4" t="s">
        <v>350</v>
      </c>
      <c r="I873" s="4" t="s">
        <v>122</v>
      </c>
      <c r="Q873" s="9">
        <v>2</v>
      </c>
      <c r="T873" s="11">
        <v>3</v>
      </c>
      <c r="Z873" s="9">
        <v>0</v>
      </c>
      <c r="AF873" s="11">
        <v>0</v>
      </c>
      <c r="AI873" s="11">
        <v>3</v>
      </c>
    </row>
    <row r="874" spans="1:35" x14ac:dyDescent="0.25">
      <c r="A874" s="161" t="str">
        <f t="shared" si="14"/>
        <v>LONGSWORDSMAN_GERMANY</v>
      </c>
      <c r="B874" s="9" t="s">
        <v>109</v>
      </c>
      <c r="C874" s="4" t="s">
        <v>717</v>
      </c>
      <c r="E874" s="4" t="s">
        <v>109</v>
      </c>
      <c r="F874" s="4" t="s">
        <v>109</v>
      </c>
      <c r="H874" s="4" t="s">
        <v>893</v>
      </c>
      <c r="I874" s="4" t="s">
        <v>102</v>
      </c>
      <c r="Q874" s="9">
        <v>1</v>
      </c>
      <c r="T874" s="11">
        <v>1</v>
      </c>
      <c r="Z874" s="9">
        <v>1</v>
      </c>
      <c r="AF874" s="11">
        <v>1</v>
      </c>
      <c r="AI874" s="11">
        <v>1</v>
      </c>
    </row>
    <row r="875" spans="1:35" x14ac:dyDescent="0.25">
      <c r="A875" s="161" t="str">
        <f t="shared" si="14"/>
        <v>LONGSWORDSMAN_GERMANY</v>
      </c>
      <c r="B875" s="9" t="s">
        <v>109</v>
      </c>
      <c r="C875" s="4" t="s">
        <v>717</v>
      </c>
      <c r="E875" s="4" t="s">
        <v>109</v>
      </c>
      <c r="F875" s="4" t="s">
        <v>109</v>
      </c>
      <c r="G875" s="4" t="s">
        <v>2047</v>
      </c>
      <c r="H875" s="4" t="s">
        <v>894</v>
      </c>
      <c r="I875" s="4" t="s">
        <v>122</v>
      </c>
      <c r="Q875" s="9">
        <v>1</v>
      </c>
      <c r="T875" s="11">
        <v>1</v>
      </c>
      <c r="Z875" s="9">
        <v>0</v>
      </c>
      <c r="AF875" s="11">
        <v>1</v>
      </c>
      <c r="AI875" s="11">
        <v>1</v>
      </c>
    </row>
    <row r="876" spans="1:35" x14ac:dyDescent="0.25">
      <c r="A876" s="161" t="str">
        <f t="shared" si="14"/>
        <v>LONGSWORDSMAN_GERMANY</v>
      </c>
      <c r="B876" s="9" t="s">
        <v>109</v>
      </c>
      <c r="C876" s="4" t="s">
        <v>717</v>
      </c>
      <c r="E876" s="4" t="s">
        <v>109</v>
      </c>
      <c r="F876" s="4" t="s">
        <v>109</v>
      </c>
      <c r="G876" s="4" t="s">
        <v>2049</v>
      </c>
      <c r="H876" s="4" t="s">
        <v>895</v>
      </c>
      <c r="I876" s="4" t="s">
        <v>122</v>
      </c>
      <c r="Q876" s="9">
        <v>1</v>
      </c>
      <c r="T876" s="11">
        <v>1</v>
      </c>
      <c r="Z876" s="9">
        <v>0</v>
      </c>
      <c r="AF876" s="11">
        <v>0</v>
      </c>
      <c r="AI876" s="11">
        <v>1</v>
      </c>
    </row>
    <row r="877" spans="1:35" x14ac:dyDescent="0.25">
      <c r="A877" s="161" t="str">
        <f t="shared" si="14"/>
        <v>LONGSWORDSMAN_GERMANY</v>
      </c>
      <c r="B877" s="9" t="s">
        <v>109</v>
      </c>
      <c r="C877" s="4" t="s">
        <v>717</v>
      </c>
      <c r="E877" s="4" t="s">
        <v>109</v>
      </c>
      <c r="F877" s="4" t="s">
        <v>109</v>
      </c>
      <c r="G877" s="4" t="s">
        <v>2048</v>
      </c>
      <c r="H877" s="4" t="s">
        <v>896</v>
      </c>
      <c r="I877" s="4" t="s">
        <v>122</v>
      </c>
      <c r="Q877" s="9">
        <v>1</v>
      </c>
      <c r="T877" s="11">
        <v>1</v>
      </c>
      <c r="Z877" s="9">
        <v>0</v>
      </c>
      <c r="AF877" s="11">
        <v>0</v>
      </c>
      <c r="AI877" s="11">
        <v>1</v>
      </c>
    </row>
    <row r="878" spans="1:35" x14ac:dyDescent="0.25">
      <c r="A878" s="161" t="str">
        <f t="shared" si="14"/>
        <v>LONGSWORDSMAN_GERMANY</v>
      </c>
      <c r="B878" s="9" t="s">
        <v>109</v>
      </c>
      <c r="C878" s="4" t="s">
        <v>717</v>
      </c>
      <c r="E878" s="4" t="s">
        <v>109</v>
      </c>
      <c r="F878" s="4" t="s">
        <v>109</v>
      </c>
      <c r="G878" s="4" t="s">
        <v>2058</v>
      </c>
      <c r="H878" s="4" t="s">
        <v>897</v>
      </c>
      <c r="I878" s="4" t="s">
        <v>122</v>
      </c>
      <c r="Q878" s="9">
        <v>2</v>
      </c>
      <c r="T878" s="11">
        <v>2</v>
      </c>
      <c r="Z878" s="9">
        <v>0</v>
      </c>
      <c r="AF878" s="11">
        <v>1</v>
      </c>
      <c r="AI878" s="11">
        <v>1</v>
      </c>
    </row>
    <row r="879" spans="1:35" x14ac:dyDescent="0.25">
      <c r="A879" s="161" t="str">
        <f t="shared" si="14"/>
        <v>LONGSWORDSMAN_GERMANY</v>
      </c>
      <c r="B879" s="9" t="s">
        <v>109</v>
      </c>
      <c r="C879" s="4" t="s">
        <v>717</v>
      </c>
      <c r="E879" s="4" t="s">
        <v>109</v>
      </c>
      <c r="F879" s="4" t="s">
        <v>109</v>
      </c>
      <c r="G879" s="4" t="s">
        <v>2059</v>
      </c>
      <c r="H879" s="4" t="s">
        <v>898</v>
      </c>
      <c r="I879" s="4" t="s">
        <v>122</v>
      </c>
      <c r="Q879" s="9">
        <v>1</v>
      </c>
      <c r="T879" s="11">
        <v>1</v>
      </c>
      <c r="Z879" s="9">
        <v>0</v>
      </c>
      <c r="AF879" s="11">
        <v>0</v>
      </c>
      <c r="AI879" s="11">
        <v>1</v>
      </c>
    </row>
    <row r="880" spans="1:35" x14ac:dyDescent="0.25">
      <c r="A880" s="161" t="str">
        <f t="shared" si="14"/>
        <v>LONGSWORDSMAN_GERMANY</v>
      </c>
      <c r="B880" s="9" t="s">
        <v>109</v>
      </c>
      <c r="C880" s="4" t="s">
        <v>717</v>
      </c>
      <c r="E880" s="4" t="s">
        <v>109</v>
      </c>
      <c r="F880" s="4" t="s">
        <v>109</v>
      </c>
      <c r="G880" s="4" t="s">
        <v>2060</v>
      </c>
      <c r="H880" s="4" t="s">
        <v>381</v>
      </c>
      <c r="I880" s="4" t="s">
        <v>967</v>
      </c>
      <c r="Q880" s="9">
        <v>1</v>
      </c>
      <c r="T880" s="11">
        <v>1</v>
      </c>
      <c r="Z880" s="9">
        <v>0</v>
      </c>
      <c r="AF880" s="11">
        <v>0</v>
      </c>
      <c r="AI880" s="11">
        <v>1</v>
      </c>
    </row>
    <row r="881" spans="1:35" x14ac:dyDescent="0.25">
      <c r="A881" s="161" t="str">
        <f t="shared" si="14"/>
        <v>LONGSWORDSMAN_GERMANY</v>
      </c>
      <c r="B881" s="9" t="s">
        <v>109</v>
      </c>
      <c r="C881" s="4" t="s">
        <v>717</v>
      </c>
      <c r="E881" s="4" t="s">
        <v>109</v>
      </c>
      <c r="F881" s="4" t="s">
        <v>109</v>
      </c>
      <c r="H881" s="4" t="s">
        <v>893</v>
      </c>
      <c r="I881" s="4" t="s">
        <v>102</v>
      </c>
      <c r="Q881" s="9">
        <v>1</v>
      </c>
      <c r="T881" s="11">
        <v>1</v>
      </c>
      <c r="Z881" s="9">
        <v>0</v>
      </c>
      <c r="AF881" s="11">
        <v>0</v>
      </c>
      <c r="AI881" s="11">
        <v>0</v>
      </c>
    </row>
    <row r="882" spans="1:35" x14ac:dyDescent="0.25">
      <c r="A882" s="161" t="str">
        <f t="shared" si="14"/>
        <v>LONGSWORDSMAN_GERMANY</v>
      </c>
      <c r="B882" s="9" t="s">
        <v>109</v>
      </c>
      <c r="C882" s="4" t="s">
        <v>717</v>
      </c>
      <c r="E882" s="4" t="s">
        <v>109</v>
      </c>
      <c r="F882" s="4" t="s">
        <v>109</v>
      </c>
      <c r="G882" s="4" t="s">
        <v>2047</v>
      </c>
      <c r="H882" s="4" t="s">
        <v>894</v>
      </c>
      <c r="I882" s="4" t="s">
        <v>122</v>
      </c>
      <c r="Q882" s="9">
        <v>1</v>
      </c>
      <c r="T882" s="11">
        <v>1</v>
      </c>
      <c r="Z882" s="9">
        <v>0</v>
      </c>
      <c r="AF882" s="11">
        <v>0</v>
      </c>
      <c r="AI882" s="11">
        <v>0</v>
      </c>
    </row>
    <row r="883" spans="1:35" x14ac:dyDescent="0.25">
      <c r="A883" s="161" t="str">
        <f t="shared" si="14"/>
        <v>LONGSWORDSMAN_GERMANY</v>
      </c>
      <c r="B883" s="9" t="s">
        <v>109</v>
      </c>
      <c r="C883" s="4" t="s">
        <v>717</v>
      </c>
      <c r="E883" s="4" t="s">
        <v>109</v>
      </c>
      <c r="F883" s="4" t="s">
        <v>109</v>
      </c>
      <c r="G883" s="4" t="s">
        <v>2049</v>
      </c>
      <c r="H883" s="4" t="s">
        <v>895</v>
      </c>
      <c r="I883" s="4" t="s">
        <v>122</v>
      </c>
      <c r="Q883" s="9">
        <v>1</v>
      </c>
      <c r="T883" s="11">
        <v>1</v>
      </c>
      <c r="Z883" s="9">
        <v>0</v>
      </c>
      <c r="AF883" s="11">
        <v>0</v>
      </c>
      <c r="AI883" s="11">
        <v>0</v>
      </c>
    </row>
    <row r="884" spans="1:35" x14ac:dyDescent="0.25">
      <c r="A884" s="161" t="str">
        <f t="shared" si="14"/>
        <v>LONGSWORDSMAN_GERMANY</v>
      </c>
      <c r="B884" s="9" t="s">
        <v>109</v>
      </c>
      <c r="C884" s="4" t="s">
        <v>717</v>
      </c>
      <c r="E884" s="4" t="s">
        <v>109</v>
      </c>
      <c r="F884" s="4" t="s">
        <v>109</v>
      </c>
      <c r="G884" s="4" t="s">
        <v>2048</v>
      </c>
      <c r="H884" s="4" t="s">
        <v>896</v>
      </c>
      <c r="I884" s="4" t="s">
        <v>122</v>
      </c>
      <c r="Q884" s="9">
        <v>1</v>
      </c>
      <c r="T884" s="11">
        <v>1</v>
      </c>
      <c r="Z884" s="9">
        <v>0</v>
      </c>
      <c r="AF884" s="11">
        <v>0</v>
      </c>
      <c r="AI884" s="11">
        <v>0</v>
      </c>
    </row>
    <row r="885" spans="1:35" x14ac:dyDescent="0.25">
      <c r="A885" s="161" t="str">
        <f t="shared" si="14"/>
        <v>LONGSWORDSMAN_GERMANY</v>
      </c>
      <c r="B885" s="9" t="s">
        <v>109</v>
      </c>
      <c r="C885" s="4" t="s">
        <v>717</v>
      </c>
      <c r="E885" s="4" t="s">
        <v>109</v>
      </c>
      <c r="F885" s="4" t="s">
        <v>109</v>
      </c>
      <c r="G885" s="4" t="s">
        <v>2058</v>
      </c>
      <c r="H885" s="4" t="s">
        <v>897</v>
      </c>
      <c r="I885" s="4" t="s">
        <v>122</v>
      </c>
      <c r="Q885" s="9">
        <v>1</v>
      </c>
      <c r="T885" s="11">
        <v>2</v>
      </c>
      <c r="Z885" s="9">
        <v>0</v>
      </c>
      <c r="AF885" s="11">
        <v>0</v>
      </c>
      <c r="AI885" s="11">
        <v>0</v>
      </c>
    </row>
    <row r="886" spans="1:35" x14ac:dyDescent="0.25">
      <c r="A886" s="161" t="str">
        <f t="shared" si="14"/>
        <v>LONGSWORDSMAN_GERMANY</v>
      </c>
      <c r="B886" s="9" t="s">
        <v>109</v>
      </c>
      <c r="C886" s="4" t="s">
        <v>717</v>
      </c>
      <c r="E886" s="4" t="s">
        <v>109</v>
      </c>
      <c r="F886" s="4" t="s">
        <v>109</v>
      </c>
      <c r="G886" s="4" t="s">
        <v>2059</v>
      </c>
      <c r="H886" s="4" t="s">
        <v>898</v>
      </c>
      <c r="I886" s="4" t="s">
        <v>122</v>
      </c>
      <c r="Q886" s="9">
        <v>0</v>
      </c>
      <c r="T886" s="11">
        <v>1</v>
      </c>
      <c r="Z886" s="9">
        <v>0</v>
      </c>
      <c r="AF886" s="11">
        <v>0</v>
      </c>
      <c r="AI886" s="11">
        <v>0</v>
      </c>
    </row>
    <row r="887" spans="1:35" x14ac:dyDescent="0.25">
      <c r="A887" s="161" t="str">
        <f t="shared" si="14"/>
        <v>LONGSWORDSMAN_GERMANY</v>
      </c>
      <c r="B887" s="9" t="s">
        <v>109</v>
      </c>
      <c r="C887" s="4" t="s">
        <v>717</v>
      </c>
      <c r="E887" s="4" t="s">
        <v>109</v>
      </c>
      <c r="F887" s="4" t="s">
        <v>109</v>
      </c>
      <c r="G887" s="4" t="s">
        <v>2060</v>
      </c>
      <c r="H887" s="4" t="s">
        <v>381</v>
      </c>
      <c r="I887" s="4" t="s">
        <v>967</v>
      </c>
      <c r="Q887" s="9">
        <v>0</v>
      </c>
      <c r="T887" s="11">
        <v>1</v>
      </c>
      <c r="Z887" s="9">
        <v>0</v>
      </c>
      <c r="AF887" s="11">
        <v>0</v>
      </c>
      <c r="AI887" s="11">
        <v>0</v>
      </c>
    </row>
    <row r="888" spans="1:35" x14ac:dyDescent="0.25">
      <c r="A888" s="161" t="str">
        <f t="shared" si="14"/>
        <v>LONGSWORDSMAN_SWISS</v>
      </c>
      <c r="B888" s="9" t="s">
        <v>109</v>
      </c>
      <c r="C888" s="4" t="s">
        <v>740</v>
      </c>
      <c r="E888" s="4" t="s">
        <v>109</v>
      </c>
      <c r="F888" s="4" t="s">
        <v>109</v>
      </c>
      <c r="H888" s="4" t="s">
        <v>1243</v>
      </c>
      <c r="I888" s="4" t="s">
        <v>1244</v>
      </c>
    </row>
    <row r="889" spans="1:35" x14ac:dyDescent="0.25">
      <c r="A889" s="161" t="str">
        <f t="shared" si="14"/>
        <v>LONGSWORDSMAN_MED</v>
      </c>
      <c r="B889" s="9" t="s">
        <v>109</v>
      </c>
      <c r="C889" s="4" t="s">
        <v>692</v>
      </c>
      <c r="E889" s="4" t="s">
        <v>109</v>
      </c>
      <c r="F889" s="4" t="s">
        <v>109</v>
      </c>
      <c r="H889" s="4" t="s">
        <v>657</v>
      </c>
      <c r="I889" s="4" t="s">
        <v>122</v>
      </c>
    </row>
    <row r="890" spans="1:35" x14ac:dyDescent="0.25">
      <c r="A890" s="161" t="str">
        <f t="shared" si="14"/>
        <v>LONGSWORDSMAN_BYZANTIUM</v>
      </c>
      <c r="B890" s="9" t="s">
        <v>109</v>
      </c>
      <c r="C890" s="4" t="s">
        <v>707</v>
      </c>
      <c r="E890" s="4" t="s">
        <v>109</v>
      </c>
      <c r="F890" s="4" t="s">
        <v>109</v>
      </c>
      <c r="H890" s="4" t="s">
        <v>819</v>
      </c>
      <c r="I890" s="4" t="s">
        <v>122</v>
      </c>
      <c r="Q890" s="9">
        <v>3</v>
      </c>
      <c r="T890" s="11">
        <v>3</v>
      </c>
      <c r="Z890" s="9">
        <v>1</v>
      </c>
      <c r="AF890" s="11">
        <v>1</v>
      </c>
      <c r="AI890" s="11">
        <v>2</v>
      </c>
    </row>
    <row r="891" spans="1:35" x14ac:dyDescent="0.25">
      <c r="A891" s="161" t="str">
        <f t="shared" si="14"/>
        <v>LONGSWORDSMAN_BYZANTIUM</v>
      </c>
      <c r="B891" s="9" t="s">
        <v>109</v>
      </c>
      <c r="C891" s="4" t="s">
        <v>707</v>
      </c>
      <c r="E891" s="4" t="s">
        <v>109</v>
      </c>
      <c r="F891" s="4" t="s">
        <v>109</v>
      </c>
      <c r="G891" s="4" t="s">
        <v>2047</v>
      </c>
      <c r="H891" s="4" t="s">
        <v>226</v>
      </c>
      <c r="I891" s="4" t="s">
        <v>122</v>
      </c>
      <c r="Q891" s="9">
        <v>3</v>
      </c>
      <c r="T891" s="11">
        <v>5</v>
      </c>
      <c r="Z891" s="9">
        <v>0</v>
      </c>
      <c r="AF891" s="11">
        <v>1</v>
      </c>
      <c r="AI891" s="11">
        <v>1</v>
      </c>
    </row>
    <row r="892" spans="1:35" x14ac:dyDescent="0.25">
      <c r="A892" s="161" t="str">
        <f t="shared" si="14"/>
        <v>LONGSWORDSMAN_BYZANTIUM</v>
      </c>
      <c r="B892" s="9" t="s">
        <v>109</v>
      </c>
      <c r="C892" s="4" t="s">
        <v>707</v>
      </c>
      <c r="E892" s="4" t="s">
        <v>109</v>
      </c>
      <c r="F892" s="4" t="s">
        <v>109</v>
      </c>
      <c r="H892" s="4" t="s">
        <v>819</v>
      </c>
      <c r="I892" s="4" t="s">
        <v>122</v>
      </c>
      <c r="Q892" s="9">
        <v>3</v>
      </c>
      <c r="T892" s="11">
        <v>5</v>
      </c>
      <c r="Z892" s="9">
        <v>0</v>
      </c>
      <c r="AF892" s="11">
        <v>1</v>
      </c>
      <c r="AI892" s="11">
        <v>2</v>
      </c>
    </row>
    <row r="893" spans="1:35" x14ac:dyDescent="0.25">
      <c r="A893" s="161" t="str">
        <f t="shared" si="14"/>
        <v>LONGSWORDSMAN_BYZANTIUM</v>
      </c>
      <c r="B893" s="9" t="s">
        <v>109</v>
      </c>
      <c r="C893" s="4" t="s">
        <v>707</v>
      </c>
      <c r="E893" s="4" t="s">
        <v>109</v>
      </c>
      <c r="F893" s="4" t="s">
        <v>109</v>
      </c>
      <c r="G893" s="4" t="s">
        <v>2047</v>
      </c>
      <c r="H893" s="4" t="s">
        <v>226</v>
      </c>
      <c r="I893" s="4" t="s">
        <v>122</v>
      </c>
      <c r="Q893" s="9">
        <v>3</v>
      </c>
      <c r="T893" s="11">
        <v>3</v>
      </c>
      <c r="Z893" s="9">
        <v>0</v>
      </c>
      <c r="AF893" s="11">
        <v>0</v>
      </c>
      <c r="AI893" s="11">
        <v>2</v>
      </c>
    </row>
    <row r="894" spans="1:35" x14ac:dyDescent="0.25">
      <c r="A894" s="161" t="str">
        <f t="shared" si="14"/>
        <v>LONGSWORDSMAN_GREECE</v>
      </c>
      <c r="B894" s="9" t="s">
        <v>109</v>
      </c>
      <c r="C894" s="4" t="s">
        <v>718</v>
      </c>
      <c r="E894" s="4" t="s">
        <v>109</v>
      </c>
      <c r="F894" s="4" t="s">
        <v>109</v>
      </c>
      <c r="G894" s="14" t="s">
        <v>132</v>
      </c>
      <c r="H894" s="4" t="s">
        <v>407</v>
      </c>
      <c r="I894" s="4" t="s">
        <v>102</v>
      </c>
      <c r="Q894" s="9"/>
    </row>
    <row r="895" spans="1:35" x14ac:dyDescent="0.25">
      <c r="A895" s="161" t="str">
        <f t="shared" si="14"/>
        <v>LONGSWORDSMAN_PORTUGAL</v>
      </c>
      <c r="B895" s="9" t="s">
        <v>109</v>
      </c>
      <c r="C895" s="4" t="s">
        <v>733</v>
      </c>
      <c r="E895" s="4" t="s">
        <v>109</v>
      </c>
      <c r="F895" s="4" t="s">
        <v>109</v>
      </c>
      <c r="G895" s="14" t="s">
        <v>132</v>
      </c>
      <c r="H895" s="4" t="s">
        <v>579</v>
      </c>
      <c r="I895" s="4" t="s">
        <v>122</v>
      </c>
    </row>
    <row r="896" spans="1:35" x14ac:dyDescent="0.25">
      <c r="A896" s="161" t="str">
        <f t="shared" si="14"/>
        <v>LONGSWORDSMAN_ROME</v>
      </c>
      <c r="B896" s="9" t="s">
        <v>109</v>
      </c>
      <c r="C896" s="4" t="s">
        <v>734</v>
      </c>
      <c r="E896" s="4" t="s">
        <v>109</v>
      </c>
      <c r="F896" s="4" t="s">
        <v>109</v>
      </c>
      <c r="G896" s="14" t="s">
        <v>132</v>
      </c>
      <c r="H896" s="4" t="s">
        <v>593</v>
      </c>
      <c r="I896" s="4" t="s">
        <v>102</v>
      </c>
    </row>
    <row r="897" spans="1:35" x14ac:dyDescent="0.25">
      <c r="A897" s="161" t="str">
        <f t="shared" si="14"/>
        <v>LONGSWORDSMAN_SPAIN</v>
      </c>
      <c r="B897" s="9" t="s">
        <v>109</v>
      </c>
      <c r="C897" s="4" t="s">
        <v>738</v>
      </c>
      <c r="E897" s="4" t="s">
        <v>109</v>
      </c>
      <c r="F897" s="4" t="s">
        <v>109</v>
      </c>
      <c r="H897" s="4" t="s">
        <v>1016</v>
      </c>
      <c r="I897" s="4" t="s">
        <v>122</v>
      </c>
      <c r="Q897" s="11">
        <v>3</v>
      </c>
      <c r="T897" s="11">
        <v>3</v>
      </c>
      <c r="Z897" s="11">
        <v>1</v>
      </c>
      <c r="AF897" s="11">
        <v>1</v>
      </c>
      <c r="AI897" s="11">
        <v>2</v>
      </c>
    </row>
    <row r="898" spans="1:35" x14ac:dyDescent="0.25">
      <c r="A898" s="161" t="str">
        <f t="shared" si="14"/>
        <v>LONGSWORDSMAN_SPAIN</v>
      </c>
      <c r="B898" s="9" t="s">
        <v>109</v>
      </c>
      <c r="C898" s="4" t="s">
        <v>738</v>
      </c>
      <c r="E898" s="4" t="s">
        <v>109</v>
      </c>
      <c r="F898" s="4" t="s">
        <v>109</v>
      </c>
      <c r="G898" s="4" t="s">
        <v>2047</v>
      </c>
      <c r="H898" s="4" t="s">
        <v>657</v>
      </c>
      <c r="I898" s="4" t="s">
        <v>122</v>
      </c>
      <c r="Q898" s="11">
        <v>3</v>
      </c>
      <c r="T898" s="11">
        <v>5</v>
      </c>
      <c r="Z898" s="11">
        <v>0</v>
      </c>
      <c r="AF898" s="11">
        <v>1</v>
      </c>
      <c r="AI898" s="11">
        <v>1</v>
      </c>
    </row>
    <row r="899" spans="1:35" x14ac:dyDescent="0.25">
      <c r="A899" s="161" t="str">
        <f t="shared" si="14"/>
        <v>LONGSWORDSMAN_SPAIN</v>
      </c>
      <c r="B899" s="9" t="s">
        <v>109</v>
      </c>
      <c r="C899" s="4" t="s">
        <v>738</v>
      </c>
      <c r="E899" s="4" t="s">
        <v>109</v>
      </c>
      <c r="F899" s="4" t="s">
        <v>109</v>
      </c>
      <c r="H899" s="4" t="s">
        <v>1016</v>
      </c>
      <c r="I899" s="4" t="s">
        <v>122</v>
      </c>
      <c r="Q899" s="11">
        <v>3</v>
      </c>
      <c r="T899" s="11">
        <v>5</v>
      </c>
      <c r="Z899" s="11">
        <v>0</v>
      </c>
      <c r="AF899" s="11">
        <v>1</v>
      </c>
      <c r="AI899" s="11">
        <v>2</v>
      </c>
    </row>
    <row r="900" spans="1:35" x14ac:dyDescent="0.25">
      <c r="A900" s="161" t="str">
        <f t="shared" si="14"/>
        <v>LONGSWORDSMAN_SPAIN</v>
      </c>
      <c r="B900" s="9" t="s">
        <v>109</v>
      </c>
      <c r="C900" s="4" t="s">
        <v>738</v>
      </c>
      <c r="E900" s="4" t="s">
        <v>109</v>
      </c>
      <c r="F900" s="4" t="s">
        <v>109</v>
      </c>
      <c r="G900" s="4" t="s">
        <v>2047</v>
      </c>
      <c r="H900" s="4" t="s">
        <v>657</v>
      </c>
      <c r="I900" s="4" t="s">
        <v>122</v>
      </c>
      <c r="Q900" s="9">
        <v>3</v>
      </c>
      <c r="T900" s="11">
        <v>3</v>
      </c>
      <c r="Z900" s="9">
        <v>0</v>
      </c>
      <c r="AF900" s="11">
        <v>0</v>
      </c>
      <c r="AI900" s="11">
        <v>2</v>
      </c>
    </row>
    <row r="901" spans="1:35" x14ac:dyDescent="0.25">
      <c r="A901" s="161" t="str">
        <f t="shared" si="14"/>
        <v>LONGSWORDSMAN_VATICAN_CITY</v>
      </c>
      <c r="B901" s="9" t="s">
        <v>109</v>
      </c>
      <c r="C901" s="4" t="s">
        <v>741</v>
      </c>
      <c r="E901" s="4" t="s">
        <v>109</v>
      </c>
      <c r="F901" s="4" t="s">
        <v>109</v>
      </c>
      <c r="G901" s="14" t="s">
        <v>132</v>
      </c>
      <c r="H901" s="4" t="s">
        <v>681</v>
      </c>
      <c r="I901" s="4" t="s">
        <v>122</v>
      </c>
    </row>
    <row r="902" spans="1:35" x14ac:dyDescent="0.25">
      <c r="A902" s="161" t="str">
        <f t="shared" si="14"/>
        <v>LONGSWORDSMAN_MIDEAST</v>
      </c>
      <c r="B902" s="9" t="s">
        <v>109</v>
      </c>
      <c r="C902" s="4" t="s">
        <v>690</v>
      </c>
      <c r="E902" s="4" t="s">
        <v>109</v>
      </c>
      <c r="F902" s="4" t="s">
        <v>109</v>
      </c>
      <c r="H902" s="4" t="s">
        <v>164</v>
      </c>
      <c r="I902" s="4" t="s">
        <v>2103</v>
      </c>
    </row>
    <row r="903" spans="1:35" x14ac:dyDescent="0.25">
      <c r="A903" s="161" t="str">
        <f t="shared" si="14"/>
        <v>LONGSWORDSMAN_ARABIA</v>
      </c>
      <c r="B903" s="9" t="s">
        <v>109</v>
      </c>
      <c r="C903" s="4" t="s">
        <v>700</v>
      </c>
      <c r="D903" s="14" t="s">
        <v>690</v>
      </c>
      <c r="E903" s="4" t="s">
        <v>109</v>
      </c>
      <c r="F903" s="4" t="s">
        <v>109</v>
      </c>
      <c r="G903" s="14"/>
    </row>
    <row r="904" spans="1:35" x14ac:dyDescent="0.25">
      <c r="A904" s="161" t="str">
        <f t="shared" si="14"/>
        <v>LONGSWORDSMAN_BABYLON</v>
      </c>
      <c r="B904" s="9" t="s">
        <v>109</v>
      </c>
      <c r="C904" s="4" t="s">
        <v>703</v>
      </c>
      <c r="E904" s="4" t="s">
        <v>109</v>
      </c>
      <c r="F904" s="4" t="s">
        <v>109</v>
      </c>
      <c r="G904" s="14"/>
      <c r="H904" s="4" t="s">
        <v>212</v>
      </c>
      <c r="I904" s="4" t="s">
        <v>102</v>
      </c>
    </row>
    <row r="905" spans="1:35" x14ac:dyDescent="0.25">
      <c r="A905" s="161" t="str">
        <f t="shared" si="14"/>
        <v>LONGSWORDSMAN_EGYPT</v>
      </c>
      <c r="B905" s="9" t="s">
        <v>109</v>
      </c>
      <c r="C905" s="4" t="s">
        <v>712</v>
      </c>
      <c r="E905" s="4" t="s">
        <v>109</v>
      </c>
      <c r="F905" s="4" t="s">
        <v>109</v>
      </c>
      <c r="G905" s="14" t="s">
        <v>132</v>
      </c>
      <c r="H905" s="4" t="s">
        <v>283</v>
      </c>
      <c r="I905" s="4" t="s">
        <v>2103</v>
      </c>
    </row>
    <row r="906" spans="1:35" x14ac:dyDescent="0.25">
      <c r="A906" s="161" t="str">
        <f t="shared" si="14"/>
        <v>LONGSWORDSMAN_LEVANT</v>
      </c>
      <c r="B906" s="9" t="s">
        <v>109</v>
      </c>
      <c r="C906" s="4" t="s">
        <v>724</v>
      </c>
      <c r="E906" s="4" t="s">
        <v>109</v>
      </c>
      <c r="F906" s="4" t="s">
        <v>109</v>
      </c>
      <c r="G906" s="14" t="s">
        <v>132</v>
      </c>
      <c r="H906" s="4" t="s">
        <v>512</v>
      </c>
      <c r="I906" s="4" t="s">
        <v>102</v>
      </c>
    </row>
    <row r="907" spans="1:35" x14ac:dyDescent="0.25">
      <c r="A907" s="161" t="str">
        <f t="shared" si="14"/>
        <v>LONGSWORDSMAN_PERSIA</v>
      </c>
      <c r="B907" s="9" t="s">
        <v>109</v>
      </c>
      <c r="C907" s="4" t="s">
        <v>731</v>
      </c>
      <c r="E907" s="4" t="s">
        <v>109</v>
      </c>
      <c r="F907" s="4" t="s">
        <v>109</v>
      </c>
      <c r="G907" s="14" t="s">
        <v>132</v>
      </c>
      <c r="H907" s="4" t="s">
        <v>558</v>
      </c>
      <c r="I907" s="4" t="s">
        <v>102</v>
      </c>
    </row>
    <row r="908" spans="1:35" x14ac:dyDescent="0.25">
      <c r="A908" s="161" t="str">
        <f>CONCATENATE(E908,IF(ISBLANK(C908),"",CONCATENATE("_",C908)))</f>
        <v>LONGSWORDSMAN_NORTHAF</v>
      </c>
      <c r="B908" s="9" t="s">
        <v>109</v>
      </c>
      <c r="C908" s="4" t="s">
        <v>2011</v>
      </c>
      <c r="E908" s="4" t="s">
        <v>109</v>
      </c>
      <c r="F908" s="4" t="s">
        <v>109</v>
      </c>
      <c r="G908" s="14" t="s">
        <v>132</v>
      </c>
      <c r="H908" s="10" t="s">
        <v>641</v>
      </c>
      <c r="I908" s="10" t="s">
        <v>1819</v>
      </c>
    </row>
    <row r="909" spans="1:35" x14ac:dyDescent="0.25">
      <c r="A909" s="161" t="str">
        <f>CONCATENATE(E909,IF(ISBLANK(C909),"",CONCATENATE("_",C909)))</f>
        <v>LONGSWORDSMAN_MOROCCO</v>
      </c>
      <c r="B909" s="9" t="s">
        <v>109</v>
      </c>
      <c r="C909" s="4" t="s">
        <v>729</v>
      </c>
      <c r="E909" s="4" t="s">
        <v>109</v>
      </c>
      <c r="F909" s="4" t="s">
        <v>109</v>
      </c>
      <c r="G909" s="14" t="s">
        <v>132</v>
      </c>
      <c r="H909" s="4" t="s">
        <v>537</v>
      </c>
      <c r="I909" s="4" t="s">
        <v>1066</v>
      </c>
    </row>
    <row r="910" spans="1:35" x14ac:dyDescent="0.25">
      <c r="A910" s="161" t="str">
        <f t="shared" si="14"/>
        <v>LONGSWORDSMAN_NORTHEU</v>
      </c>
      <c r="B910" s="9" t="s">
        <v>109</v>
      </c>
      <c r="C910" s="4" t="s">
        <v>962</v>
      </c>
      <c r="E910" s="4" t="s">
        <v>109</v>
      </c>
      <c r="F910" s="4" t="s">
        <v>109</v>
      </c>
      <c r="H910" s="4" t="s">
        <v>837</v>
      </c>
      <c r="I910" s="4" t="s">
        <v>102</v>
      </c>
      <c r="Q910" s="11">
        <v>2</v>
      </c>
      <c r="T910" s="11">
        <v>3</v>
      </c>
      <c r="Z910" s="11">
        <v>1</v>
      </c>
      <c r="AF910" s="11">
        <v>1</v>
      </c>
      <c r="AI910" s="11">
        <v>1</v>
      </c>
    </row>
    <row r="911" spans="1:35" x14ac:dyDescent="0.25">
      <c r="A911" s="161" t="str">
        <f t="shared" si="14"/>
        <v>LONGSWORDSMAN_NORTHEU</v>
      </c>
      <c r="B911" s="9" t="s">
        <v>109</v>
      </c>
      <c r="C911" s="4" t="s">
        <v>962</v>
      </c>
      <c r="E911" s="4" t="s">
        <v>109</v>
      </c>
      <c r="F911" s="4" t="s">
        <v>109</v>
      </c>
      <c r="G911" s="4" t="s">
        <v>2047</v>
      </c>
      <c r="H911" s="4" t="s">
        <v>838</v>
      </c>
      <c r="I911" s="4" t="s">
        <v>102</v>
      </c>
      <c r="Q911" s="11">
        <v>2</v>
      </c>
      <c r="T911" s="11">
        <v>2</v>
      </c>
      <c r="Z911" s="11">
        <v>0</v>
      </c>
      <c r="AF911" s="11">
        <v>1</v>
      </c>
      <c r="AI911" s="11">
        <v>1</v>
      </c>
    </row>
    <row r="912" spans="1:35" x14ac:dyDescent="0.25">
      <c r="A912" s="161" t="str">
        <f t="shared" si="14"/>
        <v>LONGSWORDSMAN_NORTHEU</v>
      </c>
      <c r="B912" s="9" t="s">
        <v>109</v>
      </c>
      <c r="C912" s="4" t="s">
        <v>962</v>
      </c>
      <c r="E912" s="4" t="s">
        <v>109</v>
      </c>
      <c r="F912" s="4" t="s">
        <v>109</v>
      </c>
      <c r="G912" s="4" t="s">
        <v>2049</v>
      </c>
      <c r="H912" s="4" t="s">
        <v>269</v>
      </c>
      <c r="I912" s="4" t="s">
        <v>102</v>
      </c>
      <c r="Q912" s="11">
        <v>2</v>
      </c>
      <c r="T912" s="11">
        <v>3</v>
      </c>
      <c r="Z912" s="11">
        <v>0</v>
      </c>
      <c r="AF912" s="11">
        <v>1</v>
      </c>
      <c r="AI912" s="11">
        <v>1</v>
      </c>
    </row>
    <row r="913" spans="1:43" x14ac:dyDescent="0.25">
      <c r="A913" s="161" t="str">
        <f t="shared" si="14"/>
        <v>LONGSWORDSMAN_NORTHEU</v>
      </c>
      <c r="B913" s="9" t="s">
        <v>109</v>
      </c>
      <c r="C913" s="4" t="s">
        <v>962</v>
      </c>
      <c r="E913" s="4" t="s">
        <v>109</v>
      </c>
      <c r="F913" s="4" t="s">
        <v>109</v>
      </c>
      <c r="H913" s="4" t="s">
        <v>837</v>
      </c>
      <c r="I913" s="4" t="s">
        <v>102</v>
      </c>
      <c r="Q913" s="9">
        <v>2</v>
      </c>
      <c r="T913" s="11">
        <v>2</v>
      </c>
      <c r="Z913" s="9">
        <v>0</v>
      </c>
      <c r="AF913" s="11">
        <v>0</v>
      </c>
      <c r="AI913" s="11">
        <v>2</v>
      </c>
    </row>
    <row r="914" spans="1:43" x14ac:dyDescent="0.25">
      <c r="A914" s="161" t="str">
        <f t="shared" si="14"/>
        <v>LONGSWORDSMAN_NORTHEU</v>
      </c>
      <c r="B914" s="9" t="s">
        <v>109</v>
      </c>
      <c r="C914" s="4" t="s">
        <v>962</v>
      </c>
      <c r="E914" s="4" t="s">
        <v>109</v>
      </c>
      <c r="F914" s="4" t="s">
        <v>109</v>
      </c>
      <c r="G914" s="4" t="s">
        <v>2047</v>
      </c>
      <c r="H914" s="4" t="s">
        <v>838</v>
      </c>
      <c r="I914" s="4" t="s">
        <v>102</v>
      </c>
      <c r="Q914" s="9">
        <v>2</v>
      </c>
      <c r="T914" s="11">
        <v>3</v>
      </c>
      <c r="Z914" s="9">
        <v>0</v>
      </c>
      <c r="AF914" s="11">
        <v>0</v>
      </c>
      <c r="AI914" s="11">
        <v>1</v>
      </c>
    </row>
    <row r="915" spans="1:43" x14ac:dyDescent="0.25">
      <c r="A915" s="161" t="str">
        <f t="shared" si="14"/>
        <v>LONGSWORDSMAN_NORTHEU</v>
      </c>
      <c r="B915" s="9" t="s">
        <v>109</v>
      </c>
      <c r="C915" s="4" t="s">
        <v>962</v>
      </c>
      <c r="E915" s="4" t="s">
        <v>109</v>
      </c>
      <c r="F915" s="4" t="s">
        <v>109</v>
      </c>
      <c r="G915" s="4" t="s">
        <v>2049</v>
      </c>
      <c r="H915" s="4" t="s">
        <v>269</v>
      </c>
      <c r="I915" s="4" t="s">
        <v>102</v>
      </c>
      <c r="Q915" s="9">
        <v>2</v>
      </c>
      <c r="T915" s="11">
        <v>3</v>
      </c>
      <c r="Z915" s="9">
        <v>0</v>
      </c>
      <c r="AF915" s="11">
        <v>0</v>
      </c>
      <c r="AI915" s="11">
        <v>1</v>
      </c>
    </row>
    <row r="916" spans="1:43" x14ac:dyDescent="0.25">
      <c r="A916" s="161" t="str">
        <f t="shared" si="14"/>
        <v>LONGSWORDSMAN_OCEAN</v>
      </c>
      <c r="B916" s="9" t="s">
        <v>109</v>
      </c>
      <c r="C916" s="4" t="s">
        <v>994</v>
      </c>
      <c r="D916" s="4" t="s">
        <v>691</v>
      </c>
      <c r="E916" s="4" t="s">
        <v>109</v>
      </c>
      <c r="F916" s="4" t="s">
        <v>109</v>
      </c>
    </row>
    <row r="917" spans="1:43" x14ac:dyDescent="0.25">
      <c r="A917" s="161" t="str">
        <f t="shared" si="14"/>
        <v>LONGSWORDSMAN_SEASIA</v>
      </c>
      <c r="B917" s="9" t="s">
        <v>109</v>
      </c>
      <c r="C917" s="4" t="s">
        <v>696</v>
      </c>
      <c r="D917" s="4" t="s">
        <v>693</v>
      </c>
      <c r="E917" s="4" t="s">
        <v>109</v>
      </c>
      <c r="F917" s="4" t="s">
        <v>109</v>
      </c>
    </row>
    <row r="918" spans="1:43" x14ac:dyDescent="0.25">
      <c r="A918" s="161" t="str">
        <f t="shared" si="14"/>
        <v>LONGSWORDSMAN_SOUTHAM</v>
      </c>
      <c r="B918" s="9" t="s">
        <v>109</v>
      </c>
      <c r="C918" s="4" t="s">
        <v>691</v>
      </c>
      <c r="E918" s="4" t="s">
        <v>109</v>
      </c>
      <c r="F918" s="4" t="s">
        <v>109</v>
      </c>
      <c r="H918" s="4" t="s">
        <v>519</v>
      </c>
      <c r="I918" s="4" t="s">
        <v>102</v>
      </c>
    </row>
    <row r="919" spans="1:43" x14ac:dyDescent="0.25">
      <c r="A919" s="161" t="str">
        <f t="shared" si="14"/>
        <v>LONGSWORDSMAN_AZTEC</v>
      </c>
      <c r="B919" s="9" t="s">
        <v>109</v>
      </c>
      <c r="C919" s="4" t="s">
        <v>702</v>
      </c>
      <c r="E919" s="4" t="s">
        <v>109</v>
      </c>
      <c r="F919" s="4" t="s">
        <v>109</v>
      </c>
      <c r="G919" s="14"/>
      <c r="H919" s="4" t="s">
        <v>198</v>
      </c>
      <c r="I919" s="4" t="s">
        <v>102</v>
      </c>
    </row>
    <row r="920" spans="1:43" x14ac:dyDescent="0.25">
      <c r="A920" s="161" t="str">
        <f t="shared" si="14"/>
        <v>LONGSWORDSMAN_INCA</v>
      </c>
      <c r="B920" s="9" t="s">
        <v>109</v>
      </c>
      <c r="C920" s="4" t="s">
        <v>719</v>
      </c>
      <c r="E920" s="4" t="s">
        <v>109</v>
      </c>
      <c r="F920" s="4" t="s">
        <v>109</v>
      </c>
      <c r="H920" s="4" t="s">
        <v>929</v>
      </c>
      <c r="I920" s="4" t="s">
        <v>2103</v>
      </c>
    </row>
    <row r="921" spans="1:43" x14ac:dyDescent="0.25">
      <c r="A921" s="161" t="str">
        <f t="shared" si="14"/>
        <v>LONGSWORDSMAN_MAYA</v>
      </c>
      <c r="B921" s="9" t="s">
        <v>109</v>
      </c>
      <c r="C921" s="4" t="s">
        <v>725</v>
      </c>
      <c r="D921" s="4" t="s">
        <v>691</v>
      </c>
      <c r="E921" s="4" t="s">
        <v>109</v>
      </c>
      <c r="F921" s="4" t="s">
        <v>109</v>
      </c>
      <c r="G921" s="14" t="s">
        <v>132</v>
      </c>
    </row>
    <row r="922" spans="1:43" x14ac:dyDescent="0.25">
      <c r="A922" s="161" t="str">
        <f t="shared" si="14"/>
        <v>LONGSWORDSMAN_SOUTHAS</v>
      </c>
      <c r="B922" s="9" t="s">
        <v>109</v>
      </c>
      <c r="C922" s="4" t="s">
        <v>695</v>
      </c>
      <c r="E922" s="4" t="s">
        <v>109</v>
      </c>
      <c r="F922" s="4" t="s">
        <v>109</v>
      </c>
      <c r="H922" s="4" t="s">
        <v>845</v>
      </c>
      <c r="I922" s="4" t="s">
        <v>102</v>
      </c>
      <c r="Q922" s="9">
        <v>2</v>
      </c>
      <c r="T922" s="11">
        <v>3</v>
      </c>
      <c r="Z922" s="9">
        <v>1</v>
      </c>
      <c r="AF922" s="11">
        <v>1</v>
      </c>
      <c r="AI922" s="11">
        <v>1</v>
      </c>
    </row>
    <row r="923" spans="1:43" x14ac:dyDescent="0.25">
      <c r="A923" s="161" t="str">
        <f t="shared" si="14"/>
        <v>LONGSWORDSMAN_SOUTHAS</v>
      </c>
      <c r="B923" s="9" t="s">
        <v>109</v>
      </c>
      <c r="C923" s="4" t="s">
        <v>695</v>
      </c>
      <c r="E923" s="4" t="s">
        <v>109</v>
      </c>
      <c r="F923" s="4" t="s">
        <v>109</v>
      </c>
      <c r="G923" s="4" t="s">
        <v>2047</v>
      </c>
      <c r="H923" s="4" t="s">
        <v>437</v>
      </c>
      <c r="I923" s="4" t="s">
        <v>102</v>
      </c>
      <c r="Q923" s="9">
        <v>2</v>
      </c>
      <c r="T923" s="11">
        <v>2</v>
      </c>
      <c r="Z923" s="9">
        <v>0</v>
      </c>
      <c r="AF923" s="11">
        <v>1</v>
      </c>
      <c r="AI923" s="11">
        <v>1</v>
      </c>
    </row>
    <row r="924" spans="1:43" x14ac:dyDescent="0.25">
      <c r="A924" s="161" t="str">
        <f t="shared" si="14"/>
        <v>LONGSWORDSMAN_SOUTHAS</v>
      </c>
      <c r="B924" s="9" t="s">
        <v>109</v>
      </c>
      <c r="C924" s="4" t="s">
        <v>695</v>
      </c>
      <c r="E924" s="4" t="s">
        <v>109</v>
      </c>
      <c r="F924" s="4" t="s">
        <v>109</v>
      </c>
      <c r="H924" s="4" t="s">
        <v>845</v>
      </c>
      <c r="I924" s="4" t="s">
        <v>102</v>
      </c>
      <c r="Q924" s="9">
        <v>3</v>
      </c>
      <c r="T924" s="11">
        <v>3</v>
      </c>
      <c r="Z924" s="9">
        <v>0</v>
      </c>
      <c r="AF924" s="11">
        <v>1</v>
      </c>
      <c r="AI924" s="11">
        <v>2</v>
      </c>
    </row>
    <row r="925" spans="1:43" x14ac:dyDescent="0.25">
      <c r="A925" s="161" t="str">
        <f t="shared" si="14"/>
        <v>LONGSWORDSMAN_SOUTHAS</v>
      </c>
      <c r="B925" s="9" t="s">
        <v>109</v>
      </c>
      <c r="C925" s="4" t="s">
        <v>695</v>
      </c>
      <c r="E925" s="4" t="s">
        <v>109</v>
      </c>
      <c r="F925" s="4" t="s">
        <v>109</v>
      </c>
      <c r="G925" s="4" t="s">
        <v>2047</v>
      </c>
      <c r="H925" s="4" t="s">
        <v>437</v>
      </c>
      <c r="I925" s="4" t="s">
        <v>102</v>
      </c>
      <c r="Q925" s="9">
        <v>2</v>
      </c>
      <c r="T925" s="11">
        <v>2</v>
      </c>
      <c r="Z925" s="9">
        <v>0</v>
      </c>
      <c r="AF925" s="11">
        <v>0</v>
      </c>
      <c r="AI925" s="11">
        <v>1</v>
      </c>
    </row>
    <row r="926" spans="1:43" x14ac:dyDescent="0.25">
      <c r="A926" s="161" t="str">
        <f t="shared" si="14"/>
        <v>LONGSWORDSMAN_SOUTHAS</v>
      </c>
      <c r="B926" s="9" t="s">
        <v>109</v>
      </c>
      <c r="C926" s="4" t="s">
        <v>695</v>
      </c>
      <c r="E926" s="4" t="s">
        <v>109</v>
      </c>
      <c r="F926" s="4" t="s">
        <v>109</v>
      </c>
      <c r="H926" s="4" t="s">
        <v>845</v>
      </c>
      <c r="I926" s="4" t="s">
        <v>102</v>
      </c>
      <c r="Q926" s="9">
        <v>2</v>
      </c>
      <c r="T926" s="11">
        <v>3</v>
      </c>
      <c r="Z926" s="9">
        <v>0</v>
      </c>
      <c r="AF926" s="11">
        <v>0</v>
      </c>
      <c r="AI926" s="11">
        <v>1</v>
      </c>
    </row>
    <row r="927" spans="1:43" x14ac:dyDescent="0.25">
      <c r="A927" s="161" t="str">
        <f t="shared" si="14"/>
        <v>LONGSWORDSMAN_SOUTHAS</v>
      </c>
      <c r="B927" s="9" t="s">
        <v>109</v>
      </c>
      <c r="C927" s="4" t="s">
        <v>695</v>
      </c>
      <c r="E927" s="4" t="s">
        <v>109</v>
      </c>
      <c r="F927" s="4" t="s">
        <v>109</v>
      </c>
      <c r="G927" s="4" t="s">
        <v>2047</v>
      </c>
      <c r="H927" s="4" t="s">
        <v>437</v>
      </c>
      <c r="I927" s="4" t="s">
        <v>102</v>
      </c>
      <c r="Q927" s="9">
        <v>1</v>
      </c>
      <c r="T927" s="11">
        <v>3</v>
      </c>
      <c r="Z927" s="9">
        <v>0</v>
      </c>
      <c r="AF927" s="11">
        <v>0</v>
      </c>
      <c r="AI927" s="11">
        <v>1</v>
      </c>
    </row>
    <row r="928" spans="1:43" x14ac:dyDescent="0.25">
      <c r="A928" s="161" t="str">
        <f t="shared" si="14"/>
        <v>MACHINEGUN</v>
      </c>
      <c r="B928" s="9" t="s">
        <v>2338</v>
      </c>
      <c r="C928" s="5"/>
      <c r="D928" s="5"/>
      <c r="E928" s="5" t="s">
        <v>763</v>
      </c>
      <c r="F928" s="5" t="s">
        <v>763</v>
      </c>
      <c r="G928" s="5"/>
      <c r="H928" s="5" t="s">
        <v>1488</v>
      </c>
      <c r="I928" s="5" t="s">
        <v>128</v>
      </c>
      <c r="J928" s="6"/>
      <c r="K928" s="6"/>
      <c r="L928" s="13" t="s">
        <v>1708</v>
      </c>
      <c r="M928" s="8"/>
      <c r="N928" s="5"/>
      <c r="O928" s="5"/>
      <c r="P928" s="5"/>
      <c r="Q928" s="7">
        <v>3</v>
      </c>
      <c r="R928" s="6" t="s">
        <v>1695</v>
      </c>
      <c r="S928" s="13" t="s">
        <v>1611</v>
      </c>
      <c r="T928" s="6"/>
      <c r="U928" s="7" t="s">
        <v>1737</v>
      </c>
      <c r="V928" s="5"/>
      <c r="W928" s="6">
        <v>7</v>
      </c>
      <c r="X928" s="6" t="s">
        <v>3</v>
      </c>
      <c r="Y928" s="5"/>
      <c r="Z928" s="7">
        <v>1</v>
      </c>
      <c r="AA928" s="6"/>
      <c r="AB928" s="5"/>
      <c r="AC928" s="6"/>
      <c r="AD928" s="6" t="s">
        <v>3</v>
      </c>
      <c r="AE928" s="5"/>
      <c r="AF928" s="6"/>
      <c r="AG928" s="6"/>
      <c r="AH928" s="5"/>
      <c r="AI928" s="6"/>
      <c r="AJ928" s="6"/>
      <c r="AK928" s="5"/>
      <c r="AL928" s="5"/>
      <c r="AM928" s="5"/>
      <c r="AN928" s="5"/>
      <c r="AO928" s="5"/>
      <c r="AP928" s="5"/>
      <c r="AQ928" s="5"/>
    </row>
    <row r="929" spans="1:43" x14ac:dyDescent="0.25">
      <c r="A929" s="161" t="str">
        <f t="shared" si="14"/>
        <v>MARINE</v>
      </c>
      <c r="B929" s="9" t="s">
        <v>764</v>
      </c>
      <c r="C929" s="5"/>
      <c r="D929" s="5"/>
      <c r="E929" s="5" t="s">
        <v>764</v>
      </c>
      <c r="F929" s="5" t="s">
        <v>764</v>
      </c>
      <c r="G929" s="5"/>
      <c r="H929" s="5" t="s">
        <v>11</v>
      </c>
      <c r="I929" s="5" t="s">
        <v>128</v>
      </c>
      <c r="J929" s="6"/>
      <c r="K929" s="6"/>
      <c r="L929" s="13" t="s">
        <v>1708</v>
      </c>
      <c r="M929" s="8"/>
      <c r="N929" s="5"/>
      <c r="O929" s="5"/>
      <c r="P929" s="5"/>
      <c r="Q929" s="7">
        <v>14</v>
      </c>
      <c r="R929" s="6" t="s">
        <v>1737</v>
      </c>
      <c r="S929" s="13" t="s">
        <v>1620</v>
      </c>
      <c r="T929" s="6">
        <v>18</v>
      </c>
      <c r="U929" s="7" t="s">
        <v>1737</v>
      </c>
      <c r="V929" s="5"/>
      <c r="W929" s="7" t="s">
        <v>3</v>
      </c>
      <c r="X929" s="6" t="s">
        <v>3</v>
      </c>
      <c r="Y929" s="5"/>
      <c r="Z929" s="7">
        <v>1</v>
      </c>
      <c r="AA929" s="6"/>
      <c r="AB929" s="5"/>
      <c r="AC929" s="6"/>
      <c r="AD929" s="6" t="s">
        <v>3</v>
      </c>
      <c r="AE929" s="5"/>
      <c r="AF929" s="7" t="s">
        <v>1737</v>
      </c>
      <c r="AG929" s="6"/>
      <c r="AH929" s="5"/>
      <c r="AI929" s="6" t="s">
        <v>1737</v>
      </c>
      <c r="AJ929" s="6"/>
      <c r="AK929" s="5"/>
      <c r="AL929" s="5"/>
      <c r="AM929" s="5"/>
      <c r="AN929" s="5"/>
      <c r="AO929" s="5"/>
      <c r="AP929" s="5"/>
      <c r="AQ929" s="5"/>
    </row>
    <row r="930" spans="1:43" x14ac:dyDescent="0.25">
      <c r="A930" s="161" t="str">
        <f t="shared" si="14"/>
        <v>MARINE_AFRI</v>
      </c>
      <c r="B930" s="9" t="s">
        <v>764</v>
      </c>
      <c r="C930" s="13" t="s">
        <v>694</v>
      </c>
      <c r="E930" s="4" t="s">
        <v>764</v>
      </c>
      <c r="F930" s="4" t="s">
        <v>764</v>
      </c>
      <c r="H930" s="4" t="s">
        <v>1245</v>
      </c>
      <c r="I930" s="4" t="s">
        <v>1249</v>
      </c>
      <c r="Z930" s="9"/>
    </row>
    <row r="931" spans="1:43" x14ac:dyDescent="0.25">
      <c r="A931" s="161" t="str">
        <f t="shared" ref="A931:A1027" si="15">CONCATENATE(E931,IF(ISBLANK(C931),"",CONCATENATE("_",C931)))</f>
        <v>MARINE_AMER</v>
      </c>
      <c r="B931" s="9" t="s">
        <v>764</v>
      </c>
      <c r="C931" s="13" t="s">
        <v>697</v>
      </c>
      <c r="D931" s="4" t="s">
        <v>691</v>
      </c>
      <c r="E931" s="4" t="s">
        <v>764</v>
      </c>
      <c r="F931" s="4" t="s">
        <v>764</v>
      </c>
    </row>
    <row r="932" spans="1:43" x14ac:dyDescent="0.25">
      <c r="A932" s="161" t="str">
        <f t="shared" si="15"/>
        <v>MARINE_ASIA</v>
      </c>
      <c r="B932" s="9" t="s">
        <v>764</v>
      </c>
      <c r="C932" s="13" t="s">
        <v>693</v>
      </c>
      <c r="E932" s="4" t="s">
        <v>764</v>
      </c>
      <c r="F932" s="4" t="s">
        <v>764</v>
      </c>
      <c r="H932" s="4" t="s">
        <v>1247</v>
      </c>
      <c r="I932" s="4" t="s">
        <v>1249</v>
      </c>
      <c r="R932" s="11">
        <v>0.15</v>
      </c>
      <c r="U932" s="11">
        <v>9.5000000000000001E-2</v>
      </c>
      <c r="X932" s="11" t="s">
        <v>3</v>
      </c>
      <c r="AA932" s="11">
        <v>0.23499999999999999</v>
      </c>
      <c r="AD932" s="11" t="s">
        <v>3</v>
      </c>
    </row>
    <row r="933" spans="1:43" x14ac:dyDescent="0.25">
      <c r="A933" s="161" t="str">
        <f t="shared" si="15"/>
        <v>MARINE_CENTAS</v>
      </c>
      <c r="B933" s="9" t="s">
        <v>764</v>
      </c>
      <c r="C933" s="13" t="s">
        <v>918</v>
      </c>
      <c r="D933" s="4" t="s">
        <v>690</v>
      </c>
      <c r="E933" s="4" t="s">
        <v>764</v>
      </c>
      <c r="F933" s="4" t="s">
        <v>764</v>
      </c>
    </row>
    <row r="934" spans="1:43" x14ac:dyDescent="0.25">
      <c r="A934" s="161" t="str">
        <f t="shared" si="15"/>
        <v>MARINE_EASTEU</v>
      </c>
      <c r="B934" s="9" t="s">
        <v>764</v>
      </c>
      <c r="C934" s="13" t="s">
        <v>698</v>
      </c>
      <c r="E934" s="4" t="s">
        <v>764</v>
      </c>
      <c r="F934" s="4" t="s">
        <v>764</v>
      </c>
      <c r="H934" s="4" t="s">
        <v>1947</v>
      </c>
      <c r="I934" s="4" t="s">
        <v>1249</v>
      </c>
    </row>
    <row r="935" spans="1:43" x14ac:dyDescent="0.25">
      <c r="A935" s="161" t="str">
        <f t="shared" si="15"/>
        <v>MARINE_RUSSIA</v>
      </c>
      <c r="B935" s="9" t="s">
        <v>764</v>
      </c>
      <c r="C935" s="13" t="s">
        <v>735</v>
      </c>
      <c r="D935" s="4" t="s">
        <v>698</v>
      </c>
      <c r="E935" s="4" t="s">
        <v>764</v>
      </c>
      <c r="F935" s="4" t="s">
        <v>764</v>
      </c>
    </row>
    <row r="936" spans="1:43" x14ac:dyDescent="0.25">
      <c r="A936" s="161" t="str">
        <f t="shared" si="15"/>
        <v>MARINE_CELTS</v>
      </c>
      <c r="B936" s="9" t="s">
        <v>764</v>
      </c>
      <c r="C936" s="13" t="s">
        <v>709</v>
      </c>
      <c r="D936" s="4" t="s">
        <v>713</v>
      </c>
      <c r="E936" s="4" t="s">
        <v>764</v>
      </c>
      <c r="F936" s="4" t="s">
        <v>764</v>
      </c>
    </row>
    <row r="937" spans="1:43" x14ac:dyDescent="0.25">
      <c r="A937" s="161" t="str">
        <f t="shared" si="15"/>
        <v>MARINE_ENGLAND</v>
      </c>
      <c r="B937" s="9" t="s">
        <v>764</v>
      </c>
      <c r="C937" s="4" t="s">
        <v>713</v>
      </c>
      <c r="E937" s="4" t="s">
        <v>764</v>
      </c>
      <c r="F937" s="4" t="s">
        <v>764</v>
      </c>
      <c r="G937" s="14" t="s">
        <v>132</v>
      </c>
      <c r="H937" s="4" t="s">
        <v>304</v>
      </c>
      <c r="I937" s="4" t="s">
        <v>1057</v>
      </c>
      <c r="R937" s="11">
        <v>0.16</v>
      </c>
      <c r="U937" s="11">
        <v>0.1</v>
      </c>
      <c r="X937" s="11" t="s">
        <v>3</v>
      </c>
      <c r="AA937" s="11">
        <v>0.25</v>
      </c>
      <c r="AD937" s="11" t="s">
        <v>3</v>
      </c>
    </row>
    <row r="938" spans="1:43" x14ac:dyDescent="0.25">
      <c r="A938" s="161" t="str">
        <f t="shared" si="15"/>
        <v>MARINE_MIDEAST</v>
      </c>
      <c r="B938" s="9" t="s">
        <v>764</v>
      </c>
      <c r="C938" s="13" t="s">
        <v>690</v>
      </c>
      <c r="E938" s="4" t="s">
        <v>764</v>
      </c>
      <c r="F938" s="4" t="s">
        <v>764</v>
      </c>
      <c r="H938" s="4" t="s">
        <v>1246</v>
      </c>
      <c r="I938" s="4" t="s">
        <v>1249</v>
      </c>
    </row>
    <row r="939" spans="1:43" x14ac:dyDescent="0.25">
      <c r="A939" s="161" t="str">
        <f t="shared" si="15"/>
        <v>MARINE_NORTHEU</v>
      </c>
      <c r="B939" s="9" t="s">
        <v>764</v>
      </c>
      <c r="C939" s="13" t="s">
        <v>962</v>
      </c>
      <c r="E939" s="4" t="s">
        <v>764</v>
      </c>
      <c r="F939" s="4" t="s">
        <v>764</v>
      </c>
      <c r="H939" s="4" t="s">
        <v>1948</v>
      </c>
      <c r="I939" s="4" t="s">
        <v>1249</v>
      </c>
      <c r="R939" s="11">
        <v>0.15</v>
      </c>
      <c r="U939" s="11">
        <v>9.5000000000000001E-2</v>
      </c>
      <c r="X939" s="11" t="s">
        <v>3</v>
      </c>
      <c r="AA939" s="11">
        <v>0.23499999999999999</v>
      </c>
      <c r="AD939" s="11" t="s">
        <v>3</v>
      </c>
    </row>
    <row r="940" spans="1:43" x14ac:dyDescent="0.25">
      <c r="A940" s="161" t="str">
        <f t="shared" si="15"/>
        <v>MARINE_OCEAN</v>
      </c>
      <c r="B940" s="9" t="s">
        <v>764</v>
      </c>
      <c r="C940" s="13" t="s">
        <v>994</v>
      </c>
      <c r="D940" s="4" t="s">
        <v>691</v>
      </c>
      <c r="E940" s="4" t="s">
        <v>764</v>
      </c>
      <c r="F940" s="4" t="s">
        <v>764</v>
      </c>
    </row>
    <row r="941" spans="1:43" x14ac:dyDescent="0.25">
      <c r="A941" s="161" t="str">
        <f t="shared" si="15"/>
        <v>MARINE_SEASIA</v>
      </c>
      <c r="B941" s="9" t="s">
        <v>764</v>
      </c>
      <c r="C941" s="4" t="s">
        <v>696</v>
      </c>
      <c r="E941" s="4" t="s">
        <v>764</v>
      </c>
      <c r="F941" s="4" t="s">
        <v>764</v>
      </c>
      <c r="H941" s="4" t="s">
        <v>1047</v>
      </c>
      <c r="I941" s="4" t="s">
        <v>1064</v>
      </c>
      <c r="R941" s="11">
        <v>1.5</v>
      </c>
      <c r="U941" s="11">
        <v>0.96499999999999997</v>
      </c>
      <c r="X941" s="11" t="s">
        <v>3</v>
      </c>
      <c r="AA941" s="11">
        <v>2.355</v>
      </c>
      <c r="AD941" s="11" t="s">
        <v>3</v>
      </c>
      <c r="AG941" s="11">
        <v>1.93</v>
      </c>
      <c r="AJ941" s="11">
        <v>1.7150000000000001</v>
      </c>
    </row>
    <row r="942" spans="1:43" x14ac:dyDescent="0.25">
      <c r="A942" s="161" t="str">
        <f t="shared" si="15"/>
        <v>MARINE_SOUTHAM</v>
      </c>
      <c r="B942" s="9" t="s">
        <v>764</v>
      </c>
      <c r="C942" s="13" t="s">
        <v>691</v>
      </c>
      <c r="E942" s="4" t="s">
        <v>764</v>
      </c>
      <c r="F942" s="4" t="s">
        <v>764</v>
      </c>
      <c r="H942" s="4" t="s">
        <v>1248</v>
      </c>
      <c r="I942" s="4" t="s">
        <v>1249</v>
      </c>
      <c r="R942" s="11">
        <v>0.15</v>
      </c>
      <c r="U942" s="11">
        <v>9.5000000000000001E-2</v>
      </c>
      <c r="X942" s="11" t="s">
        <v>3</v>
      </c>
      <c r="AA942" s="11">
        <v>0.23499999999999999</v>
      </c>
      <c r="AD942" s="11" t="s">
        <v>3</v>
      </c>
    </row>
    <row r="943" spans="1:43" x14ac:dyDescent="0.25">
      <c r="A943" s="161" t="str">
        <f t="shared" si="15"/>
        <v>MECH</v>
      </c>
      <c r="B943" s="9" t="s">
        <v>765</v>
      </c>
      <c r="C943" s="5"/>
      <c r="D943" s="5"/>
      <c r="E943" s="5" t="s">
        <v>765</v>
      </c>
      <c r="F943" s="5" t="s">
        <v>765</v>
      </c>
      <c r="G943" s="5"/>
      <c r="H943" s="5" t="s">
        <v>1144</v>
      </c>
      <c r="I943" s="5" t="s">
        <v>128</v>
      </c>
      <c r="J943" s="6"/>
      <c r="K943" s="6"/>
      <c r="L943" s="13" t="s">
        <v>1715</v>
      </c>
      <c r="M943" s="8"/>
      <c r="N943" s="5"/>
      <c r="O943" s="5"/>
      <c r="P943" s="5"/>
      <c r="Q943" s="7">
        <v>1</v>
      </c>
      <c r="R943" s="6" t="s">
        <v>1695</v>
      </c>
      <c r="S943" s="13" t="s">
        <v>1623</v>
      </c>
      <c r="T943" s="6">
        <v>3</v>
      </c>
      <c r="U943" s="6">
        <v>6.5000000000000002E-2</v>
      </c>
      <c r="V943" s="5" t="s">
        <v>1702</v>
      </c>
      <c r="W943" s="7" t="s">
        <v>3</v>
      </c>
      <c r="X943" s="6" t="s">
        <v>3</v>
      </c>
      <c r="Y943" s="5"/>
      <c r="Z943" s="6"/>
      <c r="AA943" s="6"/>
      <c r="AB943" s="5"/>
      <c r="AC943" s="6"/>
      <c r="AD943" s="6" t="s">
        <v>3</v>
      </c>
      <c r="AE943" s="5"/>
      <c r="AF943" s="6"/>
      <c r="AG943" s="6"/>
      <c r="AH943" s="5"/>
      <c r="AI943" s="6"/>
      <c r="AJ943" s="6"/>
      <c r="AK943" s="5"/>
      <c r="AL943" s="5"/>
      <c r="AM943" s="5"/>
      <c r="AN943" s="5"/>
      <c r="AO943" s="5"/>
      <c r="AP943" s="5"/>
      <c r="AQ943" s="5"/>
    </row>
    <row r="944" spans="1:43" x14ac:dyDescent="0.25">
      <c r="A944" s="161" t="str">
        <f t="shared" si="15"/>
        <v>MECHANIZED_INFANTRY</v>
      </c>
      <c r="B944" s="9" t="s">
        <v>766</v>
      </c>
      <c r="C944" s="5"/>
      <c r="D944" s="5"/>
      <c r="E944" s="5" t="s">
        <v>766</v>
      </c>
      <c r="F944" s="5" t="s">
        <v>795</v>
      </c>
      <c r="G944" s="5"/>
      <c r="H944" s="5" t="s">
        <v>1489</v>
      </c>
      <c r="I944" s="5" t="s">
        <v>128</v>
      </c>
      <c r="J944" s="6"/>
      <c r="K944" s="6"/>
      <c r="L944" s="13" t="s">
        <v>1709</v>
      </c>
      <c r="M944" s="8"/>
      <c r="N944" s="5"/>
      <c r="O944" s="5"/>
      <c r="P944" s="5"/>
      <c r="Q944" s="7">
        <v>3</v>
      </c>
      <c r="R944" s="6">
        <v>0.1</v>
      </c>
      <c r="S944" s="13" t="s">
        <v>1623</v>
      </c>
      <c r="T944" s="6"/>
      <c r="U944" s="6"/>
      <c r="V944" s="5"/>
      <c r="W944" s="6">
        <v>7</v>
      </c>
      <c r="X944" s="6" t="s">
        <v>3</v>
      </c>
      <c r="Y944" s="5"/>
      <c r="Z944" s="7">
        <v>1</v>
      </c>
      <c r="AA944" s="6"/>
      <c r="AB944" s="5"/>
      <c r="AC944" s="6"/>
      <c r="AD944" s="6" t="s">
        <v>3</v>
      </c>
      <c r="AE944" s="5"/>
      <c r="AF944" s="6"/>
      <c r="AG944" s="6"/>
      <c r="AH944" s="5"/>
      <c r="AI944" s="6"/>
      <c r="AJ944" s="6"/>
      <c r="AK944" s="5"/>
      <c r="AL944" s="5"/>
      <c r="AM944" s="5"/>
      <c r="AN944" s="5"/>
      <c r="AO944" s="5"/>
      <c r="AP944" s="5"/>
      <c r="AQ944" s="5"/>
    </row>
    <row r="945" spans="1:9" x14ac:dyDescent="0.25">
      <c r="A945" s="161" t="str">
        <f t="shared" si="15"/>
        <v>MECHANIZED_INFANTRY_AFRI</v>
      </c>
      <c r="B945" s="9" t="s">
        <v>766</v>
      </c>
      <c r="C945" s="4" t="s">
        <v>694</v>
      </c>
      <c r="D945" s="4" t="s">
        <v>690</v>
      </c>
      <c r="E945" s="4" t="s">
        <v>766</v>
      </c>
      <c r="F945" s="4" t="s">
        <v>795</v>
      </c>
    </row>
    <row r="946" spans="1:9" x14ac:dyDescent="0.25">
      <c r="A946" s="161" t="str">
        <f t="shared" si="15"/>
        <v>MECHANIZED_INFANTRY_AMER</v>
      </c>
      <c r="B946" s="9" t="s">
        <v>766</v>
      </c>
      <c r="C946" s="4" t="s">
        <v>697</v>
      </c>
      <c r="D946" s="4" t="s">
        <v>699</v>
      </c>
      <c r="E946" s="4" t="s">
        <v>766</v>
      </c>
      <c r="F946" s="4" t="s">
        <v>795</v>
      </c>
    </row>
    <row r="947" spans="1:9" x14ac:dyDescent="0.25">
      <c r="A947" s="161" t="str">
        <f t="shared" si="15"/>
        <v>MECHANIZED_INFANTRY_ASIA</v>
      </c>
      <c r="B947" s="9" t="s">
        <v>766</v>
      </c>
      <c r="C947" s="4" t="s">
        <v>693</v>
      </c>
      <c r="D947" s="4" t="s">
        <v>698</v>
      </c>
      <c r="E947" s="4" t="s">
        <v>766</v>
      </c>
      <c r="F947" s="4" t="s">
        <v>795</v>
      </c>
    </row>
    <row r="948" spans="1:9" x14ac:dyDescent="0.25">
      <c r="A948" s="161" t="str">
        <f t="shared" si="15"/>
        <v>MECHANIZED_INFANTRY_EASTEU</v>
      </c>
      <c r="B948" s="9" t="s">
        <v>766</v>
      </c>
      <c r="C948" s="4" t="s">
        <v>698</v>
      </c>
      <c r="E948" s="4" t="s">
        <v>766</v>
      </c>
      <c r="F948" s="4" t="s">
        <v>795</v>
      </c>
      <c r="H948" s="4" t="s">
        <v>252</v>
      </c>
      <c r="I948" s="4" t="s">
        <v>120</v>
      </c>
    </row>
    <row r="949" spans="1:9" x14ac:dyDescent="0.25">
      <c r="A949" s="161" t="str">
        <f t="shared" si="15"/>
        <v>MECHANIZED_INFANTRY_RUSSIA</v>
      </c>
      <c r="B949" s="9" t="s">
        <v>766</v>
      </c>
      <c r="C949" s="4" t="s">
        <v>735</v>
      </c>
      <c r="E949" s="4" t="s">
        <v>766</v>
      </c>
      <c r="F949" s="4" t="s">
        <v>795</v>
      </c>
      <c r="G949" s="14" t="s">
        <v>132</v>
      </c>
      <c r="H949" s="4" t="s">
        <v>618</v>
      </c>
      <c r="I949" s="4" t="s">
        <v>120</v>
      </c>
    </row>
    <row r="950" spans="1:9" x14ac:dyDescent="0.25">
      <c r="A950" s="161" t="str">
        <f t="shared" si="15"/>
        <v>MECHANIZED_INFANTRY_EURO</v>
      </c>
      <c r="B950" s="9" t="s">
        <v>766</v>
      </c>
      <c r="C950" s="4" t="s">
        <v>689</v>
      </c>
      <c r="E950" s="4" t="s">
        <v>766</v>
      </c>
      <c r="F950" s="4" t="s">
        <v>795</v>
      </c>
      <c r="H950" s="4" t="s">
        <v>855</v>
      </c>
      <c r="I950" s="4" t="s">
        <v>1935</v>
      </c>
    </row>
    <row r="951" spans="1:9" x14ac:dyDescent="0.25">
      <c r="A951" s="161" t="str">
        <f t="shared" si="15"/>
        <v>MECHANIZED_INFANTRY_AMERICA</v>
      </c>
      <c r="B951" s="9" t="s">
        <v>766</v>
      </c>
      <c r="C951" s="4" t="s">
        <v>699</v>
      </c>
      <c r="E951" s="4" t="s">
        <v>766</v>
      </c>
      <c r="F951" s="4" t="s">
        <v>795</v>
      </c>
      <c r="G951" s="14"/>
      <c r="H951" s="4" t="s">
        <v>143</v>
      </c>
      <c r="I951" s="4" t="s">
        <v>1935</v>
      </c>
    </row>
    <row r="952" spans="1:9" x14ac:dyDescent="0.25">
      <c r="A952" s="161" t="str">
        <f t="shared" si="15"/>
        <v>MECHANIZED_INFANTRY_AUSTRALIA</v>
      </c>
      <c r="B952" s="9" t="s">
        <v>766</v>
      </c>
      <c r="C952" s="4" t="s">
        <v>1302</v>
      </c>
      <c r="D952" s="4" t="s">
        <v>713</v>
      </c>
      <c r="E952" s="4" t="s">
        <v>766</v>
      </c>
      <c r="F952" s="4" t="s">
        <v>795</v>
      </c>
      <c r="G952" s="14"/>
    </row>
    <row r="953" spans="1:9" x14ac:dyDescent="0.25">
      <c r="A953" s="161" t="str">
        <f t="shared" si="15"/>
        <v>MECHANIZED_INFANTRY_AUSTRIA</v>
      </c>
      <c r="B953" s="9" t="s">
        <v>766</v>
      </c>
      <c r="C953" s="4" t="s">
        <v>701</v>
      </c>
      <c r="D953" s="4" t="s">
        <v>717</v>
      </c>
      <c r="E953" s="4" t="s">
        <v>766</v>
      </c>
      <c r="F953" s="4" t="s">
        <v>795</v>
      </c>
      <c r="G953" s="14"/>
    </row>
    <row r="954" spans="1:9" x14ac:dyDescent="0.25">
      <c r="A954" s="161" t="str">
        <f t="shared" si="15"/>
        <v>MECHANIZED_INFANTRY_CANADA</v>
      </c>
      <c r="B954" s="9" t="s">
        <v>766</v>
      </c>
      <c r="C954" s="4" t="s">
        <v>2223</v>
      </c>
      <c r="D954" s="4" t="s">
        <v>713</v>
      </c>
      <c r="E954" s="4" t="s">
        <v>766</v>
      </c>
      <c r="F954" s="4" t="s">
        <v>795</v>
      </c>
      <c r="G954" s="14"/>
    </row>
    <row r="955" spans="1:9" x14ac:dyDescent="0.25">
      <c r="A955" s="161" t="str">
        <f t="shared" si="15"/>
        <v>MECHANIZED_INFANTRY_CELTS</v>
      </c>
      <c r="B955" s="9" t="s">
        <v>766</v>
      </c>
      <c r="C955" s="4" t="s">
        <v>709</v>
      </c>
      <c r="D955" s="4" t="s">
        <v>713</v>
      </c>
      <c r="E955" s="4" t="s">
        <v>766</v>
      </c>
      <c r="F955" s="4" t="s">
        <v>795</v>
      </c>
      <c r="G955" s="14"/>
    </row>
    <row r="956" spans="1:9" x14ac:dyDescent="0.25">
      <c r="A956" s="161" t="str">
        <f t="shared" si="15"/>
        <v>MECHANIZED_INFANTRY_ENGLAND</v>
      </c>
      <c r="B956" s="9" t="s">
        <v>766</v>
      </c>
      <c r="C956" s="4" t="s">
        <v>713</v>
      </c>
      <c r="E956" s="4" t="s">
        <v>766</v>
      </c>
      <c r="F956" s="4" t="s">
        <v>795</v>
      </c>
      <c r="G956" s="14"/>
      <c r="H956" s="4" t="s">
        <v>2233</v>
      </c>
      <c r="I956" s="4" t="s">
        <v>1068</v>
      </c>
    </row>
    <row r="957" spans="1:9" x14ac:dyDescent="0.25">
      <c r="A957" s="161" t="str">
        <f t="shared" si="15"/>
        <v>MECHANIZED_INFANTRY_GERMANY</v>
      </c>
      <c r="B957" s="9" t="s">
        <v>766</v>
      </c>
      <c r="C957" s="4" t="s">
        <v>717</v>
      </c>
      <c r="E957" s="4" t="s">
        <v>766</v>
      </c>
      <c r="F957" s="4" t="s">
        <v>795</v>
      </c>
      <c r="G957" s="14" t="s">
        <v>132</v>
      </c>
      <c r="H957" s="4" t="s">
        <v>382</v>
      </c>
      <c r="I957" s="4" t="s">
        <v>1051</v>
      </c>
    </row>
    <row r="958" spans="1:9" x14ac:dyDescent="0.25">
      <c r="A958" s="161" t="str">
        <f t="shared" si="15"/>
        <v>MECHANIZED_INFANTRY_ROME</v>
      </c>
      <c r="B958" s="9" t="s">
        <v>766</v>
      </c>
      <c r="C958" s="4" t="s">
        <v>734</v>
      </c>
      <c r="E958" s="4" t="s">
        <v>766</v>
      </c>
      <c r="F958" s="4" t="s">
        <v>795</v>
      </c>
      <c r="G958" s="14" t="s">
        <v>132</v>
      </c>
      <c r="H958" s="4" t="s">
        <v>594</v>
      </c>
      <c r="I958" s="4" t="s">
        <v>1069</v>
      </c>
    </row>
    <row r="959" spans="1:9" x14ac:dyDescent="0.25">
      <c r="A959" s="161" t="str">
        <f t="shared" si="15"/>
        <v>MECHANIZED_INFANTRY_MIDEAST</v>
      </c>
      <c r="B959" s="9" t="s">
        <v>766</v>
      </c>
      <c r="C959" s="4" t="s">
        <v>690</v>
      </c>
      <c r="E959" s="4" t="s">
        <v>766</v>
      </c>
      <c r="F959" s="4" t="s">
        <v>795</v>
      </c>
      <c r="H959" s="4" t="s">
        <v>173</v>
      </c>
      <c r="I959" s="4" t="s">
        <v>120</v>
      </c>
    </row>
    <row r="960" spans="1:9" x14ac:dyDescent="0.25">
      <c r="A960" s="161" t="str">
        <f t="shared" si="15"/>
        <v>MECHANIZED_INFANTRY_ARABIA</v>
      </c>
      <c r="B960" s="9" t="s">
        <v>766</v>
      </c>
      <c r="C960" s="4" t="s">
        <v>700</v>
      </c>
      <c r="D960" s="14"/>
      <c r="E960" s="4" t="s">
        <v>766</v>
      </c>
      <c r="F960" s="4" t="s">
        <v>795</v>
      </c>
      <c r="G960" s="14"/>
      <c r="H960" s="4" t="s">
        <v>165</v>
      </c>
      <c r="I960" s="4" t="s">
        <v>1935</v>
      </c>
    </row>
    <row r="961" spans="1:43" x14ac:dyDescent="0.25">
      <c r="A961" s="161" t="str">
        <f t="shared" si="15"/>
        <v>MECHANIZED_INFANTRY_BABYLON</v>
      </c>
      <c r="B961" s="9" t="s">
        <v>766</v>
      </c>
      <c r="C961" s="4" t="s">
        <v>703</v>
      </c>
      <c r="E961" s="4" t="s">
        <v>766</v>
      </c>
      <c r="F961" s="4" t="s">
        <v>795</v>
      </c>
      <c r="G961" s="14"/>
      <c r="H961" s="4" t="s">
        <v>213</v>
      </c>
      <c r="I961" s="4" t="s">
        <v>120</v>
      </c>
    </row>
    <row r="962" spans="1:43" x14ac:dyDescent="0.25">
      <c r="A962" s="161" t="str">
        <f t="shared" si="15"/>
        <v>MECHANIZED_INFANTRY_PERSIA</v>
      </c>
      <c r="B962" s="9" t="s">
        <v>766</v>
      </c>
      <c r="C962" s="4" t="s">
        <v>731</v>
      </c>
      <c r="E962" s="4" t="s">
        <v>766</v>
      </c>
      <c r="F962" s="4" t="s">
        <v>795</v>
      </c>
      <c r="G962" s="14" t="s">
        <v>132</v>
      </c>
      <c r="H962" s="4" t="s">
        <v>559</v>
      </c>
      <c r="I962" s="4" t="s">
        <v>120</v>
      </c>
    </row>
    <row r="963" spans="1:43" x14ac:dyDescent="0.25">
      <c r="A963" s="161" t="str">
        <f>CONCATENATE(E963,IF(ISBLANK(C963),"",CONCATENATE("_",C963)))</f>
        <v>MECHANIZED_INFANTRY_NORTHAF</v>
      </c>
      <c r="B963" s="9" t="s">
        <v>766</v>
      </c>
      <c r="C963" s="4" t="s">
        <v>2011</v>
      </c>
      <c r="E963" s="4" t="s">
        <v>766</v>
      </c>
      <c r="F963" s="4" t="s">
        <v>795</v>
      </c>
      <c r="G963" s="14" t="s">
        <v>132</v>
      </c>
      <c r="H963" s="4" t="s">
        <v>229</v>
      </c>
      <c r="I963" s="4" t="s">
        <v>120</v>
      </c>
    </row>
    <row r="964" spans="1:43" x14ac:dyDescent="0.25">
      <c r="A964" s="161" t="str">
        <f t="shared" si="15"/>
        <v>MECHANIZED_INFANTRY_OCEAN</v>
      </c>
      <c r="B964" s="9" t="s">
        <v>766</v>
      </c>
      <c r="C964" s="4" t="s">
        <v>994</v>
      </c>
      <c r="D964" s="4" t="s">
        <v>699</v>
      </c>
      <c r="E964" s="4" t="s">
        <v>766</v>
      </c>
      <c r="F964" s="4" t="s">
        <v>795</v>
      </c>
      <c r="G964" s="14"/>
    </row>
    <row r="965" spans="1:43" x14ac:dyDescent="0.25">
      <c r="A965" s="161" t="str">
        <f t="shared" si="15"/>
        <v>MECHANIZED_INFANTRY_SEASIA</v>
      </c>
      <c r="B965" s="9" t="s">
        <v>766</v>
      </c>
      <c r="C965" s="4" t="s">
        <v>696</v>
      </c>
      <c r="D965" s="4" t="s">
        <v>693</v>
      </c>
      <c r="E965" s="4" t="s">
        <v>766</v>
      </c>
      <c r="F965" s="4" t="s">
        <v>795</v>
      </c>
    </row>
    <row r="966" spans="1:43" x14ac:dyDescent="0.25">
      <c r="A966" s="161" t="str">
        <f t="shared" si="15"/>
        <v>MECHANIZED_INFANTRY_SOUTHAS</v>
      </c>
      <c r="B966" s="9" t="s">
        <v>766</v>
      </c>
      <c r="C966" s="4" t="s">
        <v>695</v>
      </c>
      <c r="E966" s="4" t="s">
        <v>766</v>
      </c>
      <c r="F966" s="4" t="s">
        <v>795</v>
      </c>
      <c r="H966" s="4" t="s">
        <v>438</v>
      </c>
      <c r="I966" s="4" t="s">
        <v>120</v>
      </c>
    </row>
    <row r="967" spans="1:43" x14ac:dyDescent="0.25">
      <c r="A967" s="161" t="str">
        <f t="shared" si="15"/>
        <v>MERCHANT</v>
      </c>
      <c r="B967" s="9" t="s">
        <v>1359</v>
      </c>
      <c r="C967" s="5"/>
      <c r="D967" s="5"/>
      <c r="E967" s="5" t="s">
        <v>1359</v>
      </c>
      <c r="F967" s="5" t="s">
        <v>1361</v>
      </c>
      <c r="G967" s="5"/>
      <c r="H967" s="5" t="s">
        <v>1480</v>
      </c>
      <c r="I967" s="5" t="s">
        <v>128</v>
      </c>
      <c r="J967" s="6">
        <v>1</v>
      </c>
      <c r="K967" s="6"/>
      <c r="L967" s="13" t="s">
        <v>1710</v>
      </c>
      <c r="M967" s="8"/>
      <c r="N967" s="5"/>
      <c r="O967" s="5"/>
      <c r="P967" s="5"/>
      <c r="Q967" s="6">
        <v>1</v>
      </c>
      <c r="R967" s="7" t="s">
        <v>1695</v>
      </c>
      <c r="S967" s="13" t="s">
        <v>1624</v>
      </c>
      <c r="T967" s="6">
        <v>1</v>
      </c>
      <c r="U967" s="7" t="s">
        <v>1737</v>
      </c>
      <c r="V967" s="5"/>
      <c r="W967" s="6"/>
      <c r="X967" s="6" t="s">
        <v>3</v>
      </c>
      <c r="Y967" s="5"/>
      <c r="Z967" s="7">
        <v>1</v>
      </c>
      <c r="AA967" s="6"/>
      <c r="AB967" s="5"/>
      <c r="AC967" s="6"/>
      <c r="AD967" s="6" t="s">
        <v>3</v>
      </c>
      <c r="AE967" s="5"/>
      <c r="AF967" s="6">
        <v>1</v>
      </c>
      <c r="AG967" s="6"/>
      <c r="AH967" s="5"/>
      <c r="AI967" s="6"/>
      <c r="AJ967" s="6"/>
      <c r="AK967" s="5"/>
      <c r="AL967" s="5"/>
      <c r="AM967" s="5"/>
      <c r="AN967" s="5"/>
      <c r="AO967" s="5"/>
      <c r="AP967" s="5"/>
      <c r="AQ967" s="5"/>
    </row>
    <row r="968" spans="1:43" x14ac:dyDescent="0.25">
      <c r="A968" s="161" t="str">
        <f t="shared" si="15"/>
        <v>MERCHANT</v>
      </c>
      <c r="B968" s="9" t="s">
        <v>1359</v>
      </c>
      <c r="C968" s="5"/>
      <c r="D968" s="5"/>
      <c r="E968" s="5" t="s">
        <v>1359</v>
      </c>
      <c r="F968" s="5" t="s">
        <v>1361</v>
      </c>
      <c r="G968" s="5" t="s">
        <v>2062</v>
      </c>
      <c r="H968" s="5" t="s">
        <v>1478</v>
      </c>
      <c r="I968" s="5" t="s">
        <v>128</v>
      </c>
      <c r="J968" s="6">
        <v>1</v>
      </c>
      <c r="K968" s="6"/>
      <c r="L968" s="13" t="s">
        <v>1710</v>
      </c>
      <c r="M968" s="8"/>
      <c r="N968" s="5"/>
      <c r="O968" s="5"/>
      <c r="P968" s="5"/>
      <c r="Q968" s="6">
        <v>1</v>
      </c>
      <c r="R968" s="7" t="s">
        <v>1695</v>
      </c>
      <c r="S968" s="13" t="s">
        <v>1624</v>
      </c>
      <c r="T968" s="6">
        <v>1</v>
      </c>
      <c r="U968" s="7" t="s">
        <v>1737</v>
      </c>
      <c r="V968" s="5"/>
      <c r="W968" s="6"/>
      <c r="X968" s="6" t="s">
        <v>3</v>
      </c>
      <c r="Y968" s="5"/>
      <c r="Z968" s="7">
        <v>0</v>
      </c>
      <c r="AA968" s="6"/>
      <c r="AB968" s="5"/>
      <c r="AC968" s="6"/>
      <c r="AD968" s="6" t="s">
        <v>3</v>
      </c>
      <c r="AE968" s="5"/>
      <c r="AF968" s="6">
        <v>1</v>
      </c>
      <c r="AG968" s="6"/>
      <c r="AH968" s="5"/>
      <c r="AI968" s="6"/>
      <c r="AJ968" s="6"/>
      <c r="AK968" s="5"/>
      <c r="AL968" s="5"/>
      <c r="AM968" s="5"/>
      <c r="AN968" s="5"/>
      <c r="AO968" s="5"/>
      <c r="AP968" s="5"/>
      <c r="AQ968" s="5"/>
    </row>
    <row r="969" spans="1:43" x14ac:dyDescent="0.25">
      <c r="A969" s="161" t="str">
        <f t="shared" si="15"/>
        <v>MERCHANT</v>
      </c>
      <c r="B969" s="9" t="s">
        <v>1359</v>
      </c>
      <c r="C969" s="5"/>
      <c r="D969" s="5"/>
      <c r="E969" s="5" t="s">
        <v>1359</v>
      </c>
      <c r="F969" s="5" t="s">
        <v>1361</v>
      </c>
      <c r="G969" s="5" t="s">
        <v>2063</v>
      </c>
      <c r="H969" s="5" t="s">
        <v>1479</v>
      </c>
      <c r="I969" s="5" t="s">
        <v>128</v>
      </c>
      <c r="J969" s="6">
        <v>1</v>
      </c>
      <c r="K969" s="6"/>
      <c r="L969" s="13" t="s">
        <v>1710</v>
      </c>
      <c r="M969" s="8"/>
      <c r="N969" s="5"/>
      <c r="O969" s="5"/>
      <c r="P969" s="5"/>
      <c r="Q969" s="6">
        <v>1</v>
      </c>
      <c r="R969" s="7" t="s">
        <v>1695</v>
      </c>
      <c r="S969" s="13" t="s">
        <v>1624</v>
      </c>
      <c r="T969" s="6">
        <v>1</v>
      </c>
      <c r="U969" s="7" t="s">
        <v>1737</v>
      </c>
      <c r="V969" s="5"/>
      <c r="W969" s="6"/>
      <c r="X969" s="6" t="s">
        <v>3</v>
      </c>
      <c r="Y969" s="5"/>
      <c r="Z969" s="7">
        <v>0</v>
      </c>
      <c r="AA969" s="6"/>
      <c r="AB969" s="5"/>
      <c r="AC969" s="6"/>
      <c r="AD969" s="6" t="s">
        <v>3</v>
      </c>
      <c r="AE969" s="5"/>
      <c r="AF969" s="6">
        <v>0</v>
      </c>
      <c r="AG969" s="6"/>
      <c r="AH969" s="5"/>
      <c r="AI969" s="6"/>
      <c r="AJ969" s="6"/>
      <c r="AK969" s="5"/>
      <c r="AL969" s="5"/>
      <c r="AM969" s="5"/>
      <c r="AN969" s="5"/>
      <c r="AO969" s="5"/>
      <c r="AP969" s="5"/>
      <c r="AQ969" s="5"/>
    </row>
    <row r="970" spans="1:43" x14ac:dyDescent="0.25">
      <c r="A970" s="161" t="str">
        <f t="shared" si="15"/>
        <v>MERCHANT_LATE</v>
      </c>
      <c r="B970" s="9" t="s">
        <v>1359</v>
      </c>
      <c r="C970" s="5"/>
      <c r="D970" s="5"/>
      <c r="E970" s="5" t="s">
        <v>1360</v>
      </c>
      <c r="F970" s="5" t="s">
        <v>1362</v>
      </c>
      <c r="G970" s="5"/>
      <c r="H970" s="5" t="s">
        <v>1491</v>
      </c>
      <c r="I970" s="5" t="s">
        <v>128</v>
      </c>
      <c r="J970" s="6"/>
      <c r="K970" s="6"/>
      <c r="L970" s="13" t="s">
        <v>1710</v>
      </c>
      <c r="M970" s="8"/>
      <c r="N970" s="5"/>
      <c r="O970" s="5"/>
      <c r="P970" s="5"/>
      <c r="Q970" s="7">
        <v>1</v>
      </c>
      <c r="R970" s="7">
        <v>0.11</v>
      </c>
      <c r="S970" s="5"/>
      <c r="T970" s="6"/>
      <c r="U970" s="7" t="s">
        <v>1695</v>
      </c>
      <c r="V970" s="5"/>
      <c r="W970" s="6"/>
      <c r="X970" s="6" t="s">
        <v>3</v>
      </c>
      <c r="Y970" s="5"/>
      <c r="Z970" s="6"/>
      <c r="AA970" s="6"/>
      <c r="AB970" s="5"/>
      <c r="AC970" s="6"/>
      <c r="AD970" s="6" t="s">
        <v>3</v>
      </c>
      <c r="AE970" s="5"/>
      <c r="AF970" s="6"/>
      <c r="AG970" s="6"/>
      <c r="AH970" s="5"/>
      <c r="AI970" s="6"/>
      <c r="AJ970" s="6"/>
      <c r="AK970" s="5"/>
      <c r="AL970" s="5"/>
      <c r="AM970" s="5"/>
      <c r="AN970" s="5"/>
      <c r="AO970" s="5"/>
      <c r="AP970" s="5"/>
      <c r="AQ970" s="5"/>
    </row>
    <row r="971" spans="1:43" x14ac:dyDescent="0.25">
      <c r="A971" s="161" t="str">
        <f t="shared" si="15"/>
        <v>MILITARY_ENGINEER</v>
      </c>
      <c r="C971" s="5"/>
      <c r="D971" s="5"/>
      <c r="E971" s="5" t="s">
        <v>1363</v>
      </c>
      <c r="F971" s="5" t="s">
        <v>1363</v>
      </c>
      <c r="G971" s="5"/>
      <c r="H971" s="5" t="s">
        <v>1490</v>
      </c>
      <c r="I971" s="5" t="s">
        <v>128</v>
      </c>
      <c r="J971" s="6"/>
      <c r="K971" s="6"/>
      <c r="L971" s="13" t="s">
        <v>1708</v>
      </c>
      <c r="M971" s="8"/>
      <c r="N971" s="5"/>
      <c r="O971" s="5"/>
      <c r="P971" s="5"/>
      <c r="Q971" s="7">
        <v>8</v>
      </c>
      <c r="R971" s="6" t="s">
        <v>1695</v>
      </c>
      <c r="S971" s="13" t="s">
        <v>1620</v>
      </c>
      <c r="T971" s="6"/>
      <c r="U971" s="6"/>
      <c r="V971" s="5"/>
      <c r="W971" s="6"/>
      <c r="X971" s="6" t="s">
        <v>3</v>
      </c>
      <c r="Y971" s="5"/>
      <c r="Z971" s="7">
        <v>1</v>
      </c>
      <c r="AA971" s="6"/>
      <c r="AB971" s="5"/>
      <c r="AC971" s="6"/>
      <c r="AD971" s="6" t="s">
        <v>3</v>
      </c>
      <c r="AE971" s="5"/>
      <c r="AF971" s="7" t="s">
        <v>1737</v>
      </c>
      <c r="AG971" s="6"/>
      <c r="AH971" s="5"/>
      <c r="AI971" s="7">
        <v>6</v>
      </c>
      <c r="AJ971" s="6"/>
      <c r="AK971" s="5"/>
      <c r="AL971" s="5"/>
      <c r="AM971" s="5"/>
      <c r="AN971" s="5"/>
      <c r="AO971" s="5"/>
      <c r="AP971" s="5"/>
      <c r="AQ971" s="5"/>
    </row>
    <row r="972" spans="1:43" x14ac:dyDescent="0.25">
      <c r="A972" s="161" t="str">
        <f t="shared" si="15"/>
        <v>MISSILE_CRUISER</v>
      </c>
      <c r="B972" s="9" t="s">
        <v>767</v>
      </c>
      <c r="C972" s="5"/>
      <c r="D972" s="5"/>
      <c r="E972" s="5" t="s">
        <v>767</v>
      </c>
      <c r="F972" s="5" t="s">
        <v>796</v>
      </c>
      <c r="G972" s="5"/>
      <c r="H972" s="5" t="s">
        <v>1492</v>
      </c>
      <c r="I972" s="5" t="s">
        <v>128</v>
      </c>
      <c r="J972" s="6"/>
      <c r="K972" s="7"/>
      <c r="L972" s="13" t="s">
        <v>1713</v>
      </c>
      <c r="M972" s="8"/>
      <c r="N972" s="13" t="s">
        <v>1727</v>
      </c>
      <c r="O972" s="13"/>
      <c r="P972" s="13"/>
      <c r="Q972" s="7">
        <v>1</v>
      </c>
      <c r="R972" s="6">
        <v>0.11</v>
      </c>
      <c r="S972" s="5"/>
      <c r="T972" s="6"/>
      <c r="U972" s="6"/>
      <c r="V972" s="5"/>
      <c r="W972" s="6"/>
      <c r="X972" s="6"/>
      <c r="Y972" s="5"/>
      <c r="Z972" s="6"/>
      <c r="AA972" s="6"/>
      <c r="AB972" s="5"/>
      <c r="AC972" s="6"/>
      <c r="AD972" s="6"/>
      <c r="AE972" s="5"/>
      <c r="AF972" s="6"/>
      <c r="AG972" s="6"/>
      <c r="AH972" s="5"/>
      <c r="AI972" s="6"/>
      <c r="AJ972" s="6"/>
      <c r="AK972" s="5"/>
      <c r="AL972" s="5"/>
      <c r="AM972" s="5"/>
      <c r="AN972" s="5"/>
      <c r="AO972" s="5"/>
      <c r="AP972" s="5"/>
      <c r="AQ972" s="5"/>
    </row>
    <row r="973" spans="1:43" x14ac:dyDescent="0.25">
      <c r="A973" s="161" t="str">
        <f t="shared" si="15"/>
        <v>MISSILE_CRUISER_ASIA</v>
      </c>
      <c r="B973" s="9" t="s">
        <v>767</v>
      </c>
      <c r="C973" s="5" t="s">
        <v>693</v>
      </c>
      <c r="D973" s="5" t="s">
        <v>698</v>
      </c>
      <c r="E973" s="5" t="s">
        <v>767</v>
      </c>
      <c r="F973" s="5" t="s">
        <v>796</v>
      </c>
      <c r="G973" s="5"/>
      <c r="H973" s="5"/>
      <c r="I973" s="5"/>
      <c r="J973" s="6"/>
      <c r="K973" s="7"/>
      <c r="L973" s="13"/>
      <c r="M973" s="8"/>
      <c r="N973" s="13"/>
      <c r="O973" s="13"/>
      <c r="P973" s="13"/>
      <c r="Q973" s="7"/>
      <c r="R973" s="6"/>
      <c r="S973" s="5"/>
      <c r="T973" s="6"/>
      <c r="U973" s="6"/>
      <c r="V973" s="5"/>
      <c r="W973" s="6"/>
      <c r="X973" s="6"/>
      <c r="Y973" s="5"/>
      <c r="Z973" s="6"/>
      <c r="AA973" s="6"/>
      <c r="AB973" s="5"/>
      <c r="AC973" s="6"/>
      <c r="AD973" s="6"/>
      <c r="AE973" s="5"/>
      <c r="AF973" s="6"/>
      <c r="AG973" s="6"/>
      <c r="AH973" s="5"/>
      <c r="AI973" s="6"/>
      <c r="AJ973" s="6"/>
      <c r="AK973" s="5"/>
      <c r="AL973" s="5"/>
      <c r="AM973" s="5"/>
      <c r="AN973" s="5"/>
      <c r="AO973" s="5"/>
      <c r="AP973" s="5"/>
      <c r="AQ973" s="5"/>
    </row>
    <row r="974" spans="1:43" x14ac:dyDescent="0.25">
      <c r="A974" s="161" t="str">
        <f t="shared" si="15"/>
        <v>MISSILE_CRUISER_CENTAS</v>
      </c>
      <c r="B974" s="9" t="s">
        <v>767</v>
      </c>
      <c r="C974" s="5" t="s">
        <v>918</v>
      </c>
      <c r="D974" s="5" t="s">
        <v>698</v>
      </c>
      <c r="E974" s="5" t="s">
        <v>767</v>
      </c>
      <c r="F974" s="5" t="s">
        <v>796</v>
      </c>
      <c r="G974" s="5"/>
      <c r="H974" s="5"/>
      <c r="I974" s="5"/>
      <c r="J974" s="6"/>
      <c r="K974" s="7"/>
      <c r="L974" s="13"/>
      <c r="M974" s="8"/>
      <c r="N974" s="13"/>
      <c r="O974" s="13"/>
      <c r="P974" s="13"/>
      <c r="Q974" s="7"/>
      <c r="R974" s="6"/>
      <c r="S974" s="5"/>
      <c r="T974" s="6"/>
      <c r="U974" s="6"/>
      <c r="V974" s="5"/>
      <c r="W974" s="6"/>
      <c r="X974" s="6"/>
      <c r="Y974" s="5"/>
      <c r="Z974" s="6"/>
      <c r="AA974" s="6"/>
      <c r="AB974" s="5"/>
      <c r="AC974" s="6"/>
      <c r="AD974" s="6"/>
      <c r="AE974" s="5"/>
      <c r="AF974" s="6"/>
      <c r="AG974" s="6"/>
      <c r="AH974" s="5"/>
      <c r="AI974" s="6"/>
      <c r="AJ974" s="6"/>
      <c r="AK974" s="5"/>
      <c r="AL974" s="5"/>
      <c r="AM974" s="5"/>
      <c r="AN974" s="5"/>
      <c r="AO974" s="5"/>
      <c r="AP974" s="5"/>
      <c r="AQ974" s="5"/>
    </row>
    <row r="975" spans="1:43" x14ac:dyDescent="0.25">
      <c r="A975" s="161" t="str">
        <f t="shared" si="15"/>
        <v>MISSILE_CRUISER_EASTEU</v>
      </c>
      <c r="B975" s="9" t="s">
        <v>767</v>
      </c>
      <c r="C975" s="5" t="s">
        <v>698</v>
      </c>
      <c r="D975" s="5"/>
      <c r="E975" s="5" t="s">
        <v>767</v>
      </c>
      <c r="F975" s="5" t="s">
        <v>796</v>
      </c>
      <c r="G975" s="5"/>
      <c r="H975" s="5" t="s">
        <v>1937</v>
      </c>
      <c r="I975" s="5" t="s">
        <v>1938</v>
      </c>
      <c r="J975" s="6"/>
      <c r="K975" s="7"/>
      <c r="L975" s="13"/>
      <c r="M975" s="8"/>
      <c r="N975" s="13"/>
      <c r="O975" s="13"/>
      <c r="P975" s="13"/>
      <c r="Q975" s="7"/>
      <c r="R975" s="6"/>
      <c r="S975" s="5"/>
      <c r="T975" s="6"/>
      <c r="U975" s="6"/>
      <c r="V975" s="5"/>
      <c r="W975" s="6"/>
      <c r="X975" s="6"/>
      <c r="Y975" s="5"/>
      <c r="Z975" s="6"/>
      <c r="AA975" s="6"/>
      <c r="AB975" s="5"/>
      <c r="AC975" s="6"/>
      <c r="AD975" s="6"/>
      <c r="AE975" s="5"/>
      <c r="AF975" s="6"/>
      <c r="AG975" s="6"/>
      <c r="AH975" s="5"/>
      <c r="AI975" s="6"/>
      <c r="AJ975" s="6"/>
      <c r="AK975" s="5"/>
      <c r="AL975" s="5"/>
      <c r="AM975" s="5"/>
      <c r="AN975" s="5"/>
      <c r="AO975" s="5"/>
      <c r="AP975" s="5"/>
      <c r="AQ975" s="5"/>
    </row>
    <row r="976" spans="1:43" x14ac:dyDescent="0.25">
      <c r="A976" s="161" t="str">
        <f t="shared" si="15"/>
        <v>MISSIONARY</v>
      </c>
      <c r="B976" s="9" t="s">
        <v>768</v>
      </c>
      <c r="C976" s="5"/>
      <c r="D976" s="5"/>
      <c r="E976" s="5" t="s">
        <v>768</v>
      </c>
      <c r="F976" s="5" t="s">
        <v>768</v>
      </c>
      <c r="G976" s="5"/>
      <c r="H976" s="5" t="s">
        <v>8</v>
      </c>
      <c r="I976" s="5" t="s">
        <v>128</v>
      </c>
      <c r="J976" s="6">
        <v>1</v>
      </c>
      <c r="K976" s="6"/>
      <c r="L976" s="13" t="s">
        <v>1708</v>
      </c>
      <c r="M976" s="8"/>
      <c r="N976" s="5"/>
      <c r="O976" s="5"/>
      <c r="P976" s="5"/>
      <c r="Q976" s="6">
        <v>1</v>
      </c>
      <c r="R976" s="6" t="s">
        <v>1737</v>
      </c>
      <c r="S976" s="13" t="s">
        <v>1614</v>
      </c>
      <c r="T976" s="6">
        <v>1</v>
      </c>
      <c r="U976" s="7" t="s">
        <v>1737</v>
      </c>
      <c r="V976" s="5"/>
      <c r="W976" s="6"/>
      <c r="X976" s="6" t="s">
        <v>3</v>
      </c>
      <c r="Y976" s="5"/>
      <c r="Z976" s="7">
        <v>1</v>
      </c>
      <c r="AA976" s="6"/>
      <c r="AB976" s="5"/>
      <c r="AC976" s="6"/>
      <c r="AD976" s="6" t="s">
        <v>3</v>
      </c>
      <c r="AE976" s="5"/>
      <c r="AF976" s="6">
        <v>1</v>
      </c>
      <c r="AG976" s="6"/>
      <c r="AH976" s="5"/>
      <c r="AI976" s="6"/>
      <c r="AJ976" s="6"/>
      <c r="AK976" s="5"/>
      <c r="AL976" s="5"/>
      <c r="AM976" s="5"/>
      <c r="AN976" s="5"/>
      <c r="AO976" s="5"/>
      <c r="AP976" s="5"/>
      <c r="AQ976" s="5"/>
    </row>
    <row r="977" spans="1:43" x14ac:dyDescent="0.25">
      <c r="A977" s="161" t="str">
        <f t="shared" si="15"/>
        <v>MISSIONARY</v>
      </c>
      <c r="B977" s="9" t="s">
        <v>768</v>
      </c>
      <c r="C977" s="5"/>
      <c r="D977" s="5"/>
      <c r="E977" s="5" t="s">
        <v>768</v>
      </c>
      <c r="F977" s="5" t="s">
        <v>768</v>
      </c>
      <c r="G977" s="5" t="s">
        <v>2080</v>
      </c>
      <c r="H977" s="5" t="s">
        <v>1493</v>
      </c>
      <c r="I977" s="5" t="s">
        <v>128</v>
      </c>
      <c r="J977" s="6">
        <v>1</v>
      </c>
      <c r="K977" s="6"/>
      <c r="L977" s="13" t="s">
        <v>1708</v>
      </c>
      <c r="M977" s="8"/>
      <c r="N977" s="5"/>
      <c r="O977" s="5"/>
      <c r="P977" s="5"/>
      <c r="Q977" s="6">
        <v>1</v>
      </c>
      <c r="R977" s="6" t="s">
        <v>1737</v>
      </c>
      <c r="S977" s="13" t="s">
        <v>1614</v>
      </c>
      <c r="T977" s="6">
        <v>1</v>
      </c>
      <c r="U977" s="7" t="s">
        <v>1737</v>
      </c>
      <c r="V977" s="5"/>
      <c r="W977" s="6"/>
      <c r="X977" s="6" t="s">
        <v>3</v>
      </c>
      <c r="Y977" s="5"/>
      <c r="Z977" s="7">
        <v>0</v>
      </c>
      <c r="AA977" s="6"/>
      <c r="AB977" s="5"/>
      <c r="AC977" s="6"/>
      <c r="AD977" s="6" t="s">
        <v>3</v>
      </c>
      <c r="AE977" s="5"/>
      <c r="AF977" s="6">
        <v>1</v>
      </c>
      <c r="AG977" s="6"/>
      <c r="AH977" s="5"/>
      <c r="AI977" s="6"/>
      <c r="AJ977" s="6"/>
      <c r="AK977" s="5"/>
      <c r="AL977" s="5"/>
      <c r="AM977" s="5"/>
      <c r="AN977" s="5"/>
      <c r="AO977" s="5"/>
      <c r="AP977" s="5"/>
      <c r="AQ977" s="5"/>
    </row>
    <row r="978" spans="1:43" x14ac:dyDescent="0.25">
      <c r="A978" s="161" t="str">
        <f t="shared" si="15"/>
        <v>MISSIONARY</v>
      </c>
      <c r="B978" s="9" t="s">
        <v>768</v>
      </c>
      <c r="C978" s="5"/>
      <c r="D978" s="5"/>
      <c r="E978" s="5" t="s">
        <v>768</v>
      </c>
      <c r="F978" s="5" t="s">
        <v>768</v>
      </c>
      <c r="G978" s="5" t="s">
        <v>2081</v>
      </c>
      <c r="H978" s="5" t="s">
        <v>1494</v>
      </c>
      <c r="I978" s="5" t="s">
        <v>128</v>
      </c>
      <c r="J978" s="6">
        <v>1</v>
      </c>
      <c r="K978" s="6"/>
      <c r="L978" s="13" t="s">
        <v>1708</v>
      </c>
      <c r="M978" s="8"/>
      <c r="N978" s="5"/>
      <c r="O978" s="5"/>
      <c r="P978" s="5"/>
      <c r="Q978" s="6">
        <v>1</v>
      </c>
      <c r="R978" s="6" t="s">
        <v>1737</v>
      </c>
      <c r="S978" s="13" t="s">
        <v>1614</v>
      </c>
      <c r="T978" s="6">
        <v>1</v>
      </c>
      <c r="U978" s="7" t="s">
        <v>1737</v>
      </c>
      <c r="V978" s="5"/>
      <c r="W978" s="6"/>
      <c r="X978" s="6" t="s">
        <v>3</v>
      </c>
      <c r="Y978" s="5"/>
      <c r="Z978" s="7">
        <v>0</v>
      </c>
      <c r="AA978" s="6"/>
      <c r="AB978" s="5"/>
      <c r="AC978" s="6"/>
      <c r="AD978" s="6" t="s">
        <v>3</v>
      </c>
      <c r="AE978" s="5"/>
      <c r="AF978" s="6">
        <v>0</v>
      </c>
      <c r="AG978" s="6"/>
      <c r="AH978" s="5"/>
      <c r="AI978" s="6"/>
      <c r="AJ978" s="6"/>
      <c r="AK978" s="5"/>
      <c r="AL978" s="5"/>
      <c r="AM978" s="5"/>
      <c r="AN978" s="5"/>
      <c r="AO978" s="5"/>
      <c r="AP978" s="5"/>
      <c r="AQ978" s="5"/>
    </row>
    <row r="979" spans="1:43" x14ac:dyDescent="0.25">
      <c r="A979" s="161" t="str">
        <f>CONCATENATE(E979,IF(ISBLANK(C979),"",CONCATENATE("_",C979)))</f>
        <v>MISSIONARY_AFRI</v>
      </c>
      <c r="B979" s="9" t="s">
        <v>768</v>
      </c>
      <c r="C979" s="4" t="s">
        <v>694</v>
      </c>
      <c r="E979" s="5" t="s">
        <v>768</v>
      </c>
      <c r="F979" s="5" t="s">
        <v>768</v>
      </c>
      <c r="G979" s="14" t="s">
        <v>132</v>
      </c>
      <c r="H979" s="4" t="s">
        <v>330</v>
      </c>
      <c r="I979" s="4" t="s">
        <v>1796</v>
      </c>
      <c r="J979" s="11">
        <v>1</v>
      </c>
      <c r="Q979" s="11">
        <v>3</v>
      </c>
      <c r="R979" s="11">
        <v>0.15</v>
      </c>
    </row>
    <row r="980" spans="1:43" x14ac:dyDescent="0.25">
      <c r="A980" s="161" t="str">
        <f t="shared" si="15"/>
        <v>MISSIONARY_AMER</v>
      </c>
      <c r="B980" s="9" t="s">
        <v>768</v>
      </c>
      <c r="C980" s="4" t="s">
        <v>697</v>
      </c>
      <c r="E980" s="4" t="s">
        <v>768</v>
      </c>
      <c r="F980" s="4" t="s">
        <v>768</v>
      </c>
      <c r="H980" s="4" t="s">
        <v>466</v>
      </c>
      <c r="I980" s="4" t="s">
        <v>957</v>
      </c>
      <c r="J980" s="11">
        <v>1</v>
      </c>
      <c r="Q980" s="11">
        <v>3</v>
      </c>
      <c r="AF980" s="11">
        <v>2</v>
      </c>
    </row>
    <row r="981" spans="1:43" x14ac:dyDescent="0.25">
      <c r="A981" s="161" t="str">
        <f t="shared" si="15"/>
        <v>MISSIONARY_ASIA</v>
      </c>
      <c r="B981" s="9" t="s">
        <v>768</v>
      </c>
      <c r="C981" s="4" t="s">
        <v>693</v>
      </c>
      <c r="E981" s="4" t="s">
        <v>768</v>
      </c>
      <c r="F981" s="4" t="s">
        <v>768</v>
      </c>
      <c r="H981" s="4" t="s">
        <v>832</v>
      </c>
      <c r="I981" s="4" t="s">
        <v>963</v>
      </c>
      <c r="J981" s="11">
        <v>1</v>
      </c>
      <c r="Q981" s="11">
        <v>1</v>
      </c>
      <c r="R981" s="11">
        <v>0.14499999999999999</v>
      </c>
      <c r="Z981" s="11">
        <v>1</v>
      </c>
      <c r="AF981" s="11">
        <v>1</v>
      </c>
    </row>
    <row r="982" spans="1:43" x14ac:dyDescent="0.25">
      <c r="A982" s="161" t="str">
        <f t="shared" si="15"/>
        <v>MISSIONARY_ASIA</v>
      </c>
      <c r="B982" s="9" t="s">
        <v>768</v>
      </c>
      <c r="C982" s="4" t="s">
        <v>693</v>
      </c>
      <c r="E982" s="4" t="s">
        <v>768</v>
      </c>
      <c r="F982" s="4" t="s">
        <v>768</v>
      </c>
      <c r="G982" s="4" t="s">
        <v>2040</v>
      </c>
      <c r="H982" s="4" t="s">
        <v>833</v>
      </c>
      <c r="I982" s="4" t="s">
        <v>963</v>
      </c>
      <c r="J982" s="11">
        <v>1</v>
      </c>
      <c r="Q982" s="11">
        <v>1</v>
      </c>
      <c r="R982" s="11">
        <v>0.14499999999999999</v>
      </c>
      <c r="Z982" s="11">
        <v>0</v>
      </c>
      <c r="AF982" s="11">
        <v>1</v>
      </c>
    </row>
    <row r="983" spans="1:43" x14ac:dyDescent="0.25">
      <c r="A983" s="161" t="str">
        <f t="shared" si="15"/>
        <v>MISSIONARY_ASIA</v>
      </c>
      <c r="B983" s="9" t="s">
        <v>768</v>
      </c>
      <c r="C983" s="4" t="s">
        <v>693</v>
      </c>
      <c r="E983" s="4" t="s">
        <v>768</v>
      </c>
      <c r="F983" s="4" t="s">
        <v>768</v>
      </c>
      <c r="G983" s="4" t="s">
        <v>2041</v>
      </c>
      <c r="H983" s="4" t="s">
        <v>253</v>
      </c>
      <c r="I983" s="4" t="s">
        <v>963</v>
      </c>
      <c r="J983" s="11">
        <v>1</v>
      </c>
      <c r="Q983" s="9">
        <v>1</v>
      </c>
      <c r="R983" s="11">
        <v>0.14499999999999999</v>
      </c>
      <c r="Z983" s="11">
        <v>0</v>
      </c>
      <c r="AF983" s="9">
        <v>0</v>
      </c>
    </row>
    <row r="984" spans="1:43" x14ac:dyDescent="0.25">
      <c r="A984" s="161" t="str">
        <f t="shared" si="15"/>
        <v>MISSIONARY_CELTS</v>
      </c>
      <c r="B984" s="9" t="s">
        <v>768</v>
      </c>
      <c r="C984" s="4" t="s">
        <v>709</v>
      </c>
      <c r="E984" s="4" t="s">
        <v>768</v>
      </c>
      <c r="F984" s="4" t="s">
        <v>768</v>
      </c>
      <c r="G984" s="14" t="s">
        <v>132</v>
      </c>
      <c r="H984" s="4" t="s">
        <v>239</v>
      </c>
      <c r="I984" s="4" t="s">
        <v>957</v>
      </c>
      <c r="J984" s="11">
        <v>1</v>
      </c>
      <c r="Q984" s="11">
        <v>3</v>
      </c>
      <c r="AF984" s="11">
        <v>2</v>
      </c>
    </row>
    <row r="985" spans="1:43" x14ac:dyDescent="0.25">
      <c r="A985" s="161" t="str">
        <f t="shared" si="15"/>
        <v>MISSIONARY_OCEAN</v>
      </c>
      <c r="B985" s="9" t="s">
        <v>768</v>
      </c>
      <c r="C985" s="4" t="s">
        <v>994</v>
      </c>
      <c r="D985" s="4" t="s">
        <v>691</v>
      </c>
      <c r="E985" s="4" t="s">
        <v>768</v>
      </c>
      <c r="F985" s="4" t="s">
        <v>768</v>
      </c>
    </row>
    <row r="986" spans="1:43" x14ac:dyDescent="0.25">
      <c r="A986" s="161" t="str">
        <f t="shared" si="15"/>
        <v>MISSIONARY_SEASIA</v>
      </c>
      <c r="B986" s="9" t="s">
        <v>768</v>
      </c>
      <c r="C986" s="4" t="s">
        <v>696</v>
      </c>
      <c r="D986" s="4" t="s">
        <v>693</v>
      </c>
      <c r="E986" s="4" t="s">
        <v>768</v>
      </c>
      <c r="F986" s="4" t="s">
        <v>768</v>
      </c>
    </row>
    <row r="987" spans="1:43" x14ac:dyDescent="0.25">
      <c r="A987" s="161" t="str">
        <f t="shared" si="15"/>
        <v>MISSIONARY_SOUTHAM</v>
      </c>
      <c r="B987" s="9" t="s">
        <v>768</v>
      </c>
      <c r="C987" s="4" t="s">
        <v>691</v>
      </c>
      <c r="E987" s="4" t="s">
        <v>768</v>
      </c>
      <c r="F987" s="4" t="s">
        <v>768</v>
      </c>
      <c r="H987" s="4" t="s">
        <v>1802</v>
      </c>
      <c r="I987" s="4" t="s">
        <v>963</v>
      </c>
      <c r="J987" s="11">
        <v>1</v>
      </c>
      <c r="Q987" s="11">
        <v>3</v>
      </c>
    </row>
    <row r="988" spans="1:43" x14ac:dyDescent="0.25">
      <c r="A988" s="161" t="str">
        <f t="shared" si="15"/>
        <v>MISSIONARY_SOUTHAS</v>
      </c>
      <c r="B988" s="9" t="s">
        <v>768</v>
      </c>
      <c r="C988" s="4" t="s">
        <v>695</v>
      </c>
      <c r="D988" s="4" t="s">
        <v>693</v>
      </c>
      <c r="E988" s="4" t="s">
        <v>768</v>
      </c>
      <c r="F988" s="4" t="s">
        <v>768</v>
      </c>
    </row>
    <row r="989" spans="1:43" x14ac:dyDescent="0.25">
      <c r="A989" s="161" t="str">
        <f t="shared" si="15"/>
        <v>MISSIONARY_RENAISSANCE</v>
      </c>
      <c r="B989" s="9" t="s">
        <v>768</v>
      </c>
      <c r="E989" s="4" t="s">
        <v>1972</v>
      </c>
      <c r="F989" s="4" t="s">
        <v>1972</v>
      </c>
      <c r="H989" s="4" t="s">
        <v>1974</v>
      </c>
      <c r="I989" s="4" t="s">
        <v>1973</v>
      </c>
      <c r="Q989" s="6">
        <v>1</v>
      </c>
      <c r="R989" s="6" t="s">
        <v>1695</v>
      </c>
      <c r="S989" s="13" t="s">
        <v>1614</v>
      </c>
      <c r="T989" s="6">
        <v>1</v>
      </c>
      <c r="U989" s="7" t="s">
        <v>1737</v>
      </c>
      <c r="V989" s="5"/>
      <c r="W989" s="6"/>
      <c r="X989" s="6" t="s">
        <v>3</v>
      </c>
      <c r="Y989" s="5"/>
      <c r="Z989" s="7">
        <v>1</v>
      </c>
      <c r="AA989" s="6"/>
      <c r="AB989" s="5"/>
      <c r="AC989" s="6"/>
      <c r="AD989" s="6" t="s">
        <v>3</v>
      </c>
      <c r="AE989" s="5"/>
      <c r="AF989" s="6">
        <v>1</v>
      </c>
      <c r="AG989" s="6"/>
      <c r="AH989" s="5"/>
      <c r="AI989" s="6"/>
      <c r="AJ989" s="6"/>
      <c r="AK989" s="5"/>
      <c r="AL989" s="5"/>
      <c r="AM989" s="5"/>
      <c r="AN989" s="5"/>
      <c r="AO989" s="5"/>
      <c r="AP989" s="5"/>
      <c r="AQ989" s="5"/>
    </row>
    <row r="990" spans="1:43" x14ac:dyDescent="0.25">
      <c r="A990" s="161" t="str">
        <f t="shared" si="15"/>
        <v>MISSIONARY_RENAISSANCE</v>
      </c>
      <c r="B990" s="9" t="s">
        <v>768</v>
      </c>
      <c r="E990" s="4" t="s">
        <v>1972</v>
      </c>
      <c r="F990" s="4" t="s">
        <v>1972</v>
      </c>
      <c r="G990" s="4" t="s">
        <v>2040</v>
      </c>
      <c r="H990" s="4" t="s">
        <v>1975</v>
      </c>
      <c r="I990" s="4" t="s">
        <v>1973</v>
      </c>
      <c r="Q990" s="6">
        <v>1</v>
      </c>
      <c r="R990" s="6" t="s">
        <v>1695</v>
      </c>
      <c r="S990" s="13" t="s">
        <v>1614</v>
      </c>
      <c r="T990" s="6">
        <v>1</v>
      </c>
      <c r="U990" s="7" t="s">
        <v>1737</v>
      </c>
      <c r="V990" s="5"/>
      <c r="W990" s="6"/>
      <c r="X990" s="6" t="s">
        <v>3</v>
      </c>
      <c r="Y990" s="5"/>
      <c r="Z990" s="7">
        <v>0</v>
      </c>
      <c r="AA990" s="6"/>
      <c r="AB990" s="5"/>
      <c r="AC990" s="6"/>
      <c r="AD990" s="6" t="s">
        <v>3</v>
      </c>
      <c r="AE990" s="5"/>
      <c r="AF990" s="6">
        <v>1</v>
      </c>
      <c r="AG990" s="6"/>
      <c r="AH990" s="5"/>
      <c r="AI990" s="6"/>
      <c r="AJ990" s="6"/>
      <c r="AK990" s="5"/>
      <c r="AL990" s="5"/>
      <c r="AM990" s="5"/>
      <c r="AN990" s="5"/>
      <c r="AO990" s="5"/>
      <c r="AP990" s="5"/>
      <c r="AQ990" s="5"/>
    </row>
    <row r="991" spans="1:43" x14ac:dyDescent="0.25">
      <c r="A991" s="161" t="str">
        <f t="shared" ref="A991:A1000" si="16">CONCATENATE(E991,IF(ISBLANK(C991),"",CONCATENATE("_",C991)))</f>
        <v>MISSIONARY_RENAISSANCE</v>
      </c>
      <c r="B991" s="9" t="s">
        <v>768</v>
      </c>
      <c r="E991" s="4" t="s">
        <v>1972</v>
      </c>
      <c r="F991" s="4" t="s">
        <v>1972</v>
      </c>
      <c r="G991" s="4" t="s">
        <v>2041</v>
      </c>
      <c r="H991" s="4" t="s">
        <v>1976</v>
      </c>
      <c r="I991" s="4" t="s">
        <v>1973</v>
      </c>
      <c r="Q991" s="6">
        <v>1</v>
      </c>
      <c r="R991" s="6" t="s">
        <v>1695</v>
      </c>
      <c r="S991" s="13" t="s">
        <v>1614</v>
      </c>
      <c r="T991" s="6">
        <v>1</v>
      </c>
      <c r="U991" s="7" t="s">
        <v>1737</v>
      </c>
      <c r="V991" s="5"/>
      <c r="W991" s="6"/>
      <c r="X991" s="6" t="s">
        <v>3</v>
      </c>
      <c r="Y991" s="5"/>
      <c r="Z991" s="7">
        <v>0</v>
      </c>
      <c r="AA991" s="6"/>
      <c r="AB991" s="5"/>
      <c r="AC991" s="6"/>
      <c r="AD991" s="6" t="s">
        <v>3</v>
      </c>
      <c r="AE991" s="5"/>
      <c r="AF991" s="6">
        <v>0</v>
      </c>
      <c r="AG991" s="6"/>
      <c r="AH991" s="5"/>
      <c r="AI991" s="6"/>
      <c r="AJ991" s="6"/>
      <c r="AK991" s="5"/>
      <c r="AL991" s="5"/>
      <c r="AM991" s="5"/>
      <c r="AN991" s="5"/>
      <c r="AO991" s="5"/>
      <c r="AP991" s="5"/>
      <c r="AQ991" s="5"/>
    </row>
    <row r="992" spans="1:43" x14ac:dyDescent="0.25">
      <c r="A992" s="161" t="str">
        <f>CONCATENATE(E992,IF(ISBLANK(C992),"",CONCATENATE("_",C992)))</f>
        <v>MISSIONARY_RENAISSANCE_AFRI</v>
      </c>
      <c r="B992" s="9" t="s">
        <v>768</v>
      </c>
      <c r="C992" s="4" t="s">
        <v>694</v>
      </c>
      <c r="E992" s="4" t="s">
        <v>1972</v>
      </c>
      <c r="F992" s="4" t="s">
        <v>768</v>
      </c>
      <c r="H992" s="4" t="s">
        <v>330</v>
      </c>
      <c r="I992" s="4" t="s">
        <v>1796</v>
      </c>
      <c r="Q992" s="11">
        <v>3</v>
      </c>
      <c r="R992" s="11">
        <v>0.15</v>
      </c>
    </row>
    <row r="993" spans="1:43" x14ac:dyDescent="0.25">
      <c r="A993" s="161" t="str">
        <f t="shared" si="16"/>
        <v>MISSIONARY_RENAISSANCE_AMER</v>
      </c>
      <c r="B993" s="9" t="s">
        <v>768</v>
      </c>
      <c r="C993" s="4" t="s">
        <v>697</v>
      </c>
      <c r="E993" s="4" t="s">
        <v>1972</v>
      </c>
      <c r="F993" s="4" t="s">
        <v>768</v>
      </c>
      <c r="H993" s="4" t="s">
        <v>466</v>
      </c>
      <c r="I993" s="4" t="s">
        <v>957</v>
      </c>
      <c r="Q993" s="11">
        <v>3</v>
      </c>
      <c r="AF993" s="11">
        <v>2</v>
      </c>
    </row>
    <row r="994" spans="1:43" x14ac:dyDescent="0.25">
      <c r="A994" s="161" t="str">
        <f t="shared" si="16"/>
        <v>MISSIONARY_RENAISSANCE_ASIA</v>
      </c>
      <c r="B994" s="9" t="s">
        <v>768</v>
      </c>
      <c r="C994" s="4" t="s">
        <v>693</v>
      </c>
      <c r="E994" s="4" t="s">
        <v>1972</v>
      </c>
      <c r="F994" s="4" t="s">
        <v>768</v>
      </c>
      <c r="H994" s="4" t="s">
        <v>832</v>
      </c>
      <c r="I994" s="4" t="s">
        <v>963</v>
      </c>
      <c r="Q994" s="11">
        <v>1</v>
      </c>
      <c r="R994" s="11">
        <v>0.14499999999999999</v>
      </c>
      <c r="Z994" s="11">
        <v>1</v>
      </c>
      <c r="AF994" s="11">
        <v>1</v>
      </c>
    </row>
    <row r="995" spans="1:43" x14ac:dyDescent="0.25">
      <c r="A995" s="161" t="str">
        <f t="shared" si="16"/>
        <v>MISSIONARY_RENAISSANCE_ASIA</v>
      </c>
      <c r="B995" s="9" t="s">
        <v>768</v>
      </c>
      <c r="C995" s="4" t="s">
        <v>693</v>
      </c>
      <c r="E995" s="4" t="s">
        <v>1972</v>
      </c>
      <c r="F995" s="4" t="s">
        <v>768</v>
      </c>
      <c r="G995" s="4" t="s">
        <v>2040</v>
      </c>
      <c r="H995" s="4" t="s">
        <v>833</v>
      </c>
      <c r="I995" s="4" t="s">
        <v>963</v>
      </c>
      <c r="Q995" s="11">
        <v>1</v>
      </c>
      <c r="R995" s="11">
        <v>0.14499999999999999</v>
      </c>
      <c r="Z995" s="11">
        <v>0</v>
      </c>
      <c r="AF995" s="11">
        <v>1</v>
      </c>
    </row>
    <row r="996" spans="1:43" x14ac:dyDescent="0.25">
      <c r="A996" s="161" t="str">
        <f t="shared" si="16"/>
        <v>MISSIONARY_RENAISSANCE_ASIA</v>
      </c>
      <c r="B996" s="9" t="s">
        <v>768</v>
      </c>
      <c r="C996" s="4" t="s">
        <v>693</v>
      </c>
      <c r="E996" s="4" t="s">
        <v>1972</v>
      </c>
      <c r="F996" s="4" t="s">
        <v>768</v>
      </c>
      <c r="G996" s="4" t="s">
        <v>2041</v>
      </c>
      <c r="H996" s="4" t="s">
        <v>253</v>
      </c>
      <c r="I996" s="4" t="s">
        <v>963</v>
      </c>
      <c r="Q996" s="9">
        <v>1</v>
      </c>
      <c r="R996" s="11">
        <v>0.14499999999999999</v>
      </c>
      <c r="Z996" s="11">
        <v>0</v>
      </c>
      <c r="AF996" s="9">
        <v>0</v>
      </c>
    </row>
    <row r="997" spans="1:43" x14ac:dyDescent="0.25">
      <c r="A997" s="161" t="str">
        <f t="shared" si="16"/>
        <v>MISSIONARY_RENAISSANCE_OCEAN</v>
      </c>
      <c r="B997" s="9" t="s">
        <v>768</v>
      </c>
      <c r="C997" s="4" t="s">
        <v>994</v>
      </c>
      <c r="D997" s="4" t="s">
        <v>691</v>
      </c>
      <c r="E997" s="4" t="s">
        <v>1972</v>
      </c>
      <c r="F997" s="4" t="s">
        <v>768</v>
      </c>
    </row>
    <row r="998" spans="1:43" x14ac:dyDescent="0.25">
      <c r="A998" s="161" t="str">
        <f t="shared" si="16"/>
        <v>MISSIONARY_RENAISSANCE_SEASIA</v>
      </c>
      <c r="B998" s="9" t="s">
        <v>768</v>
      </c>
      <c r="C998" s="4" t="s">
        <v>696</v>
      </c>
      <c r="D998" s="4" t="s">
        <v>693</v>
      </c>
      <c r="E998" s="4" t="s">
        <v>1972</v>
      </c>
      <c r="F998" s="4" t="s">
        <v>768</v>
      </c>
    </row>
    <row r="999" spans="1:43" x14ac:dyDescent="0.25">
      <c r="A999" s="161" t="str">
        <f t="shared" si="16"/>
        <v>MISSIONARY_RENAISSANCE_SOUTHAM</v>
      </c>
      <c r="B999" s="9" t="s">
        <v>768</v>
      </c>
      <c r="C999" s="4" t="s">
        <v>691</v>
      </c>
      <c r="E999" s="4" t="s">
        <v>1972</v>
      </c>
      <c r="F999" s="4" t="s">
        <v>768</v>
      </c>
      <c r="H999" s="4" t="s">
        <v>1802</v>
      </c>
      <c r="I999" s="4" t="s">
        <v>963</v>
      </c>
      <c r="Q999" s="11">
        <v>3</v>
      </c>
    </row>
    <row r="1000" spans="1:43" x14ac:dyDescent="0.25">
      <c r="A1000" s="161" t="str">
        <f t="shared" si="16"/>
        <v>MISSIONARY_RENAISSANCE_SOUTHAS</v>
      </c>
      <c r="B1000" s="9" t="s">
        <v>768</v>
      </c>
      <c r="C1000" s="4" t="s">
        <v>695</v>
      </c>
      <c r="D1000" s="4" t="s">
        <v>693</v>
      </c>
      <c r="E1000" s="4" t="s">
        <v>1972</v>
      </c>
      <c r="F1000" s="4" t="s">
        <v>768</v>
      </c>
    </row>
    <row r="1001" spans="1:43" x14ac:dyDescent="0.25">
      <c r="A1001" s="161" t="str">
        <f t="shared" si="15"/>
        <v>MOBILE_SAM</v>
      </c>
      <c r="B1001" s="9" t="s">
        <v>769</v>
      </c>
      <c r="C1001" s="5"/>
      <c r="D1001" s="5"/>
      <c r="E1001" s="5" t="s">
        <v>769</v>
      </c>
      <c r="F1001" s="5" t="s">
        <v>797</v>
      </c>
      <c r="G1001" s="5"/>
      <c r="H1001" s="5" t="s">
        <v>1495</v>
      </c>
      <c r="I1001" s="5" t="s">
        <v>128</v>
      </c>
      <c r="J1001" s="6"/>
      <c r="K1001" s="6"/>
      <c r="L1001" s="13" t="s">
        <v>1709</v>
      </c>
      <c r="M1001" s="8"/>
      <c r="N1001" s="5"/>
      <c r="O1001" s="5"/>
      <c r="P1001" s="5"/>
      <c r="Q1001" s="7">
        <v>3</v>
      </c>
      <c r="R1001" s="6">
        <v>0.11</v>
      </c>
      <c r="S1001" s="13" t="s">
        <v>1623</v>
      </c>
      <c r="T1001" s="6"/>
      <c r="U1001" s="6"/>
      <c r="V1001" s="5"/>
      <c r="W1001" s="6" t="s">
        <v>3</v>
      </c>
      <c r="X1001" s="6" t="s">
        <v>3</v>
      </c>
      <c r="Y1001" s="5"/>
      <c r="Z1001" s="6">
        <v>1</v>
      </c>
      <c r="AA1001" s="6"/>
      <c r="AB1001" s="5"/>
      <c r="AC1001" s="6"/>
      <c r="AD1001" s="6" t="s">
        <v>3</v>
      </c>
      <c r="AE1001" s="5"/>
      <c r="AF1001" s="6"/>
      <c r="AG1001" s="6"/>
      <c r="AH1001" s="5"/>
      <c r="AI1001" s="6"/>
      <c r="AJ1001" s="6"/>
      <c r="AK1001" s="5"/>
      <c r="AL1001" s="5"/>
      <c r="AM1001" s="5"/>
      <c r="AN1001" s="5"/>
      <c r="AO1001" s="5"/>
      <c r="AP1001" s="5"/>
      <c r="AQ1001" s="5"/>
    </row>
    <row r="1002" spans="1:43" x14ac:dyDescent="0.25">
      <c r="A1002" s="161" t="str">
        <f t="shared" si="15"/>
        <v>MOBILE_SAM_FRANCE</v>
      </c>
      <c r="B1002" s="9" t="s">
        <v>769</v>
      </c>
      <c r="C1002" s="4" t="s">
        <v>715</v>
      </c>
      <c r="E1002" s="4" t="s">
        <v>769</v>
      </c>
      <c r="F1002" s="4" t="s">
        <v>797</v>
      </c>
      <c r="G1002" s="14" t="s">
        <v>132</v>
      </c>
      <c r="H1002" s="4" t="s">
        <v>351</v>
      </c>
      <c r="I1002" s="4" t="s">
        <v>120</v>
      </c>
    </row>
    <row r="1003" spans="1:43" x14ac:dyDescent="0.25">
      <c r="A1003" s="161" t="str">
        <f t="shared" si="15"/>
        <v>MOBILE_SAM_GERMANY</v>
      </c>
      <c r="B1003" s="9" t="s">
        <v>769</v>
      </c>
      <c r="C1003" s="4" t="s">
        <v>717</v>
      </c>
      <c r="D1003" s="4" t="s">
        <v>715</v>
      </c>
      <c r="E1003" s="4" t="s">
        <v>769</v>
      </c>
      <c r="F1003" s="4" t="s">
        <v>797</v>
      </c>
      <c r="G1003" s="14"/>
    </row>
    <row r="1004" spans="1:43" x14ac:dyDescent="0.25">
      <c r="A1004" s="161" t="str">
        <f t="shared" si="15"/>
        <v>MOBILE_SAM_SPAIN</v>
      </c>
      <c r="B1004" s="9" t="s">
        <v>769</v>
      </c>
      <c r="C1004" s="4" t="s">
        <v>738</v>
      </c>
      <c r="E1004" s="4" t="s">
        <v>769</v>
      </c>
      <c r="F1004" s="4" t="s">
        <v>797</v>
      </c>
      <c r="G1004" s="14" t="s">
        <v>132</v>
      </c>
      <c r="H1004" s="4" t="s">
        <v>658</v>
      </c>
      <c r="I1004" s="4" t="s">
        <v>120</v>
      </c>
    </row>
    <row r="1005" spans="1:43" x14ac:dyDescent="0.25">
      <c r="A1005" s="161" t="str">
        <f t="shared" si="15"/>
        <v>MOBILE_SAM_MIDEAST</v>
      </c>
      <c r="B1005" s="9" t="s">
        <v>769</v>
      </c>
      <c r="C1005" s="4" t="s">
        <v>690</v>
      </c>
      <c r="E1005" s="4" t="s">
        <v>769</v>
      </c>
      <c r="F1005" s="4" t="s">
        <v>797</v>
      </c>
      <c r="H1005" s="4" t="s">
        <v>166</v>
      </c>
      <c r="I1005" s="4" t="s">
        <v>120</v>
      </c>
    </row>
    <row r="1006" spans="1:43" x14ac:dyDescent="0.25">
      <c r="A1006" s="161" t="str">
        <f t="shared" si="15"/>
        <v>MOBILE_SAM_SOUTHAM</v>
      </c>
      <c r="B1006" s="9" t="s">
        <v>769</v>
      </c>
      <c r="C1006" s="4" t="s">
        <v>691</v>
      </c>
      <c r="D1006" s="4" t="s">
        <v>738</v>
      </c>
      <c r="E1006" s="4" t="s">
        <v>769</v>
      </c>
      <c r="F1006" s="4" t="s">
        <v>797</v>
      </c>
    </row>
    <row r="1007" spans="1:43" x14ac:dyDescent="0.25">
      <c r="A1007" s="161" t="str">
        <f t="shared" si="15"/>
        <v>MODERN_ARMOR</v>
      </c>
      <c r="B1007" s="9" t="s">
        <v>121</v>
      </c>
      <c r="C1007" s="5"/>
      <c r="D1007" s="5"/>
      <c r="E1007" s="5" t="s">
        <v>121</v>
      </c>
      <c r="F1007" s="5" t="s">
        <v>798</v>
      </c>
      <c r="G1007" s="5"/>
      <c r="H1007" s="5" t="s">
        <v>1496</v>
      </c>
      <c r="I1007" s="5" t="s">
        <v>128</v>
      </c>
      <c r="J1007" s="6"/>
      <c r="K1007" s="6"/>
      <c r="L1007" s="13" t="s">
        <v>1709</v>
      </c>
      <c r="M1007" s="8"/>
      <c r="N1007" s="5"/>
      <c r="O1007" s="5"/>
      <c r="P1007" s="5"/>
      <c r="Q1007" s="7">
        <v>3</v>
      </c>
      <c r="R1007" s="6">
        <v>0.1</v>
      </c>
      <c r="S1007" s="13" t="s">
        <v>1623</v>
      </c>
      <c r="T1007" s="6"/>
      <c r="U1007" s="6"/>
      <c r="V1007" s="5"/>
      <c r="W1007" s="6" t="s">
        <v>3</v>
      </c>
      <c r="X1007" s="6" t="s">
        <v>3</v>
      </c>
      <c r="Y1007" s="5"/>
      <c r="Z1007" s="7">
        <v>1</v>
      </c>
      <c r="AA1007" s="6"/>
      <c r="AB1007" s="5"/>
      <c r="AC1007" s="6"/>
      <c r="AD1007" s="6" t="s">
        <v>3</v>
      </c>
      <c r="AE1007" s="5"/>
      <c r="AF1007" s="6"/>
      <c r="AG1007" s="6"/>
      <c r="AH1007" s="5"/>
      <c r="AI1007" s="6"/>
      <c r="AJ1007" s="6"/>
      <c r="AK1007" s="5"/>
      <c r="AL1007" s="5"/>
      <c r="AM1007" s="5"/>
      <c r="AN1007" s="5"/>
      <c r="AO1007" s="5"/>
      <c r="AP1007" s="5"/>
      <c r="AQ1007" s="5"/>
    </row>
    <row r="1008" spans="1:43" x14ac:dyDescent="0.25">
      <c r="A1008" s="161" t="str">
        <f t="shared" si="15"/>
        <v>MODERN_ARMOR_AFRI</v>
      </c>
      <c r="B1008" s="9" t="s">
        <v>121</v>
      </c>
      <c r="C1008" s="4" t="s">
        <v>694</v>
      </c>
      <c r="E1008" s="4" t="s">
        <v>121</v>
      </c>
      <c r="F1008" s="4" t="s">
        <v>798</v>
      </c>
      <c r="H1008" s="4" t="s">
        <v>684</v>
      </c>
      <c r="I1008" s="4" t="s">
        <v>131</v>
      </c>
    </row>
    <row r="1009" spans="1:9" x14ac:dyDescent="0.25">
      <c r="A1009" s="161" t="str">
        <f t="shared" si="15"/>
        <v>MODERN_ARMOR_ETHIOPIA</v>
      </c>
      <c r="B1009" s="9" t="s">
        <v>121</v>
      </c>
      <c r="C1009" s="4" t="s">
        <v>714</v>
      </c>
      <c r="E1009" s="4" t="s">
        <v>121</v>
      </c>
      <c r="F1009" s="4" t="s">
        <v>798</v>
      </c>
      <c r="G1009" s="14" t="s">
        <v>132</v>
      </c>
      <c r="H1009" s="4" t="s">
        <v>327</v>
      </c>
      <c r="I1009" s="4" t="s">
        <v>131</v>
      </c>
    </row>
    <row r="1010" spans="1:9" x14ac:dyDescent="0.25">
      <c r="A1010" s="161" t="str">
        <f t="shared" si="15"/>
        <v>MODERN_ARMOR_SONGHAI</v>
      </c>
      <c r="B1010" s="9" t="s">
        <v>121</v>
      </c>
      <c r="C1010" s="4" t="s">
        <v>737</v>
      </c>
      <c r="E1010" s="4" t="s">
        <v>121</v>
      </c>
      <c r="F1010" s="4" t="s">
        <v>798</v>
      </c>
      <c r="G1010" s="14" t="s">
        <v>132</v>
      </c>
      <c r="H1010" s="4" t="s">
        <v>642</v>
      </c>
      <c r="I1010" s="4" t="s">
        <v>131</v>
      </c>
    </row>
    <row r="1011" spans="1:9" x14ac:dyDescent="0.25">
      <c r="A1011" s="161" t="str">
        <f t="shared" si="15"/>
        <v>MODERN_ARMOR_AMER</v>
      </c>
      <c r="B1011" s="9" t="s">
        <v>121</v>
      </c>
      <c r="C1011" s="4" t="s">
        <v>697</v>
      </c>
      <c r="D1011" s="4" t="s">
        <v>699</v>
      </c>
      <c r="E1011" s="4" t="s">
        <v>121</v>
      </c>
      <c r="F1011" s="4" t="s">
        <v>798</v>
      </c>
      <c r="G1011" s="14"/>
    </row>
    <row r="1012" spans="1:9" x14ac:dyDescent="0.25">
      <c r="A1012" s="161" t="str">
        <f t="shared" si="15"/>
        <v>MODERN_ARMOR_ASIA</v>
      </c>
      <c r="B1012" s="9" t="s">
        <v>121</v>
      </c>
      <c r="C1012" s="4" t="s">
        <v>693</v>
      </c>
      <c r="D1012" s="4" t="s">
        <v>698</v>
      </c>
      <c r="E1012" s="4" t="s">
        <v>121</v>
      </c>
      <c r="F1012" s="4" t="s">
        <v>798</v>
      </c>
    </row>
    <row r="1013" spans="1:9" x14ac:dyDescent="0.25">
      <c r="A1013" s="161" t="str">
        <f t="shared" si="15"/>
        <v>MODERN_ARMOR_CHINA</v>
      </c>
      <c r="B1013" s="9" t="s">
        <v>121</v>
      </c>
      <c r="C1013" s="4" t="s">
        <v>710</v>
      </c>
      <c r="E1013" s="4" t="s">
        <v>121</v>
      </c>
      <c r="F1013" s="4" t="s">
        <v>798</v>
      </c>
      <c r="G1013" s="14" t="s">
        <v>132</v>
      </c>
      <c r="H1013" s="4" t="s">
        <v>254</v>
      </c>
      <c r="I1013" s="4" t="s">
        <v>131</v>
      </c>
    </row>
    <row r="1014" spans="1:9" x14ac:dyDescent="0.25">
      <c r="A1014" s="161" t="str">
        <f t="shared" si="15"/>
        <v>MODERN_ARMOR_MONGOL</v>
      </c>
      <c r="B1014" s="9" t="s">
        <v>121</v>
      </c>
      <c r="C1014" s="4" t="s">
        <v>728</v>
      </c>
      <c r="E1014" s="4" t="s">
        <v>121</v>
      </c>
      <c r="F1014" s="4" t="s">
        <v>798</v>
      </c>
      <c r="G1014" s="14" t="s">
        <v>132</v>
      </c>
      <c r="H1014" s="4" t="s">
        <v>532</v>
      </c>
      <c r="I1014" s="4" t="s">
        <v>131</v>
      </c>
    </row>
    <row r="1015" spans="1:9" x14ac:dyDescent="0.25">
      <c r="A1015" s="161" t="str">
        <f t="shared" si="15"/>
        <v>MODERN_ARMOR_CENTAS</v>
      </c>
      <c r="B1015" s="9" t="s">
        <v>121</v>
      </c>
      <c r="C1015" s="4" t="s">
        <v>918</v>
      </c>
      <c r="D1015" s="4" t="s">
        <v>698</v>
      </c>
      <c r="E1015" s="4" t="s">
        <v>121</v>
      </c>
      <c r="F1015" s="4" t="s">
        <v>798</v>
      </c>
      <c r="G1015" s="14" t="s">
        <v>132</v>
      </c>
    </row>
    <row r="1016" spans="1:9" x14ac:dyDescent="0.25">
      <c r="A1016" s="161" t="str">
        <f t="shared" si="15"/>
        <v>MODERN_ARMOR_OTTOMAN</v>
      </c>
      <c r="B1016" s="9" t="s">
        <v>121</v>
      </c>
      <c r="C1016" s="4" t="s">
        <v>1037</v>
      </c>
      <c r="E1016" s="4" t="s">
        <v>121</v>
      </c>
      <c r="F1016" s="4" t="s">
        <v>798</v>
      </c>
      <c r="G1016" s="14" t="s">
        <v>132</v>
      </c>
      <c r="H1016" s="4" t="s">
        <v>1040</v>
      </c>
      <c r="I1016" s="4" t="s">
        <v>120</v>
      </c>
    </row>
    <row r="1017" spans="1:9" x14ac:dyDescent="0.25">
      <c r="A1017" s="161" t="str">
        <f t="shared" si="15"/>
        <v>MODERN_ARMOR_EASTEU</v>
      </c>
      <c r="B1017" s="9" t="s">
        <v>121</v>
      </c>
      <c r="C1017" s="4" t="s">
        <v>698</v>
      </c>
      <c r="E1017" s="4" t="s">
        <v>121</v>
      </c>
      <c r="F1017" s="4" t="s">
        <v>798</v>
      </c>
      <c r="H1017" s="4" t="s">
        <v>451</v>
      </c>
      <c r="I1017" s="4" t="s">
        <v>1935</v>
      </c>
    </row>
    <row r="1018" spans="1:9" x14ac:dyDescent="0.25">
      <c r="A1018" s="161" t="str">
        <f t="shared" si="15"/>
        <v>MODERN_ARMOR_RUSSIA</v>
      </c>
      <c r="B1018" s="9" t="s">
        <v>121</v>
      </c>
      <c r="C1018" s="4" t="s">
        <v>735</v>
      </c>
      <c r="E1018" s="4" t="s">
        <v>121</v>
      </c>
      <c r="F1018" s="4" t="s">
        <v>798</v>
      </c>
      <c r="G1018" s="14" t="s">
        <v>132</v>
      </c>
      <c r="H1018" s="4" t="s">
        <v>619</v>
      </c>
      <c r="I1018" s="4" t="s">
        <v>1061</v>
      </c>
    </row>
    <row r="1019" spans="1:9" x14ac:dyDescent="0.25">
      <c r="A1019" s="161" t="str">
        <f t="shared" si="15"/>
        <v>MODERN_ARMOR_AMERICA</v>
      </c>
      <c r="B1019" s="9" t="s">
        <v>121</v>
      </c>
      <c r="C1019" s="4" t="s">
        <v>699</v>
      </c>
      <c r="E1019" s="4" t="s">
        <v>121</v>
      </c>
      <c r="F1019" s="4" t="s">
        <v>798</v>
      </c>
      <c r="G1019" s="14"/>
      <c r="H1019" s="4" t="s">
        <v>144</v>
      </c>
      <c r="I1019" s="4" t="s">
        <v>124</v>
      </c>
    </row>
    <row r="1020" spans="1:9" x14ac:dyDescent="0.25">
      <c r="A1020" s="161" t="str">
        <f t="shared" si="15"/>
        <v>MODERN_ARMOR_AUSTRALIA</v>
      </c>
      <c r="B1020" s="9" t="s">
        <v>121</v>
      </c>
      <c r="C1020" s="4" t="s">
        <v>1302</v>
      </c>
      <c r="D1020" s="4" t="s">
        <v>713</v>
      </c>
      <c r="E1020" s="4" t="s">
        <v>121</v>
      </c>
      <c r="F1020" s="4" t="s">
        <v>798</v>
      </c>
      <c r="G1020" s="14"/>
    </row>
    <row r="1021" spans="1:9" x14ac:dyDescent="0.25">
      <c r="A1021" s="161" t="str">
        <f t="shared" si="15"/>
        <v>MODERN_ARMOR_AUSTRIA</v>
      </c>
      <c r="B1021" s="9" t="s">
        <v>121</v>
      </c>
      <c r="C1021" s="4" t="s">
        <v>701</v>
      </c>
      <c r="D1021" s="4" t="s">
        <v>717</v>
      </c>
      <c r="E1021" s="4" t="s">
        <v>121</v>
      </c>
      <c r="F1021" s="4" t="s">
        <v>798</v>
      </c>
      <c r="G1021" s="14"/>
    </row>
    <row r="1022" spans="1:9" x14ac:dyDescent="0.25">
      <c r="A1022" s="161" t="str">
        <f t="shared" si="15"/>
        <v>MODERN_ARMOR_CANADA</v>
      </c>
      <c r="B1022" s="9" t="s">
        <v>121</v>
      </c>
      <c r="C1022" s="4" t="s">
        <v>2223</v>
      </c>
      <c r="D1022" s="4" t="s">
        <v>713</v>
      </c>
      <c r="E1022" s="4" t="s">
        <v>121</v>
      </c>
      <c r="F1022" s="4" t="s">
        <v>798</v>
      </c>
      <c r="G1022" s="14"/>
    </row>
    <row r="1023" spans="1:9" x14ac:dyDescent="0.25">
      <c r="A1023" s="161" t="str">
        <f t="shared" si="15"/>
        <v>MODERN_ARMOR_CELTS</v>
      </c>
      <c r="B1023" s="9" t="s">
        <v>121</v>
      </c>
      <c r="C1023" s="4" t="s">
        <v>709</v>
      </c>
      <c r="D1023" s="4" t="s">
        <v>713</v>
      </c>
      <c r="E1023" s="4" t="s">
        <v>121</v>
      </c>
      <c r="F1023" s="4" t="s">
        <v>798</v>
      </c>
      <c r="G1023" s="14"/>
    </row>
    <row r="1024" spans="1:9" x14ac:dyDescent="0.25">
      <c r="A1024" s="161" t="str">
        <f t="shared" si="15"/>
        <v>MODERN_ARMOR_ENGLAND</v>
      </c>
      <c r="B1024" s="9" t="s">
        <v>121</v>
      </c>
      <c r="C1024" s="4" t="s">
        <v>713</v>
      </c>
      <c r="E1024" s="4" t="s">
        <v>121</v>
      </c>
      <c r="F1024" s="4" t="s">
        <v>798</v>
      </c>
      <c r="G1024" s="14" t="s">
        <v>132</v>
      </c>
      <c r="H1024" s="4" t="s">
        <v>305</v>
      </c>
      <c r="I1024" s="4" t="s">
        <v>120</v>
      </c>
    </row>
    <row r="1025" spans="1:9" x14ac:dyDescent="0.25">
      <c r="A1025" s="161" t="str">
        <f t="shared" si="15"/>
        <v>MODERN_ARMOR_FRANCE</v>
      </c>
      <c r="B1025" s="9" t="s">
        <v>121</v>
      </c>
      <c r="C1025" s="4" t="s">
        <v>715</v>
      </c>
      <c r="E1025" s="4" t="s">
        <v>121</v>
      </c>
      <c r="F1025" s="4" t="s">
        <v>798</v>
      </c>
      <c r="G1025" s="14" t="s">
        <v>132</v>
      </c>
      <c r="H1025" s="4" t="s">
        <v>352</v>
      </c>
      <c r="I1025" s="4" t="s">
        <v>1051</v>
      </c>
    </row>
    <row r="1026" spans="1:9" x14ac:dyDescent="0.25">
      <c r="A1026" s="161" t="str">
        <f t="shared" si="15"/>
        <v>MODERN_ARMOR_GERMANY</v>
      </c>
      <c r="B1026" s="9" t="s">
        <v>121</v>
      </c>
      <c r="C1026" s="4" t="s">
        <v>717</v>
      </c>
      <c r="E1026" s="4" t="s">
        <v>121</v>
      </c>
      <c r="F1026" s="4" t="s">
        <v>798</v>
      </c>
      <c r="G1026" s="14" t="s">
        <v>132</v>
      </c>
      <c r="H1026" s="4" t="s">
        <v>383</v>
      </c>
      <c r="I1026" s="4" t="s">
        <v>1061</v>
      </c>
    </row>
    <row r="1027" spans="1:9" x14ac:dyDescent="0.25">
      <c r="A1027" s="161" t="str">
        <f t="shared" si="15"/>
        <v>MODERN_ARMOR_NETHERLANDS</v>
      </c>
      <c r="B1027" s="9" t="s">
        <v>121</v>
      </c>
      <c r="C1027" s="4" t="s">
        <v>730</v>
      </c>
      <c r="E1027" s="4" t="s">
        <v>121</v>
      </c>
      <c r="F1027" s="4" t="s">
        <v>798</v>
      </c>
      <c r="G1027" s="14" t="s">
        <v>132</v>
      </c>
      <c r="H1027" s="4" t="s">
        <v>545</v>
      </c>
      <c r="I1027" s="4" t="s">
        <v>120</v>
      </c>
    </row>
    <row r="1028" spans="1:9" x14ac:dyDescent="0.25">
      <c r="A1028" s="161" t="str">
        <f t="shared" ref="A1028:A1104" si="17">CONCATENATE(E1028,IF(ISBLANK(C1028),"",CONCATENATE("_",C1028)))</f>
        <v>MODERN_ARMOR_GREECE</v>
      </c>
      <c r="B1028" s="9" t="s">
        <v>121</v>
      </c>
      <c r="C1028" s="4" t="s">
        <v>718</v>
      </c>
      <c r="E1028" s="4" t="s">
        <v>121</v>
      </c>
      <c r="F1028" s="4" t="s">
        <v>798</v>
      </c>
      <c r="G1028" s="14" t="s">
        <v>132</v>
      </c>
      <c r="H1028" s="4" t="s">
        <v>408</v>
      </c>
      <c r="I1028" s="4" t="s">
        <v>120</v>
      </c>
    </row>
    <row r="1029" spans="1:9" x14ac:dyDescent="0.25">
      <c r="A1029" s="161" t="str">
        <f t="shared" si="17"/>
        <v>MODERN_ARMOR_ROME</v>
      </c>
      <c r="B1029" s="9" t="s">
        <v>121</v>
      </c>
      <c r="C1029" s="4" t="s">
        <v>734</v>
      </c>
      <c r="E1029" s="4" t="s">
        <v>121</v>
      </c>
      <c r="F1029" s="4" t="s">
        <v>798</v>
      </c>
      <c r="G1029" s="14" t="s">
        <v>132</v>
      </c>
      <c r="H1029" s="4" t="s">
        <v>595</v>
      </c>
      <c r="I1029" s="4" t="s">
        <v>1069</v>
      </c>
    </row>
    <row r="1030" spans="1:9" x14ac:dyDescent="0.25">
      <c r="A1030" s="161" t="str">
        <f t="shared" si="17"/>
        <v>MODERN_ARMOR_MIDEAST</v>
      </c>
      <c r="B1030" s="9" t="s">
        <v>121</v>
      </c>
      <c r="C1030" s="4" t="s">
        <v>690</v>
      </c>
      <c r="E1030" s="4" t="s">
        <v>121</v>
      </c>
      <c r="F1030" s="4" t="s">
        <v>798</v>
      </c>
      <c r="H1030" s="4" t="s">
        <v>174</v>
      </c>
      <c r="I1030" s="4" t="s">
        <v>1935</v>
      </c>
    </row>
    <row r="1031" spans="1:9" x14ac:dyDescent="0.25">
      <c r="A1031" s="161" t="str">
        <f t="shared" si="17"/>
        <v>MODERN_ARMOR_ARABIA</v>
      </c>
      <c r="B1031" s="9" t="s">
        <v>121</v>
      </c>
      <c r="C1031" s="4" t="s">
        <v>700</v>
      </c>
      <c r="D1031" s="14"/>
      <c r="E1031" s="4" t="s">
        <v>121</v>
      </c>
      <c r="F1031" s="4" t="s">
        <v>798</v>
      </c>
      <c r="G1031" s="14"/>
      <c r="H1031" s="4" t="s">
        <v>167</v>
      </c>
      <c r="I1031" s="4" t="s">
        <v>120</v>
      </c>
    </row>
    <row r="1032" spans="1:9" x14ac:dyDescent="0.25">
      <c r="A1032" s="161" t="str">
        <f t="shared" si="17"/>
        <v>MODERN_ARMOR_BABYLON</v>
      </c>
      <c r="B1032" s="9" t="s">
        <v>121</v>
      </c>
      <c r="C1032" s="4" t="s">
        <v>703</v>
      </c>
      <c r="E1032" s="4" t="s">
        <v>121</v>
      </c>
      <c r="F1032" s="4" t="s">
        <v>798</v>
      </c>
      <c r="G1032" s="14"/>
      <c r="H1032" s="4" t="s">
        <v>214</v>
      </c>
      <c r="I1032" s="4" t="s">
        <v>1935</v>
      </c>
    </row>
    <row r="1033" spans="1:9" x14ac:dyDescent="0.25">
      <c r="A1033" s="161" t="str">
        <f t="shared" si="17"/>
        <v>MODERN_ARMOR_EGYPT</v>
      </c>
      <c r="B1033" s="9" t="s">
        <v>121</v>
      </c>
      <c r="C1033" s="4" t="s">
        <v>712</v>
      </c>
      <c r="E1033" s="4" t="s">
        <v>121</v>
      </c>
      <c r="F1033" s="4" t="s">
        <v>798</v>
      </c>
      <c r="G1033" s="14" t="s">
        <v>132</v>
      </c>
      <c r="H1033" s="4" t="s">
        <v>284</v>
      </c>
      <c r="I1033" s="4" t="s">
        <v>131</v>
      </c>
    </row>
    <row r="1034" spans="1:9" x14ac:dyDescent="0.25">
      <c r="A1034" s="161" t="str">
        <f t="shared" si="17"/>
        <v>MODERN_ARMOR_PERSIA</v>
      </c>
      <c r="B1034" s="9" t="s">
        <v>121</v>
      </c>
      <c r="C1034" s="4" t="s">
        <v>731</v>
      </c>
      <c r="E1034" s="4" t="s">
        <v>121</v>
      </c>
      <c r="F1034" s="4" t="s">
        <v>798</v>
      </c>
      <c r="G1034" s="14" t="s">
        <v>132</v>
      </c>
      <c r="H1034" s="4" t="s">
        <v>560</v>
      </c>
      <c r="I1034" s="4" t="s">
        <v>1935</v>
      </c>
    </row>
    <row r="1035" spans="1:9" x14ac:dyDescent="0.25">
      <c r="A1035" s="161" t="str">
        <f>CONCATENATE(E1035,IF(ISBLANK(C1035),"",CONCATENATE("_",C1035)))</f>
        <v>MODERN_ARMOR_NORTHAF</v>
      </c>
      <c r="B1035" s="9" t="s">
        <v>121</v>
      </c>
      <c r="C1035" s="4" t="s">
        <v>2011</v>
      </c>
      <c r="E1035" s="4" t="s">
        <v>121</v>
      </c>
      <c r="F1035" s="4" t="s">
        <v>798</v>
      </c>
      <c r="G1035" s="14" t="s">
        <v>132</v>
      </c>
      <c r="H1035" s="4" t="s">
        <v>230</v>
      </c>
      <c r="I1035" s="4" t="s">
        <v>1935</v>
      </c>
    </row>
    <row r="1036" spans="1:9" x14ac:dyDescent="0.25">
      <c r="A1036" s="161" t="str">
        <f t="shared" si="17"/>
        <v>MODERN_ARMOR_OCEAN</v>
      </c>
      <c r="B1036" s="9" t="s">
        <v>121</v>
      </c>
      <c r="C1036" s="4" t="s">
        <v>994</v>
      </c>
      <c r="D1036" s="4" t="s">
        <v>699</v>
      </c>
      <c r="E1036" s="4" t="s">
        <v>121</v>
      </c>
      <c r="F1036" s="4" t="s">
        <v>798</v>
      </c>
      <c r="G1036" s="14"/>
    </row>
    <row r="1037" spans="1:9" x14ac:dyDescent="0.25">
      <c r="A1037" s="161" t="str">
        <f t="shared" si="17"/>
        <v>MODERN_ARMOR_SEASIA</v>
      </c>
      <c r="B1037" s="9" t="s">
        <v>121</v>
      </c>
      <c r="C1037" s="4" t="s">
        <v>696</v>
      </c>
      <c r="D1037" s="4" t="s">
        <v>698</v>
      </c>
      <c r="E1037" s="4" t="s">
        <v>121</v>
      </c>
      <c r="F1037" s="4" t="s">
        <v>798</v>
      </c>
    </row>
    <row r="1038" spans="1:9" x14ac:dyDescent="0.25">
      <c r="A1038" s="161" t="str">
        <f t="shared" si="17"/>
        <v>MODERN_ARMOR_SIAM</v>
      </c>
      <c r="B1038" s="9" t="s">
        <v>121</v>
      </c>
      <c r="C1038" s="4" t="s">
        <v>736</v>
      </c>
      <c r="E1038" s="4" t="s">
        <v>121</v>
      </c>
      <c r="F1038" s="4" t="s">
        <v>798</v>
      </c>
      <c r="G1038" s="14" t="s">
        <v>132</v>
      </c>
      <c r="H1038" s="4" t="s">
        <v>638</v>
      </c>
      <c r="I1038" s="4" t="s">
        <v>124</v>
      </c>
    </row>
    <row r="1039" spans="1:9" x14ac:dyDescent="0.25">
      <c r="A1039" s="161" t="str">
        <f t="shared" si="17"/>
        <v>MODERN_ARMOR_INCA</v>
      </c>
      <c r="B1039" s="9" t="s">
        <v>121</v>
      </c>
      <c r="C1039" s="4" t="s">
        <v>719</v>
      </c>
      <c r="E1039" s="4" t="s">
        <v>121</v>
      </c>
      <c r="F1039" s="4" t="s">
        <v>798</v>
      </c>
      <c r="G1039" s="14" t="s">
        <v>132</v>
      </c>
      <c r="H1039" s="4" t="s">
        <v>424</v>
      </c>
      <c r="I1039" s="4" t="s">
        <v>131</v>
      </c>
    </row>
    <row r="1040" spans="1:9" x14ac:dyDescent="0.25">
      <c r="A1040" s="161" t="str">
        <f t="shared" si="17"/>
        <v>MODERN_ARMOR_SOUTHAS</v>
      </c>
      <c r="B1040" s="9" t="s">
        <v>121</v>
      </c>
      <c r="C1040" s="4" t="s">
        <v>695</v>
      </c>
      <c r="D1040" s="4" t="s">
        <v>698</v>
      </c>
      <c r="E1040" s="4" t="s">
        <v>121</v>
      </c>
      <c r="F1040" s="4" t="s">
        <v>798</v>
      </c>
    </row>
    <row r="1041" spans="1:43" x14ac:dyDescent="0.25">
      <c r="A1041" s="161" t="str">
        <f t="shared" si="17"/>
        <v>MODERN_ARMOR_INDIA</v>
      </c>
      <c r="B1041" s="9" t="s">
        <v>121</v>
      </c>
      <c r="C1041" s="4" t="s">
        <v>720</v>
      </c>
      <c r="E1041" s="4" t="s">
        <v>121</v>
      </c>
      <c r="F1041" s="4" t="s">
        <v>798</v>
      </c>
      <c r="G1041" s="14" t="s">
        <v>132</v>
      </c>
      <c r="H1041" s="4" t="s">
        <v>439</v>
      </c>
      <c r="I1041" s="4" t="s">
        <v>1935</v>
      </c>
    </row>
    <row r="1042" spans="1:43" x14ac:dyDescent="0.25">
      <c r="A1042" s="161" t="str">
        <f t="shared" si="17"/>
        <v>MUSKETMAN</v>
      </c>
      <c r="B1042" s="9" t="s">
        <v>129</v>
      </c>
      <c r="C1042" s="5"/>
      <c r="D1042" s="5"/>
      <c r="E1042" s="5" t="s">
        <v>129</v>
      </c>
      <c r="F1042" s="5" t="s">
        <v>129</v>
      </c>
      <c r="G1042" s="5"/>
      <c r="H1042" s="5" t="s">
        <v>25</v>
      </c>
      <c r="I1042" s="5" t="s">
        <v>128</v>
      </c>
      <c r="J1042" s="6"/>
      <c r="K1042" s="6"/>
      <c r="L1042" s="13" t="s">
        <v>1708</v>
      </c>
      <c r="M1042" s="8"/>
      <c r="N1042" s="5"/>
      <c r="O1042" s="5"/>
      <c r="P1042" s="5"/>
      <c r="Q1042" s="7">
        <v>14</v>
      </c>
      <c r="R1042" s="6" t="s">
        <v>1737</v>
      </c>
      <c r="S1042" s="13" t="s">
        <v>1619</v>
      </c>
      <c r="T1042" s="7">
        <v>19</v>
      </c>
      <c r="U1042" s="7" t="s">
        <v>1737</v>
      </c>
      <c r="V1042" s="5"/>
      <c r="W1042" s="6" t="s">
        <v>3</v>
      </c>
      <c r="X1042" s="6" t="s">
        <v>3</v>
      </c>
      <c r="Y1042" s="5"/>
      <c r="Z1042" s="7">
        <v>1</v>
      </c>
      <c r="AA1042" s="6"/>
      <c r="AB1042" s="5"/>
      <c r="AC1042" s="6"/>
      <c r="AD1042" s="6" t="s">
        <v>3</v>
      </c>
      <c r="AE1042" s="5"/>
      <c r="AF1042" s="7" t="s">
        <v>1737</v>
      </c>
      <c r="AG1042" s="6"/>
      <c r="AH1042" s="5"/>
      <c r="AI1042" s="7" t="s">
        <v>1737</v>
      </c>
      <c r="AJ1042" s="6"/>
      <c r="AK1042" s="5"/>
      <c r="AL1042" s="5"/>
      <c r="AM1042" s="5"/>
      <c r="AN1042" s="5"/>
      <c r="AO1042" s="5"/>
      <c r="AP1042" s="5"/>
      <c r="AQ1042" s="5"/>
    </row>
    <row r="1043" spans="1:43" x14ac:dyDescent="0.25">
      <c r="A1043" s="161" t="str">
        <f t="shared" si="17"/>
        <v>MUSKETMAN_ETHIOPIA</v>
      </c>
      <c r="B1043" s="9" t="s">
        <v>129</v>
      </c>
      <c r="C1043" s="4" t="s">
        <v>714</v>
      </c>
      <c r="E1043" s="4" t="s">
        <v>129</v>
      </c>
      <c r="F1043" s="4" t="s">
        <v>129</v>
      </c>
      <c r="H1043" s="4" t="s">
        <v>871</v>
      </c>
      <c r="I1043" s="4" t="s">
        <v>1944</v>
      </c>
      <c r="Q1043" s="11">
        <v>5</v>
      </c>
      <c r="T1043" s="11">
        <v>3</v>
      </c>
      <c r="Z1043" s="11">
        <v>1</v>
      </c>
      <c r="AF1043" s="11">
        <v>1</v>
      </c>
      <c r="AI1043" s="11">
        <v>3</v>
      </c>
    </row>
    <row r="1044" spans="1:43" x14ac:dyDescent="0.25">
      <c r="A1044" s="161" t="str">
        <f t="shared" si="17"/>
        <v>MUSKETMAN_ETHIOPIA</v>
      </c>
      <c r="B1044" s="9" t="s">
        <v>129</v>
      </c>
      <c r="C1044" s="4" t="s">
        <v>714</v>
      </c>
      <c r="E1044" s="4" t="s">
        <v>129</v>
      </c>
      <c r="F1044" s="4" t="s">
        <v>129</v>
      </c>
      <c r="G1044" s="4" t="s">
        <v>2047</v>
      </c>
      <c r="H1044" s="4" t="s">
        <v>872</v>
      </c>
      <c r="I1044" s="4" t="s">
        <v>1944</v>
      </c>
      <c r="Q1044" s="11">
        <v>3</v>
      </c>
      <c r="T1044" s="11">
        <v>4</v>
      </c>
      <c r="Z1044" s="11">
        <v>0</v>
      </c>
      <c r="AF1044" s="11">
        <v>1</v>
      </c>
      <c r="AI1044" s="11">
        <v>4</v>
      </c>
    </row>
    <row r="1045" spans="1:43" x14ac:dyDescent="0.25">
      <c r="A1045" s="161" t="str">
        <f t="shared" si="17"/>
        <v>MUSKETMAN_ETHIOPIA</v>
      </c>
      <c r="B1045" s="9" t="s">
        <v>129</v>
      </c>
      <c r="C1045" s="4" t="s">
        <v>714</v>
      </c>
      <c r="E1045" s="4" t="s">
        <v>129</v>
      </c>
      <c r="F1045" s="4" t="s">
        <v>129</v>
      </c>
      <c r="G1045" s="4" t="s">
        <v>2049</v>
      </c>
      <c r="H1045" s="4" t="s">
        <v>328</v>
      </c>
      <c r="I1045" s="4" t="s">
        <v>1944</v>
      </c>
      <c r="Q1045" s="11">
        <v>4</v>
      </c>
      <c r="T1045" s="11">
        <v>3</v>
      </c>
      <c r="Z1045" s="11">
        <v>0</v>
      </c>
      <c r="AF1045" s="11">
        <v>1</v>
      </c>
      <c r="AI1045" s="11">
        <v>3</v>
      </c>
    </row>
    <row r="1046" spans="1:43" x14ac:dyDescent="0.25">
      <c r="A1046" s="161" t="str">
        <f t="shared" si="17"/>
        <v>MUSKETMAN_ETHIOPIA</v>
      </c>
      <c r="B1046" s="9" t="s">
        <v>129</v>
      </c>
      <c r="C1046" s="4" t="s">
        <v>714</v>
      </c>
      <c r="E1046" s="4" t="s">
        <v>129</v>
      </c>
      <c r="F1046" s="4" t="s">
        <v>129</v>
      </c>
      <c r="H1046" s="4" t="s">
        <v>871</v>
      </c>
      <c r="I1046" s="4" t="s">
        <v>1944</v>
      </c>
      <c r="Q1046" s="9">
        <v>0</v>
      </c>
      <c r="T1046" s="11">
        <v>3</v>
      </c>
      <c r="Z1046" s="9">
        <v>0</v>
      </c>
      <c r="AF1046" s="11">
        <v>0</v>
      </c>
      <c r="AI1046" s="11">
        <v>3</v>
      </c>
    </row>
    <row r="1047" spans="1:43" x14ac:dyDescent="0.25">
      <c r="A1047" s="161" t="str">
        <f t="shared" si="17"/>
        <v>MUSKETMAN_ETHIOPIA</v>
      </c>
      <c r="B1047" s="9" t="s">
        <v>129</v>
      </c>
      <c r="C1047" s="4" t="s">
        <v>714</v>
      </c>
      <c r="E1047" s="4" t="s">
        <v>129</v>
      </c>
      <c r="F1047" s="4" t="s">
        <v>129</v>
      </c>
      <c r="G1047" s="4" t="s">
        <v>2047</v>
      </c>
      <c r="H1047" s="4" t="s">
        <v>872</v>
      </c>
      <c r="I1047" s="4" t="s">
        <v>1944</v>
      </c>
      <c r="Q1047" s="9">
        <v>2</v>
      </c>
      <c r="T1047" s="11">
        <v>3</v>
      </c>
      <c r="Z1047" s="9">
        <v>0</v>
      </c>
      <c r="AF1047" s="11">
        <v>0</v>
      </c>
      <c r="AI1047" s="11">
        <v>3</v>
      </c>
    </row>
    <row r="1048" spans="1:43" x14ac:dyDescent="0.25">
      <c r="A1048" s="161" t="str">
        <f t="shared" si="17"/>
        <v>MUSKETMAN_ETHIOPIA</v>
      </c>
      <c r="B1048" s="9" t="s">
        <v>129</v>
      </c>
      <c r="C1048" s="4" t="s">
        <v>714</v>
      </c>
      <c r="E1048" s="4" t="s">
        <v>129</v>
      </c>
      <c r="F1048" s="4" t="s">
        <v>129</v>
      </c>
      <c r="G1048" s="4" t="s">
        <v>2049</v>
      </c>
      <c r="H1048" s="4" t="s">
        <v>328</v>
      </c>
      <c r="I1048" s="4" t="s">
        <v>1944</v>
      </c>
      <c r="Q1048" s="9">
        <v>0</v>
      </c>
      <c r="T1048" s="11">
        <v>3</v>
      </c>
      <c r="Z1048" s="9">
        <v>0</v>
      </c>
      <c r="AF1048" s="11">
        <v>0</v>
      </c>
      <c r="AI1048" s="11">
        <v>3</v>
      </c>
    </row>
    <row r="1049" spans="1:43" x14ac:dyDescent="0.25">
      <c r="A1049" s="161" t="str">
        <f t="shared" si="17"/>
        <v>MUSKETMAN_AMER</v>
      </c>
      <c r="B1049" s="9" t="s">
        <v>129</v>
      </c>
      <c r="C1049" s="4" t="s">
        <v>697</v>
      </c>
      <c r="E1049" s="4" t="s">
        <v>129</v>
      </c>
      <c r="F1049" s="4" t="s">
        <v>129</v>
      </c>
      <c r="H1049" s="4" t="s">
        <v>635</v>
      </c>
      <c r="I1049" s="4" t="s">
        <v>965</v>
      </c>
      <c r="Q1049" s="12"/>
      <c r="R1049" s="12"/>
      <c r="Z1049" s="9"/>
    </row>
    <row r="1050" spans="1:43" x14ac:dyDescent="0.25">
      <c r="A1050" s="161" t="str">
        <f t="shared" si="17"/>
        <v>MUSKETMAN_IROQUOIS</v>
      </c>
      <c r="B1050" s="9" t="s">
        <v>129</v>
      </c>
      <c r="C1050" s="4" t="s">
        <v>721</v>
      </c>
      <c r="E1050" s="4" t="s">
        <v>129</v>
      </c>
      <c r="F1050" s="4" t="s">
        <v>129</v>
      </c>
      <c r="H1050" s="4" t="s">
        <v>944</v>
      </c>
      <c r="I1050" s="4" t="s">
        <v>1935</v>
      </c>
      <c r="Q1050" s="9">
        <v>3</v>
      </c>
      <c r="T1050" s="11">
        <v>3</v>
      </c>
      <c r="Z1050" s="9">
        <v>1</v>
      </c>
      <c r="AF1050" s="11">
        <v>1</v>
      </c>
      <c r="AI1050" s="11">
        <v>3</v>
      </c>
    </row>
    <row r="1051" spans="1:43" x14ac:dyDescent="0.25">
      <c r="A1051" s="161" t="str">
        <f t="shared" si="17"/>
        <v>MUSKETMAN_IROQUOIS</v>
      </c>
      <c r="B1051" s="9" t="s">
        <v>129</v>
      </c>
      <c r="C1051" s="4" t="s">
        <v>721</v>
      </c>
      <c r="E1051" s="4" t="s">
        <v>129</v>
      </c>
      <c r="F1051" s="4" t="s">
        <v>129</v>
      </c>
      <c r="G1051" s="4" t="s">
        <v>2047</v>
      </c>
      <c r="H1051" s="4" t="s">
        <v>467</v>
      </c>
      <c r="I1051" s="4" t="s">
        <v>1935</v>
      </c>
      <c r="Q1051" s="9">
        <v>4</v>
      </c>
      <c r="T1051" s="11">
        <v>4</v>
      </c>
      <c r="Z1051" s="9">
        <v>0</v>
      </c>
      <c r="AF1051" s="11">
        <v>1</v>
      </c>
      <c r="AI1051" s="11">
        <v>4</v>
      </c>
    </row>
    <row r="1052" spans="1:43" x14ac:dyDescent="0.25">
      <c r="A1052" s="161" t="str">
        <f t="shared" si="17"/>
        <v>MUSKETMAN_IROQUOIS</v>
      </c>
      <c r="B1052" s="9" t="s">
        <v>129</v>
      </c>
      <c r="C1052" s="4" t="s">
        <v>721</v>
      </c>
      <c r="E1052" s="4" t="s">
        <v>129</v>
      </c>
      <c r="F1052" s="4" t="s">
        <v>129</v>
      </c>
      <c r="H1052" s="4" t="s">
        <v>944</v>
      </c>
      <c r="I1052" s="4" t="s">
        <v>1935</v>
      </c>
      <c r="Q1052" s="9">
        <v>3</v>
      </c>
      <c r="T1052" s="11">
        <v>3</v>
      </c>
      <c r="Z1052" s="9">
        <v>0</v>
      </c>
      <c r="AF1052" s="11">
        <v>1</v>
      </c>
      <c r="AI1052" s="11">
        <v>3</v>
      </c>
    </row>
    <row r="1053" spans="1:43" x14ac:dyDescent="0.25">
      <c r="A1053" s="161" t="str">
        <f t="shared" si="17"/>
        <v>MUSKETMAN_IROQUOIS</v>
      </c>
      <c r="B1053" s="9" t="s">
        <v>129</v>
      </c>
      <c r="C1053" s="4" t="s">
        <v>721</v>
      </c>
      <c r="E1053" s="4" t="s">
        <v>129</v>
      </c>
      <c r="F1053" s="4" t="s">
        <v>129</v>
      </c>
      <c r="G1053" s="4" t="s">
        <v>2047</v>
      </c>
      <c r="H1053" s="4" t="s">
        <v>467</v>
      </c>
      <c r="I1053" s="4" t="s">
        <v>1935</v>
      </c>
      <c r="Q1053" s="9">
        <v>4</v>
      </c>
      <c r="T1053" s="11">
        <v>3</v>
      </c>
      <c r="Z1053" s="9">
        <v>0</v>
      </c>
      <c r="AF1053" s="11">
        <v>0</v>
      </c>
      <c r="AI1053" s="11">
        <v>3</v>
      </c>
    </row>
    <row r="1054" spans="1:43" x14ac:dyDescent="0.25">
      <c r="A1054" s="161" t="str">
        <f t="shared" si="17"/>
        <v>MUSKETMAN_IROQUOIS</v>
      </c>
      <c r="B1054" s="9" t="s">
        <v>129</v>
      </c>
      <c r="C1054" s="4" t="s">
        <v>721</v>
      </c>
      <c r="E1054" s="4" t="s">
        <v>129</v>
      </c>
      <c r="F1054" s="4" t="s">
        <v>129</v>
      </c>
      <c r="H1054" s="4" t="s">
        <v>944</v>
      </c>
      <c r="I1054" s="4" t="s">
        <v>1935</v>
      </c>
      <c r="Q1054" s="9">
        <v>0</v>
      </c>
      <c r="T1054" s="11">
        <v>3</v>
      </c>
      <c r="Z1054" s="9">
        <v>0</v>
      </c>
      <c r="AF1054" s="11">
        <v>0</v>
      </c>
      <c r="AI1054" s="11">
        <v>3</v>
      </c>
    </row>
    <row r="1055" spans="1:43" x14ac:dyDescent="0.25">
      <c r="A1055" s="161" t="str">
        <f t="shared" si="17"/>
        <v>MUSKETMAN_IROQUOIS</v>
      </c>
      <c r="B1055" s="9" t="s">
        <v>129</v>
      </c>
      <c r="C1055" s="4" t="s">
        <v>721</v>
      </c>
      <c r="E1055" s="4" t="s">
        <v>129</v>
      </c>
      <c r="F1055" s="4" t="s">
        <v>129</v>
      </c>
      <c r="G1055" s="4" t="s">
        <v>2047</v>
      </c>
      <c r="H1055" s="4" t="s">
        <v>467</v>
      </c>
      <c r="I1055" s="4" t="s">
        <v>1935</v>
      </c>
      <c r="Q1055" s="9">
        <v>0</v>
      </c>
      <c r="T1055" s="11">
        <v>3</v>
      </c>
      <c r="Z1055" s="9">
        <v>0</v>
      </c>
      <c r="AF1055" s="11">
        <v>0</v>
      </c>
      <c r="AI1055" s="11">
        <v>3</v>
      </c>
    </row>
    <row r="1056" spans="1:43" x14ac:dyDescent="0.25">
      <c r="A1056" s="161" t="str">
        <f t="shared" si="17"/>
        <v>MUSKETMAN_SHOSHONE</v>
      </c>
      <c r="B1056" s="9" t="s">
        <v>129</v>
      </c>
      <c r="C1056" s="4" t="s">
        <v>1082</v>
      </c>
      <c r="E1056" s="4" t="s">
        <v>129</v>
      </c>
      <c r="F1056" s="4" t="s">
        <v>129</v>
      </c>
      <c r="H1056" s="4" t="s">
        <v>1736</v>
      </c>
      <c r="I1056" s="4" t="s">
        <v>1735</v>
      </c>
    </row>
    <row r="1057" spans="1:35" x14ac:dyDescent="0.25">
      <c r="A1057" s="161" t="str">
        <f t="shared" si="17"/>
        <v>MUSKETMAN_EASTEU</v>
      </c>
      <c r="B1057" s="9" t="s">
        <v>129</v>
      </c>
      <c r="C1057" s="4" t="s">
        <v>698</v>
      </c>
      <c r="D1057" s="4" t="s">
        <v>730</v>
      </c>
      <c r="E1057" s="4" t="s">
        <v>129</v>
      </c>
      <c r="F1057" s="4" t="s">
        <v>129</v>
      </c>
    </row>
    <row r="1058" spans="1:35" x14ac:dyDescent="0.25">
      <c r="A1058" s="161" t="str">
        <f t="shared" si="17"/>
        <v>MUSKETMAN_KIEV</v>
      </c>
      <c r="B1058" s="9" t="s">
        <v>129</v>
      </c>
      <c r="C1058" s="4" t="s">
        <v>1187</v>
      </c>
      <c r="D1058" s="4" t="s">
        <v>735</v>
      </c>
      <c r="E1058" s="4" t="s">
        <v>129</v>
      </c>
      <c r="F1058" s="4" t="s">
        <v>129</v>
      </c>
    </row>
    <row r="1059" spans="1:35" x14ac:dyDescent="0.25">
      <c r="A1059" s="161" t="str">
        <f t="shared" si="17"/>
        <v>MUSKETMAN_POLAND</v>
      </c>
      <c r="B1059" s="9" t="s">
        <v>129</v>
      </c>
      <c r="C1059" s="4" t="s">
        <v>732</v>
      </c>
      <c r="E1059" s="4" t="s">
        <v>129</v>
      </c>
      <c r="F1059" s="4" t="s">
        <v>129</v>
      </c>
      <c r="H1059" s="4" t="s">
        <v>2014</v>
      </c>
      <c r="I1059" s="4" t="s">
        <v>2015</v>
      </c>
    </row>
    <row r="1060" spans="1:35" x14ac:dyDescent="0.25">
      <c r="A1060" s="161" t="str">
        <f>CONCATENATE(E1060,IF(ISBLANK(C1060),"",CONCATENATE("_",C1060)))</f>
        <v>MUSKETMAN_RUSSIA</v>
      </c>
      <c r="B1060" s="9" t="s">
        <v>129</v>
      </c>
      <c r="C1060" s="4" t="s">
        <v>735</v>
      </c>
      <c r="E1060" s="4" t="s">
        <v>129</v>
      </c>
      <c r="F1060" s="4" t="s">
        <v>129</v>
      </c>
      <c r="H1060" s="4" t="s">
        <v>1007</v>
      </c>
      <c r="I1060" s="4" t="s">
        <v>1071</v>
      </c>
      <c r="Q1060" s="9">
        <v>1</v>
      </c>
      <c r="T1060" s="11">
        <v>1</v>
      </c>
      <c r="Z1060" s="9">
        <v>0</v>
      </c>
      <c r="AF1060" s="11">
        <v>0</v>
      </c>
      <c r="AI1060" s="11">
        <v>1</v>
      </c>
    </row>
    <row r="1061" spans="1:35" x14ac:dyDescent="0.25">
      <c r="A1061" s="161" t="str">
        <f>CONCATENATE(E1061,IF(ISBLANK(C1061),"",CONCATENATE("_",C1061)))</f>
        <v>MUSKETMAN_RUSSIA</v>
      </c>
      <c r="B1061" s="9" t="s">
        <v>129</v>
      </c>
      <c r="C1061" s="4" t="s">
        <v>735</v>
      </c>
      <c r="E1061" s="4" t="s">
        <v>129</v>
      </c>
      <c r="F1061" s="4" t="s">
        <v>129</v>
      </c>
      <c r="G1061" s="4" t="s">
        <v>2047</v>
      </c>
      <c r="H1061" s="4" t="s">
        <v>1954</v>
      </c>
      <c r="I1061" s="4" t="s">
        <v>1071</v>
      </c>
      <c r="Q1061" s="9">
        <v>2</v>
      </c>
      <c r="T1061" s="11">
        <v>3</v>
      </c>
      <c r="Z1061" s="9">
        <v>0</v>
      </c>
      <c r="AF1061" s="11">
        <v>0</v>
      </c>
      <c r="AI1061" s="11">
        <v>1</v>
      </c>
    </row>
    <row r="1062" spans="1:35" x14ac:dyDescent="0.25">
      <c r="A1062" s="161" t="str">
        <f t="shared" si="17"/>
        <v>MUSKETMAN_RUSSIA</v>
      </c>
      <c r="B1062" s="9" t="s">
        <v>129</v>
      </c>
      <c r="C1062" s="4" t="s">
        <v>735</v>
      </c>
      <c r="E1062" s="4" t="s">
        <v>129</v>
      </c>
      <c r="F1062" s="4" t="s">
        <v>129</v>
      </c>
      <c r="G1062" s="4" t="s">
        <v>2049</v>
      </c>
      <c r="H1062" s="4" t="s">
        <v>620</v>
      </c>
      <c r="I1062" s="4" t="s">
        <v>1071</v>
      </c>
      <c r="Q1062" s="9">
        <v>4</v>
      </c>
      <c r="T1062" s="11">
        <v>7</v>
      </c>
      <c r="Z1062" s="9">
        <v>1</v>
      </c>
      <c r="AF1062" s="11">
        <v>1</v>
      </c>
      <c r="AI1062" s="11">
        <v>2</v>
      </c>
    </row>
    <row r="1063" spans="1:35" x14ac:dyDescent="0.25">
      <c r="A1063" s="161" t="str">
        <f>CONCATENATE(E1063,IF(ISBLANK(C1063),"",CONCATENATE("_",C1063)))</f>
        <v>MUSKETMAN_RUSSIA</v>
      </c>
      <c r="B1063" s="9" t="s">
        <v>129</v>
      </c>
      <c r="C1063" s="4" t="s">
        <v>735</v>
      </c>
      <c r="E1063" s="4" t="s">
        <v>129</v>
      </c>
      <c r="F1063" s="4" t="s">
        <v>129</v>
      </c>
      <c r="G1063" s="4" t="s">
        <v>2048</v>
      </c>
      <c r="H1063" s="4" t="s">
        <v>1951</v>
      </c>
      <c r="I1063" s="4" t="s">
        <v>1952</v>
      </c>
      <c r="Q1063" s="9">
        <v>4</v>
      </c>
      <c r="T1063" s="11">
        <v>5</v>
      </c>
      <c r="Z1063" s="9">
        <v>0</v>
      </c>
      <c r="AF1063" s="11">
        <v>1</v>
      </c>
      <c r="AI1063" s="11">
        <v>1</v>
      </c>
    </row>
    <row r="1064" spans="1:35" x14ac:dyDescent="0.25">
      <c r="A1064" s="161" t="str">
        <f>CONCATENATE(E1064,IF(ISBLANK(C1064),"",CONCATENATE("_",C1064)))</f>
        <v>MUSKETMAN_RUSSIA</v>
      </c>
      <c r="B1064" s="9" t="s">
        <v>129</v>
      </c>
      <c r="C1064" s="4" t="s">
        <v>735</v>
      </c>
      <c r="E1064" s="4" t="s">
        <v>129</v>
      </c>
      <c r="F1064" s="4" t="s">
        <v>129</v>
      </c>
      <c r="G1064" s="4" t="s">
        <v>2058</v>
      </c>
      <c r="H1064" s="4" t="s">
        <v>1953</v>
      </c>
      <c r="I1064" s="4" t="s">
        <v>1952</v>
      </c>
      <c r="Q1064" s="9">
        <v>3</v>
      </c>
      <c r="T1064" s="11">
        <v>3</v>
      </c>
      <c r="Z1064" s="9">
        <v>0</v>
      </c>
      <c r="AF1064" s="11">
        <v>1</v>
      </c>
      <c r="AI1064" s="11">
        <v>2</v>
      </c>
    </row>
    <row r="1065" spans="1:35" x14ac:dyDescent="0.25">
      <c r="A1065" s="161" t="str">
        <f t="shared" si="17"/>
        <v>MUSKETMAN_AMERICA</v>
      </c>
      <c r="B1065" s="9" t="s">
        <v>129</v>
      </c>
      <c r="C1065" s="4" t="s">
        <v>699</v>
      </c>
      <c r="E1065" s="4" t="s">
        <v>129</v>
      </c>
      <c r="F1065" s="4" t="s">
        <v>129</v>
      </c>
      <c r="G1065" s="14"/>
      <c r="H1065" s="4" t="s">
        <v>145</v>
      </c>
      <c r="I1065" s="4" t="s">
        <v>1270</v>
      </c>
      <c r="R1065" s="11">
        <v>0.15</v>
      </c>
      <c r="U1065" s="11">
        <v>9.5000000000000001E-2</v>
      </c>
    </row>
    <row r="1066" spans="1:35" x14ac:dyDescent="0.25">
      <c r="A1066" s="161" t="str">
        <f t="shared" si="17"/>
        <v>MUSKETMAN_AUSTRIA</v>
      </c>
      <c r="B1066" s="9" t="s">
        <v>129</v>
      </c>
      <c r="C1066" s="4" t="s">
        <v>701</v>
      </c>
      <c r="D1066" s="4" t="s">
        <v>730</v>
      </c>
      <c r="E1066" s="4" t="s">
        <v>129</v>
      </c>
      <c r="F1066" s="4" t="s">
        <v>129</v>
      </c>
      <c r="G1066" s="14"/>
    </row>
    <row r="1067" spans="1:35" x14ac:dyDescent="0.25">
      <c r="A1067" s="161" t="str">
        <f t="shared" si="17"/>
        <v>MUSKETMAN_BELGIUM</v>
      </c>
      <c r="B1067" s="9" t="s">
        <v>129</v>
      </c>
      <c r="C1067" s="4" t="s">
        <v>704</v>
      </c>
      <c r="D1067" s="4" t="s">
        <v>730</v>
      </c>
      <c r="E1067" s="4" t="s">
        <v>129</v>
      </c>
      <c r="F1067" s="4" t="s">
        <v>129</v>
      </c>
      <c r="G1067" s="14"/>
    </row>
    <row r="1068" spans="1:35" x14ac:dyDescent="0.25">
      <c r="A1068" s="161" t="str">
        <f t="shared" si="17"/>
        <v>MUSKETMAN_ENGLAND</v>
      </c>
      <c r="B1068" s="9" t="s">
        <v>129</v>
      </c>
      <c r="C1068" s="4" t="s">
        <v>713</v>
      </c>
      <c r="E1068" s="4" t="s">
        <v>129</v>
      </c>
      <c r="F1068" s="4" t="s">
        <v>129</v>
      </c>
      <c r="G1068" s="14" t="s">
        <v>132</v>
      </c>
      <c r="H1068" s="4" t="s">
        <v>306</v>
      </c>
      <c r="I1068" s="4" t="s">
        <v>1271</v>
      </c>
    </row>
    <row r="1069" spans="1:35" x14ac:dyDescent="0.25">
      <c r="A1069" s="161" t="str">
        <f t="shared" si="17"/>
        <v>MUSKETMAN_GERMANY</v>
      </c>
      <c r="B1069" s="9" t="s">
        <v>129</v>
      </c>
      <c r="C1069" s="4" t="s">
        <v>717</v>
      </c>
      <c r="E1069" s="4" t="s">
        <v>129</v>
      </c>
      <c r="F1069" s="4" t="s">
        <v>129</v>
      </c>
      <c r="H1069" s="4" t="s">
        <v>899</v>
      </c>
      <c r="I1069" s="4" t="s">
        <v>1060</v>
      </c>
      <c r="Q1069" s="11">
        <v>3</v>
      </c>
      <c r="T1069" s="11">
        <v>4</v>
      </c>
      <c r="Z1069" s="11">
        <v>1</v>
      </c>
      <c r="AF1069" s="11">
        <v>1</v>
      </c>
      <c r="AI1069" s="11">
        <v>1</v>
      </c>
    </row>
    <row r="1070" spans="1:35" x14ac:dyDescent="0.25">
      <c r="A1070" s="161" t="str">
        <f t="shared" si="17"/>
        <v>MUSKETMAN_GERMANY</v>
      </c>
      <c r="B1070" s="9" t="s">
        <v>129</v>
      </c>
      <c r="C1070" s="4" t="s">
        <v>717</v>
      </c>
      <c r="E1070" s="4" t="s">
        <v>129</v>
      </c>
      <c r="F1070" s="4" t="s">
        <v>129</v>
      </c>
      <c r="G1070" s="4" t="s">
        <v>2047</v>
      </c>
      <c r="H1070" s="4" t="s">
        <v>900</v>
      </c>
      <c r="I1070" s="4" t="s">
        <v>1060</v>
      </c>
      <c r="Q1070" s="11">
        <v>2</v>
      </c>
      <c r="T1070" s="11">
        <v>3</v>
      </c>
      <c r="Z1070" s="11">
        <v>0</v>
      </c>
      <c r="AF1070" s="11">
        <v>1</v>
      </c>
      <c r="AI1070" s="11">
        <v>1</v>
      </c>
    </row>
    <row r="1071" spans="1:35" x14ac:dyDescent="0.25">
      <c r="A1071" s="161" t="str">
        <f t="shared" si="17"/>
        <v>MUSKETMAN_GERMANY</v>
      </c>
      <c r="B1071" s="9" t="s">
        <v>129</v>
      </c>
      <c r="C1071" s="4" t="s">
        <v>717</v>
      </c>
      <c r="E1071" s="4" t="s">
        <v>129</v>
      </c>
      <c r="F1071" s="4" t="s">
        <v>129</v>
      </c>
      <c r="G1071" s="4" t="s">
        <v>2049</v>
      </c>
      <c r="H1071" s="4" t="s">
        <v>384</v>
      </c>
      <c r="I1071" s="4" t="s">
        <v>1060</v>
      </c>
      <c r="Q1071" s="11">
        <v>3</v>
      </c>
      <c r="T1071" s="11">
        <v>3</v>
      </c>
      <c r="Z1071" s="11">
        <v>0</v>
      </c>
      <c r="AF1071" s="11">
        <v>1</v>
      </c>
      <c r="AI1071" s="11">
        <v>1</v>
      </c>
    </row>
    <row r="1072" spans="1:35" x14ac:dyDescent="0.25">
      <c r="A1072" s="161" t="str">
        <f t="shared" si="17"/>
        <v>MUSKETMAN_GERMANY</v>
      </c>
      <c r="B1072" s="9" t="s">
        <v>129</v>
      </c>
      <c r="C1072" s="4" t="s">
        <v>717</v>
      </c>
      <c r="E1072" s="4" t="s">
        <v>129</v>
      </c>
      <c r="F1072" s="4" t="s">
        <v>129</v>
      </c>
      <c r="H1072" s="4" t="s">
        <v>899</v>
      </c>
      <c r="I1072" s="4" t="s">
        <v>1060</v>
      </c>
      <c r="Q1072" s="9">
        <v>2</v>
      </c>
      <c r="T1072" s="11">
        <v>3</v>
      </c>
      <c r="Z1072" s="9">
        <v>0</v>
      </c>
      <c r="AF1072" s="11">
        <v>0</v>
      </c>
      <c r="AI1072" s="11">
        <v>1</v>
      </c>
    </row>
    <row r="1073" spans="1:43" x14ac:dyDescent="0.25">
      <c r="A1073" s="161" t="str">
        <f t="shared" si="17"/>
        <v>MUSKETMAN_GERMANY</v>
      </c>
      <c r="B1073" s="9" t="s">
        <v>129</v>
      </c>
      <c r="C1073" s="4" t="s">
        <v>717</v>
      </c>
      <c r="E1073" s="4" t="s">
        <v>129</v>
      </c>
      <c r="F1073" s="4" t="s">
        <v>129</v>
      </c>
      <c r="G1073" s="4" t="s">
        <v>2047</v>
      </c>
      <c r="H1073" s="4" t="s">
        <v>900</v>
      </c>
      <c r="I1073" s="4" t="s">
        <v>1060</v>
      </c>
      <c r="Q1073" s="9">
        <v>3</v>
      </c>
      <c r="T1073" s="11">
        <v>3</v>
      </c>
      <c r="Z1073" s="9">
        <v>0</v>
      </c>
      <c r="AF1073" s="11">
        <v>0</v>
      </c>
      <c r="AI1073" s="11">
        <v>2</v>
      </c>
    </row>
    <row r="1074" spans="1:43" x14ac:dyDescent="0.25">
      <c r="A1074" s="161" t="str">
        <f t="shared" si="17"/>
        <v>MUSKETMAN_GERMANY</v>
      </c>
      <c r="B1074" s="9" t="s">
        <v>129</v>
      </c>
      <c r="C1074" s="4" t="s">
        <v>717</v>
      </c>
      <c r="E1074" s="4" t="s">
        <v>129</v>
      </c>
      <c r="F1074" s="4" t="s">
        <v>129</v>
      </c>
      <c r="G1074" s="4" t="s">
        <v>2049</v>
      </c>
      <c r="H1074" s="4" t="s">
        <v>384</v>
      </c>
      <c r="I1074" s="4" t="s">
        <v>1060</v>
      </c>
      <c r="Q1074" s="9">
        <v>1</v>
      </c>
      <c r="T1074" s="11">
        <v>3</v>
      </c>
      <c r="Z1074" s="9">
        <v>0</v>
      </c>
      <c r="AF1074" s="11">
        <v>0</v>
      </c>
      <c r="AI1074" s="11">
        <v>1</v>
      </c>
    </row>
    <row r="1075" spans="1:43" x14ac:dyDescent="0.25">
      <c r="A1075" s="161" t="str">
        <f t="shared" si="17"/>
        <v>MUSKETMAN_NETHERLANDS</v>
      </c>
      <c r="B1075" s="9" t="s">
        <v>129</v>
      </c>
      <c r="C1075" s="4" t="s">
        <v>730</v>
      </c>
      <c r="E1075" s="4" t="s">
        <v>129</v>
      </c>
      <c r="F1075" s="4" t="s">
        <v>129</v>
      </c>
      <c r="G1075" s="14" t="s">
        <v>132</v>
      </c>
      <c r="H1075" s="4" t="s">
        <v>183</v>
      </c>
      <c r="I1075" s="4" t="s">
        <v>1053</v>
      </c>
    </row>
    <row r="1076" spans="1:43" x14ac:dyDescent="0.25">
      <c r="A1076" s="161" t="str">
        <f t="shared" si="17"/>
        <v>MUSKETMAN_SWISS</v>
      </c>
      <c r="B1076" s="9" t="s">
        <v>129</v>
      </c>
      <c r="C1076" s="4" t="s">
        <v>740</v>
      </c>
      <c r="D1076" s="4" t="s">
        <v>730</v>
      </c>
      <c r="E1076" s="4" t="s">
        <v>129</v>
      </c>
      <c r="F1076" s="4" t="s">
        <v>129</v>
      </c>
      <c r="G1076" s="14" t="s">
        <v>132</v>
      </c>
    </row>
    <row r="1077" spans="1:43" x14ac:dyDescent="0.25">
      <c r="A1077" s="161" t="str">
        <f t="shared" si="17"/>
        <v>MUSKETMAN_BRAZIL</v>
      </c>
      <c r="B1077" s="9" t="s">
        <v>129</v>
      </c>
      <c r="C1077" s="4" t="s">
        <v>706</v>
      </c>
      <c r="E1077" s="4" t="s">
        <v>129</v>
      </c>
      <c r="F1077" s="4" t="s">
        <v>129</v>
      </c>
      <c r="G1077" s="14" t="s">
        <v>132</v>
      </c>
      <c r="H1077" s="4" t="s">
        <v>223</v>
      </c>
      <c r="I1077" s="4" t="s">
        <v>1025</v>
      </c>
    </row>
    <row r="1078" spans="1:43" x14ac:dyDescent="0.25">
      <c r="A1078" s="161" t="str">
        <f t="shared" si="17"/>
        <v>NUCLEAR_MISSILE</v>
      </c>
      <c r="B1078" s="9" t="s">
        <v>770</v>
      </c>
      <c r="C1078" s="5"/>
      <c r="D1078" s="5"/>
      <c r="E1078" s="5" t="s">
        <v>770</v>
      </c>
      <c r="F1078" s="5" t="s">
        <v>799</v>
      </c>
      <c r="G1078" s="5"/>
      <c r="H1078" s="5" t="s">
        <v>1497</v>
      </c>
      <c r="I1078" s="5" t="s">
        <v>128</v>
      </c>
      <c r="J1078" s="6"/>
      <c r="K1078" s="7"/>
      <c r="L1078" s="13" t="s">
        <v>1711</v>
      </c>
      <c r="M1078" s="8"/>
      <c r="N1078" s="13" t="s">
        <v>1725</v>
      </c>
      <c r="O1078" s="13"/>
      <c r="P1078" s="13"/>
      <c r="Q1078" s="7">
        <v>1</v>
      </c>
      <c r="R1078" s="6" t="s">
        <v>1737</v>
      </c>
      <c r="S1078" s="5"/>
      <c r="T1078" s="6"/>
      <c r="U1078" s="6"/>
      <c r="V1078" s="5"/>
      <c r="W1078" s="6"/>
      <c r="X1078" s="6" t="s">
        <v>3</v>
      </c>
      <c r="Y1078" s="5"/>
      <c r="Z1078" s="6"/>
      <c r="AA1078" s="6"/>
      <c r="AB1078" s="5"/>
      <c r="AC1078" s="6"/>
      <c r="AD1078" s="6" t="s">
        <v>3</v>
      </c>
      <c r="AE1078" s="5"/>
      <c r="AF1078" s="6"/>
      <c r="AG1078" s="6"/>
      <c r="AH1078" s="5"/>
      <c r="AI1078" s="6"/>
      <c r="AJ1078" s="6"/>
      <c r="AK1078" s="5"/>
      <c r="AL1078" s="5"/>
      <c r="AM1078" s="5"/>
      <c r="AN1078" s="5"/>
      <c r="AO1078" s="5"/>
      <c r="AP1078" s="5"/>
      <c r="AQ1078" s="5"/>
    </row>
    <row r="1079" spans="1:43" x14ac:dyDescent="0.25">
      <c r="A1079" s="161" t="str">
        <f t="shared" si="17"/>
        <v>NUCLEAR_SUBMARINE</v>
      </c>
      <c r="B1079" s="9" t="s">
        <v>771</v>
      </c>
      <c r="C1079" s="5"/>
      <c r="D1079" s="5"/>
      <c r="E1079" s="5" t="s">
        <v>771</v>
      </c>
      <c r="F1079" s="5" t="s">
        <v>800</v>
      </c>
      <c r="G1079" s="5"/>
      <c r="H1079" s="5" t="s">
        <v>1498</v>
      </c>
      <c r="I1079" s="5" t="s">
        <v>128</v>
      </c>
      <c r="J1079" s="6"/>
      <c r="K1079" s="7"/>
      <c r="L1079" s="13" t="s">
        <v>1716</v>
      </c>
      <c r="M1079" s="8"/>
      <c r="N1079" s="13" t="s">
        <v>1727</v>
      </c>
      <c r="O1079" s="13"/>
      <c r="P1079" s="13"/>
      <c r="Q1079" s="7">
        <v>1</v>
      </c>
      <c r="R1079" s="6">
        <v>0.1</v>
      </c>
      <c r="S1079" s="5"/>
      <c r="T1079" s="6"/>
      <c r="U1079" s="6">
        <v>0.12</v>
      </c>
      <c r="V1079" s="5"/>
      <c r="W1079" s="6"/>
      <c r="X1079" s="6"/>
      <c r="Y1079" s="5"/>
      <c r="Z1079" s="6"/>
      <c r="AA1079" s="6"/>
      <c r="AB1079" s="5"/>
      <c r="AC1079" s="6"/>
      <c r="AD1079" s="6"/>
      <c r="AE1079" s="5"/>
      <c r="AF1079" s="6"/>
      <c r="AG1079" s="6"/>
      <c r="AH1079" s="5"/>
      <c r="AI1079" s="6"/>
      <c r="AJ1079" s="6"/>
      <c r="AK1079" s="5"/>
      <c r="AL1079" s="5"/>
      <c r="AM1079" s="5"/>
      <c r="AN1079" s="5"/>
      <c r="AO1079" s="5"/>
      <c r="AP1079" s="5"/>
      <c r="AQ1079" s="5"/>
    </row>
    <row r="1080" spans="1:43" x14ac:dyDescent="0.25">
      <c r="A1080" s="161" t="str">
        <f t="shared" si="17"/>
        <v>NUCLEAR_SUBMARINE_AMER</v>
      </c>
      <c r="B1080" s="9" t="s">
        <v>771</v>
      </c>
      <c r="C1080" s="5" t="s">
        <v>697</v>
      </c>
      <c r="D1080" s="5" t="s">
        <v>699</v>
      </c>
      <c r="E1080" s="5" t="s">
        <v>771</v>
      </c>
      <c r="F1080" s="5" t="s">
        <v>800</v>
      </c>
      <c r="G1080" s="5"/>
      <c r="H1080" s="5"/>
      <c r="I1080" s="5"/>
      <c r="J1080" s="6"/>
      <c r="K1080" s="7"/>
      <c r="L1080" s="13"/>
      <c r="M1080" s="8"/>
      <c r="N1080" s="13"/>
      <c r="O1080" s="13"/>
      <c r="P1080" s="13"/>
      <c r="Q1080" s="7"/>
      <c r="R1080" s="6"/>
      <c r="S1080" s="5"/>
      <c r="T1080" s="6"/>
      <c r="U1080" s="6"/>
      <c r="V1080" s="5"/>
      <c r="W1080" s="6"/>
      <c r="X1080" s="6"/>
      <c r="Y1080" s="5"/>
      <c r="Z1080" s="6"/>
      <c r="AA1080" s="6"/>
      <c r="AB1080" s="5"/>
      <c r="AC1080" s="6"/>
      <c r="AD1080" s="6"/>
      <c r="AE1080" s="5"/>
      <c r="AF1080" s="6"/>
      <c r="AG1080" s="6"/>
      <c r="AH1080" s="5"/>
      <c r="AI1080" s="6"/>
      <c r="AJ1080" s="6"/>
      <c r="AK1080" s="5"/>
      <c r="AL1080" s="5"/>
      <c r="AM1080" s="5"/>
      <c r="AN1080" s="5"/>
      <c r="AO1080" s="5"/>
      <c r="AP1080" s="5"/>
      <c r="AQ1080" s="5"/>
    </row>
    <row r="1081" spans="1:43" x14ac:dyDescent="0.25">
      <c r="A1081" s="161" t="str">
        <f t="shared" si="17"/>
        <v>NUCLEAR_SUBMARINE_ASIA</v>
      </c>
      <c r="B1081" s="9" t="s">
        <v>771</v>
      </c>
      <c r="C1081" s="5" t="s">
        <v>693</v>
      </c>
      <c r="D1081" s="5" t="s">
        <v>698</v>
      </c>
      <c r="E1081" s="5" t="s">
        <v>771</v>
      </c>
      <c r="F1081" s="5" t="s">
        <v>800</v>
      </c>
      <c r="G1081" s="5"/>
      <c r="H1081" s="5"/>
      <c r="I1081" s="5"/>
      <c r="J1081" s="6"/>
      <c r="K1081" s="7"/>
      <c r="L1081" s="13"/>
      <c r="M1081" s="8"/>
      <c r="N1081" s="13"/>
      <c r="O1081" s="13"/>
      <c r="P1081" s="13"/>
      <c r="Q1081" s="7"/>
      <c r="R1081" s="6"/>
      <c r="S1081" s="5"/>
      <c r="T1081" s="6"/>
      <c r="U1081" s="6"/>
      <c r="V1081" s="5"/>
      <c r="W1081" s="6"/>
      <c r="X1081" s="6"/>
      <c r="Y1081" s="5"/>
      <c r="Z1081" s="6"/>
      <c r="AA1081" s="6"/>
      <c r="AB1081" s="5"/>
      <c r="AC1081" s="6"/>
      <c r="AD1081" s="6"/>
      <c r="AE1081" s="5"/>
      <c r="AF1081" s="6"/>
      <c r="AG1081" s="6"/>
      <c r="AH1081" s="5"/>
      <c r="AI1081" s="6"/>
      <c r="AJ1081" s="6"/>
      <c r="AK1081" s="5"/>
      <c r="AL1081" s="5"/>
      <c r="AM1081" s="5"/>
      <c r="AN1081" s="5"/>
      <c r="AO1081" s="5"/>
      <c r="AP1081" s="5"/>
      <c r="AQ1081" s="5"/>
    </row>
    <row r="1082" spans="1:43" x14ac:dyDescent="0.25">
      <c r="A1082" s="161" t="str">
        <f t="shared" si="17"/>
        <v>NUCLEAR_SUBMARINE_EASTEU</v>
      </c>
      <c r="B1082" s="9" t="s">
        <v>771</v>
      </c>
      <c r="C1082" s="5" t="s">
        <v>698</v>
      </c>
      <c r="D1082" s="5"/>
      <c r="E1082" s="5" t="s">
        <v>771</v>
      </c>
      <c r="F1082" s="5" t="s">
        <v>800</v>
      </c>
      <c r="G1082" s="5"/>
      <c r="H1082" s="5" t="s">
        <v>621</v>
      </c>
      <c r="I1082" s="5" t="s">
        <v>1062</v>
      </c>
      <c r="J1082" s="6"/>
      <c r="K1082" s="7"/>
      <c r="L1082" s="13"/>
      <c r="M1082" s="8"/>
      <c r="N1082" s="13"/>
      <c r="O1082" s="13"/>
      <c r="P1082" s="13"/>
      <c r="Q1082" s="7"/>
      <c r="R1082" s="6"/>
      <c r="S1082" s="5"/>
      <c r="T1082" s="6"/>
      <c r="U1082" s="6"/>
      <c r="V1082" s="5"/>
      <c r="W1082" s="6"/>
      <c r="X1082" s="6"/>
      <c r="Y1082" s="5"/>
      <c r="Z1082" s="6"/>
      <c r="AA1082" s="6"/>
      <c r="AB1082" s="5"/>
      <c r="AC1082" s="6"/>
      <c r="AD1082" s="6"/>
      <c r="AE1082" s="5"/>
      <c r="AF1082" s="6"/>
      <c r="AG1082" s="6"/>
      <c r="AH1082" s="5"/>
      <c r="AI1082" s="6"/>
      <c r="AJ1082" s="6"/>
      <c r="AK1082" s="5"/>
      <c r="AL1082" s="5"/>
      <c r="AM1082" s="5"/>
      <c r="AN1082" s="5"/>
      <c r="AO1082" s="5"/>
      <c r="AP1082" s="5"/>
      <c r="AQ1082" s="5"/>
    </row>
    <row r="1083" spans="1:43" x14ac:dyDescent="0.25">
      <c r="A1083" s="161" t="str">
        <f t="shared" si="17"/>
        <v>NUCLEAR_SUBMARINE_RUSSIA</v>
      </c>
      <c r="B1083" s="9" t="s">
        <v>771</v>
      </c>
      <c r="C1083" s="4" t="s">
        <v>735</v>
      </c>
      <c r="D1083" s="4" t="s">
        <v>698</v>
      </c>
      <c r="E1083" s="4" t="s">
        <v>771</v>
      </c>
      <c r="F1083" s="4" t="s">
        <v>800</v>
      </c>
      <c r="G1083" s="14" t="s">
        <v>132</v>
      </c>
    </row>
    <row r="1084" spans="1:43" x14ac:dyDescent="0.25">
      <c r="A1084" s="161" t="str">
        <f t="shared" si="17"/>
        <v>NUCLEAR_SUBMARINE_AMERICA</v>
      </c>
      <c r="B1084" s="9" t="s">
        <v>771</v>
      </c>
      <c r="C1084" s="4" t="s">
        <v>699</v>
      </c>
      <c r="E1084" s="4" t="s">
        <v>771</v>
      </c>
      <c r="F1084" s="4" t="s">
        <v>800</v>
      </c>
      <c r="G1084" s="14"/>
      <c r="H1084" s="4" t="s">
        <v>146</v>
      </c>
      <c r="I1084" s="4" t="s">
        <v>1051</v>
      </c>
    </row>
    <row r="1085" spans="1:43" x14ac:dyDescent="0.25">
      <c r="A1085" s="161" t="str">
        <f t="shared" si="17"/>
        <v>NUCLEAR_SUBMARINE_AUSTRALIA</v>
      </c>
      <c r="B1085" s="9" t="s">
        <v>771</v>
      </c>
      <c r="C1085" s="4" t="s">
        <v>1302</v>
      </c>
      <c r="D1085" s="4" t="s">
        <v>713</v>
      </c>
      <c r="E1085" s="4" t="s">
        <v>771</v>
      </c>
      <c r="F1085" s="4" t="s">
        <v>800</v>
      </c>
      <c r="G1085" s="14"/>
    </row>
    <row r="1086" spans="1:43" x14ac:dyDescent="0.25">
      <c r="A1086" s="161" t="str">
        <f t="shared" si="17"/>
        <v>NUCLEAR_SUBMARINE_CANADA</v>
      </c>
      <c r="B1086" s="9" t="s">
        <v>771</v>
      </c>
      <c r="C1086" s="4" t="s">
        <v>2223</v>
      </c>
      <c r="D1086" s="4" t="s">
        <v>713</v>
      </c>
      <c r="E1086" s="4" t="s">
        <v>771</v>
      </c>
      <c r="F1086" s="4" t="s">
        <v>800</v>
      </c>
      <c r="G1086" s="14"/>
    </row>
    <row r="1087" spans="1:43" x14ac:dyDescent="0.25">
      <c r="A1087" s="161" t="str">
        <f t="shared" si="17"/>
        <v>NUCLEAR_SUBMARINE_CELTS</v>
      </c>
      <c r="B1087" s="9" t="s">
        <v>771</v>
      </c>
      <c r="C1087" s="4" t="s">
        <v>709</v>
      </c>
      <c r="D1087" s="4" t="s">
        <v>713</v>
      </c>
      <c r="E1087" s="4" t="s">
        <v>771</v>
      </c>
      <c r="F1087" s="4" t="s">
        <v>800</v>
      </c>
      <c r="G1087" s="14"/>
    </row>
    <row r="1088" spans="1:43" x14ac:dyDescent="0.25">
      <c r="A1088" s="161" t="str">
        <f t="shared" si="17"/>
        <v>NUCLEAR_SUBMARINE_ENGLAND</v>
      </c>
      <c r="B1088" s="9" t="s">
        <v>771</v>
      </c>
      <c r="C1088" s="4" t="s">
        <v>713</v>
      </c>
      <c r="E1088" s="4" t="s">
        <v>771</v>
      </c>
      <c r="F1088" s="4" t="s">
        <v>800</v>
      </c>
      <c r="G1088" s="14" t="s">
        <v>132</v>
      </c>
      <c r="H1088" s="4" t="s">
        <v>307</v>
      </c>
      <c r="I1088" s="4" t="s">
        <v>1058</v>
      </c>
    </row>
    <row r="1089" spans="1:43" x14ac:dyDescent="0.25">
      <c r="A1089" s="161" t="str">
        <f t="shared" si="17"/>
        <v>NUCLEAR_SUBMARINE_OCEAN</v>
      </c>
      <c r="B1089" s="9" t="s">
        <v>771</v>
      </c>
      <c r="C1089" s="4" t="s">
        <v>994</v>
      </c>
      <c r="D1089" s="4" t="s">
        <v>699</v>
      </c>
      <c r="E1089" s="4" t="s">
        <v>771</v>
      </c>
      <c r="F1089" s="4" t="s">
        <v>800</v>
      </c>
      <c r="G1089" s="14"/>
    </row>
    <row r="1090" spans="1:43" x14ac:dyDescent="0.25">
      <c r="A1090" s="161" t="str">
        <f t="shared" si="17"/>
        <v>PARATROOPER</v>
      </c>
      <c r="B1090" s="9" t="s">
        <v>108</v>
      </c>
      <c r="C1090" s="5"/>
      <c r="D1090" s="5"/>
      <c r="E1090" s="5" t="s">
        <v>108</v>
      </c>
      <c r="F1090" s="5" t="s">
        <v>108</v>
      </c>
      <c r="G1090" s="5"/>
      <c r="H1090" s="5" t="s">
        <v>2127</v>
      </c>
      <c r="I1090" s="5" t="s">
        <v>102</v>
      </c>
      <c r="J1090" s="6"/>
      <c r="K1090" s="6"/>
      <c r="L1090" s="13" t="s">
        <v>1708</v>
      </c>
      <c r="M1090" s="8"/>
      <c r="N1090" s="5"/>
      <c r="O1090" s="5"/>
      <c r="P1090" s="5"/>
      <c r="Q1090" s="6">
        <v>3</v>
      </c>
      <c r="R1090" s="6" t="s">
        <v>1737</v>
      </c>
      <c r="S1090" s="13" t="s">
        <v>1620</v>
      </c>
      <c r="T1090" s="6">
        <v>3</v>
      </c>
      <c r="U1090" s="7" t="s">
        <v>1737</v>
      </c>
      <c r="V1090" s="5"/>
      <c r="W1090" s="7" t="s">
        <v>3</v>
      </c>
      <c r="X1090" s="6" t="s">
        <v>3</v>
      </c>
      <c r="Y1090" s="5"/>
      <c r="Z1090" s="7">
        <v>1</v>
      </c>
      <c r="AA1090" s="6"/>
      <c r="AB1090" s="5"/>
      <c r="AC1090" s="6"/>
      <c r="AD1090" s="6" t="s">
        <v>3</v>
      </c>
      <c r="AE1090" s="5"/>
      <c r="AF1090" s="6">
        <v>2</v>
      </c>
      <c r="AG1090" s="6"/>
      <c r="AH1090" s="5"/>
      <c r="AI1090" s="6">
        <v>2</v>
      </c>
      <c r="AJ1090" s="6"/>
      <c r="AK1090" s="5"/>
      <c r="AL1090" s="5"/>
      <c r="AM1090" s="5"/>
      <c r="AN1090" s="5"/>
      <c r="AO1090" s="5"/>
      <c r="AP1090" s="5"/>
      <c r="AQ1090" s="5"/>
    </row>
    <row r="1091" spans="1:43" x14ac:dyDescent="0.25">
      <c r="A1091" s="161" t="str">
        <f t="shared" si="17"/>
        <v>PARATROOPER</v>
      </c>
      <c r="B1091" s="9" t="s">
        <v>108</v>
      </c>
      <c r="C1091" s="5"/>
      <c r="D1091" s="5"/>
      <c r="E1091" s="5" t="s">
        <v>108</v>
      </c>
      <c r="F1091" s="5" t="s">
        <v>108</v>
      </c>
      <c r="G1091" s="5" t="s">
        <v>2047</v>
      </c>
      <c r="H1091" s="5" t="s">
        <v>2129</v>
      </c>
      <c r="I1091" s="5" t="s">
        <v>102</v>
      </c>
      <c r="J1091" s="6"/>
      <c r="K1091" s="6"/>
      <c r="L1091" s="13" t="s">
        <v>1708</v>
      </c>
      <c r="M1091" s="8"/>
      <c r="N1091" s="5"/>
      <c r="O1091" s="5"/>
      <c r="P1091" s="5"/>
      <c r="Q1091" s="6">
        <v>1</v>
      </c>
      <c r="R1091" s="6" t="s">
        <v>1737</v>
      </c>
      <c r="S1091" s="13" t="s">
        <v>1620</v>
      </c>
      <c r="T1091" s="6">
        <v>1</v>
      </c>
      <c r="U1091" s="7" t="s">
        <v>1737</v>
      </c>
      <c r="V1091" s="5"/>
      <c r="W1091" s="7" t="s">
        <v>3</v>
      </c>
      <c r="X1091" s="6" t="s">
        <v>3</v>
      </c>
      <c r="Y1091" s="5"/>
      <c r="Z1091" s="7">
        <v>0</v>
      </c>
      <c r="AA1091" s="6"/>
      <c r="AB1091" s="5"/>
      <c r="AC1091" s="6"/>
      <c r="AD1091" s="6" t="s">
        <v>3</v>
      </c>
      <c r="AE1091" s="5"/>
      <c r="AF1091" s="6">
        <v>1</v>
      </c>
      <c r="AG1091" s="6"/>
      <c r="AH1091" s="5"/>
      <c r="AI1091" s="6">
        <v>1</v>
      </c>
      <c r="AJ1091" s="6"/>
      <c r="AK1091" s="5"/>
      <c r="AL1091" s="5"/>
      <c r="AM1091" s="5"/>
      <c r="AN1091" s="5"/>
      <c r="AO1091" s="5"/>
      <c r="AP1091" s="5"/>
      <c r="AQ1091" s="5"/>
    </row>
    <row r="1092" spans="1:43" x14ac:dyDescent="0.25">
      <c r="A1092" s="161" t="str">
        <f>CONCATENATE(E1092,IF(ISBLANK(C1092),"",CONCATENATE("_",C1092)))</f>
        <v>PARATROOPER</v>
      </c>
      <c r="B1092" s="9" t="s">
        <v>108</v>
      </c>
      <c r="C1092" s="5"/>
      <c r="D1092" s="5"/>
      <c r="E1092" s="5" t="s">
        <v>108</v>
      </c>
      <c r="F1092" s="5" t="s">
        <v>108</v>
      </c>
      <c r="G1092" s="5" t="s">
        <v>2049</v>
      </c>
      <c r="H1092" s="5" t="s">
        <v>2126</v>
      </c>
      <c r="I1092" s="5" t="s">
        <v>102</v>
      </c>
      <c r="J1092" s="6"/>
      <c r="K1092" s="6"/>
      <c r="L1092" s="13" t="s">
        <v>1708</v>
      </c>
      <c r="M1092" s="8"/>
      <c r="N1092" s="5"/>
      <c r="O1092" s="5"/>
      <c r="P1092" s="5"/>
      <c r="Q1092" s="6">
        <v>0</v>
      </c>
      <c r="R1092" s="6" t="s">
        <v>1737</v>
      </c>
      <c r="S1092" s="13" t="s">
        <v>1620</v>
      </c>
      <c r="T1092" s="6">
        <v>1</v>
      </c>
      <c r="U1092" s="7" t="s">
        <v>1737</v>
      </c>
      <c r="V1092" s="5"/>
      <c r="W1092" s="7" t="s">
        <v>3</v>
      </c>
      <c r="X1092" s="6" t="s">
        <v>3</v>
      </c>
      <c r="Y1092" s="5"/>
      <c r="Z1092" s="7">
        <v>0</v>
      </c>
      <c r="AA1092" s="6"/>
      <c r="AB1092" s="5"/>
      <c r="AC1092" s="6"/>
      <c r="AD1092" s="6" t="s">
        <v>3</v>
      </c>
      <c r="AE1092" s="5"/>
      <c r="AF1092" s="6">
        <v>0</v>
      </c>
      <c r="AG1092" s="6"/>
      <c r="AH1092" s="5"/>
      <c r="AI1092" s="6">
        <v>0</v>
      </c>
      <c r="AJ1092" s="6"/>
      <c r="AK1092" s="5"/>
      <c r="AL1092" s="5"/>
      <c r="AM1092" s="5"/>
      <c r="AN1092" s="5"/>
      <c r="AO1092" s="5"/>
      <c r="AP1092" s="5"/>
      <c r="AQ1092" s="5"/>
    </row>
    <row r="1093" spans="1:43" x14ac:dyDescent="0.25">
      <c r="A1093" s="161" t="str">
        <f>CONCATENATE(E1093,IF(ISBLANK(C1093),"",CONCATENATE("_",C1093)))</f>
        <v>PARATROOPER</v>
      </c>
      <c r="B1093" s="9" t="s">
        <v>108</v>
      </c>
      <c r="C1093" s="5"/>
      <c r="D1093" s="5"/>
      <c r="E1093" s="5" t="s">
        <v>108</v>
      </c>
      <c r="F1093" s="5" t="s">
        <v>108</v>
      </c>
      <c r="G1093" s="5" t="s">
        <v>2047</v>
      </c>
      <c r="H1093" s="5" t="s">
        <v>2129</v>
      </c>
      <c r="I1093" s="5" t="s">
        <v>102</v>
      </c>
      <c r="J1093" s="6"/>
      <c r="K1093" s="6"/>
      <c r="L1093" s="13" t="s">
        <v>1708</v>
      </c>
      <c r="M1093" s="8"/>
      <c r="N1093" s="5"/>
      <c r="O1093" s="5"/>
      <c r="P1093" s="5"/>
      <c r="Q1093" s="7">
        <v>1</v>
      </c>
      <c r="R1093" s="6" t="s">
        <v>1737</v>
      </c>
      <c r="S1093" s="13" t="s">
        <v>1620</v>
      </c>
      <c r="T1093" s="7">
        <v>1</v>
      </c>
      <c r="U1093" s="7" t="s">
        <v>1737</v>
      </c>
      <c r="V1093" s="5"/>
      <c r="W1093" s="7" t="s">
        <v>3</v>
      </c>
      <c r="X1093" s="6" t="s">
        <v>3</v>
      </c>
      <c r="Y1093" s="5"/>
      <c r="Z1093" s="7">
        <v>0</v>
      </c>
      <c r="AA1093" s="6"/>
      <c r="AB1093" s="5"/>
      <c r="AC1093" s="6"/>
      <c r="AD1093" s="6" t="s">
        <v>3</v>
      </c>
      <c r="AE1093" s="5"/>
      <c r="AF1093" s="7">
        <v>0</v>
      </c>
      <c r="AG1093" s="6"/>
      <c r="AH1093" s="5"/>
      <c r="AI1093" s="7">
        <v>0</v>
      </c>
      <c r="AJ1093" s="6"/>
      <c r="AK1093" s="5"/>
      <c r="AL1093" s="5"/>
      <c r="AM1093" s="5"/>
      <c r="AN1093" s="5"/>
      <c r="AO1093" s="5"/>
      <c r="AP1093" s="5"/>
      <c r="AQ1093" s="5"/>
    </row>
    <row r="1094" spans="1:43" x14ac:dyDescent="0.25">
      <c r="A1094" s="161" t="str">
        <f t="shared" si="17"/>
        <v>PARATROOPER</v>
      </c>
      <c r="B1094" s="9" t="s">
        <v>108</v>
      </c>
      <c r="C1094" s="5"/>
      <c r="D1094" s="5"/>
      <c r="E1094" s="5" t="s">
        <v>108</v>
      </c>
      <c r="F1094" s="5" t="s">
        <v>108</v>
      </c>
      <c r="G1094" s="5"/>
      <c r="H1094" s="5" t="s">
        <v>2127</v>
      </c>
      <c r="I1094" s="5" t="s">
        <v>102</v>
      </c>
      <c r="J1094" s="6"/>
      <c r="K1094" s="6"/>
      <c r="L1094" s="13" t="s">
        <v>1708</v>
      </c>
      <c r="M1094" s="8"/>
      <c r="N1094" s="5"/>
      <c r="O1094" s="5"/>
      <c r="P1094" s="5"/>
      <c r="Q1094" s="6">
        <v>4</v>
      </c>
      <c r="R1094" s="6" t="s">
        <v>1737</v>
      </c>
      <c r="S1094" s="13" t="s">
        <v>1620</v>
      </c>
      <c r="T1094" s="6">
        <v>5</v>
      </c>
      <c r="U1094" s="7" t="s">
        <v>1737</v>
      </c>
      <c r="V1094" s="5"/>
      <c r="W1094" s="7" t="s">
        <v>3</v>
      </c>
      <c r="X1094" s="6" t="s">
        <v>3</v>
      </c>
      <c r="Y1094" s="5"/>
      <c r="Z1094" s="7">
        <v>0</v>
      </c>
      <c r="AA1094" s="6"/>
      <c r="AB1094" s="5"/>
      <c r="AC1094" s="6"/>
      <c r="AD1094" s="6" t="s">
        <v>3</v>
      </c>
      <c r="AE1094" s="5"/>
      <c r="AF1094" s="6">
        <v>0</v>
      </c>
      <c r="AG1094" s="6"/>
      <c r="AH1094" s="5"/>
      <c r="AI1094" s="6">
        <v>2</v>
      </c>
      <c r="AJ1094" s="6"/>
      <c r="AK1094" s="5"/>
      <c r="AL1094" s="5"/>
      <c r="AM1094" s="5"/>
      <c r="AN1094" s="5"/>
      <c r="AO1094" s="5"/>
      <c r="AP1094" s="5"/>
      <c r="AQ1094" s="5"/>
    </row>
    <row r="1095" spans="1:43" x14ac:dyDescent="0.25">
      <c r="A1095" s="161" t="str">
        <f t="shared" si="17"/>
        <v>PARATROOPER</v>
      </c>
      <c r="B1095" s="9" t="s">
        <v>108</v>
      </c>
      <c r="C1095" s="5"/>
      <c r="D1095" s="5"/>
      <c r="E1095" s="5" t="s">
        <v>108</v>
      </c>
      <c r="F1095" s="5" t="s">
        <v>108</v>
      </c>
      <c r="G1095" s="5" t="s">
        <v>2048</v>
      </c>
      <c r="H1095" s="5" t="s">
        <v>2128</v>
      </c>
      <c r="I1095" s="5" t="s">
        <v>102</v>
      </c>
      <c r="J1095" s="6"/>
      <c r="K1095" s="6"/>
      <c r="L1095" s="13" t="s">
        <v>1708</v>
      </c>
      <c r="M1095" s="8"/>
      <c r="N1095" s="5"/>
      <c r="O1095" s="5"/>
      <c r="P1095" s="5"/>
      <c r="Q1095" s="7">
        <v>1</v>
      </c>
      <c r="R1095" s="6" t="s">
        <v>1737</v>
      </c>
      <c r="S1095" s="13" t="s">
        <v>1620</v>
      </c>
      <c r="T1095" s="7">
        <v>1</v>
      </c>
      <c r="U1095" s="7" t="s">
        <v>1737</v>
      </c>
      <c r="V1095" s="5"/>
      <c r="W1095" s="7" t="s">
        <v>3</v>
      </c>
      <c r="X1095" s="6" t="s">
        <v>3</v>
      </c>
      <c r="Y1095" s="5"/>
      <c r="Z1095" s="7">
        <v>0</v>
      </c>
      <c r="AA1095" s="6"/>
      <c r="AB1095" s="5"/>
      <c r="AC1095" s="6"/>
      <c r="AD1095" s="6" t="s">
        <v>3</v>
      </c>
      <c r="AE1095" s="5"/>
      <c r="AF1095" s="7">
        <v>0</v>
      </c>
      <c r="AG1095" s="6"/>
      <c r="AH1095" s="5"/>
      <c r="AI1095" s="7">
        <v>0</v>
      </c>
      <c r="AJ1095" s="6"/>
      <c r="AK1095" s="5"/>
      <c r="AL1095" s="5"/>
      <c r="AM1095" s="5"/>
      <c r="AN1095" s="5"/>
      <c r="AO1095" s="5"/>
      <c r="AP1095" s="5"/>
      <c r="AQ1095" s="5"/>
    </row>
    <row r="1096" spans="1:43" x14ac:dyDescent="0.25">
      <c r="A1096" s="161" t="str">
        <f t="shared" si="17"/>
        <v>PARATROOPER_AMER</v>
      </c>
      <c r="B1096" s="9" t="s">
        <v>108</v>
      </c>
      <c r="C1096" s="4" t="s">
        <v>697</v>
      </c>
      <c r="D1096" s="4" t="s">
        <v>994</v>
      </c>
      <c r="E1096" s="4" t="s">
        <v>108</v>
      </c>
      <c r="F1096" s="4" t="s">
        <v>108</v>
      </c>
      <c r="G1096" s="14"/>
    </row>
    <row r="1097" spans="1:43" x14ac:dyDescent="0.25">
      <c r="A1097" s="161" t="str">
        <f t="shared" si="17"/>
        <v>PARATROOPER_ASIA</v>
      </c>
      <c r="B1097" s="9" t="s">
        <v>108</v>
      </c>
      <c r="C1097" s="4" t="s">
        <v>693</v>
      </c>
      <c r="E1097" s="4" t="s">
        <v>108</v>
      </c>
      <c r="F1097" s="4" t="s">
        <v>108</v>
      </c>
      <c r="H1097" s="4" t="s">
        <v>954</v>
      </c>
      <c r="I1097" s="4" t="s">
        <v>102</v>
      </c>
      <c r="Q1097" s="11">
        <v>4</v>
      </c>
      <c r="T1097" s="11">
        <v>4</v>
      </c>
      <c r="Z1097" s="11">
        <v>1</v>
      </c>
      <c r="AF1097" s="11">
        <v>1</v>
      </c>
      <c r="AI1097" s="11">
        <v>2</v>
      </c>
    </row>
    <row r="1098" spans="1:43" x14ac:dyDescent="0.25">
      <c r="A1098" s="161" t="str">
        <f t="shared" si="17"/>
        <v>PARATROOPER_ASIA</v>
      </c>
      <c r="B1098" s="9" t="s">
        <v>108</v>
      </c>
      <c r="C1098" s="4" t="s">
        <v>693</v>
      </c>
      <c r="E1098" s="4" t="s">
        <v>108</v>
      </c>
      <c r="F1098" s="4" t="s">
        <v>108</v>
      </c>
      <c r="G1098" s="4" t="s">
        <v>2047</v>
      </c>
      <c r="H1098" s="4" t="s">
        <v>486</v>
      </c>
      <c r="I1098" s="4" t="s">
        <v>102</v>
      </c>
      <c r="Q1098" s="11">
        <v>1</v>
      </c>
      <c r="T1098" s="11">
        <v>2</v>
      </c>
      <c r="Z1098" s="11">
        <v>0</v>
      </c>
      <c r="AF1098" s="11">
        <v>1</v>
      </c>
      <c r="AI1098" s="11">
        <v>1</v>
      </c>
    </row>
    <row r="1099" spans="1:43" x14ac:dyDescent="0.25">
      <c r="A1099" s="161" t="str">
        <f t="shared" si="17"/>
        <v>PARATROOPER_ASIA</v>
      </c>
      <c r="B1099" s="9" t="s">
        <v>108</v>
      </c>
      <c r="C1099" s="4" t="s">
        <v>693</v>
      </c>
      <c r="E1099" s="4" t="s">
        <v>108</v>
      </c>
      <c r="F1099" s="4" t="s">
        <v>108</v>
      </c>
      <c r="H1099" s="4" t="s">
        <v>954</v>
      </c>
      <c r="I1099" s="4" t="s">
        <v>102</v>
      </c>
      <c r="Q1099" s="11">
        <v>4</v>
      </c>
      <c r="T1099" s="11">
        <v>4</v>
      </c>
      <c r="Z1099" s="11">
        <v>0</v>
      </c>
      <c r="AF1099" s="11">
        <v>1</v>
      </c>
      <c r="AI1099" s="11">
        <v>2</v>
      </c>
    </row>
    <row r="1100" spans="1:43" x14ac:dyDescent="0.25">
      <c r="A1100" s="161" t="str">
        <f t="shared" si="17"/>
        <v>PARATROOPER_ASIA</v>
      </c>
      <c r="B1100" s="9" t="s">
        <v>108</v>
      </c>
      <c r="C1100" s="4" t="s">
        <v>693</v>
      </c>
      <c r="E1100" s="4" t="s">
        <v>108</v>
      </c>
      <c r="F1100" s="4" t="s">
        <v>108</v>
      </c>
      <c r="G1100" s="4" t="s">
        <v>2047</v>
      </c>
      <c r="H1100" s="4" t="s">
        <v>486</v>
      </c>
      <c r="I1100" s="4" t="s">
        <v>102</v>
      </c>
      <c r="Q1100" s="9">
        <v>1</v>
      </c>
      <c r="T1100" s="11">
        <v>2</v>
      </c>
      <c r="Z1100" s="9">
        <v>0</v>
      </c>
      <c r="AF1100" s="11">
        <v>0</v>
      </c>
      <c r="AI1100" s="11">
        <v>1</v>
      </c>
    </row>
    <row r="1101" spans="1:43" x14ac:dyDescent="0.25">
      <c r="A1101" s="161" t="str">
        <f t="shared" si="17"/>
        <v>PARATROOPER_CHINA</v>
      </c>
      <c r="B1101" s="9" t="s">
        <v>108</v>
      </c>
      <c r="C1101" s="4" t="s">
        <v>710</v>
      </c>
      <c r="E1101" s="4" t="s">
        <v>108</v>
      </c>
      <c r="F1101" s="4" t="s">
        <v>108</v>
      </c>
      <c r="H1101" s="4" t="s">
        <v>829</v>
      </c>
      <c r="I1101" s="4" t="s">
        <v>102</v>
      </c>
      <c r="Q1101" s="9">
        <v>4</v>
      </c>
      <c r="T1101" s="11">
        <v>4</v>
      </c>
      <c r="Z1101" s="9">
        <v>1</v>
      </c>
      <c r="AF1101" s="11">
        <v>1</v>
      </c>
      <c r="AI1101" s="11">
        <v>2</v>
      </c>
    </row>
    <row r="1102" spans="1:43" x14ac:dyDescent="0.25">
      <c r="A1102" s="161" t="str">
        <f t="shared" si="17"/>
        <v>PARATROOPER_CHINA</v>
      </c>
      <c r="B1102" s="9" t="s">
        <v>108</v>
      </c>
      <c r="C1102" s="4" t="s">
        <v>710</v>
      </c>
      <c r="E1102" s="4" t="s">
        <v>108</v>
      </c>
      <c r="F1102" s="4" t="s">
        <v>108</v>
      </c>
      <c r="G1102" s="4" t="s">
        <v>2047</v>
      </c>
      <c r="H1102" s="4" t="s">
        <v>255</v>
      </c>
      <c r="I1102" s="4" t="s">
        <v>102</v>
      </c>
      <c r="Q1102" s="9">
        <v>1</v>
      </c>
      <c r="T1102" s="11">
        <v>2</v>
      </c>
      <c r="Z1102" s="9">
        <v>0</v>
      </c>
      <c r="AF1102" s="11">
        <v>1</v>
      </c>
      <c r="AI1102" s="11">
        <v>1</v>
      </c>
    </row>
    <row r="1103" spans="1:43" x14ac:dyDescent="0.25">
      <c r="A1103" s="161" t="str">
        <f t="shared" si="17"/>
        <v>PARATROOPER_CHINA</v>
      </c>
      <c r="B1103" s="9" t="s">
        <v>108</v>
      </c>
      <c r="C1103" s="4" t="s">
        <v>710</v>
      </c>
      <c r="E1103" s="4" t="s">
        <v>108</v>
      </c>
      <c r="F1103" s="4" t="s">
        <v>108</v>
      </c>
      <c r="H1103" s="4" t="s">
        <v>829</v>
      </c>
      <c r="I1103" s="4" t="s">
        <v>102</v>
      </c>
      <c r="Q1103" s="9">
        <v>4</v>
      </c>
      <c r="T1103" s="11">
        <v>4</v>
      </c>
      <c r="Z1103" s="9">
        <v>0</v>
      </c>
      <c r="AF1103" s="11">
        <v>1</v>
      </c>
      <c r="AI1103" s="11">
        <v>2</v>
      </c>
    </row>
    <row r="1104" spans="1:43" x14ac:dyDescent="0.25">
      <c r="A1104" s="161" t="str">
        <f t="shared" si="17"/>
        <v>PARATROOPER_CHINA</v>
      </c>
      <c r="B1104" s="9" t="s">
        <v>108</v>
      </c>
      <c r="C1104" s="4" t="s">
        <v>710</v>
      </c>
      <c r="E1104" s="4" t="s">
        <v>108</v>
      </c>
      <c r="F1104" s="4" t="s">
        <v>108</v>
      </c>
      <c r="G1104" s="4" t="s">
        <v>2047</v>
      </c>
      <c r="H1104" s="4" t="s">
        <v>255</v>
      </c>
      <c r="I1104" s="4" t="s">
        <v>102</v>
      </c>
      <c r="Q1104" s="9">
        <v>1</v>
      </c>
      <c r="T1104" s="11">
        <v>2</v>
      </c>
      <c r="Z1104" s="9">
        <v>0</v>
      </c>
      <c r="AF1104" s="11">
        <v>0</v>
      </c>
      <c r="AI1104" s="11">
        <v>1</v>
      </c>
    </row>
    <row r="1105" spans="1:35" x14ac:dyDescent="0.25">
      <c r="A1105" s="161" t="str">
        <f t="shared" ref="A1105:A1171" si="18">CONCATENATE(E1105,IF(ISBLANK(C1105),"",CONCATENATE("_",C1105)))</f>
        <v>PARATROOPER_JAPAN</v>
      </c>
      <c r="B1105" s="9" t="s">
        <v>108</v>
      </c>
      <c r="C1105" s="4" t="s">
        <v>722</v>
      </c>
      <c r="D1105" s="4" t="s">
        <v>693</v>
      </c>
      <c r="E1105" s="4" t="s">
        <v>108</v>
      </c>
      <c r="F1105" s="4" t="s">
        <v>108</v>
      </c>
      <c r="I1105" s="4" t="s">
        <v>102</v>
      </c>
      <c r="Q1105" s="9"/>
    </row>
    <row r="1106" spans="1:35" x14ac:dyDescent="0.25">
      <c r="A1106" s="161" t="str">
        <f t="shared" si="18"/>
        <v>PARATROOPER_HUNS</v>
      </c>
      <c r="B1106" s="9" t="s">
        <v>108</v>
      </c>
      <c r="C1106" s="4" t="s">
        <v>904</v>
      </c>
      <c r="E1106" s="4" t="s">
        <v>108</v>
      </c>
      <c r="F1106" s="4" t="s">
        <v>108</v>
      </c>
      <c r="H1106" s="4" t="s">
        <v>911</v>
      </c>
      <c r="I1106" s="4" t="s">
        <v>102</v>
      </c>
      <c r="Q1106" s="9">
        <v>4</v>
      </c>
      <c r="T1106" s="11">
        <v>4</v>
      </c>
      <c r="Z1106" s="9">
        <v>1</v>
      </c>
      <c r="AF1106" s="11">
        <v>1</v>
      </c>
      <c r="AI1106" s="11">
        <v>2</v>
      </c>
    </row>
    <row r="1107" spans="1:35" x14ac:dyDescent="0.25">
      <c r="A1107" s="161" t="str">
        <f t="shared" si="18"/>
        <v>PARATROOPER_HUNS</v>
      </c>
      <c r="B1107" s="9" t="s">
        <v>108</v>
      </c>
      <c r="C1107" s="4" t="s">
        <v>904</v>
      </c>
      <c r="E1107" s="4" t="s">
        <v>108</v>
      </c>
      <c r="F1107" s="4" t="s">
        <v>108</v>
      </c>
      <c r="G1107" s="4" t="s">
        <v>2047</v>
      </c>
      <c r="H1107" s="4" t="s">
        <v>912</v>
      </c>
      <c r="I1107" s="4" t="s">
        <v>102</v>
      </c>
      <c r="Q1107" s="9">
        <v>1</v>
      </c>
      <c r="T1107" s="11">
        <v>2</v>
      </c>
      <c r="Z1107" s="9">
        <v>0</v>
      </c>
      <c r="AF1107" s="11">
        <v>1</v>
      </c>
      <c r="AI1107" s="11">
        <v>1</v>
      </c>
    </row>
    <row r="1108" spans="1:35" x14ac:dyDescent="0.25">
      <c r="A1108" s="161" t="str">
        <f t="shared" si="18"/>
        <v>PARATROOPER_HUNS</v>
      </c>
      <c r="B1108" s="9" t="s">
        <v>108</v>
      </c>
      <c r="C1108" s="4" t="s">
        <v>904</v>
      </c>
      <c r="E1108" s="4" t="s">
        <v>108</v>
      </c>
      <c r="F1108" s="4" t="s">
        <v>108</v>
      </c>
      <c r="H1108" s="4" t="s">
        <v>911</v>
      </c>
      <c r="I1108" s="4" t="s">
        <v>102</v>
      </c>
      <c r="Q1108" s="9">
        <v>4</v>
      </c>
      <c r="T1108" s="11">
        <v>4</v>
      </c>
      <c r="Z1108" s="9">
        <v>0</v>
      </c>
      <c r="AF1108" s="11">
        <v>1</v>
      </c>
      <c r="AI1108" s="11">
        <v>2</v>
      </c>
    </row>
    <row r="1109" spans="1:35" x14ac:dyDescent="0.25">
      <c r="A1109" s="161" t="str">
        <f t="shared" si="18"/>
        <v>PARATROOPER_HUNS</v>
      </c>
      <c r="B1109" s="9" t="s">
        <v>108</v>
      </c>
      <c r="C1109" s="4" t="s">
        <v>904</v>
      </c>
      <c r="E1109" s="4" t="s">
        <v>108</v>
      </c>
      <c r="F1109" s="4" t="s">
        <v>108</v>
      </c>
      <c r="G1109" s="4" t="s">
        <v>2047</v>
      </c>
      <c r="H1109" s="4" t="s">
        <v>912</v>
      </c>
      <c r="I1109" s="4" t="s">
        <v>102</v>
      </c>
      <c r="Q1109" s="9">
        <v>1</v>
      </c>
      <c r="T1109" s="11">
        <v>2</v>
      </c>
      <c r="Z1109" s="9">
        <v>0</v>
      </c>
      <c r="AF1109" s="11">
        <v>0</v>
      </c>
      <c r="AI1109" s="11">
        <v>1</v>
      </c>
    </row>
    <row r="1110" spans="1:35" x14ac:dyDescent="0.25">
      <c r="A1110" s="161" t="str">
        <f t="shared" si="18"/>
        <v>PARATROOPER_EASTEU</v>
      </c>
      <c r="B1110" s="9" t="s">
        <v>108</v>
      </c>
      <c r="C1110" s="4" t="s">
        <v>698</v>
      </c>
      <c r="E1110" s="4" t="s">
        <v>108</v>
      </c>
      <c r="F1110" s="4" t="s">
        <v>108</v>
      </c>
      <c r="H1110" s="4" t="s">
        <v>969</v>
      </c>
      <c r="I1110" s="4" t="s">
        <v>102</v>
      </c>
      <c r="Q1110" s="9">
        <v>4</v>
      </c>
      <c r="T1110" s="11">
        <v>4</v>
      </c>
      <c r="Z1110" s="9">
        <v>1</v>
      </c>
      <c r="AF1110" s="11">
        <v>1</v>
      </c>
      <c r="AI1110" s="11">
        <v>2</v>
      </c>
    </row>
    <row r="1111" spans="1:35" x14ac:dyDescent="0.25">
      <c r="A1111" s="161" t="str">
        <f t="shared" si="18"/>
        <v>PARATROOPER_EASTEU</v>
      </c>
      <c r="B1111" s="9" t="s">
        <v>108</v>
      </c>
      <c r="C1111" s="4" t="s">
        <v>698</v>
      </c>
      <c r="E1111" s="4" t="s">
        <v>108</v>
      </c>
      <c r="F1111" s="4" t="s">
        <v>108</v>
      </c>
      <c r="G1111" s="4" t="s">
        <v>2047</v>
      </c>
      <c r="H1111" s="4" t="s">
        <v>573</v>
      </c>
      <c r="I1111" s="4" t="s">
        <v>102</v>
      </c>
      <c r="Q1111" s="9">
        <v>1</v>
      </c>
      <c r="T1111" s="11">
        <v>2</v>
      </c>
      <c r="Z1111" s="9">
        <v>0</v>
      </c>
      <c r="AF1111" s="11">
        <v>1</v>
      </c>
      <c r="AI1111" s="11">
        <v>1</v>
      </c>
    </row>
    <row r="1112" spans="1:35" x14ac:dyDescent="0.25">
      <c r="A1112" s="161" t="str">
        <f t="shared" si="18"/>
        <v>PARATROOPER_EASTEU</v>
      </c>
      <c r="B1112" s="9" t="s">
        <v>108</v>
      </c>
      <c r="C1112" s="4" t="s">
        <v>698</v>
      </c>
      <c r="E1112" s="4" t="s">
        <v>108</v>
      </c>
      <c r="F1112" s="4" t="s">
        <v>108</v>
      </c>
      <c r="H1112" s="4" t="s">
        <v>969</v>
      </c>
      <c r="I1112" s="4" t="s">
        <v>102</v>
      </c>
      <c r="Q1112" s="9">
        <v>4</v>
      </c>
      <c r="T1112" s="11">
        <v>4</v>
      </c>
      <c r="Z1112" s="9">
        <v>0</v>
      </c>
      <c r="AF1112" s="11">
        <v>1</v>
      </c>
      <c r="AI1112" s="11">
        <v>2</v>
      </c>
    </row>
    <row r="1113" spans="1:35" x14ac:dyDescent="0.25">
      <c r="A1113" s="161" t="str">
        <f t="shared" si="18"/>
        <v>PARATROOPER_EASTEU</v>
      </c>
      <c r="B1113" s="9" t="s">
        <v>108</v>
      </c>
      <c r="C1113" s="4" t="s">
        <v>698</v>
      </c>
      <c r="E1113" s="4" t="s">
        <v>108</v>
      </c>
      <c r="F1113" s="4" t="s">
        <v>108</v>
      </c>
      <c r="G1113" s="4" t="s">
        <v>2047</v>
      </c>
      <c r="H1113" s="4" t="s">
        <v>573</v>
      </c>
      <c r="I1113" s="4" t="s">
        <v>102</v>
      </c>
      <c r="Q1113" s="9">
        <v>1</v>
      </c>
      <c r="T1113" s="11">
        <v>2</v>
      </c>
      <c r="Z1113" s="9">
        <v>0</v>
      </c>
      <c r="AF1113" s="11">
        <v>0</v>
      </c>
      <c r="AI1113" s="11">
        <v>1</v>
      </c>
    </row>
    <row r="1114" spans="1:35" x14ac:dyDescent="0.25">
      <c r="A1114" s="161" t="str">
        <f t="shared" si="18"/>
        <v>PARATROOPER_RUSSIA</v>
      </c>
      <c r="B1114" s="9" t="s">
        <v>108</v>
      </c>
      <c r="C1114" s="4" t="s">
        <v>735</v>
      </c>
      <c r="E1114" s="4" t="s">
        <v>108</v>
      </c>
      <c r="F1114" s="4" t="s">
        <v>108</v>
      </c>
      <c r="H1114" s="4" t="s">
        <v>971</v>
      </c>
      <c r="I1114" s="4" t="s">
        <v>102</v>
      </c>
      <c r="Q1114" s="9">
        <v>4</v>
      </c>
      <c r="T1114" s="11">
        <v>4</v>
      </c>
      <c r="Z1114" s="9">
        <v>1</v>
      </c>
      <c r="AF1114" s="11">
        <v>1</v>
      </c>
      <c r="AI1114" s="11">
        <v>2</v>
      </c>
    </row>
    <row r="1115" spans="1:35" x14ac:dyDescent="0.25">
      <c r="A1115" s="161" t="str">
        <f t="shared" si="18"/>
        <v>PARATROOPER_RUSSIA</v>
      </c>
      <c r="B1115" s="9" t="s">
        <v>108</v>
      </c>
      <c r="C1115" s="4" t="s">
        <v>735</v>
      </c>
      <c r="E1115" s="4" t="s">
        <v>108</v>
      </c>
      <c r="F1115" s="4" t="s">
        <v>108</v>
      </c>
      <c r="G1115" s="4" t="s">
        <v>2047</v>
      </c>
      <c r="H1115" s="4" t="s">
        <v>622</v>
      </c>
      <c r="I1115" s="4" t="s">
        <v>102</v>
      </c>
      <c r="Q1115" s="9">
        <v>1</v>
      </c>
      <c r="T1115" s="11">
        <v>2</v>
      </c>
      <c r="Z1115" s="9">
        <v>0</v>
      </c>
      <c r="AF1115" s="11">
        <v>1</v>
      </c>
      <c r="AI1115" s="11">
        <v>1</v>
      </c>
    </row>
    <row r="1116" spans="1:35" x14ac:dyDescent="0.25">
      <c r="A1116" s="161" t="str">
        <f t="shared" si="18"/>
        <v>PARATROOPER_RUSSIA</v>
      </c>
      <c r="B1116" s="9" t="s">
        <v>108</v>
      </c>
      <c r="C1116" s="4" t="s">
        <v>735</v>
      </c>
      <c r="E1116" s="4" t="s">
        <v>108</v>
      </c>
      <c r="F1116" s="4" t="s">
        <v>108</v>
      </c>
      <c r="H1116" s="4" t="s">
        <v>971</v>
      </c>
      <c r="I1116" s="4" t="s">
        <v>102</v>
      </c>
      <c r="Q1116" s="9">
        <v>4</v>
      </c>
      <c r="T1116" s="11">
        <v>4</v>
      </c>
      <c r="Z1116" s="9">
        <v>0</v>
      </c>
      <c r="AF1116" s="11">
        <v>1</v>
      </c>
      <c r="AI1116" s="11">
        <v>2</v>
      </c>
    </row>
    <row r="1117" spans="1:35" x14ac:dyDescent="0.25">
      <c r="A1117" s="161" t="str">
        <f t="shared" si="18"/>
        <v>PARATROOPER_RUSSIA</v>
      </c>
      <c r="B1117" s="9" t="s">
        <v>108</v>
      </c>
      <c r="C1117" s="4" t="s">
        <v>735</v>
      </c>
      <c r="E1117" s="4" t="s">
        <v>108</v>
      </c>
      <c r="F1117" s="4" t="s">
        <v>108</v>
      </c>
      <c r="G1117" s="4" t="s">
        <v>2047</v>
      </c>
      <c r="H1117" s="4" t="s">
        <v>622</v>
      </c>
      <c r="I1117" s="4" t="s">
        <v>102</v>
      </c>
      <c r="Q1117" s="9">
        <v>1</v>
      </c>
      <c r="T1117" s="11">
        <v>2</v>
      </c>
      <c r="Z1117" s="9">
        <v>0</v>
      </c>
      <c r="AF1117" s="11">
        <v>0</v>
      </c>
      <c r="AI1117" s="11">
        <v>1</v>
      </c>
    </row>
    <row r="1118" spans="1:35" x14ac:dyDescent="0.25">
      <c r="A1118" s="161" t="str">
        <f t="shared" si="18"/>
        <v>PARATROOPER_AMERICA</v>
      </c>
      <c r="B1118" s="9" t="s">
        <v>108</v>
      </c>
      <c r="C1118" s="4" t="s">
        <v>699</v>
      </c>
      <c r="E1118" s="4" t="s">
        <v>108</v>
      </c>
      <c r="F1118" s="4" t="s">
        <v>108</v>
      </c>
      <c r="H1118" s="4" t="s">
        <v>803</v>
      </c>
      <c r="I1118" s="4" t="s">
        <v>102</v>
      </c>
      <c r="Q1118" s="9">
        <v>4</v>
      </c>
      <c r="T1118" s="11">
        <v>4</v>
      </c>
      <c r="Z1118" s="9">
        <v>1</v>
      </c>
      <c r="AF1118" s="11">
        <v>1</v>
      </c>
      <c r="AI1118" s="11">
        <v>2</v>
      </c>
    </row>
    <row r="1119" spans="1:35" x14ac:dyDescent="0.25">
      <c r="A1119" s="161" t="str">
        <f t="shared" si="18"/>
        <v>PARATROOPER_AMERICA</v>
      </c>
      <c r="B1119" s="9" t="s">
        <v>108</v>
      </c>
      <c r="C1119" s="4" t="s">
        <v>699</v>
      </c>
      <c r="E1119" s="4" t="s">
        <v>108</v>
      </c>
      <c r="F1119" s="4" t="s">
        <v>108</v>
      </c>
      <c r="G1119" s="4" t="s">
        <v>2047</v>
      </c>
      <c r="H1119" s="4" t="s">
        <v>147</v>
      </c>
      <c r="I1119" s="4" t="s">
        <v>102</v>
      </c>
      <c r="Q1119" s="9">
        <v>1</v>
      </c>
      <c r="T1119" s="11">
        <v>2</v>
      </c>
      <c r="Z1119" s="9">
        <v>0</v>
      </c>
      <c r="AF1119" s="11">
        <v>1</v>
      </c>
      <c r="AI1119" s="11">
        <v>1</v>
      </c>
    </row>
    <row r="1120" spans="1:35" x14ac:dyDescent="0.25">
      <c r="A1120" s="161" t="str">
        <f t="shared" si="18"/>
        <v>PARATROOPER_AMERICA</v>
      </c>
      <c r="B1120" s="9" t="s">
        <v>108</v>
      </c>
      <c r="C1120" s="4" t="s">
        <v>699</v>
      </c>
      <c r="E1120" s="4" t="s">
        <v>108</v>
      </c>
      <c r="F1120" s="4" t="s">
        <v>108</v>
      </c>
      <c r="H1120" s="4" t="s">
        <v>803</v>
      </c>
      <c r="I1120" s="4" t="s">
        <v>102</v>
      </c>
      <c r="Q1120" s="9">
        <v>4</v>
      </c>
      <c r="T1120" s="11">
        <v>4</v>
      </c>
      <c r="Z1120" s="9">
        <v>0</v>
      </c>
      <c r="AF1120" s="11">
        <v>1</v>
      </c>
      <c r="AI1120" s="11">
        <v>2</v>
      </c>
    </row>
    <row r="1121" spans="1:35" x14ac:dyDescent="0.25">
      <c r="A1121" s="161" t="str">
        <f t="shared" si="18"/>
        <v>PARATROOPER_AMERICA</v>
      </c>
      <c r="B1121" s="9" t="s">
        <v>108</v>
      </c>
      <c r="C1121" s="4" t="s">
        <v>699</v>
      </c>
      <c r="E1121" s="4" t="s">
        <v>108</v>
      </c>
      <c r="F1121" s="4" t="s">
        <v>108</v>
      </c>
      <c r="G1121" s="4" t="s">
        <v>2047</v>
      </c>
      <c r="H1121" s="4" t="s">
        <v>147</v>
      </c>
      <c r="I1121" s="4" t="s">
        <v>102</v>
      </c>
      <c r="Q1121" s="9">
        <v>1</v>
      </c>
      <c r="T1121" s="11">
        <v>2</v>
      </c>
      <c r="Z1121" s="9">
        <v>0</v>
      </c>
      <c r="AF1121" s="11">
        <v>0</v>
      </c>
      <c r="AI1121" s="11">
        <v>1</v>
      </c>
    </row>
    <row r="1122" spans="1:35" x14ac:dyDescent="0.25">
      <c r="A1122" s="161" t="str">
        <f t="shared" si="18"/>
        <v>PARATROOPER_AUSTRIA</v>
      </c>
      <c r="B1122" s="9" t="s">
        <v>108</v>
      </c>
      <c r="C1122" s="4" t="s">
        <v>701</v>
      </c>
      <c r="E1122" s="4" t="s">
        <v>108</v>
      </c>
      <c r="F1122" s="4" t="s">
        <v>108</v>
      </c>
      <c r="H1122" s="4" t="s">
        <v>811</v>
      </c>
      <c r="I1122" s="4" t="s">
        <v>102</v>
      </c>
      <c r="Q1122" s="9">
        <v>4</v>
      </c>
      <c r="T1122" s="11">
        <v>4</v>
      </c>
      <c r="Z1122" s="9">
        <v>1</v>
      </c>
      <c r="AF1122" s="11">
        <v>1</v>
      </c>
      <c r="AI1122" s="11">
        <v>2</v>
      </c>
    </row>
    <row r="1123" spans="1:35" x14ac:dyDescent="0.25">
      <c r="A1123" s="161" t="str">
        <f t="shared" si="18"/>
        <v>PARATROOPER_AUSTRIA</v>
      </c>
      <c r="B1123" s="9" t="s">
        <v>108</v>
      </c>
      <c r="C1123" s="4" t="s">
        <v>701</v>
      </c>
      <c r="E1123" s="4" t="s">
        <v>108</v>
      </c>
      <c r="F1123" s="4" t="s">
        <v>108</v>
      </c>
      <c r="G1123" s="4" t="s">
        <v>2047</v>
      </c>
      <c r="H1123" s="4" t="s">
        <v>184</v>
      </c>
      <c r="I1123" s="4" t="s">
        <v>102</v>
      </c>
      <c r="Q1123" s="9">
        <v>1</v>
      </c>
      <c r="T1123" s="11">
        <v>2</v>
      </c>
      <c r="Z1123" s="9">
        <v>0</v>
      </c>
      <c r="AF1123" s="11">
        <v>1</v>
      </c>
      <c r="AI1123" s="11">
        <v>1</v>
      </c>
    </row>
    <row r="1124" spans="1:35" x14ac:dyDescent="0.25">
      <c r="A1124" s="161" t="str">
        <f t="shared" si="18"/>
        <v>PARATROOPER_AUSTRIA</v>
      </c>
      <c r="B1124" s="9" t="s">
        <v>108</v>
      </c>
      <c r="C1124" s="4" t="s">
        <v>701</v>
      </c>
      <c r="E1124" s="4" t="s">
        <v>108</v>
      </c>
      <c r="F1124" s="4" t="s">
        <v>108</v>
      </c>
      <c r="H1124" s="4" t="s">
        <v>811</v>
      </c>
      <c r="I1124" s="4" t="s">
        <v>102</v>
      </c>
      <c r="Q1124" s="9">
        <v>4</v>
      </c>
      <c r="T1124" s="11">
        <v>4</v>
      </c>
      <c r="Z1124" s="9">
        <v>0</v>
      </c>
      <c r="AF1124" s="11">
        <v>1</v>
      </c>
      <c r="AI1124" s="11">
        <v>2</v>
      </c>
    </row>
    <row r="1125" spans="1:35" x14ac:dyDescent="0.25">
      <c r="A1125" s="161" t="str">
        <f t="shared" si="18"/>
        <v>PARATROOPER_AUSTRIA</v>
      </c>
      <c r="B1125" s="9" t="s">
        <v>108</v>
      </c>
      <c r="C1125" s="4" t="s">
        <v>701</v>
      </c>
      <c r="E1125" s="4" t="s">
        <v>108</v>
      </c>
      <c r="F1125" s="4" t="s">
        <v>108</v>
      </c>
      <c r="G1125" s="4" t="s">
        <v>2047</v>
      </c>
      <c r="H1125" s="4" t="s">
        <v>184</v>
      </c>
      <c r="I1125" s="4" t="s">
        <v>102</v>
      </c>
      <c r="Q1125" s="9">
        <v>1</v>
      </c>
      <c r="T1125" s="11">
        <v>2</v>
      </c>
      <c r="Z1125" s="9">
        <v>0</v>
      </c>
      <c r="AF1125" s="11">
        <v>0</v>
      </c>
      <c r="AI1125" s="11">
        <v>1</v>
      </c>
    </row>
    <row r="1126" spans="1:35" x14ac:dyDescent="0.25">
      <c r="A1126" s="161" t="str">
        <f t="shared" si="18"/>
        <v>PARATROOPER_ENGLAND</v>
      </c>
      <c r="B1126" s="9" t="s">
        <v>108</v>
      </c>
      <c r="C1126" s="4" t="s">
        <v>713</v>
      </c>
      <c r="E1126" s="4" t="s">
        <v>108</v>
      </c>
      <c r="F1126" s="4" t="s">
        <v>108</v>
      </c>
      <c r="H1126" s="4" t="s">
        <v>866</v>
      </c>
      <c r="I1126" s="4" t="s">
        <v>102</v>
      </c>
      <c r="Q1126" s="9">
        <v>4</v>
      </c>
      <c r="T1126" s="11">
        <v>4</v>
      </c>
      <c r="Z1126" s="9">
        <v>1</v>
      </c>
      <c r="AF1126" s="11">
        <v>1</v>
      </c>
      <c r="AI1126" s="11">
        <v>2</v>
      </c>
    </row>
    <row r="1127" spans="1:35" x14ac:dyDescent="0.25">
      <c r="A1127" s="161" t="str">
        <f t="shared" si="18"/>
        <v>PARATROOPER_ENGLAND</v>
      </c>
      <c r="B1127" s="9" t="s">
        <v>108</v>
      </c>
      <c r="C1127" s="4" t="s">
        <v>713</v>
      </c>
      <c r="E1127" s="4" t="s">
        <v>108</v>
      </c>
      <c r="F1127" s="4" t="s">
        <v>108</v>
      </c>
      <c r="G1127" s="4" t="s">
        <v>2047</v>
      </c>
      <c r="H1127" s="4" t="s">
        <v>308</v>
      </c>
      <c r="I1127" s="4" t="s">
        <v>102</v>
      </c>
      <c r="Q1127" s="9">
        <v>1</v>
      </c>
      <c r="T1127" s="11">
        <v>2</v>
      </c>
      <c r="Z1127" s="9">
        <v>0</v>
      </c>
      <c r="AF1127" s="11">
        <v>1</v>
      </c>
      <c r="AI1127" s="11">
        <v>1</v>
      </c>
    </row>
    <row r="1128" spans="1:35" x14ac:dyDescent="0.25">
      <c r="A1128" s="161" t="str">
        <f t="shared" si="18"/>
        <v>PARATROOPER_ENGLAND</v>
      </c>
      <c r="B1128" s="9" t="s">
        <v>108</v>
      </c>
      <c r="C1128" s="4" t="s">
        <v>713</v>
      </c>
      <c r="E1128" s="4" t="s">
        <v>108</v>
      </c>
      <c r="F1128" s="4" t="s">
        <v>108</v>
      </c>
      <c r="H1128" s="4" t="s">
        <v>866</v>
      </c>
      <c r="I1128" s="4" t="s">
        <v>102</v>
      </c>
      <c r="Q1128" s="9">
        <v>4</v>
      </c>
      <c r="T1128" s="11">
        <v>4</v>
      </c>
      <c r="Z1128" s="9">
        <v>0</v>
      </c>
      <c r="AF1128" s="11">
        <v>1</v>
      </c>
      <c r="AI1128" s="11">
        <v>2</v>
      </c>
    </row>
    <row r="1129" spans="1:35" x14ac:dyDescent="0.25">
      <c r="A1129" s="161" t="str">
        <f t="shared" si="18"/>
        <v>PARATROOPER_ENGLAND</v>
      </c>
      <c r="B1129" s="9" t="s">
        <v>108</v>
      </c>
      <c r="C1129" s="4" t="s">
        <v>713</v>
      </c>
      <c r="E1129" s="4" t="s">
        <v>108</v>
      </c>
      <c r="F1129" s="4" t="s">
        <v>108</v>
      </c>
      <c r="G1129" s="4" t="s">
        <v>2047</v>
      </c>
      <c r="H1129" s="4" t="s">
        <v>308</v>
      </c>
      <c r="I1129" s="4" t="s">
        <v>102</v>
      </c>
      <c r="Q1129" s="9">
        <v>1</v>
      </c>
      <c r="T1129" s="11">
        <v>2</v>
      </c>
      <c r="Z1129" s="9">
        <v>0</v>
      </c>
      <c r="AF1129" s="11">
        <v>0</v>
      </c>
      <c r="AI1129" s="11">
        <v>1</v>
      </c>
    </row>
    <row r="1130" spans="1:35" x14ac:dyDescent="0.25">
      <c r="A1130" s="161" t="str">
        <f t="shared" si="18"/>
        <v>PARATROOPER_FRANCE</v>
      </c>
      <c r="B1130" s="9" t="s">
        <v>108</v>
      </c>
      <c r="C1130" s="4" t="s">
        <v>715</v>
      </c>
      <c r="E1130" s="4" t="s">
        <v>108</v>
      </c>
      <c r="F1130" s="4" t="s">
        <v>108</v>
      </c>
      <c r="H1130" s="4" t="s">
        <v>879</v>
      </c>
      <c r="I1130" s="4" t="s">
        <v>102</v>
      </c>
      <c r="Q1130" s="9">
        <v>4</v>
      </c>
      <c r="T1130" s="11">
        <v>4</v>
      </c>
      <c r="Z1130" s="9">
        <v>1</v>
      </c>
      <c r="AF1130" s="11">
        <v>1</v>
      </c>
      <c r="AI1130" s="11">
        <v>2</v>
      </c>
    </row>
    <row r="1131" spans="1:35" x14ac:dyDescent="0.25">
      <c r="A1131" s="161" t="str">
        <f t="shared" si="18"/>
        <v>PARATROOPER_FRANCE</v>
      </c>
      <c r="B1131" s="9" t="s">
        <v>108</v>
      </c>
      <c r="C1131" s="4" t="s">
        <v>715</v>
      </c>
      <c r="E1131" s="4" t="s">
        <v>108</v>
      </c>
      <c r="F1131" s="4" t="s">
        <v>108</v>
      </c>
      <c r="G1131" s="4" t="s">
        <v>2047</v>
      </c>
      <c r="H1131" s="4" t="s">
        <v>353</v>
      </c>
      <c r="I1131" s="4" t="s">
        <v>102</v>
      </c>
      <c r="Q1131" s="9">
        <v>1</v>
      </c>
      <c r="T1131" s="11">
        <v>2</v>
      </c>
      <c r="Z1131" s="9">
        <v>0</v>
      </c>
      <c r="AF1131" s="11">
        <v>1</v>
      </c>
      <c r="AI1131" s="11">
        <v>1</v>
      </c>
    </row>
    <row r="1132" spans="1:35" x14ac:dyDescent="0.25">
      <c r="A1132" s="161" t="str">
        <f t="shared" si="18"/>
        <v>PARATROOPER_FRANCE</v>
      </c>
      <c r="B1132" s="9" t="s">
        <v>108</v>
      </c>
      <c r="C1132" s="4" t="s">
        <v>715</v>
      </c>
      <c r="E1132" s="4" t="s">
        <v>108</v>
      </c>
      <c r="F1132" s="4" t="s">
        <v>108</v>
      </c>
      <c r="H1132" s="4" t="s">
        <v>879</v>
      </c>
      <c r="I1132" s="4" t="s">
        <v>102</v>
      </c>
      <c r="Q1132" s="9">
        <v>4</v>
      </c>
      <c r="T1132" s="11">
        <v>4</v>
      </c>
      <c r="Z1132" s="9">
        <v>0</v>
      </c>
      <c r="AF1132" s="11">
        <v>1</v>
      </c>
      <c r="AI1132" s="11">
        <v>2</v>
      </c>
    </row>
    <row r="1133" spans="1:35" x14ac:dyDescent="0.25">
      <c r="A1133" s="161" t="str">
        <f t="shared" si="18"/>
        <v>PARATROOPER_FRANCE</v>
      </c>
      <c r="B1133" s="9" t="s">
        <v>108</v>
      </c>
      <c r="C1133" s="4" t="s">
        <v>715</v>
      </c>
      <c r="E1133" s="4" t="s">
        <v>108</v>
      </c>
      <c r="F1133" s="4" t="s">
        <v>108</v>
      </c>
      <c r="G1133" s="4" t="s">
        <v>2047</v>
      </c>
      <c r="H1133" s="4" t="s">
        <v>353</v>
      </c>
      <c r="I1133" s="4" t="s">
        <v>102</v>
      </c>
      <c r="Q1133" s="9">
        <v>1</v>
      </c>
      <c r="T1133" s="11">
        <v>2</v>
      </c>
      <c r="Z1133" s="9">
        <v>0</v>
      </c>
      <c r="AF1133" s="11">
        <v>0</v>
      </c>
      <c r="AI1133" s="11">
        <v>1</v>
      </c>
    </row>
    <row r="1134" spans="1:35" x14ac:dyDescent="0.25">
      <c r="A1134" s="161" t="str">
        <f t="shared" si="18"/>
        <v>PARATROOPER_GERMANY</v>
      </c>
      <c r="B1134" s="9" t="s">
        <v>108</v>
      </c>
      <c r="C1134" s="4" t="s">
        <v>717</v>
      </c>
      <c r="E1134" s="4" t="s">
        <v>108</v>
      </c>
      <c r="F1134" s="4" t="s">
        <v>108</v>
      </c>
      <c r="H1134" s="4" t="s">
        <v>901</v>
      </c>
      <c r="I1134" s="4" t="s">
        <v>102</v>
      </c>
      <c r="Q1134" s="9">
        <v>4</v>
      </c>
      <c r="T1134" s="11">
        <v>4</v>
      </c>
      <c r="Z1134" s="9">
        <v>1</v>
      </c>
      <c r="AF1134" s="11">
        <v>1</v>
      </c>
      <c r="AI1134" s="11">
        <v>2</v>
      </c>
    </row>
    <row r="1135" spans="1:35" x14ac:dyDescent="0.25">
      <c r="A1135" s="161" t="str">
        <f t="shared" si="18"/>
        <v>PARATROOPER_GERMANY</v>
      </c>
      <c r="B1135" s="9" t="s">
        <v>108</v>
      </c>
      <c r="C1135" s="4" t="s">
        <v>717</v>
      </c>
      <c r="E1135" s="4" t="s">
        <v>108</v>
      </c>
      <c r="F1135" s="4" t="s">
        <v>108</v>
      </c>
      <c r="G1135" s="4" t="s">
        <v>2047</v>
      </c>
      <c r="H1135" s="4" t="s">
        <v>385</v>
      </c>
      <c r="I1135" s="4" t="s">
        <v>102</v>
      </c>
      <c r="Q1135" s="9">
        <v>1</v>
      </c>
      <c r="T1135" s="11">
        <v>2</v>
      </c>
      <c r="Z1135" s="9">
        <v>0</v>
      </c>
      <c r="AF1135" s="11">
        <v>1</v>
      </c>
      <c r="AI1135" s="11">
        <v>1</v>
      </c>
    </row>
    <row r="1136" spans="1:35" x14ac:dyDescent="0.25">
      <c r="A1136" s="161" t="str">
        <f t="shared" si="18"/>
        <v>PARATROOPER_GERMANY</v>
      </c>
      <c r="B1136" s="9" t="s">
        <v>108</v>
      </c>
      <c r="C1136" s="4" t="s">
        <v>717</v>
      </c>
      <c r="E1136" s="4" t="s">
        <v>108</v>
      </c>
      <c r="F1136" s="4" t="s">
        <v>108</v>
      </c>
      <c r="H1136" s="4" t="s">
        <v>901</v>
      </c>
      <c r="I1136" s="4" t="s">
        <v>102</v>
      </c>
      <c r="Q1136" s="9">
        <v>4</v>
      </c>
      <c r="T1136" s="11">
        <v>4</v>
      </c>
      <c r="Z1136" s="9">
        <v>0</v>
      </c>
      <c r="AF1136" s="11">
        <v>1</v>
      </c>
      <c r="AI1136" s="11">
        <v>2</v>
      </c>
    </row>
    <row r="1137" spans="1:35" x14ac:dyDescent="0.25">
      <c r="A1137" s="161" t="str">
        <f t="shared" si="18"/>
        <v>PARATROOPER_GERMANY</v>
      </c>
      <c r="B1137" s="9" t="s">
        <v>108</v>
      </c>
      <c r="C1137" s="4" t="s">
        <v>717</v>
      </c>
      <c r="E1137" s="4" t="s">
        <v>108</v>
      </c>
      <c r="F1137" s="4" t="s">
        <v>108</v>
      </c>
      <c r="G1137" s="4" t="s">
        <v>2047</v>
      </c>
      <c r="H1137" s="4" t="s">
        <v>385</v>
      </c>
      <c r="I1137" s="4" t="s">
        <v>102</v>
      </c>
      <c r="Q1137" s="9">
        <v>1</v>
      </c>
      <c r="T1137" s="11">
        <v>2</v>
      </c>
      <c r="Z1137" s="9">
        <v>0</v>
      </c>
      <c r="AF1137" s="11">
        <v>0</v>
      </c>
      <c r="AI1137" s="11">
        <v>1</v>
      </c>
    </row>
    <row r="1138" spans="1:35" x14ac:dyDescent="0.25">
      <c r="A1138" s="161" t="str">
        <f t="shared" si="18"/>
        <v>PARATROOPER_NETHERLANDS</v>
      </c>
      <c r="B1138" s="9" t="s">
        <v>108</v>
      </c>
      <c r="C1138" s="4" t="s">
        <v>730</v>
      </c>
      <c r="E1138" s="4" t="s">
        <v>108</v>
      </c>
      <c r="F1138" s="4" t="s">
        <v>108</v>
      </c>
      <c r="H1138" s="4" t="s">
        <v>968</v>
      </c>
      <c r="I1138" s="4" t="s">
        <v>102</v>
      </c>
      <c r="Q1138" s="9">
        <v>4</v>
      </c>
      <c r="T1138" s="11">
        <v>4</v>
      </c>
      <c r="Z1138" s="9">
        <v>1</v>
      </c>
      <c r="AF1138" s="11">
        <v>1</v>
      </c>
      <c r="AI1138" s="11">
        <v>2</v>
      </c>
    </row>
    <row r="1139" spans="1:35" x14ac:dyDescent="0.25">
      <c r="A1139" s="161" t="str">
        <f t="shared" si="18"/>
        <v>PARATROOPER_NETHERLANDS</v>
      </c>
      <c r="B1139" s="9" t="s">
        <v>108</v>
      </c>
      <c r="C1139" s="4" t="s">
        <v>730</v>
      </c>
      <c r="E1139" s="4" t="s">
        <v>108</v>
      </c>
      <c r="F1139" s="4" t="s">
        <v>108</v>
      </c>
      <c r="G1139" s="4" t="s">
        <v>2047</v>
      </c>
      <c r="H1139" s="4" t="s">
        <v>546</v>
      </c>
      <c r="I1139" s="4" t="s">
        <v>102</v>
      </c>
      <c r="Q1139" s="9">
        <v>1</v>
      </c>
      <c r="T1139" s="11">
        <v>2</v>
      </c>
      <c r="Z1139" s="9">
        <v>0</v>
      </c>
      <c r="AF1139" s="11">
        <v>1</v>
      </c>
      <c r="AI1139" s="11">
        <v>1</v>
      </c>
    </row>
    <row r="1140" spans="1:35" x14ac:dyDescent="0.25">
      <c r="A1140" s="161" t="str">
        <f t="shared" si="18"/>
        <v>PARATROOPER_NETHERLANDS</v>
      </c>
      <c r="B1140" s="9" t="s">
        <v>108</v>
      </c>
      <c r="C1140" s="4" t="s">
        <v>730</v>
      </c>
      <c r="E1140" s="4" t="s">
        <v>108</v>
      </c>
      <c r="F1140" s="4" t="s">
        <v>108</v>
      </c>
      <c r="H1140" s="4" t="s">
        <v>968</v>
      </c>
      <c r="I1140" s="4" t="s">
        <v>102</v>
      </c>
      <c r="Q1140" s="9">
        <v>4</v>
      </c>
      <c r="T1140" s="11">
        <v>4</v>
      </c>
      <c r="Z1140" s="9">
        <v>0</v>
      </c>
      <c r="AF1140" s="11">
        <v>1</v>
      </c>
      <c r="AI1140" s="11">
        <v>2</v>
      </c>
    </row>
    <row r="1141" spans="1:35" x14ac:dyDescent="0.25">
      <c r="A1141" s="161" t="str">
        <f t="shared" si="18"/>
        <v>PARATROOPER_NETHERLANDS</v>
      </c>
      <c r="B1141" s="9" t="s">
        <v>108</v>
      </c>
      <c r="C1141" s="4" t="s">
        <v>730</v>
      </c>
      <c r="E1141" s="4" t="s">
        <v>108</v>
      </c>
      <c r="F1141" s="4" t="s">
        <v>108</v>
      </c>
      <c r="G1141" s="4" t="s">
        <v>2047</v>
      </c>
      <c r="H1141" s="4" t="s">
        <v>546</v>
      </c>
      <c r="I1141" s="4" t="s">
        <v>102</v>
      </c>
      <c r="Q1141" s="9">
        <v>1</v>
      </c>
      <c r="T1141" s="11">
        <v>2</v>
      </c>
      <c r="Z1141" s="9">
        <v>0</v>
      </c>
      <c r="AF1141" s="11">
        <v>0</v>
      </c>
      <c r="AI1141" s="11">
        <v>1</v>
      </c>
    </row>
    <row r="1142" spans="1:35" x14ac:dyDescent="0.25">
      <c r="A1142" s="161" t="str">
        <f t="shared" si="18"/>
        <v>PARATROOPER_GREECE</v>
      </c>
      <c r="B1142" s="9" t="s">
        <v>108</v>
      </c>
      <c r="C1142" s="4" t="s">
        <v>718</v>
      </c>
      <c r="E1142" s="4" t="s">
        <v>108</v>
      </c>
      <c r="F1142" s="4" t="s">
        <v>108</v>
      </c>
      <c r="H1142" s="4" t="s">
        <v>919</v>
      </c>
      <c r="I1142" s="4" t="s">
        <v>102</v>
      </c>
      <c r="Q1142" s="9">
        <v>4</v>
      </c>
      <c r="T1142" s="11">
        <v>4</v>
      </c>
      <c r="Z1142" s="9">
        <v>1</v>
      </c>
      <c r="AF1142" s="11">
        <v>1</v>
      </c>
      <c r="AI1142" s="11">
        <v>2</v>
      </c>
    </row>
    <row r="1143" spans="1:35" x14ac:dyDescent="0.25">
      <c r="A1143" s="161" t="str">
        <f t="shared" si="18"/>
        <v>PARATROOPER_GREECE</v>
      </c>
      <c r="B1143" s="9" t="s">
        <v>108</v>
      </c>
      <c r="C1143" s="4" t="s">
        <v>718</v>
      </c>
      <c r="E1143" s="4" t="s">
        <v>108</v>
      </c>
      <c r="F1143" s="4" t="s">
        <v>108</v>
      </c>
      <c r="G1143" s="4" t="s">
        <v>2047</v>
      </c>
      <c r="H1143" s="4" t="s">
        <v>409</v>
      </c>
      <c r="I1143" s="4" t="s">
        <v>102</v>
      </c>
      <c r="Q1143" s="9">
        <v>1</v>
      </c>
      <c r="T1143" s="11">
        <v>2</v>
      </c>
      <c r="Z1143" s="9">
        <v>0</v>
      </c>
      <c r="AF1143" s="11">
        <v>1</v>
      </c>
      <c r="AI1143" s="11">
        <v>1</v>
      </c>
    </row>
    <row r="1144" spans="1:35" x14ac:dyDescent="0.25">
      <c r="A1144" s="161" t="str">
        <f t="shared" si="18"/>
        <v>PARATROOPER_GREECE</v>
      </c>
      <c r="B1144" s="9" t="s">
        <v>108</v>
      </c>
      <c r="C1144" s="4" t="s">
        <v>718</v>
      </c>
      <c r="E1144" s="4" t="s">
        <v>108</v>
      </c>
      <c r="F1144" s="4" t="s">
        <v>108</v>
      </c>
      <c r="H1144" s="4" t="s">
        <v>919</v>
      </c>
      <c r="I1144" s="4" t="s">
        <v>102</v>
      </c>
      <c r="Q1144" s="9">
        <v>4</v>
      </c>
      <c r="T1144" s="11">
        <v>4</v>
      </c>
      <c r="Z1144" s="9">
        <v>0</v>
      </c>
      <c r="AF1144" s="11">
        <v>1</v>
      </c>
      <c r="AI1144" s="11">
        <v>2</v>
      </c>
    </row>
    <row r="1145" spans="1:35" x14ac:dyDescent="0.25">
      <c r="A1145" s="161" t="str">
        <f t="shared" si="18"/>
        <v>PARATROOPER_GREECE</v>
      </c>
      <c r="B1145" s="9" t="s">
        <v>108</v>
      </c>
      <c r="C1145" s="4" t="s">
        <v>718</v>
      </c>
      <c r="E1145" s="4" t="s">
        <v>108</v>
      </c>
      <c r="F1145" s="4" t="s">
        <v>108</v>
      </c>
      <c r="G1145" s="4" t="s">
        <v>2047</v>
      </c>
      <c r="H1145" s="4" t="s">
        <v>409</v>
      </c>
      <c r="I1145" s="4" t="s">
        <v>102</v>
      </c>
      <c r="Q1145" s="9">
        <v>1</v>
      </c>
      <c r="T1145" s="11">
        <v>2</v>
      </c>
      <c r="Z1145" s="9">
        <v>0</v>
      </c>
      <c r="AF1145" s="11">
        <v>0</v>
      </c>
      <c r="AI1145" s="11">
        <v>1</v>
      </c>
    </row>
    <row r="1146" spans="1:35" x14ac:dyDescent="0.25">
      <c r="A1146" s="161" t="str">
        <f t="shared" si="18"/>
        <v>PARATROOPER_ROME</v>
      </c>
      <c r="B1146" s="9" t="s">
        <v>108</v>
      </c>
      <c r="C1146" s="4" t="s">
        <v>734</v>
      </c>
      <c r="E1146" s="4" t="s">
        <v>108</v>
      </c>
      <c r="F1146" s="4" t="s">
        <v>108</v>
      </c>
      <c r="H1146" s="4" t="s">
        <v>970</v>
      </c>
      <c r="I1146" s="4" t="s">
        <v>102</v>
      </c>
      <c r="Q1146" s="9">
        <v>4</v>
      </c>
      <c r="T1146" s="11">
        <v>4</v>
      </c>
      <c r="Z1146" s="9">
        <v>1</v>
      </c>
      <c r="AF1146" s="11">
        <v>1</v>
      </c>
      <c r="AI1146" s="11">
        <v>2</v>
      </c>
    </row>
    <row r="1147" spans="1:35" x14ac:dyDescent="0.25">
      <c r="A1147" s="161" t="str">
        <f t="shared" si="18"/>
        <v>PARATROOPER_ROME</v>
      </c>
      <c r="B1147" s="9" t="s">
        <v>108</v>
      </c>
      <c r="C1147" s="4" t="s">
        <v>734</v>
      </c>
      <c r="E1147" s="4" t="s">
        <v>108</v>
      </c>
      <c r="F1147" s="4" t="s">
        <v>108</v>
      </c>
      <c r="G1147" s="4" t="s">
        <v>2047</v>
      </c>
      <c r="H1147" s="4" t="s">
        <v>596</v>
      </c>
      <c r="I1147" s="4" t="s">
        <v>102</v>
      </c>
      <c r="Q1147" s="9">
        <v>1</v>
      </c>
      <c r="T1147" s="11">
        <v>2</v>
      </c>
      <c r="Z1147" s="9">
        <v>0</v>
      </c>
      <c r="AF1147" s="11">
        <v>1</v>
      </c>
      <c r="AI1147" s="11">
        <v>1</v>
      </c>
    </row>
    <row r="1148" spans="1:35" x14ac:dyDescent="0.25">
      <c r="A1148" s="161" t="str">
        <f t="shared" si="18"/>
        <v>PARATROOPER_ROME</v>
      </c>
      <c r="B1148" s="9" t="s">
        <v>108</v>
      </c>
      <c r="C1148" s="4" t="s">
        <v>734</v>
      </c>
      <c r="E1148" s="4" t="s">
        <v>108</v>
      </c>
      <c r="F1148" s="4" t="s">
        <v>108</v>
      </c>
      <c r="H1148" s="4" t="s">
        <v>970</v>
      </c>
      <c r="I1148" s="4" t="s">
        <v>102</v>
      </c>
      <c r="Q1148" s="9">
        <v>4</v>
      </c>
      <c r="T1148" s="11">
        <v>4</v>
      </c>
      <c r="Z1148" s="9">
        <v>0</v>
      </c>
      <c r="AF1148" s="11">
        <v>1</v>
      </c>
      <c r="AI1148" s="11">
        <v>2</v>
      </c>
    </row>
    <row r="1149" spans="1:35" x14ac:dyDescent="0.25">
      <c r="A1149" s="161" t="str">
        <f t="shared" si="18"/>
        <v>PARATROOPER_ROME</v>
      </c>
      <c r="B1149" s="9" t="s">
        <v>108</v>
      </c>
      <c r="C1149" s="4" t="s">
        <v>734</v>
      </c>
      <c r="E1149" s="4" t="s">
        <v>108</v>
      </c>
      <c r="F1149" s="4" t="s">
        <v>108</v>
      </c>
      <c r="G1149" s="4" t="s">
        <v>2047</v>
      </c>
      <c r="H1149" s="4" t="s">
        <v>596</v>
      </c>
      <c r="I1149" s="4" t="s">
        <v>102</v>
      </c>
      <c r="Q1149" s="9">
        <v>1</v>
      </c>
      <c r="T1149" s="11">
        <v>2</v>
      </c>
      <c r="Z1149" s="9">
        <v>0</v>
      </c>
      <c r="AF1149" s="11">
        <v>0</v>
      </c>
      <c r="AI1149" s="11">
        <v>1</v>
      </c>
    </row>
    <row r="1150" spans="1:35" x14ac:dyDescent="0.25">
      <c r="A1150" s="161" t="str">
        <f t="shared" si="18"/>
        <v>PARATROOPER_SPAIN</v>
      </c>
      <c r="B1150" s="9" t="s">
        <v>108</v>
      </c>
      <c r="C1150" s="4" t="s">
        <v>738</v>
      </c>
      <c r="E1150" s="4" t="s">
        <v>108</v>
      </c>
      <c r="F1150" s="4" t="s">
        <v>108</v>
      </c>
      <c r="H1150" s="4" t="s">
        <v>972</v>
      </c>
      <c r="I1150" s="4" t="s">
        <v>102</v>
      </c>
      <c r="Q1150" s="9">
        <v>4</v>
      </c>
      <c r="T1150" s="11">
        <v>4</v>
      </c>
      <c r="Z1150" s="9">
        <v>1</v>
      </c>
      <c r="AF1150" s="11">
        <v>1</v>
      </c>
      <c r="AI1150" s="11">
        <v>2</v>
      </c>
    </row>
    <row r="1151" spans="1:35" x14ac:dyDescent="0.25">
      <c r="A1151" s="161" t="str">
        <f t="shared" si="18"/>
        <v>PARATROOPER_SPAIN</v>
      </c>
      <c r="B1151" s="9" t="s">
        <v>108</v>
      </c>
      <c r="C1151" s="4" t="s">
        <v>738</v>
      </c>
      <c r="E1151" s="4" t="s">
        <v>108</v>
      </c>
      <c r="F1151" s="4" t="s">
        <v>108</v>
      </c>
      <c r="G1151" s="4" t="s">
        <v>2047</v>
      </c>
      <c r="H1151" s="4" t="s">
        <v>659</v>
      </c>
      <c r="I1151" s="4" t="s">
        <v>102</v>
      </c>
      <c r="Q1151" s="9">
        <v>1</v>
      </c>
      <c r="T1151" s="11">
        <v>2</v>
      </c>
      <c r="Z1151" s="9">
        <v>0</v>
      </c>
      <c r="AF1151" s="11">
        <v>1</v>
      </c>
      <c r="AI1151" s="11">
        <v>1</v>
      </c>
    </row>
    <row r="1152" spans="1:35" x14ac:dyDescent="0.25">
      <c r="A1152" s="161" t="str">
        <f t="shared" si="18"/>
        <v>PARATROOPER_SPAIN</v>
      </c>
      <c r="B1152" s="9" t="s">
        <v>108</v>
      </c>
      <c r="C1152" s="4" t="s">
        <v>738</v>
      </c>
      <c r="E1152" s="4" t="s">
        <v>108</v>
      </c>
      <c r="F1152" s="4" t="s">
        <v>108</v>
      </c>
      <c r="H1152" s="4" t="s">
        <v>972</v>
      </c>
      <c r="I1152" s="4" t="s">
        <v>102</v>
      </c>
      <c r="Q1152" s="9">
        <v>4</v>
      </c>
      <c r="T1152" s="11">
        <v>4</v>
      </c>
      <c r="Z1152" s="9">
        <v>0</v>
      </c>
      <c r="AF1152" s="11">
        <v>1</v>
      </c>
      <c r="AI1152" s="11">
        <v>2</v>
      </c>
    </row>
    <row r="1153" spans="1:43" x14ac:dyDescent="0.25">
      <c r="A1153" s="161" t="str">
        <f t="shared" si="18"/>
        <v>PARATROOPER_SPAIN</v>
      </c>
      <c r="B1153" s="9" t="s">
        <v>108</v>
      </c>
      <c r="C1153" s="4" t="s">
        <v>738</v>
      </c>
      <c r="E1153" s="4" t="s">
        <v>108</v>
      </c>
      <c r="F1153" s="4" t="s">
        <v>108</v>
      </c>
      <c r="G1153" s="4" t="s">
        <v>2047</v>
      </c>
      <c r="H1153" s="4" t="s">
        <v>659</v>
      </c>
      <c r="I1153" s="4" t="s">
        <v>102</v>
      </c>
      <c r="Q1153" s="9">
        <v>1</v>
      </c>
      <c r="T1153" s="11">
        <v>2</v>
      </c>
      <c r="Z1153" s="9">
        <v>0</v>
      </c>
      <c r="AF1153" s="11">
        <v>0</v>
      </c>
      <c r="AI1153" s="11">
        <v>1</v>
      </c>
    </row>
    <row r="1154" spans="1:43" x14ac:dyDescent="0.25">
      <c r="A1154" s="161" t="str">
        <f t="shared" si="18"/>
        <v>PARATROOPER_NORTHEU</v>
      </c>
      <c r="B1154" s="9" t="s">
        <v>108</v>
      </c>
      <c r="C1154" s="4" t="s">
        <v>962</v>
      </c>
      <c r="E1154" s="4" t="s">
        <v>108</v>
      </c>
      <c r="F1154" s="4" t="s">
        <v>108</v>
      </c>
      <c r="H1154" s="4" t="s">
        <v>973</v>
      </c>
      <c r="I1154" s="4" t="s">
        <v>102</v>
      </c>
      <c r="Q1154" s="9">
        <v>4</v>
      </c>
      <c r="T1154" s="11">
        <v>4</v>
      </c>
      <c r="Z1154" s="9">
        <v>1</v>
      </c>
      <c r="AF1154" s="11">
        <v>1</v>
      </c>
      <c r="AI1154" s="11">
        <v>2</v>
      </c>
    </row>
    <row r="1155" spans="1:43" x14ac:dyDescent="0.25">
      <c r="A1155" s="161" t="str">
        <f t="shared" si="18"/>
        <v>PARATROOPER_NORTHEU</v>
      </c>
      <c r="B1155" s="9" t="s">
        <v>108</v>
      </c>
      <c r="C1155" s="4" t="s">
        <v>962</v>
      </c>
      <c r="E1155" s="4" t="s">
        <v>108</v>
      </c>
      <c r="F1155" s="4" t="s">
        <v>108</v>
      </c>
      <c r="G1155" s="4" t="s">
        <v>2047</v>
      </c>
      <c r="H1155" s="4" t="s">
        <v>673</v>
      </c>
      <c r="I1155" s="4" t="s">
        <v>102</v>
      </c>
      <c r="Q1155" s="9">
        <v>1</v>
      </c>
      <c r="T1155" s="11">
        <v>2</v>
      </c>
      <c r="Z1155" s="9">
        <v>0</v>
      </c>
      <c r="AF1155" s="11">
        <v>1</v>
      </c>
      <c r="AI1155" s="11">
        <v>1</v>
      </c>
    </row>
    <row r="1156" spans="1:43" x14ac:dyDescent="0.25">
      <c r="A1156" s="161" t="str">
        <f t="shared" si="18"/>
        <v>PARATROOPER_NORTHEU</v>
      </c>
      <c r="B1156" s="9" t="s">
        <v>108</v>
      </c>
      <c r="C1156" s="4" t="s">
        <v>962</v>
      </c>
      <c r="E1156" s="4" t="s">
        <v>108</v>
      </c>
      <c r="F1156" s="4" t="s">
        <v>108</v>
      </c>
      <c r="H1156" s="4" t="s">
        <v>973</v>
      </c>
      <c r="I1156" s="4" t="s">
        <v>102</v>
      </c>
      <c r="Q1156" s="9">
        <v>4</v>
      </c>
      <c r="T1156" s="11">
        <v>4</v>
      </c>
      <c r="Z1156" s="9">
        <v>0</v>
      </c>
      <c r="AF1156" s="11">
        <v>1</v>
      </c>
      <c r="AI1156" s="11">
        <v>2</v>
      </c>
    </row>
    <row r="1157" spans="1:43" x14ac:dyDescent="0.25">
      <c r="A1157" s="161" t="str">
        <f t="shared" si="18"/>
        <v>PARATROOPER_NORTHEU</v>
      </c>
      <c r="B1157" s="9" t="s">
        <v>108</v>
      </c>
      <c r="C1157" s="4" t="s">
        <v>962</v>
      </c>
      <c r="E1157" s="4" t="s">
        <v>108</v>
      </c>
      <c r="F1157" s="4" t="s">
        <v>108</v>
      </c>
      <c r="G1157" s="4" t="s">
        <v>2047</v>
      </c>
      <c r="H1157" s="4" t="s">
        <v>673</v>
      </c>
      <c r="I1157" s="4" t="s">
        <v>102</v>
      </c>
      <c r="Q1157" s="9">
        <v>1</v>
      </c>
      <c r="T1157" s="11">
        <v>2</v>
      </c>
      <c r="Z1157" s="9">
        <v>0</v>
      </c>
      <c r="AF1157" s="11">
        <v>0</v>
      </c>
      <c r="AI1157" s="11">
        <v>1</v>
      </c>
    </row>
    <row r="1158" spans="1:43" x14ac:dyDescent="0.25">
      <c r="A1158" s="161" t="str">
        <f t="shared" si="18"/>
        <v>PARATROOPER_OCEAN</v>
      </c>
      <c r="B1158" s="9" t="s">
        <v>108</v>
      </c>
      <c r="C1158" s="5" t="s">
        <v>994</v>
      </c>
      <c r="D1158" s="5"/>
      <c r="E1158" s="5" t="s">
        <v>108</v>
      </c>
      <c r="F1158" s="5" t="s">
        <v>108</v>
      </c>
      <c r="G1158" s="5"/>
      <c r="H1158" s="5" t="s">
        <v>1504</v>
      </c>
      <c r="I1158" s="5" t="s">
        <v>102</v>
      </c>
      <c r="J1158" s="6"/>
      <c r="K1158" s="6"/>
      <c r="L1158" s="13" t="s">
        <v>1708</v>
      </c>
      <c r="M1158" s="8"/>
      <c r="N1158" s="5"/>
      <c r="O1158" s="5"/>
      <c r="P1158" s="5"/>
      <c r="Q1158" s="6">
        <v>3</v>
      </c>
      <c r="R1158" s="6" t="s">
        <v>1737</v>
      </c>
      <c r="S1158" s="13" t="s">
        <v>1620</v>
      </c>
      <c r="T1158" s="6">
        <v>4</v>
      </c>
      <c r="U1158" s="7" t="s">
        <v>1737</v>
      </c>
      <c r="V1158" s="5"/>
      <c r="W1158" s="7" t="s">
        <v>3</v>
      </c>
      <c r="X1158" s="6" t="s">
        <v>3</v>
      </c>
      <c r="Y1158" s="5"/>
      <c r="Z1158" s="7">
        <v>1</v>
      </c>
      <c r="AA1158" s="6"/>
      <c r="AB1158" s="5"/>
      <c r="AC1158" s="6"/>
      <c r="AD1158" s="6" t="s">
        <v>3</v>
      </c>
      <c r="AE1158" s="5"/>
      <c r="AF1158" s="6">
        <v>1</v>
      </c>
      <c r="AG1158" s="6"/>
      <c r="AH1158" s="5"/>
      <c r="AI1158" s="6">
        <v>2</v>
      </c>
      <c r="AJ1158" s="6"/>
      <c r="AK1158" s="5"/>
      <c r="AL1158" s="5"/>
      <c r="AM1158" s="5"/>
      <c r="AN1158" s="5"/>
      <c r="AO1158" s="5"/>
      <c r="AP1158" s="5"/>
      <c r="AQ1158" s="5"/>
    </row>
    <row r="1159" spans="1:43" x14ac:dyDescent="0.25">
      <c r="A1159" s="161" t="str">
        <f t="shared" si="18"/>
        <v>PARATROOPER_OCEAN</v>
      </c>
      <c r="B1159" s="9" t="s">
        <v>108</v>
      </c>
      <c r="C1159" s="5" t="s">
        <v>994</v>
      </c>
      <c r="D1159" s="5"/>
      <c r="E1159" s="5" t="s">
        <v>108</v>
      </c>
      <c r="F1159" s="5" t="s">
        <v>108</v>
      </c>
      <c r="G1159" s="5" t="s">
        <v>2047</v>
      </c>
      <c r="H1159" s="5" t="s">
        <v>1505</v>
      </c>
      <c r="I1159" s="5" t="s">
        <v>102</v>
      </c>
      <c r="J1159" s="6"/>
      <c r="K1159" s="6"/>
      <c r="L1159" s="13" t="s">
        <v>1708</v>
      </c>
      <c r="M1159" s="8"/>
      <c r="N1159" s="5"/>
      <c r="O1159" s="5"/>
      <c r="P1159" s="5"/>
      <c r="Q1159" s="6">
        <v>1</v>
      </c>
      <c r="R1159" s="6" t="s">
        <v>1737</v>
      </c>
      <c r="S1159" s="13" t="s">
        <v>1620</v>
      </c>
      <c r="T1159" s="6">
        <v>2</v>
      </c>
      <c r="U1159" s="7" t="s">
        <v>1737</v>
      </c>
      <c r="V1159" s="5"/>
      <c r="W1159" s="7" t="s">
        <v>3</v>
      </c>
      <c r="X1159" s="6" t="s">
        <v>3</v>
      </c>
      <c r="Y1159" s="5"/>
      <c r="Z1159" s="7">
        <v>0</v>
      </c>
      <c r="AA1159" s="6"/>
      <c r="AB1159" s="5"/>
      <c r="AC1159" s="6"/>
      <c r="AD1159" s="6" t="s">
        <v>3</v>
      </c>
      <c r="AE1159" s="5"/>
      <c r="AF1159" s="6">
        <v>1</v>
      </c>
      <c r="AG1159" s="6"/>
      <c r="AH1159" s="5"/>
      <c r="AI1159" s="6">
        <v>1</v>
      </c>
      <c r="AJ1159" s="6"/>
      <c r="AK1159" s="5"/>
      <c r="AL1159" s="5"/>
      <c r="AM1159" s="5"/>
      <c r="AN1159" s="5"/>
      <c r="AO1159" s="5"/>
      <c r="AP1159" s="5"/>
      <c r="AQ1159" s="5"/>
    </row>
    <row r="1160" spans="1:43" x14ac:dyDescent="0.25">
      <c r="A1160" s="161" t="str">
        <f t="shared" si="18"/>
        <v>PARATROOPER_OCEAN</v>
      </c>
      <c r="B1160" s="9" t="s">
        <v>108</v>
      </c>
      <c r="C1160" s="5" t="s">
        <v>994</v>
      </c>
      <c r="D1160" s="5"/>
      <c r="E1160" s="5" t="s">
        <v>108</v>
      </c>
      <c r="F1160" s="5" t="s">
        <v>108</v>
      </c>
      <c r="G1160" s="5"/>
      <c r="H1160" s="5" t="s">
        <v>1504</v>
      </c>
      <c r="I1160" s="5" t="s">
        <v>102</v>
      </c>
      <c r="J1160" s="6"/>
      <c r="K1160" s="6"/>
      <c r="L1160" s="13" t="s">
        <v>1708</v>
      </c>
      <c r="M1160" s="8"/>
      <c r="N1160" s="5"/>
      <c r="O1160" s="5"/>
      <c r="P1160" s="5"/>
      <c r="Q1160" s="6">
        <v>4</v>
      </c>
      <c r="R1160" s="6" t="s">
        <v>1737</v>
      </c>
      <c r="S1160" s="13" t="s">
        <v>1620</v>
      </c>
      <c r="T1160" s="6">
        <v>4</v>
      </c>
      <c r="U1160" s="7" t="s">
        <v>1737</v>
      </c>
      <c r="V1160" s="5"/>
      <c r="W1160" s="7" t="s">
        <v>3</v>
      </c>
      <c r="X1160" s="6" t="s">
        <v>3</v>
      </c>
      <c r="Y1160" s="5"/>
      <c r="Z1160" s="7">
        <v>0</v>
      </c>
      <c r="AA1160" s="6"/>
      <c r="AB1160" s="5"/>
      <c r="AC1160" s="6"/>
      <c r="AD1160" s="6" t="s">
        <v>3</v>
      </c>
      <c r="AE1160" s="5"/>
      <c r="AF1160" s="6">
        <v>1</v>
      </c>
      <c r="AG1160" s="6"/>
      <c r="AH1160" s="5"/>
      <c r="AI1160" s="6">
        <v>2</v>
      </c>
      <c r="AJ1160" s="6"/>
      <c r="AK1160" s="5"/>
      <c r="AL1160" s="5"/>
      <c r="AM1160" s="5"/>
      <c r="AN1160" s="5"/>
      <c r="AO1160" s="5"/>
      <c r="AP1160" s="5"/>
      <c r="AQ1160" s="5"/>
    </row>
    <row r="1161" spans="1:43" x14ac:dyDescent="0.25">
      <c r="A1161" s="161" t="str">
        <f t="shared" si="18"/>
        <v>PARATROOPER_OCEAN</v>
      </c>
      <c r="B1161" s="9" t="s">
        <v>108</v>
      </c>
      <c r="C1161" s="5" t="s">
        <v>994</v>
      </c>
      <c r="D1161" s="5"/>
      <c r="E1161" s="5" t="s">
        <v>108</v>
      </c>
      <c r="F1161" s="5" t="s">
        <v>108</v>
      </c>
      <c r="G1161" s="5" t="s">
        <v>2047</v>
      </c>
      <c r="H1161" s="5" t="s">
        <v>1505</v>
      </c>
      <c r="I1161" s="5" t="s">
        <v>102</v>
      </c>
      <c r="J1161" s="6"/>
      <c r="K1161" s="6"/>
      <c r="L1161" s="13" t="s">
        <v>1708</v>
      </c>
      <c r="M1161" s="8"/>
      <c r="N1161" s="5"/>
      <c r="O1161" s="5"/>
      <c r="P1161" s="5"/>
      <c r="Q1161" s="7">
        <v>2</v>
      </c>
      <c r="R1161" s="6" t="s">
        <v>1737</v>
      </c>
      <c r="S1161" s="13" t="s">
        <v>1620</v>
      </c>
      <c r="T1161" s="7">
        <v>2</v>
      </c>
      <c r="U1161" s="7" t="s">
        <v>1737</v>
      </c>
      <c r="V1161" s="5"/>
      <c r="W1161" s="7" t="s">
        <v>3</v>
      </c>
      <c r="X1161" s="6" t="s">
        <v>3</v>
      </c>
      <c r="Y1161" s="5"/>
      <c r="Z1161" s="7">
        <v>0</v>
      </c>
      <c r="AA1161" s="6"/>
      <c r="AB1161" s="5"/>
      <c r="AC1161" s="6"/>
      <c r="AD1161" s="6" t="s">
        <v>3</v>
      </c>
      <c r="AE1161" s="5"/>
      <c r="AF1161" s="7">
        <v>0</v>
      </c>
      <c r="AG1161" s="6"/>
      <c r="AH1161" s="5"/>
      <c r="AI1161" s="7">
        <v>1</v>
      </c>
      <c r="AJ1161" s="6"/>
      <c r="AK1161" s="5"/>
      <c r="AL1161" s="5"/>
      <c r="AM1161" s="5"/>
      <c r="AN1161" s="5"/>
      <c r="AO1161" s="5"/>
      <c r="AP1161" s="5"/>
      <c r="AQ1161" s="5"/>
    </row>
    <row r="1162" spans="1:43" x14ac:dyDescent="0.25">
      <c r="A1162" s="161" t="str">
        <f t="shared" si="18"/>
        <v>PARATROOPER_SEASIA</v>
      </c>
      <c r="B1162" s="9" t="s">
        <v>108</v>
      </c>
      <c r="C1162" s="4" t="s">
        <v>696</v>
      </c>
      <c r="D1162" s="4" t="s">
        <v>994</v>
      </c>
      <c r="E1162" s="4" t="s">
        <v>108</v>
      </c>
      <c r="F1162" s="4" t="s">
        <v>108</v>
      </c>
    </row>
    <row r="1163" spans="1:43" x14ac:dyDescent="0.25">
      <c r="A1163" s="161" t="str">
        <f t="shared" si="18"/>
        <v>PARATROOPER_SOUTHAM</v>
      </c>
      <c r="B1163" s="9" t="s">
        <v>108</v>
      </c>
      <c r="C1163" s="4" t="s">
        <v>691</v>
      </c>
      <c r="D1163" s="4" t="s">
        <v>994</v>
      </c>
      <c r="E1163" s="4" t="s">
        <v>108</v>
      </c>
      <c r="F1163" s="4" t="s">
        <v>108</v>
      </c>
    </row>
    <row r="1164" spans="1:43" x14ac:dyDescent="0.25">
      <c r="A1164" s="161" t="str">
        <f t="shared" si="18"/>
        <v>PARATROOPER_SOUTHAS</v>
      </c>
      <c r="B1164" s="9" t="s">
        <v>108</v>
      </c>
      <c r="C1164" s="4" t="s">
        <v>695</v>
      </c>
      <c r="D1164" s="4" t="s">
        <v>693</v>
      </c>
      <c r="E1164" s="4" t="s">
        <v>108</v>
      </c>
      <c r="F1164" s="4" t="s">
        <v>108</v>
      </c>
    </row>
    <row r="1165" spans="1:43" x14ac:dyDescent="0.25">
      <c r="A1165" s="161" t="str">
        <f t="shared" si="18"/>
        <v>PIKEMAN</v>
      </c>
      <c r="B1165" s="9" t="s">
        <v>107</v>
      </c>
      <c r="C1165" s="5"/>
      <c r="D1165" s="5"/>
      <c r="E1165" s="5" t="s">
        <v>107</v>
      </c>
      <c r="F1165" s="5" t="s">
        <v>107</v>
      </c>
      <c r="G1165" s="5"/>
      <c r="H1165" s="5" t="s">
        <v>22</v>
      </c>
      <c r="I1165" s="5" t="s">
        <v>128</v>
      </c>
      <c r="J1165" s="6"/>
      <c r="K1165" s="6"/>
      <c r="L1165" s="13" t="s">
        <v>1708</v>
      </c>
      <c r="M1165" s="8"/>
      <c r="N1165" s="5"/>
      <c r="O1165" s="5"/>
      <c r="P1165" s="5"/>
      <c r="Q1165" s="7" t="s">
        <v>1737</v>
      </c>
      <c r="R1165" s="6" t="s">
        <v>1737</v>
      </c>
      <c r="S1165" s="13" t="s">
        <v>22</v>
      </c>
      <c r="T1165" s="7" t="s">
        <v>1737</v>
      </c>
      <c r="U1165" s="7" t="s">
        <v>1695</v>
      </c>
      <c r="V1165" s="5"/>
      <c r="W1165" s="6" t="s">
        <v>3</v>
      </c>
      <c r="X1165" s="6" t="s">
        <v>3</v>
      </c>
      <c r="Y1165" s="5"/>
      <c r="Z1165" s="7">
        <v>1</v>
      </c>
      <c r="AA1165" s="6"/>
      <c r="AB1165" s="5"/>
      <c r="AC1165" s="6"/>
      <c r="AD1165" s="6" t="s">
        <v>3</v>
      </c>
      <c r="AE1165" s="5"/>
      <c r="AF1165" s="7" t="s">
        <v>1737</v>
      </c>
      <c r="AG1165" s="6"/>
      <c r="AH1165" s="5"/>
      <c r="AI1165" s="7" t="s">
        <v>1737</v>
      </c>
      <c r="AJ1165" s="6"/>
      <c r="AK1165" s="5"/>
      <c r="AL1165" s="5"/>
      <c r="AM1165" s="5"/>
      <c r="AN1165" s="5"/>
      <c r="AO1165" s="5"/>
      <c r="AP1165" s="5"/>
      <c r="AQ1165" s="5"/>
    </row>
    <row r="1166" spans="1:43" x14ac:dyDescent="0.25">
      <c r="A1166" s="161" t="str">
        <f t="shared" si="18"/>
        <v>PIKEMAN_AFRI</v>
      </c>
      <c r="B1166" s="9" t="s">
        <v>107</v>
      </c>
      <c r="C1166" s="4" t="s">
        <v>694</v>
      </c>
      <c r="E1166" s="4" t="s">
        <v>107</v>
      </c>
      <c r="F1166" s="4" t="s">
        <v>107</v>
      </c>
      <c r="H1166" s="4" t="s">
        <v>329</v>
      </c>
      <c r="I1166" s="4" t="s">
        <v>1025</v>
      </c>
    </row>
    <row r="1167" spans="1:43" x14ac:dyDescent="0.25">
      <c r="A1167" s="161" t="str">
        <f t="shared" si="18"/>
        <v>PIKEMAN_SONGHAI</v>
      </c>
      <c r="B1167" s="9" t="s">
        <v>107</v>
      </c>
      <c r="C1167" s="4" t="s">
        <v>737</v>
      </c>
      <c r="E1167" s="4" t="s">
        <v>107</v>
      </c>
      <c r="F1167" s="4" t="s">
        <v>107</v>
      </c>
      <c r="G1167" s="14"/>
      <c r="H1167" s="4" t="s">
        <v>1961</v>
      </c>
      <c r="I1167" s="4" t="s">
        <v>1025</v>
      </c>
    </row>
    <row r="1168" spans="1:43" x14ac:dyDescent="0.25">
      <c r="A1168" s="161" t="str">
        <f t="shared" si="18"/>
        <v>PIKEMAN_AMER</v>
      </c>
      <c r="B1168" s="9" t="s">
        <v>107</v>
      </c>
      <c r="C1168" s="4" t="s">
        <v>697</v>
      </c>
      <c r="E1168" s="4" t="s">
        <v>107</v>
      </c>
      <c r="F1168" s="4" t="s">
        <v>107</v>
      </c>
      <c r="H1168" s="4" t="s">
        <v>468</v>
      </c>
      <c r="I1168" s="4" t="s">
        <v>1935</v>
      </c>
    </row>
    <row r="1169" spans="1:35" x14ac:dyDescent="0.25">
      <c r="A1169" s="161" t="str">
        <f t="shared" si="18"/>
        <v>PIKEMAN_ASIA</v>
      </c>
      <c r="B1169" s="9" t="s">
        <v>107</v>
      </c>
      <c r="C1169" s="4" t="s">
        <v>693</v>
      </c>
      <c r="E1169" s="4" t="s">
        <v>107</v>
      </c>
      <c r="F1169" s="4" t="s">
        <v>107</v>
      </c>
      <c r="H1169" s="4" t="s">
        <v>857</v>
      </c>
      <c r="I1169" s="4" t="s">
        <v>102</v>
      </c>
    </row>
    <row r="1170" spans="1:35" x14ac:dyDescent="0.25">
      <c r="A1170" s="161" t="str">
        <f t="shared" si="18"/>
        <v>PIKEMAN_CHINA</v>
      </c>
      <c r="B1170" s="9" t="s">
        <v>107</v>
      </c>
      <c r="C1170" s="4" t="s">
        <v>710</v>
      </c>
      <c r="E1170" s="4" t="s">
        <v>107</v>
      </c>
      <c r="F1170" s="4" t="s">
        <v>107</v>
      </c>
      <c r="G1170" s="14" t="s">
        <v>132</v>
      </c>
      <c r="H1170" s="4" t="s">
        <v>256</v>
      </c>
      <c r="I1170" s="4" t="s">
        <v>102</v>
      </c>
    </row>
    <row r="1171" spans="1:35" x14ac:dyDescent="0.25">
      <c r="A1171" s="161" t="str">
        <f t="shared" si="18"/>
        <v>PIKEMAN_JAPAN</v>
      </c>
      <c r="B1171" s="9" t="s">
        <v>107</v>
      </c>
      <c r="C1171" s="4" t="s">
        <v>722</v>
      </c>
      <c r="E1171" s="4" t="s">
        <v>107</v>
      </c>
      <c r="F1171" s="4" t="s">
        <v>107</v>
      </c>
      <c r="G1171" s="14" t="s">
        <v>132</v>
      </c>
      <c r="H1171" s="4" t="s">
        <v>487</v>
      </c>
      <c r="I1171" s="4" t="s">
        <v>102</v>
      </c>
    </row>
    <row r="1172" spans="1:35" x14ac:dyDescent="0.25">
      <c r="A1172" s="161" t="str">
        <f t="shared" ref="A1172:A1241" si="19">CONCATENATE(E1172,IF(ISBLANK(C1172),"",CONCATENATE("_",C1172)))</f>
        <v>PIKEMAN_KOREA</v>
      </c>
      <c r="B1172" s="9" t="s">
        <v>107</v>
      </c>
      <c r="C1172" s="4" t="s">
        <v>723</v>
      </c>
      <c r="E1172" s="4" t="s">
        <v>107</v>
      </c>
      <c r="F1172" s="4" t="s">
        <v>107</v>
      </c>
      <c r="G1172" s="14" t="s">
        <v>132</v>
      </c>
      <c r="H1172" s="4" t="s">
        <v>502</v>
      </c>
      <c r="I1172" s="4" t="s">
        <v>102</v>
      </c>
    </row>
    <row r="1173" spans="1:35" x14ac:dyDescent="0.25">
      <c r="A1173" s="161" t="str">
        <f t="shared" si="19"/>
        <v>PIKEMAN_MONGOL</v>
      </c>
      <c r="B1173" s="9" t="s">
        <v>107</v>
      </c>
      <c r="C1173" s="4" t="s">
        <v>728</v>
      </c>
      <c r="E1173" s="4" t="s">
        <v>107</v>
      </c>
      <c r="F1173" s="4" t="s">
        <v>107</v>
      </c>
      <c r="G1173" s="14" t="s">
        <v>132</v>
      </c>
      <c r="H1173" s="4" t="s">
        <v>533</v>
      </c>
      <c r="I1173" s="4" t="s">
        <v>2103</v>
      </c>
    </row>
    <row r="1174" spans="1:35" x14ac:dyDescent="0.25">
      <c r="A1174" s="161" t="str">
        <f t="shared" si="19"/>
        <v>PIKEMAN_CENTAS</v>
      </c>
      <c r="B1174" s="9" t="s">
        <v>107</v>
      </c>
      <c r="C1174" s="4" t="s">
        <v>918</v>
      </c>
      <c r="E1174" s="4" t="s">
        <v>107</v>
      </c>
      <c r="F1174" s="4" t="s">
        <v>107</v>
      </c>
      <c r="G1174" s="14" t="s">
        <v>132</v>
      </c>
      <c r="H1174" s="4" t="s">
        <v>1034</v>
      </c>
      <c r="I1174" s="4" t="s">
        <v>2103</v>
      </c>
    </row>
    <row r="1175" spans="1:35" x14ac:dyDescent="0.25">
      <c r="A1175" s="161" t="str">
        <f t="shared" si="19"/>
        <v>PIKEMAN_EASTEU</v>
      </c>
      <c r="B1175" s="9" t="s">
        <v>107</v>
      </c>
      <c r="C1175" s="4" t="s">
        <v>698</v>
      </c>
      <c r="E1175" s="4" t="s">
        <v>107</v>
      </c>
      <c r="F1175" s="4" t="s">
        <v>107</v>
      </c>
      <c r="H1175" s="4" t="s">
        <v>623</v>
      </c>
      <c r="I1175" s="4" t="s">
        <v>2103</v>
      </c>
    </row>
    <row r="1176" spans="1:35" x14ac:dyDescent="0.25">
      <c r="A1176" s="161" t="str">
        <f t="shared" si="19"/>
        <v>PIKEMAN_AMERICA</v>
      </c>
      <c r="B1176" s="9" t="s">
        <v>107</v>
      </c>
      <c r="C1176" s="4" t="s">
        <v>699</v>
      </c>
      <c r="E1176" s="4" t="s">
        <v>107</v>
      </c>
      <c r="F1176" s="4" t="s">
        <v>107</v>
      </c>
      <c r="G1176" s="14"/>
      <c r="H1176" s="4" t="s">
        <v>148</v>
      </c>
      <c r="I1176" s="4" t="s">
        <v>1941</v>
      </c>
    </row>
    <row r="1177" spans="1:35" x14ac:dyDescent="0.25">
      <c r="A1177" s="161" t="str">
        <f t="shared" si="19"/>
        <v>PIKEMAN_ENGLAND</v>
      </c>
      <c r="B1177" s="9" t="s">
        <v>107</v>
      </c>
      <c r="C1177" s="4" t="s">
        <v>713</v>
      </c>
      <c r="E1177" s="4" t="s">
        <v>107</v>
      </c>
      <c r="F1177" s="4" t="s">
        <v>107</v>
      </c>
      <c r="G1177" s="14" t="s">
        <v>132</v>
      </c>
      <c r="H1177" s="4" t="s">
        <v>309</v>
      </c>
      <c r="I1177" s="4" t="s">
        <v>102</v>
      </c>
    </row>
    <row r="1178" spans="1:35" x14ac:dyDescent="0.25">
      <c r="A1178" s="161" t="str">
        <f t="shared" si="19"/>
        <v>PIKEMAN_FRANCE</v>
      </c>
      <c r="B1178" s="9" t="s">
        <v>107</v>
      </c>
      <c r="C1178" s="4" t="s">
        <v>715</v>
      </c>
      <c r="E1178" s="4" t="s">
        <v>107</v>
      </c>
      <c r="F1178" s="4" t="s">
        <v>107</v>
      </c>
      <c r="G1178" s="14" t="s">
        <v>132</v>
      </c>
      <c r="H1178" s="4" t="s">
        <v>354</v>
      </c>
      <c r="I1178" s="4" t="s">
        <v>102</v>
      </c>
    </row>
    <row r="1179" spans="1:35" x14ac:dyDescent="0.25">
      <c r="A1179" s="161" t="str">
        <f t="shared" si="19"/>
        <v>PIKEMAN_GERMANY</v>
      </c>
      <c r="B1179" s="9" t="s">
        <v>107</v>
      </c>
      <c r="C1179" s="4" t="s">
        <v>717</v>
      </c>
      <c r="E1179" s="4" t="s">
        <v>107</v>
      </c>
      <c r="F1179" s="4" t="s">
        <v>107</v>
      </c>
      <c r="G1179" s="14" t="s">
        <v>132</v>
      </c>
      <c r="H1179" s="4" t="s">
        <v>386</v>
      </c>
      <c r="I1179" s="4" t="s">
        <v>102</v>
      </c>
    </row>
    <row r="1180" spans="1:35" x14ac:dyDescent="0.25">
      <c r="A1180" s="161" t="str">
        <f t="shared" si="19"/>
        <v>PIKEMAN_SWISS</v>
      </c>
      <c r="B1180" s="9" t="s">
        <v>107</v>
      </c>
      <c r="C1180" s="4" t="s">
        <v>740</v>
      </c>
      <c r="E1180" s="4" t="s">
        <v>107</v>
      </c>
      <c r="F1180" s="4" t="s">
        <v>107</v>
      </c>
      <c r="G1180" s="14" t="s">
        <v>132</v>
      </c>
      <c r="H1180" s="4" t="s">
        <v>678</v>
      </c>
      <c r="I1180" s="4" t="s">
        <v>1046</v>
      </c>
    </row>
    <row r="1181" spans="1:35" x14ac:dyDescent="0.25">
      <c r="A1181" s="161" t="str">
        <f t="shared" si="19"/>
        <v>PIKEMAN_MED</v>
      </c>
      <c r="B1181" s="9" t="s">
        <v>107</v>
      </c>
      <c r="C1181" s="4" t="s">
        <v>692</v>
      </c>
      <c r="E1181" s="4" t="s">
        <v>107</v>
      </c>
      <c r="F1181" s="4" t="s">
        <v>107</v>
      </c>
      <c r="H1181" s="4" t="s">
        <v>660</v>
      </c>
      <c r="I1181" s="4" t="s">
        <v>2103</v>
      </c>
    </row>
    <row r="1182" spans="1:35" x14ac:dyDescent="0.25">
      <c r="A1182" s="161" t="str">
        <f t="shared" si="19"/>
        <v>PIKEMAN_CARTHAGE</v>
      </c>
      <c r="B1182" s="9" t="s">
        <v>107</v>
      </c>
      <c r="C1182" s="4" t="s">
        <v>708</v>
      </c>
      <c r="E1182" s="4" t="s">
        <v>107</v>
      </c>
      <c r="F1182" s="4" t="s">
        <v>107</v>
      </c>
      <c r="G1182" s="14" t="s">
        <v>132</v>
      </c>
      <c r="H1182" s="4" t="s">
        <v>231</v>
      </c>
      <c r="I1182" s="4" t="s">
        <v>1025</v>
      </c>
    </row>
    <row r="1183" spans="1:35" x14ac:dyDescent="0.25">
      <c r="A1183" s="161" t="str">
        <f t="shared" si="19"/>
        <v>PIKEMAN_GREECE</v>
      </c>
      <c r="B1183" s="9" t="s">
        <v>107</v>
      </c>
      <c r="C1183" s="4" t="s">
        <v>718</v>
      </c>
      <c r="E1183" s="4" t="s">
        <v>107</v>
      </c>
      <c r="F1183" s="4" t="s">
        <v>107</v>
      </c>
      <c r="G1183" s="14" t="s">
        <v>132</v>
      </c>
      <c r="H1183" s="4" t="s">
        <v>410</v>
      </c>
      <c r="I1183" s="4" t="s">
        <v>102</v>
      </c>
    </row>
    <row r="1184" spans="1:35" x14ac:dyDescent="0.25">
      <c r="A1184" s="161" t="str">
        <f t="shared" si="19"/>
        <v>PIKEMAN_ROME</v>
      </c>
      <c r="B1184" s="9" t="s">
        <v>107</v>
      </c>
      <c r="C1184" s="4" t="s">
        <v>734</v>
      </c>
      <c r="E1184" s="4" t="s">
        <v>107</v>
      </c>
      <c r="F1184" s="4" t="s">
        <v>107</v>
      </c>
      <c r="G1184" s="14" t="s">
        <v>132</v>
      </c>
      <c r="H1184" s="4" t="s">
        <v>597</v>
      </c>
      <c r="I1184" s="4" t="s">
        <v>102</v>
      </c>
      <c r="Q1184" s="11">
        <v>2</v>
      </c>
      <c r="T1184" s="11">
        <v>3</v>
      </c>
      <c r="Z1184" s="11">
        <v>1</v>
      </c>
      <c r="AF1184" s="11">
        <v>1</v>
      </c>
      <c r="AI1184" s="11">
        <v>1</v>
      </c>
    </row>
    <row r="1185" spans="1:35" x14ac:dyDescent="0.25">
      <c r="A1185" s="161" t="str">
        <f>CONCATENATE(E1185,IF(ISBLANK(C1185),"",CONCATENATE("_",C1185)))</f>
        <v>PIKEMAN_ROME</v>
      </c>
      <c r="B1185" s="9" t="s">
        <v>107</v>
      </c>
      <c r="C1185" s="4" t="s">
        <v>734</v>
      </c>
      <c r="E1185" s="4" t="s">
        <v>107</v>
      </c>
      <c r="F1185" s="4" t="s">
        <v>107</v>
      </c>
      <c r="G1185" s="14" t="s">
        <v>2047</v>
      </c>
      <c r="H1185" s="4" t="s">
        <v>598</v>
      </c>
      <c r="I1185" s="4" t="s">
        <v>102</v>
      </c>
      <c r="Q1185" s="11">
        <v>2</v>
      </c>
      <c r="T1185" s="11">
        <v>2</v>
      </c>
      <c r="Z1185" s="11">
        <v>0</v>
      </c>
      <c r="AF1185" s="11">
        <v>1</v>
      </c>
      <c r="AI1185" s="11">
        <v>1</v>
      </c>
    </row>
    <row r="1186" spans="1:35" x14ac:dyDescent="0.25">
      <c r="A1186" s="161" t="str">
        <f>CONCATENATE(E1186,IF(ISBLANK(C1186),"",CONCATENATE("_",C1186)))</f>
        <v>PIKEMAN_ROME</v>
      </c>
      <c r="B1186" s="9" t="s">
        <v>107</v>
      </c>
      <c r="C1186" s="4" t="s">
        <v>734</v>
      </c>
      <c r="E1186" s="4" t="s">
        <v>107</v>
      </c>
      <c r="F1186" s="4" t="s">
        <v>107</v>
      </c>
      <c r="G1186" s="14" t="s">
        <v>132</v>
      </c>
      <c r="H1186" s="4" t="s">
        <v>597</v>
      </c>
      <c r="I1186" s="4" t="s">
        <v>102</v>
      </c>
      <c r="Q1186" s="11">
        <v>2</v>
      </c>
      <c r="T1186" s="11">
        <v>3</v>
      </c>
      <c r="Z1186" s="11">
        <v>0</v>
      </c>
      <c r="AF1186" s="11">
        <v>1</v>
      </c>
      <c r="AI1186" s="11">
        <v>2</v>
      </c>
    </row>
    <row r="1187" spans="1:35" x14ac:dyDescent="0.25">
      <c r="A1187" s="161" t="str">
        <f>CONCATENATE(E1187,IF(ISBLANK(C1187),"",CONCATENATE("_",C1187)))</f>
        <v>PIKEMAN_ROME</v>
      </c>
      <c r="B1187" s="9" t="s">
        <v>107</v>
      </c>
      <c r="C1187" s="4" t="s">
        <v>734</v>
      </c>
      <c r="E1187" s="4" t="s">
        <v>107</v>
      </c>
      <c r="F1187" s="4" t="s">
        <v>107</v>
      </c>
      <c r="G1187" s="14" t="s">
        <v>2047</v>
      </c>
      <c r="H1187" s="4" t="s">
        <v>598</v>
      </c>
      <c r="I1187" s="4" t="s">
        <v>102</v>
      </c>
      <c r="Q1187" s="11">
        <v>2</v>
      </c>
      <c r="T1187" s="11">
        <v>2</v>
      </c>
      <c r="Z1187" s="11">
        <v>0</v>
      </c>
      <c r="AF1187" s="11">
        <v>0</v>
      </c>
      <c r="AI1187" s="11">
        <v>1</v>
      </c>
    </row>
    <row r="1188" spans="1:35" x14ac:dyDescent="0.25">
      <c r="A1188" s="161" t="str">
        <f>CONCATENATE(E1188,IF(ISBLANK(C1188),"",CONCATENATE("_",C1188)))</f>
        <v>PIKEMAN_ROME</v>
      </c>
      <c r="B1188" s="9" t="s">
        <v>107</v>
      </c>
      <c r="C1188" s="4" t="s">
        <v>734</v>
      </c>
      <c r="E1188" s="4" t="s">
        <v>107</v>
      </c>
      <c r="F1188" s="4" t="s">
        <v>107</v>
      </c>
      <c r="G1188" s="14" t="s">
        <v>132</v>
      </c>
      <c r="H1188" s="4" t="s">
        <v>597</v>
      </c>
      <c r="I1188" s="4" t="s">
        <v>102</v>
      </c>
      <c r="Q1188" s="11">
        <v>2</v>
      </c>
      <c r="T1188" s="11">
        <v>3</v>
      </c>
      <c r="Z1188" s="11">
        <v>0</v>
      </c>
      <c r="AF1188" s="11">
        <v>0</v>
      </c>
      <c r="AI1188" s="11">
        <v>1</v>
      </c>
    </row>
    <row r="1189" spans="1:35" x14ac:dyDescent="0.25">
      <c r="A1189" s="161" t="str">
        <f>CONCATENATE(E1189,IF(ISBLANK(C1189),"",CONCATENATE("_",C1189)))</f>
        <v>PIKEMAN_ROME</v>
      </c>
      <c r="B1189" s="9" t="s">
        <v>107</v>
      </c>
      <c r="C1189" s="4" t="s">
        <v>734</v>
      </c>
      <c r="E1189" s="4" t="s">
        <v>107</v>
      </c>
      <c r="F1189" s="4" t="s">
        <v>107</v>
      </c>
      <c r="G1189" s="14" t="s">
        <v>2047</v>
      </c>
      <c r="H1189" s="4" t="s">
        <v>598</v>
      </c>
      <c r="I1189" s="4" t="s">
        <v>102</v>
      </c>
      <c r="Q1189" s="11">
        <v>2</v>
      </c>
      <c r="T1189" s="11">
        <v>3</v>
      </c>
      <c r="Z1189" s="11">
        <v>0</v>
      </c>
      <c r="AF1189" s="11">
        <v>0</v>
      </c>
      <c r="AI1189" s="11">
        <v>1</v>
      </c>
    </row>
    <row r="1190" spans="1:35" x14ac:dyDescent="0.25">
      <c r="A1190" s="161" t="str">
        <f t="shared" si="19"/>
        <v>PIKEMAN_SPAIN</v>
      </c>
      <c r="B1190" s="9" t="s">
        <v>107</v>
      </c>
      <c r="C1190" s="4" t="s">
        <v>738</v>
      </c>
      <c r="D1190" s="4" t="s">
        <v>692</v>
      </c>
      <c r="E1190" s="4" t="s">
        <v>107</v>
      </c>
      <c r="F1190" s="4" t="s">
        <v>107</v>
      </c>
      <c r="G1190" s="14" t="s">
        <v>132</v>
      </c>
    </row>
    <row r="1191" spans="1:35" x14ac:dyDescent="0.25">
      <c r="A1191" s="161" t="str">
        <f t="shared" si="19"/>
        <v>PIKEMAN_VATICAN_CITY</v>
      </c>
      <c r="B1191" s="9" t="s">
        <v>107</v>
      </c>
      <c r="C1191" s="4" t="s">
        <v>741</v>
      </c>
      <c r="D1191" s="4" t="s">
        <v>740</v>
      </c>
      <c r="E1191" s="4" t="s">
        <v>107</v>
      </c>
      <c r="F1191" s="4" t="s">
        <v>107</v>
      </c>
      <c r="G1191" s="14" t="s">
        <v>132</v>
      </c>
    </row>
    <row r="1192" spans="1:35" x14ac:dyDescent="0.25">
      <c r="A1192" s="161" t="str">
        <f t="shared" si="19"/>
        <v>PIKEMAN_MIDEAST</v>
      </c>
      <c r="B1192" s="9" t="s">
        <v>107</v>
      </c>
      <c r="C1192" s="4" t="s">
        <v>690</v>
      </c>
      <c r="E1192" s="4" t="s">
        <v>107</v>
      </c>
      <c r="F1192" s="4" t="s">
        <v>107</v>
      </c>
      <c r="H1192" s="4" t="s">
        <v>168</v>
      </c>
      <c r="I1192" s="4" t="s">
        <v>2103</v>
      </c>
    </row>
    <row r="1193" spans="1:35" x14ac:dyDescent="0.25">
      <c r="A1193" s="161" t="str">
        <f t="shared" si="19"/>
        <v>PIKEMAN_ARABIA</v>
      </c>
      <c r="B1193" s="9" t="s">
        <v>107</v>
      </c>
      <c r="C1193" s="4" t="s">
        <v>700</v>
      </c>
      <c r="D1193" s="14" t="s">
        <v>690</v>
      </c>
      <c r="E1193" s="4" t="s">
        <v>107</v>
      </c>
      <c r="F1193" s="4" t="s">
        <v>107</v>
      </c>
      <c r="G1193" s="14"/>
    </row>
    <row r="1194" spans="1:35" x14ac:dyDescent="0.25">
      <c r="A1194" s="161" t="str">
        <f t="shared" si="19"/>
        <v>PIKEMAN_BABYLON</v>
      </c>
      <c r="B1194" s="9" t="s">
        <v>107</v>
      </c>
      <c r="C1194" s="4" t="s">
        <v>703</v>
      </c>
      <c r="E1194" s="4" t="s">
        <v>107</v>
      </c>
      <c r="F1194" s="4" t="s">
        <v>107</v>
      </c>
      <c r="G1194" s="14"/>
      <c r="H1194" s="4" t="s">
        <v>215</v>
      </c>
      <c r="I1194" s="4" t="s">
        <v>102</v>
      </c>
    </row>
    <row r="1195" spans="1:35" x14ac:dyDescent="0.25">
      <c r="A1195" s="161" t="str">
        <f t="shared" si="19"/>
        <v>PIKEMAN_EGYPT</v>
      </c>
      <c r="B1195" s="9" t="s">
        <v>107</v>
      </c>
      <c r="C1195" s="4" t="s">
        <v>712</v>
      </c>
      <c r="E1195" s="4" t="s">
        <v>107</v>
      </c>
      <c r="F1195" s="4" t="s">
        <v>107</v>
      </c>
      <c r="G1195" s="14" t="s">
        <v>132</v>
      </c>
      <c r="H1195" s="4" t="s">
        <v>285</v>
      </c>
      <c r="I1195" s="4" t="s">
        <v>2103</v>
      </c>
    </row>
    <row r="1196" spans="1:35" x14ac:dyDescent="0.25">
      <c r="A1196" s="161" t="str">
        <f t="shared" si="19"/>
        <v>PIKEMAN_LEVANT</v>
      </c>
      <c r="B1196" s="9" t="s">
        <v>107</v>
      </c>
      <c r="C1196" s="4" t="s">
        <v>724</v>
      </c>
      <c r="E1196" s="4" t="s">
        <v>107</v>
      </c>
      <c r="F1196" s="4" t="s">
        <v>107</v>
      </c>
      <c r="G1196" s="14" t="s">
        <v>132</v>
      </c>
      <c r="H1196" s="4" t="s">
        <v>513</v>
      </c>
      <c r="I1196" s="4" t="s">
        <v>102</v>
      </c>
    </row>
    <row r="1197" spans="1:35" x14ac:dyDescent="0.25">
      <c r="A1197" s="161" t="str">
        <f t="shared" si="19"/>
        <v>PIKEMAN_PERSIA</v>
      </c>
      <c r="B1197" s="9" t="s">
        <v>107</v>
      </c>
      <c r="C1197" s="4" t="s">
        <v>731</v>
      </c>
      <c r="E1197" s="4" t="s">
        <v>107</v>
      </c>
      <c r="F1197" s="4" t="s">
        <v>107</v>
      </c>
      <c r="G1197" s="14" t="s">
        <v>132</v>
      </c>
      <c r="H1197" s="4" t="s">
        <v>561</v>
      </c>
      <c r="I1197" s="4" t="s">
        <v>102</v>
      </c>
    </row>
    <row r="1198" spans="1:35" x14ac:dyDescent="0.25">
      <c r="A1198" s="161" t="str">
        <f>CONCATENATE(E1198,IF(ISBLANK(C1198),"",CONCATENATE("_",C1198)))</f>
        <v>PIKEMAN_NORTHAF</v>
      </c>
      <c r="B1198" s="9" t="s">
        <v>107</v>
      </c>
      <c r="C1198" s="4" t="s">
        <v>2011</v>
      </c>
      <c r="E1198" s="4" t="s">
        <v>107</v>
      </c>
      <c r="F1198" s="4" t="s">
        <v>107</v>
      </c>
      <c r="G1198" s="14"/>
      <c r="H1198" s="4" t="s">
        <v>643</v>
      </c>
      <c r="I1198" s="4" t="s">
        <v>1935</v>
      </c>
    </row>
    <row r="1199" spans="1:35" x14ac:dyDescent="0.25">
      <c r="A1199" s="161" t="str">
        <f t="shared" si="19"/>
        <v>PIKEMAN_NORTHEU</v>
      </c>
      <c r="B1199" s="9" t="s">
        <v>107</v>
      </c>
      <c r="C1199" s="4" t="s">
        <v>962</v>
      </c>
      <c r="E1199" s="4" t="s">
        <v>107</v>
      </c>
      <c r="F1199" s="4" t="s">
        <v>107</v>
      </c>
      <c r="G1199" s="14" t="s">
        <v>132</v>
      </c>
      <c r="H1199" s="4" t="s">
        <v>270</v>
      </c>
      <c r="I1199" s="4" t="s">
        <v>102</v>
      </c>
    </row>
    <row r="1200" spans="1:35" x14ac:dyDescent="0.25">
      <c r="A1200" s="161" t="str">
        <f t="shared" si="19"/>
        <v>PIKEMAN_OCEAN</v>
      </c>
      <c r="B1200" s="9" t="s">
        <v>107</v>
      </c>
      <c r="C1200" s="4" t="s">
        <v>994</v>
      </c>
      <c r="D1200" s="4" t="s">
        <v>691</v>
      </c>
      <c r="E1200" s="4" t="s">
        <v>107</v>
      </c>
      <c r="F1200" s="4" t="s">
        <v>107</v>
      </c>
    </row>
    <row r="1201" spans="1:43" x14ac:dyDescent="0.25">
      <c r="A1201" s="161" t="str">
        <f t="shared" si="19"/>
        <v>PIKEMAN_SEASIA</v>
      </c>
      <c r="B1201" s="9" t="s">
        <v>107</v>
      </c>
      <c r="C1201" s="4" t="s">
        <v>696</v>
      </c>
      <c r="E1201" s="4" t="s">
        <v>107</v>
      </c>
      <c r="F1201" s="4" t="s">
        <v>107</v>
      </c>
      <c r="H1201" s="4" t="s">
        <v>452</v>
      </c>
      <c r="I1201" s="4" t="s">
        <v>1063</v>
      </c>
    </row>
    <row r="1202" spans="1:43" x14ac:dyDescent="0.25">
      <c r="A1202" s="161" t="str">
        <f t="shared" si="19"/>
        <v>PIKEMAN_SOUTHAM</v>
      </c>
      <c r="B1202" s="9" t="s">
        <v>107</v>
      </c>
      <c r="C1202" s="4" t="s">
        <v>691</v>
      </c>
      <c r="E1202" s="4" t="s">
        <v>107</v>
      </c>
      <c r="F1202" s="4" t="s">
        <v>107</v>
      </c>
      <c r="H1202" s="4" t="s">
        <v>1815</v>
      </c>
      <c r="I1202" s="4" t="s">
        <v>963</v>
      </c>
    </row>
    <row r="1203" spans="1:43" x14ac:dyDescent="0.25">
      <c r="A1203" s="161" t="str">
        <f t="shared" si="19"/>
        <v>PIKEMAN_AZTEC</v>
      </c>
      <c r="B1203" s="9" t="s">
        <v>107</v>
      </c>
      <c r="C1203" s="4" t="s">
        <v>702</v>
      </c>
      <c r="E1203" s="4" t="s">
        <v>107</v>
      </c>
      <c r="F1203" s="4" t="s">
        <v>107</v>
      </c>
      <c r="G1203" s="14"/>
      <c r="H1203" s="4" t="s">
        <v>199</v>
      </c>
      <c r="I1203" s="4" t="s">
        <v>102</v>
      </c>
    </row>
    <row r="1204" spans="1:43" x14ac:dyDescent="0.25">
      <c r="A1204" s="161" t="str">
        <f t="shared" si="19"/>
        <v>PIKEMAN_INCA</v>
      </c>
      <c r="B1204" s="9" t="s">
        <v>107</v>
      </c>
      <c r="C1204" s="4" t="s">
        <v>719</v>
      </c>
      <c r="E1204" s="4" t="s">
        <v>107</v>
      </c>
      <c r="F1204" s="4" t="s">
        <v>107</v>
      </c>
      <c r="G1204" s="14" t="s">
        <v>132</v>
      </c>
      <c r="H1204" s="4" t="s">
        <v>425</v>
      </c>
      <c r="I1204" s="4" t="s">
        <v>102</v>
      </c>
    </row>
    <row r="1205" spans="1:43" x14ac:dyDescent="0.25">
      <c r="A1205" s="161" t="str">
        <f t="shared" si="19"/>
        <v>PIKEMAN_MAYA</v>
      </c>
      <c r="B1205" s="9" t="s">
        <v>107</v>
      </c>
      <c r="C1205" s="4" t="s">
        <v>725</v>
      </c>
      <c r="E1205" s="4" t="s">
        <v>107</v>
      </c>
      <c r="F1205" s="4" t="s">
        <v>107</v>
      </c>
      <c r="G1205" s="14" t="s">
        <v>132</v>
      </c>
      <c r="H1205" s="4" t="s">
        <v>520</v>
      </c>
      <c r="I1205" s="4" t="s">
        <v>102</v>
      </c>
    </row>
    <row r="1206" spans="1:43" x14ac:dyDescent="0.25">
      <c r="A1206" s="161" t="str">
        <f t="shared" si="19"/>
        <v>PIKEMAN_SOUTHAS</v>
      </c>
      <c r="B1206" s="9" t="s">
        <v>107</v>
      </c>
      <c r="C1206" s="4" t="s">
        <v>695</v>
      </c>
      <c r="E1206" s="4" t="s">
        <v>107</v>
      </c>
      <c r="F1206" s="4" t="s">
        <v>107</v>
      </c>
      <c r="H1206" s="4" t="s">
        <v>440</v>
      </c>
      <c r="I1206" s="4" t="s">
        <v>102</v>
      </c>
    </row>
    <row r="1207" spans="1:43" x14ac:dyDescent="0.25">
      <c r="A1207" s="161" t="str">
        <f t="shared" si="19"/>
        <v>PRIVATEER</v>
      </c>
      <c r="C1207" s="5"/>
      <c r="D1207" s="5"/>
      <c r="E1207" s="5" t="s">
        <v>1364</v>
      </c>
      <c r="F1207" s="5" t="s">
        <v>1364</v>
      </c>
      <c r="G1207" s="5"/>
      <c r="H1207" s="5" t="s">
        <v>1506</v>
      </c>
      <c r="I1207" s="5" t="s">
        <v>128</v>
      </c>
      <c r="J1207" s="6"/>
      <c r="K1207" s="7"/>
      <c r="L1207" s="13" t="s">
        <v>1712</v>
      </c>
      <c r="M1207" s="8"/>
      <c r="N1207" s="13" t="s">
        <v>1727</v>
      </c>
      <c r="O1207" s="13"/>
      <c r="P1207" s="13"/>
      <c r="Q1207" s="7">
        <v>1</v>
      </c>
      <c r="R1207" s="6" t="s">
        <v>1737</v>
      </c>
      <c r="S1207" s="5"/>
      <c r="T1207" s="8"/>
      <c r="U1207" s="7" t="s">
        <v>1737</v>
      </c>
      <c r="V1207" s="5"/>
      <c r="W1207" s="6"/>
      <c r="X1207" s="6"/>
      <c r="Y1207" s="5"/>
      <c r="Z1207" s="6"/>
      <c r="AA1207" s="6"/>
      <c r="AB1207" s="5"/>
      <c r="AC1207" s="6"/>
      <c r="AD1207" s="6"/>
      <c r="AE1207" s="5"/>
      <c r="AF1207" s="6"/>
      <c r="AG1207" s="6"/>
      <c r="AH1207" s="5"/>
      <c r="AI1207" s="6"/>
      <c r="AJ1207" s="6"/>
      <c r="AK1207" s="5"/>
      <c r="AL1207" s="5"/>
      <c r="AM1207" s="5"/>
      <c r="AN1207" s="5"/>
      <c r="AO1207" s="5"/>
      <c r="AP1207" s="5"/>
      <c r="AQ1207" s="5"/>
    </row>
    <row r="1208" spans="1:43" x14ac:dyDescent="0.25">
      <c r="A1208" s="161" t="str">
        <f t="shared" si="19"/>
        <v>RIFLEMAN</v>
      </c>
      <c r="B1208" s="9" t="s">
        <v>123</v>
      </c>
      <c r="C1208" s="5"/>
      <c r="D1208" s="5"/>
      <c r="E1208" s="5" t="s">
        <v>123</v>
      </c>
      <c r="F1208" s="5" t="s">
        <v>123</v>
      </c>
      <c r="G1208" s="5"/>
      <c r="H1208" s="5" t="s">
        <v>21</v>
      </c>
      <c r="I1208" s="5" t="s">
        <v>128</v>
      </c>
      <c r="J1208" s="6"/>
      <c r="K1208" s="6"/>
      <c r="L1208" s="13" t="s">
        <v>1708</v>
      </c>
      <c r="M1208" s="8"/>
      <c r="N1208" s="5"/>
      <c r="O1208" s="5"/>
      <c r="P1208" s="5"/>
      <c r="Q1208" s="7">
        <v>14</v>
      </c>
      <c r="R1208" s="6" t="s">
        <v>1737</v>
      </c>
      <c r="S1208" s="13" t="s">
        <v>1619</v>
      </c>
      <c r="T1208" s="7">
        <v>19</v>
      </c>
      <c r="U1208" s="7" t="s">
        <v>1737</v>
      </c>
      <c r="V1208" s="5"/>
      <c r="W1208" s="6" t="s">
        <v>3</v>
      </c>
      <c r="X1208" s="6" t="s">
        <v>3</v>
      </c>
      <c r="Y1208" s="5"/>
      <c r="Z1208" s="7">
        <v>1</v>
      </c>
      <c r="AA1208" s="6"/>
      <c r="AB1208" s="5"/>
      <c r="AC1208" s="6"/>
      <c r="AD1208" s="6" t="s">
        <v>3</v>
      </c>
      <c r="AE1208" s="5"/>
      <c r="AF1208" s="7" t="s">
        <v>1737</v>
      </c>
      <c r="AG1208" s="6"/>
      <c r="AH1208" s="5"/>
      <c r="AI1208" s="7" t="s">
        <v>1737</v>
      </c>
      <c r="AJ1208" s="6"/>
      <c r="AK1208" s="5"/>
      <c r="AL1208" s="5"/>
      <c r="AM1208" s="5"/>
      <c r="AN1208" s="5"/>
      <c r="AO1208" s="5"/>
      <c r="AP1208" s="5"/>
      <c r="AQ1208" s="5"/>
    </row>
    <row r="1209" spans="1:43" x14ac:dyDescent="0.25">
      <c r="A1209" s="17" t="str">
        <f t="shared" si="19"/>
        <v>RIFLEMAN_AFRI</v>
      </c>
      <c r="B1209" s="9" t="s">
        <v>123</v>
      </c>
      <c r="C1209" s="4" t="s">
        <v>694</v>
      </c>
      <c r="E1209" s="4" t="s">
        <v>123</v>
      </c>
      <c r="F1209" s="4" t="s">
        <v>123</v>
      </c>
      <c r="H1209" s="4" t="s">
        <v>820</v>
      </c>
      <c r="I1209" s="4" t="s">
        <v>993</v>
      </c>
      <c r="Q1209" s="9">
        <v>1</v>
      </c>
      <c r="R1209" s="11">
        <v>0.125</v>
      </c>
      <c r="T1209" s="11">
        <v>2</v>
      </c>
      <c r="Z1209" s="9">
        <v>1</v>
      </c>
      <c r="AF1209" s="11">
        <v>1</v>
      </c>
      <c r="AI1209" s="11">
        <v>1</v>
      </c>
    </row>
    <row r="1210" spans="1:43" x14ac:dyDescent="0.25">
      <c r="A1210" s="17" t="str">
        <f t="shared" si="19"/>
        <v>RIFLEMAN_AFRI</v>
      </c>
      <c r="B1210" s="9" t="s">
        <v>123</v>
      </c>
      <c r="C1210" s="4" t="s">
        <v>694</v>
      </c>
      <c r="E1210" s="4" t="s">
        <v>123</v>
      </c>
      <c r="F1210" s="4" t="s">
        <v>123</v>
      </c>
      <c r="G1210" s="4" t="s">
        <v>1163</v>
      </c>
      <c r="H1210" s="4" t="s">
        <v>821</v>
      </c>
      <c r="I1210" s="4" t="s">
        <v>993</v>
      </c>
      <c r="Q1210" s="9">
        <v>3</v>
      </c>
      <c r="R1210" s="11">
        <v>0.125</v>
      </c>
      <c r="T1210" s="11">
        <v>4</v>
      </c>
      <c r="Z1210" s="9">
        <v>0</v>
      </c>
      <c r="AF1210" s="11">
        <v>1</v>
      </c>
      <c r="AI1210" s="11">
        <v>2</v>
      </c>
    </row>
    <row r="1211" spans="1:43" x14ac:dyDescent="0.25">
      <c r="A1211" s="17" t="str">
        <f t="shared" si="19"/>
        <v>RIFLEMAN_AFRI</v>
      </c>
      <c r="B1211" s="9" t="s">
        <v>123</v>
      </c>
      <c r="C1211" s="4" t="s">
        <v>694</v>
      </c>
      <c r="E1211" s="4" t="s">
        <v>123</v>
      </c>
      <c r="F1211" s="4" t="s">
        <v>123</v>
      </c>
      <c r="G1211" s="4" t="s">
        <v>1164</v>
      </c>
      <c r="H1211" s="4" t="s">
        <v>232</v>
      </c>
      <c r="I1211" s="4" t="s">
        <v>993</v>
      </c>
      <c r="Q1211" s="9">
        <v>1</v>
      </c>
      <c r="R1211" s="11">
        <v>0.125</v>
      </c>
      <c r="T1211" s="11">
        <v>4</v>
      </c>
      <c r="Z1211" s="9">
        <v>0</v>
      </c>
      <c r="AF1211" s="11">
        <v>1</v>
      </c>
      <c r="AI1211" s="11">
        <v>1</v>
      </c>
    </row>
    <row r="1212" spans="1:43" x14ac:dyDescent="0.25">
      <c r="A1212" s="17" t="str">
        <f>CONCATENATE(E1212,IF(ISBLANK(C1212),"",CONCATENATE("_",C1212)))</f>
        <v>RIFLEMAN_AFRI</v>
      </c>
      <c r="B1212" s="9" t="s">
        <v>123</v>
      </c>
      <c r="C1212" s="4" t="s">
        <v>694</v>
      </c>
      <c r="E1212" s="4" t="s">
        <v>123</v>
      </c>
      <c r="F1212" s="4" t="s">
        <v>123</v>
      </c>
      <c r="G1212" s="4" t="s">
        <v>1164</v>
      </c>
      <c r="H1212" s="4" t="s">
        <v>232</v>
      </c>
      <c r="I1212" s="4" t="s">
        <v>993</v>
      </c>
      <c r="Q1212" s="9">
        <v>3</v>
      </c>
      <c r="R1212" s="11">
        <v>0.125</v>
      </c>
      <c r="T1212" s="11">
        <v>2</v>
      </c>
      <c r="Z1212" s="9">
        <v>0</v>
      </c>
      <c r="AF1212" s="11">
        <v>0</v>
      </c>
      <c r="AI1212" s="11">
        <v>1</v>
      </c>
    </row>
    <row r="1213" spans="1:43" x14ac:dyDescent="0.25">
      <c r="A1213" s="17" t="str">
        <f>CONCATENATE(E1213,IF(ISBLANK(C1213),"",CONCATENATE("_",C1213)))</f>
        <v>RIFLEMAN_AFRI</v>
      </c>
      <c r="B1213" s="9" t="s">
        <v>123</v>
      </c>
      <c r="C1213" s="4" t="s">
        <v>694</v>
      </c>
      <c r="E1213" s="4" t="s">
        <v>123</v>
      </c>
      <c r="F1213" s="4" t="s">
        <v>123</v>
      </c>
      <c r="G1213" s="4" t="s">
        <v>1163</v>
      </c>
      <c r="H1213" s="4" t="s">
        <v>821</v>
      </c>
      <c r="I1213" s="4" t="s">
        <v>993</v>
      </c>
      <c r="Q1213" s="9">
        <v>2</v>
      </c>
      <c r="R1213" s="11">
        <v>0.125</v>
      </c>
      <c r="T1213" s="11">
        <v>3</v>
      </c>
      <c r="Z1213" s="9">
        <v>0</v>
      </c>
      <c r="AF1213" s="11">
        <v>0</v>
      </c>
      <c r="AI1213" s="11">
        <v>1</v>
      </c>
    </row>
    <row r="1214" spans="1:43" x14ac:dyDescent="0.25">
      <c r="A1214" s="17" t="str">
        <f t="shared" si="19"/>
        <v>RIFLEMAN_AFRI</v>
      </c>
      <c r="B1214" s="9" t="s">
        <v>123</v>
      </c>
      <c r="C1214" s="4" t="s">
        <v>694</v>
      </c>
      <c r="E1214" s="4" t="s">
        <v>123</v>
      </c>
      <c r="F1214" s="4" t="s">
        <v>123</v>
      </c>
      <c r="H1214" s="4" t="s">
        <v>820</v>
      </c>
      <c r="I1214" s="4" t="s">
        <v>993</v>
      </c>
      <c r="Q1214" s="9">
        <v>4</v>
      </c>
      <c r="R1214" s="11">
        <v>0.125</v>
      </c>
      <c r="T1214" s="11">
        <v>4</v>
      </c>
      <c r="Z1214" s="9">
        <v>0</v>
      </c>
      <c r="AF1214" s="11">
        <v>0</v>
      </c>
      <c r="AI1214" s="11">
        <v>1</v>
      </c>
    </row>
    <row r="1215" spans="1:43" x14ac:dyDescent="0.25">
      <c r="A1215" s="161" t="str">
        <f t="shared" si="19"/>
        <v>RIFLEMAN_AMER</v>
      </c>
      <c r="B1215" s="9" t="s">
        <v>123</v>
      </c>
      <c r="C1215" s="4" t="s">
        <v>697</v>
      </c>
      <c r="E1215" s="4" t="s">
        <v>123</v>
      </c>
      <c r="F1215" s="4" t="s">
        <v>123</v>
      </c>
      <c r="H1215" s="4" t="s">
        <v>469</v>
      </c>
      <c r="I1215" s="4" t="s">
        <v>122</v>
      </c>
      <c r="R1215" s="11">
        <v>0.13</v>
      </c>
    </row>
    <row r="1216" spans="1:43" x14ac:dyDescent="0.25">
      <c r="A1216" s="161" t="str">
        <f t="shared" si="19"/>
        <v>RIFLEMAN_IROQUOIS</v>
      </c>
      <c r="B1216" s="9" t="s">
        <v>123</v>
      </c>
      <c r="C1216" s="4" t="s">
        <v>721</v>
      </c>
      <c r="E1216" s="4" t="s">
        <v>123</v>
      </c>
      <c r="F1216" s="4" t="s">
        <v>123</v>
      </c>
      <c r="H1216" s="4" t="s">
        <v>945</v>
      </c>
      <c r="I1216" s="4" t="s">
        <v>122</v>
      </c>
      <c r="Q1216" s="9">
        <v>1</v>
      </c>
      <c r="R1216" s="11">
        <v>0.13</v>
      </c>
      <c r="T1216" s="11">
        <v>3</v>
      </c>
      <c r="Z1216" s="9">
        <v>1</v>
      </c>
      <c r="AF1216" s="11">
        <v>1</v>
      </c>
      <c r="AI1216" s="11">
        <v>1</v>
      </c>
    </row>
    <row r="1217" spans="1:35" x14ac:dyDescent="0.25">
      <c r="A1217" s="161" t="str">
        <f t="shared" si="19"/>
        <v>RIFLEMAN_IROQUOIS</v>
      </c>
      <c r="B1217" s="9" t="s">
        <v>123</v>
      </c>
      <c r="C1217" s="4" t="s">
        <v>721</v>
      </c>
      <c r="E1217" s="4" t="s">
        <v>123</v>
      </c>
      <c r="F1217" s="4" t="s">
        <v>123</v>
      </c>
      <c r="G1217" s="4" t="s">
        <v>2047</v>
      </c>
      <c r="H1217" s="4" t="s">
        <v>946</v>
      </c>
      <c r="I1217" s="4" t="s">
        <v>122</v>
      </c>
      <c r="Q1217" s="9">
        <v>3</v>
      </c>
      <c r="R1217" s="11">
        <v>0.13</v>
      </c>
      <c r="T1217" s="11">
        <v>4</v>
      </c>
      <c r="Z1217" s="9">
        <v>0</v>
      </c>
      <c r="AF1217" s="11">
        <v>1</v>
      </c>
      <c r="AI1217" s="11">
        <v>2</v>
      </c>
    </row>
    <row r="1218" spans="1:35" x14ac:dyDescent="0.25">
      <c r="A1218" s="161" t="str">
        <f t="shared" si="19"/>
        <v>RIFLEMAN_IROQUOIS</v>
      </c>
      <c r="B1218" s="9" t="s">
        <v>123</v>
      </c>
      <c r="C1218" s="4" t="s">
        <v>721</v>
      </c>
      <c r="E1218" s="4" t="s">
        <v>123</v>
      </c>
      <c r="F1218" s="4" t="s">
        <v>123</v>
      </c>
      <c r="G1218" s="4" t="s">
        <v>2049</v>
      </c>
      <c r="H1218" s="4" t="s">
        <v>469</v>
      </c>
      <c r="I1218" s="4" t="s">
        <v>122</v>
      </c>
      <c r="Q1218" s="9">
        <v>1</v>
      </c>
      <c r="R1218" s="11">
        <v>0.13</v>
      </c>
      <c r="T1218" s="11">
        <v>3</v>
      </c>
      <c r="Z1218" s="9">
        <v>0</v>
      </c>
      <c r="AF1218" s="11">
        <v>1</v>
      </c>
      <c r="AI1218" s="11">
        <v>1</v>
      </c>
    </row>
    <row r="1219" spans="1:35" x14ac:dyDescent="0.25">
      <c r="A1219" s="161" t="str">
        <f t="shared" si="19"/>
        <v>RIFLEMAN_IROQUOIS</v>
      </c>
      <c r="B1219" s="9" t="s">
        <v>123</v>
      </c>
      <c r="C1219" s="4" t="s">
        <v>721</v>
      </c>
      <c r="E1219" s="4" t="s">
        <v>123</v>
      </c>
      <c r="F1219" s="4" t="s">
        <v>123</v>
      </c>
      <c r="H1219" s="4" t="s">
        <v>945</v>
      </c>
      <c r="I1219" s="4" t="s">
        <v>122</v>
      </c>
      <c r="Q1219" s="9">
        <v>3</v>
      </c>
      <c r="R1219" s="11">
        <v>0.13</v>
      </c>
      <c r="T1219" s="11">
        <v>3</v>
      </c>
      <c r="Z1219" s="9">
        <v>0</v>
      </c>
      <c r="AF1219" s="11">
        <v>0</v>
      </c>
      <c r="AI1219" s="11">
        <v>1</v>
      </c>
    </row>
    <row r="1220" spans="1:35" x14ac:dyDescent="0.25">
      <c r="A1220" s="161" t="str">
        <f t="shared" si="19"/>
        <v>RIFLEMAN_IROQUOIS</v>
      </c>
      <c r="B1220" s="9" t="s">
        <v>123</v>
      </c>
      <c r="C1220" s="4" t="s">
        <v>721</v>
      </c>
      <c r="E1220" s="4" t="s">
        <v>123</v>
      </c>
      <c r="F1220" s="4" t="s">
        <v>123</v>
      </c>
      <c r="G1220" s="4" t="s">
        <v>2047</v>
      </c>
      <c r="H1220" s="4" t="s">
        <v>946</v>
      </c>
      <c r="I1220" s="4" t="s">
        <v>122</v>
      </c>
      <c r="Q1220" s="9">
        <v>2</v>
      </c>
      <c r="R1220" s="11">
        <v>0.13</v>
      </c>
      <c r="T1220" s="11">
        <v>3</v>
      </c>
      <c r="Z1220" s="9">
        <v>0</v>
      </c>
      <c r="AF1220" s="11">
        <v>0</v>
      </c>
      <c r="AI1220" s="11">
        <v>1</v>
      </c>
    </row>
    <row r="1221" spans="1:35" x14ac:dyDescent="0.25">
      <c r="A1221" s="161" t="str">
        <f t="shared" si="19"/>
        <v>RIFLEMAN_IROQUOIS</v>
      </c>
      <c r="B1221" s="9" t="s">
        <v>123</v>
      </c>
      <c r="C1221" s="4" t="s">
        <v>721</v>
      </c>
      <c r="E1221" s="4" t="s">
        <v>123</v>
      </c>
      <c r="F1221" s="4" t="s">
        <v>123</v>
      </c>
      <c r="G1221" s="4" t="s">
        <v>2049</v>
      </c>
      <c r="H1221" s="4" t="s">
        <v>469</v>
      </c>
      <c r="I1221" s="4" t="s">
        <v>122</v>
      </c>
      <c r="Q1221" s="9">
        <v>4</v>
      </c>
      <c r="R1221" s="11">
        <v>0.13</v>
      </c>
      <c r="T1221" s="11">
        <v>3</v>
      </c>
      <c r="Z1221" s="9">
        <v>0</v>
      </c>
      <c r="AF1221" s="11">
        <v>0</v>
      </c>
      <c r="AI1221" s="11">
        <v>1</v>
      </c>
    </row>
    <row r="1222" spans="1:35" x14ac:dyDescent="0.25">
      <c r="A1222" s="161" t="str">
        <f t="shared" si="19"/>
        <v>RIFLEMAN_ASIA</v>
      </c>
      <c r="B1222" s="9" t="s">
        <v>123</v>
      </c>
      <c r="C1222" s="4" t="s">
        <v>693</v>
      </c>
      <c r="E1222" s="4" t="s">
        <v>123</v>
      </c>
      <c r="F1222" s="4" t="s">
        <v>123</v>
      </c>
      <c r="H1222" s="4" t="s">
        <v>453</v>
      </c>
      <c r="I1222" s="4" t="s">
        <v>122</v>
      </c>
      <c r="R1222" s="11">
        <v>0.125</v>
      </c>
    </row>
    <row r="1223" spans="1:35" x14ac:dyDescent="0.25">
      <c r="A1223" s="161" t="str">
        <f t="shared" si="19"/>
        <v>RIFLEMAN_CHINA</v>
      </c>
      <c r="B1223" s="9" t="s">
        <v>123</v>
      </c>
      <c r="C1223" s="4" t="s">
        <v>710</v>
      </c>
      <c r="E1223" s="4" t="s">
        <v>123</v>
      </c>
      <c r="F1223" s="4" t="s">
        <v>123</v>
      </c>
      <c r="H1223" s="4" t="s">
        <v>830</v>
      </c>
      <c r="I1223" s="4" t="s">
        <v>122</v>
      </c>
      <c r="Q1223" s="9">
        <v>1</v>
      </c>
      <c r="R1223" s="11">
        <v>0.125</v>
      </c>
      <c r="T1223" s="11">
        <v>2</v>
      </c>
      <c r="Z1223" s="9">
        <v>1</v>
      </c>
      <c r="AF1223" s="11">
        <v>1</v>
      </c>
      <c r="AI1223" s="11">
        <v>1</v>
      </c>
    </row>
    <row r="1224" spans="1:35" x14ac:dyDescent="0.25">
      <c r="A1224" s="161" t="str">
        <f t="shared" si="19"/>
        <v>RIFLEMAN_CHINA</v>
      </c>
      <c r="B1224" s="9" t="s">
        <v>123</v>
      </c>
      <c r="C1224" s="4" t="s">
        <v>710</v>
      </c>
      <c r="E1224" s="4" t="s">
        <v>123</v>
      </c>
      <c r="F1224" s="4" t="s">
        <v>123</v>
      </c>
      <c r="G1224" s="4" t="s">
        <v>2047</v>
      </c>
      <c r="H1224" s="4" t="s">
        <v>831</v>
      </c>
      <c r="I1224" s="4" t="s">
        <v>122</v>
      </c>
      <c r="Q1224" s="9">
        <v>4</v>
      </c>
      <c r="R1224" s="11">
        <v>0.125</v>
      </c>
      <c r="T1224" s="11">
        <v>4</v>
      </c>
      <c r="Z1224" s="9">
        <v>0</v>
      </c>
      <c r="AF1224" s="11">
        <v>1</v>
      </c>
      <c r="AI1224" s="11">
        <v>2</v>
      </c>
    </row>
    <row r="1225" spans="1:35" x14ac:dyDescent="0.25">
      <c r="A1225" s="161" t="str">
        <f t="shared" si="19"/>
        <v>RIFLEMAN_CHINA</v>
      </c>
      <c r="B1225" s="9" t="s">
        <v>123</v>
      </c>
      <c r="C1225" s="4" t="s">
        <v>710</v>
      </c>
      <c r="E1225" s="4" t="s">
        <v>123</v>
      </c>
      <c r="F1225" s="4" t="s">
        <v>123</v>
      </c>
      <c r="G1225" s="4" t="s">
        <v>2049</v>
      </c>
      <c r="H1225" s="4" t="s">
        <v>257</v>
      </c>
      <c r="I1225" s="4" t="s">
        <v>122</v>
      </c>
      <c r="Q1225" s="9">
        <v>3</v>
      </c>
      <c r="R1225" s="11">
        <v>0.125</v>
      </c>
      <c r="T1225" s="11">
        <v>4</v>
      </c>
      <c r="Z1225" s="9">
        <v>0</v>
      </c>
      <c r="AF1225" s="11">
        <v>1</v>
      </c>
      <c r="AI1225" s="11">
        <v>1</v>
      </c>
    </row>
    <row r="1226" spans="1:35" x14ac:dyDescent="0.25">
      <c r="A1226" s="161" t="str">
        <f t="shared" si="19"/>
        <v>RIFLEMAN_CHINA</v>
      </c>
      <c r="B1226" s="9" t="s">
        <v>123</v>
      </c>
      <c r="C1226" s="4" t="s">
        <v>710</v>
      </c>
      <c r="E1226" s="4" t="s">
        <v>123</v>
      </c>
      <c r="F1226" s="4" t="s">
        <v>123</v>
      </c>
      <c r="H1226" s="4" t="s">
        <v>830</v>
      </c>
      <c r="I1226" s="4" t="s">
        <v>122</v>
      </c>
      <c r="Q1226" s="9">
        <v>3</v>
      </c>
      <c r="R1226" s="11">
        <v>0.125</v>
      </c>
      <c r="T1226" s="11">
        <v>4</v>
      </c>
      <c r="Z1226" s="9">
        <v>0</v>
      </c>
      <c r="AF1226" s="11">
        <v>0</v>
      </c>
      <c r="AI1226" s="11">
        <v>1</v>
      </c>
    </row>
    <row r="1227" spans="1:35" x14ac:dyDescent="0.25">
      <c r="A1227" s="161" t="str">
        <f t="shared" si="19"/>
        <v>RIFLEMAN_CHINA</v>
      </c>
      <c r="B1227" s="9" t="s">
        <v>123</v>
      </c>
      <c r="C1227" s="4" t="s">
        <v>710</v>
      </c>
      <c r="E1227" s="4" t="s">
        <v>123</v>
      </c>
      <c r="F1227" s="4" t="s">
        <v>123</v>
      </c>
      <c r="G1227" s="4" t="s">
        <v>2047</v>
      </c>
      <c r="H1227" s="4" t="s">
        <v>831</v>
      </c>
      <c r="I1227" s="4" t="s">
        <v>122</v>
      </c>
      <c r="Q1227" s="9">
        <v>1</v>
      </c>
      <c r="R1227" s="11">
        <v>0.125</v>
      </c>
      <c r="T1227" s="11">
        <v>3</v>
      </c>
      <c r="Z1227" s="9">
        <v>0</v>
      </c>
      <c r="AF1227" s="11">
        <v>0</v>
      </c>
      <c r="AI1227" s="11">
        <v>1</v>
      </c>
    </row>
    <row r="1228" spans="1:35" x14ac:dyDescent="0.25">
      <c r="A1228" s="161" t="str">
        <f t="shared" si="19"/>
        <v>RIFLEMAN_CHINA</v>
      </c>
      <c r="B1228" s="9" t="s">
        <v>123</v>
      </c>
      <c r="C1228" s="4" t="s">
        <v>710</v>
      </c>
      <c r="E1228" s="4" t="s">
        <v>123</v>
      </c>
      <c r="F1228" s="4" t="s">
        <v>123</v>
      </c>
      <c r="G1228" s="4" t="s">
        <v>2049</v>
      </c>
      <c r="H1228" s="4" t="s">
        <v>257</v>
      </c>
      <c r="I1228" s="4" t="s">
        <v>122</v>
      </c>
      <c r="Q1228" s="9">
        <v>2</v>
      </c>
      <c r="R1228" s="11">
        <v>0.125</v>
      </c>
      <c r="T1228" s="11">
        <v>2</v>
      </c>
      <c r="Z1228" s="9">
        <v>0</v>
      </c>
      <c r="AF1228" s="11">
        <v>0</v>
      </c>
      <c r="AI1228" s="11">
        <v>1</v>
      </c>
    </row>
    <row r="1229" spans="1:35" x14ac:dyDescent="0.25">
      <c r="A1229" s="161" t="str">
        <f t="shared" si="19"/>
        <v>RIFLEMAN_JAPAN</v>
      </c>
      <c r="B1229" s="9" t="s">
        <v>123</v>
      </c>
      <c r="C1229" s="4" t="s">
        <v>722</v>
      </c>
      <c r="E1229" s="4" t="s">
        <v>123</v>
      </c>
      <c r="F1229" s="4" t="s">
        <v>123</v>
      </c>
      <c r="H1229" s="4" t="s">
        <v>955</v>
      </c>
      <c r="I1229" s="4" t="s">
        <v>122</v>
      </c>
      <c r="Q1229" s="9">
        <v>1</v>
      </c>
      <c r="R1229" s="11">
        <v>0.13</v>
      </c>
      <c r="T1229" s="11">
        <v>3</v>
      </c>
      <c r="Z1229" s="9">
        <v>1</v>
      </c>
      <c r="AF1229" s="11">
        <v>1</v>
      </c>
      <c r="AI1229" s="11">
        <v>1</v>
      </c>
    </row>
    <row r="1230" spans="1:35" x14ac:dyDescent="0.25">
      <c r="A1230" s="161" t="str">
        <f t="shared" si="19"/>
        <v>RIFLEMAN_JAPAN</v>
      </c>
      <c r="B1230" s="9" t="s">
        <v>123</v>
      </c>
      <c r="C1230" s="4" t="s">
        <v>722</v>
      </c>
      <c r="E1230" s="4" t="s">
        <v>123</v>
      </c>
      <c r="F1230" s="4" t="s">
        <v>123</v>
      </c>
      <c r="G1230" s="4" t="s">
        <v>2047</v>
      </c>
      <c r="H1230" s="4" t="s">
        <v>956</v>
      </c>
      <c r="I1230" s="4" t="s">
        <v>122</v>
      </c>
      <c r="Q1230" s="9">
        <v>4</v>
      </c>
      <c r="R1230" s="11">
        <v>0.13</v>
      </c>
      <c r="T1230" s="11">
        <v>4</v>
      </c>
      <c r="Z1230" s="9">
        <v>0</v>
      </c>
      <c r="AF1230" s="11">
        <v>1</v>
      </c>
      <c r="AI1230" s="11">
        <v>2</v>
      </c>
    </row>
    <row r="1231" spans="1:35" x14ac:dyDescent="0.25">
      <c r="A1231" s="161" t="str">
        <f t="shared" si="19"/>
        <v>RIFLEMAN_JAPAN</v>
      </c>
      <c r="B1231" s="9" t="s">
        <v>123</v>
      </c>
      <c r="C1231" s="4" t="s">
        <v>722</v>
      </c>
      <c r="E1231" s="4" t="s">
        <v>123</v>
      </c>
      <c r="F1231" s="4" t="s">
        <v>123</v>
      </c>
      <c r="G1231" s="4" t="s">
        <v>2049</v>
      </c>
      <c r="H1231" s="4" t="s">
        <v>488</v>
      </c>
      <c r="I1231" s="4" t="s">
        <v>122</v>
      </c>
      <c r="Q1231" s="9">
        <v>3</v>
      </c>
      <c r="R1231" s="11">
        <v>0.13</v>
      </c>
      <c r="T1231" s="11">
        <v>3</v>
      </c>
      <c r="Z1231" s="9">
        <v>0</v>
      </c>
      <c r="AF1231" s="11">
        <v>1</v>
      </c>
      <c r="AI1231" s="11">
        <v>1</v>
      </c>
    </row>
    <row r="1232" spans="1:35" x14ac:dyDescent="0.25">
      <c r="A1232" s="161" t="str">
        <f t="shared" si="19"/>
        <v>RIFLEMAN_JAPAN</v>
      </c>
      <c r="B1232" s="9" t="s">
        <v>123</v>
      </c>
      <c r="C1232" s="4" t="s">
        <v>722</v>
      </c>
      <c r="E1232" s="4" t="s">
        <v>123</v>
      </c>
      <c r="F1232" s="4" t="s">
        <v>123</v>
      </c>
      <c r="H1232" s="4" t="s">
        <v>955</v>
      </c>
      <c r="I1232" s="4" t="s">
        <v>122</v>
      </c>
      <c r="Q1232" s="9">
        <v>3</v>
      </c>
      <c r="R1232" s="11">
        <v>0.13</v>
      </c>
      <c r="T1232" s="11">
        <v>3</v>
      </c>
      <c r="Z1232" s="9">
        <v>0</v>
      </c>
      <c r="AF1232" s="11">
        <v>0</v>
      </c>
      <c r="AI1232" s="11">
        <v>1</v>
      </c>
    </row>
    <row r="1233" spans="1:35" x14ac:dyDescent="0.25">
      <c r="A1233" s="161" t="str">
        <f t="shared" si="19"/>
        <v>RIFLEMAN_JAPAN</v>
      </c>
      <c r="B1233" s="9" t="s">
        <v>123</v>
      </c>
      <c r="C1233" s="4" t="s">
        <v>722</v>
      </c>
      <c r="E1233" s="4" t="s">
        <v>123</v>
      </c>
      <c r="F1233" s="4" t="s">
        <v>123</v>
      </c>
      <c r="G1233" s="4" t="s">
        <v>2047</v>
      </c>
      <c r="H1233" s="4" t="s">
        <v>956</v>
      </c>
      <c r="I1233" s="4" t="s">
        <v>122</v>
      </c>
      <c r="Q1233" s="9">
        <v>1</v>
      </c>
      <c r="R1233" s="11">
        <v>0.13</v>
      </c>
      <c r="T1233" s="11">
        <v>3</v>
      </c>
      <c r="Z1233" s="9">
        <v>0</v>
      </c>
      <c r="AF1233" s="11">
        <v>0</v>
      </c>
      <c r="AI1233" s="11">
        <v>1</v>
      </c>
    </row>
    <row r="1234" spans="1:35" x14ac:dyDescent="0.25">
      <c r="A1234" s="161" t="str">
        <f t="shared" si="19"/>
        <v>RIFLEMAN_JAPAN</v>
      </c>
      <c r="B1234" s="9" t="s">
        <v>123</v>
      </c>
      <c r="C1234" s="4" t="s">
        <v>722</v>
      </c>
      <c r="E1234" s="4" t="s">
        <v>123</v>
      </c>
      <c r="F1234" s="4" t="s">
        <v>123</v>
      </c>
      <c r="G1234" s="4" t="s">
        <v>2049</v>
      </c>
      <c r="H1234" s="4" t="s">
        <v>488</v>
      </c>
      <c r="I1234" s="4" t="s">
        <v>122</v>
      </c>
      <c r="Q1234" s="9">
        <v>2</v>
      </c>
      <c r="R1234" s="11">
        <v>0.13</v>
      </c>
      <c r="T1234" s="11">
        <v>3</v>
      </c>
      <c r="Z1234" s="9">
        <v>0</v>
      </c>
      <c r="AF1234" s="11">
        <v>0</v>
      </c>
      <c r="AI1234" s="11">
        <v>1</v>
      </c>
    </row>
    <row r="1235" spans="1:35" x14ac:dyDescent="0.25">
      <c r="A1235" s="161" t="str">
        <f t="shared" si="19"/>
        <v>RIFLEMAN_CENTAS</v>
      </c>
      <c r="B1235" s="9" t="s">
        <v>123</v>
      </c>
      <c r="C1235" s="4" t="s">
        <v>918</v>
      </c>
      <c r="E1235" s="4" t="s">
        <v>123</v>
      </c>
      <c r="F1235" s="4" t="s">
        <v>123</v>
      </c>
      <c r="H1235" s="4" t="s">
        <v>1044</v>
      </c>
      <c r="I1235" s="4" t="s">
        <v>122</v>
      </c>
      <c r="Q1235" s="9">
        <v>1</v>
      </c>
      <c r="R1235" s="11">
        <v>0.13</v>
      </c>
      <c r="T1235" s="9">
        <v>3</v>
      </c>
      <c r="Z1235" s="9">
        <v>1</v>
      </c>
      <c r="AF1235" s="11">
        <v>1</v>
      </c>
      <c r="AI1235" s="11">
        <v>1</v>
      </c>
    </row>
    <row r="1236" spans="1:35" x14ac:dyDescent="0.25">
      <c r="A1236" s="161" t="str">
        <f t="shared" si="19"/>
        <v>RIFLEMAN_CENTAS</v>
      </c>
      <c r="B1236" s="9" t="s">
        <v>123</v>
      </c>
      <c r="C1236" s="4" t="s">
        <v>918</v>
      </c>
      <c r="E1236" s="4" t="s">
        <v>123</v>
      </c>
      <c r="F1236" s="4" t="s">
        <v>123</v>
      </c>
      <c r="G1236" s="4" t="s">
        <v>2047</v>
      </c>
      <c r="H1236" s="4" t="s">
        <v>1043</v>
      </c>
      <c r="I1236" s="4" t="s">
        <v>122</v>
      </c>
      <c r="Q1236" s="9">
        <v>3</v>
      </c>
      <c r="R1236" s="11">
        <v>0.13</v>
      </c>
      <c r="T1236" s="9">
        <v>4</v>
      </c>
      <c r="Z1236" s="9">
        <v>0</v>
      </c>
      <c r="AF1236" s="11">
        <v>1</v>
      </c>
      <c r="AI1236" s="11">
        <v>2</v>
      </c>
    </row>
    <row r="1237" spans="1:35" x14ac:dyDescent="0.25">
      <c r="A1237" s="161" t="str">
        <f t="shared" si="19"/>
        <v>RIFLEMAN_CENTAS</v>
      </c>
      <c r="B1237" s="9" t="s">
        <v>123</v>
      </c>
      <c r="C1237" s="4" t="s">
        <v>918</v>
      </c>
      <c r="E1237" s="4" t="s">
        <v>123</v>
      </c>
      <c r="F1237" s="4" t="s">
        <v>123</v>
      </c>
      <c r="G1237" s="4" t="s">
        <v>2049</v>
      </c>
      <c r="H1237" s="4" t="s">
        <v>1042</v>
      </c>
      <c r="I1237" s="4" t="s">
        <v>122</v>
      </c>
      <c r="Q1237" s="9">
        <v>1</v>
      </c>
      <c r="R1237" s="11">
        <v>0.13</v>
      </c>
      <c r="T1237" s="9">
        <v>3</v>
      </c>
      <c r="Z1237" s="9">
        <v>0</v>
      </c>
      <c r="AF1237" s="11">
        <v>1</v>
      </c>
      <c r="AI1237" s="11">
        <v>1</v>
      </c>
    </row>
    <row r="1238" spans="1:35" x14ac:dyDescent="0.25">
      <c r="A1238" s="161" t="str">
        <f t="shared" si="19"/>
        <v>RIFLEMAN_CENTAS</v>
      </c>
      <c r="B1238" s="9" t="s">
        <v>123</v>
      </c>
      <c r="C1238" s="4" t="s">
        <v>918</v>
      </c>
      <c r="E1238" s="4" t="s">
        <v>123</v>
      </c>
      <c r="F1238" s="4" t="s">
        <v>123</v>
      </c>
      <c r="H1238" s="4" t="s">
        <v>1044</v>
      </c>
      <c r="I1238" s="4" t="s">
        <v>122</v>
      </c>
      <c r="Q1238" s="9">
        <v>3</v>
      </c>
      <c r="R1238" s="11">
        <v>0.13</v>
      </c>
      <c r="T1238" s="9">
        <v>3</v>
      </c>
      <c r="Z1238" s="9">
        <v>0</v>
      </c>
      <c r="AF1238" s="11">
        <v>0</v>
      </c>
      <c r="AI1238" s="11">
        <v>1</v>
      </c>
    </row>
    <row r="1239" spans="1:35" x14ac:dyDescent="0.25">
      <c r="A1239" s="161" t="str">
        <f t="shared" si="19"/>
        <v>RIFLEMAN_CENTAS</v>
      </c>
      <c r="B1239" s="9" t="s">
        <v>123</v>
      </c>
      <c r="C1239" s="4" t="s">
        <v>918</v>
      </c>
      <c r="E1239" s="4" t="s">
        <v>123</v>
      </c>
      <c r="F1239" s="4" t="s">
        <v>123</v>
      </c>
      <c r="G1239" s="4" t="s">
        <v>2047</v>
      </c>
      <c r="H1239" s="4" t="s">
        <v>1043</v>
      </c>
      <c r="I1239" s="4" t="s">
        <v>122</v>
      </c>
      <c r="Q1239" s="9">
        <v>2</v>
      </c>
      <c r="R1239" s="11">
        <v>0.13</v>
      </c>
      <c r="T1239" s="9">
        <v>3</v>
      </c>
      <c r="Z1239" s="9">
        <v>0</v>
      </c>
      <c r="AF1239" s="11">
        <v>0</v>
      </c>
      <c r="AI1239" s="11">
        <v>1</v>
      </c>
    </row>
    <row r="1240" spans="1:35" x14ac:dyDescent="0.25">
      <c r="A1240" s="161" t="str">
        <f t="shared" si="19"/>
        <v>RIFLEMAN_CENTAS</v>
      </c>
      <c r="B1240" s="9" t="s">
        <v>123</v>
      </c>
      <c r="C1240" s="4" t="s">
        <v>918</v>
      </c>
      <c r="E1240" s="4" t="s">
        <v>123</v>
      </c>
      <c r="F1240" s="4" t="s">
        <v>123</v>
      </c>
      <c r="G1240" s="4" t="s">
        <v>2049</v>
      </c>
      <c r="H1240" s="4" t="s">
        <v>1042</v>
      </c>
      <c r="I1240" s="4" t="s">
        <v>122</v>
      </c>
      <c r="Q1240" s="9">
        <v>4</v>
      </c>
      <c r="R1240" s="11">
        <v>0.13</v>
      </c>
      <c r="T1240" s="9">
        <v>3</v>
      </c>
      <c r="Z1240" s="9">
        <v>0</v>
      </c>
      <c r="AF1240" s="11">
        <v>0</v>
      </c>
      <c r="AI1240" s="11">
        <v>1</v>
      </c>
    </row>
    <row r="1241" spans="1:35" x14ac:dyDescent="0.25">
      <c r="A1241" s="161" t="str">
        <f t="shared" si="19"/>
        <v>RIFLEMAN_HUNS</v>
      </c>
      <c r="B1241" s="9" t="s">
        <v>123</v>
      </c>
      <c r="C1241" s="4" t="s">
        <v>904</v>
      </c>
      <c r="E1241" s="4" t="s">
        <v>123</v>
      </c>
      <c r="F1241" s="4" t="s">
        <v>123</v>
      </c>
      <c r="H1241" s="4" t="s">
        <v>913</v>
      </c>
      <c r="I1241" s="4" t="s">
        <v>122</v>
      </c>
      <c r="Q1241" s="11">
        <v>14</v>
      </c>
      <c r="R1241" s="11">
        <v>0.125</v>
      </c>
      <c r="T1241" s="11">
        <v>19</v>
      </c>
      <c r="W1241" s="11" t="s">
        <v>3</v>
      </c>
      <c r="Z1241" s="11">
        <v>1</v>
      </c>
      <c r="AD1241" s="11" t="s">
        <v>3</v>
      </c>
      <c r="AF1241" s="11" t="s">
        <v>1737</v>
      </c>
      <c r="AI1241" s="11" t="s">
        <v>1737</v>
      </c>
    </row>
    <row r="1242" spans="1:35" x14ac:dyDescent="0.25">
      <c r="A1242" s="161" t="str">
        <f t="shared" ref="A1242:A1299" si="20">CONCATENATE(E1242,IF(ISBLANK(C1242),"",CONCATENATE("_",C1242)))</f>
        <v>RIFLEMAN_RUSSIA</v>
      </c>
      <c r="B1242" s="9" t="s">
        <v>123</v>
      </c>
      <c r="C1242" s="4" t="s">
        <v>735</v>
      </c>
      <c r="E1242" s="4" t="s">
        <v>123</v>
      </c>
      <c r="F1242" s="4" t="s">
        <v>123</v>
      </c>
      <c r="H1242" s="4" t="s">
        <v>1011</v>
      </c>
      <c r="I1242" s="4" t="s">
        <v>122</v>
      </c>
      <c r="Q1242" s="9">
        <v>1</v>
      </c>
      <c r="R1242" s="11">
        <v>0.13</v>
      </c>
      <c r="T1242" s="11">
        <v>3</v>
      </c>
      <c r="Z1242" s="9">
        <v>1</v>
      </c>
      <c r="AF1242" s="11">
        <v>1</v>
      </c>
      <c r="AI1242" s="11">
        <v>1</v>
      </c>
    </row>
    <row r="1243" spans="1:35" x14ac:dyDescent="0.25">
      <c r="A1243" s="161" t="str">
        <f t="shared" si="20"/>
        <v>RIFLEMAN_RUSSIA</v>
      </c>
      <c r="B1243" s="9" t="s">
        <v>123</v>
      </c>
      <c r="C1243" s="4" t="s">
        <v>735</v>
      </c>
      <c r="E1243" s="4" t="s">
        <v>123</v>
      </c>
      <c r="F1243" s="4" t="s">
        <v>123</v>
      </c>
      <c r="G1243" s="4" t="s">
        <v>2047</v>
      </c>
      <c r="H1243" s="4" t="s">
        <v>1012</v>
      </c>
      <c r="I1243" s="4" t="s">
        <v>122</v>
      </c>
      <c r="Q1243" s="9">
        <v>4</v>
      </c>
      <c r="R1243" s="11">
        <v>0.13</v>
      </c>
      <c r="T1243" s="11">
        <v>4</v>
      </c>
      <c r="Z1243" s="9">
        <v>0</v>
      </c>
      <c r="AF1243" s="11">
        <v>1</v>
      </c>
      <c r="AI1243" s="11">
        <v>2</v>
      </c>
    </row>
    <row r="1244" spans="1:35" x14ac:dyDescent="0.25">
      <c r="A1244" s="161" t="str">
        <f t="shared" si="20"/>
        <v>RIFLEMAN_RUSSIA</v>
      </c>
      <c r="B1244" s="9" t="s">
        <v>123</v>
      </c>
      <c r="C1244" s="4" t="s">
        <v>735</v>
      </c>
      <c r="E1244" s="4" t="s">
        <v>123</v>
      </c>
      <c r="F1244" s="4" t="s">
        <v>123</v>
      </c>
      <c r="G1244" s="4" t="s">
        <v>2049</v>
      </c>
      <c r="H1244" s="4" t="s">
        <v>624</v>
      </c>
      <c r="I1244" s="4" t="s">
        <v>122</v>
      </c>
      <c r="Q1244" s="9">
        <v>2</v>
      </c>
      <c r="R1244" s="11">
        <v>0.13</v>
      </c>
      <c r="T1244" s="11">
        <v>3</v>
      </c>
      <c r="Z1244" s="9">
        <v>0</v>
      </c>
      <c r="AF1244" s="11">
        <v>1</v>
      </c>
      <c r="AI1244" s="11">
        <v>1</v>
      </c>
    </row>
    <row r="1245" spans="1:35" x14ac:dyDescent="0.25">
      <c r="A1245" s="161" t="str">
        <f t="shared" si="20"/>
        <v>RIFLEMAN_RUSSIA</v>
      </c>
      <c r="B1245" s="9" t="s">
        <v>123</v>
      </c>
      <c r="C1245" s="4" t="s">
        <v>735</v>
      </c>
      <c r="E1245" s="4" t="s">
        <v>123</v>
      </c>
      <c r="F1245" s="4" t="s">
        <v>123</v>
      </c>
      <c r="H1245" s="4" t="s">
        <v>1011</v>
      </c>
      <c r="I1245" s="4" t="s">
        <v>122</v>
      </c>
      <c r="Q1245" s="9">
        <v>3</v>
      </c>
      <c r="R1245" s="11">
        <v>0.13</v>
      </c>
      <c r="T1245" s="11">
        <v>3</v>
      </c>
      <c r="Z1245" s="9">
        <v>0</v>
      </c>
      <c r="AF1245" s="11">
        <v>0</v>
      </c>
      <c r="AI1245" s="11">
        <v>1</v>
      </c>
    </row>
    <row r="1246" spans="1:35" x14ac:dyDescent="0.25">
      <c r="A1246" s="161" t="str">
        <f t="shared" si="20"/>
        <v>RIFLEMAN_RUSSIA</v>
      </c>
      <c r="B1246" s="9" t="s">
        <v>123</v>
      </c>
      <c r="C1246" s="4" t="s">
        <v>735</v>
      </c>
      <c r="E1246" s="4" t="s">
        <v>123</v>
      </c>
      <c r="F1246" s="4" t="s">
        <v>123</v>
      </c>
      <c r="G1246" s="4" t="s">
        <v>2047</v>
      </c>
      <c r="H1246" s="4" t="s">
        <v>1012</v>
      </c>
      <c r="I1246" s="4" t="s">
        <v>122</v>
      </c>
      <c r="Q1246" s="9">
        <v>1</v>
      </c>
      <c r="R1246" s="11">
        <v>0.13</v>
      </c>
      <c r="T1246" s="11">
        <v>3</v>
      </c>
      <c r="Z1246" s="9">
        <v>0</v>
      </c>
      <c r="AF1246" s="11">
        <v>0</v>
      </c>
      <c r="AI1246" s="11">
        <v>1</v>
      </c>
    </row>
    <row r="1247" spans="1:35" x14ac:dyDescent="0.25">
      <c r="A1247" s="161" t="str">
        <f t="shared" si="20"/>
        <v>RIFLEMAN_RUSSIA</v>
      </c>
      <c r="B1247" s="9" t="s">
        <v>123</v>
      </c>
      <c r="C1247" s="4" t="s">
        <v>735</v>
      </c>
      <c r="E1247" s="4" t="s">
        <v>123</v>
      </c>
      <c r="F1247" s="4" t="s">
        <v>123</v>
      </c>
      <c r="G1247" s="4" t="s">
        <v>2049</v>
      </c>
      <c r="H1247" s="4" t="s">
        <v>624</v>
      </c>
      <c r="I1247" s="4" t="s">
        <v>122</v>
      </c>
      <c r="Q1247" s="9">
        <v>3</v>
      </c>
      <c r="R1247" s="11">
        <v>0.13</v>
      </c>
      <c r="T1247" s="11">
        <v>3</v>
      </c>
      <c r="Z1247" s="9">
        <v>0</v>
      </c>
      <c r="AF1247" s="11">
        <v>0</v>
      </c>
      <c r="AI1247" s="11">
        <v>1</v>
      </c>
    </row>
    <row r="1248" spans="1:35" x14ac:dyDescent="0.25">
      <c r="A1248" s="161" t="str">
        <f t="shared" si="20"/>
        <v>RIFLEMAN_AMERICA</v>
      </c>
      <c r="B1248" s="9" t="s">
        <v>123</v>
      </c>
      <c r="C1248" s="4" t="s">
        <v>699</v>
      </c>
      <c r="E1248" s="4" t="s">
        <v>123</v>
      </c>
      <c r="F1248" s="4" t="s">
        <v>123</v>
      </c>
      <c r="H1248" s="4" t="s">
        <v>804</v>
      </c>
      <c r="I1248" s="4" t="s">
        <v>122</v>
      </c>
      <c r="Q1248" s="9">
        <v>1</v>
      </c>
      <c r="R1248" s="11">
        <v>0.13</v>
      </c>
      <c r="T1248" s="11">
        <v>3</v>
      </c>
      <c r="U1248" s="11">
        <v>9.5000000000000001E-2</v>
      </c>
      <c r="Z1248" s="9">
        <v>1</v>
      </c>
      <c r="AF1248" s="11">
        <v>1</v>
      </c>
      <c r="AI1248" s="11">
        <v>1</v>
      </c>
    </row>
    <row r="1249" spans="1:35" x14ac:dyDescent="0.25">
      <c r="A1249" s="161" t="str">
        <f t="shared" si="20"/>
        <v>RIFLEMAN_AMERICA</v>
      </c>
      <c r="B1249" s="9" t="s">
        <v>123</v>
      </c>
      <c r="C1249" s="4" t="s">
        <v>699</v>
      </c>
      <c r="E1249" s="4" t="s">
        <v>123</v>
      </c>
      <c r="F1249" s="4" t="s">
        <v>123</v>
      </c>
      <c r="G1249" s="4" t="s">
        <v>2047</v>
      </c>
      <c r="H1249" s="4" t="s">
        <v>805</v>
      </c>
      <c r="I1249" s="4" t="s">
        <v>122</v>
      </c>
      <c r="Q1249" s="9">
        <v>4</v>
      </c>
      <c r="R1249" s="11">
        <v>0.13</v>
      </c>
      <c r="T1249" s="11">
        <v>4</v>
      </c>
      <c r="U1249" s="11">
        <v>9.5000000000000001E-2</v>
      </c>
      <c r="Z1249" s="9">
        <v>0</v>
      </c>
      <c r="AF1249" s="11">
        <v>1</v>
      </c>
      <c r="AI1249" s="11">
        <v>2</v>
      </c>
    </row>
    <row r="1250" spans="1:35" x14ac:dyDescent="0.25">
      <c r="A1250" s="161" t="str">
        <f t="shared" si="20"/>
        <v>RIFLEMAN_AMERICA</v>
      </c>
      <c r="B1250" s="9" t="s">
        <v>123</v>
      </c>
      <c r="C1250" s="4" t="s">
        <v>699</v>
      </c>
      <c r="E1250" s="4" t="s">
        <v>123</v>
      </c>
      <c r="F1250" s="4" t="s">
        <v>123</v>
      </c>
      <c r="G1250" s="4" t="s">
        <v>2049</v>
      </c>
      <c r="H1250" s="4" t="s">
        <v>149</v>
      </c>
      <c r="I1250" s="4" t="s">
        <v>122</v>
      </c>
      <c r="Q1250" s="9">
        <v>2</v>
      </c>
      <c r="R1250" s="11">
        <v>0.13</v>
      </c>
      <c r="T1250" s="11">
        <v>3</v>
      </c>
      <c r="U1250" s="11">
        <v>9.5000000000000001E-2</v>
      </c>
      <c r="Z1250" s="9">
        <v>0</v>
      </c>
      <c r="AF1250" s="11">
        <v>1</v>
      </c>
      <c r="AI1250" s="11">
        <v>1</v>
      </c>
    </row>
    <row r="1251" spans="1:35" x14ac:dyDescent="0.25">
      <c r="A1251" s="161" t="str">
        <f t="shared" si="20"/>
        <v>RIFLEMAN_AMERICA</v>
      </c>
      <c r="B1251" s="9" t="s">
        <v>123</v>
      </c>
      <c r="C1251" s="4" t="s">
        <v>699</v>
      </c>
      <c r="E1251" s="4" t="s">
        <v>123</v>
      </c>
      <c r="F1251" s="4" t="s">
        <v>123</v>
      </c>
      <c r="H1251" s="4" t="s">
        <v>804</v>
      </c>
      <c r="I1251" s="4" t="s">
        <v>122</v>
      </c>
      <c r="Q1251" s="9">
        <v>3</v>
      </c>
      <c r="R1251" s="11">
        <v>0.13</v>
      </c>
      <c r="T1251" s="11">
        <v>3</v>
      </c>
      <c r="U1251" s="11">
        <v>9.5000000000000001E-2</v>
      </c>
      <c r="Z1251" s="9">
        <v>0</v>
      </c>
      <c r="AF1251" s="11">
        <v>0</v>
      </c>
      <c r="AI1251" s="11">
        <v>1</v>
      </c>
    </row>
    <row r="1252" spans="1:35" x14ac:dyDescent="0.25">
      <c r="A1252" s="161" t="str">
        <f t="shared" si="20"/>
        <v>RIFLEMAN_AMERICA</v>
      </c>
      <c r="B1252" s="9" t="s">
        <v>123</v>
      </c>
      <c r="C1252" s="4" t="s">
        <v>699</v>
      </c>
      <c r="E1252" s="4" t="s">
        <v>123</v>
      </c>
      <c r="F1252" s="4" t="s">
        <v>123</v>
      </c>
      <c r="G1252" s="4" t="s">
        <v>2047</v>
      </c>
      <c r="H1252" s="4" t="s">
        <v>805</v>
      </c>
      <c r="I1252" s="4" t="s">
        <v>122</v>
      </c>
      <c r="Q1252" s="9">
        <v>1</v>
      </c>
      <c r="R1252" s="11">
        <v>0.13</v>
      </c>
      <c r="T1252" s="11">
        <v>3</v>
      </c>
      <c r="U1252" s="11">
        <v>9.5000000000000001E-2</v>
      </c>
      <c r="Z1252" s="9">
        <v>0</v>
      </c>
      <c r="AF1252" s="11">
        <v>0</v>
      </c>
      <c r="AI1252" s="11">
        <v>1</v>
      </c>
    </row>
    <row r="1253" spans="1:35" x14ac:dyDescent="0.25">
      <c r="A1253" s="161" t="str">
        <f t="shared" si="20"/>
        <v>RIFLEMAN_AMERICA</v>
      </c>
      <c r="B1253" s="9" t="s">
        <v>123</v>
      </c>
      <c r="C1253" s="4" t="s">
        <v>699</v>
      </c>
      <c r="E1253" s="4" t="s">
        <v>123</v>
      </c>
      <c r="F1253" s="4" t="s">
        <v>123</v>
      </c>
      <c r="G1253" s="4" t="s">
        <v>2049</v>
      </c>
      <c r="H1253" s="4" t="s">
        <v>149</v>
      </c>
      <c r="I1253" s="4" t="s">
        <v>122</v>
      </c>
      <c r="Q1253" s="9">
        <v>3</v>
      </c>
      <c r="R1253" s="11">
        <v>0.13</v>
      </c>
      <c r="T1253" s="11">
        <v>3</v>
      </c>
      <c r="U1253" s="11">
        <v>9.5000000000000001E-2</v>
      </c>
      <c r="Z1253" s="9">
        <v>0</v>
      </c>
      <c r="AF1253" s="11">
        <v>0</v>
      </c>
      <c r="AI1253" s="11">
        <v>1</v>
      </c>
    </row>
    <row r="1254" spans="1:35" x14ac:dyDescent="0.25">
      <c r="A1254" s="161" t="str">
        <f t="shared" si="20"/>
        <v>RIFLEMAN_AUSTRIA</v>
      </c>
      <c r="B1254" s="9" t="s">
        <v>123</v>
      </c>
      <c r="C1254" s="4" t="s">
        <v>701</v>
      </c>
      <c r="E1254" s="4" t="s">
        <v>123</v>
      </c>
      <c r="F1254" s="4" t="s">
        <v>123</v>
      </c>
      <c r="H1254" s="4" t="s">
        <v>812</v>
      </c>
      <c r="I1254" s="4" t="s">
        <v>122</v>
      </c>
      <c r="Q1254" s="9">
        <v>1</v>
      </c>
      <c r="R1254" s="11">
        <v>0.125</v>
      </c>
      <c r="T1254" s="11">
        <v>3</v>
      </c>
      <c r="Z1254" s="9">
        <v>1</v>
      </c>
      <c r="AF1254" s="11">
        <v>1</v>
      </c>
      <c r="AI1254" s="11">
        <v>1</v>
      </c>
    </row>
    <row r="1255" spans="1:35" x14ac:dyDescent="0.25">
      <c r="A1255" s="161" t="str">
        <f t="shared" si="20"/>
        <v>RIFLEMAN_AUSTRIA</v>
      </c>
      <c r="B1255" s="9" t="s">
        <v>123</v>
      </c>
      <c r="C1255" s="4" t="s">
        <v>701</v>
      </c>
      <c r="E1255" s="4" t="s">
        <v>123</v>
      </c>
      <c r="F1255" s="4" t="s">
        <v>123</v>
      </c>
      <c r="G1255" s="4" t="s">
        <v>2047</v>
      </c>
      <c r="H1255" s="4" t="s">
        <v>813</v>
      </c>
      <c r="I1255" s="4" t="s">
        <v>122</v>
      </c>
      <c r="Q1255" s="9">
        <v>4</v>
      </c>
      <c r="R1255" s="11">
        <v>0.125</v>
      </c>
      <c r="T1255" s="11">
        <v>4</v>
      </c>
      <c r="Z1255" s="9">
        <v>0</v>
      </c>
      <c r="AF1255" s="11">
        <v>1</v>
      </c>
      <c r="AI1255" s="11">
        <v>2</v>
      </c>
    </row>
    <row r="1256" spans="1:35" x14ac:dyDescent="0.25">
      <c r="A1256" s="161" t="str">
        <f t="shared" si="20"/>
        <v>RIFLEMAN_AUSTRIA</v>
      </c>
      <c r="B1256" s="9" t="s">
        <v>123</v>
      </c>
      <c r="C1256" s="4" t="s">
        <v>701</v>
      </c>
      <c r="E1256" s="4" t="s">
        <v>123</v>
      </c>
      <c r="F1256" s="4" t="s">
        <v>123</v>
      </c>
      <c r="G1256" s="4" t="s">
        <v>2049</v>
      </c>
      <c r="H1256" s="4" t="s">
        <v>185</v>
      </c>
      <c r="I1256" s="4" t="s">
        <v>122</v>
      </c>
      <c r="Q1256" s="9">
        <v>2</v>
      </c>
      <c r="R1256" s="11">
        <v>0.125</v>
      </c>
      <c r="T1256" s="11">
        <v>3</v>
      </c>
      <c r="Z1256" s="9">
        <v>0</v>
      </c>
      <c r="AF1256" s="11">
        <v>1</v>
      </c>
      <c r="AI1256" s="11">
        <v>1</v>
      </c>
    </row>
    <row r="1257" spans="1:35" x14ac:dyDescent="0.25">
      <c r="A1257" s="161" t="str">
        <f t="shared" si="20"/>
        <v>RIFLEMAN_AUSTRIA</v>
      </c>
      <c r="B1257" s="9" t="s">
        <v>123</v>
      </c>
      <c r="C1257" s="4" t="s">
        <v>701</v>
      </c>
      <c r="E1257" s="4" t="s">
        <v>123</v>
      </c>
      <c r="F1257" s="4" t="s">
        <v>123</v>
      </c>
      <c r="H1257" s="4" t="s">
        <v>812</v>
      </c>
      <c r="I1257" s="4" t="s">
        <v>122</v>
      </c>
      <c r="Q1257" s="9">
        <v>3</v>
      </c>
      <c r="R1257" s="11">
        <v>0.125</v>
      </c>
      <c r="T1257" s="11">
        <v>3</v>
      </c>
      <c r="Z1257" s="9">
        <v>0</v>
      </c>
      <c r="AF1257" s="11">
        <v>0</v>
      </c>
      <c r="AI1257" s="11">
        <v>1</v>
      </c>
    </row>
    <row r="1258" spans="1:35" x14ac:dyDescent="0.25">
      <c r="A1258" s="161" t="str">
        <f t="shared" si="20"/>
        <v>RIFLEMAN_AUSTRIA</v>
      </c>
      <c r="B1258" s="9" t="s">
        <v>123</v>
      </c>
      <c r="C1258" s="4" t="s">
        <v>701</v>
      </c>
      <c r="E1258" s="4" t="s">
        <v>123</v>
      </c>
      <c r="F1258" s="4" t="s">
        <v>123</v>
      </c>
      <c r="G1258" s="4" t="s">
        <v>2047</v>
      </c>
      <c r="H1258" s="4" t="s">
        <v>813</v>
      </c>
      <c r="I1258" s="4" t="s">
        <v>122</v>
      </c>
      <c r="Q1258" s="9">
        <v>1</v>
      </c>
      <c r="R1258" s="11">
        <v>0.125</v>
      </c>
      <c r="T1258" s="11">
        <v>3</v>
      </c>
      <c r="Z1258" s="9">
        <v>0</v>
      </c>
      <c r="AF1258" s="11">
        <v>0</v>
      </c>
      <c r="AI1258" s="11">
        <v>1</v>
      </c>
    </row>
    <row r="1259" spans="1:35" x14ac:dyDescent="0.25">
      <c r="A1259" s="161" t="str">
        <f t="shared" si="20"/>
        <v>RIFLEMAN_AUSTRIA</v>
      </c>
      <c r="B1259" s="9" t="s">
        <v>123</v>
      </c>
      <c r="C1259" s="4" t="s">
        <v>701</v>
      </c>
      <c r="E1259" s="4" t="s">
        <v>123</v>
      </c>
      <c r="F1259" s="4" t="s">
        <v>123</v>
      </c>
      <c r="G1259" s="4" t="s">
        <v>2049</v>
      </c>
      <c r="H1259" s="4" t="s">
        <v>185</v>
      </c>
      <c r="I1259" s="4" t="s">
        <v>122</v>
      </c>
      <c r="Q1259" s="9">
        <v>3</v>
      </c>
      <c r="R1259" s="11">
        <v>0.125</v>
      </c>
      <c r="T1259" s="11">
        <v>3</v>
      </c>
      <c r="Z1259" s="9">
        <v>0</v>
      </c>
      <c r="AF1259" s="11">
        <v>0</v>
      </c>
      <c r="AI1259" s="11">
        <v>1</v>
      </c>
    </row>
    <row r="1260" spans="1:35" x14ac:dyDescent="0.25">
      <c r="A1260" s="161" t="str">
        <f t="shared" si="20"/>
        <v>RIFLEMAN_CELTS</v>
      </c>
      <c r="B1260" s="9" t="s">
        <v>123</v>
      </c>
      <c r="C1260" s="4" t="s">
        <v>709</v>
      </c>
      <c r="E1260" s="4" t="s">
        <v>123</v>
      </c>
      <c r="F1260" s="4" t="s">
        <v>123</v>
      </c>
      <c r="H1260" s="4" t="s">
        <v>825</v>
      </c>
      <c r="I1260" s="4" t="s">
        <v>122</v>
      </c>
      <c r="Q1260" s="9">
        <v>1</v>
      </c>
      <c r="R1260" s="11">
        <v>0.125</v>
      </c>
      <c r="T1260" s="11">
        <v>3</v>
      </c>
      <c r="Z1260" s="9">
        <v>1</v>
      </c>
      <c r="AF1260" s="11">
        <v>1</v>
      </c>
      <c r="AI1260" s="11">
        <v>1</v>
      </c>
    </row>
    <row r="1261" spans="1:35" x14ac:dyDescent="0.25">
      <c r="A1261" s="161" t="str">
        <f t="shared" si="20"/>
        <v>RIFLEMAN_CELTS</v>
      </c>
      <c r="B1261" s="9" t="s">
        <v>123</v>
      </c>
      <c r="C1261" s="4" t="s">
        <v>709</v>
      </c>
      <c r="E1261" s="4" t="s">
        <v>123</v>
      </c>
      <c r="F1261" s="4" t="s">
        <v>123</v>
      </c>
      <c r="G1261" s="4" t="s">
        <v>2047</v>
      </c>
      <c r="H1261" s="4" t="s">
        <v>826</v>
      </c>
      <c r="I1261" s="4" t="s">
        <v>122</v>
      </c>
      <c r="Q1261" s="9">
        <v>4</v>
      </c>
      <c r="R1261" s="11">
        <v>0.125</v>
      </c>
      <c r="T1261" s="11">
        <v>4</v>
      </c>
      <c r="Z1261" s="9">
        <v>0</v>
      </c>
      <c r="AF1261" s="11">
        <v>1</v>
      </c>
      <c r="AI1261" s="11">
        <v>2</v>
      </c>
    </row>
    <row r="1262" spans="1:35" x14ac:dyDescent="0.25">
      <c r="A1262" s="161" t="str">
        <f t="shared" si="20"/>
        <v>RIFLEMAN_CELTS</v>
      </c>
      <c r="B1262" s="9" t="s">
        <v>123</v>
      </c>
      <c r="C1262" s="4" t="s">
        <v>709</v>
      </c>
      <c r="E1262" s="4" t="s">
        <v>123</v>
      </c>
      <c r="F1262" s="4" t="s">
        <v>123</v>
      </c>
      <c r="G1262" s="4" t="s">
        <v>2049</v>
      </c>
      <c r="H1262" s="4" t="s">
        <v>240</v>
      </c>
      <c r="I1262" s="4" t="s">
        <v>122</v>
      </c>
      <c r="Q1262" s="9">
        <v>2</v>
      </c>
      <c r="R1262" s="11">
        <v>0.125</v>
      </c>
      <c r="T1262" s="11">
        <v>3</v>
      </c>
      <c r="Z1262" s="9">
        <v>0</v>
      </c>
      <c r="AF1262" s="11">
        <v>1</v>
      </c>
      <c r="AI1262" s="11">
        <v>1</v>
      </c>
    </row>
    <row r="1263" spans="1:35" x14ac:dyDescent="0.25">
      <c r="A1263" s="161" t="str">
        <f t="shared" si="20"/>
        <v>RIFLEMAN_CELTS</v>
      </c>
      <c r="B1263" s="9" t="s">
        <v>123</v>
      </c>
      <c r="C1263" s="4" t="s">
        <v>709</v>
      </c>
      <c r="E1263" s="4" t="s">
        <v>123</v>
      </c>
      <c r="F1263" s="4" t="s">
        <v>123</v>
      </c>
      <c r="H1263" s="4" t="s">
        <v>825</v>
      </c>
      <c r="I1263" s="4" t="s">
        <v>122</v>
      </c>
      <c r="Q1263" s="9">
        <v>3</v>
      </c>
      <c r="R1263" s="11">
        <v>0.125</v>
      </c>
      <c r="T1263" s="11">
        <v>3</v>
      </c>
      <c r="Z1263" s="9">
        <v>0</v>
      </c>
      <c r="AF1263" s="11">
        <v>0</v>
      </c>
      <c r="AI1263" s="11">
        <v>1</v>
      </c>
    </row>
    <row r="1264" spans="1:35" x14ac:dyDescent="0.25">
      <c r="A1264" s="161" t="str">
        <f t="shared" si="20"/>
        <v>RIFLEMAN_CELTS</v>
      </c>
      <c r="B1264" s="9" t="s">
        <v>123</v>
      </c>
      <c r="C1264" s="4" t="s">
        <v>709</v>
      </c>
      <c r="E1264" s="4" t="s">
        <v>123</v>
      </c>
      <c r="F1264" s="4" t="s">
        <v>123</v>
      </c>
      <c r="G1264" s="4" t="s">
        <v>2047</v>
      </c>
      <c r="H1264" s="4" t="s">
        <v>826</v>
      </c>
      <c r="I1264" s="4" t="s">
        <v>122</v>
      </c>
      <c r="Q1264" s="9">
        <v>1</v>
      </c>
      <c r="R1264" s="11">
        <v>0.125</v>
      </c>
      <c r="T1264" s="11">
        <v>3</v>
      </c>
      <c r="Z1264" s="9">
        <v>0</v>
      </c>
      <c r="AF1264" s="11">
        <v>0</v>
      </c>
      <c r="AI1264" s="11">
        <v>1</v>
      </c>
    </row>
    <row r="1265" spans="1:35" x14ac:dyDescent="0.25">
      <c r="A1265" s="161" t="str">
        <f t="shared" si="20"/>
        <v>RIFLEMAN_CELTS</v>
      </c>
      <c r="B1265" s="9" t="s">
        <v>123</v>
      </c>
      <c r="C1265" s="4" t="s">
        <v>709</v>
      </c>
      <c r="E1265" s="4" t="s">
        <v>123</v>
      </c>
      <c r="F1265" s="4" t="s">
        <v>123</v>
      </c>
      <c r="G1265" s="4" t="s">
        <v>2049</v>
      </c>
      <c r="H1265" s="4" t="s">
        <v>240</v>
      </c>
      <c r="I1265" s="4" t="s">
        <v>122</v>
      </c>
      <c r="Q1265" s="9">
        <v>3</v>
      </c>
      <c r="R1265" s="11">
        <v>0.125</v>
      </c>
      <c r="T1265" s="11">
        <v>3</v>
      </c>
      <c r="Z1265" s="9">
        <v>0</v>
      </c>
      <c r="AF1265" s="11">
        <v>0</v>
      </c>
      <c r="AI1265" s="11">
        <v>1</v>
      </c>
    </row>
    <row r="1266" spans="1:35" x14ac:dyDescent="0.25">
      <c r="A1266" s="161" t="str">
        <f t="shared" si="20"/>
        <v>RIFLEMAN_ENGLAND</v>
      </c>
      <c r="B1266" s="9" t="s">
        <v>123</v>
      </c>
      <c r="C1266" s="4" t="s">
        <v>713</v>
      </c>
      <c r="E1266" s="4" t="s">
        <v>123</v>
      </c>
      <c r="F1266" s="4" t="s">
        <v>123</v>
      </c>
      <c r="H1266" s="4" t="s">
        <v>867</v>
      </c>
      <c r="I1266" s="4" t="s">
        <v>122</v>
      </c>
      <c r="Q1266" s="9">
        <v>1</v>
      </c>
      <c r="R1266" s="11">
        <v>0.13</v>
      </c>
      <c r="T1266" s="11">
        <v>3</v>
      </c>
      <c r="U1266" s="11">
        <v>0.08</v>
      </c>
      <c r="Z1266" s="9">
        <v>1</v>
      </c>
      <c r="AF1266" s="11">
        <v>1</v>
      </c>
      <c r="AI1266" s="11">
        <v>1</v>
      </c>
    </row>
    <row r="1267" spans="1:35" x14ac:dyDescent="0.25">
      <c r="A1267" s="161" t="str">
        <f t="shared" si="20"/>
        <v>RIFLEMAN_ENGLAND</v>
      </c>
      <c r="B1267" s="9" t="s">
        <v>123</v>
      </c>
      <c r="C1267" s="4" t="s">
        <v>713</v>
      </c>
      <c r="E1267" s="4" t="s">
        <v>123</v>
      </c>
      <c r="F1267" s="4" t="s">
        <v>123</v>
      </c>
      <c r="G1267" s="4" t="s">
        <v>2047</v>
      </c>
      <c r="H1267" s="4" t="s">
        <v>868</v>
      </c>
      <c r="I1267" s="4" t="s">
        <v>122</v>
      </c>
      <c r="Q1267" s="9">
        <v>4</v>
      </c>
      <c r="R1267" s="11">
        <v>0.13</v>
      </c>
      <c r="T1267" s="11">
        <v>4</v>
      </c>
      <c r="U1267" s="11">
        <v>0.08</v>
      </c>
      <c r="Z1267" s="9">
        <v>0</v>
      </c>
      <c r="AF1267" s="11">
        <v>1</v>
      </c>
      <c r="AI1267" s="11">
        <v>2</v>
      </c>
    </row>
    <row r="1268" spans="1:35" x14ac:dyDescent="0.25">
      <c r="A1268" s="161" t="str">
        <f t="shared" si="20"/>
        <v>RIFLEMAN_ENGLAND</v>
      </c>
      <c r="B1268" s="9" t="s">
        <v>123</v>
      </c>
      <c r="C1268" s="4" t="s">
        <v>713</v>
      </c>
      <c r="E1268" s="4" t="s">
        <v>123</v>
      </c>
      <c r="F1268" s="4" t="s">
        <v>123</v>
      </c>
      <c r="G1268" s="4" t="s">
        <v>2049</v>
      </c>
      <c r="H1268" s="4" t="s">
        <v>310</v>
      </c>
      <c r="I1268" s="4" t="s">
        <v>122</v>
      </c>
      <c r="Q1268" s="9">
        <v>2</v>
      </c>
      <c r="R1268" s="11">
        <v>0.13</v>
      </c>
      <c r="T1268" s="11">
        <v>3</v>
      </c>
      <c r="U1268" s="11">
        <v>0.08</v>
      </c>
      <c r="Z1268" s="9">
        <v>0</v>
      </c>
      <c r="AF1268" s="11">
        <v>1</v>
      </c>
      <c r="AI1268" s="11">
        <v>1</v>
      </c>
    </row>
    <row r="1269" spans="1:35" x14ac:dyDescent="0.25">
      <c r="A1269" s="161" t="str">
        <f t="shared" si="20"/>
        <v>RIFLEMAN_ENGLAND</v>
      </c>
      <c r="B1269" s="9" t="s">
        <v>123</v>
      </c>
      <c r="C1269" s="4" t="s">
        <v>713</v>
      </c>
      <c r="E1269" s="4" t="s">
        <v>123</v>
      </c>
      <c r="F1269" s="4" t="s">
        <v>123</v>
      </c>
      <c r="H1269" s="4" t="s">
        <v>867</v>
      </c>
      <c r="I1269" s="4" t="s">
        <v>122</v>
      </c>
      <c r="Q1269" s="9">
        <v>3</v>
      </c>
      <c r="R1269" s="11">
        <v>0.13</v>
      </c>
      <c r="T1269" s="11">
        <v>3</v>
      </c>
      <c r="U1269" s="11">
        <v>0.08</v>
      </c>
      <c r="Z1269" s="9">
        <v>0</v>
      </c>
      <c r="AF1269" s="11">
        <v>0</v>
      </c>
      <c r="AI1269" s="11">
        <v>1</v>
      </c>
    </row>
    <row r="1270" spans="1:35" x14ac:dyDescent="0.25">
      <c r="A1270" s="161" t="str">
        <f t="shared" si="20"/>
        <v>RIFLEMAN_ENGLAND</v>
      </c>
      <c r="B1270" s="9" t="s">
        <v>123</v>
      </c>
      <c r="C1270" s="4" t="s">
        <v>713</v>
      </c>
      <c r="E1270" s="4" t="s">
        <v>123</v>
      </c>
      <c r="F1270" s="4" t="s">
        <v>123</v>
      </c>
      <c r="G1270" s="4" t="s">
        <v>2047</v>
      </c>
      <c r="H1270" s="4" t="s">
        <v>868</v>
      </c>
      <c r="I1270" s="4" t="s">
        <v>122</v>
      </c>
      <c r="Q1270" s="9">
        <v>1</v>
      </c>
      <c r="R1270" s="11">
        <v>0.13</v>
      </c>
      <c r="T1270" s="11">
        <v>3</v>
      </c>
      <c r="U1270" s="11">
        <v>0.08</v>
      </c>
      <c r="Z1270" s="9">
        <v>0</v>
      </c>
      <c r="AF1270" s="11">
        <v>0</v>
      </c>
      <c r="AI1270" s="11">
        <v>1</v>
      </c>
    </row>
    <row r="1271" spans="1:35" x14ac:dyDescent="0.25">
      <c r="A1271" s="161" t="str">
        <f t="shared" si="20"/>
        <v>RIFLEMAN_ENGLAND</v>
      </c>
      <c r="B1271" s="9" t="s">
        <v>123</v>
      </c>
      <c r="C1271" s="4" t="s">
        <v>713</v>
      </c>
      <c r="E1271" s="4" t="s">
        <v>123</v>
      </c>
      <c r="F1271" s="4" t="s">
        <v>123</v>
      </c>
      <c r="G1271" s="4" t="s">
        <v>2049</v>
      </c>
      <c r="H1271" s="4" t="s">
        <v>310</v>
      </c>
      <c r="I1271" s="4" t="s">
        <v>122</v>
      </c>
      <c r="Q1271" s="9">
        <v>3</v>
      </c>
      <c r="R1271" s="11">
        <v>0.13</v>
      </c>
      <c r="T1271" s="11">
        <v>3</v>
      </c>
      <c r="U1271" s="11">
        <v>0.08</v>
      </c>
      <c r="Z1271" s="9">
        <v>0</v>
      </c>
      <c r="AF1271" s="11">
        <v>0</v>
      </c>
      <c r="AI1271" s="11">
        <v>1</v>
      </c>
    </row>
    <row r="1272" spans="1:35" x14ac:dyDescent="0.25">
      <c r="A1272" s="161" t="str">
        <f t="shared" si="20"/>
        <v>RIFLEMAN_FRANCE</v>
      </c>
      <c r="B1272" s="9" t="s">
        <v>123</v>
      </c>
      <c r="C1272" s="4" t="s">
        <v>715</v>
      </c>
      <c r="E1272" s="4" t="s">
        <v>123</v>
      </c>
      <c r="F1272" s="4" t="s">
        <v>123</v>
      </c>
      <c r="H1272" s="4" t="s">
        <v>880</v>
      </c>
      <c r="I1272" s="4" t="s">
        <v>122</v>
      </c>
      <c r="Q1272" s="9">
        <v>1</v>
      </c>
      <c r="R1272" s="11">
        <v>0.13</v>
      </c>
      <c r="T1272" s="11">
        <v>3</v>
      </c>
      <c r="Z1272" s="9">
        <v>1</v>
      </c>
      <c r="AF1272" s="11">
        <v>1</v>
      </c>
      <c r="AI1272" s="11">
        <v>1</v>
      </c>
    </row>
    <row r="1273" spans="1:35" x14ac:dyDescent="0.25">
      <c r="A1273" s="161" t="str">
        <f t="shared" si="20"/>
        <v>RIFLEMAN_FRANCE</v>
      </c>
      <c r="B1273" s="9" t="s">
        <v>123</v>
      </c>
      <c r="C1273" s="4" t="s">
        <v>715</v>
      </c>
      <c r="E1273" s="4" t="s">
        <v>123</v>
      </c>
      <c r="F1273" s="4" t="s">
        <v>123</v>
      </c>
      <c r="G1273" s="4" t="s">
        <v>2047</v>
      </c>
      <c r="H1273" s="4" t="s">
        <v>881</v>
      </c>
      <c r="I1273" s="4" t="s">
        <v>122</v>
      </c>
      <c r="Q1273" s="9">
        <v>4</v>
      </c>
      <c r="R1273" s="11">
        <v>0.13</v>
      </c>
      <c r="T1273" s="11">
        <v>4</v>
      </c>
      <c r="Z1273" s="9">
        <v>0</v>
      </c>
      <c r="AF1273" s="11">
        <v>1</v>
      </c>
      <c r="AI1273" s="11">
        <v>2</v>
      </c>
    </row>
    <row r="1274" spans="1:35" x14ac:dyDescent="0.25">
      <c r="A1274" s="161" t="str">
        <f t="shared" si="20"/>
        <v>RIFLEMAN_FRANCE</v>
      </c>
      <c r="B1274" s="9" t="s">
        <v>123</v>
      </c>
      <c r="C1274" s="4" t="s">
        <v>715</v>
      </c>
      <c r="E1274" s="4" t="s">
        <v>123</v>
      </c>
      <c r="F1274" s="4" t="s">
        <v>123</v>
      </c>
      <c r="G1274" s="4" t="s">
        <v>2049</v>
      </c>
      <c r="H1274" s="4" t="s">
        <v>355</v>
      </c>
      <c r="I1274" s="4" t="s">
        <v>122</v>
      </c>
      <c r="Q1274" s="9">
        <v>2</v>
      </c>
      <c r="R1274" s="11">
        <v>0.13</v>
      </c>
      <c r="T1274" s="11">
        <v>3</v>
      </c>
      <c r="Z1274" s="9">
        <v>0</v>
      </c>
      <c r="AF1274" s="11">
        <v>1</v>
      </c>
      <c r="AI1274" s="11">
        <v>1</v>
      </c>
    </row>
    <row r="1275" spans="1:35" x14ac:dyDescent="0.25">
      <c r="A1275" s="161" t="str">
        <f t="shared" si="20"/>
        <v>RIFLEMAN_FRANCE</v>
      </c>
      <c r="B1275" s="9" t="s">
        <v>123</v>
      </c>
      <c r="C1275" s="4" t="s">
        <v>715</v>
      </c>
      <c r="E1275" s="4" t="s">
        <v>123</v>
      </c>
      <c r="F1275" s="4" t="s">
        <v>123</v>
      </c>
      <c r="H1275" s="4" t="s">
        <v>880</v>
      </c>
      <c r="I1275" s="4" t="s">
        <v>122</v>
      </c>
      <c r="Q1275" s="9">
        <v>3</v>
      </c>
      <c r="R1275" s="11">
        <v>0.13</v>
      </c>
      <c r="T1275" s="11">
        <v>3</v>
      </c>
      <c r="Z1275" s="9">
        <v>0</v>
      </c>
      <c r="AF1275" s="11">
        <v>0</v>
      </c>
      <c r="AI1275" s="11">
        <v>1</v>
      </c>
    </row>
    <row r="1276" spans="1:35" x14ac:dyDescent="0.25">
      <c r="A1276" s="161" t="str">
        <f t="shared" si="20"/>
        <v>RIFLEMAN_FRANCE</v>
      </c>
      <c r="B1276" s="9" t="s">
        <v>123</v>
      </c>
      <c r="C1276" s="4" t="s">
        <v>715</v>
      </c>
      <c r="E1276" s="4" t="s">
        <v>123</v>
      </c>
      <c r="F1276" s="4" t="s">
        <v>123</v>
      </c>
      <c r="G1276" s="4" t="s">
        <v>2047</v>
      </c>
      <c r="H1276" s="4" t="s">
        <v>881</v>
      </c>
      <c r="I1276" s="4" t="s">
        <v>122</v>
      </c>
      <c r="Q1276" s="9">
        <v>1</v>
      </c>
      <c r="R1276" s="11">
        <v>0.13</v>
      </c>
      <c r="T1276" s="11">
        <v>3</v>
      </c>
      <c r="Z1276" s="9">
        <v>0</v>
      </c>
      <c r="AF1276" s="11">
        <v>0</v>
      </c>
      <c r="AI1276" s="11">
        <v>1</v>
      </c>
    </row>
    <row r="1277" spans="1:35" x14ac:dyDescent="0.25">
      <c r="A1277" s="161" t="str">
        <f t="shared" si="20"/>
        <v>RIFLEMAN_FRANCE</v>
      </c>
      <c r="B1277" s="9" t="s">
        <v>123</v>
      </c>
      <c r="C1277" s="4" t="s">
        <v>715</v>
      </c>
      <c r="E1277" s="4" t="s">
        <v>123</v>
      </c>
      <c r="F1277" s="4" t="s">
        <v>123</v>
      </c>
      <c r="G1277" s="4" t="s">
        <v>2049</v>
      </c>
      <c r="H1277" s="4" t="s">
        <v>355</v>
      </c>
      <c r="I1277" s="4" t="s">
        <v>122</v>
      </c>
      <c r="Q1277" s="9">
        <v>3</v>
      </c>
      <c r="R1277" s="11">
        <v>0.13</v>
      </c>
      <c r="T1277" s="11">
        <v>3</v>
      </c>
      <c r="Z1277" s="9">
        <v>0</v>
      </c>
      <c r="AF1277" s="11">
        <v>0</v>
      </c>
      <c r="AI1277" s="11">
        <v>1</v>
      </c>
    </row>
    <row r="1278" spans="1:35" x14ac:dyDescent="0.25">
      <c r="A1278" s="161" t="str">
        <f t="shared" si="20"/>
        <v>RIFLEMAN_GERMANY</v>
      </c>
      <c r="B1278" s="9" t="s">
        <v>123</v>
      </c>
      <c r="C1278" s="4" t="s">
        <v>717</v>
      </c>
      <c r="E1278" s="4" t="s">
        <v>123</v>
      </c>
      <c r="F1278" s="4" t="s">
        <v>123</v>
      </c>
      <c r="H1278" s="4" t="s">
        <v>902</v>
      </c>
      <c r="I1278" s="4" t="s">
        <v>122</v>
      </c>
      <c r="Q1278" s="9">
        <v>1</v>
      </c>
      <c r="R1278" s="11">
        <v>0.13</v>
      </c>
      <c r="T1278" s="11">
        <v>3</v>
      </c>
      <c r="Z1278" s="9">
        <v>1</v>
      </c>
      <c r="AF1278" s="11">
        <v>1</v>
      </c>
      <c r="AI1278" s="11">
        <v>1</v>
      </c>
    </row>
    <row r="1279" spans="1:35" x14ac:dyDescent="0.25">
      <c r="A1279" s="161" t="str">
        <f t="shared" si="20"/>
        <v>RIFLEMAN_GERMANY</v>
      </c>
      <c r="B1279" s="9" t="s">
        <v>123</v>
      </c>
      <c r="C1279" s="4" t="s">
        <v>717</v>
      </c>
      <c r="E1279" s="4" t="s">
        <v>123</v>
      </c>
      <c r="F1279" s="4" t="s">
        <v>123</v>
      </c>
      <c r="G1279" s="4" t="s">
        <v>2047</v>
      </c>
      <c r="H1279" s="4" t="s">
        <v>903</v>
      </c>
      <c r="I1279" s="4" t="s">
        <v>122</v>
      </c>
      <c r="Q1279" s="9">
        <v>4</v>
      </c>
      <c r="R1279" s="11">
        <v>0.13</v>
      </c>
      <c r="T1279" s="11">
        <v>4</v>
      </c>
      <c r="Z1279" s="9">
        <v>0</v>
      </c>
      <c r="AF1279" s="11">
        <v>1</v>
      </c>
      <c r="AI1279" s="11">
        <v>2</v>
      </c>
    </row>
    <row r="1280" spans="1:35" x14ac:dyDescent="0.25">
      <c r="A1280" s="161" t="str">
        <f t="shared" si="20"/>
        <v>RIFLEMAN_GERMANY</v>
      </c>
      <c r="B1280" s="9" t="s">
        <v>123</v>
      </c>
      <c r="C1280" s="4" t="s">
        <v>717</v>
      </c>
      <c r="E1280" s="4" t="s">
        <v>123</v>
      </c>
      <c r="F1280" s="4" t="s">
        <v>123</v>
      </c>
      <c r="G1280" s="4" t="s">
        <v>2049</v>
      </c>
      <c r="H1280" s="4" t="s">
        <v>387</v>
      </c>
      <c r="I1280" s="4" t="s">
        <v>122</v>
      </c>
      <c r="Q1280" s="9">
        <v>2</v>
      </c>
      <c r="R1280" s="11">
        <v>0.13</v>
      </c>
      <c r="T1280" s="11">
        <v>3</v>
      </c>
      <c r="Z1280" s="9">
        <v>0</v>
      </c>
      <c r="AF1280" s="11">
        <v>1</v>
      </c>
      <c r="AI1280" s="11">
        <v>1</v>
      </c>
    </row>
    <row r="1281" spans="1:35" x14ac:dyDescent="0.25">
      <c r="A1281" s="161" t="str">
        <f t="shared" si="20"/>
        <v>RIFLEMAN_GERMANY</v>
      </c>
      <c r="B1281" s="9" t="s">
        <v>123</v>
      </c>
      <c r="C1281" s="4" t="s">
        <v>717</v>
      </c>
      <c r="E1281" s="4" t="s">
        <v>123</v>
      </c>
      <c r="F1281" s="4" t="s">
        <v>123</v>
      </c>
      <c r="H1281" s="4" t="s">
        <v>902</v>
      </c>
      <c r="I1281" s="4" t="s">
        <v>122</v>
      </c>
      <c r="Q1281" s="9">
        <v>3</v>
      </c>
      <c r="R1281" s="11">
        <v>0.13</v>
      </c>
      <c r="T1281" s="11">
        <v>3</v>
      </c>
      <c r="Z1281" s="9">
        <v>0</v>
      </c>
      <c r="AF1281" s="11">
        <v>0</v>
      </c>
      <c r="AI1281" s="11">
        <v>1</v>
      </c>
    </row>
    <row r="1282" spans="1:35" x14ac:dyDescent="0.25">
      <c r="A1282" s="161" t="str">
        <f t="shared" si="20"/>
        <v>RIFLEMAN_GERMANY</v>
      </c>
      <c r="B1282" s="9" t="s">
        <v>123</v>
      </c>
      <c r="C1282" s="4" t="s">
        <v>717</v>
      </c>
      <c r="E1282" s="4" t="s">
        <v>123</v>
      </c>
      <c r="F1282" s="4" t="s">
        <v>123</v>
      </c>
      <c r="G1282" s="4" t="s">
        <v>2047</v>
      </c>
      <c r="H1282" s="4" t="s">
        <v>903</v>
      </c>
      <c r="I1282" s="4" t="s">
        <v>122</v>
      </c>
      <c r="Q1282" s="9">
        <v>1</v>
      </c>
      <c r="R1282" s="11">
        <v>0.13</v>
      </c>
      <c r="T1282" s="11">
        <v>3</v>
      </c>
      <c r="Z1282" s="9">
        <v>0</v>
      </c>
      <c r="AF1282" s="11">
        <v>0</v>
      </c>
      <c r="AI1282" s="11">
        <v>1</v>
      </c>
    </row>
    <row r="1283" spans="1:35" x14ac:dyDescent="0.25">
      <c r="A1283" s="161" t="str">
        <f t="shared" si="20"/>
        <v>RIFLEMAN_GERMANY</v>
      </c>
      <c r="B1283" s="9" t="s">
        <v>123</v>
      </c>
      <c r="C1283" s="4" t="s">
        <v>717</v>
      </c>
      <c r="E1283" s="4" t="s">
        <v>123</v>
      </c>
      <c r="F1283" s="4" t="s">
        <v>123</v>
      </c>
      <c r="G1283" s="4" t="s">
        <v>2049</v>
      </c>
      <c r="H1283" s="4" t="s">
        <v>387</v>
      </c>
      <c r="I1283" s="4" t="s">
        <v>122</v>
      </c>
      <c r="Q1283" s="9">
        <v>3</v>
      </c>
      <c r="R1283" s="11">
        <v>0.13</v>
      </c>
      <c r="T1283" s="11">
        <v>3</v>
      </c>
      <c r="Z1283" s="9">
        <v>0</v>
      </c>
      <c r="AF1283" s="11">
        <v>0</v>
      </c>
      <c r="AI1283" s="11">
        <v>1</v>
      </c>
    </row>
    <row r="1284" spans="1:35" x14ac:dyDescent="0.25">
      <c r="A1284" s="161" t="str">
        <f t="shared" si="20"/>
        <v>RIFLEMAN_NETHERLANDS</v>
      </c>
      <c r="B1284" s="9" t="s">
        <v>123</v>
      </c>
      <c r="C1284" s="4" t="s">
        <v>730</v>
      </c>
      <c r="E1284" s="4" t="s">
        <v>123</v>
      </c>
      <c r="F1284" s="4" t="s">
        <v>123</v>
      </c>
      <c r="G1284" s="14" t="s">
        <v>132</v>
      </c>
      <c r="H1284" s="4" t="s">
        <v>547</v>
      </c>
      <c r="I1284" s="4" t="s">
        <v>122</v>
      </c>
      <c r="R1284" s="11" t="s">
        <v>1695</v>
      </c>
    </row>
    <row r="1285" spans="1:35" x14ac:dyDescent="0.25">
      <c r="A1285" s="161" t="str">
        <f t="shared" si="20"/>
        <v>RIFLEMAN_GREECE</v>
      </c>
      <c r="B1285" s="9" t="s">
        <v>123</v>
      </c>
      <c r="C1285" s="4" t="s">
        <v>718</v>
      </c>
      <c r="E1285" s="4" t="s">
        <v>123</v>
      </c>
      <c r="F1285" s="4" t="s">
        <v>123</v>
      </c>
      <c r="H1285" s="4" t="s">
        <v>921</v>
      </c>
      <c r="I1285" s="4" t="s">
        <v>122</v>
      </c>
      <c r="Q1285" s="9">
        <v>1</v>
      </c>
      <c r="R1285" s="11">
        <v>0.13</v>
      </c>
      <c r="T1285" s="11">
        <v>3</v>
      </c>
      <c r="Z1285" s="9">
        <v>1</v>
      </c>
      <c r="AF1285" s="11">
        <v>1</v>
      </c>
      <c r="AI1285" s="11">
        <v>1</v>
      </c>
    </row>
    <row r="1286" spans="1:35" x14ac:dyDescent="0.25">
      <c r="A1286" s="161" t="str">
        <f t="shared" si="20"/>
        <v>RIFLEMAN_GREECE</v>
      </c>
      <c r="B1286" s="9" t="s">
        <v>123</v>
      </c>
      <c r="C1286" s="4" t="s">
        <v>718</v>
      </c>
      <c r="E1286" s="4" t="s">
        <v>123</v>
      </c>
      <c r="F1286" s="4" t="s">
        <v>123</v>
      </c>
      <c r="G1286" s="4" t="s">
        <v>2047</v>
      </c>
      <c r="H1286" s="4" t="s">
        <v>920</v>
      </c>
      <c r="I1286" s="4" t="s">
        <v>122</v>
      </c>
      <c r="Q1286" s="9">
        <v>4</v>
      </c>
      <c r="R1286" s="11">
        <v>0.13</v>
      </c>
      <c r="T1286" s="11">
        <v>4</v>
      </c>
      <c r="Z1286" s="9">
        <v>0</v>
      </c>
      <c r="AF1286" s="11">
        <v>1</v>
      </c>
      <c r="AI1286" s="11">
        <v>2</v>
      </c>
    </row>
    <row r="1287" spans="1:35" x14ac:dyDescent="0.25">
      <c r="A1287" s="161" t="str">
        <f t="shared" si="20"/>
        <v>RIFLEMAN_GREECE</v>
      </c>
      <c r="B1287" s="9" t="s">
        <v>123</v>
      </c>
      <c r="C1287" s="4" t="s">
        <v>718</v>
      </c>
      <c r="E1287" s="4" t="s">
        <v>123</v>
      </c>
      <c r="F1287" s="4" t="s">
        <v>123</v>
      </c>
      <c r="G1287" s="4" t="s">
        <v>2049</v>
      </c>
      <c r="H1287" s="4" t="s">
        <v>411</v>
      </c>
      <c r="I1287" s="4" t="s">
        <v>122</v>
      </c>
      <c r="Q1287" s="9">
        <v>2</v>
      </c>
      <c r="R1287" s="11">
        <v>0.13</v>
      </c>
      <c r="T1287" s="11">
        <v>3</v>
      </c>
      <c r="Z1287" s="9">
        <v>0</v>
      </c>
      <c r="AF1287" s="11">
        <v>1</v>
      </c>
      <c r="AI1287" s="11">
        <v>1</v>
      </c>
    </row>
    <row r="1288" spans="1:35" x14ac:dyDescent="0.25">
      <c r="A1288" s="161" t="str">
        <f t="shared" si="20"/>
        <v>RIFLEMAN_GREECE</v>
      </c>
      <c r="B1288" s="9" t="s">
        <v>123</v>
      </c>
      <c r="C1288" s="4" t="s">
        <v>718</v>
      </c>
      <c r="E1288" s="4" t="s">
        <v>123</v>
      </c>
      <c r="F1288" s="4" t="s">
        <v>123</v>
      </c>
      <c r="H1288" s="4" t="s">
        <v>921</v>
      </c>
      <c r="I1288" s="4" t="s">
        <v>122</v>
      </c>
      <c r="Q1288" s="9">
        <v>3</v>
      </c>
      <c r="R1288" s="11">
        <v>0.13</v>
      </c>
      <c r="T1288" s="11">
        <v>3</v>
      </c>
      <c r="Z1288" s="9">
        <v>0</v>
      </c>
      <c r="AF1288" s="11">
        <v>0</v>
      </c>
      <c r="AI1288" s="11">
        <v>1</v>
      </c>
    </row>
    <row r="1289" spans="1:35" x14ac:dyDescent="0.25">
      <c r="A1289" s="161" t="str">
        <f t="shared" si="20"/>
        <v>RIFLEMAN_GREECE</v>
      </c>
      <c r="B1289" s="9" t="s">
        <v>123</v>
      </c>
      <c r="C1289" s="4" t="s">
        <v>718</v>
      </c>
      <c r="E1289" s="4" t="s">
        <v>123</v>
      </c>
      <c r="F1289" s="4" t="s">
        <v>123</v>
      </c>
      <c r="G1289" s="4" t="s">
        <v>2047</v>
      </c>
      <c r="H1289" s="4" t="s">
        <v>920</v>
      </c>
      <c r="I1289" s="4" t="s">
        <v>122</v>
      </c>
      <c r="Q1289" s="9">
        <v>1</v>
      </c>
      <c r="R1289" s="11">
        <v>0.13</v>
      </c>
      <c r="T1289" s="11">
        <v>3</v>
      </c>
      <c r="Z1289" s="9">
        <v>0</v>
      </c>
      <c r="AF1289" s="11">
        <v>0</v>
      </c>
      <c r="AI1289" s="11">
        <v>1</v>
      </c>
    </row>
    <row r="1290" spans="1:35" x14ac:dyDescent="0.25">
      <c r="A1290" s="161" t="str">
        <f t="shared" si="20"/>
        <v>RIFLEMAN_GREECE</v>
      </c>
      <c r="B1290" s="9" t="s">
        <v>123</v>
      </c>
      <c r="C1290" s="4" t="s">
        <v>718</v>
      </c>
      <c r="E1290" s="4" t="s">
        <v>123</v>
      </c>
      <c r="F1290" s="4" t="s">
        <v>123</v>
      </c>
      <c r="G1290" s="4" t="s">
        <v>2049</v>
      </c>
      <c r="H1290" s="4" t="s">
        <v>411</v>
      </c>
      <c r="I1290" s="4" t="s">
        <v>122</v>
      </c>
      <c r="Q1290" s="9">
        <v>3</v>
      </c>
      <c r="R1290" s="11">
        <v>0.13</v>
      </c>
      <c r="T1290" s="11">
        <v>3</v>
      </c>
      <c r="Z1290" s="9">
        <v>0</v>
      </c>
      <c r="AF1290" s="11">
        <v>0</v>
      </c>
      <c r="AI1290" s="11">
        <v>1</v>
      </c>
    </row>
    <row r="1291" spans="1:35" x14ac:dyDescent="0.25">
      <c r="A1291" s="161" t="str">
        <f t="shared" si="20"/>
        <v>RIFLEMAN_SPAIN</v>
      </c>
      <c r="B1291" s="9" t="s">
        <v>123</v>
      </c>
      <c r="C1291" s="4" t="s">
        <v>738</v>
      </c>
      <c r="E1291" s="4" t="s">
        <v>123</v>
      </c>
      <c r="F1291" s="4" t="s">
        <v>123</v>
      </c>
      <c r="H1291" s="4" t="s">
        <v>1017</v>
      </c>
      <c r="I1291" s="4" t="s">
        <v>122</v>
      </c>
      <c r="Q1291" s="9">
        <v>1</v>
      </c>
      <c r="R1291" s="11">
        <v>0.13</v>
      </c>
      <c r="T1291" s="11">
        <v>3</v>
      </c>
      <c r="Z1291" s="9">
        <v>1</v>
      </c>
      <c r="AF1291" s="11">
        <v>1</v>
      </c>
      <c r="AI1291" s="11">
        <v>1</v>
      </c>
    </row>
    <row r="1292" spans="1:35" x14ac:dyDescent="0.25">
      <c r="A1292" s="161" t="str">
        <f t="shared" si="20"/>
        <v>RIFLEMAN_SPAIN</v>
      </c>
      <c r="B1292" s="9" t="s">
        <v>123</v>
      </c>
      <c r="C1292" s="4" t="s">
        <v>738</v>
      </c>
      <c r="E1292" s="4" t="s">
        <v>123</v>
      </c>
      <c r="F1292" s="4" t="s">
        <v>123</v>
      </c>
      <c r="G1292" s="4" t="s">
        <v>2047</v>
      </c>
      <c r="H1292" s="4" t="s">
        <v>1018</v>
      </c>
      <c r="I1292" s="4" t="s">
        <v>122</v>
      </c>
      <c r="Q1292" s="9">
        <v>4</v>
      </c>
      <c r="R1292" s="11">
        <v>0.13</v>
      </c>
      <c r="T1292" s="11">
        <v>4</v>
      </c>
      <c r="Z1292" s="9">
        <v>0</v>
      </c>
      <c r="AF1292" s="11">
        <v>1</v>
      </c>
      <c r="AI1292" s="11">
        <v>2</v>
      </c>
    </row>
    <row r="1293" spans="1:35" x14ac:dyDescent="0.25">
      <c r="A1293" s="161" t="str">
        <f t="shared" si="20"/>
        <v>RIFLEMAN_SPAIN</v>
      </c>
      <c r="B1293" s="9" t="s">
        <v>123</v>
      </c>
      <c r="C1293" s="4" t="s">
        <v>738</v>
      </c>
      <c r="E1293" s="4" t="s">
        <v>123</v>
      </c>
      <c r="F1293" s="4" t="s">
        <v>123</v>
      </c>
      <c r="G1293" s="4" t="s">
        <v>2049</v>
      </c>
      <c r="H1293" s="4" t="s">
        <v>661</v>
      </c>
      <c r="I1293" s="4" t="s">
        <v>122</v>
      </c>
      <c r="Q1293" s="9">
        <v>2</v>
      </c>
      <c r="R1293" s="11">
        <v>0.13</v>
      </c>
      <c r="T1293" s="11">
        <v>3</v>
      </c>
      <c r="Z1293" s="9">
        <v>0</v>
      </c>
      <c r="AF1293" s="11">
        <v>1</v>
      </c>
      <c r="AI1293" s="11">
        <v>1</v>
      </c>
    </row>
    <row r="1294" spans="1:35" x14ac:dyDescent="0.25">
      <c r="A1294" s="161" t="str">
        <f t="shared" si="20"/>
        <v>RIFLEMAN_SPAIN</v>
      </c>
      <c r="B1294" s="9" t="s">
        <v>123</v>
      </c>
      <c r="C1294" s="4" t="s">
        <v>738</v>
      </c>
      <c r="E1294" s="4" t="s">
        <v>123</v>
      </c>
      <c r="F1294" s="4" t="s">
        <v>123</v>
      </c>
      <c r="H1294" s="4" t="s">
        <v>1017</v>
      </c>
      <c r="I1294" s="4" t="s">
        <v>122</v>
      </c>
      <c r="Q1294" s="9">
        <v>3</v>
      </c>
      <c r="R1294" s="11">
        <v>0.13</v>
      </c>
      <c r="T1294" s="11">
        <v>3</v>
      </c>
      <c r="Z1294" s="9">
        <v>0</v>
      </c>
      <c r="AF1294" s="11">
        <v>0</v>
      </c>
      <c r="AI1294" s="11">
        <v>1</v>
      </c>
    </row>
    <row r="1295" spans="1:35" x14ac:dyDescent="0.25">
      <c r="A1295" s="161" t="str">
        <f t="shared" si="20"/>
        <v>RIFLEMAN_SPAIN</v>
      </c>
      <c r="B1295" s="9" t="s">
        <v>123</v>
      </c>
      <c r="C1295" s="4" t="s">
        <v>738</v>
      </c>
      <c r="E1295" s="4" t="s">
        <v>123</v>
      </c>
      <c r="F1295" s="4" t="s">
        <v>123</v>
      </c>
      <c r="G1295" s="4" t="s">
        <v>2047</v>
      </c>
      <c r="H1295" s="4" t="s">
        <v>1018</v>
      </c>
      <c r="I1295" s="4" t="s">
        <v>122</v>
      </c>
      <c r="Q1295" s="9">
        <v>1</v>
      </c>
      <c r="R1295" s="11">
        <v>0.13</v>
      </c>
      <c r="T1295" s="11">
        <v>3</v>
      </c>
      <c r="Z1295" s="9">
        <v>0</v>
      </c>
      <c r="AF1295" s="11">
        <v>0</v>
      </c>
      <c r="AI1295" s="11">
        <v>1</v>
      </c>
    </row>
    <row r="1296" spans="1:35" x14ac:dyDescent="0.25">
      <c r="A1296" s="161" t="str">
        <f t="shared" si="20"/>
        <v>RIFLEMAN_SPAIN</v>
      </c>
      <c r="B1296" s="9" t="s">
        <v>123</v>
      </c>
      <c r="C1296" s="4" t="s">
        <v>738</v>
      </c>
      <c r="E1296" s="4" t="s">
        <v>123</v>
      </c>
      <c r="F1296" s="4" t="s">
        <v>123</v>
      </c>
      <c r="G1296" s="4" t="s">
        <v>2049</v>
      </c>
      <c r="H1296" s="4" t="s">
        <v>661</v>
      </c>
      <c r="I1296" s="4" t="s">
        <v>122</v>
      </c>
      <c r="Q1296" s="9">
        <v>3</v>
      </c>
      <c r="R1296" s="11">
        <v>0.13</v>
      </c>
      <c r="T1296" s="11">
        <v>3</v>
      </c>
      <c r="Z1296" s="9">
        <v>0</v>
      </c>
      <c r="AF1296" s="11">
        <v>0</v>
      </c>
      <c r="AI1296" s="11">
        <v>1</v>
      </c>
    </row>
    <row r="1297" spans="1:35" x14ac:dyDescent="0.25">
      <c r="A1297" s="161" t="str">
        <f t="shared" si="20"/>
        <v>RIFLEMAN_MIDEAST</v>
      </c>
      <c r="B1297" s="9" t="s">
        <v>123</v>
      </c>
      <c r="C1297" s="4" t="s">
        <v>690</v>
      </c>
      <c r="E1297" s="4" t="s">
        <v>123</v>
      </c>
      <c r="F1297" s="4" t="s">
        <v>123</v>
      </c>
      <c r="H1297" s="4" t="s">
        <v>836</v>
      </c>
      <c r="I1297" s="4" t="s">
        <v>1272</v>
      </c>
      <c r="R1297" s="11">
        <v>0.125</v>
      </c>
    </row>
    <row r="1298" spans="1:35" x14ac:dyDescent="0.25">
      <c r="A1298" s="161" t="str">
        <f t="shared" si="20"/>
        <v>RIFLEMAN_ARABIA</v>
      </c>
      <c r="B1298" s="9" t="s">
        <v>123</v>
      </c>
      <c r="C1298" s="4" t="s">
        <v>700</v>
      </c>
      <c r="D1298" s="14"/>
      <c r="E1298" s="4" t="s">
        <v>123</v>
      </c>
      <c r="F1298" s="4" t="s">
        <v>123</v>
      </c>
      <c r="H1298" s="4" t="s">
        <v>808</v>
      </c>
      <c r="I1298" s="4" t="s">
        <v>122</v>
      </c>
      <c r="Q1298" s="9">
        <v>1</v>
      </c>
      <c r="R1298" s="11" t="s">
        <v>1695</v>
      </c>
      <c r="T1298" s="11">
        <v>3</v>
      </c>
      <c r="Z1298" s="9">
        <v>1</v>
      </c>
      <c r="AF1298" s="11">
        <v>1</v>
      </c>
      <c r="AI1298" s="11">
        <v>1</v>
      </c>
    </row>
    <row r="1299" spans="1:35" x14ac:dyDescent="0.25">
      <c r="A1299" s="161" t="str">
        <f t="shared" si="20"/>
        <v>RIFLEMAN_ARABIA</v>
      </c>
      <c r="B1299" s="9" t="s">
        <v>123</v>
      </c>
      <c r="C1299" s="4" t="s">
        <v>700</v>
      </c>
      <c r="D1299" s="14"/>
      <c r="E1299" s="4" t="s">
        <v>123</v>
      </c>
      <c r="F1299" s="4" t="s">
        <v>123</v>
      </c>
      <c r="G1299" s="4" t="s">
        <v>2047</v>
      </c>
      <c r="H1299" s="4" t="s">
        <v>809</v>
      </c>
      <c r="I1299" s="4" t="s">
        <v>122</v>
      </c>
      <c r="Q1299" s="9">
        <v>3</v>
      </c>
      <c r="R1299" s="11" t="s">
        <v>1695</v>
      </c>
      <c r="T1299" s="11">
        <v>4</v>
      </c>
      <c r="Z1299" s="9">
        <v>0</v>
      </c>
      <c r="AF1299" s="11">
        <v>1</v>
      </c>
      <c r="AI1299" s="11">
        <v>2</v>
      </c>
    </row>
    <row r="1300" spans="1:35" x14ac:dyDescent="0.25">
      <c r="A1300" s="161" t="str">
        <f t="shared" ref="A1300:A1377" si="21">CONCATENATE(E1300,IF(ISBLANK(C1300),"",CONCATENATE("_",C1300)))</f>
        <v>RIFLEMAN_ARABIA</v>
      </c>
      <c r="B1300" s="9" t="s">
        <v>123</v>
      </c>
      <c r="C1300" s="4" t="s">
        <v>700</v>
      </c>
      <c r="D1300" s="14"/>
      <c r="E1300" s="4" t="s">
        <v>123</v>
      </c>
      <c r="F1300" s="4" t="s">
        <v>123</v>
      </c>
      <c r="G1300" s="4" t="s">
        <v>2049</v>
      </c>
      <c r="H1300" s="4" t="s">
        <v>169</v>
      </c>
      <c r="I1300" s="4" t="s">
        <v>122</v>
      </c>
      <c r="Q1300" s="9">
        <v>1</v>
      </c>
      <c r="R1300" s="11" t="s">
        <v>1695</v>
      </c>
      <c r="T1300" s="11">
        <v>3</v>
      </c>
      <c r="Z1300" s="9">
        <v>0</v>
      </c>
      <c r="AF1300" s="11">
        <v>1</v>
      </c>
      <c r="AI1300" s="11">
        <v>1</v>
      </c>
    </row>
    <row r="1301" spans="1:35" x14ac:dyDescent="0.25">
      <c r="A1301" s="161" t="str">
        <f t="shared" si="21"/>
        <v>RIFLEMAN_ARABIA</v>
      </c>
      <c r="B1301" s="9" t="s">
        <v>123</v>
      </c>
      <c r="C1301" s="4" t="s">
        <v>700</v>
      </c>
      <c r="D1301" s="14"/>
      <c r="E1301" s="4" t="s">
        <v>123</v>
      </c>
      <c r="F1301" s="4" t="s">
        <v>123</v>
      </c>
      <c r="H1301" s="4" t="s">
        <v>808</v>
      </c>
      <c r="I1301" s="4" t="s">
        <v>122</v>
      </c>
      <c r="Q1301" s="9">
        <v>3</v>
      </c>
      <c r="R1301" s="11" t="s">
        <v>1695</v>
      </c>
      <c r="T1301" s="11">
        <v>3</v>
      </c>
      <c r="Z1301" s="9">
        <v>0</v>
      </c>
      <c r="AF1301" s="11">
        <v>0</v>
      </c>
      <c r="AI1301" s="11">
        <v>1</v>
      </c>
    </row>
    <row r="1302" spans="1:35" x14ac:dyDescent="0.25">
      <c r="A1302" s="161" t="str">
        <f t="shared" si="21"/>
        <v>RIFLEMAN_ARABIA</v>
      </c>
      <c r="B1302" s="9" t="s">
        <v>123</v>
      </c>
      <c r="C1302" s="4" t="s">
        <v>700</v>
      </c>
      <c r="D1302" s="14"/>
      <c r="E1302" s="4" t="s">
        <v>123</v>
      </c>
      <c r="F1302" s="4" t="s">
        <v>123</v>
      </c>
      <c r="G1302" s="4" t="s">
        <v>2047</v>
      </c>
      <c r="H1302" s="4" t="s">
        <v>809</v>
      </c>
      <c r="I1302" s="4" t="s">
        <v>122</v>
      </c>
      <c r="Q1302" s="9">
        <v>2</v>
      </c>
      <c r="R1302" s="11" t="s">
        <v>1695</v>
      </c>
      <c r="T1302" s="11">
        <v>3</v>
      </c>
      <c r="Z1302" s="9">
        <v>0</v>
      </c>
      <c r="AF1302" s="11">
        <v>0</v>
      </c>
      <c r="AI1302" s="11">
        <v>1</v>
      </c>
    </row>
    <row r="1303" spans="1:35" x14ac:dyDescent="0.25">
      <c r="A1303" s="161" t="str">
        <f t="shared" si="21"/>
        <v>RIFLEMAN_ARABIA</v>
      </c>
      <c r="B1303" s="9" t="s">
        <v>123</v>
      </c>
      <c r="C1303" s="4" t="s">
        <v>700</v>
      </c>
      <c r="D1303" s="14"/>
      <c r="E1303" s="4" t="s">
        <v>123</v>
      </c>
      <c r="F1303" s="4" t="s">
        <v>123</v>
      </c>
      <c r="G1303" s="4" t="s">
        <v>2049</v>
      </c>
      <c r="H1303" s="4" t="s">
        <v>169</v>
      </c>
      <c r="I1303" s="4" t="s">
        <v>122</v>
      </c>
      <c r="Q1303" s="9">
        <v>4</v>
      </c>
      <c r="R1303" s="11" t="s">
        <v>1695</v>
      </c>
      <c r="T1303" s="11">
        <v>3</v>
      </c>
      <c r="Z1303" s="9">
        <v>0</v>
      </c>
      <c r="AF1303" s="11">
        <v>0</v>
      </c>
      <c r="AI1303" s="11">
        <v>1</v>
      </c>
    </row>
    <row r="1304" spans="1:35" x14ac:dyDescent="0.25">
      <c r="A1304" s="161" t="str">
        <f t="shared" si="21"/>
        <v>RIFLEMAN_BABYLON</v>
      </c>
      <c r="B1304" s="9" t="s">
        <v>123</v>
      </c>
      <c r="C1304" s="4" t="s">
        <v>703</v>
      </c>
      <c r="E1304" s="4" t="s">
        <v>123</v>
      </c>
      <c r="F1304" s="4" t="s">
        <v>123</v>
      </c>
      <c r="H1304" s="4" t="s">
        <v>816</v>
      </c>
      <c r="I1304" s="4" t="s">
        <v>993</v>
      </c>
      <c r="Q1304" s="9">
        <v>1</v>
      </c>
      <c r="R1304" s="11">
        <v>0.125</v>
      </c>
      <c r="T1304" s="11">
        <v>2</v>
      </c>
      <c r="Z1304" s="9">
        <v>1</v>
      </c>
      <c r="AF1304" s="11">
        <v>1</v>
      </c>
      <c r="AI1304" s="11">
        <v>1</v>
      </c>
    </row>
    <row r="1305" spans="1:35" x14ac:dyDescent="0.25">
      <c r="A1305" s="161" t="str">
        <f t="shared" si="21"/>
        <v>RIFLEMAN_BABYLON</v>
      </c>
      <c r="B1305" s="9" t="s">
        <v>123</v>
      </c>
      <c r="C1305" s="4" t="s">
        <v>703</v>
      </c>
      <c r="E1305" s="4" t="s">
        <v>123</v>
      </c>
      <c r="F1305" s="4" t="s">
        <v>123</v>
      </c>
      <c r="G1305" s="4" t="s">
        <v>2047</v>
      </c>
      <c r="H1305" s="4" t="s">
        <v>644</v>
      </c>
      <c r="I1305" s="4" t="s">
        <v>993</v>
      </c>
      <c r="Q1305" s="9">
        <v>3</v>
      </c>
      <c r="R1305" s="11">
        <v>0.125</v>
      </c>
      <c r="T1305" s="11">
        <v>4</v>
      </c>
      <c r="Z1305" s="9">
        <v>0</v>
      </c>
      <c r="AF1305" s="11">
        <v>1</v>
      </c>
      <c r="AI1305" s="11">
        <v>2</v>
      </c>
    </row>
    <row r="1306" spans="1:35" x14ac:dyDescent="0.25">
      <c r="A1306" s="161" t="str">
        <f t="shared" si="21"/>
        <v>RIFLEMAN_BABYLON</v>
      </c>
      <c r="B1306" s="9" t="s">
        <v>123</v>
      </c>
      <c r="C1306" s="4" t="s">
        <v>703</v>
      </c>
      <c r="E1306" s="4" t="s">
        <v>123</v>
      </c>
      <c r="F1306" s="4" t="s">
        <v>123</v>
      </c>
      <c r="G1306" s="4" t="s">
        <v>2049</v>
      </c>
      <c r="H1306" s="4" t="s">
        <v>216</v>
      </c>
      <c r="I1306" s="4" t="s">
        <v>993</v>
      </c>
      <c r="Q1306" s="9">
        <v>1</v>
      </c>
      <c r="R1306" s="11">
        <v>0.125</v>
      </c>
      <c r="T1306" s="11">
        <v>4</v>
      </c>
      <c r="Z1306" s="9">
        <v>0</v>
      </c>
      <c r="AF1306" s="11">
        <v>1</v>
      </c>
      <c r="AI1306" s="11">
        <v>1</v>
      </c>
    </row>
    <row r="1307" spans="1:35" x14ac:dyDescent="0.25">
      <c r="A1307" s="161" t="str">
        <f t="shared" si="21"/>
        <v>RIFLEMAN_BABYLON</v>
      </c>
      <c r="B1307" s="9" t="s">
        <v>123</v>
      </c>
      <c r="C1307" s="4" t="s">
        <v>703</v>
      </c>
      <c r="E1307" s="4" t="s">
        <v>123</v>
      </c>
      <c r="F1307" s="4" t="s">
        <v>123</v>
      </c>
      <c r="H1307" s="4" t="s">
        <v>816</v>
      </c>
      <c r="I1307" s="4" t="s">
        <v>993</v>
      </c>
      <c r="Q1307" s="9">
        <v>3</v>
      </c>
      <c r="R1307" s="11">
        <v>0.125</v>
      </c>
      <c r="T1307" s="11">
        <v>4</v>
      </c>
      <c r="Z1307" s="9">
        <v>0</v>
      </c>
      <c r="AF1307" s="11">
        <v>0</v>
      </c>
      <c r="AI1307" s="11">
        <v>1</v>
      </c>
    </row>
    <row r="1308" spans="1:35" x14ac:dyDescent="0.25">
      <c r="A1308" s="161" t="str">
        <f t="shared" si="21"/>
        <v>RIFLEMAN_BABYLON</v>
      </c>
      <c r="B1308" s="9" t="s">
        <v>123</v>
      </c>
      <c r="C1308" s="4" t="s">
        <v>703</v>
      </c>
      <c r="E1308" s="4" t="s">
        <v>123</v>
      </c>
      <c r="F1308" s="4" t="s">
        <v>123</v>
      </c>
      <c r="G1308" s="4" t="s">
        <v>2047</v>
      </c>
      <c r="H1308" s="4" t="s">
        <v>644</v>
      </c>
      <c r="I1308" s="4" t="s">
        <v>993</v>
      </c>
      <c r="Q1308" s="9">
        <v>2</v>
      </c>
      <c r="R1308" s="11">
        <v>0.125</v>
      </c>
      <c r="T1308" s="11">
        <v>3</v>
      </c>
      <c r="Z1308" s="9">
        <v>0</v>
      </c>
      <c r="AF1308" s="11">
        <v>0</v>
      </c>
      <c r="AI1308" s="11">
        <v>1</v>
      </c>
    </row>
    <row r="1309" spans="1:35" x14ac:dyDescent="0.25">
      <c r="A1309" s="161" t="str">
        <f t="shared" si="21"/>
        <v>RIFLEMAN_BABYLON</v>
      </c>
      <c r="B1309" s="9" t="s">
        <v>123</v>
      </c>
      <c r="C1309" s="4" t="s">
        <v>703</v>
      </c>
      <c r="E1309" s="4" t="s">
        <v>123</v>
      </c>
      <c r="F1309" s="4" t="s">
        <v>123</v>
      </c>
      <c r="G1309" s="4" t="s">
        <v>2049</v>
      </c>
      <c r="H1309" s="4" t="s">
        <v>216</v>
      </c>
      <c r="I1309" s="4" t="s">
        <v>993</v>
      </c>
      <c r="Q1309" s="9">
        <v>4</v>
      </c>
      <c r="R1309" s="11">
        <v>0.125</v>
      </c>
      <c r="T1309" s="11">
        <v>2</v>
      </c>
      <c r="Z1309" s="9">
        <v>0</v>
      </c>
      <c r="AF1309" s="11">
        <v>0</v>
      </c>
      <c r="AI1309" s="11">
        <v>1</v>
      </c>
    </row>
    <row r="1310" spans="1:35" x14ac:dyDescent="0.25">
      <c r="A1310" s="161" t="str">
        <f t="shared" si="21"/>
        <v>RIFLEMAN_EGYPT</v>
      </c>
      <c r="B1310" s="9" t="s">
        <v>123</v>
      </c>
      <c r="C1310" s="4" t="s">
        <v>712</v>
      </c>
      <c r="E1310" s="4" t="s">
        <v>123</v>
      </c>
      <c r="F1310" s="4" t="s">
        <v>123</v>
      </c>
      <c r="H1310" s="4" t="s">
        <v>840</v>
      </c>
      <c r="I1310" s="4" t="s">
        <v>122</v>
      </c>
      <c r="Q1310" s="9">
        <v>1</v>
      </c>
      <c r="R1310" s="11">
        <v>0.13</v>
      </c>
      <c r="T1310" s="11">
        <v>3</v>
      </c>
      <c r="Z1310" s="9">
        <v>1</v>
      </c>
      <c r="AF1310" s="11">
        <v>1</v>
      </c>
      <c r="AI1310" s="11">
        <v>1</v>
      </c>
    </row>
    <row r="1311" spans="1:35" x14ac:dyDescent="0.25">
      <c r="A1311" s="161" t="str">
        <f t="shared" si="21"/>
        <v>RIFLEMAN_EGYPT</v>
      </c>
      <c r="B1311" s="9" t="s">
        <v>123</v>
      </c>
      <c r="C1311" s="4" t="s">
        <v>712</v>
      </c>
      <c r="E1311" s="4" t="s">
        <v>123</v>
      </c>
      <c r="F1311" s="4" t="s">
        <v>123</v>
      </c>
      <c r="G1311" s="4" t="s">
        <v>2047</v>
      </c>
      <c r="H1311" s="4" t="s">
        <v>841</v>
      </c>
      <c r="I1311" s="4" t="s">
        <v>122</v>
      </c>
      <c r="Q1311" s="9">
        <v>3</v>
      </c>
      <c r="R1311" s="11">
        <v>0.13</v>
      </c>
      <c r="T1311" s="11">
        <v>4</v>
      </c>
      <c r="Z1311" s="9">
        <v>0</v>
      </c>
      <c r="AF1311" s="11">
        <v>1</v>
      </c>
      <c r="AI1311" s="11">
        <v>2</v>
      </c>
    </row>
    <row r="1312" spans="1:35" x14ac:dyDescent="0.25">
      <c r="A1312" s="161" t="str">
        <f t="shared" si="21"/>
        <v>RIFLEMAN_EGYPT</v>
      </c>
      <c r="B1312" s="9" t="s">
        <v>123</v>
      </c>
      <c r="C1312" s="4" t="s">
        <v>712</v>
      </c>
      <c r="E1312" s="4" t="s">
        <v>123</v>
      </c>
      <c r="F1312" s="4" t="s">
        <v>123</v>
      </c>
      <c r="G1312" s="4" t="s">
        <v>2049</v>
      </c>
      <c r="H1312" s="4" t="s">
        <v>286</v>
      </c>
      <c r="I1312" s="4" t="s">
        <v>122</v>
      </c>
      <c r="Q1312" s="9">
        <v>1</v>
      </c>
      <c r="R1312" s="11">
        <v>0.13</v>
      </c>
      <c r="T1312" s="11">
        <v>3</v>
      </c>
      <c r="Z1312" s="9">
        <v>0</v>
      </c>
      <c r="AF1312" s="11">
        <v>1</v>
      </c>
      <c r="AI1312" s="11">
        <v>1</v>
      </c>
    </row>
    <row r="1313" spans="1:35" x14ac:dyDescent="0.25">
      <c r="A1313" s="161" t="str">
        <f t="shared" si="21"/>
        <v>RIFLEMAN_EGYPT</v>
      </c>
      <c r="B1313" s="9" t="s">
        <v>123</v>
      </c>
      <c r="C1313" s="4" t="s">
        <v>712</v>
      </c>
      <c r="E1313" s="4" t="s">
        <v>123</v>
      </c>
      <c r="F1313" s="4" t="s">
        <v>123</v>
      </c>
      <c r="H1313" s="4" t="s">
        <v>840</v>
      </c>
      <c r="I1313" s="4" t="s">
        <v>122</v>
      </c>
      <c r="Q1313" s="9">
        <v>3</v>
      </c>
      <c r="R1313" s="11">
        <v>0.13</v>
      </c>
      <c r="T1313" s="11">
        <v>3</v>
      </c>
      <c r="Z1313" s="9">
        <v>0</v>
      </c>
      <c r="AF1313" s="11">
        <v>0</v>
      </c>
      <c r="AI1313" s="11">
        <v>1</v>
      </c>
    </row>
    <row r="1314" spans="1:35" x14ac:dyDescent="0.25">
      <c r="A1314" s="161" t="str">
        <f t="shared" si="21"/>
        <v>RIFLEMAN_EGYPT</v>
      </c>
      <c r="B1314" s="9" t="s">
        <v>123</v>
      </c>
      <c r="C1314" s="4" t="s">
        <v>712</v>
      </c>
      <c r="E1314" s="4" t="s">
        <v>123</v>
      </c>
      <c r="F1314" s="4" t="s">
        <v>123</v>
      </c>
      <c r="G1314" s="4" t="s">
        <v>2047</v>
      </c>
      <c r="H1314" s="4" t="s">
        <v>841</v>
      </c>
      <c r="I1314" s="4" t="s">
        <v>122</v>
      </c>
      <c r="Q1314" s="9">
        <v>2</v>
      </c>
      <c r="R1314" s="11">
        <v>0.13</v>
      </c>
      <c r="T1314" s="11">
        <v>3</v>
      </c>
      <c r="Z1314" s="9">
        <v>0</v>
      </c>
      <c r="AF1314" s="11">
        <v>0</v>
      </c>
      <c r="AI1314" s="11">
        <v>1</v>
      </c>
    </row>
    <row r="1315" spans="1:35" x14ac:dyDescent="0.25">
      <c r="A1315" s="161" t="str">
        <f t="shared" si="21"/>
        <v>RIFLEMAN_EGYPT</v>
      </c>
      <c r="B1315" s="9" t="s">
        <v>123</v>
      </c>
      <c r="C1315" s="4" t="s">
        <v>712</v>
      </c>
      <c r="E1315" s="4" t="s">
        <v>123</v>
      </c>
      <c r="F1315" s="4" t="s">
        <v>123</v>
      </c>
      <c r="G1315" s="4" t="s">
        <v>2049</v>
      </c>
      <c r="H1315" s="4" t="s">
        <v>286</v>
      </c>
      <c r="I1315" s="4" t="s">
        <v>122</v>
      </c>
      <c r="Q1315" s="9">
        <v>4</v>
      </c>
      <c r="R1315" s="11">
        <v>0.13</v>
      </c>
      <c r="T1315" s="11">
        <v>3</v>
      </c>
      <c r="Z1315" s="9">
        <v>0</v>
      </c>
      <c r="AF1315" s="11">
        <v>0</v>
      </c>
      <c r="AI1315" s="11">
        <v>1</v>
      </c>
    </row>
    <row r="1316" spans="1:35" x14ac:dyDescent="0.25">
      <c r="A1316" s="161" t="str">
        <f t="shared" si="21"/>
        <v>RIFLEMAN_PERSIA</v>
      </c>
      <c r="B1316" s="9" t="s">
        <v>123</v>
      </c>
      <c r="C1316" s="4" t="s">
        <v>731</v>
      </c>
      <c r="E1316" s="4" t="s">
        <v>123</v>
      </c>
      <c r="F1316" s="4" t="s">
        <v>123</v>
      </c>
      <c r="H1316" s="4" t="s">
        <v>979</v>
      </c>
      <c r="I1316" s="4" t="s">
        <v>122</v>
      </c>
      <c r="Q1316" s="9">
        <v>1</v>
      </c>
      <c r="R1316" s="11">
        <v>0.13</v>
      </c>
      <c r="T1316" s="11">
        <v>3</v>
      </c>
      <c r="Z1316" s="9">
        <v>1</v>
      </c>
      <c r="AF1316" s="11">
        <v>1</v>
      </c>
      <c r="AI1316" s="11">
        <v>1</v>
      </c>
    </row>
    <row r="1317" spans="1:35" x14ac:dyDescent="0.25">
      <c r="A1317" s="161" t="str">
        <f t="shared" si="21"/>
        <v>RIFLEMAN_PERSIA</v>
      </c>
      <c r="B1317" s="9" t="s">
        <v>123</v>
      </c>
      <c r="C1317" s="4" t="s">
        <v>731</v>
      </c>
      <c r="E1317" s="4" t="s">
        <v>123</v>
      </c>
      <c r="F1317" s="4" t="s">
        <v>123</v>
      </c>
      <c r="G1317" s="4" t="s">
        <v>2047</v>
      </c>
      <c r="H1317" s="4" t="s">
        <v>980</v>
      </c>
      <c r="I1317" s="4" t="s">
        <v>122</v>
      </c>
      <c r="Q1317" s="9">
        <v>3</v>
      </c>
      <c r="R1317" s="11">
        <v>0.13</v>
      </c>
      <c r="T1317" s="11">
        <v>4</v>
      </c>
      <c r="Z1317" s="9">
        <v>0</v>
      </c>
      <c r="AF1317" s="11">
        <v>1</v>
      </c>
      <c r="AI1317" s="11">
        <v>2</v>
      </c>
    </row>
    <row r="1318" spans="1:35" x14ac:dyDescent="0.25">
      <c r="A1318" s="161" t="str">
        <f t="shared" si="21"/>
        <v>RIFLEMAN_PERSIA</v>
      </c>
      <c r="B1318" s="9" t="s">
        <v>123</v>
      </c>
      <c r="C1318" s="4" t="s">
        <v>731</v>
      </c>
      <c r="E1318" s="4" t="s">
        <v>123</v>
      </c>
      <c r="F1318" s="4" t="s">
        <v>123</v>
      </c>
      <c r="G1318" s="4" t="s">
        <v>2049</v>
      </c>
      <c r="H1318" s="4" t="s">
        <v>562</v>
      </c>
      <c r="I1318" s="4" t="s">
        <v>122</v>
      </c>
      <c r="Q1318" s="9">
        <v>1</v>
      </c>
      <c r="R1318" s="11">
        <v>0.13</v>
      </c>
      <c r="T1318" s="11">
        <v>3</v>
      </c>
      <c r="Z1318" s="9">
        <v>0</v>
      </c>
      <c r="AF1318" s="11">
        <v>1</v>
      </c>
      <c r="AI1318" s="11">
        <v>1</v>
      </c>
    </row>
    <row r="1319" spans="1:35" x14ac:dyDescent="0.25">
      <c r="A1319" s="161" t="str">
        <f t="shared" si="21"/>
        <v>RIFLEMAN_PERSIA</v>
      </c>
      <c r="B1319" s="9" t="s">
        <v>123</v>
      </c>
      <c r="C1319" s="4" t="s">
        <v>731</v>
      </c>
      <c r="E1319" s="4" t="s">
        <v>123</v>
      </c>
      <c r="F1319" s="4" t="s">
        <v>123</v>
      </c>
      <c r="H1319" s="4" t="s">
        <v>979</v>
      </c>
      <c r="I1319" s="4" t="s">
        <v>122</v>
      </c>
      <c r="Q1319" s="9">
        <v>3</v>
      </c>
      <c r="R1319" s="11">
        <v>0.13</v>
      </c>
      <c r="T1319" s="11">
        <v>3</v>
      </c>
      <c r="Z1319" s="9">
        <v>0</v>
      </c>
      <c r="AF1319" s="11">
        <v>0</v>
      </c>
      <c r="AI1319" s="11">
        <v>1</v>
      </c>
    </row>
    <row r="1320" spans="1:35" x14ac:dyDescent="0.25">
      <c r="A1320" s="161" t="str">
        <f t="shared" si="21"/>
        <v>RIFLEMAN_PERSIA</v>
      </c>
      <c r="B1320" s="9" t="s">
        <v>123</v>
      </c>
      <c r="C1320" s="4" t="s">
        <v>731</v>
      </c>
      <c r="E1320" s="4" t="s">
        <v>123</v>
      </c>
      <c r="F1320" s="4" t="s">
        <v>123</v>
      </c>
      <c r="G1320" s="4" t="s">
        <v>2047</v>
      </c>
      <c r="H1320" s="4" t="s">
        <v>980</v>
      </c>
      <c r="I1320" s="4" t="s">
        <v>122</v>
      </c>
      <c r="Q1320" s="9">
        <v>2</v>
      </c>
      <c r="R1320" s="11">
        <v>0.13</v>
      </c>
      <c r="T1320" s="11">
        <v>3</v>
      </c>
      <c r="Z1320" s="9">
        <v>0</v>
      </c>
      <c r="AF1320" s="11">
        <v>0</v>
      </c>
      <c r="AI1320" s="11">
        <v>1</v>
      </c>
    </row>
    <row r="1321" spans="1:35" x14ac:dyDescent="0.25">
      <c r="A1321" s="161" t="str">
        <f t="shared" si="21"/>
        <v>RIFLEMAN_PERSIA</v>
      </c>
      <c r="B1321" s="9" t="s">
        <v>123</v>
      </c>
      <c r="C1321" s="4" t="s">
        <v>731</v>
      </c>
      <c r="E1321" s="4" t="s">
        <v>123</v>
      </c>
      <c r="F1321" s="4" t="s">
        <v>123</v>
      </c>
      <c r="G1321" s="4" t="s">
        <v>2049</v>
      </c>
      <c r="H1321" s="4" t="s">
        <v>562</v>
      </c>
      <c r="I1321" s="4" t="s">
        <v>122</v>
      </c>
      <c r="Q1321" s="9">
        <v>4</v>
      </c>
      <c r="R1321" s="11">
        <v>0.13</v>
      </c>
      <c r="T1321" s="11">
        <v>3</v>
      </c>
      <c r="Z1321" s="9">
        <v>0</v>
      </c>
      <c r="AF1321" s="11">
        <v>0</v>
      </c>
      <c r="AI1321" s="11">
        <v>1</v>
      </c>
    </row>
    <row r="1322" spans="1:35" x14ac:dyDescent="0.25">
      <c r="A1322" s="161" t="str">
        <f t="shared" ref="A1322:A1327" si="22">CONCATENATE(E1322,IF(ISBLANK(C1322),"",CONCATENATE("_",C1322)))</f>
        <v>RIFLEMAN_NORTHAF</v>
      </c>
      <c r="B1322" s="9" t="s">
        <v>123</v>
      </c>
      <c r="C1322" s="4" t="s">
        <v>2011</v>
      </c>
      <c r="E1322" s="4" t="s">
        <v>123</v>
      </c>
      <c r="F1322" s="4" t="s">
        <v>123</v>
      </c>
      <c r="H1322" s="4" t="s">
        <v>1014</v>
      </c>
      <c r="I1322" s="4" t="s">
        <v>993</v>
      </c>
      <c r="Q1322" s="11">
        <v>1</v>
      </c>
      <c r="R1322" s="11">
        <v>0.125</v>
      </c>
      <c r="T1322" s="11">
        <v>3</v>
      </c>
      <c r="Z1322" s="11">
        <v>1</v>
      </c>
      <c r="AF1322" s="11">
        <v>1</v>
      </c>
      <c r="AI1322" s="11">
        <v>1</v>
      </c>
    </row>
    <row r="1323" spans="1:35" x14ac:dyDescent="0.25">
      <c r="A1323" s="161" t="str">
        <f t="shared" si="22"/>
        <v>RIFLEMAN_NORTHAF</v>
      </c>
      <c r="B1323" s="9" t="s">
        <v>123</v>
      </c>
      <c r="C1323" s="4" t="s">
        <v>2011</v>
      </c>
      <c r="E1323" s="4" t="s">
        <v>123</v>
      </c>
      <c r="F1323" s="4" t="s">
        <v>123</v>
      </c>
      <c r="G1323" s="4" t="s">
        <v>2047</v>
      </c>
      <c r="H1323" s="4" t="s">
        <v>1015</v>
      </c>
      <c r="I1323" s="4" t="s">
        <v>993</v>
      </c>
      <c r="Q1323" s="11">
        <v>3</v>
      </c>
      <c r="R1323" s="11">
        <v>0.125</v>
      </c>
      <c r="T1323" s="11">
        <v>4</v>
      </c>
      <c r="Z1323" s="11">
        <v>0</v>
      </c>
      <c r="AF1323" s="11">
        <v>1</v>
      </c>
      <c r="AI1323" s="11">
        <v>2</v>
      </c>
    </row>
    <row r="1324" spans="1:35" x14ac:dyDescent="0.25">
      <c r="A1324" s="161" t="str">
        <f t="shared" si="22"/>
        <v>RIFLEMAN_NORTHAF</v>
      </c>
      <c r="B1324" s="9" t="s">
        <v>123</v>
      </c>
      <c r="C1324" s="4" t="s">
        <v>2011</v>
      </c>
      <c r="E1324" s="4" t="s">
        <v>123</v>
      </c>
      <c r="F1324" s="4" t="s">
        <v>123</v>
      </c>
      <c r="G1324" s="4" t="s">
        <v>2049</v>
      </c>
      <c r="H1324" s="4" t="s">
        <v>644</v>
      </c>
      <c r="I1324" s="4" t="s">
        <v>993</v>
      </c>
      <c r="Q1324" s="11">
        <v>1</v>
      </c>
      <c r="R1324" s="11">
        <v>0.125</v>
      </c>
      <c r="T1324" s="11">
        <v>3</v>
      </c>
      <c r="Z1324" s="11">
        <v>0</v>
      </c>
      <c r="AF1324" s="11">
        <v>1</v>
      </c>
      <c r="AI1324" s="11">
        <v>1</v>
      </c>
    </row>
    <row r="1325" spans="1:35" x14ac:dyDescent="0.25">
      <c r="A1325" s="161" t="str">
        <f t="shared" si="22"/>
        <v>RIFLEMAN_NORTHAF</v>
      </c>
      <c r="B1325" s="9" t="s">
        <v>123</v>
      </c>
      <c r="C1325" s="4" t="s">
        <v>2011</v>
      </c>
      <c r="E1325" s="4" t="s">
        <v>123</v>
      </c>
      <c r="F1325" s="4" t="s">
        <v>123</v>
      </c>
      <c r="H1325" s="4" t="s">
        <v>1014</v>
      </c>
      <c r="I1325" s="4" t="s">
        <v>993</v>
      </c>
      <c r="Q1325" s="9">
        <v>3</v>
      </c>
      <c r="R1325" s="11">
        <v>0.125</v>
      </c>
      <c r="T1325" s="11">
        <v>3</v>
      </c>
      <c r="Z1325" s="9">
        <v>0</v>
      </c>
      <c r="AF1325" s="11">
        <v>0</v>
      </c>
      <c r="AI1325" s="11">
        <v>1</v>
      </c>
    </row>
    <row r="1326" spans="1:35" x14ac:dyDescent="0.25">
      <c r="A1326" s="161" t="str">
        <f t="shared" si="22"/>
        <v>RIFLEMAN_NORTHAF</v>
      </c>
      <c r="B1326" s="9" t="s">
        <v>123</v>
      </c>
      <c r="C1326" s="4" t="s">
        <v>2011</v>
      </c>
      <c r="E1326" s="4" t="s">
        <v>123</v>
      </c>
      <c r="F1326" s="4" t="s">
        <v>123</v>
      </c>
      <c r="G1326" s="4" t="s">
        <v>2047</v>
      </c>
      <c r="H1326" s="4" t="s">
        <v>1015</v>
      </c>
      <c r="I1326" s="4" t="s">
        <v>993</v>
      </c>
      <c r="Q1326" s="9">
        <v>2</v>
      </c>
      <c r="R1326" s="11">
        <v>0.125</v>
      </c>
      <c r="T1326" s="11">
        <v>3</v>
      </c>
      <c r="Z1326" s="9">
        <v>0</v>
      </c>
      <c r="AF1326" s="11">
        <v>0</v>
      </c>
      <c r="AI1326" s="11">
        <v>1</v>
      </c>
    </row>
    <row r="1327" spans="1:35" x14ac:dyDescent="0.25">
      <c r="A1327" s="161" t="str">
        <f t="shared" si="22"/>
        <v>RIFLEMAN_NORTHAF</v>
      </c>
      <c r="B1327" s="9" t="s">
        <v>123</v>
      </c>
      <c r="C1327" s="4" t="s">
        <v>2011</v>
      </c>
      <c r="E1327" s="4" t="s">
        <v>123</v>
      </c>
      <c r="F1327" s="4" t="s">
        <v>123</v>
      </c>
      <c r="G1327" s="4" t="s">
        <v>2049</v>
      </c>
      <c r="H1327" s="4" t="s">
        <v>644</v>
      </c>
      <c r="I1327" s="4" t="s">
        <v>993</v>
      </c>
      <c r="Q1327" s="9">
        <v>4</v>
      </c>
      <c r="R1327" s="11">
        <v>0.125</v>
      </c>
      <c r="T1327" s="11">
        <v>3</v>
      </c>
      <c r="Z1327" s="9">
        <v>0</v>
      </c>
      <c r="AF1327" s="11">
        <v>0</v>
      </c>
      <c r="AI1327" s="11">
        <v>1</v>
      </c>
    </row>
    <row r="1328" spans="1:35" x14ac:dyDescent="0.25">
      <c r="A1328" s="161" t="str">
        <f t="shared" si="21"/>
        <v>RIFLEMAN_NORTHEU</v>
      </c>
      <c r="B1328" s="9" t="s">
        <v>123</v>
      </c>
      <c r="C1328" s="4" t="s">
        <v>962</v>
      </c>
      <c r="E1328" s="4" t="s">
        <v>123</v>
      </c>
      <c r="F1328" s="4" t="s">
        <v>123</v>
      </c>
      <c r="G1328" s="14"/>
      <c r="H1328" s="4" t="s">
        <v>271</v>
      </c>
      <c r="I1328" s="4" t="s">
        <v>122</v>
      </c>
      <c r="R1328" s="11">
        <v>0.13</v>
      </c>
    </row>
    <row r="1329" spans="1:35" x14ac:dyDescent="0.25">
      <c r="A1329" s="161" t="str">
        <f t="shared" si="21"/>
        <v>RIFLEMAN_SWEDEN</v>
      </c>
      <c r="B1329" s="9" t="s">
        <v>123</v>
      </c>
      <c r="C1329" s="4" t="s">
        <v>739</v>
      </c>
      <c r="E1329" s="4" t="s">
        <v>123</v>
      </c>
      <c r="F1329" s="4" t="s">
        <v>123</v>
      </c>
      <c r="G1329" s="14" t="s">
        <v>132</v>
      </c>
      <c r="H1329" s="4" t="s">
        <v>674</v>
      </c>
      <c r="I1329" s="4" t="s">
        <v>122</v>
      </c>
      <c r="R1329" s="11">
        <v>0.13</v>
      </c>
    </row>
    <row r="1330" spans="1:35" x14ac:dyDescent="0.25">
      <c r="A1330" s="161" t="str">
        <f t="shared" si="21"/>
        <v>RIFLEMAN_OCEAN</v>
      </c>
      <c r="B1330" s="9" t="s">
        <v>123</v>
      </c>
      <c r="C1330" s="4" t="s">
        <v>994</v>
      </c>
      <c r="D1330" s="4" t="s">
        <v>691</v>
      </c>
      <c r="E1330" s="4" t="s">
        <v>123</v>
      </c>
      <c r="F1330" s="4" t="s">
        <v>123</v>
      </c>
    </row>
    <row r="1331" spans="1:35" x14ac:dyDescent="0.25">
      <c r="A1331" s="161" t="str">
        <f t="shared" si="21"/>
        <v>RIFLEMAN_SEASIA</v>
      </c>
      <c r="B1331" s="9" t="s">
        <v>123</v>
      </c>
      <c r="C1331" s="4" t="s">
        <v>696</v>
      </c>
      <c r="E1331" s="4" t="s">
        <v>123</v>
      </c>
      <c r="F1331" s="4" t="s">
        <v>123</v>
      </c>
      <c r="H1331" s="4" t="s">
        <v>639</v>
      </c>
      <c r="I1331" s="4" t="s">
        <v>122</v>
      </c>
      <c r="R1331" s="11">
        <v>0.13</v>
      </c>
    </row>
    <row r="1332" spans="1:35" x14ac:dyDescent="0.25">
      <c r="A1332" s="161" t="str">
        <f t="shared" si="21"/>
        <v>RIFLEMAN_SOUTHAM</v>
      </c>
      <c r="B1332" s="9" t="s">
        <v>123</v>
      </c>
      <c r="C1332" s="4" t="s">
        <v>691</v>
      </c>
      <c r="E1332" s="4" t="s">
        <v>123</v>
      </c>
      <c r="F1332" s="4" t="s">
        <v>123</v>
      </c>
      <c r="H1332" s="4" t="s">
        <v>200</v>
      </c>
      <c r="I1332" s="4" t="s">
        <v>122</v>
      </c>
      <c r="R1332" s="11" t="s">
        <v>1695</v>
      </c>
    </row>
    <row r="1333" spans="1:35" x14ac:dyDescent="0.25">
      <c r="A1333" s="161" t="str">
        <f t="shared" si="21"/>
        <v>RIFLEMAN_AZTEC</v>
      </c>
      <c r="B1333" s="9" t="s">
        <v>123</v>
      </c>
      <c r="C1333" s="4" t="s">
        <v>702</v>
      </c>
      <c r="E1333" s="4" t="s">
        <v>123</v>
      </c>
      <c r="F1333" s="4" t="s">
        <v>123</v>
      </c>
      <c r="H1333" s="4" t="s">
        <v>426</v>
      </c>
      <c r="I1333" s="4" t="s">
        <v>122</v>
      </c>
      <c r="Q1333" s="11">
        <v>1</v>
      </c>
      <c r="R1333" s="11" t="s">
        <v>1695</v>
      </c>
      <c r="T1333" s="11">
        <v>3</v>
      </c>
      <c r="Z1333" s="11">
        <v>1</v>
      </c>
      <c r="AF1333" s="11">
        <v>1</v>
      </c>
      <c r="AI1333" s="11">
        <v>1</v>
      </c>
    </row>
    <row r="1334" spans="1:35" x14ac:dyDescent="0.25">
      <c r="A1334" s="161" t="str">
        <f t="shared" si="21"/>
        <v>RIFLEMAN_AZTEC</v>
      </c>
      <c r="B1334" s="9" t="s">
        <v>123</v>
      </c>
      <c r="C1334" s="4" t="s">
        <v>702</v>
      </c>
      <c r="E1334" s="4" t="s">
        <v>123</v>
      </c>
      <c r="F1334" s="4" t="s">
        <v>123</v>
      </c>
      <c r="G1334" s="4" t="s">
        <v>2047</v>
      </c>
      <c r="H1334" s="4" t="s">
        <v>521</v>
      </c>
      <c r="I1334" s="4" t="s">
        <v>122</v>
      </c>
      <c r="Q1334" s="11">
        <v>3</v>
      </c>
      <c r="R1334" s="11" t="s">
        <v>1695</v>
      </c>
      <c r="T1334" s="11">
        <v>4</v>
      </c>
      <c r="Z1334" s="11">
        <v>0</v>
      </c>
      <c r="AF1334" s="11">
        <v>1</v>
      </c>
      <c r="AI1334" s="11">
        <v>2</v>
      </c>
    </row>
    <row r="1335" spans="1:35" x14ac:dyDescent="0.25">
      <c r="A1335" s="161" t="str">
        <f t="shared" si="21"/>
        <v>RIFLEMAN_AZTEC</v>
      </c>
      <c r="B1335" s="9" t="s">
        <v>123</v>
      </c>
      <c r="C1335" s="4" t="s">
        <v>702</v>
      </c>
      <c r="E1335" s="4" t="s">
        <v>123</v>
      </c>
      <c r="F1335" s="4" t="s">
        <v>123</v>
      </c>
      <c r="G1335" s="4" t="s">
        <v>2049</v>
      </c>
      <c r="H1335" s="4" t="s">
        <v>200</v>
      </c>
      <c r="I1335" s="4" t="s">
        <v>122</v>
      </c>
      <c r="Q1335" s="11">
        <v>1</v>
      </c>
      <c r="R1335" s="11" t="s">
        <v>1695</v>
      </c>
      <c r="T1335" s="11">
        <v>3</v>
      </c>
      <c r="Z1335" s="11">
        <v>0</v>
      </c>
      <c r="AF1335" s="11">
        <v>1</v>
      </c>
      <c r="AI1335" s="11">
        <v>1</v>
      </c>
    </row>
    <row r="1336" spans="1:35" x14ac:dyDescent="0.25">
      <c r="A1336" s="161" t="str">
        <f t="shared" si="21"/>
        <v>RIFLEMAN_AZTEC</v>
      </c>
      <c r="B1336" s="9" t="s">
        <v>123</v>
      </c>
      <c r="C1336" s="4" t="s">
        <v>702</v>
      </c>
      <c r="E1336" s="4" t="s">
        <v>123</v>
      </c>
      <c r="F1336" s="4" t="s">
        <v>123</v>
      </c>
      <c r="H1336" s="4" t="s">
        <v>426</v>
      </c>
      <c r="I1336" s="4" t="s">
        <v>122</v>
      </c>
      <c r="Q1336" s="9">
        <v>3</v>
      </c>
      <c r="R1336" s="11" t="s">
        <v>1695</v>
      </c>
      <c r="T1336" s="11">
        <v>3</v>
      </c>
      <c r="Z1336" s="9">
        <v>0</v>
      </c>
      <c r="AF1336" s="11">
        <v>0</v>
      </c>
      <c r="AI1336" s="11">
        <v>1</v>
      </c>
    </row>
    <row r="1337" spans="1:35" x14ac:dyDescent="0.25">
      <c r="A1337" s="161" t="str">
        <f t="shared" si="21"/>
        <v>RIFLEMAN_AZTEC</v>
      </c>
      <c r="B1337" s="9" t="s">
        <v>123</v>
      </c>
      <c r="C1337" s="4" t="s">
        <v>702</v>
      </c>
      <c r="E1337" s="4" t="s">
        <v>123</v>
      </c>
      <c r="F1337" s="4" t="s">
        <v>123</v>
      </c>
      <c r="G1337" s="4" t="s">
        <v>2047</v>
      </c>
      <c r="H1337" s="4" t="s">
        <v>521</v>
      </c>
      <c r="I1337" s="4" t="s">
        <v>122</v>
      </c>
      <c r="Q1337" s="9">
        <v>2</v>
      </c>
      <c r="R1337" s="11" t="s">
        <v>1695</v>
      </c>
      <c r="T1337" s="11">
        <v>3</v>
      </c>
      <c r="Z1337" s="9">
        <v>0</v>
      </c>
      <c r="AF1337" s="11">
        <v>0</v>
      </c>
      <c r="AI1337" s="11">
        <v>1</v>
      </c>
    </row>
    <row r="1338" spans="1:35" x14ac:dyDescent="0.25">
      <c r="A1338" s="161" t="str">
        <f t="shared" si="21"/>
        <v>RIFLEMAN_AZTEC</v>
      </c>
      <c r="B1338" s="9" t="s">
        <v>123</v>
      </c>
      <c r="C1338" s="4" t="s">
        <v>702</v>
      </c>
      <c r="E1338" s="4" t="s">
        <v>123</v>
      </c>
      <c r="F1338" s="4" t="s">
        <v>123</v>
      </c>
      <c r="G1338" s="4" t="s">
        <v>2049</v>
      </c>
      <c r="H1338" s="4" t="s">
        <v>200</v>
      </c>
      <c r="I1338" s="4" t="s">
        <v>122</v>
      </c>
      <c r="Q1338" s="9">
        <v>4</v>
      </c>
      <c r="R1338" s="11" t="s">
        <v>1695</v>
      </c>
      <c r="T1338" s="11">
        <v>3</v>
      </c>
      <c r="Z1338" s="9">
        <v>0</v>
      </c>
      <c r="AF1338" s="11">
        <v>0</v>
      </c>
      <c r="AI1338" s="11">
        <v>1</v>
      </c>
    </row>
    <row r="1339" spans="1:35" x14ac:dyDescent="0.25">
      <c r="A1339" s="161" t="str">
        <f t="shared" si="21"/>
        <v>RIFLEMAN_INCA</v>
      </c>
      <c r="B1339" s="9" t="s">
        <v>123</v>
      </c>
      <c r="C1339" s="4" t="s">
        <v>719</v>
      </c>
      <c r="E1339" s="4" t="s">
        <v>123</v>
      </c>
      <c r="F1339" s="4" t="s">
        <v>123</v>
      </c>
      <c r="G1339" s="14" t="s">
        <v>132</v>
      </c>
      <c r="H1339" s="4" t="s">
        <v>426</v>
      </c>
      <c r="I1339" s="4" t="s">
        <v>122</v>
      </c>
      <c r="R1339" s="11" t="s">
        <v>1695</v>
      </c>
      <c r="Z1339" s="9"/>
    </row>
    <row r="1340" spans="1:35" x14ac:dyDescent="0.25">
      <c r="A1340" s="161" t="str">
        <f t="shared" si="21"/>
        <v>RIFLEMAN_MAYA</v>
      </c>
      <c r="B1340" s="9" t="s">
        <v>123</v>
      </c>
      <c r="C1340" s="4" t="s">
        <v>725</v>
      </c>
      <c r="E1340" s="4" t="s">
        <v>123</v>
      </c>
      <c r="F1340" s="4" t="s">
        <v>123</v>
      </c>
      <c r="G1340" s="14" t="s">
        <v>132</v>
      </c>
      <c r="H1340" s="4" t="s">
        <v>521</v>
      </c>
      <c r="I1340" s="4" t="s">
        <v>122</v>
      </c>
      <c r="R1340" s="11" t="s">
        <v>1695</v>
      </c>
    </row>
    <row r="1341" spans="1:35" x14ac:dyDescent="0.25">
      <c r="A1341" s="161" t="str">
        <f t="shared" si="21"/>
        <v>RIFLEMAN_SOUTHAS</v>
      </c>
      <c r="B1341" s="9" t="s">
        <v>123</v>
      </c>
      <c r="C1341" s="4" t="s">
        <v>695</v>
      </c>
      <c r="D1341" s="4" t="s">
        <v>693</v>
      </c>
      <c r="E1341" s="4" t="s">
        <v>123</v>
      </c>
      <c r="F1341" s="4" t="s">
        <v>123</v>
      </c>
    </row>
    <row r="1342" spans="1:35" x14ac:dyDescent="0.25">
      <c r="A1342" s="161" t="str">
        <f t="shared" si="21"/>
        <v>RIFLEMAN_INDIA</v>
      </c>
      <c r="B1342" s="9" t="s">
        <v>123</v>
      </c>
      <c r="C1342" s="4" t="s">
        <v>720</v>
      </c>
      <c r="E1342" s="4" t="s">
        <v>123</v>
      </c>
      <c r="F1342" s="4" t="s">
        <v>123</v>
      </c>
      <c r="H1342" s="4" t="s">
        <v>926</v>
      </c>
      <c r="I1342" s="4" t="s">
        <v>122</v>
      </c>
      <c r="Q1342" s="11">
        <v>1</v>
      </c>
      <c r="R1342" s="11">
        <v>0.13</v>
      </c>
      <c r="T1342" s="11">
        <v>3</v>
      </c>
      <c r="Z1342" s="11">
        <v>1</v>
      </c>
      <c r="AF1342" s="11">
        <v>1</v>
      </c>
      <c r="AI1342" s="11">
        <v>1</v>
      </c>
    </row>
    <row r="1343" spans="1:35" x14ac:dyDescent="0.25">
      <c r="A1343" s="161" t="str">
        <f t="shared" si="21"/>
        <v>RIFLEMAN_INDIA</v>
      </c>
      <c r="B1343" s="9" t="s">
        <v>123</v>
      </c>
      <c r="C1343" s="4" t="s">
        <v>720</v>
      </c>
      <c r="E1343" s="4" t="s">
        <v>123</v>
      </c>
      <c r="F1343" s="4" t="s">
        <v>123</v>
      </c>
      <c r="G1343" s="4" t="s">
        <v>2047</v>
      </c>
      <c r="H1343" s="4" t="s">
        <v>927</v>
      </c>
      <c r="I1343" s="4" t="s">
        <v>122</v>
      </c>
      <c r="Q1343" s="11">
        <v>3</v>
      </c>
      <c r="R1343" s="11">
        <v>0.13</v>
      </c>
      <c r="T1343" s="11">
        <v>4</v>
      </c>
      <c r="Z1343" s="11">
        <v>0</v>
      </c>
      <c r="AF1343" s="11">
        <v>1</v>
      </c>
      <c r="AI1343" s="11">
        <v>2</v>
      </c>
    </row>
    <row r="1344" spans="1:35" x14ac:dyDescent="0.25">
      <c r="A1344" s="161" t="str">
        <f t="shared" si="21"/>
        <v>RIFLEMAN_INDIA</v>
      </c>
      <c r="B1344" s="9" t="s">
        <v>123</v>
      </c>
      <c r="C1344" s="4" t="s">
        <v>720</v>
      </c>
      <c r="E1344" s="4" t="s">
        <v>123</v>
      </c>
      <c r="F1344" s="4" t="s">
        <v>123</v>
      </c>
      <c r="G1344" s="4" t="s">
        <v>2049</v>
      </c>
      <c r="H1344" s="4" t="s">
        <v>441</v>
      </c>
      <c r="I1344" s="4" t="s">
        <v>122</v>
      </c>
      <c r="Q1344" s="11">
        <v>1</v>
      </c>
      <c r="R1344" s="11">
        <v>0.13</v>
      </c>
      <c r="T1344" s="11">
        <v>3</v>
      </c>
      <c r="Z1344" s="11">
        <v>0</v>
      </c>
      <c r="AF1344" s="11">
        <v>1</v>
      </c>
      <c r="AI1344" s="11">
        <v>1</v>
      </c>
    </row>
    <row r="1345" spans="1:43" x14ac:dyDescent="0.25">
      <c r="A1345" s="161" t="str">
        <f t="shared" si="21"/>
        <v>RIFLEMAN_INDIA</v>
      </c>
      <c r="B1345" s="9" t="s">
        <v>123</v>
      </c>
      <c r="C1345" s="4" t="s">
        <v>720</v>
      </c>
      <c r="E1345" s="4" t="s">
        <v>123</v>
      </c>
      <c r="F1345" s="4" t="s">
        <v>123</v>
      </c>
      <c r="H1345" s="4" t="s">
        <v>926</v>
      </c>
      <c r="I1345" s="4" t="s">
        <v>122</v>
      </c>
      <c r="Q1345" s="9">
        <v>3</v>
      </c>
      <c r="R1345" s="11">
        <v>0.13</v>
      </c>
      <c r="T1345" s="11">
        <v>3</v>
      </c>
      <c r="Z1345" s="9">
        <v>0</v>
      </c>
      <c r="AF1345" s="11">
        <v>0</v>
      </c>
      <c r="AI1345" s="11">
        <v>1</v>
      </c>
    </row>
    <row r="1346" spans="1:43" x14ac:dyDescent="0.25">
      <c r="A1346" s="161" t="str">
        <f t="shared" si="21"/>
        <v>RIFLEMAN_INDIA</v>
      </c>
      <c r="B1346" s="9" t="s">
        <v>123</v>
      </c>
      <c r="C1346" s="4" t="s">
        <v>720</v>
      </c>
      <c r="E1346" s="4" t="s">
        <v>123</v>
      </c>
      <c r="F1346" s="4" t="s">
        <v>123</v>
      </c>
      <c r="G1346" s="4" t="s">
        <v>2047</v>
      </c>
      <c r="H1346" s="4" t="s">
        <v>927</v>
      </c>
      <c r="I1346" s="4" t="s">
        <v>122</v>
      </c>
      <c r="Q1346" s="9">
        <v>2</v>
      </c>
      <c r="R1346" s="11">
        <v>0.13</v>
      </c>
      <c r="T1346" s="11">
        <v>3</v>
      </c>
      <c r="Z1346" s="9">
        <v>0</v>
      </c>
      <c r="AF1346" s="11">
        <v>0</v>
      </c>
      <c r="AI1346" s="11">
        <v>1</v>
      </c>
    </row>
    <row r="1347" spans="1:43" x14ac:dyDescent="0.25">
      <c r="A1347" s="161" t="str">
        <f t="shared" si="21"/>
        <v>RIFLEMAN_INDIA</v>
      </c>
      <c r="B1347" s="9" t="s">
        <v>123</v>
      </c>
      <c r="C1347" s="4" t="s">
        <v>720</v>
      </c>
      <c r="E1347" s="4" t="s">
        <v>123</v>
      </c>
      <c r="F1347" s="4" t="s">
        <v>123</v>
      </c>
      <c r="G1347" s="4" t="s">
        <v>2049</v>
      </c>
      <c r="H1347" s="4" t="s">
        <v>441</v>
      </c>
      <c r="I1347" s="4" t="s">
        <v>122</v>
      </c>
      <c r="Q1347" s="9">
        <v>4</v>
      </c>
      <c r="R1347" s="11">
        <v>0.13</v>
      </c>
      <c r="T1347" s="11">
        <v>3</v>
      </c>
      <c r="Z1347" s="9">
        <v>0</v>
      </c>
      <c r="AF1347" s="11">
        <v>0</v>
      </c>
      <c r="AI1347" s="11">
        <v>1</v>
      </c>
    </row>
    <row r="1348" spans="1:43" x14ac:dyDescent="0.25">
      <c r="A1348" s="161" t="str">
        <f t="shared" si="21"/>
        <v>ROCKET_ARTILLERY</v>
      </c>
      <c r="B1348" s="9" t="s">
        <v>772</v>
      </c>
      <c r="C1348" s="5"/>
      <c r="D1348" s="5"/>
      <c r="E1348" s="5" t="s">
        <v>772</v>
      </c>
      <c r="F1348" s="5" t="s">
        <v>801</v>
      </c>
      <c r="G1348" s="5"/>
      <c r="H1348" s="5" t="s">
        <v>1507</v>
      </c>
      <c r="I1348" s="5" t="s">
        <v>128</v>
      </c>
      <c r="J1348" s="6"/>
      <c r="K1348" s="6"/>
      <c r="L1348" s="13" t="s">
        <v>1709</v>
      </c>
      <c r="M1348" s="8"/>
      <c r="N1348" s="5"/>
      <c r="O1348" s="5"/>
      <c r="P1348" s="5"/>
      <c r="Q1348" s="7">
        <v>2</v>
      </c>
      <c r="R1348" s="6">
        <v>0.09</v>
      </c>
      <c r="S1348" s="13" t="s">
        <v>1613</v>
      </c>
      <c r="T1348" s="6"/>
      <c r="U1348" s="6"/>
      <c r="V1348" s="5"/>
      <c r="W1348" s="6" t="s">
        <v>3</v>
      </c>
      <c r="X1348" s="6" t="s">
        <v>3</v>
      </c>
      <c r="Y1348" s="5"/>
      <c r="Z1348" s="7">
        <v>1</v>
      </c>
      <c r="AA1348" s="6"/>
      <c r="AB1348" s="5"/>
      <c r="AC1348" s="6"/>
      <c r="AD1348" s="6" t="s">
        <v>3</v>
      </c>
      <c r="AE1348" s="5"/>
      <c r="AF1348" s="6"/>
      <c r="AG1348" s="6"/>
      <c r="AH1348" s="5"/>
      <c r="AI1348" s="6"/>
      <c r="AJ1348" s="6"/>
      <c r="AK1348" s="5"/>
      <c r="AL1348" s="5"/>
      <c r="AM1348" s="5"/>
      <c r="AN1348" s="5"/>
      <c r="AO1348" s="5"/>
      <c r="AP1348" s="5"/>
      <c r="AQ1348" s="5"/>
    </row>
    <row r="1349" spans="1:43" x14ac:dyDescent="0.25">
      <c r="A1349" s="161" t="str">
        <f t="shared" si="21"/>
        <v>SCIENTIST</v>
      </c>
      <c r="B1349" s="9" t="s">
        <v>1365</v>
      </c>
      <c r="C1349" s="5"/>
      <c r="D1349" s="5"/>
      <c r="E1349" s="5" t="s">
        <v>1365</v>
      </c>
      <c r="F1349" s="5" t="s">
        <v>1367</v>
      </c>
      <c r="G1349" s="5"/>
      <c r="H1349" s="5" t="s">
        <v>1481</v>
      </c>
      <c r="I1349" s="5" t="s">
        <v>128</v>
      </c>
      <c r="J1349" s="6">
        <v>1</v>
      </c>
      <c r="K1349" s="6"/>
      <c r="L1349" s="13" t="s">
        <v>1710</v>
      </c>
      <c r="M1349" s="8"/>
      <c r="N1349" s="5"/>
      <c r="O1349" s="5"/>
      <c r="P1349" s="5"/>
      <c r="Q1349" s="7">
        <v>1</v>
      </c>
      <c r="R1349" s="7" t="s">
        <v>1695</v>
      </c>
      <c r="S1349" s="5"/>
      <c r="T1349" s="6"/>
      <c r="U1349" s="7" t="s">
        <v>1737</v>
      </c>
      <c r="V1349" s="5"/>
      <c r="W1349" s="6"/>
      <c r="X1349" s="6" t="s">
        <v>3</v>
      </c>
      <c r="Y1349" s="5"/>
      <c r="Z1349" s="6"/>
      <c r="AA1349" s="6"/>
      <c r="AB1349" s="5"/>
      <c r="AC1349" s="6"/>
      <c r="AD1349" s="6" t="s">
        <v>3</v>
      </c>
      <c r="AE1349" s="5"/>
      <c r="AF1349" s="6"/>
      <c r="AG1349" s="6"/>
      <c r="AH1349" s="5"/>
      <c r="AI1349" s="6"/>
      <c r="AJ1349" s="6"/>
      <c r="AK1349" s="5"/>
      <c r="AL1349" s="5"/>
      <c r="AM1349" s="5"/>
      <c r="AN1349" s="5"/>
      <c r="AO1349" s="5"/>
      <c r="AP1349" s="5"/>
      <c r="AQ1349" s="5"/>
    </row>
    <row r="1350" spans="1:43" x14ac:dyDescent="0.25">
      <c r="A1350" s="161" t="str">
        <f t="shared" si="21"/>
        <v>SCIENTIST_LATE</v>
      </c>
      <c r="B1350" s="9" t="s">
        <v>1365</v>
      </c>
      <c r="C1350" s="5"/>
      <c r="D1350" s="5"/>
      <c r="E1350" s="5" t="s">
        <v>1366</v>
      </c>
      <c r="F1350" s="5" t="s">
        <v>1368</v>
      </c>
      <c r="G1350" s="5"/>
      <c r="H1350" s="5" t="s">
        <v>1482</v>
      </c>
      <c r="I1350" s="5" t="s">
        <v>128</v>
      </c>
      <c r="J1350" s="6"/>
      <c r="K1350" s="6"/>
      <c r="L1350" s="13" t="s">
        <v>1710</v>
      </c>
      <c r="M1350" s="8"/>
      <c r="N1350" s="5"/>
      <c r="O1350" s="5"/>
      <c r="P1350" s="5"/>
      <c r="Q1350" s="7">
        <v>1</v>
      </c>
      <c r="R1350" s="7" t="s">
        <v>1695</v>
      </c>
      <c r="S1350" s="5"/>
      <c r="T1350" s="6"/>
      <c r="U1350" s="7" t="s">
        <v>1737</v>
      </c>
      <c r="V1350" s="5"/>
      <c r="W1350" s="6"/>
      <c r="X1350" s="6" t="s">
        <v>3</v>
      </c>
      <c r="Y1350" s="5"/>
      <c r="Z1350" s="6"/>
      <c r="AA1350" s="6"/>
      <c r="AB1350" s="5"/>
      <c r="AC1350" s="6"/>
      <c r="AD1350" s="6" t="s">
        <v>3</v>
      </c>
      <c r="AE1350" s="5"/>
      <c r="AF1350" s="6"/>
      <c r="AG1350" s="6"/>
      <c r="AH1350" s="5"/>
      <c r="AI1350" s="6"/>
      <c r="AJ1350" s="6"/>
      <c r="AK1350" s="5"/>
      <c r="AL1350" s="5"/>
      <c r="AM1350" s="5"/>
      <c r="AN1350" s="5"/>
      <c r="AO1350" s="5"/>
      <c r="AP1350" s="5"/>
      <c r="AQ1350" s="5"/>
    </row>
    <row r="1351" spans="1:43" x14ac:dyDescent="0.25">
      <c r="A1351" s="161" t="str">
        <f t="shared" si="21"/>
        <v>SCOUT</v>
      </c>
      <c r="B1351" s="9" t="s">
        <v>773</v>
      </c>
      <c r="C1351" s="5"/>
      <c r="D1351" s="5"/>
      <c r="E1351" s="5" t="s">
        <v>773</v>
      </c>
      <c r="F1351" s="5" t="s">
        <v>773</v>
      </c>
      <c r="G1351" s="5"/>
      <c r="H1351" s="5" t="s">
        <v>20</v>
      </c>
      <c r="I1351" s="5" t="s">
        <v>128</v>
      </c>
      <c r="J1351" s="6"/>
      <c r="K1351" s="6"/>
      <c r="L1351" s="13" t="s">
        <v>1708</v>
      </c>
      <c r="M1351" s="8"/>
      <c r="N1351" s="5"/>
      <c r="O1351" s="5"/>
      <c r="P1351" s="5"/>
      <c r="Q1351" s="7">
        <v>6</v>
      </c>
      <c r="R1351" s="6" t="s">
        <v>1737</v>
      </c>
      <c r="S1351" s="13" t="s">
        <v>20</v>
      </c>
      <c r="T1351" s="6"/>
      <c r="U1351" s="6">
        <v>0.08</v>
      </c>
      <c r="V1351" s="5"/>
      <c r="W1351" s="6" t="s">
        <v>3</v>
      </c>
      <c r="X1351" s="6" t="s">
        <v>3</v>
      </c>
      <c r="Y1351" s="5"/>
      <c r="Z1351" s="6">
        <v>1</v>
      </c>
      <c r="AA1351" s="6"/>
      <c r="AB1351" s="5"/>
      <c r="AC1351" s="6"/>
      <c r="AD1351" s="6" t="s">
        <v>3</v>
      </c>
      <c r="AE1351" s="5"/>
      <c r="AF1351" s="6">
        <v>2</v>
      </c>
      <c r="AG1351" s="6"/>
      <c r="AH1351" s="5"/>
      <c r="AI1351" s="6">
        <v>5</v>
      </c>
      <c r="AJ1351" s="6"/>
      <c r="AK1351" s="5"/>
      <c r="AL1351" s="5"/>
      <c r="AM1351" s="5"/>
      <c r="AN1351" s="5"/>
      <c r="AO1351" s="5"/>
      <c r="AP1351" s="5"/>
      <c r="AQ1351" s="5"/>
    </row>
    <row r="1352" spans="1:43" x14ac:dyDescent="0.25">
      <c r="A1352" s="161" t="str">
        <f t="shared" si="21"/>
        <v>SCOUT_AFRI</v>
      </c>
      <c r="B1352" s="9" t="s">
        <v>773</v>
      </c>
      <c r="C1352" s="4" t="s">
        <v>694</v>
      </c>
      <c r="E1352" s="4" t="s">
        <v>773</v>
      </c>
      <c r="F1352" s="4" t="s">
        <v>773</v>
      </c>
      <c r="H1352" s="4" t="s">
        <v>685</v>
      </c>
      <c r="I1352" s="4" t="s">
        <v>1796</v>
      </c>
    </row>
    <row r="1353" spans="1:43" x14ac:dyDescent="0.25">
      <c r="A1353" s="161" t="str">
        <f t="shared" si="21"/>
        <v>SCOUT_AMER</v>
      </c>
      <c r="B1353" s="9" t="s">
        <v>773</v>
      </c>
      <c r="C1353" s="4" t="s">
        <v>697</v>
      </c>
      <c r="E1353" s="4" t="s">
        <v>773</v>
      </c>
      <c r="F1353" s="4" t="s">
        <v>773</v>
      </c>
      <c r="H1353" s="4" t="s">
        <v>470</v>
      </c>
      <c r="I1353" s="4" t="s">
        <v>1935</v>
      </c>
    </row>
    <row r="1354" spans="1:43" x14ac:dyDescent="0.25">
      <c r="A1354" s="161" t="str">
        <f t="shared" si="21"/>
        <v>SCOUT_IROQUOIS</v>
      </c>
      <c r="B1354" s="9" t="s">
        <v>773</v>
      </c>
      <c r="C1354" s="4" t="s">
        <v>721</v>
      </c>
      <c r="E1354" s="4" t="s">
        <v>773</v>
      </c>
      <c r="F1354" s="4" t="s">
        <v>773</v>
      </c>
      <c r="H1354" s="4" t="s">
        <v>947</v>
      </c>
      <c r="I1354" s="4" t="s">
        <v>1935</v>
      </c>
      <c r="Q1354" s="11">
        <v>1</v>
      </c>
      <c r="T1354" s="11">
        <v>1</v>
      </c>
      <c r="Z1354" s="11">
        <v>1</v>
      </c>
      <c r="AF1354" s="11">
        <v>1</v>
      </c>
      <c r="AI1354" s="11">
        <v>1</v>
      </c>
    </row>
    <row r="1355" spans="1:43" x14ac:dyDescent="0.25">
      <c r="A1355" s="161" t="str">
        <f t="shared" si="21"/>
        <v>SCOUT_IROQUOIS</v>
      </c>
      <c r="B1355" s="9" t="s">
        <v>773</v>
      </c>
      <c r="C1355" s="4" t="s">
        <v>721</v>
      </c>
      <c r="E1355" s="4" t="s">
        <v>773</v>
      </c>
      <c r="F1355" s="4" t="s">
        <v>773</v>
      </c>
      <c r="G1355" s="4" t="s">
        <v>2047</v>
      </c>
      <c r="H1355" s="4" t="s">
        <v>470</v>
      </c>
      <c r="I1355" s="4" t="s">
        <v>1935</v>
      </c>
      <c r="Q1355" s="11">
        <v>1</v>
      </c>
      <c r="T1355" s="11">
        <v>1</v>
      </c>
      <c r="Z1355" s="11">
        <v>0</v>
      </c>
      <c r="AF1355" s="11">
        <v>1</v>
      </c>
      <c r="AI1355" s="11">
        <v>1</v>
      </c>
    </row>
    <row r="1356" spans="1:43" x14ac:dyDescent="0.25">
      <c r="A1356" s="161" t="str">
        <f t="shared" si="21"/>
        <v>SCOUT_IROQUOIS</v>
      </c>
      <c r="B1356" s="9" t="s">
        <v>773</v>
      </c>
      <c r="C1356" s="4" t="s">
        <v>721</v>
      </c>
      <c r="E1356" s="4" t="s">
        <v>773</v>
      </c>
      <c r="F1356" s="4" t="s">
        <v>773</v>
      </c>
      <c r="H1356" s="4" t="s">
        <v>947</v>
      </c>
      <c r="I1356" s="4" t="s">
        <v>1935</v>
      </c>
      <c r="Q1356" s="11">
        <v>2</v>
      </c>
      <c r="T1356" s="11">
        <v>2</v>
      </c>
      <c r="Z1356" s="11">
        <v>0</v>
      </c>
      <c r="AF1356" s="11">
        <v>0</v>
      </c>
      <c r="AI1356" s="11">
        <v>2</v>
      </c>
    </row>
    <row r="1357" spans="1:43" x14ac:dyDescent="0.25">
      <c r="A1357" s="161" t="str">
        <f t="shared" si="21"/>
        <v>SCOUT_IROQUOIS</v>
      </c>
      <c r="B1357" s="9" t="s">
        <v>773</v>
      </c>
      <c r="C1357" s="4" t="s">
        <v>721</v>
      </c>
      <c r="E1357" s="4" t="s">
        <v>773</v>
      </c>
      <c r="F1357" s="4" t="s">
        <v>773</v>
      </c>
      <c r="G1357" s="4" t="s">
        <v>2047</v>
      </c>
      <c r="H1357" s="4" t="s">
        <v>470</v>
      </c>
      <c r="I1357" s="4" t="s">
        <v>1935</v>
      </c>
      <c r="Q1357" s="9">
        <v>2</v>
      </c>
      <c r="T1357" s="11">
        <v>2</v>
      </c>
      <c r="Z1357" s="9">
        <v>0</v>
      </c>
      <c r="AF1357" s="11">
        <v>0</v>
      </c>
      <c r="AI1357" s="11">
        <v>1</v>
      </c>
    </row>
    <row r="1358" spans="1:43" x14ac:dyDescent="0.25">
      <c r="A1358" s="161" t="str">
        <f t="shared" si="21"/>
        <v>SCOUT_ASIA</v>
      </c>
      <c r="B1358" s="9" t="s">
        <v>773</v>
      </c>
      <c r="C1358" s="4" t="s">
        <v>693</v>
      </c>
      <c r="E1358" s="4" t="s">
        <v>773</v>
      </c>
      <c r="F1358" s="4" t="s">
        <v>773</v>
      </c>
      <c r="H1358" s="4" t="s">
        <v>454</v>
      </c>
      <c r="I1358" s="4" t="s">
        <v>2103</v>
      </c>
    </row>
    <row r="1359" spans="1:43" x14ac:dyDescent="0.25">
      <c r="A1359" s="161" t="str">
        <f t="shared" si="21"/>
        <v>SCOUT_BELGIUM</v>
      </c>
      <c r="B1359" s="9" t="s">
        <v>773</v>
      </c>
      <c r="C1359" s="4" t="s">
        <v>704</v>
      </c>
      <c r="D1359" s="4" t="s">
        <v>709</v>
      </c>
      <c r="E1359" s="4" t="s">
        <v>773</v>
      </c>
      <c r="F1359" s="4" t="s">
        <v>773</v>
      </c>
    </row>
    <row r="1360" spans="1:43" x14ac:dyDescent="0.25">
      <c r="A1360" s="161" t="str">
        <f t="shared" si="21"/>
        <v>SCOUT_CELTS</v>
      </c>
      <c r="B1360" s="9" t="s">
        <v>773</v>
      </c>
      <c r="C1360" s="4" t="s">
        <v>709</v>
      </c>
      <c r="E1360" s="4" t="s">
        <v>773</v>
      </c>
      <c r="F1360" s="4" t="s">
        <v>773</v>
      </c>
      <c r="G1360" s="14" t="s">
        <v>132</v>
      </c>
      <c r="H1360" s="4" t="s">
        <v>241</v>
      </c>
      <c r="I1360" s="4" t="s">
        <v>1055</v>
      </c>
    </row>
    <row r="1361" spans="1:9" x14ac:dyDescent="0.25">
      <c r="A1361" s="161" t="str">
        <f t="shared" si="21"/>
        <v>SCOUT_ENGLAND</v>
      </c>
      <c r="B1361" s="9" t="s">
        <v>773</v>
      </c>
      <c r="C1361" s="4" t="s">
        <v>713</v>
      </c>
      <c r="D1361" s="4" t="s">
        <v>709</v>
      </c>
      <c r="E1361" s="4" t="s">
        <v>773</v>
      </c>
      <c r="F1361" s="4" t="s">
        <v>773</v>
      </c>
      <c r="G1361" s="14" t="s">
        <v>132</v>
      </c>
      <c r="H1361" s="1"/>
      <c r="I1361" s="1"/>
    </row>
    <row r="1362" spans="1:9" x14ac:dyDescent="0.25">
      <c r="A1362" s="161" t="str">
        <f t="shared" si="21"/>
        <v>SCOUT_FRANCE</v>
      </c>
      <c r="B1362" s="9" t="s">
        <v>773</v>
      </c>
      <c r="C1362" s="4" t="s">
        <v>715</v>
      </c>
      <c r="D1362" s="4" t="s">
        <v>709</v>
      </c>
      <c r="E1362" s="4" t="s">
        <v>773</v>
      </c>
      <c r="F1362" s="4" t="s">
        <v>773</v>
      </c>
      <c r="G1362" s="14"/>
    </row>
    <row r="1363" spans="1:9" x14ac:dyDescent="0.25">
      <c r="A1363" s="161" t="str">
        <f>CONCATENATE(E1363,IF(ISBLANK(C1363),"",CONCATENATE("_",C1363)))</f>
        <v>SCOUT_NETHERLANDS</v>
      </c>
      <c r="B1363" s="9" t="s">
        <v>773</v>
      </c>
      <c r="C1363" s="4" t="s">
        <v>730</v>
      </c>
      <c r="D1363" s="4" t="s">
        <v>962</v>
      </c>
      <c r="E1363" s="4" t="s">
        <v>773</v>
      </c>
      <c r="F1363" s="4" t="s">
        <v>773</v>
      </c>
    </row>
    <row r="1364" spans="1:9" x14ac:dyDescent="0.25">
      <c r="A1364" s="161" t="str">
        <f t="shared" si="21"/>
        <v>SCOUT_SWISS</v>
      </c>
      <c r="B1364" s="9" t="s">
        <v>773</v>
      </c>
      <c r="C1364" s="4" t="s">
        <v>740</v>
      </c>
      <c r="D1364" s="4" t="s">
        <v>709</v>
      </c>
      <c r="E1364" s="4" t="s">
        <v>773</v>
      </c>
      <c r="F1364" s="4" t="s">
        <v>773</v>
      </c>
      <c r="G1364" s="14"/>
    </row>
    <row r="1365" spans="1:9" x14ac:dyDescent="0.25">
      <c r="A1365" s="161" t="str">
        <f t="shared" si="21"/>
        <v>SCOUT_MED</v>
      </c>
      <c r="B1365" s="9" t="s">
        <v>773</v>
      </c>
      <c r="C1365" s="4" t="s">
        <v>692</v>
      </c>
      <c r="E1365" s="4" t="s">
        <v>773</v>
      </c>
      <c r="F1365" s="4" t="s">
        <v>773</v>
      </c>
      <c r="H1365" s="4" t="s">
        <v>233</v>
      </c>
      <c r="I1365" s="4" t="s">
        <v>1055</v>
      </c>
    </row>
    <row r="1366" spans="1:9" x14ac:dyDescent="0.25">
      <c r="A1366" s="161" t="str">
        <f t="shared" si="21"/>
        <v>SCOUT_MIDEAST</v>
      </c>
      <c r="B1366" s="9" t="s">
        <v>773</v>
      </c>
      <c r="C1366" s="4" t="s">
        <v>690</v>
      </c>
      <c r="E1366" s="4" t="s">
        <v>773</v>
      </c>
      <c r="F1366" s="4" t="s">
        <v>773</v>
      </c>
      <c r="H1366" s="4" t="s">
        <v>961</v>
      </c>
      <c r="I1366" s="4" t="s">
        <v>1055</v>
      </c>
    </row>
    <row r="1367" spans="1:9" x14ac:dyDescent="0.25">
      <c r="A1367" s="161" t="str">
        <f t="shared" si="21"/>
        <v>SCOUT_EGYPT</v>
      </c>
      <c r="B1367" s="9" t="s">
        <v>773</v>
      </c>
      <c r="C1367" s="4" t="s">
        <v>712</v>
      </c>
      <c r="E1367" s="4" t="s">
        <v>773</v>
      </c>
      <c r="F1367" s="4" t="s">
        <v>773</v>
      </c>
      <c r="H1367" s="4" t="s">
        <v>1811</v>
      </c>
      <c r="I1367" s="4" t="s">
        <v>1813</v>
      </c>
    </row>
    <row r="1368" spans="1:9" x14ac:dyDescent="0.25">
      <c r="A1368" s="161" t="str">
        <f t="shared" si="21"/>
        <v>SCOUT_LEVANT</v>
      </c>
      <c r="B1368" s="9" t="s">
        <v>773</v>
      </c>
      <c r="C1368" s="4" t="s">
        <v>724</v>
      </c>
      <c r="D1368" s="4" t="s">
        <v>731</v>
      </c>
      <c r="E1368" s="4" t="s">
        <v>773</v>
      </c>
      <c r="F1368" s="4" t="s">
        <v>773</v>
      </c>
    </row>
    <row r="1369" spans="1:9" x14ac:dyDescent="0.25">
      <c r="A1369" s="161" t="str">
        <f>CONCATENATE(E1369,IF(ISBLANK(C1369),"",CONCATENATE("_",C1369)))</f>
        <v>SCOUT_PERSIA</v>
      </c>
      <c r="B1369" s="9" t="s">
        <v>773</v>
      </c>
      <c r="C1369" s="4" t="s">
        <v>731</v>
      </c>
      <c r="E1369" s="4" t="s">
        <v>773</v>
      </c>
      <c r="F1369" s="4" t="s">
        <v>773</v>
      </c>
      <c r="H1369" s="4" t="s">
        <v>1787</v>
      </c>
      <c r="I1369" s="4" t="s">
        <v>1794</v>
      </c>
    </row>
    <row r="1370" spans="1:9" x14ac:dyDescent="0.25">
      <c r="A1370" s="161" t="str">
        <f>CONCATENATE(E1370,IF(ISBLANK(C1370),"",CONCATENATE("_",C1370)))</f>
        <v>SCOUT_NORTHAF</v>
      </c>
      <c r="B1370" s="9" t="s">
        <v>773</v>
      </c>
      <c r="C1370" s="4" t="s">
        <v>2011</v>
      </c>
      <c r="E1370" s="4" t="s">
        <v>773</v>
      </c>
      <c r="F1370" s="4" t="s">
        <v>773</v>
      </c>
      <c r="H1370" s="4" t="s">
        <v>645</v>
      </c>
      <c r="I1370" s="4" t="s">
        <v>1055</v>
      </c>
    </row>
    <row r="1371" spans="1:9" x14ac:dyDescent="0.25">
      <c r="A1371" s="161" t="str">
        <f t="shared" si="21"/>
        <v>SCOUT_NORTHEU</v>
      </c>
      <c r="B1371" s="9" t="s">
        <v>773</v>
      </c>
      <c r="C1371" s="4" t="s">
        <v>962</v>
      </c>
      <c r="E1371" s="4" t="s">
        <v>773</v>
      </c>
      <c r="F1371" s="4" t="s">
        <v>773</v>
      </c>
      <c r="H1371" s="4" t="s">
        <v>1985</v>
      </c>
      <c r="I1371" s="4" t="s">
        <v>835</v>
      </c>
    </row>
    <row r="1372" spans="1:9" x14ac:dyDescent="0.25">
      <c r="A1372" s="161" t="str">
        <f t="shared" si="21"/>
        <v>SCOUT_OCEAN</v>
      </c>
      <c r="B1372" s="9" t="s">
        <v>773</v>
      </c>
      <c r="C1372" s="4" t="s">
        <v>994</v>
      </c>
      <c r="D1372" s="4" t="s">
        <v>702</v>
      </c>
      <c r="E1372" s="4" t="s">
        <v>773</v>
      </c>
      <c r="F1372" s="4" t="s">
        <v>773</v>
      </c>
    </row>
    <row r="1373" spans="1:9" x14ac:dyDescent="0.25">
      <c r="A1373" s="161" t="str">
        <f t="shared" si="21"/>
        <v>SCOUT_SAHUL</v>
      </c>
      <c r="B1373" s="9" t="s">
        <v>773</v>
      </c>
      <c r="C1373" s="4" t="s">
        <v>1788</v>
      </c>
      <c r="E1373" s="4" t="s">
        <v>773</v>
      </c>
      <c r="F1373" s="4" t="s">
        <v>773</v>
      </c>
      <c r="H1373" s="4" t="s">
        <v>1789</v>
      </c>
      <c r="I1373" s="4" t="s">
        <v>1794</v>
      </c>
    </row>
    <row r="1374" spans="1:9" x14ac:dyDescent="0.25">
      <c r="A1374" s="161" t="str">
        <f t="shared" si="21"/>
        <v>SCOUT_SEASIA</v>
      </c>
      <c r="B1374" s="9" t="s">
        <v>773</v>
      </c>
      <c r="C1374" s="4" t="s">
        <v>696</v>
      </c>
      <c r="D1374" s="4" t="s">
        <v>693</v>
      </c>
      <c r="E1374" s="4" t="s">
        <v>773</v>
      </c>
      <c r="F1374" s="4" t="s">
        <v>773</v>
      </c>
    </row>
    <row r="1375" spans="1:9" x14ac:dyDescent="0.25">
      <c r="A1375" s="161" t="str">
        <f t="shared" si="21"/>
        <v>SCOUT_SOUTHAM</v>
      </c>
      <c r="B1375" s="9" t="s">
        <v>773</v>
      </c>
      <c r="C1375" s="4" t="s">
        <v>691</v>
      </c>
      <c r="E1375" s="4" t="s">
        <v>773</v>
      </c>
      <c r="F1375" s="4" t="s">
        <v>773</v>
      </c>
      <c r="H1375" s="4" t="s">
        <v>1817</v>
      </c>
      <c r="I1375" s="4" t="s">
        <v>963</v>
      </c>
    </row>
    <row r="1376" spans="1:9" x14ac:dyDescent="0.25">
      <c r="A1376" s="161" t="str">
        <f t="shared" si="21"/>
        <v>SCOUT_AZTEC</v>
      </c>
      <c r="B1376" s="9" t="s">
        <v>773</v>
      </c>
      <c r="C1376" s="4" t="s">
        <v>702</v>
      </c>
      <c r="E1376" s="4" t="s">
        <v>773</v>
      </c>
      <c r="F1376" s="4" t="s">
        <v>773</v>
      </c>
      <c r="G1376" s="14"/>
      <c r="H1376" s="4" t="s">
        <v>201</v>
      </c>
      <c r="I1376" s="4" t="s">
        <v>102</v>
      </c>
    </row>
    <row r="1377" spans="1:43" x14ac:dyDescent="0.25">
      <c r="A1377" s="161" t="str">
        <f t="shared" si="21"/>
        <v>SCOUT_INCA</v>
      </c>
      <c r="B1377" s="9" t="s">
        <v>773</v>
      </c>
      <c r="C1377" s="4" t="s">
        <v>719</v>
      </c>
      <c r="E1377" s="4" t="s">
        <v>773</v>
      </c>
      <c r="F1377" s="4" t="s">
        <v>773</v>
      </c>
      <c r="G1377" s="14" t="s">
        <v>132</v>
      </c>
      <c r="H1377" s="4" t="s">
        <v>427</v>
      </c>
      <c r="I1377" s="4" t="s">
        <v>1025</v>
      </c>
    </row>
    <row r="1378" spans="1:43" x14ac:dyDescent="0.25">
      <c r="A1378" s="161" t="str">
        <f t="shared" ref="A1378:A1445" si="23">CONCATENATE(E1378,IF(ISBLANK(C1378),"",CONCATENATE("_",C1378)))</f>
        <v>SCOUT_SOUTHAS</v>
      </c>
      <c r="B1378" s="9" t="s">
        <v>773</v>
      </c>
      <c r="C1378" s="4" t="s">
        <v>695</v>
      </c>
      <c r="E1378" s="4" t="s">
        <v>773</v>
      </c>
      <c r="F1378" s="4" t="s">
        <v>773</v>
      </c>
      <c r="H1378" s="4" t="s">
        <v>1812</v>
      </c>
      <c r="I1378" s="4" t="s">
        <v>1794</v>
      </c>
    </row>
    <row r="1379" spans="1:43" x14ac:dyDescent="0.25">
      <c r="A1379" s="161" t="str">
        <f t="shared" si="23"/>
        <v>SCOUT_INDIA</v>
      </c>
      <c r="B1379" s="9" t="s">
        <v>773</v>
      </c>
      <c r="C1379" s="4" t="s">
        <v>720</v>
      </c>
      <c r="E1379" s="4" t="s">
        <v>773</v>
      </c>
      <c r="F1379" s="4" t="s">
        <v>773</v>
      </c>
      <c r="G1379" s="14" t="s">
        <v>132</v>
      </c>
      <c r="H1379" s="4" t="s">
        <v>442</v>
      </c>
      <c r="I1379" s="4" t="s">
        <v>102</v>
      </c>
    </row>
    <row r="1380" spans="1:43" x14ac:dyDescent="0.25">
      <c r="A1380" s="161" t="str">
        <f t="shared" si="23"/>
        <v>SCRAMBLE_FORCE_PUBLIQUE</v>
      </c>
      <c r="C1380" s="5"/>
      <c r="D1380" s="5"/>
      <c r="E1380" s="5" t="s">
        <v>1369</v>
      </c>
      <c r="F1380" s="5" t="s">
        <v>1369</v>
      </c>
      <c r="G1380" s="5"/>
      <c r="H1380" s="5" t="s">
        <v>1508</v>
      </c>
      <c r="I1380" s="5" t="s">
        <v>128</v>
      </c>
      <c r="J1380" s="6"/>
      <c r="K1380" s="6"/>
      <c r="L1380" s="13" t="s">
        <v>1708</v>
      </c>
      <c r="M1380" s="8"/>
      <c r="N1380" s="5"/>
      <c r="O1380" s="5"/>
      <c r="P1380" s="5"/>
      <c r="Q1380" s="7" t="s">
        <v>1737</v>
      </c>
      <c r="R1380" s="6" t="s">
        <v>1737</v>
      </c>
      <c r="S1380" s="13" t="s">
        <v>1620</v>
      </c>
      <c r="T1380" s="6"/>
      <c r="U1380" s="6"/>
      <c r="V1380" s="5"/>
      <c r="W1380" s="7" t="s">
        <v>3</v>
      </c>
      <c r="X1380" s="6" t="s">
        <v>3</v>
      </c>
      <c r="Y1380" s="5"/>
      <c r="Z1380" s="7">
        <v>1</v>
      </c>
      <c r="AA1380" s="6"/>
      <c r="AB1380" s="5"/>
      <c r="AC1380" s="6"/>
      <c r="AD1380" s="6" t="s">
        <v>3</v>
      </c>
      <c r="AE1380" s="5"/>
      <c r="AF1380" s="6" t="s">
        <v>1737</v>
      </c>
      <c r="AG1380" s="6"/>
      <c r="AH1380" s="5"/>
      <c r="AI1380" s="6" t="s">
        <v>1737</v>
      </c>
      <c r="AJ1380" s="6"/>
      <c r="AK1380" s="5"/>
      <c r="AL1380" s="5"/>
      <c r="AM1380" s="5"/>
      <c r="AN1380" s="5"/>
      <c r="AO1380" s="5"/>
      <c r="AP1380" s="5"/>
      <c r="AQ1380" s="5"/>
    </row>
    <row r="1381" spans="1:43" x14ac:dyDescent="0.25">
      <c r="A1381" s="161" t="str">
        <f t="shared" si="23"/>
        <v>SCRAMBLE_FOREIGN_VOLUNTEERS</v>
      </c>
      <c r="C1381" s="5"/>
      <c r="D1381" s="5"/>
      <c r="E1381" s="5" t="s">
        <v>1370</v>
      </c>
      <c r="F1381" s="5" t="s">
        <v>1370</v>
      </c>
      <c r="G1381" s="5"/>
      <c r="H1381" s="5" t="s">
        <v>21</v>
      </c>
      <c r="I1381" s="5" t="s">
        <v>128</v>
      </c>
      <c r="J1381" s="6"/>
      <c r="K1381" s="6"/>
      <c r="L1381" s="13" t="s">
        <v>1708</v>
      </c>
      <c r="M1381" s="8"/>
      <c r="N1381" s="5"/>
      <c r="O1381" s="5"/>
      <c r="P1381" s="5"/>
      <c r="Q1381" s="7">
        <v>14</v>
      </c>
      <c r="R1381" s="6" t="s">
        <v>1737</v>
      </c>
      <c r="S1381" s="13" t="s">
        <v>1619</v>
      </c>
      <c r="T1381" s="6"/>
      <c r="U1381" s="6"/>
      <c r="V1381" s="5"/>
      <c r="W1381" s="7" t="s">
        <v>3</v>
      </c>
      <c r="X1381" s="6" t="s">
        <v>3</v>
      </c>
      <c r="Y1381" s="5"/>
      <c r="Z1381" s="7">
        <v>1</v>
      </c>
      <c r="AA1381" s="6"/>
      <c r="AB1381" s="5"/>
      <c r="AC1381" s="6"/>
      <c r="AD1381" s="6" t="s">
        <v>3</v>
      </c>
      <c r="AE1381" s="5"/>
      <c r="AF1381" s="6" t="s">
        <v>1737</v>
      </c>
      <c r="AG1381" s="6"/>
      <c r="AH1381" s="5"/>
      <c r="AI1381" s="6" t="s">
        <v>1737</v>
      </c>
      <c r="AJ1381" s="6"/>
      <c r="AK1381" s="5"/>
      <c r="AL1381" s="5"/>
      <c r="AM1381" s="5"/>
      <c r="AN1381" s="5"/>
      <c r="AO1381" s="5"/>
      <c r="AP1381" s="5"/>
      <c r="AQ1381" s="5"/>
    </row>
    <row r="1382" spans="1:43" x14ac:dyDescent="0.25">
      <c r="A1382" s="161" t="str">
        <f t="shared" si="23"/>
        <v>SMOKEY_LANDSHIP_LEVEL_1</v>
      </c>
      <c r="C1382" s="5"/>
      <c r="D1382" s="5"/>
      <c r="E1382" s="5" t="s">
        <v>1371</v>
      </c>
      <c r="F1382" s="5" t="s">
        <v>1371</v>
      </c>
      <c r="G1382" s="5"/>
      <c r="H1382" s="5" t="s">
        <v>1523</v>
      </c>
      <c r="I1382" s="5" t="s">
        <v>128</v>
      </c>
      <c r="J1382" s="6"/>
      <c r="K1382" s="6"/>
      <c r="L1382" s="13" t="s">
        <v>1709</v>
      </c>
      <c r="M1382" s="8"/>
      <c r="N1382" s="5"/>
      <c r="O1382" s="5"/>
      <c r="P1382" s="5"/>
      <c r="Q1382" s="7">
        <v>2</v>
      </c>
      <c r="R1382" s="6">
        <v>0.16</v>
      </c>
      <c r="S1382" s="13" t="s">
        <v>1613</v>
      </c>
      <c r="T1382" s="6"/>
      <c r="U1382" s="6"/>
      <c r="V1382" s="5"/>
      <c r="W1382" s="6" t="s">
        <v>3</v>
      </c>
      <c r="X1382" s="6" t="s">
        <v>3</v>
      </c>
      <c r="Y1382" s="5"/>
      <c r="Z1382" s="7">
        <v>1</v>
      </c>
      <c r="AA1382" s="6"/>
      <c r="AB1382" s="5"/>
      <c r="AC1382" s="6"/>
      <c r="AD1382" s="6" t="s">
        <v>3</v>
      </c>
      <c r="AE1382" s="5"/>
      <c r="AF1382" s="6"/>
      <c r="AG1382" s="6"/>
      <c r="AH1382" s="5"/>
      <c r="AI1382" s="6"/>
      <c r="AJ1382" s="6"/>
      <c r="AK1382" s="5"/>
      <c r="AL1382" s="5"/>
      <c r="AM1382" s="5"/>
      <c r="AN1382" s="5"/>
      <c r="AO1382" s="5"/>
      <c r="AP1382" s="5"/>
      <c r="AQ1382" s="5"/>
    </row>
    <row r="1383" spans="1:43" x14ac:dyDescent="0.25">
      <c r="A1383" s="161" t="str">
        <f t="shared" si="23"/>
        <v>SMOKEY_LANDSHIP_LEVEL_2</v>
      </c>
      <c r="C1383" s="5"/>
      <c r="D1383" s="5"/>
      <c r="E1383" s="5" t="s">
        <v>1372</v>
      </c>
      <c r="F1383" s="5" t="s">
        <v>1372</v>
      </c>
      <c r="G1383" s="5"/>
      <c r="H1383" s="5" t="s">
        <v>1524</v>
      </c>
      <c r="I1383" s="5" t="s">
        <v>128</v>
      </c>
      <c r="J1383" s="6"/>
      <c r="K1383" s="6"/>
      <c r="L1383" s="13" t="s">
        <v>1709</v>
      </c>
      <c r="M1383" s="8"/>
      <c r="N1383" s="5"/>
      <c r="O1383" s="5"/>
      <c r="P1383" s="5"/>
      <c r="Q1383" s="7">
        <v>2</v>
      </c>
      <c r="R1383" s="6">
        <v>0.15</v>
      </c>
      <c r="S1383" s="13" t="s">
        <v>1613</v>
      </c>
      <c r="T1383" s="6"/>
      <c r="U1383" s="6"/>
      <c r="V1383" s="5"/>
      <c r="W1383" s="6" t="s">
        <v>3</v>
      </c>
      <c r="X1383" s="6" t="s">
        <v>3</v>
      </c>
      <c r="Y1383" s="5"/>
      <c r="Z1383" s="7">
        <v>1</v>
      </c>
      <c r="AA1383" s="6"/>
      <c r="AB1383" s="5"/>
      <c r="AC1383" s="6"/>
      <c r="AD1383" s="6" t="s">
        <v>3</v>
      </c>
      <c r="AE1383" s="5"/>
      <c r="AF1383" s="6"/>
      <c r="AG1383" s="6"/>
      <c r="AH1383" s="5"/>
      <c r="AI1383" s="6"/>
      <c r="AJ1383" s="6"/>
      <c r="AK1383" s="5"/>
      <c r="AL1383" s="5"/>
      <c r="AM1383" s="5"/>
      <c r="AN1383" s="5"/>
      <c r="AO1383" s="5"/>
      <c r="AP1383" s="5"/>
      <c r="AQ1383" s="5"/>
    </row>
    <row r="1384" spans="1:43" x14ac:dyDescent="0.25">
      <c r="A1384" s="161" t="str">
        <f t="shared" si="23"/>
        <v>SMOKEY_LANDSHIP_LEVEL_3</v>
      </c>
      <c r="C1384" s="5"/>
      <c r="D1384" s="5"/>
      <c r="E1384" s="5" t="s">
        <v>1373</v>
      </c>
      <c r="F1384" s="5" t="s">
        <v>1373</v>
      </c>
      <c r="G1384" s="5"/>
      <c r="H1384" s="5" t="s">
        <v>1525</v>
      </c>
      <c r="I1384" s="5" t="s">
        <v>128</v>
      </c>
      <c r="J1384" s="6"/>
      <c r="K1384" s="6"/>
      <c r="L1384" s="13" t="s">
        <v>1709</v>
      </c>
      <c r="M1384" s="8"/>
      <c r="N1384" s="5"/>
      <c r="O1384" s="5"/>
      <c r="P1384" s="5"/>
      <c r="Q1384" s="7">
        <v>1</v>
      </c>
      <c r="R1384" s="6">
        <v>0.2</v>
      </c>
      <c r="S1384" s="13" t="s">
        <v>1613</v>
      </c>
      <c r="T1384" s="6"/>
      <c r="U1384" s="6"/>
      <c r="V1384" s="5"/>
      <c r="W1384" s="7" t="s">
        <v>3</v>
      </c>
      <c r="X1384" s="6" t="s">
        <v>3</v>
      </c>
      <c r="Y1384" s="5"/>
      <c r="Z1384" s="6"/>
      <c r="AA1384" s="6"/>
      <c r="AB1384" s="5"/>
      <c r="AC1384" s="6"/>
      <c r="AD1384" s="6" t="s">
        <v>3</v>
      </c>
      <c r="AE1384" s="5"/>
      <c r="AF1384" s="6"/>
      <c r="AG1384" s="6"/>
      <c r="AH1384" s="5"/>
      <c r="AI1384" s="6"/>
      <c r="AJ1384" s="6"/>
      <c r="AK1384" s="5"/>
      <c r="AL1384" s="5"/>
      <c r="AM1384" s="5"/>
      <c r="AN1384" s="5"/>
      <c r="AO1384" s="5"/>
      <c r="AP1384" s="5"/>
      <c r="AQ1384" s="5"/>
    </row>
    <row r="1385" spans="1:43" x14ac:dyDescent="0.25">
      <c r="A1385" s="161" t="str">
        <f t="shared" si="23"/>
        <v>SMOKEY_STEAM_AIRSHIP</v>
      </c>
      <c r="C1385" s="5"/>
      <c r="D1385" s="5"/>
      <c r="E1385" s="5" t="s">
        <v>1374</v>
      </c>
      <c r="F1385" s="5" t="s">
        <v>1377</v>
      </c>
      <c r="G1385" s="5"/>
      <c r="H1385" s="5" t="s">
        <v>1522</v>
      </c>
      <c r="I1385" s="5" t="s">
        <v>128</v>
      </c>
      <c r="J1385" s="6"/>
      <c r="K1385" s="7"/>
      <c r="L1385" s="13" t="s">
        <v>1709</v>
      </c>
      <c r="M1385" s="8"/>
      <c r="N1385" s="13" t="s">
        <v>1726</v>
      </c>
      <c r="O1385" s="13"/>
      <c r="P1385" s="13"/>
      <c r="Q1385" s="7">
        <v>1</v>
      </c>
      <c r="R1385" s="7">
        <v>0.21</v>
      </c>
      <c r="S1385" s="13" t="s">
        <v>1621</v>
      </c>
      <c r="T1385" s="6"/>
      <c r="U1385" s="6"/>
      <c r="V1385" s="5"/>
      <c r="W1385" s="7" t="s">
        <v>3</v>
      </c>
      <c r="X1385" s="6" t="s">
        <v>3</v>
      </c>
      <c r="Y1385" s="5"/>
      <c r="Z1385" s="6"/>
      <c r="AA1385" s="6"/>
      <c r="AB1385" s="5"/>
      <c r="AC1385" s="6"/>
      <c r="AD1385" s="6" t="s">
        <v>3</v>
      </c>
      <c r="AE1385" s="5"/>
      <c r="AF1385" s="6"/>
      <c r="AG1385" s="6"/>
      <c r="AH1385" s="5"/>
      <c r="AI1385" s="6"/>
      <c r="AJ1385" s="6"/>
      <c r="AK1385" s="5"/>
      <c r="AL1385" s="5"/>
      <c r="AM1385" s="5"/>
      <c r="AN1385" s="5"/>
      <c r="AO1385" s="5"/>
      <c r="AP1385" s="5"/>
      <c r="AQ1385" s="5"/>
    </row>
    <row r="1386" spans="1:43" x14ac:dyDescent="0.25">
      <c r="A1386" s="161" t="str">
        <f t="shared" si="23"/>
        <v>SMOKEY_STEAM_AIRSHIP_LEVEL_1</v>
      </c>
      <c r="C1386" s="5"/>
      <c r="D1386" s="5"/>
      <c r="E1386" s="5" t="s">
        <v>1375</v>
      </c>
      <c r="F1386" s="5" t="s">
        <v>1378</v>
      </c>
      <c r="G1386" s="5"/>
      <c r="H1386" s="5" t="s">
        <v>1521</v>
      </c>
      <c r="I1386" s="5" t="s">
        <v>128</v>
      </c>
      <c r="J1386" s="6"/>
      <c r="K1386" s="7"/>
      <c r="L1386" s="13" t="s">
        <v>1709</v>
      </c>
      <c r="M1386" s="8"/>
      <c r="N1386" s="13" t="s">
        <v>1726</v>
      </c>
      <c r="O1386" s="13"/>
      <c r="P1386" s="13"/>
      <c r="Q1386" s="7">
        <v>2</v>
      </c>
      <c r="R1386" s="7">
        <v>0.21</v>
      </c>
      <c r="S1386" s="13" t="s">
        <v>1621</v>
      </c>
      <c r="T1386" s="6"/>
      <c r="U1386" s="6"/>
      <c r="V1386" s="5"/>
      <c r="W1386" s="7" t="s">
        <v>3</v>
      </c>
      <c r="X1386" s="6" t="s">
        <v>3</v>
      </c>
      <c r="Y1386" s="5"/>
      <c r="Z1386" s="7">
        <v>1</v>
      </c>
      <c r="AA1386" s="6"/>
      <c r="AB1386" s="5"/>
      <c r="AC1386" s="6"/>
      <c r="AD1386" s="6" t="s">
        <v>3</v>
      </c>
      <c r="AE1386" s="5"/>
      <c r="AF1386" s="6"/>
      <c r="AG1386" s="6"/>
      <c r="AH1386" s="5"/>
      <c r="AI1386" s="6"/>
      <c r="AJ1386" s="6"/>
      <c r="AK1386" s="5"/>
      <c r="AL1386" s="5"/>
      <c r="AM1386" s="5"/>
      <c r="AN1386" s="5"/>
      <c r="AO1386" s="5"/>
      <c r="AP1386" s="5"/>
      <c r="AQ1386" s="5"/>
    </row>
    <row r="1387" spans="1:43" x14ac:dyDescent="0.25">
      <c r="A1387" s="161" t="str">
        <f t="shared" si="23"/>
        <v>SMOKEY_STEAM_FIGHTER</v>
      </c>
      <c r="C1387" s="5"/>
      <c r="D1387" s="5"/>
      <c r="E1387" s="5" t="s">
        <v>1376</v>
      </c>
      <c r="F1387" s="5" t="s">
        <v>1376</v>
      </c>
      <c r="G1387" s="5"/>
      <c r="H1387" s="5" t="s">
        <v>1526</v>
      </c>
      <c r="I1387" s="5" t="s">
        <v>128</v>
      </c>
      <c r="J1387" s="6"/>
      <c r="K1387" s="7"/>
      <c r="L1387" s="13" t="s">
        <v>1711</v>
      </c>
      <c r="M1387" s="8"/>
      <c r="N1387" s="13" t="s">
        <v>1725</v>
      </c>
      <c r="O1387" s="13"/>
      <c r="P1387" s="13"/>
      <c r="Q1387" s="7">
        <v>3</v>
      </c>
      <c r="R1387" s="6">
        <v>0.09</v>
      </c>
      <c r="S1387" s="13" t="s">
        <v>1621</v>
      </c>
      <c r="T1387" s="6"/>
      <c r="U1387" s="6"/>
      <c r="V1387" s="5"/>
      <c r="W1387" s="7" t="s">
        <v>3</v>
      </c>
      <c r="X1387" s="6" t="s">
        <v>3</v>
      </c>
      <c r="Y1387" s="5"/>
      <c r="Z1387" s="7">
        <v>1</v>
      </c>
      <c r="AA1387" s="6"/>
      <c r="AB1387" s="5"/>
      <c r="AC1387" s="6"/>
      <c r="AD1387" s="6" t="s">
        <v>3</v>
      </c>
      <c r="AE1387" s="5"/>
      <c r="AF1387" s="6"/>
      <c r="AG1387" s="6"/>
      <c r="AH1387" s="5"/>
      <c r="AI1387" s="6"/>
      <c r="AJ1387" s="6"/>
      <c r="AK1387" s="5"/>
      <c r="AL1387" s="5"/>
      <c r="AM1387" s="5"/>
      <c r="AN1387" s="5"/>
      <c r="AO1387" s="5"/>
      <c r="AP1387" s="5"/>
      <c r="AQ1387" s="5"/>
    </row>
    <row r="1388" spans="1:43" x14ac:dyDescent="0.25">
      <c r="A1388" s="161" t="str">
        <f t="shared" si="23"/>
        <v>SPEARMAN</v>
      </c>
      <c r="B1388" s="9" t="s">
        <v>106</v>
      </c>
      <c r="C1388" s="5"/>
      <c r="D1388" s="5"/>
      <c r="E1388" s="5" t="s">
        <v>106</v>
      </c>
      <c r="F1388" s="5" t="s">
        <v>106</v>
      </c>
      <c r="G1388" s="5" t="s">
        <v>2047</v>
      </c>
      <c r="H1388" s="5" t="s">
        <v>1527</v>
      </c>
      <c r="I1388" s="5" t="s">
        <v>128</v>
      </c>
      <c r="J1388" s="6"/>
      <c r="K1388" s="6"/>
      <c r="L1388" s="13" t="s">
        <v>1708</v>
      </c>
      <c r="M1388" s="8"/>
      <c r="N1388" s="5"/>
      <c r="O1388" s="5"/>
      <c r="P1388" s="5"/>
      <c r="Q1388" s="6">
        <v>4</v>
      </c>
      <c r="R1388" s="6" t="s">
        <v>1737</v>
      </c>
      <c r="S1388" s="13" t="s">
        <v>1625</v>
      </c>
      <c r="T1388" s="6">
        <v>4</v>
      </c>
      <c r="U1388" s="7" t="s">
        <v>1737</v>
      </c>
      <c r="V1388" s="5"/>
      <c r="W1388" s="6">
        <v>6</v>
      </c>
      <c r="X1388" s="6" t="s">
        <v>3</v>
      </c>
      <c r="Y1388" s="5"/>
      <c r="Z1388" s="7">
        <v>1</v>
      </c>
      <c r="AA1388" s="6"/>
      <c r="AB1388" s="5"/>
      <c r="AC1388" s="6"/>
      <c r="AD1388" s="6" t="s">
        <v>3</v>
      </c>
      <c r="AE1388" s="5"/>
      <c r="AF1388" s="6">
        <v>1</v>
      </c>
      <c r="AG1388" s="6"/>
      <c r="AH1388" s="5"/>
      <c r="AI1388" s="6">
        <v>2</v>
      </c>
      <c r="AJ1388" s="6"/>
      <c r="AK1388" s="5"/>
      <c r="AL1388" s="5"/>
      <c r="AM1388" s="5"/>
      <c r="AN1388" s="5"/>
      <c r="AO1388" s="5"/>
      <c r="AP1388" s="5"/>
      <c r="AQ1388" s="5"/>
    </row>
    <row r="1389" spans="1:43" x14ac:dyDescent="0.25">
      <c r="A1389" s="161" t="str">
        <f t="shared" si="23"/>
        <v>SPEARMAN</v>
      </c>
      <c r="B1389" s="9" t="s">
        <v>106</v>
      </c>
      <c r="C1389" s="5"/>
      <c r="D1389" s="5"/>
      <c r="E1389" s="5" t="s">
        <v>106</v>
      </c>
      <c r="F1389" s="5" t="s">
        <v>106</v>
      </c>
      <c r="G1389" s="5"/>
      <c r="H1389" s="5" t="s">
        <v>19</v>
      </c>
      <c r="I1389" s="5" t="s">
        <v>128</v>
      </c>
      <c r="J1389" s="6"/>
      <c r="K1389" s="6"/>
      <c r="L1389" s="13" t="s">
        <v>1708</v>
      </c>
      <c r="M1389" s="8"/>
      <c r="N1389" s="5"/>
      <c r="O1389" s="5"/>
      <c r="P1389" s="5"/>
      <c r="Q1389" s="6">
        <v>5</v>
      </c>
      <c r="R1389" s="6" t="s">
        <v>1737</v>
      </c>
      <c r="S1389" s="13" t="s">
        <v>1625</v>
      </c>
      <c r="T1389" s="6">
        <v>3</v>
      </c>
      <c r="U1389" s="7" t="s">
        <v>1737</v>
      </c>
      <c r="V1389" s="5"/>
      <c r="W1389" s="6">
        <v>5</v>
      </c>
      <c r="X1389" s="6" t="s">
        <v>3</v>
      </c>
      <c r="Y1389" s="5"/>
      <c r="Z1389" s="7">
        <v>0</v>
      </c>
      <c r="AA1389" s="6"/>
      <c r="AB1389" s="5"/>
      <c r="AC1389" s="6"/>
      <c r="AD1389" s="6" t="s">
        <v>3</v>
      </c>
      <c r="AE1389" s="5"/>
      <c r="AF1389" s="6">
        <v>1</v>
      </c>
      <c r="AG1389" s="6"/>
      <c r="AH1389" s="5"/>
      <c r="AI1389" s="6">
        <v>3</v>
      </c>
      <c r="AJ1389" s="6"/>
      <c r="AK1389" s="5"/>
      <c r="AL1389" s="5"/>
      <c r="AM1389" s="5"/>
      <c r="AN1389" s="5"/>
      <c r="AO1389" s="5"/>
      <c r="AP1389" s="5"/>
      <c r="AQ1389" s="5"/>
    </row>
    <row r="1390" spans="1:43" x14ac:dyDescent="0.25">
      <c r="A1390" s="161" t="str">
        <f t="shared" si="23"/>
        <v>SPEARMAN</v>
      </c>
      <c r="B1390" s="9" t="s">
        <v>106</v>
      </c>
      <c r="C1390" s="5"/>
      <c r="D1390" s="5"/>
      <c r="E1390" s="5" t="s">
        <v>106</v>
      </c>
      <c r="F1390" s="5" t="s">
        <v>106</v>
      </c>
      <c r="G1390" s="5" t="s">
        <v>2049</v>
      </c>
      <c r="H1390" s="5" t="s">
        <v>1528</v>
      </c>
      <c r="I1390" s="5" t="s">
        <v>128</v>
      </c>
      <c r="J1390" s="6"/>
      <c r="K1390" s="6"/>
      <c r="L1390" s="13" t="s">
        <v>1708</v>
      </c>
      <c r="M1390" s="8"/>
      <c r="N1390" s="5"/>
      <c r="O1390" s="5"/>
      <c r="P1390" s="5"/>
      <c r="Q1390" s="6">
        <v>3</v>
      </c>
      <c r="R1390" s="6" t="s">
        <v>1737</v>
      </c>
      <c r="S1390" s="13" t="s">
        <v>1625</v>
      </c>
      <c r="T1390" s="6">
        <v>2</v>
      </c>
      <c r="U1390" s="7" t="s">
        <v>1737</v>
      </c>
      <c r="V1390" s="5"/>
      <c r="W1390" s="6">
        <v>3</v>
      </c>
      <c r="X1390" s="6" t="s">
        <v>3</v>
      </c>
      <c r="Y1390" s="5"/>
      <c r="Z1390" s="7">
        <v>0</v>
      </c>
      <c r="AA1390" s="6"/>
      <c r="AB1390" s="5"/>
      <c r="AC1390" s="6"/>
      <c r="AD1390" s="6" t="s">
        <v>3</v>
      </c>
      <c r="AE1390" s="5"/>
      <c r="AF1390" s="6">
        <v>1</v>
      </c>
      <c r="AG1390" s="6"/>
      <c r="AH1390" s="5"/>
      <c r="AI1390" s="6">
        <v>2</v>
      </c>
      <c r="AJ1390" s="6"/>
      <c r="AK1390" s="5"/>
      <c r="AL1390" s="5"/>
      <c r="AM1390" s="5"/>
      <c r="AN1390" s="5"/>
      <c r="AO1390" s="5"/>
      <c r="AP1390" s="5"/>
      <c r="AQ1390" s="5"/>
    </row>
    <row r="1391" spans="1:43" x14ac:dyDescent="0.25">
      <c r="A1391" s="161" t="str">
        <f t="shared" si="23"/>
        <v>SPEARMAN</v>
      </c>
      <c r="B1391" s="9" t="s">
        <v>106</v>
      </c>
      <c r="C1391" s="5"/>
      <c r="D1391" s="5"/>
      <c r="E1391" s="5" t="s">
        <v>106</v>
      </c>
      <c r="F1391" s="5" t="s">
        <v>106</v>
      </c>
      <c r="G1391" s="5" t="s">
        <v>2047</v>
      </c>
      <c r="H1391" s="5" t="s">
        <v>1527</v>
      </c>
      <c r="I1391" s="5" t="s">
        <v>128</v>
      </c>
      <c r="J1391" s="6"/>
      <c r="K1391" s="6"/>
      <c r="L1391" s="13" t="s">
        <v>1708</v>
      </c>
      <c r="M1391" s="8"/>
      <c r="N1391" s="5"/>
      <c r="O1391" s="5"/>
      <c r="P1391" s="5"/>
      <c r="Q1391" s="6">
        <v>0</v>
      </c>
      <c r="R1391" s="6" t="s">
        <v>1737</v>
      </c>
      <c r="S1391" s="13" t="s">
        <v>1625</v>
      </c>
      <c r="T1391" s="6">
        <v>5</v>
      </c>
      <c r="U1391" s="7" t="s">
        <v>1737</v>
      </c>
      <c r="V1391" s="5"/>
      <c r="W1391" s="7">
        <v>7</v>
      </c>
      <c r="X1391" s="6" t="s">
        <v>3</v>
      </c>
      <c r="Y1391" s="5"/>
      <c r="Z1391" s="7">
        <v>0</v>
      </c>
      <c r="AA1391" s="6"/>
      <c r="AB1391" s="5"/>
      <c r="AC1391" s="6"/>
      <c r="AD1391" s="6" t="s">
        <v>3</v>
      </c>
      <c r="AE1391" s="5"/>
      <c r="AF1391" s="6">
        <v>1</v>
      </c>
      <c r="AG1391" s="6"/>
      <c r="AH1391" s="5"/>
      <c r="AI1391" s="6">
        <v>0</v>
      </c>
      <c r="AJ1391" s="6"/>
      <c r="AK1391" s="5"/>
      <c r="AL1391" s="5"/>
      <c r="AM1391" s="5"/>
      <c r="AN1391" s="5"/>
      <c r="AO1391" s="5"/>
      <c r="AP1391" s="5"/>
      <c r="AQ1391" s="5"/>
    </row>
    <row r="1392" spans="1:43" x14ac:dyDescent="0.25">
      <c r="A1392" s="161" t="str">
        <f t="shared" si="23"/>
        <v>SPEARMAN</v>
      </c>
      <c r="B1392" s="9" t="s">
        <v>106</v>
      </c>
      <c r="C1392" s="5"/>
      <c r="D1392" s="5"/>
      <c r="E1392" s="5" t="s">
        <v>106</v>
      </c>
      <c r="F1392" s="5" t="s">
        <v>106</v>
      </c>
      <c r="G1392" s="5"/>
      <c r="H1392" s="5" t="s">
        <v>19</v>
      </c>
      <c r="I1392" s="5" t="s">
        <v>128</v>
      </c>
      <c r="J1392" s="6"/>
      <c r="K1392" s="6"/>
      <c r="L1392" s="13" t="s">
        <v>1708</v>
      </c>
      <c r="M1392" s="8"/>
      <c r="N1392" s="5"/>
      <c r="O1392" s="5"/>
      <c r="P1392" s="5"/>
      <c r="Q1392" s="6">
        <v>0</v>
      </c>
      <c r="R1392" s="6" t="s">
        <v>1737</v>
      </c>
      <c r="S1392" s="13" t="s">
        <v>1625</v>
      </c>
      <c r="T1392" s="6">
        <v>2</v>
      </c>
      <c r="U1392" s="7" t="s">
        <v>1737</v>
      </c>
      <c r="V1392" s="5"/>
      <c r="W1392" s="7">
        <v>3</v>
      </c>
      <c r="X1392" s="6" t="s">
        <v>3</v>
      </c>
      <c r="Y1392" s="5"/>
      <c r="Z1392" s="7">
        <v>0</v>
      </c>
      <c r="AA1392" s="6"/>
      <c r="AB1392" s="5"/>
      <c r="AC1392" s="6"/>
      <c r="AD1392" s="6" t="s">
        <v>3</v>
      </c>
      <c r="AE1392" s="5"/>
      <c r="AF1392" s="6">
        <v>1</v>
      </c>
      <c r="AG1392" s="6"/>
      <c r="AH1392" s="5"/>
      <c r="AI1392" s="6">
        <v>0</v>
      </c>
      <c r="AJ1392" s="6"/>
      <c r="AK1392" s="5"/>
      <c r="AL1392" s="5"/>
      <c r="AM1392" s="5"/>
      <c r="AN1392" s="5"/>
      <c r="AO1392" s="5"/>
      <c r="AP1392" s="5"/>
      <c r="AQ1392" s="5"/>
    </row>
    <row r="1393" spans="1:43" x14ac:dyDescent="0.25">
      <c r="A1393" s="161" t="str">
        <f t="shared" si="23"/>
        <v>SPEARMAN</v>
      </c>
      <c r="B1393" s="9" t="s">
        <v>106</v>
      </c>
      <c r="C1393" s="5"/>
      <c r="D1393" s="5"/>
      <c r="E1393" s="5" t="s">
        <v>106</v>
      </c>
      <c r="F1393" s="5" t="s">
        <v>106</v>
      </c>
      <c r="G1393" s="5" t="s">
        <v>2049</v>
      </c>
      <c r="H1393" s="5" t="s">
        <v>1528</v>
      </c>
      <c r="I1393" s="5" t="s">
        <v>128</v>
      </c>
      <c r="J1393" s="6"/>
      <c r="K1393" s="6"/>
      <c r="L1393" s="13" t="s">
        <v>1708</v>
      </c>
      <c r="M1393" s="8"/>
      <c r="N1393" s="5"/>
      <c r="O1393" s="5"/>
      <c r="P1393" s="5"/>
      <c r="Q1393" s="6">
        <v>0</v>
      </c>
      <c r="R1393" s="6" t="s">
        <v>1737</v>
      </c>
      <c r="S1393" s="13" t="s">
        <v>1625</v>
      </c>
      <c r="T1393" s="6">
        <v>4</v>
      </c>
      <c r="U1393" s="7" t="s">
        <v>1737</v>
      </c>
      <c r="V1393" s="5"/>
      <c r="W1393" s="7">
        <v>6</v>
      </c>
      <c r="X1393" s="6" t="s">
        <v>3</v>
      </c>
      <c r="Y1393" s="5"/>
      <c r="Z1393" s="7">
        <v>0</v>
      </c>
      <c r="AA1393" s="6"/>
      <c r="AB1393" s="5"/>
      <c r="AC1393" s="6"/>
      <c r="AD1393" s="6" t="s">
        <v>3</v>
      </c>
      <c r="AE1393" s="5"/>
      <c r="AF1393" s="6">
        <v>1</v>
      </c>
      <c r="AG1393" s="6"/>
      <c r="AH1393" s="5"/>
      <c r="AI1393" s="6">
        <v>0</v>
      </c>
      <c r="AJ1393" s="6"/>
      <c r="AK1393" s="5"/>
      <c r="AL1393" s="5"/>
      <c r="AM1393" s="5"/>
      <c r="AN1393" s="5"/>
      <c r="AO1393" s="5"/>
      <c r="AP1393" s="5"/>
      <c r="AQ1393" s="5"/>
    </row>
    <row r="1394" spans="1:43" x14ac:dyDescent="0.25">
      <c r="A1394" s="161" t="str">
        <f t="shared" si="23"/>
        <v>SPEARMAN_AFRI</v>
      </c>
      <c r="B1394" s="9" t="s">
        <v>106</v>
      </c>
      <c r="C1394" s="4" t="s">
        <v>694</v>
      </c>
      <c r="E1394" s="4" t="s">
        <v>106</v>
      </c>
      <c r="F1394" s="4" t="s">
        <v>106</v>
      </c>
      <c r="H1394" s="4" t="s">
        <v>686</v>
      </c>
      <c r="I1394" s="4" t="s">
        <v>1935</v>
      </c>
      <c r="Q1394" s="11" t="s">
        <v>1737</v>
      </c>
    </row>
    <row r="1395" spans="1:43" x14ac:dyDescent="0.25">
      <c r="A1395" s="161" t="str">
        <f t="shared" si="23"/>
        <v>SPEARMAN_ETHIOPIA</v>
      </c>
      <c r="B1395" s="9" t="s">
        <v>106</v>
      </c>
      <c r="C1395" s="4" t="s">
        <v>714</v>
      </c>
      <c r="E1395" s="4" t="s">
        <v>106</v>
      </c>
      <c r="F1395" s="4" t="s">
        <v>106</v>
      </c>
      <c r="G1395" s="14" t="s">
        <v>132</v>
      </c>
      <c r="H1395" s="4" t="s">
        <v>331</v>
      </c>
      <c r="I1395" s="4" t="s">
        <v>1025</v>
      </c>
      <c r="Q1395" s="11" t="s">
        <v>1737</v>
      </c>
    </row>
    <row r="1396" spans="1:43" x14ac:dyDescent="0.25">
      <c r="A1396" s="161" t="str">
        <f t="shared" si="23"/>
        <v>SPEARMAN_MOMBASA</v>
      </c>
      <c r="B1396" s="9" t="s">
        <v>106</v>
      </c>
      <c r="C1396" s="4" t="s">
        <v>727</v>
      </c>
      <c r="D1396" s="4" t="s">
        <v>733</v>
      </c>
      <c r="E1396" s="4" t="s">
        <v>106</v>
      </c>
      <c r="F1396" s="4" t="s">
        <v>106</v>
      </c>
      <c r="G1396" s="14" t="s">
        <v>132</v>
      </c>
    </row>
    <row r="1397" spans="1:43" x14ac:dyDescent="0.25">
      <c r="A1397" s="161" t="str">
        <f t="shared" si="23"/>
        <v>SPEARMAN_SONGHAI</v>
      </c>
      <c r="B1397" s="9" t="s">
        <v>106</v>
      </c>
      <c r="C1397" s="4" t="s">
        <v>737</v>
      </c>
      <c r="E1397" s="4" t="s">
        <v>106</v>
      </c>
      <c r="F1397" s="4" t="s">
        <v>106</v>
      </c>
      <c r="G1397" s="14" t="s">
        <v>132</v>
      </c>
      <c r="H1397" s="4" t="s">
        <v>1960</v>
      </c>
      <c r="I1397" s="4" t="s">
        <v>1025</v>
      </c>
      <c r="Q1397" s="9" t="s">
        <v>1737</v>
      </c>
      <c r="T1397" s="9"/>
      <c r="W1397" s="9"/>
      <c r="AF1397" s="9"/>
      <c r="AI1397" s="9"/>
    </row>
    <row r="1398" spans="1:43" x14ac:dyDescent="0.25">
      <c r="A1398" s="161" t="str">
        <f t="shared" si="23"/>
        <v>SPEARMAN_AMER</v>
      </c>
      <c r="B1398" s="9" t="s">
        <v>106</v>
      </c>
      <c r="C1398" s="4" t="s">
        <v>697</v>
      </c>
      <c r="E1398" s="4" t="s">
        <v>106</v>
      </c>
      <c r="F1398" s="4" t="s">
        <v>106</v>
      </c>
      <c r="H1398" s="4" t="s">
        <v>471</v>
      </c>
      <c r="I1398" s="4" t="s">
        <v>1935</v>
      </c>
      <c r="Q1398" s="9" t="s">
        <v>1737</v>
      </c>
      <c r="T1398" s="9"/>
      <c r="W1398" s="9"/>
      <c r="Z1398" s="9"/>
      <c r="AF1398" s="9"/>
      <c r="AI1398" s="9"/>
    </row>
    <row r="1399" spans="1:43" x14ac:dyDescent="0.25">
      <c r="A1399" s="161" t="str">
        <f t="shared" si="23"/>
        <v>SPEARMAN_IROQUOIS</v>
      </c>
      <c r="B1399" s="9" t="s">
        <v>106</v>
      </c>
      <c r="C1399" s="4" t="s">
        <v>721</v>
      </c>
      <c r="E1399" s="4" t="s">
        <v>106</v>
      </c>
      <c r="F1399" s="4" t="s">
        <v>106</v>
      </c>
      <c r="H1399" s="4" t="s">
        <v>948</v>
      </c>
      <c r="I1399" s="4" t="s">
        <v>1935</v>
      </c>
      <c r="Q1399" s="11">
        <v>1</v>
      </c>
      <c r="T1399" s="11">
        <v>2</v>
      </c>
      <c r="Z1399" s="9">
        <v>1</v>
      </c>
      <c r="AF1399" s="11">
        <v>1</v>
      </c>
      <c r="AI1399" s="11">
        <v>1</v>
      </c>
    </row>
    <row r="1400" spans="1:43" x14ac:dyDescent="0.25">
      <c r="A1400" s="161" t="str">
        <f t="shared" si="23"/>
        <v>SPEARMAN_IROQUOIS</v>
      </c>
      <c r="B1400" s="9" t="s">
        <v>106</v>
      </c>
      <c r="C1400" s="4" t="s">
        <v>721</v>
      </c>
      <c r="E1400" s="4" t="s">
        <v>106</v>
      </c>
      <c r="F1400" s="4" t="s">
        <v>106</v>
      </c>
      <c r="G1400" s="4" t="s">
        <v>2047</v>
      </c>
      <c r="H1400" s="4" t="s">
        <v>949</v>
      </c>
      <c r="I1400" s="4" t="s">
        <v>1935</v>
      </c>
      <c r="Q1400" s="11">
        <v>2</v>
      </c>
      <c r="T1400" s="11">
        <v>3</v>
      </c>
      <c r="Z1400" s="9">
        <v>0</v>
      </c>
      <c r="AF1400" s="11">
        <v>1</v>
      </c>
      <c r="AI1400" s="11">
        <v>1</v>
      </c>
    </row>
    <row r="1401" spans="1:43" x14ac:dyDescent="0.25">
      <c r="A1401" s="161" t="str">
        <f t="shared" si="23"/>
        <v>SPEARMAN_IROQUOIS</v>
      </c>
      <c r="B1401" s="9" t="s">
        <v>106</v>
      </c>
      <c r="C1401" s="4" t="s">
        <v>721</v>
      </c>
      <c r="E1401" s="4" t="s">
        <v>106</v>
      </c>
      <c r="F1401" s="4" t="s">
        <v>106</v>
      </c>
      <c r="G1401" s="4" t="s">
        <v>2049</v>
      </c>
      <c r="H1401" s="4" t="s">
        <v>950</v>
      </c>
      <c r="I1401" s="4" t="s">
        <v>1935</v>
      </c>
      <c r="Q1401" s="11">
        <v>1</v>
      </c>
      <c r="T1401" s="11">
        <v>2</v>
      </c>
      <c r="Z1401" s="9">
        <v>0</v>
      </c>
      <c r="AF1401" s="11">
        <v>1</v>
      </c>
      <c r="AI1401" s="11">
        <v>1</v>
      </c>
    </row>
    <row r="1402" spans="1:43" x14ac:dyDescent="0.25">
      <c r="A1402" s="161" t="str">
        <f t="shared" si="23"/>
        <v>SPEARMAN_IROQUOIS</v>
      </c>
      <c r="B1402" s="9" t="s">
        <v>106</v>
      </c>
      <c r="C1402" s="4" t="s">
        <v>721</v>
      </c>
      <c r="E1402" s="4" t="s">
        <v>106</v>
      </c>
      <c r="F1402" s="4" t="s">
        <v>106</v>
      </c>
      <c r="G1402" s="4" t="s">
        <v>2048</v>
      </c>
      <c r="H1402" s="4" t="s">
        <v>471</v>
      </c>
      <c r="I1402" s="4" t="s">
        <v>1935</v>
      </c>
      <c r="Q1402" s="9">
        <v>2</v>
      </c>
      <c r="T1402" s="11">
        <v>3</v>
      </c>
      <c r="Z1402" s="9">
        <v>0</v>
      </c>
      <c r="AF1402" s="11">
        <v>0</v>
      </c>
      <c r="AI1402" s="11">
        <v>1</v>
      </c>
    </row>
    <row r="1403" spans="1:43" x14ac:dyDescent="0.25">
      <c r="A1403" s="161" t="str">
        <f t="shared" si="23"/>
        <v>SPEARMAN_IROQUOIS</v>
      </c>
      <c r="B1403" s="9" t="s">
        <v>106</v>
      </c>
      <c r="C1403" s="4" t="s">
        <v>721</v>
      </c>
      <c r="E1403" s="4" t="s">
        <v>106</v>
      </c>
      <c r="F1403" s="4" t="s">
        <v>106</v>
      </c>
      <c r="H1403" s="4" t="s">
        <v>948</v>
      </c>
      <c r="I1403" s="4" t="s">
        <v>1935</v>
      </c>
      <c r="Q1403" s="9">
        <v>2</v>
      </c>
      <c r="T1403" s="11">
        <v>3</v>
      </c>
      <c r="Z1403" s="9">
        <v>0</v>
      </c>
      <c r="AF1403" s="11">
        <v>0</v>
      </c>
      <c r="AI1403" s="11">
        <v>1</v>
      </c>
    </row>
    <row r="1404" spans="1:43" x14ac:dyDescent="0.25">
      <c r="A1404" s="161" t="str">
        <f t="shared" si="23"/>
        <v>SPEARMAN_IROQUOIS</v>
      </c>
      <c r="B1404" s="9" t="s">
        <v>106</v>
      </c>
      <c r="C1404" s="4" t="s">
        <v>721</v>
      </c>
      <c r="E1404" s="4" t="s">
        <v>106</v>
      </c>
      <c r="F1404" s="4" t="s">
        <v>106</v>
      </c>
      <c r="G1404" s="4" t="s">
        <v>2047</v>
      </c>
      <c r="H1404" s="4" t="s">
        <v>949</v>
      </c>
      <c r="I1404" s="4" t="s">
        <v>1935</v>
      </c>
      <c r="Q1404" s="9">
        <v>1</v>
      </c>
      <c r="T1404" s="11">
        <v>2</v>
      </c>
      <c r="Z1404" s="9">
        <v>0</v>
      </c>
      <c r="AF1404" s="11">
        <v>0</v>
      </c>
      <c r="AI1404" s="11">
        <v>1</v>
      </c>
    </row>
    <row r="1405" spans="1:43" x14ac:dyDescent="0.25">
      <c r="A1405" s="161" t="str">
        <f t="shared" si="23"/>
        <v>SPEARMAN_IROQUOIS</v>
      </c>
      <c r="B1405" s="9" t="s">
        <v>106</v>
      </c>
      <c r="C1405" s="4" t="s">
        <v>721</v>
      </c>
      <c r="E1405" s="4" t="s">
        <v>106</v>
      </c>
      <c r="F1405" s="4" t="s">
        <v>106</v>
      </c>
      <c r="G1405" s="4" t="s">
        <v>2049</v>
      </c>
      <c r="H1405" s="4" t="s">
        <v>950</v>
      </c>
      <c r="I1405" s="4" t="s">
        <v>1935</v>
      </c>
      <c r="Q1405" s="9">
        <v>2</v>
      </c>
      <c r="T1405" s="11">
        <v>3</v>
      </c>
      <c r="Z1405" s="9">
        <v>0</v>
      </c>
      <c r="AF1405" s="11">
        <v>0</v>
      </c>
      <c r="AI1405" s="11">
        <v>1</v>
      </c>
    </row>
    <row r="1406" spans="1:43" x14ac:dyDescent="0.25">
      <c r="A1406" s="161" t="str">
        <f t="shared" si="23"/>
        <v>SPEARMAN_IROQUOIS</v>
      </c>
      <c r="B1406" s="9" t="s">
        <v>106</v>
      </c>
      <c r="C1406" s="4" t="s">
        <v>721</v>
      </c>
      <c r="E1406" s="4" t="s">
        <v>106</v>
      </c>
      <c r="F1406" s="4" t="s">
        <v>106</v>
      </c>
      <c r="G1406" s="4" t="s">
        <v>2048</v>
      </c>
      <c r="H1406" s="4" t="s">
        <v>471</v>
      </c>
      <c r="I1406" s="4" t="s">
        <v>1935</v>
      </c>
      <c r="Q1406" s="9">
        <v>1</v>
      </c>
      <c r="T1406" s="11">
        <v>2</v>
      </c>
      <c r="Z1406" s="9">
        <v>0</v>
      </c>
      <c r="AF1406" s="11">
        <v>0</v>
      </c>
      <c r="AI1406" s="11">
        <v>0</v>
      </c>
    </row>
    <row r="1407" spans="1:43" x14ac:dyDescent="0.25">
      <c r="A1407" s="161" t="str">
        <f t="shared" si="23"/>
        <v>SPEARMAN_ASIA</v>
      </c>
      <c r="B1407" s="9" t="s">
        <v>106</v>
      </c>
      <c r="C1407" s="4" t="s">
        <v>693</v>
      </c>
      <c r="E1407" s="4" t="s">
        <v>106</v>
      </c>
      <c r="F1407" s="4" t="s">
        <v>106</v>
      </c>
      <c r="H1407" s="4" t="s">
        <v>455</v>
      </c>
      <c r="I1407" s="4" t="s">
        <v>102</v>
      </c>
      <c r="Q1407" s="9" t="s">
        <v>1737</v>
      </c>
      <c r="T1407" s="9"/>
      <c r="W1407" s="9"/>
      <c r="Z1407" s="9"/>
      <c r="AF1407" s="9"/>
      <c r="AI1407" s="9"/>
    </row>
    <row r="1408" spans="1:43" x14ac:dyDescent="0.25">
      <c r="A1408" s="161" t="str">
        <f t="shared" si="23"/>
        <v>SPEARMAN_CHINA</v>
      </c>
      <c r="B1408" s="9" t="s">
        <v>106</v>
      </c>
      <c r="C1408" s="4" t="s">
        <v>710</v>
      </c>
      <c r="E1408" s="4" t="s">
        <v>106</v>
      </c>
      <c r="F1408" s="4" t="s">
        <v>106</v>
      </c>
      <c r="G1408" s="14" t="s">
        <v>132</v>
      </c>
      <c r="H1408" s="4" t="s">
        <v>258</v>
      </c>
      <c r="I1408" s="4" t="s">
        <v>102</v>
      </c>
      <c r="Q1408" s="9" t="s">
        <v>1737</v>
      </c>
      <c r="T1408" s="9"/>
      <c r="W1408" s="9"/>
      <c r="Z1408" s="9"/>
      <c r="AF1408" s="9"/>
      <c r="AI1408" s="9"/>
    </row>
    <row r="1409" spans="1:43" x14ac:dyDescent="0.25">
      <c r="A1409" s="161" t="str">
        <f t="shared" si="23"/>
        <v>SPEARMAN_JAPAN</v>
      </c>
      <c r="B1409" s="9" t="s">
        <v>106</v>
      </c>
      <c r="C1409" s="4" t="s">
        <v>722</v>
      </c>
      <c r="E1409" s="4" t="s">
        <v>106</v>
      </c>
      <c r="F1409" s="4" t="s">
        <v>106</v>
      </c>
      <c r="G1409" s="14" t="s">
        <v>132</v>
      </c>
      <c r="H1409" s="4" t="s">
        <v>489</v>
      </c>
      <c r="I1409" s="4" t="s">
        <v>102</v>
      </c>
      <c r="Q1409" s="9" t="s">
        <v>1737</v>
      </c>
      <c r="T1409" s="9"/>
      <c r="W1409" s="9"/>
      <c r="Z1409" s="9"/>
      <c r="AF1409" s="9"/>
      <c r="AI1409" s="9"/>
    </row>
    <row r="1410" spans="1:43" x14ac:dyDescent="0.25">
      <c r="A1410" s="161" t="str">
        <f t="shared" si="23"/>
        <v>SPEARMAN_KOREA</v>
      </c>
      <c r="B1410" s="9" t="s">
        <v>106</v>
      </c>
      <c r="C1410" s="4" t="s">
        <v>723</v>
      </c>
      <c r="E1410" s="4" t="s">
        <v>106</v>
      </c>
      <c r="F1410" s="4" t="s">
        <v>106</v>
      </c>
      <c r="G1410" s="14" t="s">
        <v>132</v>
      </c>
      <c r="H1410" s="4" t="s">
        <v>503</v>
      </c>
      <c r="I1410" s="4" t="s">
        <v>102</v>
      </c>
      <c r="Q1410" s="9" t="s">
        <v>1737</v>
      </c>
      <c r="T1410" s="9"/>
      <c r="W1410" s="9"/>
      <c r="Z1410" s="9"/>
      <c r="AF1410" s="9"/>
      <c r="AI1410" s="9"/>
    </row>
    <row r="1411" spans="1:43" x14ac:dyDescent="0.25">
      <c r="A1411" s="161" t="str">
        <f t="shared" si="23"/>
        <v>SPEARMAN_MONGOL</v>
      </c>
      <c r="B1411" s="9" t="s">
        <v>106</v>
      </c>
      <c r="C1411" s="4" t="s">
        <v>728</v>
      </c>
      <c r="E1411" s="4" t="s">
        <v>106</v>
      </c>
      <c r="F1411" s="4" t="s">
        <v>106</v>
      </c>
      <c r="G1411" s="14" t="s">
        <v>132</v>
      </c>
      <c r="H1411" s="4" t="s">
        <v>534</v>
      </c>
      <c r="I1411" s="4" t="s">
        <v>2103</v>
      </c>
      <c r="Q1411" s="9" t="s">
        <v>1737</v>
      </c>
      <c r="T1411" s="9"/>
      <c r="W1411" s="9"/>
      <c r="Z1411" s="9"/>
      <c r="AF1411" s="9"/>
      <c r="AI1411" s="9"/>
    </row>
    <row r="1412" spans="1:43" x14ac:dyDescent="0.25">
      <c r="A1412" s="161" t="str">
        <f t="shared" si="23"/>
        <v>SPEARMAN_CENTAS</v>
      </c>
      <c r="B1412" s="9" t="s">
        <v>106</v>
      </c>
      <c r="C1412" s="4" t="s">
        <v>918</v>
      </c>
      <c r="E1412" s="4" t="s">
        <v>106</v>
      </c>
      <c r="F1412" s="4" t="s">
        <v>106</v>
      </c>
      <c r="G1412" s="14" t="s">
        <v>132</v>
      </c>
      <c r="H1412" s="4" t="s">
        <v>1035</v>
      </c>
      <c r="I1412" s="4" t="s">
        <v>2103</v>
      </c>
      <c r="Q1412" s="9" t="s">
        <v>1737</v>
      </c>
      <c r="T1412" s="9"/>
      <c r="W1412" s="9"/>
      <c r="Z1412" s="9"/>
      <c r="AF1412" s="9"/>
      <c r="AI1412" s="9"/>
    </row>
    <row r="1413" spans="1:43" x14ac:dyDescent="0.25">
      <c r="A1413" s="161" t="str">
        <f t="shared" si="23"/>
        <v>SPEARMAN_EASTEU</v>
      </c>
      <c r="B1413" s="9" t="s">
        <v>106</v>
      </c>
      <c r="C1413" s="4" t="s">
        <v>698</v>
      </c>
      <c r="E1413" s="4" t="s">
        <v>106</v>
      </c>
      <c r="F1413" s="4" t="s">
        <v>106</v>
      </c>
      <c r="H1413" s="4" t="s">
        <v>625</v>
      </c>
      <c r="I1413" s="4" t="s">
        <v>2103</v>
      </c>
      <c r="Q1413" s="9" t="s">
        <v>1737</v>
      </c>
      <c r="T1413" s="9"/>
      <c r="W1413" s="9"/>
      <c r="Z1413" s="9"/>
      <c r="AF1413" s="9"/>
      <c r="AI1413" s="9"/>
    </row>
    <row r="1414" spans="1:43" x14ac:dyDescent="0.25">
      <c r="A1414" s="161" t="str">
        <f t="shared" si="23"/>
        <v>SPEARMAN_AMERICA</v>
      </c>
      <c r="B1414" s="9" t="s">
        <v>106</v>
      </c>
      <c r="C1414" s="4" t="s">
        <v>699</v>
      </c>
      <c r="E1414" s="4" t="s">
        <v>106</v>
      </c>
      <c r="F1414" s="4" t="s">
        <v>106</v>
      </c>
      <c r="G1414" s="14"/>
      <c r="H1414" s="4" t="s">
        <v>150</v>
      </c>
      <c r="I1414" s="4" t="s">
        <v>1941</v>
      </c>
      <c r="Q1414" s="9" t="s">
        <v>1737</v>
      </c>
      <c r="T1414" s="9"/>
      <c r="W1414" s="9"/>
      <c r="Z1414" s="9"/>
      <c r="AF1414" s="9"/>
      <c r="AI1414" s="9"/>
    </row>
    <row r="1415" spans="1:43" x14ac:dyDescent="0.25">
      <c r="A1415" s="161" t="str">
        <f t="shared" si="23"/>
        <v>SPEARMAN_AUSTRIA</v>
      </c>
      <c r="B1415" s="9" t="s">
        <v>106</v>
      </c>
      <c r="C1415" s="4" t="s">
        <v>701</v>
      </c>
      <c r="D1415" s="4" t="s">
        <v>717</v>
      </c>
      <c r="E1415" s="4" t="s">
        <v>106</v>
      </c>
      <c r="F1415" s="4" t="s">
        <v>106</v>
      </c>
      <c r="G1415" s="14"/>
      <c r="Q1415" s="9"/>
      <c r="T1415" s="9"/>
      <c r="W1415" s="9"/>
      <c r="AF1415" s="9"/>
      <c r="AI1415" s="9"/>
    </row>
    <row r="1416" spans="1:43" x14ac:dyDescent="0.25">
      <c r="A1416" s="161" t="str">
        <f t="shared" si="23"/>
        <v>SPEARMAN_CELTS</v>
      </c>
      <c r="B1416" s="9" t="s">
        <v>106</v>
      </c>
      <c r="C1416" s="4" t="s">
        <v>709</v>
      </c>
      <c r="D1416" s="4" t="s">
        <v>713</v>
      </c>
      <c r="E1416" s="4" t="s">
        <v>106</v>
      </c>
      <c r="F1416" s="4" t="s">
        <v>106</v>
      </c>
      <c r="G1416" s="14" t="s">
        <v>132</v>
      </c>
      <c r="Q1416" s="9"/>
      <c r="T1416" s="9"/>
      <c r="W1416" s="9"/>
      <c r="AF1416" s="9"/>
      <c r="AI1416" s="9"/>
    </row>
    <row r="1417" spans="1:43" x14ac:dyDescent="0.25">
      <c r="A1417" s="161" t="str">
        <f t="shared" si="23"/>
        <v>SPEARMAN_ENGLAND</v>
      </c>
      <c r="B1417" s="9" t="s">
        <v>106</v>
      </c>
      <c r="C1417" s="4" t="s">
        <v>713</v>
      </c>
      <c r="E1417" s="4" t="s">
        <v>106</v>
      </c>
      <c r="F1417" s="4" t="s">
        <v>106</v>
      </c>
      <c r="G1417" s="14" t="s">
        <v>132</v>
      </c>
      <c r="H1417" s="4" t="s">
        <v>311</v>
      </c>
      <c r="I1417" s="4" t="s">
        <v>102</v>
      </c>
      <c r="Q1417" s="9" t="s">
        <v>1737</v>
      </c>
      <c r="T1417" s="9"/>
      <c r="W1417" s="9"/>
      <c r="Z1417" s="9"/>
      <c r="AF1417" s="9"/>
      <c r="AI1417" s="9"/>
    </row>
    <row r="1418" spans="1:43" x14ac:dyDescent="0.25">
      <c r="A1418" s="161" t="str">
        <f t="shared" si="23"/>
        <v>SPEARMAN_FRANCE</v>
      </c>
      <c r="B1418" s="9" t="s">
        <v>106</v>
      </c>
      <c r="C1418" s="4" t="s">
        <v>715</v>
      </c>
      <c r="E1418" s="4" t="s">
        <v>106</v>
      </c>
      <c r="F1418" s="4" t="s">
        <v>106</v>
      </c>
      <c r="G1418" s="14" t="s">
        <v>132</v>
      </c>
      <c r="H1418" s="4" t="s">
        <v>356</v>
      </c>
      <c r="I1418" s="4" t="s">
        <v>102</v>
      </c>
      <c r="Q1418" s="9" t="s">
        <v>1737</v>
      </c>
      <c r="T1418" s="9"/>
      <c r="W1418" s="9"/>
      <c r="Z1418" s="9"/>
      <c r="AF1418" s="9"/>
      <c r="AI1418" s="9"/>
    </row>
    <row r="1419" spans="1:43" x14ac:dyDescent="0.25">
      <c r="A1419" s="161" t="str">
        <f t="shared" si="23"/>
        <v>SPEARMAN_GERMANY</v>
      </c>
      <c r="B1419" s="9" t="s">
        <v>106</v>
      </c>
      <c r="C1419" s="4" t="s">
        <v>717</v>
      </c>
      <c r="E1419" s="4" t="s">
        <v>106</v>
      </c>
      <c r="F1419" s="4" t="s">
        <v>106</v>
      </c>
      <c r="G1419" s="14" t="s">
        <v>132</v>
      </c>
      <c r="H1419" s="4" t="s">
        <v>388</v>
      </c>
      <c r="I1419" s="4" t="s">
        <v>102</v>
      </c>
      <c r="Q1419" s="9" t="s">
        <v>1737</v>
      </c>
      <c r="T1419" s="9"/>
      <c r="W1419" s="9"/>
      <c r="Z1419" s="9"/>
      <c r="AF1419" s="9"/>
      <c r="AI1419" s="9"/>
    </row>
    <row r="1420" spans="1:43" x14ac:dyDescent="0.25">
      <c r="A1420" s="161" t="str">
        <f t="shared" si="23"/>
        <v>SPEARMAN_NETHERLANDS</v>
      </c>
      <c r="B1420" s="9" t="s">
        <v>106</v>
      </c>
      <c r="C1420" s="4" t="s">
        <v>730</v>
      </c>
      <c r="E1420" s="4" t="s">
        <v>106</v>
      </c>
      <c r="F1420" s="4" t="s">
        <v>106</v>
      </c>
      <c r="G1420" s="14" t="s">
        <v>132</v>
      </c>
      <c r="H1420" s="4" t="s">
        <v>548</v>
      </c>
      <c r="I1420" s="4" t="s">
        <v>1822</v>
      </c>
      <c r="Q1420" s="9" t="s">
        <v>1737</v>
      </c>
      <c r="T1420" s="9"/>
      <c r="W1420" s="9"/>
      <c r="Z1420" s="9"/>
      <c r="AF1420" s="9"/>
      <c r="AI1420" s="9"/>
    </row>
    <row r="1421" spans="1:43" x14ac:dyDescent="0.25">
      <c r="A1421" s="161" t="str">
        <f t="shared" si="23"/>
        <v>SPEARMAN_MED</v>
      </c>
      <c r="B1421" s="9" t="s">
        <v>106</v>
      </c>
      <c r="C1421" s="4" t="s">
        <v>692</v>
      </c>
      <c r="E1421" s="4" t="s">
        <v>106</v>
      </c>
      <c r="F1421" s="4" t="s">
        <v>106</v>
      </c>
      <c r="H1421" s="4" t="s">
        <v>412</v>
      </c>
      <c r="I1421" s="4" t="s">
        <v>128</v>
      </c>
      <c r="Q1421" s="9" t="s">
        <v>1737</v>
      </c>
      <c r="T1421" s="9"/>
      <c r="W1421" s="9"/>
      <c r="Z1421" s="9"/>
      <c r="AF1421" s="9"/>
      <c r="AI1421" s="9"/>
    </row>
    <row r="1422" spans="1:43" x14ac:dyDescent="0.25">
      <c r="A1422" s="161" t="str">
        <f t="shared" si="23"/>
        <v>SPEARMAN_CARTHAGE</v>
      </c>
      <c r="B1422" s="9" t="s">
        <v>106</v>
      </c>
      <c r="C1422" s="4" t="s">
        <v>708</v>
      </c>
      <c r="E1422" s="4" t="s">
        <v>106</v>
      </c>
      <c r="F1422" s="4" t="s">
        <v>106</v>
      </c>
      <c r="G1422" s="14" t="s">
        <v>132</v>
      </c>
      <c r="H1422" s="4" t="s">
        <v>234</v>
      </c>
      <c r="I1422" s="4" t="s">
        <v>1796</v>
      </c>
      <c r="Q1422" s="9" t="s">
        <v>1737</v>
      </c>
      <c r="T1422" s="9"/>
      <c r="W1422" s="9"/>
      <c r="Z1422" s="9"/>
      <c r="AF1422" s="9"/>
      <c r="AI1422" s="9"/>
    </row>
    <row r="1423" spans="1:43" s="2" customFormat="1" x14ac:dyDescent="0.25">
      <c r="A1423" s="161" t="str">
        <f>CONCATENATE(E1423,IF(ISBLANK(C1423),"",CONCATENATE("_",C1423)))</f>
        <v>SPEARMAN_GREECE</v>
      </c>
      <c r="B1423" s="9" t="s">
        <v>106</v>
      </c>
      <c r="C1423" s="4" t="s">
        <v>718</v>
      </c>
      <c r="D1423" s="4"/>
      <c r="E1423" s="4" t="s">
        <v>106</v>
      </c>
      <c r="F1423" s="4" t="s">
        <v>106</v>
      </c>
      <c r="G1423" s="4"/>
      <c r="H1423" s="4" t="s">
        <v>924</v>
      </c>
      <c r="I1423" s="4" t="s">
        <v>1821</v>
      </c>
      <c r="J1423" s="11"/>
      <c r="K1423" s="11"/>
      <c r="L1423" s="4"/>
      <c r="M1423" s="12"/>
      <c r="N1423" s="4"/>
      <c r="O1423" s="4"/>
      <c r="P1423" s="4"/>
      <c r="Q1423" s="9" t="s">
        <v>1737</v>
      </c>
      <c r="R1423" s="11"/>
      <c r="S1423" s="4"/>
      <c r="T1423" s="11"/>
      <c r="U1423" s="11"/>
      <c r="V1423" s="4"/>
      <c r="W1423" s="11"/>
      <c r="X1423" s="11"/>
      <c r="Y1423" s="4"/>
      <c r="Z1423" s="9"/>
      <c r="AA1423" s="11"/>
      <c r="AB1423" s="4"/>
      <c r="AC1423" s="11"/>
      <c r="AD1423" s="11"/>
      <c r="AE1423" s="4"/>
      <c r="AF1423" s="11"/>
      <c r="AG1423" s="11"/>
      <c r="AH1423" s="4"/>
      <c r="AI1423" s="11"/>
      <c r="AJ1423" s="11"/>
      <c r="AK1423" s="4"/>
      <c r="AL1423" s="4"/>
      <c r="AM1423" s="4"/>
      <c r="AN1423" s="4"/>
      <c r="AO1423" s="4"/>
      <c r="AP1423" s="4"/>
      <c r="AQ1423" s="4"/>
    </row>
    <row r="1424" spans="1:43" x14ac:dyDescent="0.25">
      <c r="A1424" s="161" t="str">
        <f t="shared" si="23"/>
        <v>SPEARMAN_PORTUGAL</v>
      </c>
      <c r="B1424" s="9" t="s">
        <v>106</v>
      </c>
      <c r="C1424" s="4" t="s">
        <v>733</v>
      </c>
      <c r="E1424" s="4" t="s">
        <v>106</v>
      </c>
      <c r="F1424" s="4" t="s">
        <v>106</v>
      </c>
      <c r="G1424" s="14" t="s">
        <v>132</v>
      </c>
      <c r="H1424" s="4" t="s">
        <v>525</v>
      </c>
      <c r="I1424" s="4" t="s">
        <v>1796</v>
      </c>
      <c r="Q1424" s="9" t="s">
        <v>1737</v>
      </c>
      <c r="T1424" s="9"/>
      <c r="W1424" s="9"/>
      <c r="Z1424" s="9"/>
      <c r="AF1424" s="9"/>
      <c r="AI1424" s="9"/>
    </row>
    <row r="1425" spans="1:43" s="2" customFormat="1" x14ac:dyDescent="0.25">
      <c r="A1425" s="161" t="str">
        <f t="shared" si="23"/>
        <v>SPEARMAN_ROME</v>
      </c>
      <c r="B1425" s="9" t="s">
        <v>106</v>
      </c>
      <c r="C1425" s="4" t="s">
        <v>734</v>
      </c>
      <c r="D1425" s="4"/>
      <c r="E1425" s="4" t="s">
        <v>106</v>
      </c>
      <c r="F1425" s="4" t="s">
        <v>106</v>
      </c>
      <c r="G1425" s="4"/>
      <c r="H1425" s="4" t="s">
        <v>998</v>
      </c>
      <c r="I1425" s="4" t="s">
        <v>1796</v>
      </c>
      <c r="J1425" s="11"/>
      <c r="K1425" s="11"/>
      <c r="L1425" s="4"/>
      <c r="M1425" s="12"/>
      <c r="N1425" s="4"/>
      <c r="O1425" s="4"/>
      <c r="P1425" s="4"/>
      <c r="Q1425" s="9">
        <v>2</v>
      </c>
      <c r="R1425" s="11"/>
      <c r="S1425" s="4"/>
      <c r="T1425" s="11">
        <v>3</v>
      </c>
      <c r="U1425" s="11"/>
      <c r="V1425" s="4"/>
      <c r="W1425" s="11"/>
      <c r="X1425" s="11"/>
      <c r="Y1425" s="4"/>
      <c r="Z1425" s="9">
        <v>1</v>
      </c>
      <c r="AA1425" s="11"/>
      <c r="AB1425" s="4"/>
      <c r="AC1425" s="11"/>
      <c r="AD1425" s="11"/>
      <c r="AE1425" s="4"/>
      <c r="AF1425" s="11">
        <v>1</v>
      </c>
      <c r="AG1425" s="11"/>
      <c r="AH1425" s="4"/>
      <c r="AI1425" s="11">
        <v>1</v>
      </c>
      <c r="AJ1425" s="11"/>
      <c r="AK1425" s="4"/>
      <c r="AL1425" s="4"/>
      <c r="AM1425" s="4"/>
      <c r="AN1425" s="4"/>
      <c r="AO1425" s="4"/>
      <c r="AP1425" s="4"/>
      <c r="AQ1425" s="4"/>
    </row>
    <row r="1426" spans="1:43" s="2" customFormat="1" x14ac:dyDescent="0.25">
      <c r="A1426" s="161" t="str">
        <f t="shared" si="23"/>
        <v>SPEARMAN_ROME</v>
      </c>
      <c r="B1426" s="9" t="s">
        <v>106</v>
      </c>
      <c r="C1426" s="4" t="s">
        <v>734</v>
      </c>
      <c r="D1426" s="4"/>
      <c r="E1426" s="4" t="s">
        <v>106</v>
      </c>
      <c r="F1426" s="4" t="s">
        <v>106</v>
      </c>
      <c r="G1426" s="4" t="s">
        <v>2047</v>
      </c>
      <c r="H1426" s="4" t="s">
        <v>999</v>
      </c>
      <c r="I1426" s="4" t="s">
        <v>1796</v>
      </c>
      <c r="J1426" s="11"/>
      <c r="K1426" s="11"/>
      <c r="L1426" s="4"/>
      <c r="M1426" s="12"/>
      <c r="N1426" s="4"/>
      <c r="O1426" s="4"/>
      <c r="P1426" s="4"/>
      <c r="Q1426" s="9">
        <v>2</v>
      </c>
      <c r="R1426" s="11"/>
      <c r="S1426" s="4"/>
      <c r="T1426" s="11">
        <v>4</v>
      </c>
      <c r="U1426" s="11"/>
      <c r="V1426" s="4"/>
      <c r="W1426" s="11"/>
      <c r="X1426" s="11"/>
      <c r="Y1426" s="4"/>
      <c r="Z1426" s="9">
        <v>0</v>
      </c>
      <c r="AA1426" s="11"/>
      <c r="AB1426" s="4"/>
      <c r="AC1426" s="11"/>
      <c r="AD1426" s="11"/>
      <c r="AE1426" s="4"/>
      <c r="AF1426" s="11">
        <v>1</v>
      </c>
      <c r="AG1426" s="11"/>
      <c r="AH1426" s="4"/>
      <c r="AI1426" s="11">
        <v>1</v>
      </c>
      <c r="AJ1426" s="11"/>
      <c r="AK1426" s="4"/>
      <c r="AL1426" s="4"/>
      <c r="AM1426" s="4"/>
      <c r="AN1426" s="4"/>
      <c r="AO1426" s="4"/>
      <c r="AP1426" s="4"/>
      <c r="AQ1426" s="4"/>
    </row>
    <row r="1427" spans="1:43" s="2" customFormat="1" x14ac:dyDescent="0.25">
      <c r="A1427" s="161" t="str">
        <f t="shared" si="23"/>
        <v>SPEARMAN_ROME</v>
      </c>
      <c r="B1427" s="9" t="s">
        <v>106</v>
      </c>
      <c r="C1427" s="4" t="s">
        <v>734</v>
      </c>
      <c r="D1427" s="4"/>
      <c r="E1427" s="4" t="s">
        <v>106</v>
      </c>
      <c r="F1427" s="4" t="s">
        <v>106</v>
      </c>
      <c r="G1427" s="4" t="s">
        <v>2049</v>
      </c>
      <c r="H1427" s="4" t="s">
        <v>580</v>
      </c>
      <c r="I1427" s="4" t="s">
        <v>1796</v>
      </c>
      <c r="J1427" s="11"/>
      <c r="K1427" s="11"/>
      <c r="L1427" s="4"/>
      <c r="M1427" s="12"/>
      <c r="N1427" s="4"/>
      <c r="O1427" s="4"/>
      <c r="P1427" s="4"/>
      <c r="Q1427" s="9">
        <v>2</v>
      </c>
      <c r="R1427" s="11"/>
      <c r="S1427" s="4"/>
      <c r="T1427" s="11">
        <v>2</v>
      </c>
      <c r="U1427" s="11"/>
      <c r="V1427" s="4"/>
      <c r="W1427" s="11"/>
      <c r="X1427" s="11"/>
      <c r="Y1427" s="4"/>
      <c r="Z1427" s="9">
        <v>0</v>
      </c>
      <c r="AA1427" s="11"/>
      <c r="AB1427" s="4"/>
      <c r="AC1427" s="11"/>
      <c r="AD1427" s="11"/>
      <c r="AE1427" s="4"/>
      <c r="AF1427" s="11">
        <v>1</v>
      </c>
      <c r="AG1427" s="11"/>
      <c r="AH1427" s="4"/>
      <c r="AI1427" s="11">
        <v>1</v>
      </c>
      <c r="AJ1427" s="11"/>
      <c r="AK1427" s="4"/>
      <c r="AL1427" s="4"/>
      <c r="AM1427" s="4"/>
      <c r="AN1427" s="4"/>
      <c r="AO1427" s="4"/>
      <c r="AP1427" s="4"/>
      <c r="AQ1427" s="4"/>
    </row>
    <row r="1428" spans="1:43" s="2" customFormat="1" x14ac:dyDescent="0.25">
      <c r="A1428" s="161" t="str">
        <f t="shared" si="23"/>
        <v>SPEARMAN_ROME</v>
      </c>
      <c r="B1428" s="9" t="s">
        <v>106</v>
      </c>
      <c r="C1428" s="4" t="s">
        <v>734</v>
      </c>
      <c r="D1428" s="4"/>
      <c r="E1428" s="4" t="s">
        <v>106</v>
      </c>
      <c r="F1428" s="4" t="s">
        <v>106</v>
      </c>
      <c r="G1428" s="4"/>
      <c r="H1428" s="4" t="s">
        <v>998</v>
      </c>
      <c r="I1428" s="4" t="s">
        <v>1796</v>
      </c>
      <c r="J1428" s="11"/>
      <c r="K1428" s="11"/>
      <c r="L1428" s="4"/>
      <c r="M1428" s="12"/>
      <c r="N1428" s="4"/>
      <c r="O1428" s="4"/>
      <c r="P1428" s="4"/>
      <c r="Q1428" s="9">
        <v>2</v>
      </c>
      <c r="R1428" s="11"/>
      <c r="S1428" s="4"/>
      <c r="T1428" s="11">
        <v>4</v>
      </c>
      <c r="U1428" s="11"/>
      <c r="V1428" s="4"/>
      <c r="W1428" s="11"/>
      <c r="X1428" s="11"/>
      <c r="Y1428" s="4"/>
      <c r="Z1428" s="9">
        <v>0</v>
      </c>
      <c r="AA1428" s="11"/>
      <c r="AB1428" s="4"/>
      <c r="AC1428" s="11"/>
      <c r="AD1428" s="11"/>
      <c r="AE1428" s="4"/>
      <c r="AF1428" s="11">
        <v>0</v>
      </c>
      <c r="AG1428" s="11"/>
      <c r="AH1428" s="4"/>
      <c r="AI1428" s="11">
        <v>2</v>
      </c>
      <c r="AJ1428" s="11"/>
      <c r="AK1428" s="4"/>
      <c r="AL1428" s="4"/>
      <c r="AM1428" s="4"/>
      <c r="AN1428" s="4"/>
      <c r="AO1428" s="4"/>
      <c r="AP1428" s="4"/>
      <c r="AQ1428" s="4"/>
    </row>
    <row r="1429" spans="1:43" s="2" customFormat="1" x14ac:dyDescent="0.25">
      <c r="A1429" s="161" t="str">
        <f t="shared" si="23"/>
        <v>SPEARMAN_ROME</v>
      </c>
      <c r="B1429" s="9" t="s">
        <v>106</v>
      </c>
      <c r="C1429" s="4" t="s">
        <v>734</v>
      </c>
      <c r="D1429" s="4"/>
      <c r="E1429" s="4" t="s">
        <v>106</v>
      </c>
      <c r="F1429" s="4" t="s">
        <v>106</v>
      </c>
      <c r="G1429" s="4" t="s">
        <v>2047</v>
      </c>
      <c r="H1429" s="4" t="s">
        <v>999</v>
      </c>
      <c r="I1429" s="4" t="s">
        <v>1796</v>
      </c>
      <c r="J1429" s="11"/>
      <c r="K1429" s="11"/>
      <c r="L1429" s="4"/>
      <c r="M1429" s="12"/>
      <c r="N1429" s="4"/>
      <c r="O1429" s="4"/>
      <c r="P1429" s="4"/>
      <c r="Q1429" s="9">
        <v>2</v>
      </c>
      <c r="R1429" s="11"/>
      <c r="S1429" s="4"/>
      <c r="T1429" s="11">
        <v>2</v>
      </c>
      <c r="U1429" s="11"/>
      <c r="V1429" s="4"/>
      <c r="W1429" s="11"/>
      <c r="X1429" s="11"/>
      <c r="Y1429" s="4"/>
      <c r="Z1429" s="9">
        <v>0</v>
      </c>
      <c r="AA1429" s="11"/>
      <c r="AB1429" s="4"/>
      <c r="AC1429" s="11"/>
      <c r="AD1429" s="11"/>
      <c r="AE1429" s="4"/>
      <c r="AF1429" s="11">
        <v>0</v>
      </c>
      <c r="AG1429" s="11"/>
      <c r="AH1429" s="4"/>
      <c r="AI1429" s="11">
        <v>1</v>
      </c>
      <c r="AJ1429" s="11"/>
      <c r="AK1429" s="4"/>
      <c r="AL1429" s="4"/>
      <c r="AM1429" s="4"/>
      <c r="AN1429" s="4"/>
      <c r="AO1429" s="4"/>
      <c r="AP1429" s="4"/>
      <c r="AQ1429" s="4"/>
    </row>
    <row r="1430" spans="1:43" s="2" customFormat="1" x14ac:dyDescent="0.25">
      <c r="A1430" s="161" t="str">
        <f t="shared" si="23"/>
        <v>SPEARMAN_ROME</v>
      </c>
      <c r="B1430" s="9" t="s">
        <v>106</v>
      </c>
      <c r="C1430" s="4" t="s">
        <v>734</v>
      </c>
      <c r="D1430" s="4"/>
      <c r="E1430" s="4" t="s">
        <v>106</v>
      </c>
      <c r="F1430" s="4" t="s">
        <v>106</v>
      </c>
      <c r="G1430" s="4" t="s">
        <v>2049</v>
      </c>
      <c r="H1430" s="4" t="s">
        <v>580</v>
      </c>
      <c r="I1430" s="4" t="s">
        <v>1796</v>
      </c>
      <c r="J1430" s="11"/>
      <c r="K1430" s="11"/>
      <c r="L1430" s="4"/>
      <c r="M1430" s="12"/>
      <c r="N1430" s="4"/>
      <c r="O1430" s="4"/>
      <c r="P1430" s="4"/>
      <c r="Q1430" s="9">
        <v>2</v>
      </c>
      <c r="R1430" s="11"/>
      <c r="S1430" s="4"/>
      <c r="T1430" s="11">
        <v>3</v>
      </c>
      <c r="U1430" s="11"/>
      <c r="V1430" s="4"/>
      <c r="W1430" s="11"/>
      <c r="X1430" s="11"/>
      <c r="Y1430" s="4"/>
      <c r="Z1430" s="9">
        <v>0</v>
      </c>
      <c r="AA1430" s="11"/>
      <c r="AB1430" s="4"/>
      <c r="AC1430" s="11"/>
      <c r="AD1430" s="11"/>
      <c r="AE1430" s="4"/>
      <c r="AF1430" s="11">
        <v>0</v>
      </c>
      <c r="AG1430" s="11"/>
      <c r="AH1430" s="4"/>
      <c r="AI1430" s="11">
        <v>1</v>
      </c>
      <c r="AJ1430" s="11"/>
      <c r="AK1430" s="4"/>
      <c r="AL1430" s="4"/>
      <c r="AM1430" s="4"/>
      <c r="AN1430" s="4"/>
      <c r="AO1430" s="4"/>
      <c r="AP1430" s="4"/>
      <c r="AQ1430" s="4"/>
    </row>
    <row r="1431" spans="1:43" x14ac:dyDescent="0.25">
      <c r="A1431" s="161" t="str">
        <f t="shared" si="23"/>
        <v>SPEARMAN_SPAIN</v>
      </c>
      <c r="B1431" s="9" t="s">
        <v>106</v>
      </c>
      <c r="C1431" s="4" t="s">
        <v>738</v>
      </c>
      <c r="E1431" s="4" t="s">
        <v>106</v>
      </c>
      <c r="F1431" s="4" t="s">
        <v>106</v>
      </c>
      <c r="H1431" s="4" t="s">
        <v>1019</v>
      </c>
      <c r="I1431" s="4" t="s">
        <v>2103</v>
      </c>
      <c r="Q1431" s="11">
        <v>0</v>
      </c>
      <c r="T1431" s="11">
        <v>3</v>
      </c>
      <c r="Z1431" s="9">
        <v>1</v>
      </c>
      <c r="AF1431" s="11">
        <v>1</v>
      </c>
      <c r="AI1431" s="11">
        <v>1</v>
      </c>
    </row>
    <row r="1432" spans="1:43" x14ac:dyDescent="0.25">
      <c r="A1432" s="161" t="str">
        <f t="shared" si="23"/>
        <v>SPEARMAN_SPAIN</v>
      </c>
      <c r="B1432" s="9" t="s">
        <v>106</v>
      </c>
      <c r="C1432" s="4" t="s">
        <v>738</v>
      </c>
      <c r="E1432" s="4" t="s">
        <v>106</v>
      </c>
      <c r="F1432" s="4" t="s">
        <v>106</v>
      </c>
      <c r="G1432" s="4" t="s">
        <v>2047</v>
      </c>
      <c r="H1432" s="4" t="s">
        <v>662</v>
      </c>
      <c r="I1432" s="4" t="s">
        <v>2103</v>
      </c>
      <c r="Q1432" s="11">
        <v>2</v>
      </c>
      <c r="T1432" s="11">
        <v>3</v>
      </c>
      <c r="Z1432" s="9">
        <v>0</v>
      </c>
      <c r="AF1432" s="11">
        <v>1</v>
      </c>
      <c r="AI1432" s="11">
        <v>1</v>
      </c>
    </row>
    <row r="1433" spans="1:43" x14ac:dyDescent="0.25">
      <c r="A1433" s="161" t="str">
        <f t="shared" si="23"/>
        <v>SPEARMAN_SPAIN</v>
      </c>
      <c r="B1433" s="9" t="s">
        <v>106</v>
      </c>
      <c r="C1433" s="4" t="s">
        <v>738</v>
      </c>
      <c r="E1433" s="4" t="s">
        <v>106</v>
      </c>
      <c r="F1433" s="4" t="s">
        <v>106</v>
      </c>
      <c r="H1433" s="4" t="s">
        <v>1019</v>
      </c>
      <c r="I1433" s="4" t="s">
        <v>2103</v>
      </c>
      <c r="Q1433" s="11">
        <v>3</v>
      </c>
      <c r="T1433" s="11">
        <v>4</v>
      </c>
      <c r="Z1433" s="9">
        <v>0</v>
      </c>
      <c r="AF1433" s="11">
        <v>1</v>
      </c>
      <c r="AI1433" s="11">
        <v>2</v>
      </c>
    </row>
    <row r="1434" spans="1:43" x14ac:dyDescent="0.25">
      <c r="A1434" s="161" t="str">
        <f t="shared" si="23"/>
        <v>SPEARMAN_SPAIN</v>
      </c>
      <c r="B1434" s="9" t="s">
        <v>106</v>
      </c>
      <c r="C1434" s="4" t="s">
        <v>738</v>
      </c>
      <c r="E1434" s="4" t="s">
        <v>106</v>
      </c>
      <c r="F1434" s="4" t="s">
        <v>106</v>
      </c>
      <c r="G1434" s="4" t="s">
        <v>2047</v>
      </c>
      <c r="H1434" s="4" t="s">
        <v>662</v>
      </c>
      <c r="I1434" s="4" t="s">
        <v>2103</v>
      </c>
      <c r="Q1434" s="9">
        <v>2</v>
      </c>
      <c r="T1434" s="11">
        <v>3</v>
      </c>
      <c r="Z1434" s="9">
        <v>0</v>
      </c>
      <c r="AF1434" s="11">
        <v>0</v>
      </c>
      <c r="AI1434" s="11">
        <v>1</v>
      </c>
    </row>
    <row r="1435" spans="1:43" x14ac:dyDescent="0.25">
      <c r="A1435" s="161" t="str">
        <f t="shared" si="23"/>
        <v>SPEARMAN_SPAIN</v>
      </c>
      <c r="B1435" s="9" t="s">
        <v>106</v>
      </c>
      <c r="C1435" s="4" t="s">
        <v>738</v>
      </c>
      <c r="E1435" s="4" t="s">
        <v>106</v>
      </c>
      <c r="F1435" s="4" t="s">
        <v>106</v>
      </c>
      <c r="H1435" s="4" t="s">
        <v>1019</v>
      </c>
      <c r="I1435" s="4" t="s">
        <v>2103</v>
      </c>
      <c r="Q1435" s="9">
        <v>3</v>
      </c>
      <c r="T1435" s="11">
        <v>4</v>
      </c>
      <c r="Z1435" s="9">
        <v>0</v>
      </c>
      <c r="AF1435" s="11">
        <v>0</v>
      </c>
      <c r="AI1435" s="11">
        <v>1</v>
      </c>
    </row>
    <row r="1436" spans="1:43" x14ac:dyDescent="0.25">
      <c r="A1436" s="161" t="str">
        <f t="shared" si="23"/>
        <v>SPEARMAN_SPAIN</v>
      </c>
      <c r="B1436" s="9" t="s">
        <v>106</v>
      </c>
      <c r="C1436" s="4" t="s">
        <v>738</v>
      </c>
      <c r="E1436" s="4" t="s">
        <v>106</v>
      </c>
      <c r="F1436" s="4" t="s">
        <v>106</v>
      </c>
      <c r="G1436" s="4" t="s">
        <v>2047</v>
      </c>
      <c r="H1436" s="4" t="s">
        <v>662</v>
      </c>
      <c r="I1436" s="4" t="s">
        <v>2103</v>
      </c>
      <c r="Q1436" s="9">
        <v>2</v>
      </c>
      <c r="T1436" s="11">
        <v>3</v>
      </c>
      <c r="Z1436" s="9">
        <v>0</v>
      </c>
      <c r="AF1436" s="11">
        <v>0</v>
      </c>
      <c r="AI1436" s="11">
        <v>1</v>
      </c>
    </row>
    <row r="1437" spans="1:43" x14ac:dyDescent="0.25">
      <c r="A1437" s="161" t="str">
        <f t="shared" si="23"/>
        <v>SPEARMAN_MIDEAST</v>
      </c>
      <c r="B1437" s="9" t="s">
        <v>106</v>
      </c>
      <c r="C1437" s="4" t="s">
        <v>690</v>
      </c>
      <c r="E1437" s="4" t="s">
        <v>106</v>
      </c>
      <c r="F1437" s="4" t="s">
        <v>106</v>
      </c>
      <c r="H1437" s="4" t="s">
        <v>563</v>
      </c>
      <c r="I1437" s="4" t="s">
        <v>102</v>
      </c>
      <c r="Q1437" s="9" t="s">
        <v>1737</v>
      </c>
      <c r="T1437" s="9"/>
      <c r="W1437" s="9"/>
      <c r="Z1437" s="9"/>
      <c r="AF1437" s="9"/>
      <c r="AI1437" s="9"/>
    </row>
    <row r="1438" spans="1:43" x14ac:dyDescent="0.25">
      <c r="A1438" s="161" t="str">
        <f t="shared" si="23"/>
        <v>SPEARMAN_ARABIA</v>
      </c>
      <c r="B1438" s="9" t="s">
        <v>106</v>
      </c>
      <c r="C1438" s="4" t="s">
        <v>700</v>
      </c>
      <c r="D1438" s="14"/>
      <c r="E1438" s="4" t="s">
        <v>106</v>
      </c>
      <c r="F1438" s="4" t="s">
        <v>106</v>
      </c>
      <c r="G1438" s="14"/>
      <c r="H1438" s="4" t="s">
        <v>170</v>
      </c>
      <c r="I1438" s="4" t="s">
        <v>2103</v>
      </c>
      <c r="Q1438" s="9" t="s">
        <v>1737</v>
      </c>
      <c r="T1438" s="9"/>
      <c r="W1438" s="9"/>
      <c r="AF1438" s="9"/>
      <c r="AI1438" s="9"/>
    </row>
    <row r="1439" spans="1:43" x14ac:dyDescent="0.25">
      <c r="A1439" s="161" t="str">
        <f t="shared" si="23"/>
        <v>SPEARMAN_BABYLON</v>
      </c>
      <c r="B1439" s="9" t="s">
        <v>106</v>
      </c>
      <c r="C1439" s="4" t="s">
        <v>703</v>
      </c>
      <c r="E1439" s="4" t="s">
        <v>106</v>
      </c>
      <c r="F1439" s="4" t="s">
        <v>106</v>
      </c>
      <c r="G1439" s="14"/>
      <c r="H1439" s="4" t="s">
        <v>217</v>
      </c>
      <c r="I1439" s="4" t="s">
        <v>102</v>
      </c>
      <c r="Q1439" s="9" t="s">
        <v>1737</v>
      </c>
      <c r="T1439" s="9"/>
      <c r="W1439" s="9"/>
      <c r="Z1439" s="9"/>
      <c r="AF1439" s="9"/>
      <c r="AI1439" s="9"/>
    </row>
    <row r="1440" spans="1:43" x14ac:dyDescent="0.25">
      <c r="A1440" s="161" t="str">
        <f t="shared" si="23"/>
        <v>SPEARMAN_EGYPT</v>
      </c>
      <c r="B1440" s="9" t="s">
        <v>106</v>
      </c>
      <c r="C1440" s="4" t="s">
        <v>712</v>
      </c>
      <c r="E1440" s="4" t="s">
        <v>106</v>
      </c>
      <c r="F1440" s="4" t="s">
        <v>106</v>
      </c>
      <c r="G1440" s="14" t="s">
        <v>132</v>
      </c>
      <c r="H1440" s="4" t="s">
        <v>287</v>
      </c>
      <c r="I1440" s="4" t="s">
        <v>2103</v>
      </c>
      <c r="Q1440" s="9" t="s">
        <v>1737</v>
      </c>
      <c r="T1440" s="9"/>
      <c r="W1440" s="9"/>
      <c r="Z1440" s="9"/>
      <c r="AF1440" s="9"/>
      <c r="AI1440" s="9"/>
    </row>
    <row r="1441" spans="1:43" x14ac:dyDescent="0.25">
      <c r="A1441" s="161" t="str">
        <f t="shared" si="23"/>
        <v>SPEARMAN_GARAMANTES</v>
      </c>
      <c r="B1441" s="9" t="s">
        <v>106</v>
      </c>
      <c r="C1441" s="4" t="s">
        <v>716</v>
      </c>
      <c r="E1441" s="4" t="s">
        <v>106</v>
      </c>
      <c r="F1441" s="4" t="s">
        <v>106</v>
      </c>
      <c r="G1441" s="14" t="s">
        <v>132</v>
      </c>
      <c r="H1441" s="4" t="s">
        <v>363</v>
      </c>
      <c r="I1441" s="4" t="s">
        <v>1025</v>
      </c>
      <c r="Q1441" s="9" t="s">
        <v>1737</v>
      </c>
      <c r="T1441" s="9"/>
      <c r="W1441" s="9"/>
      <c r="Z1441" s="9"/>
      <c r="AF1441" s="9"/>
      <c r="AI1441" s="9"/>
    </row>
    <row r="1442" spans="1:43" x14ac:dyDescent="0.25">
      <c r="A1442" s="161" t="str">
        <f t="shared" si="23"/>
        <v>SPEARMAN_NORTHEU</v>
      </c>
      <c r="B1442" s="9" t="s">
        <v>106</v>
      </c>
      <c r="C1442" s="4" t="s">
        <v>962</v>
      </c>
      <c r="E1442" s="4" t="s">
        <v>106</v>
      </c>
      <c r="F1442" s="4" t="s">
        <v>106</v>
      </c>
      <c r="G1442" s="14" t="s">
        <v>132</v>
      </c>
      <c r="H1442" s="4" t="s">
        <v>272</v>
      </c>
      <c r="I1442" s="4" t="s">
        <v>102</v>
      </c>
      <c r="Q1442" s="9" t="s">
        <v>1737</v>
      </c>
      <c r="T1442" s="9"/>
      <c r="W1442" s="9"/>
      <c r="Z1442" s="9"/>
      <c r="AF1442" s="9"/>
      <c r="AI1442" s="9"/>
    </row>
    <row r="1443" spans="1:43" x14ac:dyDescent="0.25">
      <c r="A1443" s="161" t="str">
        <f t="shared" si="23"/>
        <v>SPEARMAN_OCEAN</v>
      </c>
      <c r="B1443" s="9" t="s">
        <v>106</v>
      </c>
      <c r="C1443" s="4" t="s">
        <v>994</v>
      </c>
      <c r="D1443" s="4" t="s">
        <v>691</v>
      </c>
      <c r="E1443" s="4" t="s">
        <v>106</v>
      </c>
      <c r="F1443" s="4" t="s">
        <v>106</v>
      </c>
      <c r="Q1443" s="9"/>
      <c r="T1443" s="9"/>
      <c r="W1443" s="9"/>
      <c r="AF1443" s="9"/>
      <c r="AI1443" s="9"/>
    </row>
    <row r="1444" spans="1:43" x14ac:dyDescent="0.25">
      <c r="A1444" s="161" t="str">
        <f t="shared" si="23"/>
        <v>SPEARMAN_SEASIA</v>
      </c>
      <c r="B1444" s="9" t="s">
        <v>106</v>
      </c>
      <c r="C1444" s="4" t="s">
        <v>696</v>
      </c>
      <c r="D1444" s="4" t="s">
        <v>693</v>
      </c>
      <c r="E1444" s="4" t="s">
        <v>106</v>
      </c>
      <c r="F1444" s="4" t="s">
        <v>106</v>
      </c>
      <c r="Q1444" s="9"/>
      <c r="T1444" s="9"/>
      <c r="W1444" s="9"/>
      <c r="AF1444" s="9"/>
      <c r="AI1444" s="9"/>
    </row>
    <row r="1445" spans="1:43" x14ac:dyDescent="0.25">
      <c r="A1445" s="161" t="str">
        <f t="shared" si="23"/>
        <v>SPEARMAN_SOUTHAM</v>
      </c>
      <c r="B1445" s="9" t="s">
        <v>106</v>
      </c>
      <c r="C1445" s="4" t="s">
        <v>691</v>
      </c>
      <c r="E1445" s="4" t="s">
        <v>106</v>
      </c>
      <c r="F1445" s="4" t="s">
        <v>106</v>
      </c>
      <c r="H1445" s="4" t="s">
        <v>522</v>
      </c>
      <c r="I1445" s="4" t="s">
        <v>102</v>
      </c>
      <c r="Q1445" s="9" t="s">
        <v>1737</v>
      </c>
      <c r="T1445" s="9"/>
      <c r="W1445" s="9"/>
      <c r="Z1445" s="9"/>
      <c r="AF1445" s="9"/>
      <c r="AI1445" s="9"/>
    </row>
    <row r="1446" spans="1:43" x14ac:dyDescent="0.25">
      <c r="A1446" s="161" t="str">
        <f t="shared" ref="A1446:A1528" si="24">CONCATENATE(E1446,IF(ISBLANK(C1446),"",CONCATENATE("_",C1446)))</f>
        <v>SPEARMAN_AZTEC</v>
      </c>
      <c r="B1446" s="9" t="s">
        <v>106</v>
      </c>
      <c r="C1446" s="4" t="s">
        <v>702</v>
      </c>
      <c r="E1446" s="4" t="s">
        <v>106</v>
      </c>
      <c r="F1446" s="4" t="s">
        <v>106</v>
      </c>
      <c r="G1446" s="14"/>
      <c r="H1446" s="4" t="s">
        <v>202</v>
      </c>
      <c r="I1446" s="4" t="s">
        <v>102</v>
      </c>
      <c r="Q1446" s="9" t="s">
        <v>1737</v>
      </c>
      <c r="T1446" s="9"/>
      <c r="W1446" s="9"/>
      <c r="Z1446" s="9"/>
      <c r="AF1446" s="9"/>
      <c r="AI1446" s="9"/>
    </row>
    <row r="1447" spans="1:43" x14ac:dyDescent="0.25">
      <c r="A1447" s="161" t="str">
        <f t="shared" si="24"/>
        <v>SPEARMAN_INCA</v>
      </c>
      <c r="B1447" s="9" t="s">
        <v>106</v>
      </c>
      <c r="C1447" s="4" t="s">
        <v>719</v>
      </c>
      <c r="E1447" s="4" t="s">
        <v>106</v>
      </c>
      <c r="F1447" s="4" t="s">
        <v>106</v>
      </c>
      <c r="G1447" s="14" t="s">
        <v>132</v>
      </c>
      <c r="H1447" s="4" t="s">
        <v>428</v>
      </c>
      <c r="I1447" s="4" t="s">
        <v>102</v>
      </c>
      <c r="Q1447" s="9" t="s">
        <v>1737</v>
      </c>
      <c r="T1447" s="9"/>
      <c r="W1447" s="9"/>
      <c r="Z1447" s="9"/>
      <c r="AF1447" s="9"/>
      <c r="AI1447" s="9"/>
    </row>
    <row r="1448" spans="1:43" x14ac:dyDescent="0.25">
      <c r="A1448" s="161" t="str">
        <f t="shared" si="24"/>
        <v>SPEARMAN_MAYA</v>
      </c>
      <c r="B1448" s="9" t="s">
        <v>106</v>
      </c>
      <c r="C1448" s="4" t="s">
        <v>725</v>
      </c>
      <c r="E1448" s="4" t="s">
        <v>106</v>
      </c>
      <c r="F1448" s="4" t="s">
        <v>106</v>
      </c>
      <c r="H1448" s="4" t="s">
        <v>974</v>
      </c>
      <c r="I1448" s="4" t="s">
        <v>1025</v>
      </c>
      <c r="Q1448" s="11">
        <v>0</v>
      </c>
      <c r="T1448" s="11">
        <v>3</v>
      </c>
      <c r="Z1448" s="9">
        <v>1</v>
      </c>
      <c r="AF1448" s="11">
        <v>1</v>
      </c>
      <c r="AI1448" s="11">
        <v>1</v>
      </c>
    </row>
    <row r="1449" spans="1:43" x14ac:dyDescent="0.25">
      <c r="A1449" s="161" t="str">
        <f t="shared" si="24"/>
        <v>SPEARMAN_MAYA</v>
      </c>
      <c r="B1449" s="9" t="s">
        <v>106</v>
      </c>
      <c r="C1449" s="4" t="s">
        <v>725</v>
      </c>
      <c r="E1449" s="4" t="s">
        <v>106</v>
      </c>
      <c r="F1449" s="4" t="s">
        <v>106</v>
      </c>
      <c r="G1449" s="4" t="s">
        <v>2047</v>
      </c>
      <c r="H1449" s="4" t="s">
        <v>522</v>
      </c>
      <c r="I1449" s="4" t="s">
        <v>102</v>
      </c>
      <c r="Q1449" s="11">
        <v>3</v>
      </c>
      <c r="T1449" s="11">
        <v>4</v>
      </c>
      <c r="Z1449" s="9">
        <v>0</v>
      </c>
      <c r="AF1449" s="11">
        <v>1</v>
      </c>
      <c r="AI1449" s="11">
        <v>1</v>
      </c>
    </row>
    <row r="1450" spans="1:43" x14ac:dyDescent="0.25">
      <c r="A1450" s="161" t="str">
        <f t="shared" si="24"/>
        <v>SPEARMAN_MAYA</v>
      </c>
      <c r="B1450" s="9" t="s">
        <v>106</v>
      </c>
      <c r="C1450" s="4" t="s">
        <v>725</v>
      </c>
      <c r="E1450" s="4" t="s">
        <v>106</v>
      </c>
      <c r="F1450" s="4" t="s">
        <v>106</v>
      </c>
      <c r="H1450" s="4" t="s">
        <v>974</v>
      </c>
      <c r="I1450" s="4" t="s">
        <v>1025</v>
      </c>
      <c r="Q1450" s="11">
        <v>3</v>
      </c>
      <c r="T1450" s="11">
        <v>4</v>
      </c>
      <c r="Z1450" s="9">
        <v>0</v>
      </c>
      <c r="AF1450" s="11">
        <v>1</v>
      </c>
      <c r="AI1450" s="11">
        <v>2</v>
      </c>
    </row>
    <row r="1451" spans="1:43" x14ac:dyDescent="0.25">
      <c r="A1451" s="161" t="str">
        <f t="shared" si="24"/>
        <v>SPEARMAN_MAYA</v>
      </c>
      <c r="B1451" s="9" t="s">
        <v>106</v>
      </c>
      <c r="C1451" s="4" t="s">
        <v>725</v>
      </c>
      <c r="E1451" s="4" t="s">
        <v>106</v>
      </c>
      <c r="F1451" s="4" t="s">
        <v>106</v>
      </c>
      <c r="G1451" s="4" t="s">
        <v>2047</v>
      </c>
      <c r="H1451" s="4" t="s">
        <v>522</v>
      </c>
      <c r="I1451" s="4" t="s">
        <v>102</v>
      </c>
      <c r="Q1451" s="9">
        <v>1</v>
      </c>
      <c r="T1451" s="11">
        <v>3</v>
      </c>
      <c r="Z1451" s="9">
        <v>0</v>
      </c>
      <c r="AF1451" s="11">
        <v>0</v>
      </c>
      <c r="AI1451" s="11">
        <v>1</v>
      </c>
    </row>
    <row r="1452" spans="1:43" x14ac:dyDescent="0.25">
      <c r="A1452" s="161" t="str">
        <f t="shared" si="24"/>
        <v>SPEARMAN_MAYA</v>
      </c>
      <c r="B1452" s="9" t="s">
        <v>106</v>
      </c>
      <c r="C1452" s="4" t="s">
        <v>725</v>
      </c>
      <c r="E1452" s="4" t="s">
        <v>106</v>
      </c>
      <c r="F1452" s="4" t="s">
        <v>106</v>
      </c>
      <c r="H1452" s="4" t="s">
        <v>974</v>
      </c>
      <c r="I1452" s="4" t="s">
        <v>1025</v>
      </c>
      <c r="Q1452" s="9">
        <v>3</v>
      </c>
      <c r="T1452" s="11">
        <v>3</v>
      </c>
      <c r="Z1452" s="9">
        <v>0</v>
      </c>
      <c r="AF1452" s="11">
        <v>0</v>
      </c>
      <c r="AI1452" s="11">
        <v>1</v>
      </c>
    </row>
    <row r="1453" spans="1:43" x14ac:dyDescent="0.25">
      <c r="A1453" s="161" t="str">
        <f t="shared" si="24"/>
        <v>SPEARMAN_MAYA</v>
      </c>
      <c r="B1453" s="9" t="s">
        <v>106</v>
      </c>
      <c r="C1453" s="4" t="s">
        <v>725</v>
      </c>
      <c r="E1453" s="4" t="s">
        <v>106</v>
      </c>
      <c r="F1453" s="4" t="s">
        <v>106</v>
      </c>
      <c r="G1453" s="4" t="s">
        <v>2047</v>
      </c>
      <c r="H1453" s="4" t="s">
        <v>522</v>
      </c>
      <c r="I1453" s="4" t="s">
        <v>102</v>
      </c>
      <c r="Q1453" s="9">
        <v>2</v>
      </c>
      <c r="T1453" s="11">
        <v>3</v>
      </c>
      <c r="Z1453" s="9">
        <v>0</v>
      </c>
      <c r="AF1453" s="11">
        <v>0</v>
      </c>
      <c r="AI1453" s="11">
        <v>1</v>
      </c>
    </row>
    <row r="1454" spans="1:43" x14ac:dyDescent="0.25">
      <c r="A1454" s="161" t="str">
        <f t="shared" si="24"/>
        <v>SPEARMAN_SOUTHAS</v>
      </c>
      <c r="B1454" s="9" t="s">
        <v>106</v>
      </c>
      <c r="C1454" s="4" t="s">
        <v>695</v>
      </c>
      <c r="D1454" s="4" t="s">
        <v>693</v>
      </c>
      <c r="E1454" s="4" t="s">
        <v>106</v>
      </c>
      <c r="F1454" s="4" t="s">
        <v>106</v>
      </c>
      <c r="Q1454" s="9"/>
      <c r="T1454" s="9"/>
      <c r="W1454" s="9"/>
      <c r="AF1454" s="9"/>
      <c r="AI1454" s="9"/>
    </row>
    <row r="1455" spans="1:43" x14ac:dyDescent="0.25">
      <c r="A1455" s="161" t="str">
        <f t="shared" si="24"/>
        <v>SPEARMAN_INDIA</v>
      </c>
      <c r="B1455" s="9" t="s">
        <v>106</v>
      </c>
      <c r="C1455" s="4" t="s">
        <v>720</v>
      </c>
      <c r="E1455" s="4" t="s">
        <v>106</v>
      </c>
      <c r="F1455" s="4" t="s">
        <v>106</v>
      </c>
      <c r="G1455" s="14" t="s">
        <v>132</v>
      </c>
      <c r="H1455" s="4" t="s">
        <v>443</v>
      </c>
      <c r="I1455" s="4" t="s">
        <v>102</v>
      </c>
      <c r="Q1455" s="9" t="s">
        <v>1737</v>
      </c>
      <c r="T1455" s="9">
        <v>20</v>
      </c>
      <c r="W1455" s="9"/>
      <c r="Z1455" s="9">
        <v>1</v>
      </c>
      <c r="AF1455" s="9" t="s">
        <v>1737</v>
      </c>
      <c r="AI1455" s="9" t="s">
        <v>1737</v>
      </c>
    </row>
    <row r="1456" spans="1:43" x14ac:dyDescent="0.25">
      <c r="A1456" s="161" t="str">
        <f t="shared" si="24"/>
        <v>SS_BOOSTER</v>
      </c>
      <c r="B1456" s="9" t="s">
        <v>1074</v>
      </c>
      <c r="C1456" s="5"/>
      <c r="D1456" s="5"/>
      <c r="E1456" s="5" t="s">
        <v>1074</v>
      </c>
      <c r="F1456" s="5" t="s">
        <v>1074</v>
      </c>
      <c r="G1456" s="5"/>
      <c r="H1456" s="5" t="s">
        <v>1114</v>
      </c>
      <c r="I1456" s="5" t="s">
        <v>128</v>
      </c>
      <c r="J1456" s="6"/>
      <c r="K1456" s="6"/>
      <c r="L1456" s="13" t="s">
        <v>1709</v>
      </c>
      <c r="M1456" s="8"/>
      <c r="N1456" s="5"/>
      <c r="O1456" s="5"/>
      <c r="P1456" s="5"/>
      <c r="Q1456" s="7">
        <v>1</v>
      </c>
      <c r="R1456" s="6">
        <v>0.1</v>
      </c>
      <c r="S1456" s="5"/>
      <c r="T1456" s="6"/>
      <c r="U1456" s="6">
        <v>0.12</v>
      </c>
      <c r="V1456" s="5"/>
      <c r="W1456" s="6"/>
      <c r="X1456" s="6" t="s">
        <v>3</v>
      </c>
      <c r="Y1456" s="5"/>
      <c r="Z1456" s="6"/>
      <c r="AA1456" s="6"/>
      <c r="AB1456" s="5"/>
      <c r="AC1456" s="6"/>
      <c r="AD1456" s="6" t="s">
        <v>3</v>
      </c>
      <c r="AE1456" s="5"/>
      <c r="AF1456" s="6"/>
      <c r="AG1456" s="6"/>
      <c r="AH1456" s="5"/>
      <c r="AI1456" s="6"/>
      <c r="AJ1456" s="6"/>
      <c r="AK1456" s="5"/>
      <c r="AL1456" s="5"/>
      <c r="AM1456" s="5"/>
      <c r="AN1456" s="5"/>
      <c r="AO1456" s="5"/>
      <c r="AP1456" s="5"/>
      <c r="AQ1456" s="5"/>
    </row>
    <row r="1457" spans="1:43" x14ac:dyDescent="0.25">
      <c r="A1457" s="161" t="str">
        <f t="shared" si="24"/>
        <v>SS_CAPSULE</v>
      </c>
      <c r="B1457" s="9" t="s">
        <v>2339</v>
      </c>
      <c r="C1457" s="5"/>
      <c r="D1457" s="5"/>
      <c r="E1457" s="5" t="s">
        <v>1075</v>
      </c>
      <c r="F1457" s="5" t="s">
        <v>1075</v>
      </c>
      <c r="G1457" s="5"/>
      <c r="H1457" s="5" t="s">
        <v>1115</v>
      </c>
      <c r="I1457" s="5" t="s">
        <v>128</v>
      </c>
      <c r="J1457" s="6"/>
      <c r="K1457" s="6"/>
      <c r="L1457" s="13" t="s">
        <v>1709</v>
      </c>
      <c r="M1457" s="8"/>
      <c r="N1457" s="5"/>
      <c r="O1457" s="5"/>
      <c r="P1457" s="5"/>
      <c r="Q1457" s="7">
        <v>1</v>
      </c>
      <c r="R1457" s="6">
        <v>0.1</v>
      </c>
      <c r="S1457" s="5"/>
      <c r="T1457" s="6"/>
      <c r="U1457" s="6">
        <v>0.12</v>
      </c>
      <c r="V1457" s="5"/>
      <c r="W1457" s="6"/>
      <c r="X1457" s="6" t="s">
        <v>3</v>
      </c>
      <c r="Y1457" s="5"/>
      <c r="Z1457" s="6"/>
      <c r="AA1457" s="6"/>
      <c r="AB1457" s="5"/>
      <c r="AC1457" s="6"/>
      <c r="AD1457" s="6" t="s">
        <v>3</v>
      </c>
      <c r="AE1457" s="5"/>
      <c r="AF1457" s="6"/>
      <c r="AG1457" s="6"/>
      <c r="AH1457" s="5"/>
      <c r="AI1457" s="6"/>
      <c r="AJ1457" s="6"/>
      <c r="AK1457" s="5"/>
      <c r="AL1457" s="5"/>
      <c r="AM1457" s="5"/>
      <c r="AN1457" s="5"/>
      <c r="AO1457" s="5"/>
      <c r="AP1457" s="5"/>
      <c r="AQ1457" s="5"/>
    </row>
    <row r="1458" spans="1:43" x14ac:dyDescent="0.25">
      <c r="A1458" s="161" t="str">
        <f t="shared" si="24"/>
        <v>SS_ENGINE</v>
      </c>
      <c r="B1458" s="9" t="s">
        <v>1076</v>
      </c>
      <c r="C1458" s="5"/>
      <c r="D1458" s="5"/>
      <c r="E1458" s="5" t="s">
        <v>1076</v>
      </c>
      <c r="F1458" s="5" t="s">
        <v>1076</v>
      </c>
      <c r="G1458" s="5"/>
      <c r="H1458" s="5" t="s">
        <v>1116</v>
      </c>
      <c r="I1458" s="5" t="s">
        <v>128</v>
      </c>
      <c r="J1458" s="6"/>
      <c r="K1458" s="6"/>
      <c r="L1458" s="13" t="s">
        <v>1709</v>
      </c>
      <c r="M1458" s="8"/>
      <c r="N1458" s="5"/>
      <c r="O1458" s="5"/>
      <c r="P1458" s="5"/>
      <c r="Q1458" s="7">
        <v>1</v>
      </c>
      <c r="R1458" s="6">
        <v>0.1</v>
      </c>
      <c r="S1458" s="5"/>
      <c r="T1458" s="6"/>
      <c r="U1458" s="6">
        <v>0.12</v>
      </c>
      <c r="V1458" s="5"/>
      <c r="W1458" s="6"/>
      <c r="X1458" s="6" t="s">
        <v>3</v>
      </c>
      <c r="Y1458" s="5"/>
      <c r="Z1458" s="6"/>
      <c r="AA1458" s="6"/>
      <c r="AB1458" s="5"/>
      <c r="AC1458" s="6"/>
      <c r="AD1458" s="6" t="s">
        <v>3</v>
      </c>
      <c r="AE1458" s="5"/>
      <c r="AF1458" s="6"/>
      <c r="AG1458" s="6"/>
      <c r="AH1458" s="5"/>
      <c r="AI1458" s="6"/>
      <c r="AJ1458" s="6"/>
      <c r="AK1458" s="5"/>
      <c r="AL1458" s="5"/>
      <c r="AM1458" s="5"/>
      <c r="AN1458" s="5"/>
      <c r="AO1458" s="5"/>
      <c r="AP1458" s="5"/>
      <c r="AQ1458" s="5"/>
    </row>
    <row r="1459" spans="1:43" x14ac:dyDescent="0.25">
      <c r="A1459" s="161" t="str">
        <f t="shared" si="24"/>
        <v>SS_STASIS_CHAMBER</v>
      </c>
      <c r="B1459" s="9" t="s">
        <v>1077</v>
      </c>
      <c r="C1459" s="5"/>
      <c r="D1459" s="5"/>
      <c r="E1459" s="5" t="s">
        <v>1077</v>
      </c>
      <c r="F1459" s="5" t="s">
        <v>1077</v>
      </c>
      <c r="G1459" s="5"/>
      <c r="H1459" s="5" t="s">
        <v>1117</v>
      </c>
      <c r="I1459" s="5" t="s">
        <v>128</v>
      </c>
      <c r="J1459" s="6"/>
      <c r="K1459" s="6"/>
      <c r="L1459" s="13" t="s">
        <v>1714</v>
      </c>
      <c r="M1459" s="8"/>
      <c r="N1459" s="5"/>
      <c r="O1459" s="5"/>
      <c r="P1459" s="5"/>
      <c r="Q1459" s="7">
        <v>1</v>
      </c>
      <c r="R1459" s="6">
        <v>0.1</v>
      </c>
      <c r="S1459" s="5"/>
      <c r="T1459" s="6"/>
      <c r="U1459" s="7">
        <v>0.12</v>
      </c>
      <c r="V1459" s="5"/>
      <c r="W1459" s="6"/>
      <c r="X1459" s="6" t="s">
        <v>3</v>
      </c>
      <c r="Y1459" s="5"/>
      <c r="Z1459" s="6"/>
      <c r="AA1459" s="6"/>
      <c r="AB1459" s="5"/>
      <c r="AC1459" s="6"/>
      <c r="AD1459" s="6" t="s">
        <v>3</v>
      </c>
      <c r="AE1459" s="5"/>
      <c r="AF1459" s="6"/>
      <c r="AG1459" s="6"/>
      <c r="AH1459" s="5"/>
      <c r="AI1459" s="6"/>
      <c r="AJ1459" s="6"/>
      <c r="AK1459" s="5"/>
      <c r="AL1459" s="5"/>
      <c r="AM1459" s="5"/>
      <c r="AN1459" s="5"/>
      <c r="AO1459" s="5"/>
      <c r="AP1459" s="5"/>
      <c r="AQ1459" s="5"/>
    </row>
    <row r="1460" spans="1:43" x14ac:dyDescent="0.25">
      <c r="A1460" s="161" t="str">
        <f t="shared" si="24"/>
        <v>STEALTH_BOMBER</v>
      </c>
      <c r="B1460" s="9" t="s">
        <v>774</v>
      </c>
      <c r="C1460" s="5"/>
      <c r="D1460" s="5"/>
      <c r="E1460" s="5" t="s">
        <v>774</v>
      </c>
      <c r="F1460" s="5" t="s">
        <v>802</v>
      </c>
      <c r="G1460" s="5"/>
      <c r="H1460" s="5" t="s">
        <v>1529</v>
      </c>
      <c r="I1460" s="5" t="s">
        <v>128</v>
      </c>
      <c r="J1460" s="6"/>
      <c r="K1460" s="7"/>
      <c r="L1460" s="13" t="s">
        <v>1711</v>
      </c>
      <c r="M1460" s="8">
        <v>2.35</v>
      </c>
      <c r="N1460" s="13" t="s">
        <v>1725</v>
      </c>
      <c r="O1460" s="13"/>
      <c r="P1460" s="13"/>
      <c r="Q1460" s="7">
        <v>1</v>
      </c>
      <c r="R1460" s="6">
        <v>0.08</v>
      </c>
      <c r="S1460" s="13" t="s">
        <v>1615</v>
      </c>
      <c r="T1460" s="6"/>
      <c r="U1460" s="6">
        <v>0.1</v>
      </c>
      <c r="V1460" s="5"/>
      <c r="W1460" s="6"/>
      <c r="X1460" s="6" t="s">
        <v>3</v>
      </c>
      <c r="Y1460" s="5"/>
      <c r="Z1460" s="6"/>
      <c r="AA1460" s="6"/>
      <c r="AB1460" s="5"/>
      <c r="AC1460" s="6"/>
      <c r="AD1460" s="6" t="s">
        <v>3</v>
      </c>
      <c r="AE1460" s="5"/>
      <c r="AF1460" s="6"/>
      <c r="AG1460" s="6"/>
      <c r="AH1460" s="5"/>
      <c r="AI1460" s="6"/>
      <c r="AJ1460" s="6"/>
      <c r="AK1460" s="5"/>
      <c r="AL1460" s="5"/>
      <c r="AM1460" s="5"/>
      <c r="AN1460" s="5"/>
      <c r="AO1460" s="5"/>
      <c r="AP1460" s="5"/>
      <c r="AQ1460" s="5"/>
    </row>
    <row r="1461" spans="1:43" x14ac:dyDescent="0.25">
      <c r="A1461" s="161" t="str">
        <f t="shared" si="24"/>
        <v>STEALTH_BOMBER_AUSTRIA</v>
      </c>
      <c r="B1461" s="9" t="s">
        <v>774</v>
      </c>
      <c r="C1461" s="4" t="s">
        <v>701</v>
      </c>
      <c r="D1461" s="4" t="s">
        <v>717</v>
      </c>
      <c r="E1461" s="4" t="s">
        <v>774</v>
      </c>
      <c r="F1461" s="4" t="s">
        <v>802</v>
      </c>
      <c r="G1461" s="14" t="s">
        <v>132</v>
      </c>
      <c r="Q1461" s="9"/>
      <c r="T1461" s="9"/>
      <c r="W1461" s="9"/>
      <c r="AF1461" s="9"/>
      <c r="AI1461" s="9"/>
    </row>
    <row r="1462" spans="1:43" x14ac:dyDescent="0.25">
      <c r="A1462" s="161" t="str">
        <f t="shared" si="24"/>
        <v>STEALTH_BOMBER_GERMANY</v>
      </c>
      <c r="B1462" s="9" t="s">
        <v>774</v>
      </c>
      <c r="C1462" s="4" t="s">
        <v>717</v>
      </c>
      <c r="E1462" s="4" t="s">
        <v>774</v>
      </c>
      <c r="F1462" s="4" t="s">
        <v>802</v>
      </c>
      <c r="G1462" s="14" t="s">
        <v>132</v>
      </c>
      <c r="H1462" s="4" t="s">
        <v>389</v>
      </c>
      <c r="I1462" s="4" t="s">
        <v>1062</v>
      </c>
    </row>
    <row r="1463" spans="1:43" x14ac:dyDescent="0.25">
      <c r="A1463" s="161" t="str">
        <f t="shared" si="24"/>
        <v>SUBMARINE</v>
      </c>
      <c r="B1463" s="9" t="s">
        <v>105</v>
      </c>
      <c r="C1463" s="5"/>
      <c r="D1463" s="5"/>
      <c r="E1463" s="5" t="s">
        <v>105</v>
      </c>
      <c r="F1463" s="5" t="s">
        <v>105</v>
      </c>
      <c r="G1463" s="5"/>
      <c r="H1463" s="5" t="s">
        <v>1721</v>
      </c>
      <c r="I1463" s="5" t="s">
        <v>102</v>
      </c>
      <c r="J1463" s="6"/>
      <c r="K1463" s="7"/>
      <c r="L1463" s="13" t="s">
        <v>1716</v>
      </c>
      <c r="M1463" s="8"/>
      <c r="N1463" s="13" t="s">
        <v>1727</v>
      </c>
      <c r="O1463" s="13"/>
      <c r="P1463" s="13"/>
      <c r="Q1463" s="7">
        <v>1</v>
      </c>
      <c r="R1463" s="6">
        <v>0.16</v>
      </c>
      <c r="S1463" s="5"/>
      <c r="T1463" s="7">
        <v>3</v>
      </c>
      <c r="U1463" s="6">
        <v>0.12</v>
      </c>
      <c r="V1463" s="5" t="s">
        <v>1703</v>
      </c>
      <c r="W1463" s="6"/>
      <c r="X1463" s="6"/>
      <c r="Y1463" s="5"/>
      <c r="Z1463" s="6"/>
      <c r="AA1463" s="6"/>
      <c r="AB1463" s="5"/>
      <c r="AC1463" s="6"/>
      <c r="AD1463" s="6"/>
      <c r="AE1463" s="5"/>
      <c r="AF1463" s="6"/>
      <c r="AG1463" s="6"/>
      <c r="AH1463" s="5"/>
      <c r="AI1463" s="6"/>
      <c r="AJ1463" s="6"/>
      <c r="AK1463" s="5"/>
      <c r="AL1463" s="5"/>
      <c r="AM1463" s="5"/>
      <c r="AN1463" s="5"/>
      <c r="AO1463" s="5"/>
      <c r="AP1463" s="5"/>
      <c r="AQ1463" s="5"/>
    </row>
    <row r="1464" spans="1:43" x14ac:dyDescent="0.25">
      <c r="A1464" s="161" t="str">
        <f t="shared" si="24"/>
        <v>SUBMARINE_AMER</v>
      </c>
      <c r="B1464" s="9" t="s">
        <v>105</v>
      </c>
      <c r="C1464" s="5" t="s">
        <v>697</v>
      </c>
      <c r="D1464" s="5" t="s">
        <v>699</v>
      </c>
      <c r="E1464" s="5" t="s">
        <v>105</v>
      </c>
      <c r="F1464" s="5" t="s">
        <v>105</v>
      </c>
      <c r="G1464" s="5"/>
      <c r="H1464" s="5"/>
      <c r="I1464" s="5"/>
      <c r="J1464" s="6"/>
      <c r="K1464" s="7"/>
      <c r="L1464" s="13"/>
      <c r="M1464" s="8"/>
      <c r="N1464" s="13"/>
      <c r="O1464" s="13"/>
      <c r="P1464" s="13"/>
      <c r="Q1464" s="7"/>
      <c r="R1464" s="6"/>
      <c r="S1464" s="5"/>
      <c r="T1464" s="7"/>
      <c r="U1464" s="6"/>
      <c r="V1464" s="5"/>
      <c r="W1464" s="6"/>
      <c r="X1464" s="6"/>
      <c r="Y1464" s="5"/>
      <c r="Z1464" s="6"/>
      <c r="AA1464" s="6"/>
      <c r="AB1464" s="5"/>
      <c r="AC1464" s="6"/>
      <c r="AD1464" s="6"/>
      <c r="AE1464" s="5"/>
      <c r="AF1464" s="6"/>
      <c r="AG1464" s="6"/>
      <c r="AH1464" s="5"/>
      <c r="AI1464" s="6"/>
      <c r="AJ1464" s="6"/>
      <c r="AK1464" s="5"/>
      <c r="AL1464" s="5"/>
      <c r="AM1464" s="5"/>
      <c r="AN1464" s="5"/>
      <c r="AO1464" s="5"/>
      <c r="AP1464" s="5"/>
      <c r="AQ1464" s="5"/>
    </row>
    <row r="1465" spans="1:43" x14ac:dyDescent="0.25">
      <c r="A1465" s="161" t="str">
        <f t="shared" si="24"/>
        <v>SUBMARINE_ASIA</v>
      </c>
      <c r="B1465" s="9" t="s">
        <v>105</v>
      </c>
      <c r="C1465" s="5" t="s">
        <v>693</v>
      </c>
      <c r="D1465" s="5"/>
      <c r="E1465" s="5" t="s">
        <v>105</v>
      </c>
      <c r="F1465" s="5" t="s">
        <v>105</v>
      </c>
      <c r="G1465" s="5"/>
      <c r="H1465" s="4" t="s">
        <v>490</v>
      </c>
      <c r="I1465" s="5" t="s">
        <v>102</v>
      </c>
      <c r="K1465" s="7"/>
      <c r="L1465" s="13"/>
      <c r="M1465" s="8"/>
      <c r="N1465" s="13"/>
      <c r="O1465" s="13"/>
      <c r="P1465" s="13"/>
      <c r="Q1465" s="7"/>
      <c r="R1465" s="6"/>
      <c r="S1465" s="5"/>
      <c r="T1465" s="7"/>
      <c r="U1465" s="6"/>
      <c r="V1465" s="5"/>
      <c r="W1465" s="6"/>
      <c r="X1465" s="6"/>
      <c r="Y1465" s="5"/>
      <c r="Z1465" s="6"/>
      <c r="AA1465" s="6"/>
      <c r="AB1465" s="5"/>
      <c r="AC1465" s="6"/>
      <c r="AD1465" s="6"/>
      <c r="AE1465" s="5"/>
      <c r="AF1465" s="6"/>
      <c r="AG1465" s="6"/>
      <c r="AH1465" s="5"/>
      <c r="AI1465" s="6"/>
      <c r="AJ1465" s="6"/>
      <c r="AK1465" s="5"/>
      <c r="AL1465" s="5"/>
      <c r="AM1465" s="5"/>
      <c r="AN1465" s="5"/>
      <c r="AO1465" s="5"/>
      <c r="AP1465" s="5"/>
      <c r="AQ1465" s="5"/>
    </row>
    <row r="1466" spans="1:43" x14ac:dyDescent="0.25">
      <c r="A1466" s="161" t="str">
        <f t="shared" si="24"/>
        <v>SUBMARINE_JAPAN</v>
      </c>
      <c r="B1466" s="9" t="s">
        <v>105</v>
      </c>
      <c r="C1466" s="4" t="s">
        <v>722</v>
      </c>
      <c r="D1466" s="4" t="s">
        <v>693</v>
      </c>
      <c r="E1466" s="4" t="s">
        <v>105</v>
      </c>
      <c r="F1466" s="4" t="s">
        <v>105</v>
      </c>
      <c r="G1466" s="14" t="s">
        <v>132</v>
      </c>
    </row>
    <row r="1467" spans="1:43" x14ac:dyDescent="0.25">
      <c r="A1467" s="161" t="str">
        <f t="shared" si="24"/>
        <v>SUBMARINE_HUNS</v>
      </c>
      <c r="B1467" s="9" t="s">
        <v>105</v>
      </c>
      <c r="C1467" s="4" t="s">
        <v>904</v>
      </c>
      <c r="D1467" s="4" t="s">
        <v>701</v>
      </c>
      <c r="E1467" s="4" t="s">
        <v>105</v>
      </c>
      <c r="F1467" s="4" t="s">
        <v>105</v>
      </c>
    </row>
    <row r="1468" spans="1:43" x14ac:dyDescent="0.25">
      <c r="A1468" s="161" t="str">
        <f t="shared" si="24"/>
        <v>SUBMARINE_EASTEU</v>
      </c>
      <c r="B1468" s="9" t="s">
        <v>105</v>
      </c>
      <c r="C1468" s="4" t="s">
        <v>698</v>
      </c>
      <c r="E1468" s="4" t="s">
        <v>105</v>
      </c>
      <c r="F1468" s="4" t="s">
        <v>105</v>
      </c>
      <c r="H1468" s="4" t="s">
        <v>626</v>
      </c>
      <c r="I1468" s="4" t="s">
        <v>102</v>
      </c>
    </row>
    <row r="1469" spans="1:43" x14ac:dyDescent="0.25">
      <c r="A1469" s="161" t="str">
        <f t="shared" si="24"/>
        <v>SUBMARINE_POLAND</v>
      </c>
      <c r="B1469" s="9" t="s">
        <v>105</v>
      </c>
      <c r="C1469" s="4" t="s">
        <v>732</v>
      </c>
      <c r="E1469" s="4" t="s">
        <v>105</v>
      </c>
      <c r="F1469" s="4" t="s">
        <v>105</v>
      </c>
      <c r="G1469" s="14" t="s">
        <v>132</v>
      </c>
      <c r="H1469" s="4" t="s">
        <v>574</v>
      </c>
      <c r="I1469" s="4" t="s">
        <v>102</v>
      </c>
    </row>
    <row r="1470" spans="1:43" x14ac:dyDescent="0.25">
      <c r="A1470" s="161" t="str">
        <f t="shared" si="24"/>
        <v>SUBMARINE_RUSSIA</v>
      </c>
      <c r="B1470" s="9" t="s">
        <v>105</v>
      </c>
      <c r="C1470" s="4" t="s">
        <v>735</v>
      </c>
      <c r="D1470" s="4" t="s">
        <v>698</v>
      </c>
      <c r="E1470" s="4" t="s">
        <v>105</v>
      </c>
      <c r="F1470" s="4" t="s">
        <v>105</v>
      </c>
      <c r="G1470" s="14" t="s">
        <v>132</v>
      </c>
    </row>
    <row r="1471" spans="1:43" x14ac:dyDescent="0.25">
      <c r="A1471" s="161" t="str">
        <f t="shared" si="24"/>
        <v>SUBMARINE_AMERICA</v>
      </c>
      <c r="B1471" s="9" t="s">
        <v>105</v>
      </c>
      <c r="C1471" s="4" t="s">
        <v>699</v>
      </c>
      <c r="E1471" s="4" t="s">
        <v>105</v>
      </c>
      <c r="F1471" s="4" t="s">
        <v>105</v>
      </c>
      <c r="G1471" s="14"/>
      <c r="H1471" s="4" t="s">
        <v>151</v>
      </c>
      <c r="I1471" s="4" t="s">
        <v>102</v>
      </c>
    </row>
    <row r="1472" spans="1:43" x14ac:dyDescent="0.25">
      <c r="A1472" s="161" t="str">
        <f t="shared" si="24"/>
        <v>SUBMARINE_AUSTRALIA</v>
      </c>
      <c r="B1472" s="9" t="s">
        <v>105</v>
      </c>
      <c r="C1472" s="4" t="s">
        <v>1302</v>
      </c>
      <c r="D1472" s="4" t="s">
        <v>713</v>
      </c>
      <c r="E1472" s="4" t="s">
        <v>105</v>
      </c>
      <c r="F1472" s="4" t="s">
        <v>105</v>
      </c>
      <c r="G1472" s="14"/>
    </row>
    <row r="1473" spans="1:43" x14ac:dyDescent="0.25">
      <c r="A1473" s="161" t="str">
        <f t="shared" si="24"/>
        <v>SUBMARINE_AUSTRIA</v>
      </c>
      <c r="B1473" s="9" t="s">
        <v>105</v>
      </c>
      <c r="C1473" s="4" t="s">
        <v>701</v>
      </c>
      <c r="E1473" s="4" t="s">
        <v>105</v>
      </c>
      <c r="F1473" s="4" t="s">
        <v>105</v>
      </c>
      <c r="G1473" s="14"/>
      <c r="H1473" s="4" t="s">
        <v>186</v>
      </c>
      <c r="I1473" s="4" t="s">
        <v>102</v>
      </c>
    </row>
    <row r="1474" spans="1:43" x14ac:dyDescent="0.25">
      <c r="A1474" s="161" t="str">
        <f t="shared" si="24"/>
        <v>SUBMARINE_CANADA</v>
      </c>
      <c r="B1474" s="9" t="s">
        <v>105</v>
      </c>
      <c r="C1474" s="4" t="s">
        <v>2223</v>
      </c>
      <c r="D1474" s="4" t="s">
        <v>713</v>
      </c>
      <c r="E1474" s="4" t="s">
        <v>105</v>
      </c>
      <c r="F1474" s="4" t="s">
        <v>105</v>
      </c>
      <c r="G1474" s="14"/>
    </row>
    <row r="1475" spans="1:43" x14ac:dyDescent="0.25">
      <c r="A1475" s="161" t="str">
        <f t="shared" si="24"/>
        <v>SUBMARINE_CELTS</v>
      </c>
      <c r="B1475" s="9" t="s">
        <v>105</v>
      </c>
      <c r="C1475" s="4" t="s">
        <v>709</v>
      </c>
      <c r="D1475" s="4" t="s">
        <v>713</v>
      </c>
      <c r="E1475" s="4" t="s">
        <v>105</v>
      </c>
      <c r="F1475" s="4" t="s">
        <v>105</v>
      </c>
      <c r="G1475" s="14"/>
    </row>
    <row r="1476" spans="1:43" x14ac:dyDescent="0.25">
      <c r="A1476" s="161" t="str">
        <f t="shared" si="24"/>
        <v>SUBMARINE_ENGLAND</v>
      </c>
      <c r="B1476" s="9" t="s">
        <v>105</v>
      </c>
      <c r="C1476" s="4" t="s">
        <v>713</v>
      </c>
      <c r="E1476" s="4" t="s">
        <v>105</v>
      </c>
      <c r="F1476" s="4" t="s">
        <v>105</v>
      </c>
      <c r="G1476" s="14" t="s">
        <v>132</v>
      </c>
      <c r="H1476" s="4" t="s">
        <v>312</v>
      </c>
      <c r="I1476" s="4" t="s">
        <v>102</v>
      </c>
    </row>
    <row r="1477" spans="1:43" x14ac:dyDescent="0.25">
      <c r="A1477" s="161" t="str">
        <f t="shared" si="24"/>
        <v>SUBMARINE_FRANCE</v>
      </c>
      <c r="B1477" s="9" t="s">
        <v>105</v>
      </c>
      <c r="C1477" s="4" t="s">
        <v>715</v>
      </c>
      <c r="E1477" s="4" t="s">
        <v>105</v>
      </c>
      <c r="F1477" s="4" t="s">
        <v>105</v>
      </c>
      <c r="G1477" s="14" t="s">
        <v>132</v>
      </c>
      <c r="H1477" s="4" t="s">
        <v>357</v>
      </c>
      <c r="I1477" s="4" t="s">
        <v>102</v>
      </c>
    </row>
    <row r="1478" spans="1:43" x14ac:dyDescent="0.25">
      <c r="A1478" s="161" t="str">
        <f t="shared" si="24"/>
        <v>SUBMARINE_GERMANY</v>
      </c>
      <c r="B1478" s="9" t="s">
        <v>105</v>
      </c>
      <c r="C1478" s="4" t="s">
        <v>717</v>
      </c>
      <c r="E1478" s="4" t="s">
        <v>105</v>
      </c>
      <c r="F1478" s="4" t="s">
        <v>105</v>
      </c>
      <c r="G1478" s="14" t="s">
        <v>132</v>
      </c>
      <c r="H1478" s="4" t="s">
        <v>390</v>
      </c>
      <c r="I1478" s="4" t="s">
        <v>102</v>
      </c>
    </row>
    <row r="1479" spans="1:43" x14ac:dyDescent="0.25">
      <c r="A1479" s="161" t="str">
        <f t="shared" si="24"/>
        <v>SUBMARINE_NETHERLANDS</v>
      </c>
      <c r="B1479" s="9" t="s">
        <v>105</v>
      </c>
      <c r="C1479" s="4" t="s">
        <v>730</v>
      </c>
      <c r="E1479" s="4" t="s">
        <v>105</v>
      </c>
      <c r="F1479" s="4" t="s">
        <v>105</v>
      </c>
      <c r="G1479" s="14" t="s">
        <v>132</v>
      </c>
      <c r="H1479" s="4" t="s">
        <v>549</v>
      </c>
      <c r="I1479" s="4" t="s">
        <v>102</v>
      </c>
    </row>
    <row r="1480" spans="1:43" x14ac:dyDescent="0.25">
      <c r="A1480" s="161" t="str">
        <f t="shared" si="24"/>
        <v>SUBMARINE_GREECE</v>
      </c>
      <c r="B1480" s="9" t="s">
        <v>105</v>
      </c>
      <c r="C1480" s="4" t="s">
        <v>718</v>
      </c>
      <c r="E1480" s="4" t="s">
        <v>105</v>
      </c>
      <c r="F1480" s="4" t="s">
        <v>105</v>
      </c>
      <c r="G1480" s="14" t="s">
        <v>132</v>
      </c>
      <c r="H1480" s="4" t="s">
        <v>413</v>
      </c>
      <c r="I1480" s="4" t="s">
        <v>102</v>
      </c>
    </row>
    <row r="1481" spans="1:43" x14ac:dyDescent="0.25">
      <c r="A1481" s="161" t="str">
        <f t="shared" si="24"/>
        <v>SUBMARINE_ROME</v>
      </c>
      <c r="B1481" s="9" t="s">
        <v>105</v>
      </c>
      <c r="C1481" s="4" t="s">
        <v>734</v>
      </c>
      <c r="E1481" s="4" t="s">
        <v>105</v>
      </c>
      <c r="F1481" s="4" t="s">
        <v>105</v>
      </c>
      <c r="G1481" s="14" t="s">
        <v>132</v>
      </c>
      <c r="H1481" s="4" t="s">
        <v>599</v>
      </c>
      <c r="I1481" s="4" t="s">
        <v>102</v>
      </c>
    </row>
    <row r="1482" spans="1:43" x14ac:dyDescent="0.25">
      <c r="A1482" s="161" t="str">
        <f t="shared" si="24"/>
        <v>SUBMARINE_SWEDEN</v>
      </c>
      <c r="B1482" s="9" t="s">
        <v>105</v>
      </c>
      <c r="C1482" s="4" t="s">
        <v>739</v>
      </c>
      <c r="E1482" s="4" t="s">
        <v>105</v>
      </c>
      <c r="F1482" s="4" t="s">
        <v>105</v>
      </c>
      <c r="G1482" s="14" t="s">
        <v>132</v>
      </c>
      <c r="H1482" s="4" t="s">
        <v>675</v>
      </c>
      <c r="I1482" s="4" t="s">
        <v>102</v>
      </c>
    </row>
    <row r="1483" spans="1:43" x14ac:dyDescent="0.25">
      <c r="A1483" s="161" t="str">
        <f t="shared" si="24"/>
        <v>SUBMARINE_OCEAN</v>
      </c>
      <c r="B1483" s="9" t="s">
        <v>105</v>
      </c>
      <c r="C1483" s="4" t="s">
        <v>994</v>
      </c>
      <c r="D1483" s="4" t="s">
        <v>699</v>
      </c>
      <c r="E1483" s="4" t="s">
        <v>105</v>
      </c>
      <c r="F1483" s="4" t="s">
        <v>105</v>
      </c>
      <c r="G1483" s="14"/>
    </row>
    <row r="1484" spans="1:43" x14ac:dyDescent="0.25">
      <c r="A1484" s="161" t="str">
        <f t="shared" si="24"/>
        <v>SWORDSMAN</v>
      </c>
      <c r="B1484" s="9" t="s">
        <v>104</v>
      </c>
      <c r="C1484" s="5"/>
      <c r="D1484" s="5"/>
      <c r="E1484" s="5" t="s">
        <v>104</v>
      </c>
      <c r="F1484" s="5" t="s">
        <v>104</v>
      </c>
      <c r="G1484" s="5" t="s">
        <v>2047</v>
      </c>
      <c r="H1484" s="5" t="s">
        <v>1531</v>
      </c>
      <c r="I1484" s="5" t="s">
        <v>128</v>
      </c>
      <c r="J1484" s="6"/>
      <c r="K1484" s="6"/>
      <c r="L1484" s="13" t="s">
        <v>1718</v>
      </c>
      <c r="M1484" s="8"/>
      <c r="N1484" s="5"/>
      <c r="O1484" s="5"/>
      <c r="P1484" s="5"/>
      <c r="Q1484" s="6">
        <v>3</v>
      </c>
      <c r="R1484" s="6" t="s">
        <v>1737</v>
      </c>
      <c r="S1484" s="13" t="s">
        <v>1737</v>
      </c>
      <c r="T1484" s="6">
        <v>2</v>
      </c>
      <c r="U1484" s="7" t="s">
        <v>1737</v>
      </c>
      <c r="V1484" s="5" t="s">
        <v>1620</v>
      </c>
      <c r="W1484" s="6" t="s">
        <v>3</v>
      </c>
      <c r="X1484" s="6" t="s">
        <v>3</v>
      </c>
      <c r="Y1484" s="5"/>
      <c r="Z1484" s="6">
        <v>0</v>
      </c>
      <c r="AA1484" s="6"/>
      <c r="AB1484" s="5"/>
      <c r="AC1484" s="6"/>
      <c r="AD1484" s="6" t="s">
        <v>3</v>
      </c>
      <c r="AE1484" s="5"/>
      <c r="AF1484" s="6">
        <v>1</v>
      </c>
      <c r="AG1484" s="6"/>
      <c r="AH1484" s="5"/>
      <c r="AI1484" s="6">
        <v>2</v>
      </c>
      <c r="AJ1484" s="6"/>
      <c r="AK1484" s="5"/>
      <c r="AL1484" s="5"/>
      <c r="AM1484" s="5"/>
      <c r="AN1484" s="5"/>
      <c r="AO1484" s="5"/>
      <c r="AP1484" s="5"/>
      <c r="AQ1484" s="5"/>
    </row>
    <row r="1485" spans="1:43" x14ac:dyDescent="0.25">
      <c r="A1485" s="161" t="str">
        <f t="shared" si="24"/>
        <v>SWORDSMAN</v>
      </c>
      <c r="B1485" s="9" t="s">
        <v>104</v>
      </c>
      <c r="C1485" s="5"/>
      <c r="D1485" s="5"/>
      <c r="E1485" s="5" t="s">
        <v>104</v>
      </c>
      <c r="F1485" s="5" t="s">
        <v>104</v>
      </c>
      <c r="G1485" s="5"/>
      <c r="H1485" s="5" t="s">
        <v>16</v>
      </c>
      <c r="I1485" s="5" t="s">
        <v>128</v>
      </c>
      <c r="J1485" s="6"/>
      <c r="K1485" s="6"/>
      <c r="L1485" s="13" t="s">
        <v>1718</v>
      </c>
      <c r="M1485" s="8"/>
      <c r="N1485" s="5"/>
      <c r="O1485" s="5"/>
      <c r="P1485" s="5"/>
      <c r="Q1485" s="6">
        <v>6</v>
      </c>
      <c r="R1485" s="6" t="s">
        <v>1737</v>
      </c>
      <c r="S1485" s="13" t="s">
        <v>1737</v>
      </c>
      <c r="T1485" s="6">
        <v>3</v>
      </c>
      <c r="U1485" s="7" t="s">
        <v>1737</v>
      </c>
      <c r="V1485" s="5" t="s">
        <v>1620</v>
      </c>
      <c r="W1485" s="6" t="s">
        <v>3</v>
      </c>
      <c r="X1485" s="6" t="s">
        <v>3</v>
      </c>
      <c r="Y1485" s="5"/>
      <c r="Z1485" s="6">
        <v>1</v>
      </c>
      <c r="AA1485" s="6"/>
      <c r="AB1485" s="5"/>
      <c r="AC1485" s="6"/>
      <c r="AD1485" s="6" t="s">
        <v>3</v>
      </c>
      <c r="AE1485" s="5"/>
      <c r="AF1485" s="6">
        <v>1</v>
      </c>
      <c r="AG1485" s="6"/>
      <c r="AH1485" s="5"/>
      <c r="AI1485" s="6">
        <v>3</v>
      </c>
      <c r="AJ1485" s="6"/>
      <c r="AK1485" s="5"/>
      <c r="AL1485" s="5"/>
      <c r="AM1485" s="5"/>
      <c r="AN1485" s="5"/>
      <c r="AO1485" s="5"/>
      <c r="AP1485" s="5"/>
      <c r="AQ1485" s="5"/>
    </row>
    <row r="1486" spans="1:43" x14ac:dyDescent="0.25">
      <c r="A1486" s="161" t="str">
        <f t="shared" si="24"/>
        <v>SWORDSMAN</v>
      </c>
      <c r="B1486" s="9" t="s">
        <v>104</v>
      </c>
      <c r="C1486" s="5"/>
      <c r="D1486" s="5"/>
      <c r="E1486" s="5" t="s">
        <v>104</v>
      </c>
      <c r="F1486" s="5" t="s">
        <v>104</v>
      </c>
      <c r="G1486" s="5" t="s">
        <v>2049</v>
      </c>
      <c r="H1486" s="5" t="s">
        <v>1530</v>
      </c>
      <c r="I1486" s="5" t="s">
        <v>128</v>
      </c>
      <c r="J1486" s="6"/>
      <c r="K1486" s="6"/>
      <c r="L1486" s="13" t="s">
        <v>1718</v>
      </c>
      <c r="M1486" s="8"/>
      <c r="N1486" s="5"/>
      <c r="O1486" s="5"/>
      <c r="P1486" s="5"/>
      <c r="Q1486" s="6">
        <v>3</v>
      </c>
      <c r="R1486" s="6" t="s">
        <v>1737</v>
      </c>
      <c r="S1486" s="13" t="s">
        <v>1737</v>
      </c>
      <c r="T1486" s="6">
        <v>3</v>
      </c>
      <c r="U1486" s="7" t="s">
        <v>1737</v>
      </c>
      <c r="V1486" s="5" t="s">
        <v>1620</v>
      </c>
      <c r="W1486" s="6" t="s">
        <v>3</v>
      </c>
      <c r="X1486" s="6" t="s">
        <v>3</v>
      </c>
      <c r="Y1486" s="5"/>
      <c r="Z1486" s="6">
        <v>0</v>
      </c>
      <c r="AA1486" s="6"/>
      <c r="AB1486" s="5"/>
      <c r="AC1486" s="6"/>
      <c r="AD1486" s="6" t="s">
        <v>3</v>
      </c>
      <c r="AE1486" s="5"/>
      <c r="AF1486" s="6">
        <v>1</v>
      </c>
      <c r="AG1486" s="6"/>
      <c r="AH1486" s="5"/>
      <c r="AI1486" s="6">
        <v>2</v>
      </c>
      <c r="AJ1486" s="6"/>
      <c r="AK1486" s="5"/>
      <c r="AL1486" s="5"/>
      <c r="AM1486" s="5"/>
      <c r="AN1486" s="5"/>
      <c r="AO1486" s="5"/>
      <c r="AP1486" s="5"/>
      <c r="AQ1486" s="5"/>
    </row>
    <row r="1487" spans="1:43" x14ac:dyDescent="0.25">
      <c r="A1487" s="161" t="str">
        <f t="shared" si="24"/>
        <v>SWORDSMAN</v>
      </c>
      <c r="B1487" s="9" t="s">
        <v>104</v>
      </c>
      <c r="C1487" s="5"/>
      <c r="D1487" s="5"/>
      <c r="E1487" s="5" t="s">
        <v>104</v>
      </c>
      <c r="F1487" s="5" t="s">
        <v>104</v>
      </c>
      <c r="G1487" s="5" t="s">
        <v>2047</v>
      </c>
      <c r="H1487" s="5" t="s">
        <v>1531</v>
      </c>
      <c r="I1487" s="5" t="s">
        <v>128</v>
      </c>
      <c r="J1487" s="6"/>
      <c r="K1487" s="6"/>
      <c r="L1487" s="13" t="s">
        <v>1718</v>
      </c>
      <c r="M1487" s="8"/>
      <c r="N1487" s="5"/>
      <c r="O1487" s="5"/>
      <c r="P1487" s="5"/>
      <c r="Q1487" s="6">
        <v>0</v>
      </c>
      <c r="R1487" s="6" t="s">
        <v>1737</v>
      </c>
      <c r="S1487" s="13" t="s">
        <v>1737</v>
      </c>
      <c r="T1487" s="6">
        <v>3</v>
      </c>
      <c r="U1487" s="7" t="s">
        <v>1737</v>
      </c>
      <c r="V1487" s="5" t="s">
        <v>1620</v>
      </c>
      <c r="W1487" s="7" t="s">
        <v>3</v>
      </c>
      <c r="X1487" s="6" t="s">
        <v>3</v>
      </c>
      <c r="Y1487" s="5"/>
      <c r="Z1487" s="7">
        <v>0</v>
      </c>
      <c r="AA1487" s="6"/>
      <c r="AB1487" s="5"/>
      <c r="AC1487" s="6"/>
      <c r="AD1487" s="6" t="s">
        <v>3</v>
      </c>
      <c r="AE1487" s="5"/>
      <c r="AF1487" s="6">
        <v>1</v>
      </c>
      <c r="AG1487" s="6"/>
      <c r="AH1487" s="5"/>
      <c r="AI1487" s="6">
        <v>0</v>
      </c>
      <c r="AJ1487" s="6"/>
      <c r="AK1487" s="5"/>
      <c r="AL1487" s="5"/>
      <c r="AM1487" s="5"/>
      <c r="AN1487" s="5"/>
      <c r="AO1487" s="5"/>
      <c r="AP1487" s="5"/>
      <c r="AQ1487" s="5"/>
    </row>
    <row r="1488" spans="1:43" x14ac:dyDescent="0.25">
      <c r="A1488" s="161" t="str">
        <f t="shared" si="24"/>
        <v>SWORDSMAN</v>
      </c>
      <c r="B1488" s="9" t="s">
        <v>104</v>
      </c>
      <c r="C1488" s="5"/>
      <c r="D1488" s="5"/>
      <c r="E1488" s="5" t="s">
        <v>104</v>
      </c>
      <c r="F1488" s="5" t="s">
        <v>104</v>
      </c>
      <c r="G1488" s="5"/>
      <c r="H1488" s="5" t="s">
        <v>16</v>
      </c>
      <c r="I1488" s="5" t="s">
        <v>128</v>
      </c>
      <c r="J1488" s="6"/>
      <c r="K1488" s="6"/>
      <c r="L1488" s="13" t="s">
        <v>1718</v>
      </c>
      <c r="M1488" s="8"/>
      <c r="N1488" s="5"/>
      <c r="O1488" s="5"/>
      <c r="P1488" s="5"/>
      <c r="Q1488" s="6">
        <v>0</v>
      </c>
      <c r="R1488" s="6" t="s">
        <v>1737</v>
      </c>
      <c r="S1488" s="13" t="s">
        <v>1737</v>
      </c>
      <c r="T1488" s="6">
        <v>3</v>
      </c>
      <c r="U1488" s="7" t="s">
        <v>1737</v>
      </c>
      <c r="V1488" s="5" t="s">
        <v>1620</v>
      </c>
      <c r="W1488" s="7" t="s">
        <v>3</v>
      </c>
      <c r="X1488" s="6" t="s">
        <v>3</v>
      </c>
      <c r="Y1488" s="5"/>
      <c r="Z1488" s="7">
        <v>0</v>
      </c>
      <c r="AA1488" s="6"/>
      <c r="AB1488" s="5"/>
      <c r="AC1488" s="6"/>
      <c r="AD1488" s="6" t="s">
        <v>3</v>
      </c>
      <c r="AE1488" s="5"/>
      <c r="AF1488" s="6">
        <v>1</v>
      </c>
      <c r="AG1488" s="6"/>
      <c r="AH1488" s="5"/>
      <c r="AI1488" s="6">
        <v>0</v>
      </c>
      <c r="AJ1488" s="6"/>
      <c r="AK1488" s="5"/>
      <c r="AL1488" s="5"/>
      <c r="AM1488" s="5"/>
      <c r="AN1488" s="5"/>
      <c r="AO1488" s="5"/>
      <c r="AP1488" s="5"/>
      <c r="AQ1488" s="5"/>
    </row>
    <row r="1489" spans="1:43" x14ac:dyDescent="0.25">
      <c r="A1489" s="161" t="str">
        <f t="shared" si="24"/>
        <v>SWORDSMAN</v>
      </c>
      <c r="B1489" s="9" t="s">
        <v>104</v>
      </c>
      <c r="C1489" s="5"/>
      <c r="D1489" s="5"/>
      <c r="E1489" s="5" t="s">
        <v>104</v>
      </c>
      <c r="F1489" s="5" t="s">
        <v>104</v>
      </c>
      <c r="G1489" s="5" t="s">
        <v>2049</v>
      </c>
      <c r="H1489" s="5" t="s">
        <v>1530</v>
      </c>
      <c r="I1489" s="5" t="s">
        <v>128</v>
      </c>
      <c r="J1489" s="6"/>
      <c r="K1489" s="6"/>
      <c r="L1489" s="13" t="s">
        <v>1718</v>
      </c>
      <c r="M1489" s="8"/>
      <c r="N1489" s="5"/>
      <c r="O1489" s="5"/>
      <c r="P1489" s="5"/>
      <c r="Q1489" s="6">
        <v>0</v>
      </c>
      <c r="R1489" s="6" t="s">
        <v>1737</v>
      </c>
      <c r="S1489" s="13" t="s">
        <v>1737</v>
      </c>
      <c r="T1489" s="6">
        <v>2</v>
      </c>
      <c r="U1489" s="7" t="s">
        <v>1737</v>
      </c>
      <c r="V1489" s="5" t="s">
        <v>1620</v>
      </c>
      <c r="W1489" s="7" t="s">
        <v>3</v>
      </c>
      <c r="X1489" s="6" t="s">
        <v>3</v>
      </c>
      <c r="Y1489" s="5"/>
      <c r="Z1489" s="7">
        <v>0</v>
      </c>
      <c r="AA1489" s="6"/>
      <c r="AB1489" s="5"/>
      <c r="AC1489" s="6"/>
      <c r="AD1489" s="6" t="s">
        <v>3</v>
      </c>
      <c r="AE1489" s="5"/>
      <c r="AF1489" s="6">
        <v>1</v>
      </c>
      <c r="AG1489" s="6"/>
      <c r="AH1489" s="5"/>
      <c r="AI1489" s="6">
        <v>0</v>
      </c>
      <c r="AJ1489" s="6"/>
      <c r="AK1489" s="5"/>
      <c r="AL1489" s="5"/>
      <c r="AM1489" s="5"/>
      <c r="AN1489" s="5"/>
      <c r="AO1489" s="5"/>
      <c r="AP1489" s="5"/>
      <c r="AQ1489" s="5"/>
    </row>
    <row r="1490" spans="1:43" x14ac:dyDescent="0.25">
      <c r="A1490" s="161" t="str">
        <f t="shared" si="24"/>
        <v>SWORDSMAN_AFRI</v>
      </c>
      <c r="B1490" s="9" t="s">
        <v>104</v>
      </c>
      <c r="C1490" s="4" t="s">
        <v>694</v>
      </c>
      <c r="E1490" s="4" t="s">
        <v>104</v>
      </c>
      <c r="F1490" s="4" t="s">
        <v>104</v>
      </c>
      <c r="H1490" s="4" t="s">
        <v>687</v>
      </c>
      <c r="I1490" s="4" t="s">
        <v>1305</v>
      </c>
      <c r="Q1490" s="11" t="s">
        <v>1737</v>
      </c>
    </row>
    <row r="1491" spans="1:43" x14ac:dyDescent="0.25">
      <c r="A1491" s="161" t="str">
        <f t="shared" si="24"/>
        <v>SWORDSMAN_ETHIOPIA</v>
      </c>
      <c r="B1491" s="9" t="s">
        <v>104</v>
      </c>
      <c r="C1491" s="4" t="s">
        <v>714</v>
      </c>
      <c r="E1491" s="4" t="s">
        <v>104</v>
      </c>
      <c r="F1491" s="4" t="s">
        <v>104</v>
      </c>
      <c r="H1491" s="4" t="s">
        <v>326</v>
      </c>
      <c r="I1491" s="4" t="s">
        <v>1025</v>
      </c>
      <c r="Q1491" s="11" t="s">
        <v>1737</v>
      </c>
    </row>
    <row r="1492" spans="1:43" x14ac:dyDescent="0.25">
      <c r="A1492" s="161" t="str">
        <f t="shared" si="24"/>
        <v>SWORDSMAN_SONGHAI</v>
      </c>
      <c r="B1492" s="9" t="s">
        <v>104</v>
      </c>
      <c r="C1492" s="4" t="s">
        <v>737</v>
      </c>
      <c r="E1492" s="4" t="s">
        <v>104</v>
      </c>
      <c r="F1492" s="4" t="s">
        <v>104</v>
      </c>
      <c r="H1492" s="4" t="s">
        <v>1304</v>
      </c>
      <c r="I1492" s="4" t="s">
        <v>1305</v>
      </c>
      <c r="Q1492" s="11" t="s">
        <v>1737</v>
      </c>
    </row>
    <row r="1493" spans="1:43" x14ac:dyDescent="0.25">
      <c r="A1493" s="161" t="str">
        <f>CONCATENATE(E1493,IF(ISBLANK(C1493),"",CONCATENATE("_",C1493)))</f>
        <v>SWORDSMAN_ASIA</v>
      </c>
      <c r="B1493" s="9" t="s">
        <v>104</v>
      </c>
      <c r="C1493" s="4" t="s">
        <v>693</v>
      </c>
      <c r="E1493" s="4" t="s">
        <v>104</v>
      </c>
      <c r="F1493" s="4" t="s">
        <v>104</v>
      </c>
      <c r="H1493" s="4" t="s">
        <v>1809</v>
      </c>
      <c r="I1493" s="4" t="s">
        <v>835</v>
      </c>
      <c r="Q1493" s="9" t="s">
        <v>1737</v>
      </c>
      <c r="T1493" s="9"/>
      <c r="W1493" s="9"/>
    </row>
    <row r="1494" spans="1:43" x14ac:dyDescent="0.25">
      <c r="A1494" s="161" t="str">
        <f t="shared" si="24"/>
        <v>SWORDSMAN_CHINA</v>
      </c>
      <c r="B1494" s="9" t="s">
        <v>104</v>
      </c>
      <c r="C1494" s="4" t="s">
        <v>710</v>
      </c>
      <c r="E1494" s="4" t="s">
        <v>104</v>
      </c>
      <c r="F1494" s="4" t="s">
        <v>104</v>
      </c>
      <c r="H1494" s="4" t="s">
        <v>456</v>
      </c>
      <c r="I1494" s="4" t="s">
        <v>102</v>
      </c>
      <c r="Q1494" s="9">
        <v>1</v>
      </c>
      <c r="T1494" s="9">
        <v>2</v>
      </c>
      <c r="W1494" s="9"/>
      <c r="Z1494" s="11">
        <v>1</v>
      </c>
      <c r="AF1494" s="11">
        <v>1</v>
      </c>
      <c r="AI1494" s="11">
        <v>1</v>
      </c>
    </row>
    <row r="1495" spans="1:43" x14ac:dyDescent="0.25">
      <c r="A1495" s="161" t="str">
        <f t="shared" si="24"/>
        <v>SWORDSMAN_CHINA</v>
      </c>
      <c r="B1495" s="9" t="s">
        <v>104</v>
      </c>
      <c r="C1495" s="4" t="s">
        <v>710</v>
      </c>
      <c r="E1495" s="4" t="s">
        <v>104</v>
      </c>
      <c r="F1495" s="4" t="s">
        <v>104</v>
      </c>
      <c r="G1495" s="14" t="s">
        <v>2047</v>
      </c>
      <c r="H1495" s="4" t="s">
        <v>259</v>
      </c>
      <c r="I1495" s="4" t="s">
        <v>102</v>
      </c>
      <c r="Q1495" s="9">
        <v>2</v>
      </c>
      <c r="T1495" s="9">
        <v>3</v>
      </c>
      <c r="W1495" s="9"/>
      <c r="Z1495" s="11">
        <v>0</v>
      </c>
      <c r="AF1495" s="11">
        <v>1</v>
      </c>
      <c r="AI1495" s="11">
        <v>1</v>
      </c>
    </row>
    <row r="1496" spans="1:43" x14ac:dyDescent="0.25">
      <c r="A1496" s="161" t="str">
        <f>CONCATENATE(E1496,IF(ISBLANK(C1496),"",CONCATENATE("_",C1496)))</f>
        <v>SWORDSMAN_CHINA</v>
      </c>
      <c r="B1496" s="9" t="s">
        <v>104</v>
      </c>
      <c r="C1496" s="4" t="s">
        <v>710</v>
      </c>
      <c r="E1496" s="4" t="s">
        <v>104</v>
      </c>
      <c r="F1496" s="4" t="s">
        <v>104</v>
      </c>
      <c r="H1496" s="4" t="s">
        <v>456</v>
      </c>
      <c r="I1496" s="4" t="s">
        <v>102</v>
      </c>
      <c r="Q1496" s="9">
        <v>3</v>
      </c>
      <c r="T1496" s="9">
        <v>3</v>
      </c>
      <c r="W1496" s="9"/>
      <c r="Z1496" s="11">
        <v>0</v>
      </c>
      <c r="AF1496" s="11">
        <v>1</v>
      </c>
      <c r="AI1496" s="11">
        <v>2</v>
      </c>
    </row>
    <row r="1497" spans="1:43" x14ac:dyDescent="0.25">
      <c r="A1497" s="161" t="str">
        <f>CONCATENATE(E1497,IF(ISBLANK(C1497),"",CONCATENATE("_",C1497)))</f>
        <v>SWORDSMAN_CHINA</v>
      </c>
      <c r="B1497" s="9" t="s">
        <v>104</v>
      </c>
      <c r="C1497" s="4" t="s">
        <v>710</v>
      </c>
      <c r="E1497" s="4" t="s">
        <v>104</v>
      </c>
      <c r="F1497" s="4" t="s">
        <v>104</v>
      </c>
      <c r="G1497" s="14" t="s">
        <v>2047</v>
      </c>
      <c r="H1497" s="4" t="s">
        <v>259</v>
      </c>
      <c r="I1497" s="4" t="s">
        <v>102</v>
      </c>
      <c r="Q1497" s="9">
        <v>3</v>
      </c>
      <c r="T1497" s="9">
        <v>3</v>
      </c>
      <c r="W1497" s="9"/>
      <c r="Z1497" s="11">
        <v>0</v>
      </c>
      <c r="AF1497" s="11">
        <v>0</v>
      </c>
      <c r="AI1497" s="11">
        <v>1</v>
      </c>
    </row>
    <row r="1498" spans="1:43" x14ac:dyDescent="0.25">
      <c r="A1498" s="161" t="str">
        <f>CONCATENATE(E1498,IF(ISBLANK(C1498),"",CONCATENATE("_",C1498)))</f>
        <v>SWORDSMAN_CHINA</v>
      </c>
      <c r="B1498" s="9" t="s">
        <v>104</v>
      </c>
      <c r="C1498" s="4" t="s">
        <v>710</v>
      </c>
      <c r="E1498" s="4" t="s">
        <v>104</v>
      </c>
      <c r="F1498" s="4" t="s">
        <v>104</v>
      </c>
      <c r="H1498" s="4" t="s">
        <v>456</v>
      </c>
      <c r="I1498" s="4" t="s">
        <v>102</v>
      </c>
      <c r="Q1498" s="9">
        <v>2</v>
      </c>
      <c r="T1498" s="9">
        <v>3</v>
      </c>
      <c r="W1498" s="9"/>
      <c r="Z1498" s="11">
        <v>0</v>
      </c>
      <c r="AF1498" s="11">
        <v>0</v>
      </c>
      <c r="AI1498" s="11">
        <v>1</v>
      </c>
    </row>
    <row r="1499" spans="1:43" x14ac:dyDescent="0.25">
      <c r="A1499" s="161" t="str">
        <f>CONCATENATE(E1499,IF(ISBLANK(C1499),"",CONCATENATE("_",C1499)))</f>
        <v>SWORDSMAN_CHINA</v>
      </c>
      <c r="B1499" s="9" t="s">
        <v>104</v>
      </c>
      <c r="C1499" s="4" t="s">
        <v>710</v>
      </c>
      <c r="E1499" s="4" t="s">
        <v>104</v>
      </c>
      <c r="F1499" s="4" t="s">
        <v>104</v>
      </c>
      <c r="G1499" s="14" t="s">
        <v>2047</v>
      </c>
      <c r="H1499" s="4" t="s">
        <v>259</v>
      </c>
      <c r="I1499" s="4" t="s">
        <v>102</v>
      </c>
      <c r="Q1499" s="9">
        <v>1</v>
      </c>
      <c r="T1499" s="9">
        <v>2</v>
      </c>
      <c r="W1499" s="9"/>
      <c r="Z1499" s="11">
        <v>0</v>
      </c>
      <c r="AF1499" s="11">
        <v>0</v>
      </c>
      <c r="AI1499" s="11">
        <v>1</v>
      </c>
    </row>
    <row r="1500" spans="1:43" x14ac:dyDescent="0.25">
      <c r="A1500" s="161" t="str">
        <f t="shared" si="24"/>
        <v>SWORDSMAN_JAPAN</v>
      </c>
      <c r="B1500" s="9" t="s">
        <v>104</v>
      </c>
      <c r="C1500" s="4" t="s">
        <v>722</v>
      </c>
      <c r="E1500" s="4" t="s">
        <v>104</v>
      </c>
      <c r="F1500" s="4" t="s">
        <v>104</v>
      </c>
      <c r="G1500" s="14" t="s">
        <v>132</v>
      </c>
      <c r="H1500" s="4" t="s">
        <v>491</v>
      </c>
      <c r="I1500" s="4" t="s">
        <v>102</v>
      </c>
      <c r="Q1500" s="9" t="s">
        <v>1737</v>
      </c>
      <c r="T1500" s="9"/>
      <c r="W1500" s="9"/>
    </row>
    <row r="1501" spans="1:43" x14ac:dyDescent="0.25">
      <c r="A1501" s="161" t="str">
        <f t="shared" si="24"/>
        <v>SWORDSMAN_KOREA</v>
      </c>
      <c r="B1501" s="9" t="s">
        <v>104</v>
      </c>
      <c r="C1501" s="4" t="s">
        <v>723</v>
      </c>
      <c r="E1501" s="4" t="s">
        <v>104</v>
      </c>
      <c r="F1501" s="4" t="s">
        <v>104</v>
      </c>
      <c r="G1501" s="14" t="s">
        <v>132</v>
      </c>
      <c r="H1501" s="4" t="s">
        <v>504</v>
      </c>
      <c r="I1501" s="4" t="s">
        <v>102</v>
      </c>
      <c r="Q1501" s="9" t="s">
        <v>1737</v>
      </c>
      <c r="T1501" s="9"/>
      <c r="W1501" s="9"/>
    </row>
    <row r="1502" spans="1:43" x14ac:dyDescent="0.25">
      <c r="A1502" s="161" t="str">
        <f t="shared" si="24"/>
        <v>SWORDSMAN_MONGOL</v>
      </c>
      <c r="B1502" s="9" t="s">
        <v>104</v>
      </c>
      <c r="C1502" s="4" t="s">
        <v>728</v>
      </c>
      <c r="E1502" s="4" t="s">
        <v>104</v>
      </c>
      <c r="F1502" s="4" t="s">
        <v>104</v>
      </c>
      <c r="G1502" s="14" t="s">
        <v>132</v>
      </c>
      <c r="H1502" s="4" t="s">
        <v>535</v>
      </c>
      <c r="I1502" s="4" t="s">
        <v>2103</v>
      </c>
      <c r="Q1502" s="9" t="s">
        <v>1737</v>
      </c>
      <c r="T1502" s="9"/>
      <c r="W1502" s="9"/>
    </row>
    <row r="1503" spans="1:43" x14ac:dyDescent="0.25">
      <c r="A1503" s="161" t="str">
        <f t="shared" si="24"/>
        <v>SWORDSMAN_CENTAS</v>
      </c>
      <c r="B1503" s="9" t="s">
        <v>104</v>
      </c>
      <c r="C1503" s="4" t="s">
        <v>918</v>
      </c>
      <c r="E1503" s="4" t="s">
        <v>104</v>
      </c>
      <c r="F1503" s="4" t="s">
        <v>104</v>
      </c>
      <c r="G1503" s="14" t="s">
        <v>132</v>
      </c>
      <c r="H1503" s="4" t="s">
        <v>1036</v>
      </c>
      <c r="I1503" s="4" t="s">
        <v>122</v>
      </c>
      <c r="Q1503" s="9" t="s">
        <v>1737</v>
      </c>
      <c r="T1503" s="9"/>
      <c r="W1503" s="9"/>
    </row>
    <row r="1504" spans="1:43" x14ac:dyDescent="0.25">
      <c r="A1504" s="161" t="str">
        <f>CONCATENATE(E1504,IF(ISBLANK(C1504),"",CONCATENATE("_",C1504)))</f>
        <v>SWORDSMAN_HUNS</v>
      </c>
      <c r="B1504" s="9" t="s">
        <v>104</v>
      </c>
      <c r="C1504" s="4" t="s">
        <v>904</v>
      </c>
      <c r="E1504" s="4" t="s">
        <v>104</v>
      </c>
      <c r="F1504" s="4" t="s">
        <v>104</v>
      </c>
      <c r="G1504" s="14" t="s">
        <v>132</v>
      </c>
      <c r="H1504" s="4" t="s">
        <v>1810</v>
      </c>
      <c r="I1504" s="4" t="s">
        <v>835</v>
      </c>
      <c r="Q1504" s="9" t="s">
        <v>1737</v>
      </c>
      <c r="T1504" s="9"/>
      <c r="W1504" s="9"/>
    </row>
    <row r="1505" spans="1:43" x14ac:dyDescent="0.25">
      <c r="A1505" s="161" t="str">
        <f t="shared" si="24"/>
        <v>SWORDSMAN_OTTOMAN</v>
      </c>
      <c r="B1505" s="9" t="s">
        <v>104</v>
      </c>
      <c r="C1505" s="4" t="s">
        <v>1037</v>
      </c>
      <c r="E1505" s="4" t="s">
        <v>104</v>
      </c>
      <c r="F1505" s="4" t="s">
        <v>104</v>
      </c>
      <c r="G1505" s="14" t="s">
        <v>132</v>
      </c>
      <c r="H1505" s="4" t="s">
        <v>1041</v>
      </c>
      <c r="I1505" s="4" t="s">
        <v>2103</v>
      </c>
      <c r="Q1505" s="9">
        <v>1</v>
      </c>
      <c r="T1505" s="9">
        <v>2</v>
      </c>
      <c r="W1505" s="9"/>
      <c r="Z1505" s="11">
        <v>1</v>
      </c>
      <c r="AF1505" s="11">
        <v>1</v>
      </c>
      <c r="AI1505" s="11">
        <v>1</v>
      </c>
    </row>
    <row r="1506" spans="1:43" x14ac:dyDescent="0.25">
      <c r="A1506" s="161" t="str">
        <f t="shared" si="24"/>
        <v>SWORDSMAN_OTTOMAN</v>
      </c>
      <c r="B1506" s="9" t="s">
        <v>104</v>
      </c>
      <c r="C1506" s="4" t="s">
        <v>1037</v>
      </c>
      <c r="E1506" s="4" t="s">
        <v>104</v>
      </c>
      <c r="F1506" s="4" t="s">
        <v>104</v>
      </c>
      <c r="G1506" s="14" t="s">
        <v>2047</v>
      </c>
      <c r="H1506" s="4" t="s">
        <v>1955</v>
      </c>
      <c r="I1506" s="4" t="s">
        <v>2103</v>
      </c>
      <c r="Q1506" s="9">
        <v>2</v>
      </c>
      <c r="T1506" s="9">
        <v>3</v>
      </c>
      <c r="W1506" s="9"/>
      <c r="Z1506" s="11">
        <v>0</v>
      </c>
      <c r="AF1506" s="11">
        <v>1</v>
      </c>
      <c r="AI1506" s="11">
        <v>1</v>
      </c>
    </row>
    <row r="1507" spans="1:43" x14ac:dyDescent="0.25">
      <c r="A1507" s="161" t="str">
        <f t="shared" ref="A1507:A1517" si="25">CONCATENATE(E1507,IF(ISBLANK(C1507),"",CONCATENATE("_",C1507)))</f>
        <v>SWORDSMAN_OTTOMAN</v>
      </c>
      <c r="B1507" s="9" t="s">
        <v>104</v>
      </c>
      <c r="C1507" s="4" t="s">
        <v>1037</v>
      </c>
      <c r="E1507" s="4" t="s">
        <v>104</v>
      </c>
      <c r="F1507" s="4" t="s">
        <v>104</v>
      </c>
      <c r="G1507" s="14" t="s">
        <v>132</v>
      </c>
      <c r="H1507" s="4" t="s">
        <v>1041</v>
      </c>
      <c r="I1507" s="4" t="s">
        <v>2103</v>
      </c>
      <c r="Q1507" s="9">
        <v>3</v>
      </c>
      <c r="T1507" s="9">
        <v>3</v>
      </c>
      <c r="W1507" s="9"/>
      <c r="Z1507" s="11">
        <v>0</v>
      </c>
      <c r="AF1507" s="11">
        <v>1</v>
      </c>
      <c r="AI1507" s="11">
        <v>2</v>
      </c>
    </row>
    <row r="1508" spans="1:43" x14ac:dyDescent="0.25">
      <c r="A1508" s="161" t="str">
        <f t="shared" si="25"/>
        <v>SWORDSMAN_OTTOMAN</v>
      </c>
      <c r="B1508" s="9" t="s">
        <v>104</v>
      </c>
      <c r="C1508" s="4" t="s">
        <v>1037</v>
      </c>
      <c r="E1508" s="4" t="s">
        <v>104</v>
      </c>
      <c r="F1508" s="4" t="s">
        <v>104</v>
      </c>
      <c r="G1508" s="14" t="s">
        <v>2047</v>
      </c>
      <c r="H1508" s="4" t="s">
        <v>1955</v>
      </c>
      <c r="I1508" s="4" t="s">
        <v>2103</v>
      </c>
      <c r="Q1508" s="9">
        <v>3</v>
      </c>
      <c r="T1508" s="9">
        <v>3</v>
      </c>
      <c r="W1508" s="9"/>
      <c r="Z1508" s="11">
        <v>0</v>
      </c>
      <c r="AF1508" s="11">
        <v>0</v>
      </c>
      <c r="AI1508" s="11">
        <v>1</v>
      </c>
    </row>
    <row r="1509" spans="1:43" x14ac:dyDescent="0.25">
      <c r="A1509" s="161" t="str">
        <f t="shared" si="25"/>
        <v>SWORDSMAN_OTTOMAN</v>
      </c>
      <c r="B1509" s="9" t="s">
        <v>104</v>
      </c>
      <c r="C1509" s="4" t="s">
        <v>1037</v>
      </c>
      <c r="E1509" s="4" t="s">
        <v>104</v>
      </c>
      <c r="F1509" s="4" t="s">
        <v>104</v>
      </c>
      <c r="G1509" s="14" t="s">
        <v>132</v>
      </c>
      <c r="H1509" s="4" t="s">
        <v>1041</v>
      </c>
      <c r="I1509" s="4" t="s">
        <v>2103</v>
      </c>
      <c r="Q1509" s="9">
        <v>2</v>
      </c>
      <c r="T1509" s="9">
        <v>3</v>
      </c>
      <c r="W1509" s="9"/>
      <c r="Z1509" s="11">
        <v>0</v>
      </c>
      <c r="AF1509" s="11">
        <v>0</v>
      </c>
      <c r="AI1509" s="11">
        <v>1</v>
      </c>
    </row>
    <row r="1510" spans="1:43" x14ac:dyDescent="0.25">
      <c r="A1510" s="161" t="str">
        <f t="shared" si="25"/>
        <v>SWORDSMAN_OTTOMAN</v>
      </c>
      <c r="B1510" s="9" t="s">
        <v>104</v>
      </c>
      <c r="C1510" s="4" t="s">
        <v>1037</v>
      </c>
      <c r="E1510" s="4" t="s">
        <v>104</v>
      </c>
      <c r="F1510" s="4" t="s">
        <v>104</v>
      </c>
      <c r="G1510" s="14" t="s">
        <v>2047</v>
      </c>
      <c r="H1510" s="4" t="s">
        <v>1955</v>
      </c>
      <c r="I1510" s="4" t="s">
        <v>2103</v>
      </c>
      <c r="Q1510" s="9">
        <v>1</v>
      </c>
      <c r="T1510" s="9">
        <v>2</v>
      </c>
      <c r="W1510" s="9"/>
      <c r="Z1510" s="11">
        <v>0</v>
      </c>
      <c r="AF1510" s="11">
        <v>0</v>
      </c>
      <c r="AI1510" s="11">
        <v>1</v>
      </c>
    </row>
    <row r="1511" spans="1:43" s="2" customFormat="1" x14ac:dyDescent="0.25">
      <c r="A1511" s="161" t="str">
        <f t="shared" si="25"/>
        <v>SWORDSMAN_EASTEU</v>
      </c>
      <c r="B1511" s="9" t="s">
        <v>104</v>
      </c>
      <c r="C1511" s="4" t="s">
        <v>698</v>
      </c>
      <c r="D1511" s="4"/>
      <c r="E1511" s="4" t="s">
        <v>104</v>
      </c>
      <c r="F1511" s="4" t="s">
        <v>104</v>
      </c>
      <c r="G1511" s="4"/>
      <c r="H1511" s="4" t="s">
        <v>915</v>
      </c>
      <c r="I1511" s="4" t="s">
        <v>1820</v>
      </c>
      <c r="J1511" s="11"/>
      <c r="K1511" s="11"/>
      <c r="L1511" s="4"/>
      <c r="M1511" s="12"/>
      <c r="N1511" s="4"/>
      <c r="O1511" s="4"/>
      <c r="P1511" s="4"/>
      <c r="Q1511" s="9">
        <v>3</v>
      </c>
      <c r="R1511" s="11"/>
      <c r="S1511" s="4"/>
      <c r="T1511" s="11">
        <v>2</v>
      </c>
      <c r="U1511" s="11"/>
      <c r="V1511" s="4"/>
      <c r="W1511" s="11"/>
      <c r="X1511" s="11"/>
      <c r="Y1511" s="4"/>
      <c r="Z1511" s="9">
        <v>1</v>
      </c>
      <c r="AA1511" s="11"/>
      <c r="AB1511" s="4"/>
      <c r="AC1511" s="11"/>
      <c r="AD1511" s="11"/>
      <c r="AE1511" s="4"/>
      <c r="AF1511" s="11">
        <v>1</v>
      </c>
      <c r="AG1511" s="11"/>
      <c r="AH1511" s="4"/>
      <c r="AI1511" s="11">
        <v>2</v>
      </c>
      <c r="AJ1511" s="11"/>
      <c r="AK1511" s="4"/>
      <c r="AL1511" s="4"/>
      <c r="AM1511" s="4"/>
      <c r="AN1511" s="4"/>
      <c r="AO1511" s="4"/>
      <c r="AP1511" s="4"/>
      <c r="AQ1511" s="4"/>
    </row>
    <row r="1512" spans="1:43" s="2" customFormat="1" x14ac:dyDescent="0.25">
      <c r="A1512" s="161" t="str">
        <f t="shared" si="25"/>
        <v>SWORDSMAN_EASTEU</v>
      </c>
      <c r="B1512" s="9" t="s">
        <v>104</v>
      </c>
      <c r="C1512" s="4" t="s">
        <v>698</v>
      </c>
      <c r="D1512" s="4"/>
      <c r="E1512" s="4" t="s">
        <v>104</v>
      </c>
      <c r="F1512" s="4" t="s">
        <v>104</v>
      </c>
      <c r="G1512" s="4" t="s">
        <v>2047</v>
      </c>
      <c r="H1512" s="4" t="s">
        <v>916</v>
      </c>
      <c r="I1512" s="4" t="s">
        <v>1820</v>
      </c>
      <c r="J1512" s="11"/>
      <c r="K1512" s="11"/>
      <c r="L1512" s="4"/>
      <c r="M1512" s="12"/>
      <c r="N1512" s="4"/>
      <c r="O1512" s="4"/>
      <c r="P1512" s="4"/>
      <c r="Q1512" s="9">
        <v>3</v>
      </c>
      <c r="R1512" s="11"/>
      <c r="S1512" s="4"/>
      <c r="T1512" s="11">
        <v>3</v>
      </c>
      <c r="U1512" s="11"/>
      <c r="V1512" s="4"/>
      <c r="W1512" s="11"/>
      <c r="X1512" s="11"/>
      <c r="Y1512" s="4"/>
      <c r="Z1512" s="9">
        <v>0</v>
      </c>
      <c r="AA1512" s="11"/>
      <c r="AB1512" s="4"/>
      <c r="AC1512" s="11"/>
      <c r="AD1512" s="11"/>
      <c r="AE1512" s="4"/>
      <c r="AF1512" s="11">
        <v>1</v>
      </c>
      <c r="AG1512" s="11"/>
      <c r="AH1512" s="4"/>
      <c r="AI1512" s="11">
        <v>1</v>
      </c>
      <c r="AJ1512" s="11"/>
      <c r="AK1512" s="4"/>
      <c r="AL1512" s="4"/>
      <c r="AM1512" s="4"/>
      <c r="AN1512" s="4"/>
      <c r="AO1512" s="4"/>
      <c r="AP1512" s="4"/>
      <c r="AQ1512" s="4"/>
    </row>
    <row r="1513" spans="1:43" s="2" customFormat="1" x14ac:dyDescent="0.25">
      <c r="A1513" s="161" t="str">
        <f t="shared" si="25"/>
        <v>SWORDSMAN_EASTEU</v>
      </c>
      <c r="B1513" s="9" t="s">
        <v>104</v>
      </c>
      <c r="C1513" s="4" t="s">
        <v>698</v>
      </c>
      <c r="D1513" s="4"/>
      <c r="E1513" s="4" t="s">
        <v>104</v>
      </c>
      <c r="F1513" s="4" t="s">
        <v>104</v>
      </c>
      <c r="G1513" s="4"/>
      <c r="H1513" s="4" t="s">
        <v>915</v>
      </c>
      <c r="I1513" s="4" t="s">
        <v>1820</v>
      </c>
      <c r="J1513" s="11"/>
      <c r="K1513" s="11"/>
      <c r="L1513" s="4"/>
      <c r="M1513" s="12"/>
      <c r="N1513" s="4"/>
      <c r="O1513" s="4"/>
      <c r="P1513" s="4"/>
      <c r="Q1513" s="9">
        <v>3</v>
      </c>
      <c r="R1513" s="11"/>
      <c r="S1513" s="4"/>
      <c r="T1513" s="11">
        <v>3</v>
      </c>
      <c r="U1513" s="11"/>
      <c r="V1513" s="4"/>
      <c r="W1513" s="11"/>
      <c r="X1513" s="11"/>
      <c r="Y1513" s="4"/>
      <c r="Z1513" s="9">
        <v>0</v>
      </c>
      <c r="AA1513" s="11"/>
      <c r="AB1513" s="4"/>
      <c r="AC1513" s="11"/>
      <c r="AD1513" s="11"/>
      <c r="AE1513" s="4"/>
      <c r="AF1513" s="11">
        <v>1</v>
      </c>
      <c r="AG1513" s="11"/>
      <c r="AH1513" s="4"/>
      <c r="AI1513" s="11">
        <v>2</v>
      </c>
      <c r="AJ1513" s="11"/>
      <c r="AK1513" s="4"/>
      <c r="AL1513" s="4"/>
      <c r="AM1513" s="4"/>
      <c r="AN1513" s="4"/>
      <c r="AO1513" s="4"/>
      <c r="AP1513" s="4"/>
      <c r="AQ1513" s="4"/>
    </row>
    <row r="1514" spans="1:43" s="2" customFormat="1" x14ac:dyDescent="0.25">
      <c r="A1514" s="161" t="str">
        <f t="shared" si="25"/>
        <v>SWORDSMAN_EASTEU</v>
      </c>
      <c r="B1514" s="9" t="s">
        <v>104</v>
      </c>
      <c r="C1514" s="4" t="s">
        <v>698</v>
      </c>
      <c r="D1514" s="4"/>
      <c r="E1514" s="4" t="s">
        <v>104</v>
      </c>
      <c r="F1514" s="4" t="s">
        <v>104</v>
      </c>
      <c r="G1514" s="4" t="s">
        <v>2047</v>
      </c>
      <c r="H1514" s="4" t="s">
        <v>916</v>
      </c>
      <c r="I1514" s="4" t="s">
        <v>1820</v>
      </c>
      <c r="J1514" s="11"/>
      <c r="K1514" s="11"/>
      <c r="L1514" s="4"/>
      <c r="M1514" s="12"/>
      <c r="N1514" s="4"/>
      <c r="O1514" s="4"/>
      <c r="P1514" s="4"/>
      <c r="Q1514" s="9">
        <v>3</v>
      </c>
      <c r="R1514" s="11"/>
      <c r="S1514" s="4"/>
      <c r="T1514" s="11">
        <v>3</v>
      </c>
      <c r="U1514" s="11"/>
      <c r="V1514" s="4"/>
      <c r="W1514" s="11"/>
      <c r="X1514" s="11"/>
      <c r="Y1514" s="4"/>
      <c r="Z1514" s="9">
        <v>0</v>
      </c>
      <c r="AA1514" s="11"/>
      <c r="AB1514" s="4"/>
      <c r="AC1514" s="11"/>
      <c r="AD1514" s="11"/>
      <c r="AE1514" s="4"/>
      <c r="AF1514" s="11">
        <v>0</v>
      </c>
      <c r="AG1514" s="11"/>
      <c r="AH1514" s="4"/>
      <c r="AI1514" s="11">
        <v>2</v>
      </c>
      <c r="AJ1514" s="11"/>
      <c r="AK1514" s="4"/>
      <c r="AL1514" s="4"/>
      <c r="AM1514" s="4"/>
      <c r="AN1514" s="4"/>
      <c r="AO1514" s="4"/>
      <c r="AP1514" s="4"/>
      <c r="AQ1514" s="4"/>
    </row>
    <row r="1515" spans="1:43" s="2" customFormat="1" x14ac:dyDescent="0.25">
      <c r="A1515" s="161" t="str">
        <f t="shared" si="25"/>
        <v>SWORDSMAN_EASTEU</v>
      </c>
      <c r="B1515" s="9" t="s">
        <v>104</v>
      </c>
      <c r="C1515" s="4" t="s">
        <v>698</v>
      </c>
      <c r="D1515" s="4"/>
      <c r="E1515" s="4" t="s">
        <v>104</v>
      </c>
      <c r="F1515" s="4" t="s">
        <v>104</v>
      </c>
      <c r="G1515" s="4"/>
      <c r="H1515" s="4" t="s">
        <v>915</v>
      </c>
      <c r="I1515" s="4" t="s">
        <v>1820</v>
      </c>
      <c r="J1515" s="11"/>
      <c r="K1515" s="11"/>
      <c r="L1515" s="4"/>
      <c r="M1515" s="12"/>
      <c r="N1515" s="4"/>
      <c r="O1515" s="4"/>
      <c r="P1515" s="4"/>
      <c r="Q1515" s="9">
        <v>3</v>
      </c>
      <c r="R1515" s="11"/>
      <c r="S1515" s="4"/>
      <c r="T1515" s="11">
        <v>3</v>
      </c>
      <c r="U1515" s="11"/>
      <c r="V1515" s="4"/>
      <c r="W1515" s="11"/>
      <c r="X1515" s="11"/>
      <c r="Y1515" s="4"/>
      <c r="Z1515" s="9">
        <v>0</v>
      </c>
      <c r="AA1515" s="11"/>
      <c r="AB1515" s="4"/>
      <c r="AC1515" s="11"/>
      <c r="AD1515" s="11"/>
      <c r="AE1515" s="4"/>
      <c r="AF1515" s="11">
        <v>1</v>
      </c>
      <c r="AG1515" s="11"/>
      <c r="AH1515" s="4"/>
      <c r="AI1515" s="11">
        <v>2</v>
      </c>
      <c r="AJ1515" s="11"/>
      <c r="AK1515" s="4"/>
      <c r="AL1515" s="4"/>
      <c r="AM1515" s="4"/>
      <c r="AN1515" s="4"/>
      <c r="AO1515" s="4"/>
      <c r="AP1515" s="4"/>
      <c r="AQ1515" s="4"/>
    </row>
    <row r="1516" spans="1:43" s="2" customFormat="1" x14ac:dyDescent="0.25">
      <c r="A1516" s="161" t="str">
        <f t="shared" si="25"/>
        <v>SWORDSMAN_EASTEU</v>
      </c>
      <c r="B1516" s="9" t="s">
        <v>104</v>
      </c>
      <c r="C1516" s="4" t="s">
        <v>698</v>
      </c>
      <c r="D1516" s="4"/>
      <c r="E1516" s="4" t="s">
        <v>104</v>
      </c>
      <c r="F1516" s="4" t="s">
        <v>104</v>
      </c>
      <c r="G1516" s="4" t="s">
        <v>2047</v>
      </c>
      <c r="H1516" s="4" t="s">
        <v>916</v>
      </c>
      <c r="I1516" s="4" t="s">
        <v>1820</v>
      </c>
      <c r="J1516" s="11"/>
      <c r="K1516" s="11"/>
      <c r="L1516" s="4"/>
      <c r="M1516" s="12"/>
      <c r="N1516" s="4"/>
      <c r="O1516" s="4"/>
      <c r="P1516" s="4"/>
      <c r="Q1516" s="9">
        <v>3</v>
      </c>
      <c r="R1516" s="11"/>
      <c r="S1516" s="4"/>
      <c r="T1516" s="11">
        <v>2</v>
      </c>
      <c r="U1516" s="11"/>
      <c r="V1516" s="4"/>
      <c r="W1516" s="11"/>
      <c r="X1516" s="11"/>
      <c r="Y1516" s="4"/>
      <c r="Z1516" s="9">
        <v>0</v>
      </c>
      <c r="AA1516" s="11"/>
      <c r="AB1516" s="4"/>
      <c r="AC1516" s="11"/>
      <c r="AD1516" s="11"/>
      <c r="AE1516" s="4"/>
      <c r="AF1516" s="11">
        <v>0</v>
      </c>
      <c r="AG1516" s="11"/>
      <c r="AH1516" s="4"/>
      <c r="AI1516" s="11">
        <v>2</v>
      </c>
      <c r="AJ1516" s="11"/>
      <c r="AK1516" s="4"/>
      <c r="AL1516" s="4"/>
      <c r="AM1516" s="4"/>
      <c r="AN1516" s="4"/>
      <c r="AO1516" s="4"/>
      <c r="AP1516" s="4"/>
      <c r="AQ1516" s="4"/>
    </row>
    <row r="1517" spans="1:43" s="2" customFormat="1" x14ac:dyDescent="0.25">
      <c r="A1517" s="161" t="str">
        <f t="shared" si="25"/>
        <v>SWORDSMAN_POLAND</v>
      </c>
      <c r="B1517" s="9" t="s">
        <v>104</v>
      </c>
      <c r="C1517" s="4" t="s">
        <v>732</v>
      </c>
      <c r="D1517" s="4"/>
      <c r="E1517" s="4" t="s">
        <v>104</v>
      </c>
      <c r="F1517" s="4" t="s">
        <v>104</v>
      </c>
      <c r="G1517" s="4"/>
      <c r="H1517" s="4" t="s">
        <v>2105</v>
      </c>
      <c r="I1517" s="4" t="s">
        <v>1935</v>
      </c>
      <c r="J1517" s="11"/>
      <c r="K1517" s="11"/>
      <c r="L1517" s="4"/>
      <c r="M1517" s="12"/>
      <c r="N1517" s="4"/>
      <c r="O1517" s="4"/>
      <c r="P1517" s="4"/>
      <c r="Q1517" s="9" t="s">
        <v>1737</v>
      </c>
      <c r="R1517" s="11"/>
      <c r="S1517" s="4"/>
      <c r="T1517" s="11"/>
      <c r="U1517" s="11"/>
      <c r="V1517" s="4"/>
      <c r="W1517" s="11"/>
      <c r="X1517" s="11"/>
      <c r="Y1517" s="4"/>
      <c r="Z1517" s="9"/>
      <c r="AA1517" s="11"/>
      <c r="AB1517" s="4"/>
      <c r="AC1517" s="11"/>
      <c r="AD1517" s="11"/>
      <c r="AE1517" s="4"/>
      <c r="AF1517" s="11"/>
      <c r="AG1517" s="11"/>
      <c r="AH1517" s="4"/>
      <c r="AI1517" s="11"/>
      <c r="AJ1517" s="11"/>
      <c r="AK1517" s="4"/>
      <c r="AL1517" s="4"/>
      <c r="AM1517" s="4"/>
      <c r="AN1517" s="4"/>
      <c r="AO1517" s="4"/>
      <c r="AP1517" s="4"/>
      <c r="AQ1517" s="4"/>
    </row>
    <row r="1518" spans="1:43" x14ac:dyDescent="0.25">
      <c r="A1518" s="161" t="str">
        <f t="shared" si="24"/>
        <v>SWORDSMAN_RUSSIA</v>
      </c>
      <c r="B1518" s="9" t="s">
        <v>104</v>
      </c>
      <c r="C1518" s="4" t="s">
        <v>735</v>
      </c>
      <c r="E1518" s="4" t="s">
        <v>104</v>
      </c>
      <c r="F1518" s="4" t="s">
        <v>104</v>
      </c>
      <c r="H1518" s="4" t="s">
        <v>1009</v>
      </c>
      <c r="I1518" s="4" t="s">
        <v>2103</v>
      </c>
      <c r="Q1518" s="9">
        <v>2</v>
      </c>
      <c r="T1518" s="11">
        <v>2</v>
      </c>
      <c r="Z1518" s="9">
        <v>1</v>
      </c>
      <c r="AF1518" s="11">
        <v>1</v>
      </c>
      <c r="AI1518" s="11">
        <v>1</v>
      </c>
    </row>
    <row r="1519" spans="1:43" x14ac:dyDescent="0.25">
      <c r="A1519" s="161" t="str">
        <f t="shared" si="24"/>
        <v>SWORDSMAN_RUSSIA</v>
      </c>
      <c r="B1519" s="9" t="s">
        <v>104</v>
      </c>
      <c r="C1519" s="4" t="s">
        <v>735</v>
      </c>
      <c r="E1519" s="4" t="s">
        <v>104</v>
      </c>
      <c r="F1519" s="4" t="s">
        <v>104</v>
      </c>
      <c r="G1519" s="4" t="s">
        <v>2047</v>
      </c>
      <c r="H1519" s="4" t="s">
        <v>1010</v>
      </c>
      <c r="I1519" s="4" t="s">
        <v>2103</v>
      </c>
      <c r="Q1519" s="9">
        <v>2</v>
      </c>
      <c r="T1519" s="11">
        <v>3</v>
      </c>
      <c r="Z1519" s="9">
        <v>0</v>
      </c>
      <c r="AF1519" s="11">
        <v>1</v>
      </c>
      <c r="AI1519" s="11">
        <v>1</v>
      </c>
    </row>
    <row r="1520" spans="1:43" x14ac:dyDescent="0.25">
      <c r="A1520" s="161" t="str">
        <f t="shared" si="24"/>
        <v>SWORDSMAN_RUSSIA</v>
      </c>
      <c r="B1520" s="9" t="s">
        <v>104</v>
      </c>
      <c r="C1520" s="4" t="s">
        <v>735</v>
      </c>
      <c r="E1520" s="4" t="s">
        <v>104</v>
      </c>
      <c r="F1520" s="4" t="s">
        <v>104</v>
      </c>
      <c r="G1520" s="4" t="s">
        <v>2049</v>
      </c>
      <c r="H1520" s="4" t="s">
        <v>627</v>
      </c>
      <c r="I1520" s="4" t="s">
        <v>2103</v>
      </c>
      <c r="Q1520" s="9">
        <v>2</v>
      </c>
      <c r="T1520" s="11">
        <v>3</v>
      </c>
      <c r="Z1520" s="9">
        <v>0</v>
      </c>
      <c r="AF1520" s="11">
        <v>1</v>
      </c>
      <c r="AI1520" s="11">
        <v>1</v>
      </c>
    </row>
    <row r="1521" spans="1:35" x14ac:dyDescent="0.25">
      <c r="A1521" s="161" t="str">
        <f t="shared" si="24"/>
        <v>SWORDSMAN_RUSSIA</v>
      </c>
      <c r="B1521" s="9" t="s">
        <v>104</v>
      </c>
      <c r="C1521" s="4" t="s">
        <v>735</v>
      </c>
      <c r="E1521" s="4" t="s">
        <v>104</v>
      </c>
      <c r="F1521" s="4" t="s">
        <v>104</v>
      </c>
      <c r="H1521" s="4" t="s">
        <v>1009</v>
      </c>
      <c r="I1521" s="4" t="s">
        <v>2103</v>
      </c>
      <c r="Q1521" s="9">
        <v>2</v>
      </c>
      <c r="T1521" s="11">
        <v>3</v>
      </c>
      <c r="Z1521" s="9">
        <v>0</v>
      </c>
      <c r="AF1521" s="11">
        <v>0</v>
      </c>
      <c r="AI1521" s="11">
        <v>2</v>
      </c>
    </row>
    <row r="1522" spans="1:35" x14ac:dyDescent="0.25">
      <c r="A1522" s="161" t="str">
        <f t="shared" si="24"/>
        <v>SWORDSMAN_RUSSIA</v>
      </c>
      <c r="B1522" s="9" t="s">
        <v>104</v>
      </c>
      <c r="C1522" s="4" t="s">
        <v>735</v>
      </c>
      <c r="E1522" s="4" t="s">
        <v>104</v>
      </c>
      <c r="F1522" s="4" t="s">
        <v>104</v>
      </c>
      <c r="G1522" s="4" t="s">
        <v>2047</v>
      </c>
      <c r="H1522" s="4" t="s">
        <v>1010</v>
      </c>
      <c r="I1522" s="4" t="s">
        <v>2103</v>
      </c>
      <c r="Q1522" s="9">
        <v>2</v>
      </c>
      <c r="T1522" s="11">
        <v>3</v>
      </c>
      <c r="Z1522" s="9">
        <v>0</v>
      </c>
      <c r="AF1522" s="11">
        <v>0</v>
      </c>
      <c r="AI1522" s="11">
        <v>1</v>
      </c>
    </row>
    <row r="1523" spans="1:35" x14ac:dyDescent="0.25">
      <c r="A1523" s="161" t="str">
        <f t="shared" si="24"/>
        <v>SWORDSMAN_RUSSIA</v>
      </c>
      <c r="B1523" s="9" t="s">
        <v>104</v>
      </c>
      <c r="C1523" s="4" t="s">
        <v>735</v>
      </c>
      <c r="E1523" s="4" t="s">
        <v>104</v>
      </c>
      <c r="F1523" s="4" t="s">
        <v>104</v>
      </c>
      <c r="G1523" s="4" t="s">
        <v>2049</v>
      </c>
      <c r="H1523" s="4" t="s">
        <v>627</v>
      </c>
      <c r="I1523" s="4" t="s">
        <v>2103</v>
      </c>
      <c r="Q1523" s="9">
        <v>2</v>
      </c>
      <c r="T1523" s="11">
        <v>2</v>
      </c>
      <c r="Z1523" s="9">
        <v>0</v>
      </c>
      <c r="AF1523" s="11">
        <v>0</v>
      </c>
      <c r="AI1523" s="11">
        <v>1</v>
      </c>
    </row>
    <row r="1524" spans="1:35" x14ac:dyDescent="0.25">
      <c r="A1524" s="161" t="str">
        <f t="shared" si="24"/>
        <v>SWORDSMAN_AMERICA</v>
      </c>
      <c r="B1524" s="9" t="s">
        <v>104</v>
      </c>
      <c r="C1524" s="4" t="s">
        <v>699</v>
      </c>
      <c r="E1524" s="4" t="s">
        <v>104</v>
      </c>
      <c r="F1524" s="4" t="s">
        <v>104</v>
      </c>
      <c r="G1524" s="14"/>
      <c r="H1524" s="4" t="s">
        <v>152</v>
      </c>
      <c r="I1524" s="4" t="s">
        <v>1941</v>
      </c>
      <c r="Q1524" s="9" t="s">
        <v>1737</v>
      </c>
      <c r="T1524" s="9"/>
      <c r="W1524" s="9"/>
      <c r="AF1524" s="9"/>
      <c r="AI1524" s="9"/>
    </row>
    <row r="1525" spans="1:35" x14ac:dyDescent="0.25">
      <c r="A1525" s="161" t="str">
        <f t="shared" si="24"/>
        <v>SWORDSMAN_ENGLAND</v>
      </c>
      <c r="B1525" s="9" t="s">
        <v>104</v>
      </c>
      <c r="C1525" s="4" t="s">
        <v>713</v>
      </c>
      <c r="E1525" s="4" t="s">
        <v>104</v>
      </c>
      <c r="F1525" s="4" t="s">
        <v>104</v>
      </c>
      <c r="G1525" s="14" t="s">
        <v>132</v>
      </c>
      <c r="H1525" s="4" t="s">
        <v>313</v>
      </c>
      <c r="I1525" s="4" t="s">
        <v>102</v>
      </c>
      <c r="Q1525" s="9" t="s">
        <v>1737</v>
      </c>
      <c r="T1525" s="9"/>
      <c r="W1525" s="9"/>
      <c r="AF1525" s="9"/>
      <c r="AI1525" s="9"/>
    </row>
    <row r="1526" spans="1:35" x14ac:dyDescent="0.25">
      <c r="A1526" s="161" t="str">
        <f t="shared" si="24"/>
        <v>SWORDSMAN_FRANCE</v>
      </c>
      <c r="B1526" s="9" t="s">
        <v>104</v>
      </c>
      <c r="C1526" s="4" t="s">
        <v>715</v>
      </c>
      <c r="E1526" s="4" t="s">
        <v>104</v>
      </c>
      <c r="F1526" s="4" t="s">
        <v>104</v>
      </c>
      <c r="G1526" s="14" t="s">
        <v>132</v>
      </c>
      <c r="H1526" s="4" t="s">
        <v>358</v>
      </c>
      <c r="I1526" s="4" t="s">
        <v>102</v>
      </c>
      <c r="Q1526" s="9" t="s">
        <v>1737</v>
      </c>
      <c r="T1526" s="9"/>
      <c r="W1526" s="9"/>
      <c r="AF1526" s="9"/>
      <c r="AI1526" s="9"/>
    </row>
    <row r="1527" spans="1:35" x14ac:dyDescent="0.25">
      <c r="A1527" s="161" t="str">
        <f t="shared" si="24"/>
        <v>SWORDSMAN_GERMANY</v>
      </c>
      <c r="B1527" s="9" t="s">
        <v>104</v>
      </c>
      <c r="C1527" s="4" t="s">
        <v>717</v>
      </c>
      <c r="E1527" s="4" t="s">
        <v>104</v>
      </c>
      <c r="F1527" s="4" t="s">
        <v>104</v>
      </c>
      <c r="G1527" s="14" t="s">
        <v>132</v>
      </c>
      <c r="H1527" s="4" t="s">
        <v>391</v>
      </c>
      <c r="I1527" s="4" t="s">
        <v>102</v>
      </c>
      <c r="Q1527" s="9" t="s">
        <v>1737</v>
      </c>
      <c r="T1527" s="9"/>
      <c r="W1527" s="9"/>
      <c r="AF1527" s="9"/>
      <c r="AI1527" s="9"/>
    </row>
    <row r="1528" spans="1:35" x14ac:dyDescent="0.25">
      <c r="A1528" s="161" t="str">
        <f t="shared" si="24"/>
        <v>SWORDSMAN_MED</v>
      </c>
      <c r="B1528" s="9" t="s">
        <v>104</v>
      </c>
      <c r="C1528" s="4" t="s">
        <v>692</v>
      </c>
      <c r="E1528" s="4" t="s">
        <v>104</v>
      </c>
      <c r="F1528" s="4" t="s">
        <v>104</v>
      </c>
      <c r="H1528" s="4" t="s">
        <v>854</v>
      </c>
      <c r="I1528" s="4" t="s">
        <v>835</v>
      </c>
      <c r="Q1528" s="9" t="s">
        <v>1737</v>
      </c>
      <c r="T1528" s="9"/>
      <c r="W1528" s="9"/>
      <c r="AF1528" s="9"/>
      <c r="AI1528" s="9"/>
    </row>
    <row r="1529" spans="1:35" x14ac:dyDescent="0.25">
      <c r="A1529" s="161" t="str">
        <f t="shared" ref="A1529:A1605" si="26">CONCATENATE(E1529,IF(ISBLANK(C1529),"",CONCATENATE("_",C1529)))</f>
        <v>SWORDSMAN_GREECE</v>
      </c>
      <c r="B1529" s="9" t="s">
        <v>104</v>
      </c>
      <c r="C1529" s="4" t="s">
        <v>718</v>
      </c>
      <c r="E1529" s="4" t="s">
        <v>104</v>
      </c>
      <c r="F1529" s="4" t="s">
        <v>104</v>
      </c>
      <c r="G1529" s="14" t="s">
        <v>132</v>
      </c>
      <c r="H1529" s="4" t="s">
        <v>414</v>
      </c>
      <c r="I1529" s="4" t="s">
        <v>122</v>
      </c>
      <c r="Q1529" s="9" t="s">
        <v>1737</v>
      </c>
      <c r="T1529" s="9"/>
      <c r="W1529" s="9"/>
      <c r="Z1529" s="9"/>
      <c r="AF1529" s="9"/>
      <c r="AI1529" s="9"/>
    </row>
    <row r="1530" spans="1:35" x14ac:dyDescent="0.25">
      <c r="A1530" s="161" t="str">
        <f t="shared" si="26"/>
        <v>SWORDSMAN_ROME</v>
      </c>
      <c r="B1530" s="9" t="s">
        <v>104</v>
      </c>
      <c r="C1530" s="4" t="s">
        <v>734</v>
      </c>
      <c r="E1530" s="4" t="s">
        <v>104</v>
      </c>
      <c r="F1530" s="4" t="s">
        <v>104</v>
      </c>
      <c r="G1530" s="14" t="s">
        <v>132</v>
      </c>
      <c r="H1530" s="4" t="s">
        <v>600</v>
      </c>
      <c r="I1530" s="4" t="s">
        <v>128</v>
      </c>
      <c r="Q1530" s="9" t="s">
        <v>1737</v>
      </c>
      <c r="T1530" s="9"/>
      <c r="W1530" s="9"/>
      <c r="Z1530" s="9"/>
      <c r="AF1530" s="9"/>
      <c r="AI1530" s="9"/>
    </row>
    <row r="1531" spans="1:35" x14ac:dyDescent="0.25">
      <c r="A1531" s="161" t="str">
        <f t="shared" si="26"/>
        <v>SWORDSMAN_SPAIN</v>
      </c>
      <c r="B1531" s="9" t="s">
        <v>104</v>
      </c>
      <c r="C1531" s="4" t="s">
        <v>738</v>
      </c>
      <c r="E1531" s="4" t="s">
        <v>104</v>
      </c>
      <c r="F1531" s="4" t="s">
        <v>104</v>
      </c>
      <c r="H1531" s="4" t="s">
        <v>1020</v>
      </c>
      <c r="I1531" s="4" t="s">
        <v>2103</v>
      </c>
      <c r="Q1531" s="9">
        <v>3</v>
      </c>
      <c r="T1531" s="11">
        <v>3</v>
      </c>
      <c r="Z1531" s="9">
        <v>1</v>
      </c>
      <c r="AF1531" s="11">
        <v>1</v>
      </c>
      <c r="AI1531" s="11">
        <v>2</v>
      </c>
    </row>
    <row r="1532" spans="1:35" x14ac:dyDescent="0.25">
      <c r="A1532" s="161" t="str">
        <f t="shared" si="26"/>
        <v>SWORDSMAN_SPAIN</v>
      </c>
      <c r="B1532" s="9" t="s">
        <v>104</v>
      </c>
      <c r="C1532" s="4" t="s">
        <v>738</v>
      </c>
      <c r="E1532" s="4" t="s">
        <v>104</v>
      </c>
      <c r="F1532" s="4" t="s">
        <v>104</v>
      </c>
      <c r="G1532" s="4" t="s">
        <v>2047</v>
      </c>
      <c r="H1532" s="4" t="s">
        <v>663</v>
      </c>
      <c r="I1532" s="4" t="s">
        <v>2103</v>
      </c>
      <c r="Q1532" s="9">
        <v>3</v>
      </c>
      <c r="T1532" s="11">
        <v>5</v>
      </c>
      <c r="Z1532" s="9">
        <v>0</v>
      </c>
      <c r="AF1532" s="11">
        <v>1</v>
      </c>
      <c r="AI1532" s="11">
        <v>1</v>
      </c>
    </row>
    <row r="1533" spans="1:35" x14ac:dyDescent="0.25">
      <c r="A1533" s="161" t="str">
        <f t="shared" si="26"/>
        <v>SWORDSMAN_SPAIN</v>
      </c>
      <c r="B1533" s="9" t="s">
        <v>104</v>
      </c>
      <c r="C1533" s="4" t="s">
        <v>738</v>
      </c>
      <c r="E1533" s="4" t="s">
        <v>104</v>
      </c>
      <c r="F1533" s="4" t="s">
        <v>104</v>
      </c>
      <c r="H1533" s="4" t="s">
        <v>1020</v>
      </c>
      <c r="I1533" s="4" t="s">
        <v>2103</v>
      </c>
      <c r="Q1533" s="9">
        <v>3</v>
      </c>
      <c r="T1533" s="11">
        <v>5</v>
      </c>
      <c r="Z1533" s="9">
        <v>0</v>
      </c>
      <c r="AF1533" s="11">
        <v>1</v>
      </c>
      <c r="AI1533" s="11">
        <v>2</v>
      </c>
    </row>
    <row r="1534" spans="1:35" x14ac:dyDescent="0.25">
      <c r="A1534" s="161" t="str">
        <f t="shared" si="26"/>
        <v>SWORDSMAN_SPAIN</v>
      </c>
      <c r="B1534" s="9" t="s">
        <v>104</v>
      </c>
      <c r="C1534" s="4" t="s">
        <v>738</v>
      </c>
      <c r="E1534" s="4" t="s">
        <v>104</v>
      </c>
      <c r="F1534" s="4" t="s">
        <v>104</v>
      </c>
      <c r="G1534" s="4" t="s">
        <v>2047</v>
      </c>
      <c r="H1534" s="4" t="s">
        <v>663</v>
      </c>
      <c r="I1534" s="4" t="s">
        <v>2103</v>
      </c>
      <c r="Q1534" s="9">
        <v>3</v>
      </c>
      <c r="T1534" s="11">
        <v>3</v>
      </c>
      <c r="Z1534" s="9">
        <v>0</v>
      </c>
      <c r="AF1534" s="11">
        <v>0</v>
      </c>
      <c r="AI1534" s="11">
        <v>2</v>
      </c>
    </row>
    <row r="1535" spans="1:35" x14ac:dyDescent="0.25">
      <c r="A1535" s="161" t="str">
        <f t="shared" si="26"/>
        <v>SWORDSMAN_MIDEAST</v>
      </c>
      <c r="B1535" s="9" t="s">
        <v>104</v>
      </c>
      <c r="C1535" s="4" t="s">
        <v>690</v>
      </c>
      <c r="E1535" s="4" t="s">
        <v>104</v>
      </c>
      <c r="F1535" s="4" t="s">
        <v>104</v>
      </c>
      <c r="H1535" s="4" t="s">
        <v>175</v>
      </c>
      <c r="I1535" s="4" t="s">
        <v>122</v>
      </c>
      <c r="Q1535" s="9" t="s">
        <v>1737</v>
      </c>
      <c r="T1535" s="9"/>
      <c r="W1535" s="9"/>
      <c r="Z1535" s="9"/>
      <c r="AF1535" s="9"/>
      <c r="AI1535" s="9"/>
    </row>
    <row r="1536" spans="1:35" x14ac:dyDescent="0.25">
      <c r="A1536" s="161" t="str">
        <f t="shared" si="26"/>
        <v>SWORDSMAN_ARABIA</v>
      </c>
      <c r="B1536" s="9" t="s">
        <v>104</v>
      </c>
      <c r="C1536" s="4" t="s">
        <v>700</v>
      </c>
      <c r="D1536" s="14"/>
      <c r="E1536" s="4" t="s">
        <v>104</v>
      </c>
      <c r="F1536" s="4" t="s">
        <v>104</v>
      </c>
      <c r="H1536" s="4" t="s">
        <v>806</v>
      </c>
      <c r="I1536" s="4" t="s">
        <v>2103</v>
      </c>
      <c r="Q1536" s="9">
        <v>2</v>
      </c>
      <c r="T1536" s="11">
        <v>2</v>
      </c>
      <c r="Z1536" s="9">
        <v>1</v>
      </c>
      <c r="AF1536" s="11">
        <v>1</v>
      </c>
      <c r="AI1536" s="11">
        <v>1</v>
      </c>
    </row>
    <row r="1537" spans="1:35" x14ac:dyDescent="0.25">
      <c r="A1537" s="161" t="str">
        <f t="shared" si="26"/>
        <v>SWORDSMAN_ARABIA</v>
      </c>
      <c r="B1537" s="9" t="s">
        <v>104</v>
      </c>
      <c r="C1537" s="4" t="s">
        <v>700</v>
      </c>
      <c r="D1537" s="14"/>
      <c r="E1537" s="4" t="s">
        <v>104</v>
      </c>
      <c r="F1537" s="4" t="s">
        <v>104</v>
      </c>
      <c r="G1537" s="4" t="s">
        <v>2047</v>
      </c>
      <c r="H1537" s="4" t="s">
        <v>807</v>
      </c>
      <c r="I1537" s="4" t="s">
        <v>2103</v>
      </c>
      <c r="Q1537" s="9">
        <v>2</v>
      </c>
      <c r="T1537" s="11">
        <v>3</v>
      </c>
      <c r="Z1537" s="9">
        <v>0</v>
      </c>
      <c r="AF1537" s="11">
        <v>1</v>
      </c>
      <c r="AI1537" s="11">
        <v>1</v>
      </c>
    </row>
    <row r="1538" spans="1:35" x14ac:dyDescent="0.25">
      <c r="A1538" s="161" t="str">
        <f t="shared" si="26"/>
        <v>SWORDSMAN_ARABIA</v>
      </c>
      <c r="B1538" s="9" t="s">
        <v>104</v>
      </c>
      <c r="C1538" s="4" t="s">
        <v>700</v>
      </c>
      <c r="D1538" s="14"/>
      <c r="E1538" s="4" t="s">
        <v>104</v>
      </c>
      <c r="F1538" s="4" t="s">
        <v>104</v>
      </c>
      <c r="G1538" s="4" t="s">
        <v>2049</v>
      </c>
      <c r="H1538" s="4" t="s">
        <v>171</v>
      </c>
      <c r="I1538" s="4" t="s">
        <v>2103</v>
      </c>
      <c r="Q1538" s="9">
        <v>2</v>
      </c>
      <c r="T1538" s="11">
        <v>3</v>
      </c>
      <c r="Z1538" s="9">
        <v>0</v>
      </c>
      <c r="AF1538" s="11">
        <v>1</v>
      </c>
      <c r="AI1538" s="11">
        <v>1</v>
      </c>
    </row>
    <row r="1539" spans="1:35" x14ac:dyDescent="0.25">
      <c r="A1539" s="161" t="str">
        <f t="shared" si="26"/>
        <v>SWORDSMAN_ARABIA</v>
      </c>
      <c r="B1539" s="9" t="s">
        <v>104</v>
      </c>
      <c r="C1539" s="4" t="s">
        <v>700</v>
      </c>
      <c r="D1539" s="14"/>
      <c r="E1539" s="4" t="s">
        <v>104</v>
      </c>
      <c r="F1539" s="4" t="s">
        <v>104</v>
      </c>
      <c r="H1539" s="4" t="s">
        <v>806</v>
      </c>
      <c r="I1539" s="4" t="s">
        <v>2103</v>
      </c>
      <c r="Q1539" s="9">
        <v>2</v>
      </c>
      <c r="T1539" s="11">
        <v>3</v>
      </c>
      <c r="Z1539" s="9">
        <v>0</v>
      </c>
      <c r="AF1539" s="11">
        <v>0</v>
      </c>
      <c r="AI1539" s="11">
        <v>2</v>
      </c>
    </row>
    <row r="1540" spans="1:35" x14ac:dyDescent="0.25">
      <c r="A1540" s="161" t="str">
        <f t="shared" si="26"/>
        <v>SWORDSMAN_ARABIA</v>
      </c>
      <c r="B1540" s="9" t="s">
        <v>104</v>
      </c>
      <c r="C1540" s="4" t="s">
        <v>700</v>
      </c>
      <c r="D1540" s="14"/>
      <c r="E1540" s="4" t="s">
        <v>104</v>
      </c>
      <c r="F1540" s="4" t="s">
        <v>104</v>
      </c>
      <c r="G1540" s="4" t="s">
        <v>2047</v>
      </c>
      <c r="H1540" s="4" t="s">
        <v>807</v>
      </c>
      <c r="I1540" s="4" t="s">
        <v>2103</v>
      </c>
      <c r="Q1540" s="9">
        <v>2</v>
      </c>
      <c r="T1540" s="11">
        <v>3</v>
      </c>
      <c r="Z1540" s="9">
        <v>0</v>
      </c>
      <c r="AF1540" s="11">
        <v>0</v>
      </c>
      <c r="AI1540" s="11">
        <v>1</v>
      </c>
    </row>
    <row r="1541" spans="1:35" x14ac:dyDescent="0.25">
      <c r="A1541" s="161" t="str">
        <f t="shared" si="26"/>
        <v>SWORDSMAN_ARABIA</v>
      </c>
      <c r="B1541" s="9" t="s">
        <v>104</v>
      </c>
      <c r="C1541" s="4" t="s">
        <v>700</v>
      </c>
      <c r="D1541" s="14"/>
      <c r="E1541" s="4" t="s">
        <v>104</v>
      </c>
      <c r="F1541" s="4" t="s">
        <v>104</v>
      </c>
      <c r="G1541" s="4" t="s">
        <v>2049</v>
      </c>
      <c r="H1541" s="4" t="s">
        <v>171</v>
      </c>
      <c r="I1541" s="4" t="s">
        <v>2103</v>
      </c>
      <c r="Q1541" s="9">
        <v>2</v>
      </c>
      <c r="T1541" s="11">
        <v>2</v>
      </c>
      <c r="Z1541" s="9">
        <v>0</v>
      </c>
      <c r="AF1541" s="11">
        <v>0</v>
      </c>
      <c r="AI1541" s="11">
        <v>1</v>
      </c>
    </row>
    <row r="1542" spans="1:35" x14ac:dyDescent="0.25">
      <c r="A1542" s="161" t="str">
        <f t="shared" si="26"/>
        <v>SWORDSMAN_BABYLON</v>
      </c>
      <c r="B1542" s="9" t="s">
        <v>104</v>
      </c>
      <c r="C1542" s="4" t="s">
        <v>703</v>
      </c>
      <c r="E1542" s="4" t="s">
        <v>104</v>
      </c>
      <c r="F1542" s="4" t="s">
        <v>104</v>
      </c>
      <c r="H1542" s="4" t="s">
        <v>814</v>
      </c>
      <c r="I1542" s="4" t="s">
        <v>102</v>
      </c>
      <c r="Q1542" s="9">
        <v>2</v>
      </c>
      <c r="T1542" s="11">
        <v>2</v>
      </c>
      <c r="Z1542" s="9">
        <v>1</v>
      </c>
      <c r="AF1542" s="11">
        <v>1</v>
      </c>
      <c r="AI1542" s="11">
        <v>1</v>
      </c>
    </row>
    <row r="1543" spans="1:35" x14ac:dyDescent="0.25">
      <c r="A1543" s="161" t="str">
        <f t="shared" si="26"/>
        <v>SWORDSMAN_BABYLON</v>
      </c>
      <c r="B1543" s="9" t="s">
        <v>104</v>
      </c>
      <c r="C1543" s="4" t="s">
        <v>703</v>
      </c>
      <c r="E1543" s="4" t="s">
        <v>104</v>
      </c>
      <c r="F1543" s="4" t="s">
        <v>104</v>
      </c>
      <c r="G1543" s="4" t="s">
        <v>2047</v>
      </c>
      <c r="H1543" s="4" t="s">
        <v>815</v>
      </c>
      <c r="I1543" s="4" t="s">
        <v>102</v>
      </c>
      <c r="Q1543" s="9">
        <v>2</v>
      </c>
      <c r="T1543" s="11">
        <v>3</v>
      </c>
      <c r="Z1543" s="9">
        <v>0</v>
      </c>
      <c r="AF1543" s="11">
        <v>1</v>
      </c>
      <c r="AI1543" s="11">
        <v>1</v>
      </c>
    </row>
    <row r="1544" spans="1:35" x14ac:dyDescent="0.25">
      <c r="A1544" s="161" t="str">
        <f t="shared" si="26"/>
        <v>SWORDSMAN_BABYLON</v>
      </c>
      <c r="B1544" s="9" t="s">
        <v>104</v>
      </c>
      <c r="C1544" s="4" t="s">
        <v>703</v>
      </c>
      <c r="E1544" s="4" t="s">
        <v>104</v>
      </c>
      <c r="F1544" s="4" t="s">
        <v>104</v>
      </c>
      <c r="G1544" s="4" t="s">
        <v>2049</v>
      </c>
      <c r="H1544" s="4" t="s">
        <v>218</v>
      </c>
      <c r="I1544" s="4" t="s">
        <v>102</v>
      </c>
      <c r="Q1544" s="9">
        <v>2</v>
      </c>
      <c r="T1544" s="11">
        <v>3</v>
      </c>
      <c r="Z1544" s="9">
        <v>0</v>
      </c>
      <c r="AF1544" s="11">
        <v>1</v>
      </c>
      <c r="AI1544" s="11">
        <v>1</v>
      </c>
    </row>
    <row r="1545" spans="1:35" x14ac:dyDescent="0.25">
      <c r="A1545" s="161" t="str">
        <f t="shared" si="26"/>
        <v>SWORDSMAN_BABYLON</v>
      </c>
      <c r="B1545" s="9" t="s">
        <v>104</v>
      </c>
      <c r="C1545" s="4" t="s">
        <v>703</v>
      </c>
      <c r="E1545" s="4" t="s">
        <v>104</v>
      </c>
      <c r="F1545" s="4" t="s">
        <v>104</v>
      </c>
      <c r="H1545" s="4" t="s">
        <v>814</v>
      </c>
      <c r="I1545" s="4" t="s">
        <v>102</v>
      </c>
      <c r="Q1545" s="9">
        <v>2</v>
      </c>
      <c r="T1545" s="11">
        <v>3</v>
      </c>
      <c r="Z1545" s="9">
        <v>0</v>
      </c>
      <c r="AF1545" s="11">
        <v>0</v>
      </c>
      <c r="AI1545" s="11">
        <v>2</v>
      </c>
    </row>
    <row r="1546" spans="1:35" x14ac:dyDescent="0.25">
      <c r="A1546" s="161" t="str">
        <f t="shared" si="26"/>
        <v>SWORDSMAN_BABYLON</v>
      </c>
      <c r="B1546" s="9" t="s">
        <v>104</v>
      </c>
      <c r="C1546" s="4" t="s">
        <v>703</v>
      </c>
      <c r="E1546" s="4" t="s">
        <v>104</v>
      </c>
      <c r="F1546" s="4" t="s">
        <v>104</v>
      </c>
      <c r="G1546" s="4" t="s">
        <v>2047</v>
      </c>
      <c r="H1546" s="4" t="s">
        <v>815</v>
      </c>
      <c r="I1546" s="4" t="s">
        <v>102</v>
      </c>
      <c r="Q1546" s="9">
        <v>2</v>
      </c>
      <c r="T1546" s="11">
        <v>3</v>
      </c>
      <c r="Z1546" s="9">
        <v>0</v>
      </c>
      <c r="AF1546" s="11">
        <v>0</v>
      </c>
      <c r="AI1546" s="11">
        <v>1</v>
      </c>
    </row>
    <row r="1547" spans="1:35" x14ac:dyDescent="0.25">
      <c r="A1547" s="161" t="str">
        <f t="shared" si="26"/>
        <v>SWORDSMAN_BABYLON</v>
      </c>
      <c r="B1547" s="9" t="s">
        <v>104</v>
      </c>
      <c r="C1547" s="4" t="s">
        <v>703</v>
      </c>
      <c r="E1547" s="4" t="s">
        <v>104</v>
      </c>
      <c r="F1547" s="4" t="s">
        <v>104</v>
      </c>
      <c r="G1547" s="4" t="s">
        <v>2049</v>
      </c>
      <c r="H1547" s="4" t="s">
        <v>218</v>
      </c>
      <c r="I1547" s="4" t="s">
        <v>102</v>
      </c>
      <c r="Q1547" s="9">
        <v>2</v>
      </c>
      <c r="T1547" s="11">
        <v>2</v>
      </c>
      <c r="Z1547" s="9">
        <v>0</v>
      </c>
      <c r="AF1547" s="11">
        <v>0</v>
      </c>
      <c r="AI1547" s="11">
        <v>1</v>
      </c>
    </row>
    <row r="1548" spans="1:35" x14ac:dyDescent="0.25">
      <c r="A1548" s="161" t="str">
        <f t="shared" si="26"/>
        <v>SWORDSMAN_EGYPT</v>
      </c>
      <c r="B1548" s="9" t="s">
        <v>104</v>
      </c>
      <c r="C1548" s="4" t="s">
        <v>712</v>
      </c>
      <c r="E1548" s="4" t="s">
        <v>104</v>
      </c>
      <c r="F1548" s="4" t="s">
        <v>104</v>
      </c>
      <c r="G1548" s="14" t="s">
        <v>132</v>
      </c>
      <c r="H1548" s="4" t="s">
        <v>288</v>
      </c>
      <c r="I1548" s="4" t="s">
        <v>122</v>
      </c>
      <c r="Q1548" s="9" t="s">
        <v>1737</v>
      </c>
      <c r="T1548" s="9"/>
      <c r="W1548" s="9"/>
      <c r="Z1548" s="9"/>
      <c r="AF1548" s="9"/>
      <c r="AI1548" s="9"/>
    </row>
    <row r="1549" spans="1:35" x14ac:dyDescent="0.25">
      <c r="A1549" s="161" t="str">
        <f t="shared" si="26"/>
        <v>SWORDSMAN_JERUSALEM</v>
      </c>
      <c r="B1549" s="9" t="s">
        <v>104</v>
      </c>
      <c r="C1549" s="4" t="s">
        <v>1184</v>
      </c>
      <c r="E1549" s="4" t="s">
        <v>104</v>
      </c>
      <c r="F1549" s="4" t="s">
        <v>104</v>
      </c>
      <c r="G1549" s="14" t="s">
        <v>132</v>
      </c>
      <c r="H1549" s="4" t="s">
        <v>1825</v>
      </c>
      <c r="I1549" s="4" t="s">
        <v>1025</v>
      </c>
      <c r="Q1549" s="9" t="s">
        <v>1737</v>
      </c>
      <c r="T1549" s="9"/>
      <c r="W1549" s="9"/>
      <c r="Z1549" s="9"/>
      <c r="AF1549" s="9"/>
      <c r="AI1549" s="9"/>
    </row>
    <row r="1550" spans="1:35" x14ac:dyDescent="0.25">
      <c r="A1550" s="161" t="str">
        <f t="shared" si="26"/>
        <v>SWORDSMAN_PERSIA</v>
      </c>
      <c r="B1550" s="9" t="s">
        <v>104</v>
      </c>
      <c r="C1550" s="4" t="s">
        <v>731</v>
      </c>
      <c r="E1550" s="4" t="s">
        <v>104</v>
      </c>
      <c r="F1550" s="4" t="s">
        <v>104</v>
      </c>
      <c r="G1550" s="14" t="s">
        <v>132</v>
      </c>
      <c r="H1550" s="4" t="s">
        <v>564</v>
      </c>
      <c r="I1550" s="4" t="s">
        <v>102</v>
      </c>
      <c r="Q1550" s="9" t="s">
        <v>1737</v>
      </c>
      <c r="T1550" s="9"/>
      <c r="W1550" s="9"/>
      <c r="Z1550" s="9"/>
      <c r="AF1550" s="9"/>
      <c r="AI1550" s="9"/>
    </row>
    <row r="1551" spans="1:35" x14ac:dyDescent="0.25">
      <c r="A1551" s="161" t="str">
        <f t="shared" si="26"/>
        <v>SWORDSMAN_NORTHAF</v>
      </c>
      <c r="B1551" s="9" t="s">
        <v>104</v>
      </c>
      <c r="C1551" s="4" t="s">
        <v>2011</v>
      </c>
      <c r="E1551" s="4" t="s">
        <v>104</v>
      </c>
      <c r="F1551" s="4" t="s">
        <v>104</v>
      </c>
      <c r="H1551" s="4" t="s">
        <v>822</v>
      </c>
      <c r="I1551" s="4" t="s">
        <v>1824</v>
      </c>
      <c r="Q1551" s="9">
        <v>2</v>
      </c>
      <c r="R1551" s="11">
        <v>0.15</v>
      </c>
      <c r="T1551" s="11">
        <v>2</v>
      </c>
      <c r="U1551" s="11">
        <v>9.5000000000000001E-2</v>
      </c>
      <c r="X1551" s="11" t="s">
        <v>3</v>
      </c>
      <c r="Z1551" s="9">
        <v>0</v>
      </c>
      <c r="AF1551" s="11">
        <v>1</v>
      </c>
      <c r="AI1551" s="11">
        <v>1</v>
      </c>
    </row>
    <row r="1552" spans="1:35" x14ac:dyDescent="0.25">
      <c r="A1552" s="161" t="str">
        <f t="shared" si="26"/>
        <v>SWORDSMAN_NORTHAF</v>
      </c>
      <c r="B1552" s="9" t="s">
        <v>104</v>
      </c>
      <c r="C1552" s="4" t="s">
        <v>2011</v>
      </c>
      <c r="E1552" s="4" t="s">
        <v>104</v>
      </c>
      <c r="F1552" s="4" t="s">
        <v>104</v>
      </c>
      <c r="G1552" s="4" t="s">
        <v>2047</v>
      </c>
      <c r="H1552" s="4" t="s">
        <v>823</v>
      </c>
      <c r="I1552" s="4" t="s">
        <v>1824</v>
      </c>
      <c r="Q1552" s="9">
        <v>1</v>
      </c>
      <c r="R1552" s="11">
        <v>0.15</v>
      </c>
      <c r="T1552" s="11">
        <v>3</v>
      </c>
      <c r="U1552" s="11">
        <v>9.5000000000000001E-2</v>
      </c>
      <c r="X1552" s="11" t="s">
        <v>3</v>
      </c>
      <c r="Z1552" s="9">
        <v>1</v>
      </c>
      <c r="AF1552" s="11">
        <v>1</v>
      </c>
      <c r="AI1552" s="11">
        <v>2</v>
      </c>
    </row>
    <row r="1553" spans="1:35" x14ac:dyDescent="0.25">
      <c r="A1553" s="161" t="str">
        <f t="shared" si="26"/>
        <v>SWORDSMAN_NORTHAF</v>
      </c>
      <c r="B1553" s="9" t="s">
        <v>104</v>
      </c>
      <c r="C1553" s="4" t="s">
        <v>2011</v>
      </c>
      <c r="E1553" s="4" t="s">
        <v>104</v>
      </c>
      <c r="F1553" s="4" t="s">
        <v>104</v>
      </c>
      <c r="G1553" s="4" t="s">
        <v>2049</v>
      </c>
      <c r="H1553" s="4" t="s">
        <v>235</v>
      </c>
      <c r="I1553" s="4" t="s">
        <v>1823</v>
      </c>
      <c r="Q1553" s="9">
        <v>3</v>
      </c>
      <c r="R1553" s="11">
        <v>0.15</v>
      </c>
      <c r="T1553" s="11">
        <v>2</v>
      </c>
      <c r="U1553" s="11">
        <v>9.5000000000000001E-2</v>
      </c>
      <c r="X1553" s="11" t="s">
        <v>3</v>
      </c>
      <c r="Z1553" s="9">
        <v>0</v>
      </c>
      <c r="AF1553" s="11">
        <v>1</v>
      </c>
      <c r="AI1553" s="11">
        <v>1</v>
      </c>
    </row>
    <row r="1554" spans="1:35" x14ac:dyDescent="0.25">
      <c r="A1554" s="161" t="str">
        <f t="shared" si="26"/>
        <v>SWORDSMAN_NORTHAF</v>
      </c>
      <c r="B1554" s="9" t="s">
        <v>104</v>
      </c>
      <c r="C1554" s="4" t="s">
        <v>2011</v>
      </c>
      <c r="E1554" s="4" t="s">
        <v>104</v>
      </c>
      <c r="F1554" s="4" t="s">
        <v>104</v>
      </c>
      <c r="H1554" s="4" t="s">
        <v>822</v>
      </c>
      <c r="I1554" s="4" t="s">
        <v>1824</v>
      </c>
      <c r="Q1554" s="9">
        <v>2</v>
      </c>
      <c r="R1554" s="11">
        <v>0.15</v>
      </c>
      <c r="T1554" s="11">
        <v>3</v>
      </c>
      <c r="U1554" s="11">
        <v>9.5000000000000001E-2</v>
      </c>
      <c r="X1554" s="11" t="s">
        <v>3</v>
      </c>
      <c r="Z1554" s="9">
        <v>0</v>
      </c>
      <c r="AF1554" s="11">
        <v>0</v>
      </c>
      <c r="AI1554" s="11">
        <v>1</v>
      </c>
    </row>
    <row r="1555" spans="1:35" x14ac:dyDescent="0.25">
      <c r="A1555" s="161" t="str">
        <f t="shared" si="26"/>
        <v>SWORDSMAN_NORTHAF</v>
      </c>
      <c r="B1555" s="9" t="s">
        <v>104</v>
      </c>
      <c r="C1555" s="4" t="s">
        <v>2011</v>
      </c>
      <c r="E1555" s="4" t="s">
        <v>104</v>
      </c>
      <c r="F1555" s="4" t="s">
        <v>104</v>
      </c>
      <c r="G1555" s="4" t="s">
        <v>2047</v>
      </c>
      <c r="H1555" s="4" t="s">
        <v>823</v>
      </c>
      <c r="I1555" s="4" t="s">
        <v>1824</v>
      </c>
      <c r="Q1555" s="9">
        <v>2</v>
      </c>
      <c r="R1555" s="11">
        <v>0.15</v>
      </c>
      <c r="T1555" s="11">
        <v>3</v>
      </c>
      <c r="U1555" s="11">
        <v>9.5000000000000001E-2</v>
      </c>
      <c r="X1555" s="11" t="s">
        <v>3</v>
      </c>
      <c r="Z1555" s="9">
        <v>0</v>
      </c>
      <c r="AF1555" s="11">
        <v>0</v>
      </c>
      <c r="AI1555" s="11">
        <v>1</v>
      </c>
    </row>
    <row r="1556" spans="1:35" x14ac:dyDescent="0.25">
      <c r="A1556" s="161" t="str">
        <f t="shared" si="26"/>
        <v>SWORDSMAN_NORTHAF</v>
      </c>
      <c r="B1556" s="9" t="s">
        <v>104</v>
      </c>
      <c r="C1556" s="4" t="s">
        <v>2011</v>
      </c>
      <c r="E1556" s="4" t="s">
        <v>104</v>
      </c>
      <c r="F1556" s="4" t="s">
        <v>104</v>
      </c>
      <c r="G1556" s="4" t="s">
        <v>2049</v>
      </c>
      <c r="H1556" s="4" t="s">
        <v>235</v>
      </c>
      <c r="I1556" s="4" t="s">
        <v>1823</v>
      </c>
      <c r="Q1556" s="9">
        <v>2</v>
      </c>
      <c r="R1556" s="11">
        <v>0.15</v>
      </c>
      <c r="T1556" s="11">
        <v>3</v>
      </c>
      <c r="U1556" s="11">
        <v>9.5000000000000001E-2</v>
      </c>
      <c r="X1556" s="11" t="s">
        <v>3</v>
      </c>
      <c r="Z1556" s="9">
        <v>0</v>
      </c>
      <c r="AF1556" s="11">
        <v>0</v>
      </c>
      <c r="AI1556" s="11">
        <v>1</v>
      </c>
    </row>
    <row r="1557" spans="1:35" x14ac:dyDescent="0.25">
      <c r="A1557" s="161" t="str">
        <f t="shared" si="26"/>
        <v>SWORDSMAN_NORTHEU</v>
      </c>
      <c r="B1557" s="9" t="s">
        <v>104</v>
      </c>
      <c r="C1557" s="4" t="s">
        <v>962</v>
      </c>
      <c r="E1557" s="4" t="s">
        <v>104</v>
      </c>
      <c r="F1557" s="4" t="s">
        <v>104</v>
      </c>
      <c r="G1557" s="14" t="s">
        <v>132</v>
      </c>
      <c r="H1557" s="4" t="s">
        <v>273</v>
      </c>
      <c r="I1557" s="4" t="s">
        <v>102</v>
      </c>
      <c r="Q1557" s="9" t="s">
        <v>1737</v>
      </c>
      <c r="T1557" s="9"/>
      <c r="W1557" s="9"/>
      <c r="Z1557" s="9"/>
      <c r="AF1557" s="9"/>
      <c r="AI1557" s="9"/>
    </row>
    <row r="1558" spans="1:35" x14ac:dyDescent="0.25">
      <c r="A1558" s="161" t="str">
        <f t="shared" si="26"/>
        <v>SWORDSMAN_OCEAN</v>
      </c>
      <c r="B1558" s="9" t="s">
        <v>104</v>
      </c>
      <c r="C1558" s="4" t="s">
        <v>994</v>
      </c>
      <c r="E1558" s="4" t="s">
        <v>104</v>
      </c>
      <c r="F1558" s="4" t="s">
        <v>104</v>
      </c>
      <c r="H1558" s="4" t="s">
        <v>996</v>
      </c>
      <c r="I1558" s="4" t="s">
        <v>1800</v>
      </c>
      <c r="Q1558" s="9" t="s">
        <v>1737</v>
      </c>
      <c r="T1558" s="9"/>
      <c r="W1558" s="9"/>
      <c r="Z1558" s="9"/>
      <c r="AF1558" s="9"/>
      <c r="AI1558" s="9"/>
    </row>
    <row r="1559" spans="1:35" x14ac:dyDescent="0.25">
      <c r="A1559" s="161" t="str">
        <f t="shared" si="26"/>
        <v>SWORDSMAN_POLYNESIA</v>
      </c>
      <c r="B1559" s="9" t="s">
        <v>104</v>
      </c>
      <c r="C1559" s="4" t="s">
        <v>1081</v>
      </c>
      <c r="E1559" s="4" t="s">
        <v>104</v>
      </c>
      <c r="F1559" s="4" t="s">
        <v>104</v>
      </c>
      <c r="H1559" s="4" t="s">
        <v>997</v>
      </c>
      <c r="I1559" s="4" t="s">
        <v>1025</v>
      </c>
      <c r="Q1559" s="9" t="s">
        <v>1737</v>
      </c>
      <c r="T1559" s="9"/>
      <c r="W1559" s="9"/>
      <c r="Z1559" s="9"/>
      <c r="AF1559" s="9"/>
      <c r="AI1559" s="9"/>
    </row>
    <row r="1560" spans="1:35" x14ac:dyDescent="0.25">
      <c r="A1560" s="161" t="str">
        <f t="shared" si="26"/>
        <v>SWORDSMAN_SEASIA</v>
      </c>
      <c r="B1560" s="9" t="s">
        <v>104</v>
      </c>
      <c r="C1560" s="4" t="s">
        <v>696</v>
      </c>
      <c r="D1560" s="4" t="s">
        <v>693</v>
      </c>
      <c r="E1560" s="4" t="s">
        <v>104</v>
      </c>
      <c r="F1560" s="4" t="s">
        <v>104</v>
      </c>
      <c r="Q1560" s="9"/>
      <c r="T1560" s="9"/>
      <c r="W1560" s="9"/>
      <c r="AF1560" s="9"/>
      <c r="AI1560" s="9"/>
    </row>
    <row r="1561" spans="1:35" x14ac:dyDescent="0.25">
      <c r="A1561" s="161" t="str">
        <f t="shared" si="26"/>
        <v>SWORDSMAN_SOUTHAM</v>
      </c>
      <c r="B1561" s="9" t="s">
        <v>104</v>
      </c>
      <c r="C1561" s="4" t="s">
        <v>691</v>
      </c>
      <c r="E1561" s="4" t="s">
        <v>104</v>
      </c>
      <c r="F1561" s="4" t="s">
        <v>104</v>
      </c>
      <c r="H1561" s="4" t="s">
        <v>523</v>
      </c>
      <c r="I1561" s="4" t="s">
        <v>2103</v>
      </c>
      <c r="Q1561" s="9" t="s">
        <v>1737</v>
      </c>
      <c r="T1561" s="9"/>
      <c r="W1561" s="9"/>
      <c r="Z1561" s="9"/>
      <c r="AF1561" s="9"/>
      <c r="AI1561" s="9"/>
    </row>
    <row r="1562" spans="1:35" x14ac:dyDescent="0.25">
      <c r="A1562" s="161" t="str">
        <f t="shared" si="26"/>
        <v>SWORDSMAN_AZTEC</v>
      </c>
      <c r="B1562" s="9" t="s">
        <v>104</v>
      </c>
      <c r="C1562" s="4" t="s">
        <v>702</v>
      </c>
      <c r="E1562" s="4" t="s">
        <v>104</v>
      </c>
      <c r="F1562" s="4" t="s">
        <v>104</v>
      </c>
      <c r="G1562" s="14"/>
      <c r="H1562" s="4" t="s">
        <v>203</v>
      </c>
      <c r="I1562" s="4" t="s">
        <v>2103</v>
      </c>
      <c r="Q1562" s="9" t="s">
        <v>1737</v>
      </c>
      <c r="T1562" s="9"/>
      <c r="W1562" s="9"/>
      <c r="Z1562" s="9"/>
      <c r="AF1562" s="9"/>
      <c r="AI1562" s="9"/>
    </row>
    <row r="1563" spans="1:35" x14ac:dyDescent="0.25">
      <c r="A1563" s="161" t="str">
        <f t="shared" si="26"/>
        <v>SWORDSMAN_INCA</v>
      </c>
      <c r="B1563" s="9" t="s">
        <v>104</v>
      </c>
      <c r="C1563" s="4" t="s">
        <v>719</v>
      </c>
      <c r="E1563" s="4" t="s">
        <v>104</v>
      </c>
      <c r="F1563" s="4" t="s">
        <v>104</v>
      </c>
      <c r="H1563" s="4" t="s">
        <v>429</v>
      </c>
      <c r="I1563" s="4" t="s">
        <v>2103</v>
      </c>
      <c r="Q1563" s="9"/>
      <c r="Z1563" s="9"/>
    </row>
    <row r="1564" spans="1:35" x14ac:dyDescent="0.25">
      <c r="A1564" s="161" t="str">
        <f t="shared" si="26"/>
        <v>SWORDSMAN_MAYA</v>
      </c>
      <c r="B1564" s="9" t="s">
        <v>104</v>
      </c>
      <c r="C1564" s="4" t="s">
        <v>725</v>
      </c>
      <c r="D1564" s="4" t="s">
        <v>691</v>
      </c>
      <c r="E1564" s="4" t="s">
        <v>104</v>
      </c>
      <c r="F1564" s="4" t="s">
        <v>104</v>
      </c>
      <c r="G1564" s="14" t="s">
        <v>132</v>
      </c>
      <c r="Q1564" s="9"/>
      <c r="T1564" s="9"/>
      <c r="W1564" s="9"/>
      <c r="AF1564" s="9"/>
      <c r="AI1564" s="9"/>
    </row>
    <row r="1565" spans="1:35" x14ac:dyDescent="0.25">
      <c r="A1565" s="161" t="str">
        <f>CONCATENATE(E1565,IF(ISBLANK(C1565),"",CONCATENATE("_",C1565)))</f>
        <v>SWORDSMAN_SOUTHAS</v>
      </c>
      <c r="B1565" s="9" t="s">
        <v>104</v>
      </c>
      <c r="C1565" s="4" t="s">
        <v>695</v>
      </c>
      <c r="E1565" s="4" t="s">
        <v>104</v>
      </c>
      <c r="F1565" s="4" t="s">
        <v>104</v>
      </c>
      <c r="H1565" s="4" t="s">
        <v>1803</v>
      </c>
      <c r="I1565" s="4" t="s">
        <v>835</v>
      </c>
      <c r="Q1565" s="9">
        <v>2</v>
      </c>
      <c r="T1565" s="9">
        <v>2</v>
      </c>
      <c r="W1565" s="9"/>
      <c r="Z1565" s="9">
        <v>0</v>
      </c>
      <c r="AF1565" s="9">
        <v>1</v>
      </c>
      <c r="AG1565" s="9"/>
      <c r="AI1565" s="9">
        <v>1</v>
      </c>
    </row>
    <row r="1566" spans="1:35" x14ac:dyDescent="0.25">
      <c r="A1566" s="161" t="str">
        <f t="shared" si="26"/>
        <v>SWORDSMAN_SOUTHAS</v>
      </c>
      <c r="B1566" s="9" t="s">
        <v>104</v>
      </c>
      <c r="C1566" s="4" t="s">
        <v>695</v>
      </c>
      <c r="E1566" s="4" t="s">
        <v>104</v>
      </c>
      <c r="F1566" s="4" t="s">
        <v>104</v>
      </c>
      <c r="G1566" s="4" t="s">
        <v>2047</v>
      </c>
      <c r="H1566" s="4" t="s">
        <v>1804</v>
      </c>
      <c r="I1566" s="4" t="s">
        <v>835</v>
      </c>
      <c r="Q1566" s="9">
        <v>2</v>
      </c>
      <c r="T1566" s="9">
        <v>3</v>
      </c>
      <c r="W1566" s="9"/>
      <c r="Z1566" s="9">
        <v>1</v>
      </c>
      <c r="AF1566" s="9">
        <v>1</v>
      </c>
      <c r="AG1566" s="9"/>
      <c r="AI1566" s="9">
        <v>2</v>
      </c>
    </row>
    <row r="1567" spans="1:35" x14ac:dyDescent="0.25">
      <c r="A1567" s="161" t="str">
        <f>CONCATENATE(E1567,IF(ISBLANK(C1567),"",CONCATENATE("_",C1567)))</f>
        <v>SWORDSMAN_SOUTHAS</v>
      </c>
      <c r="B1567" s="9" t="s">
        <v>104</v>
      </c>
      <c r="C1567" s="4" t="s">
        <v>695</v>
      </c>
      <c r="E1567" s="4" t="s">
        <v>104</v>
      </c>
      <c r="F1567" s="4" t="s">
        <v>104</v>
      </c>
      <c r="G1567" s="4" t="s">
        <v>2049</v>
      </c>
      <c r="H1567" s="4" t="s">
        <v>1805</v>
      </c>
      <c r="I1567" s="4" t="s">
        <v>835</v>
      </c>
      <c r="Q1567" s="9">
        <v>2</v>
      </c>
      <c r="T1567" s="9">
        <v>3</v>
      </c>
      <c r="W1567" s="9"/>
      <c r="Z1567" s="9">
        <v>0</v>
      </c>
      <c r="AF1567" s="9">
        <v>1</v>
      </c>
      <c r="AG1567" s="9"/>
      <c r="AI1567" s="9">
        <v>1</v>
      </c>
    </row>
    <row r="1568" spans="1:35" x14ac:dyDescent="0.25">
      <c r="A1568" s="161" t="str">
        <f>CONCATENATE(E1568,IF(ISBLANK(C1568),"",CONCATENATE("_",C1568)))</f>
        <v>SWORDSMAN_SOUTHAS</v>
      </c>
      <c r="B1568" s="9" t="s">
        <v>104</v>
      </c>
      <c r="C1568" s="4" t="s">
        <v>695</v>
      </c>
      <c r="E1568" s="4" t="s">
        <v>104</v>
      </c>
      <c r="F1568" s="4" t="s">
        <v>104</v>
      </c>
      <c r="G1568" s="4" t="s">
        <v>2048</v>
      </c>
      <c r="H1568" s="4" t="s">
        <v>1806</v>
      </c>
      <c r="I1568" s="4" t="s">
        <v>835</v>
      </c>
      <c r="Q1568" s="9">
        <v>2</v>
      </c>
      <c r="T1568" s="9">
        <v>3</v>
      </c>
      <c r="W1568" s="9"/>
      <c r="Z1568" s="9">
        <v>0</v>
      </c>
      <c r="AF1568" s="9">
        <v>0</v>
      </c>
      <c r="AG1568" s="9"/>
      <c r="AI1568" s="9">
        <v>1</v>
      </c>
    </row>
    <row r="1569" spans="1:43" x14ac:dyDescent="0.25">
      <c r="A1569" s="161" t="str">
        <f t="shared" si="26"/>
        <v>SWORDSMAN_SOUTHAS</v>
      </c>
      <c r="B1569" s="9" t="s">
        <v>104</v>
      </c>
      <c r="C1569" s="4" t="s">
        <v>695</v>
      </c>
      <c r="E1569" s="4" t="s">
        <v>104</v>
      </c>
      <c r="F1569" s="4" t="s">
        <v>104</v>
      </c>
      <c r="G1569" s="4" t="s">
        <v>2058</v>
      </c>
      <c r="H1569" s="4" t="s">
        <v>1807</v>
      </c>
      <c r="I1569" s="4" t="s">
        <v>835</v>
      </c>
      <c r="Q1569" s="9">
        <v>2</v>
      </c>
      <c r="T1569" s="9">
        <v>3</v>
      </c>
      <c r="W1569" s="9"/>
      <c r="Z1569" s="9">
        <v>0</v>
      </c>
      <c r="AF1569" s="9">
        <v>0</v>
      </c>
      <c r="AG1569" s="9"/>
      <c r="AI1569" s="9">
        <v>1</v>
      </c>
    </row>
    <row r="1570" spans="1:43" x14ac:dyDescent="0.25">
      <c r="A1570" s="161" t="str">
        <f>CONCATENATE(E1570,IF(ISBLANK(C1570),"",CONCATENATE("_",C1570)))</f>
        <v>SWORDSMAN_SOUTHAS</v>
      </c>
      <c r="B1570" s="9" t="s">
        <v>104</v>
      </c>
      <c r="C1570" s="4" t="s">
        <v>695</v>
      </c>
      <c r="E1570" s="4" t="s">
        <v>104</v>
      </c>
      <c r="F1570" s="4" t="s">
        <v>104</v>
      </c>
      <c r="G1570" s="4" t="s">
        <v>2059</v>
      </c>
      <c r="H1570" s="4" t="s">
        <v>1808</v>
      </c>
      <c r="I1570" s="4" t="s">
        <v>835</v>
      </c>
      <c r="Q1570" s="9">
        <v>2</v>
      </c>
      <c r="T1570" s="9">
        <v>2</v>
      </c>
      <c r="W1570" s="9"/>
      <c r="Z1570" s="9">
        <v>0</v>
      </c>
      <c r="AF1570" s="9">
        <v>0</v>
      </c>
      <c r="AG1570" s="9"/>
      <c r="AI1570" s="9">
        <v>1</v>
      </c>
    </row>
    <row r="1571" spans="1:43" x14ac:dyDescent="0.25">
      <c r="A1571" s="161" t="str">
        <f t="shared" si="26"/>
        <v>SWORDSMAN_INDIA</v>
      </c>
      <c r="B1571" s="9" t="s">
        <v>104</v>
      </c>
      <c r="C1571" s="4" t="s">
        <v>720</v>
      </c>
      <c r="E1571" s="4" t="s">
        <v>104</v>
      </c>
      <c r="F1571" s="4" t="s">
        <v>104</v>
      </c>
      <c r="H1571" s="4" t="s">
        <v>928</v>
      </c>
      <c r="I1571" s="4" t="s">
        <v>102</v>
      </c>
      <c r="Q1571" s="9">
        <v>2</v>
      </c>
      <c r="T1571" s="11">
        <v>2</v>
      </c>
      <c r="Z1571" s="9">
        <v>1</v>
      </c>
      <c r="AF1571" s="11">
        <v>1</v>
      </c>
      <c r="AG1571" s="9"/>
      <c r="AI1571" s="11">
        <v>1</v>
      </c>
    </row>
    <row r="1572" spans="1:43" x14ac:dyDescent="0.25">
      <c r="A1572" s="161" t="str">
        <f t="shared" si="26"/>
        <v>SWORDSMAN_INDIA</v>
      </c>
      <c r="B1572" s="9" t="s">
        <v>104</v>
      </c>
      <c r="C1572" s="4" t="s">
        <v>720</v>
      </c>
      <c r="E1572" s="4" t="s">
        <v>104</v>
      </c>
      <c r="F1572" s="4" t="s">
        <v>104</v>
      </c>
      <c r="G1572" s="4" t="s">
        <v>2047</v>
      </c>
      <c r="H1572" s="4" t="s">
        <v>444</v>
      </c>
      <c r="I1572" s="4" t="s">
        <v>102</v>
      </c>
      <c r="Q1572" s="9">
        <v>2</v>
      </c>
      <c r="T1572" s="11">
        <v>3</v>
      </c>
      <c r="Z1572" s="9">
        <v>0</v>
      </c>
      <c r="AF1572" s="11">
        <v>1</v>
      </c>
      <c r="AG1572" s="9"/>
      <c r="AI1572" s="11">
        <v>1</v>
      </c>
    </row>
    <row r="1573" spans="1:43" x14ac:dyDescent="0.25">
      <c r="A1573" s="161" t="str">
        <f t="shared" si="26"/>
        <v>SWORDSMAN_INDIA</v>
      </c>
      <c r="B1573" s="9" t="s">
        <v>104</v>
      </c>
      <c r="C1573" s="4" t="s">
        <v>720</v>
      </c>
      <c r="E1573" s="4" t="s">
        <v>104</v>
      </c>
      <c r="F1573" s="4" t="s">
        <v>104</v>
      </c>
      <c r="H1573" s="4" t="s">
        <v>928</v>
      </c>
      <c r="I1573" s="4" t="s">
        <v>102</v>
      </c>
      <c r="Q1573" s="9">
        <v>2</v>
      </c>
      <c r="T1573" s="11">
        <v>3</v>
      </c>
      <c r="Z1573" s="9">
        <v>0</v>
      </c>
      <c r="AF1573" s="11">
        <v>1</v>
      </c>
      <c r="AG1573" s="9"/>
      <c r="AI1573" s="11">
        <v>2</v>
      </c>
    </row>
    <row r="1574" spans="1:43" x14ac:dyDescent="0.25">
      <c r="A1574" s="161" t="str">
        <f t="shared" si="26"/>
        <v>SWORDSMAN_INDIA</v>
      </c>
      <c r="B1574" s="9" t="s">
        <v>104</v>
      </c>
      <c r="C1574" s="4" t="s">
        <v>720</v>
      </c>
      <c r="E1574" s="4" t="s">
        <v>104</v>
      </c>
      <c r="F1574" s="4" t="s">
        <v>104</v>
      </c>
      <c r="G1574" s="4" t="s">
        <v>2047</v>
      </c>
      <c r="H1574" s="4" t="s">
        <v>444</v>
      </c>
      <c r="I1574" s="4" t="s">
        <v>102</v>
      </c>
      <c r="Q1574" s="9">
        <v>2</v>
      </c>
      <c r="T1574" s="11">
        <v>3</v>
      </c>
      <c r="Z1574" s="9">
        <v>0</v>
      </c>
      <c r="AF1574" s="11">
        <v>0</v>
      </c>
      <c r="AI1574" s="11">
        <v>1</v>
      </c>
    </row>
    <row r="1575" spans="1:43" x14ac:dyDescent="0.25">
      <c r="A1575" s="161" t="str">
        <f t="shared" si="26"/>
        <v>SWORDSMAN_INDIA</v>
      </c>
      <c r="B1575" s="9" t="s">
        <v>104</v>
      </c>
      <c r="C1575" s="4" t="s">
        <v>720</v>
      </c>
      <c r="E1575" s="4" t="s">
        <v>104</v>
      </c>
      <c r="F1575" s="4" t="s">
        <v>104</v>
      </c>
      <c r="H1575" s="4" t="s">
        <v>928</v>
      </c>
      <c r="I1575" s="4" t="s">
        <v>102</v>
      </c>
      <c r="Q1575" s="9">
        <v>2</v>
      </c>
      <c r="T1575" s="11">
        <v>3</v>
      </c>
      <c r="Z1575" s="9">
        <v>0</v>
      </c>
      <c r="AF1575" s="11">
        <v>0</v>
      </c>
      <c r="AI1575" s="11">
        <v>1</v>
      </c>
    </row>
    <row r="1576" spans="1:43" x14ac:dyDescent="0.25">
      <c r="A1576" s="161" t="str">
        <f t="shared" si="26"/>
        <v>SWORDSMAN_INDIA</v>
      </c>
      <c r="B1576" s="9" t="s">
        <v>104</v>
      </c>
      <c r="C1576" s="4" t="s">
        <v>720</v>
      </c>
      <c r="E1576" s="4" t="s">
        <v>104</v>
      </c>
      <c r="F1576" s="4" t="s">
        <v>104</v>
      </c>
      <c r="G1576" s="4" t="s">
        <v>2047</v>
      </c>
      <c r="H1576" s="4" t="s">
        <v>444</v>
      </c>
      <c r="I1576" s="4" t="s">
        <v>102</v>
      </c>
      <c r="Q1576" s="9">
        <v>2</v>
      </c>
      <c r="T1576" s="11">
        <v>2</v>
      </c>
      <c r="Z1576" s="9">
        <v>0</v>
      </c>
      <c r="AF1576" s="11">
        <v>0</v>
      </c>
      <c r="AI1576" s="11">
        <v>1</v>
      </c>
    </row>
    <row r="1577" spans="1:43" x14ac:dyDescent="0.25">
      <c r="A1577" s="161" t="str">
        <f t="shared" si="26"/>
        <v>TANK</v>
      </c>
      <c r="B1577" s="9" t="s">
        <v>103</v>
      </c>
      <c r="C1577" s="5"/>
      <c r="D1577" s="5"/>
      <c r="E1577" s="5" t="s">
        <v>103</v>
      </c>
      <c r="F1577" s="5" t="s">
        <v>103</v>
      </c>
      <c r="G1577" s="5"/>
      <c r="H1577" s="5" t="s">
        <v>15</v>
      </c>
      <c r="I1577" s="5" t="s">
        <v>128</v>
      </c>
      <c r="J1577" s="6"/>
      <c r="K1577" s="6"/>
      <c r="L1577" s="13" t="s">
        <v>1709</v>
      </c>
      <c r="M1577" s="8"/>
      <c r="N1577" s="5"/>
      <c r="O1577" s="5"/>
      <c r="P1577" s="5"/>
      <c r="Q1577" s="7">
        <v>3</v>
      </c>
      <c r="R1577" s="6" t="s">
        <v>1695</v>
      </c>
      <c r="S1577" s="13" t="s">
        <v>1623</v>
      </c>
      <c r="T1577" s="6"/>
      <c r="U1577" s="6"/>
      <c r="V1577" s="5"/>
      <c r="W1577" s="6" t="s">
        <v>3</v>
      </c>
      <c r="X1577" s="6" t="s">
        <v>3</v>
      </c>
      <c r="Y1577" s="5"/>
      <c r="Z1577" s="7">
        <v>1</v>
      </c>
      <c r="AA1577" s="6"/>
      <c r="AB1577" s="5"/>
      <c r="AC1577" s="6"/>
      <c r="AD1577" s="6" t="s">
        <v>3</v>
      </c>
      <c r="AE1577" s="5"/>
      <c r="AF1577" s="6"/>
      <c r="AG1577" s="6"/>
      <c r="AH1577" s="5"/>
      <c r="AI1577" s="6"/>
      <c r="AJ1577" s="6"/>
      <c r="AK1577" s="5"/>
      <c r="AL1577" s="5"/>
      <c r="AM1577" s="5"/>
      <c r="AN1577" s="5"/>
      <c r="AO1577" s="5"/>
      <c r="AP1577" s="5"/>
      <c r="AQ1577" s="5"/>
    </row>
    <row r="1578" spans="1:43" x14ac:dyDescent="0.25">
      <c r="A1578" s="161" t="str">
        <f t="shared" si="26"/>
        <v>TANK_AFRI</v>
      </c>
      <c r="B1578" s="9" t="s">
        <v>103</v>
      </c>
      <c r="C1578" s="4" t="s">
        <v>694</v>
      </c>
      <c r="D1578" s="4" t="s">
        <v>690</v>
      </c>
      <c r="E1578" s="4" t="s">
        <v>103</v>
      </c>
      <c r="F1578" s="4" t="s">
        <v>103</v>
      </c>
      <c r="Q1578" s="9"/>
      <c r="T1578" s="9"/>
      <c r="W1578" s="9"/>
      <c r="AF1578" s="9"/>
      <c r="AI1578" s="9"/>
    </row>
    <row r="1579" spans="1:43" x14ac:dyDescent="0.25">
      <c r="A1579" s="161" t="str">
        <f t="shared" si="26"/>
        <v>TANK_AMER</v>
      </c>
      <c r="B1579" s="9" t="s">
        <v>103</v>
      </c>
      <c r="C1579" s="4" t="s">
        <v>697</v>
      </c>
      <c r="D1579" s="4" t="s">
        <v>2223</v>
      </c>
      <c r="E1579" s="4" t="s">
        <v>103</v>
      </c>
      <c r="F1579" s="4" t="s">
        <v>103</v>
      </c>
    </row>
    <row r="1580" spans="1:43" x14ac:dyDescent="0.25">
      <c r="A1580" s="161" t="str">
        <f t="shared" si="26"/>
        <v>TANK_ASIA</v>
      </c>
      <c r="B1580" s="9" t="s">
        <v>103</v>
      </c>
      <c r="C1580" s="4" t="s">
        <v>693</v>
      </c>
      <c r="E1580" s="4" t="s">
        <v>103</v>
      </c>
      <c r="F1580" s="4" t="s">
        <v>103</v>
      </c>
      <c r="H1580" s="4" t="s">
        <v>260</v>
      </c>
      <c r="I1580" s="4" t="s">
        <v>102</v>
      </c>
    </row>
    <row r="1581" spans="1:43" x14ac:dyDescent="0.25">
      <c r="A1581" s="161" t="str">
        <f t="shared" si="26"/>
        <v>TANK_CHINA</v>
      </c>
      <c r="B1581" s="9" t="s">
        <v>103</v>
      </c>
      <c r="C1581" s="4" t="s">
        <v>710</v>
      </c>
      <c r="D1581" s="4" t="s">
        <v>693</v>
      </c>
      <c r="E1581" s="4" t="s">
        <v>103</v>
      </c>
      <c r="F1581" s="4" t="s">
        <v>103</v>
      </c>
      <c r="G1581" s="14" t="s">
        <v>132</v>
      </c>
    </row>
    <row r="1582" spans="1:43" x14ac:dyDescent="0.25">
      <c r="A1582" s="161" t="str">
        <f t="shared" si="26"/>
        <v>TANK_JAPAN</v>
      </c>
      <c r="B1582" s="9" t="s">
        <v>103</v>
      </c>
      <c r="C1582" s="4" t="s">
        <v>722</v>
      </c>
      <c r="E1582" s="4" t="s">
        <v>103</v>
      </c>
      <c r="F1582" s="4" t="s">
        <v>103</v>
      </c>
      <c r="G1582" s="14" t="s">
        <v>132</v>
      </c>
      <c r="H1582" s="4" t="s">
        <v>492</v>
      </c>
      <c r="I1582" s="4" t="s">
        <v>102</v>
      </c>
    </row>
    <row r="1583" spans="1:43" x14ac:dyDescent="0.25">
      <c r="A1583" s="161" t="str">
        <f t="shared" si="26"/>
        <v>TANK_HUNS</v>
      </c>
      <c r="B1583" s="9" t="s">
        <v>103</v>
      </c>
      <c r="C1583" s="4" t="s">
        <v>904</v>
      </c>
      <c r="E1583" s="4" t="s">
        <v>103</v>
      </c>
      <c r="F1583" s="4" t="s">
        <v>103</v>
      </c>
      <c r="H1583" s="4" t="s">
        <v>914</v>
      </c>
      <c r="I1583" s="4" t="s">
        <v>102</v>
      </c>
    </row>
    <row r="1584" spans="1:43" x14ac:dyDescent="0.25">
      <c r="A1584" s="161" t="str">
        <f t="shared" si="26"/>
        <v>TANK_EASTEU</v>
      </c>
      <c r="B1584" s="9" t="s">
        <v>103</v>
      </c>
      <c r="C1584" s="4" t="s">
        <v>698</v>
      </c>
      <c r="E1584" s="4" t="s">
        <v>103</v>
      </c>
      <c r="F1584" s="4" t="s">
        <v>103</v>
      </c>
      <c r="H1584" s="4" t="s">
        <v>628</v>
      </c>
      <c r="I1584" s="4" t="s">
        <v>131</v>
      </c>
    </row>
    <row r="1585" spans="1:9" x14ac:dyDescent="0.25">
      <c r="A1585" s="161" t="str">
        <f t="shared" si="26"/>
        <v>TANK_POLAND</v>
      </c>
      <c r="B1585" s="9" t="s">
        <v>103</v>
      </c>
      <c r="C1585" s="4" t="s">
        <v>732</v>
      </c>
      <c r="E1585" s="4" t="s">
        <v>103</v>
      </c>
      <c r="F1585" s="4" t="s">
        <v>103</v>
      </c>
      <c r="G1585" s="14" t="s">
        <v>132</v>
      </c>
      <c r="H1585" s="4" t="s">
        <v>575</v>
      </c>
      <c r="I1585" s="4" t="s">
        <v>1935</v>
      </c>
    </row>
    <row r="1586" spans="1:9" x14ac:dyDescent="0.25">
      <c r="A1586" s="161" t="str">
        <f t="shared" si="26"/>
        <v>TANK_RUSSIA</v>
      </c>
      <c r="B1586" s="9" t="s">
        <v>103</v>
      </c>
      <c r="C1586" s="4" t="s">
        <v>735</v>
      </c>
      <c r="D1586" s="4" t="s">
        <v>698</v>
      </c>
      <c r="E1586" s="4" t="s">
        <v>103</v>
      </c>
      <c r="F1586" s="4" t="s">
        <v>103</v>
      </c>
      <c r="G1586" s="14" t="s">
        <v>132</v>
      </c>
    </row>
    <row r="1587" spans="1:9" x14ac:dyDescent="0.25">
      <c r="A1587" s="161" t="str">
        <f t="shared" si="26"/>
        <v>TANK_AMERICA</v>
      </c>
      <c r="B1587" s="9" t="s">
        <v>103</v>
      </c>
      <c r="C1587" s="4" t="s">
        <v>699</v>
      </c>
      <c r="E1587" s="4" t="s">
        <v>103</v>
      </c>
      <c r="F1587" s="4" t="s">
        <v>103</v>
      </c>
      <c r="G1587" s="14"/>
      <c r="H1587" s="4" t="s">
        <v>153</v>
      </c>
      <c r="I1587" s="4" t="s">
        <v>131</v>
      </c>
    </row>
    <row r="1588" spans="1:9" x14ac:dyDescent="0.25">
      <c r="A1588" s="161" t="str">
        <f t="shared" si="26"/>
        <v>TANK_AUSTRALIA</v>
      </c>
      <c r="B1588" s="9" t="s">
        <v>103</v>
      </c>
      <c r="C1588" s="4" t="s">
        <v>1302</v>
      </c>
      <c r="D1588" s="4" t="s">
        <v>713</v>
      </c>
      <c r="E1588" s="4" t="s">
        <v>103</v>
      </c>
      <c r="F1588" s="4" t="s">
        <v>103</v>
      </c>
      <c r="G1588" s="14"/>
    </row>
    <row r="1589" spans="1:9" x14ac:dyDescent="0.25">
      <c r="A1589" s="161" t="str">
        <f t="shared" si="26"/>
        <v>TANK_AUSTRIA</v>
      </c>
      <c r="B1589" s="9" t="s">
        <v>103</v>
      </c>
      <c r="C1589" s="4" t="s">
        <v>701</v>
      </c>
      <c r="E1589" s="4" t="s">
        <v>103</v>
      </c>
      <c r="F1589" s="4" t="s">
        <v>103</v>
      </c>
      <c r="G1589" s="14"/>
      <c r="H1589" s="4" t="s">
        <v>187</v>
      </c>
      <c r="I1589" s="4" t="s">
        <v>102</v>
      </c>
    </row>
    <row r="1590" spans="1:9" x14ac:dyDescent="0.25">
      <c r="A1590" s="161" t="str">
        <f t="shared" si="26"/>
        <v>TANK_CANADA</v>
      </c>
      <c r="B1590" s="9" t="s">
        <v>103</v>
      </c>
      <c r="C1590" s="4" t="s">
        <v>2223</v>
      </c>
      <c r="E1590" s="4" t="s">
        <v>103</v>
      </c>
      <c r="F1590" s="4" t="s">
        <v>103</v>
      </c>
      <c r="G1590" s="14"/>
      <c r="H1590" s="4" t="s">
        <v>2224</v>
      </c>
      <c r="I1590" s="4" t="s">
        <v>102</v>
      </c>
    </row>
    <row r="1591" spans="1:9" x14ac:dyDescent="0.25">
      <c r="A1591" s="161" t="str">
        <f t="shared" si="26"/>
        <v>TANK_CELTS</v>
      </c>
      <c r="B1591" s="9" t="s">
        <v>103</v>
      </c>
      <c r="C1591" s="4" t="s">
        <v>709</v>
      </c>
      <c r="D1591" s="4" t="s">
        <v>713</v>
      </c>
      <c r="E1591" s="4" t="s">
        <v>103</v>
      </c>
      <c r="F1591" s="4" t="s">
        <v>103</v>
      </c>
      <c r="G1591" s="14"/>
    </row>
    <row r="1592" spans="1:9" x14ac:dyDescent="0.25">
      <c r="A1592" s="161" t="str">
        <f t="shared" si="26"/>
        <v>TANK_ENGLAND</v>
      </c>
      <c r="B1592" s="9" t="s">
        <v>103</v>
      </c>
      <c r="C1592" s="4" t="s">
        <v>713</v>
      </c>
      <c r="E1592" s="4" t="s">
        <v>103</v>
      </c>
      <c r="F1592" s="4" t="s">
        <v>103</v>
      </c>
      <c r="G1592" s="14" t="s">
        <v>132</v>
      </c>
      <c r="H1592" s="4" t="s">
        <v>314</v>
      </c>
      <c r="I1592" s="4" t="s">
        <v>1049</v>
      </c>
    </row>
    <row r="1593" spans="1:9" x14ac:dyDescent="0.25">
      <c r="A1593" s="161" t="str">
        <f t="shared" si="26"/>
        <v>TANK_FRANCE</v>
      </c>
      <c r="B1593" s="9" t="s">
        <v>103</v>
      </c>
      <c r="C1593" s="4" t="s">
        <v>715</v>
      </c>
      <c r="E1593" s="4" t="s">
        <v>103</v>
      </c>
      <c r="F1593" s="4" t="s">
        <v>103</v>
      </c>
      <c r="G1593" s="14" t="s">
        <v>132</v>
      </c>
      <c r="H1593" s="4" t="s">
        <v>359</v>
      </c>
      <c r="I1593" s="4" t="s">
        <v>1935</v>
      </c>
    </row>
    <row r="1594" spans="1:9" x14ac:dyDescent="0.25">
      <c r="A1594" s="161" t="str">
        <f t="shared" si="26"/>
        <v>TANK_GERMANY</v>
      </c>
      <c r="B1594" s="9" t="s">
        <v>103</v>
      </c>
      <c r="C1594" s="4" t="s">
        <v>717</v>
      </c>
      <c r="E1594" s="4" t="s">
        <v>103</v>
      </c>
      <c r="F1594" s="4" t="s">
        <v>103</v>
      </c>
      <c r="G1594" s="14" t="s">
        <v>132</v>
      </c>
      <c r="H1594" s="4" t="s">
        <v>392</v>
      </c>
      <c r="I1594" s="4" t="s">
        <v>102</v>
      </c>
    </row>
    <row r="1595" spans="1:9" x14ac:dyDescent="0.25">
      <c r="A1595" s="161" t="str">
        <f t="shared" si="26"/>
        <v>TANK_MIDEAST</v>
      </c>
      <c r="B1595" s="9" t="s">
        <v>103</v>
      </c>
      <c r="C1595" s="4" t="s">
        <v>690</v>
      </c>
      <c r="E1595" s="4" t="s">
        <v>103</v>
      </c>
      <c r="F1595" s="4" t="s">
        <v>103</v>
      </c>
      <c r="G1595" s="14"/>
      <c r="H1595" s="4" t="s">
        <v>204</v>
      </c>
      <c r="I1595" s="4" t="s">
        <v>102</v>
      </c>
    </row>
    <row r="1596" spans="1:9" x14ac:dyDescent="0.25">
      <c r="A1596" s="161" t="str">
        <f t="shared" si="26"/>
        <v>TANK_NETHERLANDS</v>
      </c>
      <c r="B1596" s="9" t="s">
        <v>103</v>
      </c>
      <c r="C1596" s="4" t="s">
        <v>730</v>
      </c>
      <c r="E1596" s="4" t="s">
        <v>103</v>
      </c>
      <c r="F1596" s="4" t="s">
        <v>103</v>
      </c>
      <c r="G1596" s="14" t="s">
        <v>132</v>
      </c>
      <c r="H1596" s="4" t="s">
        <v>550</v>
      </c>
      <c r="I1596" s="4" t="s">
        <v>102</v>
      </c>
    </row>
    <row r="1597" spans="1:9" x14ac:dyDescent="0.25">
      <c r="A1597" s="161" t="str">
        <f t="shared" si="26"/>
        <v>TANK_ROME</v>
      </c>
      <c r="B1597" s="9" t="s">
        <v>103</v>
      </c>
      <c r="C1597" s="4" t="s">
        <v>734</v>
      </c>
      <c r="E1597" s="4" t="s">
        <v>103</v>
      </c>
      <c r="F1597" s="4" t="s">
        <v>103</v>
      </c>
      <c r="G1597" s="14" t="s">
        <v>132</v>
      </c>
      <c r="H1597" s="4" t="s">
        <v>127</v>
      </c>
      <c r="I1597" s="4" t="s">
        <v>1070</v>
      </c>
    </row>
    <row r="1598" spans="1:9" x14ac:dyDescent="0.25">
      <c r="A1598" s="161" t="str">
        <f t="shared" si="26"/>
        <v>TANK_SPAIN</v>
      </c>
      <c r="B1598" s="9" t="s">
        <v>103</v>
      </c>
      <c r="C1598" s="4" t="s">
        <v>738</v>
      </c>
      <c r="E1598" s="4" t="s">
        <v>103</v>
      </c>
      <c r="F1598" s="4" t="s">
        <v>103</v>
      </c>
      <c r="G1598" s="14" t="s">
        <v>132</v>
      </c>
      <c r="H1598" s="4" t="s">
        <v>664</v>
      </c>
      <c r="I1598" s="4" t="s">
        <v>102</v>
      </c>
    </row>
    <row r="1599" spans="1:9" x14ac:dyDescent="0.25">
      <c r="A1599" s="161" t="str">
        <f t="shared" si="26"/>
        <v>TANK_SWEDEN</v>
      </c>
      <c r="B1599" s="9" t="s">
        <v>103</v>
      </c>
      <c r="C1599" s="4" t="s">
        <v>739</v>
      </c>
      <c r="E1599" s="4" t="s">
        <v>103</v>
      </c>
      <c r="F1599" s="4" t="s">
        <v>103</v>
      </c>
      <c r="G1599" s="14" t="s">
        <v>132</v>
      </c>
      <c r="H1599" s="4" t="s">
        <v>676</v>
      </c>
      <c r="I1599" s="4" t="s">
        <v>102</v>
      </c>
    </row>
    <row r="1600" spans="1:9" x14ac:dyDescent="0.25">
      <c r="A1600" s="161" t="str">
        <f t="shared" si="26"/>
        <v>TANK_OCEAN</v>
      </c>
      <c r="B1600" s="9" t="s">
        <v>103</v>
      </c>
      <c r="C1600" s="4" t="s">
        <v>994</v>
      </c>
      <c r="D1600" s="4" t="s">
        <v>690</v>
      </c>
      <c r="E1600" s="4" t="s">
        <v>103</v>
      </c>
      <c r="F1600" s="4" t="s">
        <v>103</v>
      </c>
    </row>
    <row r="1601" spans="1:43" x14ac:dyDescent="0.25">
      <c r="A1601" s="161" t="str">
        <f t="shared" si="26"/>
        <v>TANK_SOUTHAM</v>
      </c>
      <c r="B1601" s="9" t="s">
        <v>103</v>
      </c>
      <c r="C1601" s="4" t="s">
        <v>691</v>
      </c>
      <c r="D1601" s="4" t="s">
        <v>690</v>
      </c>
      <c r="E1601" s="4" t="s">
        <v>103</v>
      </c>
      <c r="F1601" s="4" t="s">
        <v>103</v>
      </c>
    </row>
    <row r="1602" spans="1:43" x14ac:dyDescent="0.25">
      <c r="A1602" s="161" t="str">
        <f t="shared" si="26"/>
        <v>TRANSPORT</v>
      </c>
      <c r="C1602" s="5"/>
      <c r="D1602" s="5"/>
      <c r="E1602" s="5" t="s">
        <v>775</v>
      </c>
      <c r="F1602" s="5" t="s">
        <v>775</v>
      </c>
      <c r="G1602" s="5"/>
      <c r="H1602" s="5" t="s">
        <v>1120</v>
      </c>
      <c r="I1602" s="5" t="s">
        <v>128</v>
      </c>
      <c r="J1602" s="6"/>
      <c r="K1602" s="7"/>
      <c r="L1602" s="13" t="s">
        <v>1713</v>
      </c>
      <c r="M1602" s="8"/>
      <c r="N1602" s="13" t="s">
        <v>1727</v>
      </c>
      <c r="O1602" s="13"/>
      <c r="P1602" s="13"/>
      <c r="Q1602" s="7">
        <v>2</v>
      </c>
      <c r="R1602" s="6">
        <v>0.11</v>
      </c>
      <c r="S1602" s="13" t="s">
        <v>1613</v>
      </c>
      <c r="T1602" s="7">
        <v>3</v>
      </c>
      <c r="U1602" s="6">
        <v>6.5000000000000002E-2</v>
      </c>
      <c r="V1602" s="5" t="s">
        <v>1696</v>
      </c>
      <c r="W1602" s="6"/>
      <c r="X1602" s="6"/>
      <c r="Y1602" s="5"/>
      <c r="Z1602" s="7">
        <v>1</v>
      </c>
      <c r="AA1602" s="6"/>
      <c r="AB1602" s="5"/>
      <c r="AC1602" s="6"/>
      <c r="AD1602" s="6"/>
      <c r="AE1602" s="5"/>
      <c r="AF1602" s="6"/>
      <c r="AG1602" s="6"/>
      <c r="AH1602" s="5"/>
      <c r="AI1602" s="6"/>
      <c r="AJ1602" s="6"/>
      <c r="AK1602" s="5"/>
      <c r="AL1602" s="5"/>
      <c r="AM1602" s="5"/>
      <c r="AN1602" s="5"/>
      <c r="AO1602" s="5"/>
      <c r="AP1602" s="5"/>
      <c r="AQ1602" s="5"/>
    </row>
    <row r="1603" spans="1:43" x14ac:dyDescent="0.25">
      <c r="A1603" s="161" t="str">
        <f t="shared" si="26"/>
        <v>TREBUCHET</v>
      </c>
      <c r="B1603" s="9" t="s">
        <v>776</v>
      </c>
      <c r="C1603" s="5"/>
      <c r="D1603" s="5"/>
      <c r="E1603" s="5" t="s">
        <v>776</v>
      </c>
      <c r="F1603" s="5" t="s">
        <v>776</v>
      </c>
      <c r="G1603" s="5"/>
      <c r="H1603" s="5" t="s">
        <v>14</v>
      </c>
      <c r="I1603" s="5" t="s">
        <v>128</v>
      </c>
      <c r="J1603" s="6"/>
      <c r="K1603" s="6"/>
      <c r="L1603" s="13" t="s">
        <v>746</v>
      </c>
      <c r="M1603" s="8"/>
      <c r="N1603" s="5"/>
      <c r="O1603" s="5"/>
      <c r="P1603" s="5"/>
      <c r="Q1603" s="7">
        <v>2</v>
      </c>
      <c r="R1603" s="6" t="s">
        <v>1695</v>
      </c>
      <c r="S1603" s="13" t="s">
        <v>1613</v>
      </c>
      <c r="T1603" s="7">
        <v>3</v>
      </c>
      <c r="U1603" s="7" t="s">
        <v>1737</v>
      </c>
      <c r="V1603" s="5" t="s">
        <v>688</v>
      </c>
      <c r="W1603" s="6">
        <v>7</v>
      </c>
      <c r="X1603" s="6" t="s">
        <v>3</v>
      </c>
      <c r="Y1603" s="5"/>
      <c r="Z1603" s="7">
        <v>1</v>
      </c>
      <c r="AA1603" s="6"/>
      <c r="AB1603" s="5"/>
      <c r="AC1603" s="6"/>
      <c r="AD1603" s="6" t="s">
        <v>3</v>
      </c>
      <c r="AE1603" s="5"/>
      <c r="AF1603" s="6"/>
      <c r="AG1603" s="6"/>
      <c r="AH1603" s="5"/>
      <c r="AI1603" s="6"/>
      <c r="AJ1603" s="6"/>
      <c r="AK1603" s="5"/>
      <c r="AL1603" s="5"/>
      <c r="AM1603" s="5"/>
      <c r="AN1603" s="5"/>
      <c r="AO1603" s="5"/>
      <c r="AP1603" s="5"/>
      <c r="AQ1603" s="5"/>
    </row>
    <row r="1604" spans="1:43" x14ac:dyDescent="0.25">
      <c r="A1604" s="161" t="str">
        <f t="shared" si="26"/>
        <v>TRIREME</v>
      </c>
      <c r="B1604" s="9" t="s">
        <v>777</v>
      </c>
      <c r="C1604" s="5"/>
      <c r="D1604" s="5"/>
      <c r="E1604" s="5" t="s">
        <v>777</v>
      </c>
      <c r="F1604" s="5" t="s">
        <v>777</v>
      </c>
      <c r="G1604" s="5"/>
      <c r="H1604" s="5" t="s">
        <v>13</v>
      </c>
      <c r="I1604" s="5" t="s">
        <v>128</v>
      </c>
      <c r="J1604" s="6"/>
      <c r="K1604" s="7"/>
      <c r="L1604" s="13" t="s">
        <v>1712</v>
      </c>
      <c r="M1604" s="8"/>
      <c r="N1604" s="13" t="s">
        <v>1727</v>
      </c>
      <c r="O1604" s="13"/>
      <c r="P1604" s="13"/>
      <c r="Q1604" s="7">
        <v>1</v>
      </c>
      <c r="R1604" s="6">
        <v>7.0000000000000007E-2</v>
      </c>
      <c r="S1604" s="5"/>
      <c r="T1604" s="7">
        <v>2</v>
      </c>
      <c r="U1604" s="6">
        <v>5.3999999999999999E-2</v>
      </c>
      <c r="V1604" s="5" t="s">
        <v>1696</v>
      </c>
      <c r="W1604" s="6"/>
      <c r="X1604" s="6"/>
      <c r="Y1604" s="5"/>
      <c r="Z1604" s="6"/>
      <c r="AA1604" s="6"/>
      <c r="AB1604" s="5"/>
      <c r="AC1604" s="6"/>
      <c r="AD1604" s="6"/>
      <c r="AE1604" s="5"/>
      <c r="AF1604" s="6"/>
      <c r="AG1604" s="6"/>
      <c r="AH1604" s="5"/>
      <c r="AI1604" s="6"/>
      <c r="AJ1604" s="6"/>
      <c r="AK1604" s="5"/>
      <c r="AL1604" s="5"/>
      <c r="AM1604" s="5"/>
      <c r="AN1604" s="5"/>
      <c r="AO1604" s="5"/>
      <c r="AP1604" s="5"/>
      <c r="AQ1604" s="5"/>
    </row>
    <row r="1605" spans="1:43" x14ac:dyDescent="0.25">
      <c r="A1605" s="161" t="str">
        <f t="shared" si="26"/>
        <v>TRIREME_NORTHEU</v>
      </c>
      <c r="B1605" s="9" t="s">
        <v>777</v>
      </c>
      <c r="C1605" s="5" t="s">
        <v>962</v>
      </c>
      <c r="D1605" s="5"/>
      <c r="E1605" s="5" t="s">
        <v>777</v>
      </c>
      <c r="F1605" s="5" t="s">
        <v>777</v>
      </c>
      <c r="G1605" s="5"/>
      <c r="H1605" s="5" t="s">
        <v>1949</v>
      </c>
      <c r="I1605" s="5" t="s">
        <v>1950</v>
      </c>
      <c r="J1605" s="6"/>
      <c r="K1605" s="7"/>
      <c r="L1605" s="13"/>
      <c r="M1605" s="8"/>
      <c r="N1605" s="13"/>
      <c r="O1605" s="13"/>
      <c r="P1605" s="13"/>
      <c r="Q1605" s="7"/>
      <c r="R1605" s="6">
        <v>0.08</v>
      </c>
      <c r="S1605" s="5"/>
      <c r="T1605" s="7"/>
      <c r="U1605" s="6"/>
      <c r="V1605" s="5"/>
      <c r="W1605" s="6"/>
      <c r="X1605" s="6"/>
      <c r="Y1605" s="5"/>
      <c r="Z1605" s="6"/>
      <c r="AA1605" s="6"/>
      <c r="AB1605" s="5"/>
      <c r="AC1605" s="6"/>
      <c r="AD1605" s="6"/>
      <c r="AE1605" s="5"/>
      <c r="AF1605" s="6"/>
      <c r="AG1605" s="6"/>
      <c r="AH1605" s="5"/>
      <c r="AI1605" s="6"/>
      <c r="AJ1605" s="6"/>
      <c r="AK1605" s="5"/>
      <c r="AL1605" s="5"/>
      <c r="AM1605" s="5"/>
      <c r="AN1605" s="5"/>
      <c r="AO1605" s="5"/>
      <c r="AP1605" s="5"/>
      <c r="AQ1605" s="5"/>
    </row>
    <row r="1606" spans="1:43" x14ac:dyDescent="0.25">
      <c r="A1606" s="161" t="str">
        <f t="shared" ref="A1606:A1669" si="27">CONCATENATE(E1606,IF(ISBLANK(C1606),"",CONCATENATE("_",C1606)))</f>
        <v>U_AMERICAN_B17</v>
      </c>
      <c r="B1606" s="9" t="s">
        <v>2340</v>
      </c>
      <c r="C1606" s="5"/>
      <c r="D1606" s="5"/>
      <c r="E1606" s="5" t="s">
        <v>1544</v>
      </c>
      <c r="F1606" s="5" t="s">
        <v>1544</v>
      </c>
      <c r="G1606" s="5"/>
      <c r="H1606" s="5" t="s">
        <v>1670</v>
      </c>
      <c r="I1606" s="5" t="s">
        <v>128</v>
      </c>
      <c r="J1606" s="6"/>
      <c r="K1606" s="7"/>
      <c r="L1606" s="13" t="s">
        <v>1711</v>
      </c>
      <c r="M1606" s="8">
        <v>1.7</v>
      </c>
      <c r="N1606" s="13" t="s">
        <v>1725</v>
      </c>
      <c r="O1606" s="13"/>
      <c r="P1606" s="13"/>
      <c r="Q1606" s="7">
        <v>1</v>
      </c>
      <c r="R1606" s="6">
        <v>0.08</v>
      </c>
      <c r="S1606" s="13" t="s">
        <v>1615</v>
      </c>
      <c r="T1606" s="7">
        <v>3</v>
      </c>
      <c r="U1606" s="6">
        <v>0.1</v>
      </c>
      <c r="V1606" s="5"/>
      <c r="W1606" s="6" t="s">
        <v>3</v>
      </c>
      <c r="X1606" s="6" t="s">
        <v>3</v>
      </c>
      <c r="Y1606" s="5"/>
      <c r="Z1606" s="6"/>
      <c r="AA1606" s="6"/>
      <c r="AB1606" s="5"/>
      <c r="AC1606" s="6"/>
      <c r="AD1606" s="6" t="s">
        <v>3</v>
      </c>
      <c r="AE1606" s="5"/>
      <c r="AF1606" s="6"/>
      <c r="AG1606" s="6"/>
      <c r="AH1606" s="5"/>
      <c r="AI1606" s="6"/>
      <c r="AJ1606" s="6"/>
      <c r="AK1606" s="5"/>
      <c r="AL1606" s="5"/>
      <c r="AM1606" s="5"/>
      <c r="AN1606" s="5"/>
      <c r="AO1606" s="5"/>
      <c r="AP1606" s="5"/>
      <c r="AQ1606" s="5"/>
    </row>
    <row r="1607" spans="1:43" x14ac:dyDescent="0.25">
      <c r="A1607" s="161" t="str">
        <f t="shared" si="27"/>
        <v>U_AMERICAN_MINUTEMAN</v>
      </c>
      <c r="B1607" s="9" t="s">
        <v>2341</v>
      </c>
      <c r="C1607" s="5"/>
      <c r="D1607" s="5"/>
      <c r="E1607" s="5" t="s">
        <v>1545</v>
      </c>
      <c r="F1607" s="5" t="s">
        <v>1545</v>
      </c>
      <c r="G1607" s="5"/>
      <c r="H1607" s="5" t="s">
        <v>1671</v>
      </c>
      <c r="I1607" s="5" t="s">
        <v>128</v>
      </c>
      <c r="J1607" s="6"/>
      <c r="K1607" s="6"/>
      <c r="L1607" s="13" t="s">
        <v>1708</v>
      </c>
      <c r="M1607" s="8"/>
      <c r="N1607" s="5"/>
      <c r="O1607" s="5"/>
      <c r="P1607" s="5"/>
      <c r="Q1607" s="7">
        <v>14</v>
      </c>
      <c r="R1607" s="6" t="s">
        <v>1737</v>
      </c>
      <c r="S1607" s="13" t="s">
        <v>1619</v>
      </c>
      <c r="T1607" s="6">
        <v>19</v>
      </c>
      <c r="U1607" s="7" t="s">
        <v>1737</v>
      </c>
      <c r="V1607" s="5"/>
      <c r="W1607" s="6" t="s">
        <v>3</v>
      </c>
      <c r="X1607" s="6" t="s">
        <v>3</v>
      </c>
      <c r="Y1607" s="5"/>
      <c r="Z1607" s="7">
        <v>1</v>
      </c>
      <c r="AA1607" s="6"/>
      <c r="AB1607" s="5"/>
      <c r="AC1607" s="6"/>
      <c r="AD1607" s="6" t="s">
        <v>3</v>
      </c>
      <c r="AE1607" s="5"/>
      <c r="AF1607" s="6" t="s">
        <v>1737</v>
      </c>
      <c r="AG1607" s="6"/>
      <c r="AH1607" s="5"/>
      <c r="AI1607" s="6" t="s">
        <v>1737</v>
      </c>
      <c r="AJ1607" s="6"/>
      <c r="AK1607" s="5"/>
      <c r="AL1607" s="5"/>
      <c r="AM1607" s="5"/>
      <c r="AN1607" s="5"/>
      <c r="AO1607" s="5"/>
      <c r="AP1607" s="5"/>
      <c r="AQ1607" s="5"/>
    </row>
    <row r="1608" spans="1:43" x14ac:dyDescent="0.25">
      <c r="A1608" s="161" t="str">
        <f t="shared" si="27"/>
        <v>U_ARABIAN_CAMELARCHER</v>
      </c>
      <c r="B1608" s="9" t="s">
        <v>2342</v>
      </c>
      <c r="C1608" s="5"/>
      <c r="D1608" s="5"/>
      <c r="E1608" s="5" t="s">
        <v>1546</v>
      </c>
      <c r="F1608" s="5" t="s">
        <v>1546</v>
      </c>
      <c r="G1608" s="5"/>
      <c r="H1608" s="5" t="s">
        <v>1672</v>
      </c>
      <c r="I1608" s="5" t="s">
        <v>128</v>
      </c>
      <c r="J1608" s="6"/>
      <c r="K1608" s="6"/>
      <c r="L1608" s="13" t="s">
        <v>1714</v>
      </c>
      <c r="M1608" s="8"/>
      <c r="N1608" s="5"/>
      <c r="O1608" s="5"/>
      <c r="P1608" s="5"/>
      <c r="Q1608" s="7" t="s">
        <v>1695</v>
      </c>
      <c r="R1608" s="6" t="s">
        <v>1695</v>
      </c>
      <c r="S1608" s="13" t="s">
        <v>1695</v>
      </c>
      <c r="T1608" s="6" t="s">
        <v>1695</v>
      </c>
      <c r="U1608" s="7" t="s">
        <v>1695</v>
      </c>
      <c r="V1608" s="5"/>
      <c r="W1608" s="6" t="s">
        <v>3</v>
      </c>
      <c r="X1608" s="6" t="s">
        <v>3</v>
      </c>
      <c r="Y1608" s="5"/>
      <c r="Z1608" s="7">
        <v>1</v>
      </c>
      <c r="AA1608" s="6"/>
      <c r="AB1608" s="5"/>
      <c r="AC1608" s="6"/>
      <c r="AD1608" s="6" t="s">
        <v>3</v>
      </c>
      <c r="AE1608" s="5"/>
      <c r="AF1608" s="6" t="s">
        <v>1695</v>
      </c>
      <c r="AG1608" s="6"/>
      <c r="AH1608" s="5"/>
      <c r="AI1608" s="6"/>
      <c r="AJ1608" s="6"/>
      <c r="AK1608" s="5"/>
      <c r="AL1608" s="5"/>
      <c r="AM1608" s="5"/>
      <c r="AN1608" s="5"/>
      <c r="AO1608" s="5"/>
      <c r="AP1608" s="5"/>
      <c r="AQ1608" s="5"/>
    </row>
    <row r="1609" spans="1:43" x14ac:dyDescent="0.25">
      <c r="A1609" s="161" t="str">
        <f t="shared" si="27"/>
        <v>U_ASSYRIAN_SIEGE_TOWER</v>
      </c>
      <c r="B1609" s="9" t="s">
        <v>2343</v>
      </c>
      <c r="C1609" s="5"/>
      <c r="D1609" s="5"/>
      <c r="E1609" s="5" t="s">
        <v>1547</v>
      </c>
      <c r="F1609" s="5" t="s">
        <v>1547</v>
      </c>
      <c r="G1609" s="5"/>
      <c r="H1609" s="5" t="s">
        <v>1628</v>
      </c>
      <c r="I1609" s="5" t="s">
        <v>128</v>
      </c>
      <c r="J1609" s="6"/>
      <c r="K1609" s="6"/>
      <c r="L1609" s="13" t="s">
        <v>746</v>
      </c>
      <c r="M1609" s="8"/>
      <c r="N1609" s="5"/>
      <c r="O1609" s="5"/>
      <c r="P1609" s="5"/>
      <c r="Q1609" s="7">
        <v>1</v>
      </c>
      <c r="R1609" s="6">
        <v>0.1</v>
      </c>
      <c r="S1609" s="13" t="s">
        <v>1613</v>
      </c>
      <c r="T1609" s="6"/>
      <c r="U1609" s="6" t="s">
        <v>1737</v>
      </c>
      <c r="V1609" s="5"/>
      <c r="W1609" s="6">
        <v>4</v>
      </c>
      <c r="X1609" s="6" t="s">
        <v>3</v>
      </c>
      <c r="Y1609" s="5"/>
      <c r="Z1609" s="6"/>
      <c r="AA1609" s="6"/>
      <c r="AB1609" s="5"/>
      <c r="AC1609" s="6"/>
      <c r="AD1609" s="6" t="s">
        <v>3</v>
      </c>
      <c r="AE1609" s="5"/>
      <c r="AF1609" s="6"/>
      <c r="AG1609" s="6"/>
      <c r="AH1609" s="5"/>
      <c r="AI1609" s="6"/>
      <c r="AJ1609" s="6"/>
      <c r="AK1609" s="5"/>
      <c r="AL1609" s="5"/>
      <c r="AM1609" s="5"/>
      <c r="AN1609" s="5"/>
      <c r="AO1609" s="5"/>
      <c r="AP1609" s="5"/>
      <c r="AQ1609" s="5"/>
    </row>
    <row r="1610" spans="1:43" x14ac:dyDescent="0.25">
      <c r="A1610" s="161" t="str">
        <f t="shared" si="27"/>
        <v>U_AUSTRIAN_HUSSAR</v>
      </c>
      <c r="B1610" s="9" t="s">
        <v>2344</v>
      </c>
      <c r="C1610" s="5"/>
      <c r="D1610" s="5"/>
      <c r="E1610" s="5" t="s">
        <v>1548</v>
      </c>
      <c r="F1610" s="5" t="s">
        <v>1548</v>
      </c>
      <c r="G1610" s="5"/>
      <c r="H1610" s="5" t="s">
        <v>1629</v>
      </c>
      <c r="I1610" s="5" t="s">
        <v>128</v>
      </c>
      <c r="J1610" s="6"/>
      <c r="K1610" s="6"/>
      <c r="L1610" s="13" t="s">
        <v>1714</v>
      </c>
      <c r="M1610" s="8"/>
      <c r="N1610" s="5"/>
      <c r="O1610" s="5"/>
      <c r="P1610" s="5"/>
      <c r="Q1610" s="7" t="s">
        <v>1695</v>
      </c>
      <c r="R1610" s="6" t="s">
        <v>1695</v>
      </c>
      <c r="S1610" s="13" t="s">
        <v>1695</v>
      </c>
      <c r="T1610" s="6" t="s">
        <v>1695</v>
      </c>
      <c r="U1610" s="7" t="s">
        <v>1695</v>
      </c>
      <c r="V1610" s="5"/>
      <c r="W1610" s="7" t="s">
        <v>3</v>
      </c>
      <c r="X1610" s="6" t="s">
        <v>3</v>
      </c>
      <c r="Y1610" s="5"/>
      <c r="Z1610" s="6">
        <v>1</v>
      </c>
      <c r="AA1610" s="6"/>
      <c r="AB1610" s="5"/>
      <c r="AC1610" s="6"/>
      <c r="AD1610" s="6" t="s">
        <v>3</v>
      </c>
      <c r="AE1610" s="5"/>
      <c r="AF1610" s="6" t="s">
        <v>1695</v>
      </c>
      <c r="AG1610" s="6"/>
      <c r="AH1610" s="5"/>
      <c r="AI1610" s="6"/>
      <c r="AJ1610" s="6"/>
      <c r="AK1610" s="5"/>
      <c r="AL1610" s="5"/>
      <c r="AM1610" s="5"/>
      <c r="AN1610" s="5"/>
      <c r="AO1610" s="5"/>
      <c r="AP1610" s="5"/>
      <c r="AQ1610" s="5"/>
    </row>
    <row r="1611" spans="1:43" x14ac:dyDescent="0.25">
      <c r="A1611" s="161" t="str">
        <f t="shared" si="27"/>
        <v>U_AZTEC_JAGUAR</v>
      </c>
      <c r="B1611" s="9" t="s">
        <v>2345</v>
      </c>
      <c r="C1611" s="5"/>
      <c r="D1611" s="5"/>
      <c r="E1611" s="5" t="s">
        <v>1549</v>
      </c>
      <c r="F1611" s="5" t="s">
        <v>1549</v>
      </c>
      <c r="G1611" s="5"/>
      <c r="H1611" s="5" t="s">
        <v>1673</v>
      </c>
      <c r="I1611" s="5" t="s">
        <v>128</v>
      </c>
      <c r="J1611" s="6"/>
      <c r="K1611" s="6"/>
      <c r="L1611" s="13" t="s">
        <v>1708</v>
      </c>
      <c r="M1611" s="8"/>
      <c r="N1611" s="5"/>
      <c r="O1611" s="5"/>
      <c r="P1611" s="5"/>
      <c r="Q1611" s="7" t="s">
        <v>1737</v>
      </c>
      <c r="R1611" s="6" t="s">
        <v>1737</v>
      </c>
      <c r="S1611" s="13" t="s">
        <v>1620</v>
      </c>
      <c r="T1611" s="6">
        <v>18</v>
      </c>
      <c r="U1611" s="7" t="s">
        <v>1737</v>
      </c>
      <c r="V1611" s="5"/>
      <c r="W1611" s="7" t="s">
        <v>3</v>
      </c>
      <c r="X1611" s="6" t="s">
        <v>3</v>
      </c>
      <c r="Y1611" s="5"/>
      <c r="Z1611" s="7">
        <v>1</v>
      </c>
      <c r="AA1611" s="6"/>
      <c r="AB1611" s="5"/>
      <c r="AC1611" s="6"/>
      <c r="AD1611" s="6" t="s">
        <v>3</v>
      </c>
      <c r="AE1611" s="5"/>
      <c r="AF1611" s="7" t="s">
        <v>1737</v>
      </c>
      <c r="AG1611" s="6"/>
      <c r="AH1611" s="5"/>
      <c r="AI1611" s="6" t="s">
        <v>1737</v>
      </c>
      <c r="AJ1611" s="6"/>
      <c r="AK1611" s="5"/>
      <c r="AL1611" s="5"/>
      <c r="AM1611" s="5"/>
      <c r="AN1611" s="5"/>
      <c r="AO1611" s="5"/>
      <c r="AP1611" s="5"/>
      <c r="AQ1611" s="5"/>
    </row>
    <row r="1612" spans="1:43" x14ac:dyDescent="0.25">
      <c r="A1612" s="161" t="str">
        <f t="shared" si="27"/>
        <v>U_BABYLONIAN_BOWMAN</v>
      </c>
      <c r="B1612" s="9" t="s">
        <v>2346</v>
      </c>
      <c r="C1612" s="5"/>
      <c r="D1612" s="5"/>
      <c r="E1612" s="5" t="s">
        <v>1550</v>
      </c>
      <c r="F1612" s="5" t="s">
        <v>1550</v>
      </c>
      <c r="G1612" s="5"/>
      <c r="H1612" s="5" t="s">
        <v>1630</v>
      </c>
      <c r="I1612" s="5" t="s">
        <v>128</v>
      </c>
      <c r="J1612" s="6"/>
      <c r="K1612" s="6"/>
      <c r="L1612" s="13" t="s">
        <v>1708</v>
      </c>
      <c r="M1612" s="8"/>
      <c r="N1612" s="5"/>
      <c r="O1612" s="5"/>
      <c r="P1612" s="5"/>
      <c r="Q1612" s="7" t="s">
        <v>1737</v>
      </c>
      <c r="R1612" s="6" t="s">
        <v>1737</v>
      </c>
      <c r="S1612" s="13" t="s">
        <v>44</v>
      </c>
      <c r="T1612" s="6" t="s">
        <v>1737</v>
      </c>
      <c r="U1612" s="7" t="s">
        <v>1737</v>
      </c>
      <c r="V1612" s="5"/>
      <c r="W1612" s="7" t="s">
        <v>3</v>
      </c>
      <c r="X1612" s="6" t="s">
        <v>3</v>
      </c>
      <c r="Y1612" s="5"/>
      <c r="Z1612" s="7">
        <v>1</v>
      </c>
      <c r="AA1612" s="6"/>
      <c r="AB1612" s="5"/>
      <c r="AC1612" s="6"/>
      <c r="AD1612" s="6" t="s">
        <v>3</v>
      </c>
      <c r="AE1612" s="5"/>
      <c r="AF1612" s="7" t="s">
        <v>1737</v>
      </c>
      <c r="AG1612" s="6"/>
      <c r="AH1612" s="5"/>
      <c r="AI1612" s="6" t="s">
        <v>1737</v>
      </c>
      <c r="AJ1612" s="6"/>
      <c r="AK1612" s="5"/>
      <c r="AL1612" s="5"/>
      <c r="AM1612" s="5"/>
      <c r="AN1612" s="5"/>
      <c r="AO1612" s="5"/>
      <c r="AP1612" s="5"/>
      <c r="AQ1612" s="5"/>
    </row>
    <row r="1613" spans="1:43" x14ac:dyDescent="0.25">
      <c r="A1613" s="161" t="str">
        <f t="shared" si="27"/>
        <v>U_BRAZILIAN_PRACINHAS</v>
      </c>
      <c r="B1613" s="9" t="s">
        <v>2385</v>
      </c>
      <c r="C1613" s="5"/>
      <c r="D1613" s="5"/>
      <c r="E1613" s="5" t="s">
        <v>1551</v>
      </c>
      <c r="F1613" s="5" t="s">
        <v>1551</v>
      </c>
      <c r="G1613" s="5"/>
      <c r="H1613" s="5" t="s">
        <v>1631</v>
      </c>
      <c r="I1613" s="5" t="s">
        <v>128</v>
      </c>
      <c r="J1613" s="6"/>
      <c r="K1613" s="6"/>
      <c r="L1613" s="13" t="s">
        <v>1708</v>
      </c>
      <c r="M1613" s="8"/>
      <c r="N1613" s="5"/>
      <c r="O1613" s="5"/>
      <c r="P1613" s="5"/>
      <c r="Q1613" s="7" t="s">
        <v>1737</v>
      </c>
      <c r="R1613" s="6" t="s">
        <v>1737</v>
      </c>
      <c r="S1613" s="13" t="s">
        <v>1620</v>
      </c>
      <c r="T1613" s="6"/>
      <c r="U1613" s="7" t="s">
        <v>1695</v>
      </c>
      <c r="V1613" s="5"/>
      <c r="W1613" s="7" t="s">
        <v>3</v>
      </c>
      <c r="X1613" s="6" t="s">
        <v>3</v>
      </c>
      <c r="Y1613" s="5"/>
      <c r="Z1613" s="7">
        <v>1</v>
      </c>
      <c r="AA1613" s="6"/>
      <c r="AB1613" s="5"/>
      <c r="AC1613" s="6"/>
      <c r="AD1613" s="6" t="s">
        <v>3</v>
      </c>
      <c r="AE1613" s="5"/>
      <c r="AF1613" s="7" t="s">
        <v>1695</v>
      </c>
      <c r="AG1613" s="6"/>
      <c r="AH1613" s="5"/>
      <c r="AI1613" s="6" t="s">
        <v>1737</v>
      </c>
      <c r="AJ1613" s="6"/>
      <c r="AK1613" s="5"/>
      <c r="AL1613" s="5"/>
      <c r="AM1613" s="5"/>
      <c r="AN1613" s="5"/>
      <c r="AO1613" s="5"/>
      <c r="AP1613" s="5"/>
      <c r="AQ1613" s="5"/>
    </row>
    <row r="1614" spans="1:43" x14ac:dyDescent="0.25">
      <c r="A1614" s="161" t="str">
        <f t="shared" si="27"/>
        <v>U_BYZANTIUM_CATAPHRACT</v>
      </c>
      <c r="B1614" s="9" t="s">
        <v>2386</v>
      </c>
      <c r="C1614" s="5"/>
      <c r="D1614" s="5"/>
      <c r="E1614" s="5" t="s">
        <v>1552</v>
      </c>
      <c r="F1614" s="5" t="s">
        <v>1552</v>
      </c>
      <c r="G1614" s="5"/>
      <c r="H1614" s="5" t="s">
        <v>1632</v>
      </c>
      <c r="I1614" s="5" t="s">
        <v>128</v>
      </c>
      <c r="J1614" s="6"/>
      <c r="K1614" s="6"/>
      <c r="L1614" s="13" t="s">
        <v>1714</v>
      </c>
      <c r="M1614" s="8"/>
      <c r="N1614" s="5"/>
      <c r="O1614" s="5"/>
      <c r="P1614" s="5"/>
      <c r="Q1614" s="7" t="s">
        <v>1695</v>
      </c>
      <c r="R1614" s="6" t="s">
        <v>1695</v>
      </c>
      <c r="S1614" s="13" t="s">
        <v>1695</v>
      </c>
      <c r="T1614" s="6" t="s">
        <v>1695</v>
      </c>
      <c r="U1614" s="7" t="s">
        <v>1695</v>
      </c>
      <c r="V1614" s="5" t="s">
        <v>1701</v>
      </c>
      <c r="W1614" s="7" t="s">
        <v>3</v>
      </c>
      <c r="X1614" s="6" t="s">
        <v>3</v>
      </c>
      <c r="Y1614" s="5"/>
      <c r="Z1614" s="7">
        <v>1</v>
      </c>
      <c r="AA1614" s="6"/>
      <c r="AB1614" s="5"/>
      <c r="AC1614" s="6"/>
      <c r="AD1614" s="6" t="s">
        <v>3</v>
      </c>
      <c r="AE1614" s="5"/>
      <c r="AF1614" s="7" t="s">
        <v>1695</v>
      </c>
      <c r="AG1614" s="6"/>
      <c r="AH1614" s="5"/>
      <c r="AI1614" s="6"/>
      <c r="AJ1614" s="6"/>
      <c r="AK1614" s="5"/>
      <c r="AL1614" s="5"/>
      <c r="AM1614" s="5"/>
      <c r="AN1614" s="5"/>
      <c r="AO1614" s="5"/>
      <c r="AP1614" s="5"/>
      <c r="AQ1614" s="5"/>
    </row>
    <row r="1615" spans="1:43" x14ac:dyDescent="0.25">
      <c r="A1615" s="161" t="str">
        <f t="shared" si="27"/>
        <v>U_BYZANTIUM_DROMON</v>
      </c>
      <c r="B1615" s="9" t="s">
        <v>2387</v>
      </c>
      <c r="C1615" s="5"/>
      <c r="D1615" s="5"/>
      <c r="E1615" s="5" t="s">
        <v>1553</v>
      </c>
      <c r="F1615" s="5" t="s">
        <v>1553</v>
      </c>
      <c r="G1615" s="5"/>
      <c r="H1615" s="5" t="s">
        <v>1633</v>
      </c>
      <c r="I1615" s="5" t="s">
        <v>128</v>
      </c>
      <c r="J1615" s="6"/>
      <c r="K1615" s="7"/>
      <c r="L1615" s="13" t="s">
        <v>1712</v>
      </c>
      <c r="M1615" s="8"/>
      <c r="N1615" s="13" t="s">
        <v>1727</v>
      </c>
      <c r="O1615" s="13"/>
      <c r="P1615" s="13"/>
      <c r="Q1615" s="7">
        <v>1</v>
      </c>
      <c r="R1615" s="6">
        <v>0.16</v>
      </c>
      <c r="S1615" s="5"/>
      <c r="T1615" s="7">
        <v>2</v>
      </c>
      <c r="U1615" s="6">
        <v>0.11</v>
      </c>
      <c r="V1615" s="5" t="s">
        <v>1696</v>
      </c>
      <c r="W1615" s="6"/>
      <c r="X1615" s="6"/>
      <c r="Y1615" s="5"/>
      <c r="Z1615" s="6"/>
      <c r="AA1615" s="6"/>
      <c r="AB1615" s="5"/>
      <c r="AC1615" s="6"/>
      <c r="AD1615" s="6"/>
      <c r="AE1615" s="5"/>
      <c r="AF1615" s="6"/>
      <c r="AG1615" s="6"/>
      <c r="AH1615" s="5"/>
      <c r="AI1615" s="6"/>
      <c r="AJ1615" s="6"/>
      <c r="AK1615" s="5"/>
      <c r="AL1615" s="5"/>
      <c r="AM1615" s="5"/>
      <c r="AN1615" s="5"/>
      <c r="AO1615" s="5"/>
      <c r="AP1615" s="5"/>
      <c r="AQ1615" s="5"/>
    </row>
    <row r="1616" spans="1:43" x14ac:dyDescent="0.25">
      <c r="A1616" s="161" t="str">
        <f t="shared" si="27"/>
        <v>U_CARTHAGE_AFRICANFOREST_ELEPHANT</v>
      </c>
      <c r="B1616" s="9" t="s">
        <v>2388</v>
      </c>
      <c r="C1616" s="5"/>
      <c r="D1616" s="5"/>
      <c r="E1616" s="5" t="s">
        <v>1554</v>
      </c>
      <c r="F1616" s="5" t="s">
        <v>1554</v>
      </c>
      <c r="G1616" s="5"/>
      <c r="H1616" s="5" t="s">
        <v>1634</v>
      </c>
      <c r="I1616" s="5" t="s">
        <v>128</v>
      </c>
      <c r="J1616" s="6"/>
      <c r="K1616" s="6"/>
      <c r="L1616" s="13" t="s">
        <v>1714</v>
      </c>
      <c r="M1616" s="8"/>
      <c r="N1616" s="5"/>
      <c r="O1616" s="5"/>
      <c r="P1616" s="5"/>
      <c r="Q1616" s="7">
        <v>2</v>
      </c>
      <c r="R1616" s="6">
        <v>0.13</v>
      </c>
      <c r="S1616" s="13" t="s">
        <v>1618</v>
      </c>
      <c r="T1616" s="6">
        <v>3</v>
      </c>
      <c r="U1616" s="6" t="s">
        <v>1695</v>
      </c>
      <c r="V1616" s="5"/>
      <c r="W1616" s="7" t="s">
        <v>3</v>
      </c>
      <c r="X1616" s="6" t="s">
        <v>3</v>
      </c>
      <c r="Y1616" s="5"/>
      <c r="Z1616" s="7">
        <v>1</v>
      </c>
      <c r="AA1616" s="6"/>
      <c r="AB1616" s="5"/>
      <c r="AC1616" s="6"/>
      <c r="AD1616" s="6" t="s">
        <v>3</v>
      </c>
      <c r="AE1616" s="5"/>
      <c r="AF1616" s="6"/>
      <c r="AG1616" s="6"/>
      <c r="AH1616" s="5"/>
      <c r="AI1616" s="6"/>
      <c r="AJ1616" s="6"/>
      <c r="AK1616" s="5"/>
      <c r="AL1616" s="5"/>
      <c r="AM1616" s="5"/>
      <c r="AN1616" s="5"/>
      <c r="AO1616" s="5"/>
      <c r="AP1616" s="5"/>
      <c r="AQ1616" s="5"/>
    </row>
    <row r="1617" spans="1:43" x14ac:dyDescent="0.25">
      <c r="A1617" s="161" t="str">
        <f t="shared" si="27"/>
        <v>U_CARTHAGE_QUINQUEREME</v>
      </c>
      <c r="B1617" s="9" t="s">
        <v>2389</v>
      </c>
      <c r="C1617" s="5"/>
      <c r="D1617" s="5"/>
      <c r="E1617" s="5" t="s">
        <v>1555</v>
      </c>
      <c r="F1617" s="5" t="s">
        <v>1555</v>
      </c>
      <c r="G1617" s="5"/>
      <c r="H1617" s="5" t="s">
        <v>1635</v>
      </c>
      <c r="I1617" s="5" t="s">
        <v>128</v>
      </c>
      <c r="J1617" s="6"/>
      <c r="K1617" s="7"/>
      <c r="L1617" s="13" t="s">
        <v>1712</v>
      </c>
      <c r="M1617" s="8"/>
      <c r="N1617" s="13" t="s">
        <v>1727</v>
      </c>
      <c r="O1617" s="13"/>
      <c r="P1617" s="13"/>
      <c r="Q1617" s="7">
        <v>1</v>
      </c>
      <c r="R1617" s="6">
        <v>7.4999999999999997E-2</v>
      </c>
      <c r="S1617" s="5"/>
      <c r="T1617" s="7">
        <v>2</v>
      </c>
      <c r="U1617" s="6">
        <v>0.05</v>
      </c>
      <c r="V1617" s="5" t="s">
        <v>1698</v>
      </c>
      <c r="W1617" s="6"/>
      <c r="X1617" s="6"/>
      <c r="Y1617" s="5"/>
      <c r="Z1617" s="6"/>
      <c r="AA1617" s="6"/>
      <c r="AB1617" s="5"/>
      <c r="AC1617" s="6"/>
      <c r="AD1617" s="6"/>
      <c r="AE1617" s="5"/>
      <c r="AF1617" s="6"/>
      <c r="AG1617" s="6"/>
      <c r="AH1617" s="5"/>
      <c r="AI1617" s="6"/>
      <c r="AJ1617" s="6"/>
      <c r="AK1617" s="5"/>
      <c r="AL1617" s="5"/>
      <c r="AM1617" s="5"/>
      <c r="AN1617" s="5"/>
      <c r="AO1617" s="5"/>
      <c r="AP1617" s="5"/>
      <c r="AQ1617" s="5"/>
    </row>
    <row r="1618" spans="1:43" x14ac:dyDescent="0.25">
      <c r="A1618" s="161" t="str">
        <f t="shared" si="27"/>
        <v>U_CELT_PICTISH_WARRIOR</v>
      </c>
      <c r="B1618" s="9" t="s">
        <v>2347</v>
      </c>
      <c r="C1618" s="5"/>
      <c r="D1618" s="5"/>
      <c r="E1618" s="5" t="s">
        <v>1556</v>
      </c>
      <c r="F1618" s="5" t="s">
        <v>1556</v>
      </c>
      <c r="G1618" s="5"/>
      <c r="H1618" s="5" t="s">
        <v>1636</v>
      </c>
      <c r="I1618" s="5" t="s">
        <v>128</v>
      </c>
      <c r="J1618" s="6"/>
      <c r="K1618" s="6"/>
      <c r="L1618" s="13" t="s">
        <v>1708</v>
      </c>
      <c r="M1618" s="8"/>
      <c r="N1618" s="5"/>
      <c r="O1618" s="5"/>
      <c r="P1618" s="5"/>
      <c r="Q1618" s="7">
        <v>10</v>
      </c>
      <c r="R1618" s="6" t="s">
        <v>1737</v>
      </c>
      <c r="S1618" s="13" t="s">
        <v>1620</v>
      </c>
      <c r="T1618" s="6">
        <v>18</v>
      </c>
      <c r="U1618" s="7" t="s">
        <v>1737</v>
      </c>
      <c r="V1618" s="5"/>
      <c r="W1618" s="6" t="s">
        <v>3</v>
      </c>
      <c r="X1618" s="6" t="s">
        <v>3</v>
      </c>
      <c r="Y1618" s="5"/>
      <c r="Z1618" s="7">
        <v>1</v>
      </c>
      <c r="AA1618" s="6"/>
      <c r="AB1618" s="5"/>
      <c r="AC1618" s="6"/>
      <c r="AD1618" s="6" t="s">
        <v>3</v>
      </c>
      <c r="AE1618" s="5"/>
      <c r="AF1618" s="6" t="s">
        <v>1737</v>
      </c>
      <c r="AG1618" s="6"/>
      <c r="AH1618" s="5"/>
      <c r="AI1618" s="6">
        <v>6</v>
      </c>
      <c r="AJ1618" s="6"/>
      <c r="AK1618" s="5"/>
      <c r="AL1618" s="5"/>
      <c r="AM1618" s="5"/>
      <c r="AN1618" s="5"/>
      <c r="AO1618" s="5"/>
      <c r="AP1618" s="5"/>
      <c r="AQ1618" s="5"/>
    </row>
    <row r="1619" spans="1:43" x14ac:dyDescent="0.25">
      <c r="A1619" s="161" t="str">
        <f t="shared" si="27"/>
        <v>U_CHINESE_CHUKONU</v>
      </c>
      <c r="B1619" s="9" t="s">
        <v>2348</v>
      </c>
      <c r="C1619" s="5"/>
      <c r="D1619" s="5"/>
      <c r="E1619" s="5" t="s">
        <v>1557</v>
      </c>
      <c r="F1619" s="5" t="s">
        <v>1557</v>
      </c>
      <c r="G1619" s="5"/>
      <c r="H1619" s="5" t="s">
        <v>1674</v>
      </c>
      <c r="I1619" s="5" t="s">
        <v>128</v>
      </c>
      <c r="J1619" s="6"/>
      <c r="K1619" s="6"/>
      <c r="L1619" s="13" t="s">
        <v>1708</v>
      </c>
      <c r="M1619" s="8"/>
      <c r="N1619" s="5"/>
      <c r="O1619" s="5"/>
      <c r="P1619" s="5"/>
      <c r="Q1619" s="7" t="s">
        <v>1737</v>
      </c>
      <c r="R1619" s="6" t="s">
        <v>1737</v>
      </c>
      <c r="S1619" s="13" t="s">
        <v>44</v>
      </c>
      <c r="T1619" s="7">
        <v>15</v>
      </c>
      <c r="U1619" s="7" t="s">
        <v>1737</v>
      </c>
      <c r="V1619" s="5" t="s">
        <v>34</v>
      </c>
      <c r="W1619" s="6" t="s">
        <v>3</v>
      </c>
      <c r="X1619" s="6" t="s">
        <v>3</v>
      </c>
      <c r="Y1619" s="5"/>
      <c r="Z1619" s="7">
        <v>1</v>
      </c>
      <c r="AA1619" s="6"/>
      <c r="AB1619" s="5"/>
      <c r="AC1619" s="6"/>
      <c r="AD1619" s="6" t="s">
        <v>3</v>
      </c>
      <c r="AE1619" s="5"/>
      <c r="AF1619" s="6" t="s">
        <v>1737</v>
      </c>
      <c r="AG1619" s="6"/>
      <c r="AH1619" s="5"/>
      <c r="AI1619" s="6" t="s">
        <v>1737</v>
      </c>
      <c r="AJ1619" s="6"/>
      <c r="AK1619" s="5"/>
      <c r="AL1619" s="5"/>
      <c r="AM1619" s="5"/>
      <c r="AN1619" s="5"/>
      <c r="AO1619" s="5"/>
      <c r="AP1619" s="5"/>
      <c r="AQ1619" s="5"/>
    </row>
    <row r="1620" spans="1:43" x14ac:dyDescent="0.25">
      <c r="A1620" s="161" t="str">
        <f t="shared" si="27"/>
        <v>U_DANISH_BERSERKER</v>
      </c>
      <c r="B1620" s="9" t="s">
        <v>2349</v>
      </c>
      <c r="C1620" s="5"/>
      <c r="D1620" s="5"/>
      <c r="E1620" s="5" t="s">
        <v>1558</v>
      </c>
      <c r="F1620" s="5" t="s">
        <v>1558</v>
      </c>
      <c r="G1620" s="5"/>
      <c r="H1620" s="5" t="s">
        <v>1637</v>
      </c>
      <c r="I1620" s="5" t="s">
        <v>128</v>
      </c>
      <c r="J1620" s="6"/>
      <c r="K1620" s="6"/>
      <c r="L1620" s="13" t="s">
        <v>1718</v>
      </c>
      <c r="M1620" s="8"/>
      <c r="N1620" s="5"/>
      <c r="O1620" s="5"/>
      <c r="P1620" s="5"/>
      <c r="Q1620" s="7" t="s">
        <v>1737</v>
      </c>
      <c r="R1620" s="6">
        <v>0.14000000000000001</v>
      </c>
      <c r="S1620" s="13" t="s">
        <v>1620</v>
      </c>
      <c r="T1620" s="7">
        <v>18</v>
      </c>
      <c r="U1620" s="6">
        <v>9.8000000000000004E-2</v>
      </c>
      <c r="V1620" s="5"/>
      <c r="W1620" s="6" t="s">
        <v>3</v>
      </c>
      <c r="X1620" s="6" t="s">
        <v>3</v>
      </c>
      <c r="Y1620" s="5"/>
      <c r="Z1620" s="7">
        <v>1</v>
      </c>
      <c r="AA1620" s="6"/>
      <c r="AB1620" s="5"/>
      <c r="AC1620" s="6"/>
      <c r="AD1620" s="6" t="s">
        <v>3</v>
      </c>
      <c r="AE1620" s="5"/>
      <c r="AF1620" s="6" t="s">
        <v>1737</v>
      </c>
      <c r="AG1620" s="6"/>
      <c r="AH1620" s="5"/>
      <c r="AI1620" s="6" t="s">
        <v>1737</v>
      </c>
      <c r="AJ1620" s="6"/>
      <c r="AK1620" s="5"/>
      <c r="AL1620" s="5"/>
      <c r="AM1620" s="5"/>
      <c r="AN1620" s="5"/>
      <c r="AO1620" s="5"/>
      <c r="AP1620" s="5"/>
      <c r="AQ1620" s="5"/>
    </row>
    <row r="1621" spans="1:43" x14ac:dyDescent="0.25">
      <c r="A1621" s="161" t="str">
        <f t="shared" si="27"/>
        <v>U_DANISH_LONGBOAT</v>
      </c>
      <c r="C1621" s="5"/>
      <c r="D1621" s="5"/>
      <c r="E1621" s="5" t="s">
        <v>1559</v>
      </c>
      <c r="F1621" s="5" t="s">
        <v>1559</v>
      </c>
      <c r="G1621" s="5"/>
      <c r="H1621" s="5" t="s">
        <v>992</v>
      </c>
      <c r="I1621" s="5" t="s">
        <v>128</v>
      </c>
      <c r="J1621" s="6"/>
      <c r="K1621" s="7"/>
      <c r="L1621" s="13" t="s">
        <v>1712</v>
      </c>
      <c r="M1621" s="8"/>
      <c r="N1621" s="13" t="s">
        <v>1727</v>
      </c>
      <c r="O1621" s="13"/>
      <c r="P1621" s="13"/>
      <c r="Q1621" s="7">
        <v>2</v>
      </c>
      <c r="R1621" s="6">
        <v>0.1</v>
      </c>
      <c r="S1621" s="13" t="s">
        <v>1613</v>
      </c>
      <c r="T1621" s="7">
        <v>4</v>
      </c>
      <c r="U1621" s="6">
        <v>5.5E-2</v>
      </c>
      <c r="V1621" s="5" t="s">
        <v>1696</v>
      </c>
      <c r="W1621" s="6"/>
      <c r="X1621" s="6"/>
      <c r="Y1621" s="5"/>
      <c r="Z1621" s="7">
        <v>1</v>
      </c>
      <c r="AA1621" s="6"/>
      <c r="AB1621" s="5"/>
      <c r="AC1621" s="6"/>
      <c r="AD1621" s="6"/>
      <c r="AE1621" s="5"/>
      <c r="AF1621" s="6"/>
      <c r="AG1621" s="6"/>
      <c r="AH1621" s="5"/>
      <c r="AI1621" s="6"/>
      <c r="AJ1621" s="6"/>
      <c r="AK1621" s="5"/>
      <c r="AL1621" s="5"/>
      <c r="AM1621" s="5"/>
      <c r="AN1621" s="5"/>
      <c r="AO1621" s="5"/>
      <c r="AP1621" s="5"/>
      <c r="AQ1621" s="5"/>
    </row>
    <row r="1622" spans="1:43" x14ac:dyDescent="0.25">
      <c r="A1622" s="161" t="str">
        <f t="shared" si="27"/>
        <v>U_DANISH_SKI_INFANTRY</v>
      </c>
      <c r="B1622" s="9" t="s">
        <v>2350</v>
      </c>
      <c r="C1622" s="5"/>
      <c r="D1622" s="5"/>
      <c r="E1622" s="5" t="s">
        <v>1560</v>
      </c>
      <c r="F1622" s="5" t="s">
        <v>1609</v>
      </c>
      <c r="G1622" s="5"/>
      <c r="H1622" s="5" t="s">
        <v>1638</v>
      </c>
      <c r="I1622" s="5" t="s">
        <v>128</v>
      </c>
      <c r="J1622" s="6"/>
      <c r="K1622" s="6"/>
      <c r="L1622" s="13" t="s">
        <v>1708</v>
      </c>
      <c r="M1622" s="8"/>
      <c r="N1622" s="5"/>
      <c r="O1622" s="5"/>
      <c r="P1622" s="5"/>
      <c r="Q1622" s="7">
        <v>14</v>
      </c>
      <c r="R1622" s="6">
        <v>0.13</v>
      </c>
      <c r="S1622" s="13" t="s">
        <v>1619</v>
      </c>
      <c r="T1622" s="7">
        <v>19</v>
      </c>
      <c r="U1622" s="6">
        <v>8.6999999999999994E-2</v>
      </c>
      <c r="V1622" s="5"/>
      <c r="W1622" s="6" t="s">
        <v>3</v>
      </c>
      <c r="X1622" s="6" t="s">
        <v>3</v>
      </c>
      <c r="Y1622" s="5"/>
      <c r="Z1622" s="7">
        <v>1</v>
      </c>
      <c r="AA1622" s="6"/>
      <c r="AB1622" s="5"/>
      <c r="AC1622" s="6"/>
      <c r="AD1622" s="6" t="s">
        <v>3</v>
      </c>
      <c r="AE1622" s="5"/>
      <c r="AF1622" s="7" t="s">
        <v>1737</v>
      </c>
      <c r="AG1622" s="6"/>
      <c r="AH1622" s="5"/>
      <c r="AI1622" s="7" t="s">
        <v>1737</v>
      </c>
      <c r="AJ1622" s="6"/>
      <c r="AK1622" s="5"/>
      <c r="AL1622" s="5"/>
      <c r="AM1622" s="5"/>
      <c r="AN1622" s="5"/>
      <c r="AO1622" s="5"/>
      <c r="AP1622" s="5"/>
      <c r="AQ1622" s="5"/>
    </row>
    <row r="1623" spans="1:43" x14ac:dyDescent="0.25">
      <c r="A1623" s="161" t="str">
        <f t="shared" si="27"/>
        <v>U_DUTCH_SEA_BEGGARS</v>
      </c>
      <c r="B1623" s="9" t="s">
        <v>2390</v>
      </c>
      <c r="C1623" s="5"/>
      <c r="D1623" s="5"/>
      <c r="E1623" s="5" t="s">
        <v>1561</v>
      </c>
      <c r="F1623" s="5" t="s">
        <v>1561</v>
      </c>
      <c r="G1623" s="5"/>
      <c r="H1623" s="5" t="s">
        <v>1639</v>
      </c>
      <c r="I1623" s="5" t="s">
        <v>128</v>
      </c>
      <c r="J1623" s="6"/>
      <c r="K1623" s="7"/>
      <c r="L1623" s="13" t="s">
        <v>1712</v>
      </c>
      <c r="M1623" s="8"/>
      <c r="N1623" s="13" t="s">
        <v>1727</v>
      </c>
      <c r="O1623" s="13"/>
      <c r="P1623" s="13"/>
      <c r="Q1623" s="7">
        <v>1</v>
      </c>
      <c r="R1623" s="6" t="s">
        <v>1737</v>
      </c>
      <c r="S1623" s="5"/>
      <c r="T1623" s="6"/>
      <c r="U1623" s="6">
        <v>0.1</v>
      </c>
      <c r="V1623" s="5" t="s">
        <v>1696</v>
      </c>
      <c r="W1623" s="6"/>
      <c r="X1623" s="6"/>
      <c r="Y1623" s="5"/>
      <c r="Z1623" s="6"/>
      <c r="AA1623" s="6"/>
      <c r="AB1623" s="5"/>
      <c r="AC1623" s="6"/>
      <c r="AD1623" s="6"/>
      <c r="AE1623" s="5"/>
      <c r="AF1623" s="6"/>
      <c r="AG1623" s="6"/>
      <c r="AH1623" s="5"/>
      <c r="AI1623" s="6"/>
      <c r="AJ1623" s="6"/>
      <c r="AK1623" s="5"/>
      <c r="AL1623" s="5"/>
      <c r="AM1623" s="5"/>
      <c r="AN1623" s="5"/>
      <c r="AO1623" s="5"/>
      <c r="AP1623" s="5"/>
      <c r="AQ1623" s="5"/>
    </row>
    <row r="1624" spans="1:43" x14ac:dyDescent="0.25">
      <c r="A1624" s="161" t="str">
        <f t="shared" si="27"/>
        <v>U_EGYPTIAN_WARCHARIOT</v>
      </c>
      <c r="B1624" s="9" t="s">
        <v>2351</v>
      </c>
      <c r="C1624" s="5"/>
      <c r="D1624" s="5"/>
      <c r="E1624" s="5" t="s">
        <v>1562</v>
      </c>
      <c r="F1624" s="5" t="s">
        <v>1562</v>
      </c>
      <c r="G1624" s="5"/>
      <c r="H1624" s="5" t="s">
        <v>1675</v>
      </c>
      <c r="I1624" s="5" t="s">
        <v>128</v>
      </c>
      <c r="J1624" s="6"/>
      <c r="K1624" s="6"/>
      <c r="L1624" s="13" t="s">
        <v>1709</v>
      </c>
      <c r="M1624" s="8"/>
      <c r="N1624" s="5"/>
      <c r="O1624" s="5"/>
      <c r="P1624" s="5"/>
      <c r="Q1624" s="7">
        <v>2</v>
      </c>
      <c r="R1624" s="6">
        <v>0.13</v>
      </c>
      <c r="S1624" s="13" t="s">
        <v>1618</v>
      </c>
      <c r="T1624" s="7">
        <v>3</v>
      </c>
      <c r="U1624" s="6" t="s">
        <v>1695</v>
      </c>
      <c r="V1624" s="5"/>
      <c r="W1624" s="6" t="s">
        <v>3</v>
      </c>
      <c r="X1624" s="6" t="s">
        <v>3</v>
      </c>
      <c r="Y1624" s="5"/>
      <c r="Z1624" s="7">
        <v>1</v>
      </c>
      <c r="AA1624" s="6"/>
      <c r="AB1624" s="5"/>
      <c r="AC1624" s="6"/>
      <c r="AD1624" s="6" t="s">
        <v>3</v>
      </c>
      <c r="AE1624" s="5"/>
      <c r="AF1624" s="6"/>
      <c r="AG1624" s="6"/>
      <c r="AH1624" s="5"/>
      <c r="AI1624" s="6"/>
      <c r="AJ1624" s="6"/>
      <c r="AK1624" s="5"/>
      <c r="AL1624" s="5"/>
      <c r="AM1624" s="5"/>
      <c r="AN1624" s="5"/>
      <c r="AO1624" s="5"/>
      <c r="AP1624" s="5"/>
      <c r="AQ1624" s="5"/>
    </row>
    <row r="1625" spans="1:43" x14ac:dyDescent="0.25">
      <c r="A1625" s="161" t="str">
        <f t="shared" si="27"/>
        <v>U_ENGLISH_LONGBOWMAN</v>
      </c>
      <c r="B1625" s="9" t="s">
        <v>2352</v>
      </c>
      <c r="C1625" s="5"/>
      <c r="D1625" s="5"/>
      <c r="E1625" s="5" t="s">
        <v>1563</v>
      </c>
      <c r="F1625" s="5" t="s">
        <v>1563</v>
      </c>
      <c r="G1625" s="5"/>
      <c r="H1625" s="5" t="s">
        <v>1676</v>
      </c>
      <c r="I1625" s="5" t="s">
        <v>128</v>
      </c>
      <c r="J1625" s="6"/>
      <c r="K1625" s="6"/>
      <c r="L1625" s="13" t="s">
        <v>1708</v>
      </c>
      <c r="M1625" s="8"/>
      <c r="N1625" s="5"/>
      <c r="O1625" s="5"/>
      <c r="P1625" s="5"/>
      <c r="Q1625" s="7" t="s">
        <v>1737</v>
      </c>
      <c r="R1625" s="6" t="s">
        <v>1737</v>
      </c>
      <c r="S1625" s="13" t="s">
        <v>44</v>
      </c>
      <c r="T1625" s="7">
        <v>19</v>
      </c>
      <c r="U1625" s="7" t="s">
        <v>1737</v>
      </c>
      <c r="V1625" s="5" t="s">
        <v>1704</v>
      </c>
      <c r="W1625" s="6">
        <v>31</v>
      </c>
      <c r="X1625" s="6" t="s">
        <v>3</v>
      </c>
      <c r="Y1625" s="5"/>
      <c r="Z1625" s="7">
        <v>1</v>
      </c>
      <c r="AA1625" s="6"/>
      <c r="AB1625" s="5"/>
      <c r="AC1625" s="6"/>
      <c r="AD1625" s="6" t="s">
        <v>3</v>
      </c>
      <c r="AE1625" s="5"/>
      <c r="AF1625" s="6" t="s">
        <v>1737</v>
      </c>
      <c r="AG1625" s="6"/>
      <c r="AH1625" s="5"/>
      <c r="AI1625" s="6" t="s">
        <v>1737</v>
      </c>
      <c r="AJ1625" s="6"/>
      <c r="AK1625" s="5"/>
      <c r="AL1625" s="5"/>
      <c r="AM1625" s="5"/>
      <c r="AN1625" s="5"/>
      <c r="AO1625" s="5"/>
      <c r="AP1625" s="5"/>
      <c r="AQ1625" s="5"/>
    </row>
    <row r="1626" spans="1:43" x14ac:dyDescent="0.25">
      <c r="A1626" s="161" t="str">
        <f t="shared" si="27"/>
        <v>U_ENGLISH_SHIPOFTHELINE</v>
      </c>
      <c r="B1626" s="9" t="s">
        <v>2353</v>
      </c>
      <c r="C1626" s="5"/>
      <c r="D1626" s="5"/>
      <c r="E1626" s="5" t="s">
        <v>1564</v>
      </c>
      <c r="F1626" s="5" t="s">
        <v>1564</v>
      </c>
      <c r="G1626" s="5"/>
      <c r="H1626" s="5" t="s">
        <v>1677</v>
      </c>
      <c r="I1626" s="5" t="s">
        <v>128</v>
      </c>
      <c r="J1626" s="6"/>
      <c r="K1626" s="7"/>
      <c r="L1626" s="13" t="s">
        <v>1712</v>
      </c>
      <c r="M1626" s="8"/>
      <c r="N1626" s="13" t="s">
        <v>1727</v>
      </c>
      <c r="O1626" s="13"/>
      <c r="P1626" s="13"/>
      <c r="Q1626" s="7">
        <v>1</v>
      </c>
      <c r="R1626" s="6" t="s">
        <v>1737</v>
      </c>
      <c r="S1626" s="5"/>
      <c r="T1626" s="6">
        <v>2</v>
      </c>
      <c r="U1626" s="7">
        <v>0.11</v>
      </c>
      <c r="V1626" s="5" t="s">
        <v>1700</v>
      </c>
      <c r="W1626" s="6"/>
      <c r="X1626" s="6"/>
      <c r="Y1626" s="5"/>
      <c r="Z1626" s="6"/>
      <c r="AA1626" s="6"/>
      <c r="AB1626" s="5"/>
      <c r="AC1626" s="6"/>
      <c r="AD1626" s="6"/>
      <c r="AE1626" s="5"/>
      <c r="AF1626" s="6"/>
      <c r="AG1626" s="6"/>
      <c r="AH1626" s="5"/>
      <c r="AI1626" s="6"/>
      <c r="AJ1626" s="6"/>
      <c r="AK1626" s="5"/>
      <c r="AL1626" s="5"/>
      <c r="AM1626" s="5"/>
      <c r="AN1626" s="5"/>
      <c r="AO1626" s="5"/>
      <c r="AP1626" s="5"/>
      <c r="AQ1626" s="5"/>
    </row>
    <row r="1627" spans="1:43" x14ac:dyDescent="0.25">
      <c r="A1627" s="161" t="str">
        <f t="shared" si="27"/>
        <v>U_ETHIOPIA_MEHAL_SEFARI</v>
      </c>
      <c r="B1627" s="9" t="s">
        <v>2391</v>
      </c>
      <c r="C1627" s="5"/>
      <c r="D1627" s="5"/>
      <c r="E1627" s="5" t="s">
        <v>1565</v>
      </c>
      <c r="F1627" s="5" t="s">
        <v>1565</v>
      </c>
      <c r="G1627" s="5"/>
      <c r="H1627" s="5" t="s">
        <v>1640</v>
      </c>
      <c r="I1627" s="5" t="s">
        <v>128</v>
      </c>
      <c r="J1627" s="6"/>
      <c r="K1627" s="6"/>
      <c r="L1627" s="13" t="s">
        <v>1708</v>
      </c>
      <c r="M1627" s="8"/>
      <c r="N1627" s="5"/>
      <c r="O1627" s="5"/>
      <c r="P1627" s="5"/>
      <c r="Q1627" s="7">
        <v>14</v>
      </c>
      <c r="R1627" s="6">
        <v>0.13</v>
      </c>
      <c r="S1627" s="13" t="s">
        <v>1619</v>
      </c>
      <c r="T1627" s="6">
        <v>19</v>
      </c>
      <c r="U1627" s="6" t="s">
        <v>1695</v>
      </c>
      <c r="V1627" s="5"/>
      <c r="W1627" s="6" t="s">
        <v>3</v>
      </c>
      <c r="X1627" s="6" t="s">
        <v>3</v>
      </c>
      <c r="Y1627" s="5"/>
      <c r="Z1627" s="7">
        <v>1</v>
      </c>
      <c r="AA1627" s="6"/>
      <c r="AB1627" s="5"/>
      <c r="AC1627" s="6"/>
      <c r="AD1627" s="6" t="s">
        <v>3</v>
      </c>
      <c r="AE1627" s="5"/>
      <c r="AF1627" s="6" t="s">
        <v>1695</v>
      </c>
      <c r="AG1627" s="6"/>
      <c r="AH1627" s="5"/>
      <c r="AI1627" s="6" t="s">
        <v>1737</v>
      </c>
      <c r="AJ1627" s="6"/>
      <c r="AK1627" s="5"/>
      <c r="AL1627" s="5"/>
      <c r="AM1627" s="5"/>
      <c r="AN1627" s="5"/>
      <c r="AO1627" s="5"/>
      <c r="AP1627" s="5"/>
      <c r="AQ1627" s="5"/>
    </row>
    <row r="1628" spans="1:43" x14ac:dyDescent="0.25">
      <c r="A1628" s="161" t="str">
        <f t="shared" si="27"/>
        <v>U_FRENCH_FOREIGNLEGION</v>
      </c>
      <c r="B1628" s="9" t="s">
        <v>2354</v>
      </c>
      <c r="C1628" s="5"/>
      <c r="D1628" s="5"/>
      <c r="E1628" s="5" t="s">
        <v>1566</v>
      </c>
      <c r="F1628" s="5" t="s">
        <v>1566</v>
      </c>
      <c r="G1628" s="5"/>
      <c r="H1628" s="5" t="s">
        <v>1508</v>
      </c>
      <c r="I1628" s="5" t="s">
        <v>128</v>
      </c>
      <c r="J1628" s="6"/>
      <c r="K1628" s="6"/>
      <c r="L1628" s="13" t="s">
        <v>1708</v>
      </c>
      <c r="M1628" s="8"/>
      <c r="N1628" s="5"/>
      <c r="O1628" s="5"/>
      <c r="P1628" s="5"/>
      <c r="Q1628" s="7" t="s">
        <v>1737</v>
      </c>
      <c r="R1628" s="6" t="s">
        <v>1737</v>
      </c>
      <c r="S1628" s="13" t="s">
        <v>1620</v>
      </c>
      <c r="T1628" s="6">
        <v>18</v>
      </c>
      <c r="U1628" s="7" t="s">
        <v>1737</v>
      </c>
      <c r="V1628" s="5"/>
      <c r="W1628" s="6" t="s">
        <v>3</v>
      </c>
      <c r="X1628" s="6" t="s">
        <v>3</v>
      </c>
      <c r="Y1628" s="5"/>
      <c r="Z1628" s="7">
        <v>1</v>
      </c>
      <c r="AA1628" s="6"/>
      <c r="AB1628" s="5"/>
      <c r="AC1628" s="6"/>
      <c r="AD1628" s="6" t="s">
        <v>3</v>
      </c>
      <c r="AE1628" s="5"/>
      <c r="AF1628" s="6" t="s">
        <v>1737</v>
      </c>
      <c r="AG1628" s="6"/>
      <c r="AH1628" s="5"/>
      <c r="AI1628" s="6" t="s">
        <v>1737</v>
      </c>
      <c r="AJ1628" s="6"/>
      <c r="AK1628" s="5"/>
      <c r="AL1628" s="5"/>
      <c r="AM1628" s="5"/>
      <c r="AN1628" s="5"/>
      <c r="AO1628" s="5"/>
      <c r="AP1628" s="5"/>
      <c r="AQ1628" s="5"/>
    </row>
    <row r="1629" spans="1:43" x14ac:dyDescent="0.25">
      <c r="A1629" s="161" t="str">
        <f t="shared" si="27"/>
        <v>U_FRENCH_MUSKETEER</v>
      </c>
      <c r="B1629" s="9" t="s">
        <v>2355</v>
      </c>
      <c r="C1629" s="5"/>
      <c r="D1629" s="5"/>
      <c r="E1629" s="5" t="s">
        <v>1567</v>
      </c>
      <c r="F1629" s="5" t="s">
        <v>1567</v>
      </c>
      <c r="G1629" s="5"/>
      <c r="H1629" s="5" t="s">
        <v>1678</v>
      </c>
      <c r="I1629" s="5" t="s">
        <v>128</v>
      </c>
      <c r="J1629" s="6"/>
      <c r="K1629" s="6"/>
      <c r="L1629" s="13" t="s">
        <v>1708</v>
      </c>
      <c r="M1629" s="8"/>
      <c r="N1629" s="5"/>
      <c r="O1629" s="5"/>
      <c r="P1629" s="5"/>
      <c r="Q1629" s="7">
        <v>14</v>
      </c>
      <c r="R1629" s="6" t="s">
        <v>1737</v>
      </c>
      <c r="S1629" s="13" t="s">
        <v>1619</v>
      </c>
      <c r="T1629" s="6">
        <v>19</v>
      </c>
      <c r="U1629" s="7" t="s">
        <v>1695</v>
      </c>
      <c r="V1629" s="5"/>
      <c r="W1629" s="6" t="s">
        <v>3</v>
      </c>
      <c r="X1629" s="6" t="s">
        <v>3</v>
      </c>
      <c r="Y1629" s="5"/>
      <c r="Z1629" s="7">
        <v>1</v>
      </c>
      <c r="AA1629" s="6"/>
      <c r="AB1629" s="5"/>
      <c r="AC1629" s="6"/>
      <c r="AD1629" s="6" t="s">
        <v>3</v>
      </c>
      <c r="AE1629" s="5"/>
      <c r="AF1629" s="7" t="s">
        <v>1737</v>
      </c>
      <c r="AG1629" s="6"/>
      <c r="AH1629" s="5"/>
      <c r="AI1629" s="7" t="s">
        <v>1737</v>
      </c>
      <c r="AJ1629" s="6"/>
      <c r="AK1629" s="5"/>
      <c r="AL1629" s="5"/>
      <c r="AM1629" s="5"/>
      <c r="AN1629" s="5"/>
      <c r="AO1629" s="5"/>
      <c r="AP1629" s="5"/>
      <c r="AQ1629" s="5"/>
    </row>
    <row r="1630" spans="1:43" x14ac:dyDescent="0.25">
      <c r="A1630" s="161" t="str">
        <f t="shared" si="27"/>
        <v>U_GERMAN_LANDSKNECHT</v>
      </c>
      <c r="B1630" s="9" t="s">
        <v>2356</v>
      </c>
      <c r="C1630" s="5"/>
      <c r="D1630" s="5"/>
      <c r="E1630" s="5" t="s">
        <v>1568</v>
      </c>
      <c r="F1630" s="5" t="s">
        <v>1568</v>
      </c>
      <c r="G1630" s="5"/>
      <c r="H1630" s="5" t="s">
        <v>1679</v>
      </c>
      <c r="I1630" s="5" t="s">
        <v>128</v>
      </c>
      <c r="J1630" s="6"/>
      <c r="K1630" s="6"/>
      <c r="L1630" s="13" t="s">
        <v>1708</v>
      </c>
      <c r="M1630" s="8"/>
      <c r="N1630" s="5"/>
      <c r="O1630" s="5"/>
      <c r="P1630" s="5"/>
      <c r="Q1630" s="7">
        <v>6</v>
      </c>
      <c r="R1630" s="6" t="s">
        <v>1737</v>
      </c>
      <c r="S1630" s="13" t="s">
        <v>22</v>
      </c>
      <c r="T1630" s="6">
        <v>5</v>
      </c>
      <c r="U1630" s="7" t="s">
        <v>1737</v>
      </c>
      <c r="V1630" s="5"/>
      <c r="W1630" s="7" t="s">
        <v>3</v>
      </c>
      <c r="X1630" s="6" t="s">
        <v>3</v>
      </c>
      <c r="Y1630" s="5"/>
      <c r="Z1630" s="7">
        <v>1</v>
      </c>
      <c r="AA1630" s="6"/>
      <c r="AB1630" s="5"/>
      <c r="AC1630" s="6"/>
      <c r="AD1630" s="6" t="s">
        <v>3</v>
      </c>
      <c r="AE1630" s="5"/>
      <c r="AF1630" s="7">
        <v>1</v>
      </c>
      <c r="AG1630" s="6"/>
      <c r="AH1630" s="5"/>
      <c r="AI1630" s="7">
        <v>2</v>
      </c>
      <c r="AJ1630" s="6"/>
      <c r="AK1630" s="5"/>
      <c r="AL1630" s="5"/>
      <c r="AM1630" s="5"/>
      <c r="AN1630" s="5"/>
      <c r="AO1630" s="5"/>
      <c r="AP1630" s="5"/>
      <c r="AQ1630" s="5"/>
    </row>
    <row r="1631" spans="1:43" x14ac:dyDescent="0.25">
      <c r="A1631" s="161" t="str">
        <f t="shared" si="27"/>
        <v>U_GERMAN_LANDSKNECHT</v>
      </c>
      <c r="B1631" s="9" t="s">
        <v>2356</v>
      </c>
      <c r="C1631" s="5"/>
      <c r="D1631" s="5"/>
      <c r="E1631" s="5" t="s">
        <v>1568</v>
      </c>
      <c r="F1631" s="5" t="s">
        <v>1568</v>
      </c>
      <c r="G1631" s="5" t="s">
        <v>92</v>
      </c>
      <c r="H1631" s="5" t="s">
        <v>1680</v>
      </c>
      <c r="I1631" s="5" t="s">
        <v>128</v>
      </c>
      <c r="J1631" s="6"/>
      <c r="K1631" s="6"/>
      <c r="L1631" s="13" t="s">
        <v>1708</v>
      </c>
      <c r="M1631" s="8"/>
      <c r="N1631" s="5"/>
      <c r="O1631" s="5"/>
      <c r="P1631" s="5"/>
      <c r="Q1631" s="7">
        <v>6</v>
      </c>
      <c r="R1631" s="6" t="s">
        <v>1737</v>
      </c>
      <c r="S1631" s="13" t="s">
        <v>22</v>
      </c>
      <c r="T1631" s="6">
        <v>6</v>
      </c>
      <c r="U1631" s="7" t="s">
        <v>1737</v>
      </c>
      <c r="V1631" s="5"/>
      <c r="W1631" s="7" t="s">
        <v>3</v>
      </c>
      <c r="X1631" s="6" t="s">
        <v>3</v>
      </c>
      <c r="Y1631" s="5"/>
      <c r="Z1631" s="7">
        <v>0</v>
      </c>
      <c r="AA1631" s="6"/>
      <c r="AB1631" s="5"/>
      <c r="AC1631" s="6"/>
      <c r="AD1631" s="6" t="s">
        <v>3</v>
      </c>
      <c r="AE1631" s="5"/>
      <c r="AF1631" s="7">
        <v>1</v>
      </c>
      <c r="AG1631" s="6"/>
      <c r="AH1631" s="5"/>
      <c r="AI1631" s="7">
        <v>3</v>
      </c>
      <c r="AJ1631" s="6"/>
      <c r="AK1631" s="5"/>
      <c r="AL1631" s="5"/>
      <c r="AM1631" s="5"/>
      <c r="AN1631" s="5"/>
      <c r="AO1631" s="5"/>
      <c r="AP1631" s="5"/>
      <c r="AQ1631" s="5"/>
    </row>
    <row r="1632" spans="1:43" x14ac:dyDescent="0.25">
      <c r="A1632" s="161" t="str">
        <f t="shared" si="27"/>
        <v>U_GERMAN_LANDSKNECHT</v>
      </c>
      <c r="B1632" s="9" t="s">
        <v>2356</v>
      </c>
      <c r="C1632" s="5"/>
      <c r="D1632" s="5"/>
      <c r="E1632" s="5" t="s">
        <v>1568</v>
      </c>
      <c r="F1632" s="5" t="s">
        <v>1568</v>
      </c>
      <c r="G1632" s="5"/>
      <c r="H1632" s="5" t="s">
        <v>1679</v>
      </c>
      <c r="I1632" s="5" t="s">
        <v>128</v>
      </c>
      <c r="J1632" s="6"/>
      <c r="K1632" s="6"/>
      <c r="L1632" s="13" t="s">
        <v>1708</v>
      </c>
      <c r="M1632" s="8"/>
      <c r="N1632" s="5"/>
      <c r="O1632" s="5"/>
      <c r="P1632" s="5"/>
      <c r="Q1632" s="7">
        <v>0</v>
      </c>
      <c r="R1632" s="6" t="s">
        <v>1737</v>
      </c>
      <c r="S1632" s="13" t="s">
        <v>22</v>
      </c>
      <c r="T1632" s="7">
        <v>5</v>
      </c>
      <c r="U1632" s="7" t="s">
        <v>1737</v>
      </c>
      <c r="V1632" s="5"/>
      <c r="W1632" s="7" t="s">
        <v>3</v>
      </c>
      <c r="X1632" s="6" t="s">
        <v>3</v>
      </c>
      <c r="Y1632" s="5"/>
      <c r="Z1632" s="7">
        <v>0</v>
      </c>
      <c r="AA1632" s="6"/>
      <c r="AB1632" s="5"/>
      <c r="AC1632" s="6"/>
      <c r="AD1632" s="6" t="s">
        <v>3</v>
      </c>
      <c r="AE1632" s="5"/>
      <c r="AF1632" s="7">
        <v>1</v>
      </c>
      <c r="AG1632" s="6"/>
      <c r="AH1632" s="5"/>
      <c r="AI1632" s="7">
        <v>2</v>
      </c>
      <c r="AJ1632" s="6"/>
      <c r="AK1632" s="5"/>
      <c r="AL1632" s="5"/>
      <c r="AM1632" s="5"/>
      <c r="AN1632" s="5"/>
      <c r="AO1632" s="5"/>
      <c r="AP1632" s="5"/>
      <c r="AQ1632" s="5"/>
    </row>
    <row r="1633" spans="1:43" x14ac:dyDescent="0.25">
      <c r="A1633" s="161" t="str">
        <f t="shared" si="27"/>
        <v>U_GERMAN_PANZER</v>
      </c>
      <c r="B1633" s="9" t="s">
        <v>2357</v>
      </c>
      <c r="C1633" s="5"/>
      <c r="D1633" s="5"/>
      <c r="E1633" s="5" t="s">
        <v>1569</v>
      </c>
      <c r="F1633" s="5" t="s">
        <v>1569</v>
      </c>
      <c r="G1633" s="5"/>
      <c r="H1633" s="5" t="s">
        <v>1681</v>
      </c>
      <c r="I1633" s="5" t="s">
        <v>128</v>
      </c>
      <c r="J1633" s="6"/>
      <c r="K1633" s="6"/>
      <c r="L1633" s="13" t="s">
        <v>1709</v>
      </c>
      <c r="M1633" s="8"/>
      <c r="N1633" s="5"/>
      <c r="O1633" s="5"/>
      <c r="P1633" s="5"/>
      <c r="Q1633" s="7">
        <v>3</v>
      </c>
      <c r="R1633" s="6">
        <v>0.11</v>
      </c>
      <c r="S1633" s="13" t="s">
        <v>1623</v>
      </c>
      <c r="T1633" s="6"/>
      <c r="U1633" s="6">
        <v>0.11</v>
      </c>
      <c r="V1633" s="5"/>
      <c r="W1633" s="6" t="s">
        <v>3</v>
      </c>
      <c r="X1633" s="6" t="s">
        <v>3</v>
      </c>
      <c r="Y1633" s="5"/>
      <c r="Z1633" s="7">
        <v>1</v>
      </c>
      <c r="AA1633" s="6"/>
      <c r="AB1633" s="5"/>
      <c r="AC1633" s="6"/>
      <c r="AD1633" s="6" t="s">
        <v>3</v>
      </c>
      <c r="AE1633" s="5"/>
      <c r="AF1633" s="6"/>
      <c r="AG1633" s="6"/>
      <c r="AH1633" s="5"/>
      <c r="AI1633" s="6"/>
      <c r="AJ1633" s="6"/>
      <c r="AK1633" s="5"/>
      <c r="AL1633" s="5"/>
      <c r="AM1633" s="5"/>
      <c r="AN1633" s="5"/>
      <c r="AO1633" s="5"/>
      <c r="AP1633" s="5"/>
      <c r="AQ1633" s="5"/>
    </row>
    <row r="1634" spans="1:43" x14ac:dyDescent="0.25">
      <c r="A1634" s="161" t="str">
        <f t="shared" si="27"/>
        <v>U_GREEK_COMPANIONCAVALRY</v>
      </c>
      <c r="B1634" s="9" t="s">
        <v>2358</v>
      </c>
      <c r="C1634" s="5"/>
      <c r="D1634" s="5"/>
      <c r="E1634" s="5" t="s">
        <v>1570</v>
      </c>
      <c r="F1634" s="5" t="s">
        <v>1570</v>
      </c>
      <c r="G1634" s="5"/>
      <c r="H1634" s="5" t="s">
        <v>925</v>
      </c>
      <c r="I1634" s="5" t="s">
        <v>128</v>
      </c>
      <c r="J1634" s="6"/>
      <c r="K1634" s="6"/>
      <c r="L1634" s="13" t="s">
        <v>1714</v>
      </c>
      <c r="M1634" s="8"/>
      <c r="N1634" s="5"/>
      <c r="O1634" s="5"/>
      <c r="P1634" s="5"/>
      <c r="Q1634" s="7" t="s">
        <v>1695</v>
      </c>
      <c r="R1634" s="6" t="s">
        <v>1695</v>
      </c>
      <c r="S1634" s="13" t="s">
        <v>1695</v>
      </c>
      <c r="T1634" s="6" t="s">
        <v>1695</v>
      </c>
      <c r="U1634" s="7" t="s">
        <v>1695</v>
      </c>
      <c r="V1634" s="5" t="s">
        <v>1701</v>
      </c>
      <c r="W1634" s="6" t="s">
        <v>3</v>
      </c>
      <c r="X1634" s="6" t="s">
        <v>3</v>
      </c>
      <c r="Y1634" s="5"/>
      <c r="Z1634" s="7">
        <v>1</v>
      </c>
      <c r="AA1634" s="6"/>
      <c r="AB1634" s="5"/>
      <c r="AC1634" s="6"/>
      <c r="AD1634" s="6" t="s">
        <v>3</v>
      </c>
      <c r="AE1634" s="5"/>
      <c r="AF1634" s="7" t="s">
        <v>1695</v>
      </c>
      <c r="AG1634" s="6"/>
      <c r="AH1634" s="5"/>
      <c r="AI1634" s="6"/>
      <c r="AJ1634" s="6"/>
      <c r="AK1634" s="5"/>
      <c r="AL1634" s="5"/>
      <c r="AM1634" s="5"/>
      <c r="AN1634" s="5"/>
      <c r="AO1634" s="5"/>
      <c r="AP1634" s="5"/>
      <c r="AQ1634" s="5"/>
    </row>
    <row r="1635" spans="1:43" x14ac:dyDescent="0.25">
      <c r="A1635" s="161" t="str">
        <f t="shared" si="27"/>
        <v>U_GREEK_HOPLITE</v>
      </c>
      <c r="B1635" s="9" t="s">
        <v>2359</v>
      </c>
      <c r="C1635" s="5"/>
      <c r="D1635" s="5"/>
      <c r="E1635" s="5" t="s">
        <v>785</v>
      </c>
      <c r="F1635" s="5" t="s">
        <v>785</v>
      </c>
      <c r="G1635" s="5"/>
      <c r="H1635" s="5" t="s">
        <v>412</v>
      </c>
      <c r="I1635" s="5" t="s">
        <v>128</v>
      </c>
      <c r="J1635" s="6"/>
      <c r="K1635" s="6"/>
      <c r="L1635" s="13" t="s">
        <v>1708</v>
      </c>
      <c r="M1635" s="8"/>
      <c r="N1635" s="5"/>
      <c r="O1635" s="5"/>
      <c r="P1635" s="5"/>
      <c r="Q1635" s="7">
        <v>0</v>
      </c>
      <c r="R1635" s="6" t="s">
        <v>1737</v>
      </c>
      <c r="S1635" s="13" t="s">
        <v>1625</v>
      </c>
      <c r="T1635" s="6">
        <v>0</v>
      </c>
      <c r="U1635" s="7" t="s">
        <v>1737</v>
      </c>
      <c r="V1635" s="5" t="s">
        <v>1705</v>
      </c>
      <c r="W1635" s="7">
        <v>0</v>
      </c>
      <c r="X1635" s="6" t="s">
        <v>3</v>
      </c>
      <c r="Y1635" s="5"/>
      <c r="Z1635" s="7">
        <v>0</v>
      </c>
      <c r="AA1635" s="6"/>
      <c r="AB1635" s="5"/>
      <c r="AC1635" s="6">
        <v>0</v>
      </c>
      <c r="AD1635" s="6" t="s">
        <v>3</v>
      </c>
      <c r="AE1635" s="5"/>
      <c r="AF1635" s="7">
        <v>0</v>
      </c>
      <c r="AG1635" s="6"/>
      <c r="AH1635" s="5"/>
      <c r="AI1635" s="7">
        <v>0</v>
      </c>
      <c r="AJ1635" s="6"/>
      <c r="AK1635" s="5"/>
      <c r="AL1635" s="5" t="s">
        <v>1911</v>
      </c>
      <c r="AM1635" s="5"/>
      <c r="AN1635" s="5"/>
      <c r="AO1635" s="5" t="s">
        <v>1911</v>
      </c>
      <c r="AP1635" s="5"/>
      <c r="AQ1635" s="5"/>
    </row>
    <row r="1636" spans="1:43" x14ac:dyDescent="0.25">
      <c r="A1636" s="161" t="str">
        <f t="shared" si="27"/>
        <v>U_GREEK_HOPLITE</v>
      </c>
      <c r="B1636" s="9" t="s">
        <v>2359</v>
      </c>
      <c r="E1636" s="4" t="s">
        <v>785</v>
      </c>
      <c r="F1636" s="4" t="s">
        <v>785</v>
      </c>
      <c r="G1636" s="4" t="s">
        <v>2055</v>
      </c>
      <c r="H1636" s="4" t="s">
        <v>922</v>
      </c>
      <c r="I1636" s="4" t="s">
        <v>102</v>
      </c>
      <c r="Q1636" s="11">
        <v>2</v>
      </c>
      <c r="S1636" s="13" t="s">
        <v>1625</v>
      </c>
      <c r="T1636" s="11">
        <v>2</v>
      </c>
      <c r="V1636" s="5" t="s">
        <v>1705</v>
      </c>
      <c r="W1636" s="11" t="s">
        <v>3</v>
      </c>
      <c r="Z1636" s="11">
        <v>1</v>
      </c>
      <c r="AD1636" s="6" t="s">
        <v>3</v>
      </c>
      <c r="AF1636" s="11">
        <v>1</v>
      </c>
      <c r="AI1636" s="11">
        <v>1</v>
      </c>
    </row>
    <row r="1637" spans="1:43" x14ac:dyDescent="0.25">
      <c r="A1637" s="161" t="str">
        <f t="shared" si="27"/>
        <v>U_GREEK_HOPLITE</v>
      </c>
      <c r="B1637" s="9" t="s">
        <v>2359</v>
      </c>
      <c r="E1637" s="4" t="s">
        <v>785</v>
      </c>
      <c r="F1637" s="4" t="s">
        <v>785</v>
      </c>
      <c r="G1637" s="4" t="s">
        <v>2047</v>
      </c>
      <c r="H1637" s="4" t="s">
        <v>923</v>
      </c>
      <c r="I1637" s="4" t="s">
        <v>102</v>
      </c>
      <c r="Q1637" s="11">
        <v>2</v>
      </c>
      <c r="S1637" s="13" t="s">
        <v>1625</v>
      </c>
      <c r="T1637" s="11">
        <v>3</v>
      </c>
      <c r="V1637" s="5" t="s">
        <v>1705</v>
      </c>
      <c r="W1637" s="11" t="s">
        <v>3</v>
      </c>
      <c r="Z1637" s="11">
        <v>0</v>
      </c>
      <c r="AD1637" s="6" t="s">
        <v>3</v>
      </c>
      <c r="AF1637" s="11">
        <v>1</v>
      </c>
      <c r="AI1637" s="11">
        <v>1</v>
      </c>
    </row>
    <row r="1638" spans="1:43" x14ac:dyDescent="0.25">
      <c r="A1638" s="161" t="str">
        <f t="shared" si="27"/>
        <v>U_GREEK_HOPLITE</v>
      </c>
      <c r="B1638" s="9" t="s">
        <v>2359</v>
      </c>
      <c r="E1638" s="4" t="s">
        <v>785</v>
      </c>
      <c r="F1638" s="4" t="s">
        <v>785</v>
      </c>
      <c r="G1638" s="4" t="s">
        <v>2049</v>
      </c>
      <c r="H1638" s="4" t="s">
        <v>679</v>
      </c>
      <c r="I1638" s="4" t="s">
        <v>102</v>
      </c>
      <c r="Q1638" s="11">
        <v>2</v>
      </c>
      <c r="S1638" s="13" t="s">
        <v>1625</v>
      </c>
      <c r="T1638" s="11">
        <v>4</v>
      </c>
      <c r="V1638" s="5" t="s">
        <v>1705</v>
      </c>
      <c r="W1638" s="11" t="s">
        <v>3</v>
      </c>
      <c r="Z1638" s="11">
        <v>0</v>
      </c>
      <c r="AD1638" s="6" t="s">
        <v>3</v>
      </c>
      <c r="AF1638" s="11">
        <v>1</v>
      </c>
      <c r="AI1638" s="11">
        <v>1</v>
      </c>
    </row>
    <row r="1639" spans="1:43" x14ac:dyDescent="0.25">
      <c r="A1639" s="161" t="str">
        <f t="shared" si="27"/>
        <v>U_GREEK_HOPLITE</v>
      </c>
      <c r="B1639" s="9" t="s">
        <v>2359</v>
      </c>
      <c r="E1639" s="4" t="s">
        <v>785</v>
      </c>
      <c r="F1639" s="4" t="s">
        <v>785</v>
      </c>
      <c r="G1639" s="4" t="s">
        <v>2055</v>
      </c>
      <c r="H1639" s="4" t="s">
        <v>922</v>
      </c>
      <c r="I1639" s="4" t="s">
        <v>102</v>
      </c>
      <c r="Q1639" s="9">
        <v>2</v>
      </c>
      <c r="S1639" s="13" t="s">
        <v>1625</v>
      </c>
      <c r="T1639" s="11">
        <v>4</v>
      </c>
      <c r="V1639" s="5" t="s">
        <v>1705</v>
      </c>
      <c r="W1639" s="9" t="s">
        <v>3</v>
      </c>
      <c r="Z1639" s="9">
        <v>0</v>
      </c>
      <c r="AD1639" s="6" t="s">
        <v>3</v>
      </c>
      <c r="AF1639" s="11">
        <v>0</v>
      </c>
      <c r="AI1639" s="11">
        <v>2</v>
      </c>
    </row>
    <row r="1640" spans="1:43" x14ac:dyDescent="0.25">
      <c r="A1640" s="161" t="str">
        <f t="shared" si="27"/>
        <v>U_GREEK_HOPLITE</v>
      </c>
      <c r="B1640" s="9" t="s">
        <v>2359</v>
      </c>
      <c r="E1640" s="4" t="s">
        <v>785</v>
      </c>
      <c r="F1640" s="4" t="s">
        <v>785</v>
      </c>
      <c r="G1640" s="4" t="s">
        <v>2047</v>
      </c>
      <c r="H1640" s="4" t="s">
        <v>923</v>
      </c>
      <c r="I1640" s="4" t="s">
        <v>102</v>
      </c>
      <c r="Q1640" s="9">
        <v>2</v>
      </c>
      <c r="S1640" s="13" t="s">
        <v>1625</v>
      </c>
      <c r="T1640" s="11">
        <v>3</v>
      </c>
      <c r="V1640" s="5" t="s">
        <v>1705</v>
      </c>
      <c r="W1640" s="9" t="s">
        <v>3</v>
      </c>
      <c r="Z1640" s="9">
        <v>0</v>
      </c>
      <c r="AD1640" s="6" t="s">
        <v>3</v>
      </c>
      <c r="AF1640" s="11">
        <v>0</v>
      </c>
      <c r="AI1640" s="11">
        <v>1</v>
      </c>
    </row>
    <row r="1641" spans="1:43" x14ac:dyDescent="0.25">
      <c r="A1641" s="161" t="str">
        <f t="shared" si="27"/>
        <v>U_GREEK_HOPLITE</v>
      </c>
      <c r="B1641" s="9" t="s">
        <v>2359</v>
      </c>
      <c r="E1641" s="4" t="s">
        <v>785</v>
      </c>
      <c r="F1641" s="4" t="s">
        <v>785</v>
      </c>
      <c r="G1641" s="4" t="s">
        <v>2049</v>
      </c>
      <c r="H1641" s="4" t="s">
        <v>679</v>
      </c>
      <c r="I1641" s="4" t="s">
        <v>102</v>
      </c>
      <c r="Q1641" s="9">
        <v>2</v>
      </c>
      <c r="S1641" s="13" t="s">
        <v>1625</v>
      </c>
      <c r="T1641" s="11">
        <v>2</v>
      </c>
      <c r="V1641" s="5" t="s">
        <v>1705</v>
      </c>
      <c r="W1641" s="9" t="s">
        <v>3</v>
      </c>
      <c r="Z1641" s="9">
        <v>0</v>
      </c>
      <c r="AD1641" s="6" t="s">
        <v>3</v>
      </c>
      <c r="AF1641" s="11">
        <v>0</v>
      </c>
      <c r="AI1641" s="11">
        <v>1</v>
      </c>
    </row>
    <row r="1642" spans="1:43" x14ac:dyDescent="0.25">
      <c r="A1642" s="161" t="str">
        <f t="shared" si="27"/>
        <v>U_HITTITE_WARCHARIOT</v>
      </c>
      <c r="C1642" s="5"/>
      <c r="D1642" s="5"/>
      <c r="E1642" s="5" t="s">
        <v>1571</v>
      </c>
      <c r="F1642" s="5" t="s">
        <v>1571</v>
      </c>
      <c r="G1642" s="5"/>
      <c r="H1642" s="5" t="s">
        <v>1641</v>
      </c>
      <c r="I1642" s="5" t="s">
        <v>128</v>
      </c>
      <c r="J1642" s="6"/>
      <c r="K1642" s="6"/>
      <c r="L1642" s="13" t="s">
        <v>1709</v>
      </c>
      <c r="M1642" s="8"/>
      <c r="N1642" s="5"/>
      <c r="O1642" s="5"/>
      <c r="P1642" s="5"/>
      <c r="Q1642" s="7">
        <v>2</v>
      </c>
      <c r="R1642" s="6">
        <v>0.14499999999999999</v>
      </c>
      <c r="S1642" s="13" t="s">
        <v>1613</v>
      </c>
      <c r="T1642" s="6">
        <v>3</v>
      </c>
      <c r="U1642" s="6" t="s">
        <v>1737</v>
      </c>
      <c r="V1642" s="5" t="s">
        <v>1618</v>
      </c>
      <c r="W1642" s="6" t="s">
        <v>3</v>
      </c>
      <c r="X1642" s="6" t="s">
        <v>3</v>
      </c>
      <c r="Y1642" s="5"/>
      <c r="Z1642" s="7">
        <v>1</v>
      </c>
      <c r="AA1642" s="6"/>
      <c r="AB1642" s="5"/>
      <c r="AC1642" s="6"/>
      <c r="AD1642" s="6" t="s">
        <v>3</v>
      </c>
      <c r="AE1642" s="5"/>
      <c r="AF1642" s="6"/>
      <c r="AG1642" s="6"/>
      <c r="AH1642" s="5"/>
      <c r="AI1642" s="6"/>
      <c r="AJ1642" s="6"/>
      <c r="AK1642" s="5"/>
      <c r="AL1642" s="5"/>
      <c r="AM1642" s="5"/>
      <c r="AN1642" s="5"/>
      <c r="AO1642" s="5"/>
      <c r="AP1642" s="5"/>
      <c r="AQ1642" s="5"/>
    </row>
    <row r="1643" spans="1:43" x14ac:dyDescent="0.25">
      <c r="A1643" s="161" t="str">
        <f t="shared" si="27"/>
        <v>U_HUNS_BATTERING_RAM</v>
      </c>
      <c r="B1643" s="9" t="s">
        <v>2392</v>
      </c>
      <c r="C1643" s="5"/>
      <c r="D1643" s="5"/>
      <c r="E1643" s="5" t="s">
        <v>1572</v>
      </c>
      <c r="F1643" s="5" t="s">
        <v>1572</v>
      </c>
      <c r="G1643" s="5"/>
      <c r="H1643" s="5" t="s">
        <v>1642</v>
      </c>
      <c r="I1643" s="5" t="s">
        <v>128</v>
      </c>
      <c r="J1643" s="6"/>
      <c r="K1643" s="6"/>
      <c r="L1643" s="13" t="s">
        <v>1708</v>
      </c>
      <c r="M1643" s="8"/>
      <c r="N1643" s="5"/>
      <c r="O1643" s="5"/>
      <c r="P1643" s="5"/>
      <c r="Q1643" s="7">
        <v>1</v>
      </c>
      <c r="R1643" s="6">
        <v>0.115</v>
      </c>
      <c r="S1643" s="13" t="s">
        <v>1613</v>
      </c>
      <c r="T1643" s="7">
        <v>3</v>
      </c>
      <c r="U1643" s="6">
        <v>7.4999999999999997E-2</v>
      </c>
      <c r="V1643" s="5" t="s">
        <v>1697</v>
      </c>
      <c r="W1643" s="7"/>
      <c r="X1643" s="6" t="s">
        <v>3</v>
      </c>
      <c r="Y1643" s="5"/>
      <c r="Z1643" s="6"/>
      <c r="AA1643" s="6"/>
      <c r="AB1643" s="5"/>
      <c r="AC1643" s="6"/>
      <c r="AD1643" s="6" t="s">
        <v>3</v>
      </c>
      <c r="AE1643" s="5"/>
      <c r="AF1643" s="6"/>
      <c r="AG1643" s="6"/>
      <c r="AH1643" s="5"/>
      <c r="AI1643" s="6"/>
      <c r="AJ1643" s="6"/>
      <c r="AK1643" s="5"/>
      <c r="AL1643" s="5"/>
      <c r="AM1643" s="5"/>
      <c r="AN1643" s="5"/>
      <c r="AO1643" s="5"/>
      <c r="AP1643" s="5"/>
      <c r="AQ1643" s="5"/>
    </row>
    <row r="1644" spans="1:43" x14ac:dyDescent="0.25">
      <c r="A1644" s="161" t="str">
        <f t="shared" si="27"/>
        <v>U_HUNS_BATTERING_RAM</v>
      </c>
      <c r="B1644" s="9" t="s">
        <v>2392</v>
      </c>
      <c r="C1644" s="5"/>
      <c r="D1644" s="5"/>
      <c r="E1644" s="5" t="s">
        <v>1572</v>
      </c>
      <c r="F1644" s="5" t="s">
        <v>1572</v>
      </c>
      <c r="G1644" s="5" t="s">
        <v>750</v>
      </c>
      <c r="H1644" s="5" t="s">
        <v>36</v>
      </c>
      <c r="I1644" s="5" t="s">
        <v>128</v>
      </c>
      <c r="J1644" s="6"/>
      <c r="K1644" s="6"/>
      <c r="L1644" s="13" t="s">
        <v>746</v>
      </c>
      <c r="M1644" s="8"/>
      <c r="N1644" s="5"/>
      <c r="O1644" s="5"/>
      <c r="P1644" s="5"/>
      <c r="Q1644" s="7">
        <v>0</v>
      </c>
      <c r="R1644" s="6" t="s">
        <v>1695</v>
      </c>
      <c r="S1644" s="13" t="s">
        <v>1613</v>
      </c>
      <c r="T1644" s="6">
        <v>0</v>
      </c>
      <c r="U1644" s="6"/>
      <c r="V1644" s="5" t="s">
        <v>1611</v>
      </c>
      <c r="W1644" s="6">
        <v>3</v>
      </c>
      <c r="X1644" s="6" t="s">
        <v>3</v>
      </c>
      <c r="Y1644" s="5"/>
      <c r="Z1644" s="7">
        <v>0</v>
      </c>
      <c r="AA1644" s="6"/>
      <c r="AB1644" s="5"/>
      <c r="AC1644" s="6"/>
      <c r="AD1644" s="6" t="s">
        <v>3</v>
      </c>
      <c r="AE1644" s="5"/>
      <c r="AF1644" s="6">
        <v>0</v>
      </c>
      <c r="AG1644" s="6"/>
      <c r="AH1644" s="5"/>
      <c r="AI1644" s="6">
        <v>0</v>
      </c>
      <c r="AJ1644" s="6"/>
      <c r="AK1644" s="5"/>
      <c r="AL1644" s="5"/>
      <c r="AM1644" s="5"/>
      <c r="AN1644" s="5"/>
      <c r="AO1644" s="5"/>
      <c r="AP1644" s="5"/>
      <c r="AQ1644" s="5"/>
    </row>
    <row r="1645" spans="1:43" x14ac:dyDescent="0.25">
      <c r="A1645" s="161" t="str">
        <f t="shared" si="27"/>
        <v>U_HUNS_HORSE_ARCHER</v>
      </c>
      <c r="B1645" s="9" t="s">
        <v>2393</v>
      </c>
      <c r="C1645" s="5"/>
      <c r="D1645" s="5"/>
      <c r="E1645" s="5" t="s">
        <v>1573</v>
      </c>
      <c r="F1645" s="5" t="s">
        <v>1573</v>
      </c>
      <c r="G1645" s="5"/>
      <c r="H1645" s="5" t="s">
        <v>1643</v>
      </c>
      <c r="I1645" s="5" t="s">
        <v>128</v>
      </c>
      <c r="J1645" s="6"/>
      <c r="K1645" s="6"/>
      <c r="L1645" s="13" t="s">
        <v>1714</v>
      </c>
      <c r="M1645" s="8"/>
      <c r="N1645" s="5"/>
      <c r="O1645" s="5"/>
      <c r="P1645" s="5"/>
      <c r="Q1645" s="7" t="s">
        <v>1695</v>
      </c>
      <c r="R1645" s="6" t="s">
        <v>1695</v>
      </c>
      <c r="S1645" s="13" t="s">
        <v>1695</v>
      </c>
      <c r="T1645" s="6" t="s">
        <v>1695</v>
      </c>
      <c r="U1645" s="7" t="s">
        <v>1695</v>
      </c>
      <c r="V1645" s="5"/>
      <c r="W1645" s="6" t="s">
        <v>3</v>
      </c>
      <c r="X1645" s="6" t="s">
        <v>3</v>
      </c>
      <c r="Y1645" s="5"/>
      <c r="Z1645" s="7">
        <v>1</v>
      </c>
      <c r="AA1645" s="6"/>
      <c r="AB1645" s="5"/>
      <c r="AC1645" s="6"/>
      <c r="AD1645" s="6" t="s">
        <v>3</v>
      </c>
      <c r="AE1645" s="5"/>
      <c r="AF1645" s="7" t="s">
        <v>1695</v>
      </c>
      <c r="AG1645" s="6"/>
      <c r="AH1645" s="5"/>
      <c r="AI1645" s="6"/>
      <c r="AJ1645" s="6"/>
      <c r="AK1645" s="5"/>
      <c r="AL1645" s="5"/>
      <c r="AM1645" s="5"/>
      <c r="AN1645" s="5"/>
      <c r="AO1645" s="5"/>
      <c r="AP1645" s="5"/>
      <c r="AQ1645" s="5"/>
    </row>
    <row r="1646" spans="1:43" x14ac:dyDescent="0.25">
      <c r="A1646" s="161" t="str">
        <f t="shared" si="27"/>
        <v>U_INCAN_SLINGER</v>
      </c>
      <c r="B1646" s="9" t="s">
        <v>2360</v>
      </c>
      <c r="C1646" s="5"/>
      <c r="D1646" s="5"/>
      <c r="E1646" s="5" t="s">
        <v>1574</v>
      </c>
      <c r="F1646" s="5" t="s">
        <v>1574</v>
      </c>
      <c r="G1646" s="5"/>
      <c r="H1646" s="5" t="s">
        <v>1644</v>
      </c>
      <c r="I1646" s="5" t="s">
        <v>128</v>
      </c>
      <c r="J1646" s="6"/>
      <c r="K1646" s="6"/>
      <c r="L1646" s="13" t="s">
        <v>1708</v>
      </c>
      <c r="M1646" s="8"/>
      <c r="N1646" s="5"/>
      <c r="O1646" s="5"/>
      <c r="P1646" s="5"/>
      <c r="Q1646" s="7" t="s">
        <v>1737</v>
      </c>
      <c r="R1646" s="6" t="s">
        <v>1737</v>
      </c>
      <c r="S1646" s="13" t="s">
        <v>44</v>
      </c>
      <c r="T1646" s="6"/>
      <c r="U1646" s="6"/>
      <c r="V1646" s="5"/>
      <c r="W1646" s="6" t="s">
        <v>3</v>
      </c>
      <c r="X1646" s="6" t="s">
        <v>3</v>
      </c>
      <c r="Y1646" s="5"/>
      <c r="Z1646" s="7">
        <v>1</v>
      </c>
      <c r="AA1646" s="6"/>
      <c r="AB1646" s="5"/>
      <c r="AC1646" s="6"/>
      <c r="AD1646" s="6" t="s">
        <v>3</v>
      </c>
      <c r="AE1646" s="5"/>
      <c r="AF1646" s="7" t="s">
        <v>1737</v>
      </c>
      <c r="AG1646" s="6"/>
      <c r="AH1646" s="5"/>
      <c r="AI1646" s="6" t="s">
        <v>1737</v>
      </c>
      <c r="AJ1646" s="6"/>
      <c r="AK1646" s="5"/>
      <c r="AL1646" s="5"/>
      <c r="AM1646" s="5"/>
      <c r="AN1646" s="5"/>
      <c r="AO1646" s="5"/>
      <c r="AP1646" s="5"/>
      <c r="AQ1646" s="5"/>
    </row>
    <row r="1647" spans="1:43" x14ac:dyDescent="0.25">
      <c r="A1647" s="161" t="str">
        <f t="shared" si="27"/>
        <v>U_INDIAN_WARELEPHANT</v>
      </c>
      <c r="B1647" s="9" t="s">
        <v>2361</v>
      </c>
      <c r="C1647" s="5"/>
      <c r="D1647" s="5"/>
      <c r="E1647" s="5" t="s">
        <v>1575</v>
      </c>
      <c r="F1647" s="5" t="s">
        <v>1575</v>
      </c>
      <c r="G1647" s="5"/>
      <c r="H1647" s="5" t="s">
        <v>1682</v>
      </c>
      <c r="I1647" s="5" t="s">
        <v>128</v>
      </c>
      <c r="J1647" s="6"/>
      <c r="K1647" s="6"/>
      <c r="L1647" s="13" t="s">
        <v>1717</v>
      </c>
      <c r="M1647" s="8"/>
      <c r="N1647" s="5"/>
      <c r="O1647" s="5"/>
      <c r="P1647" s="5"/>
      <c r="Q1647" s="7">
        <v>2</v>
      </c>
      <c r="R1647" s="6" t="s">
        <v>1695</v>
      </c>
      <c r="S1647" s="13" t="s">
        <v>1618</v>
      </c>
      <c r="T1647" s="7">
        <v>3</v>
      </c>
      <c r="U1647" s="7" t="s">
        <v>1695</v>
      </c>
      <c r="V1647" s="5"/>
      <c r="W1647" s="6" t="s">
        <v>3</v>
      </c>
      <c r="X1647" s="6" t="s">
        <v>3</v>
      </c>
      <c r="Y1647" s="5"/>
      <c r="Z1647" s="7">
        <v>1</v>
      </c>
      <c r="AA1647" s="6"/>
      <c r="AB1647" s="5"/>
      <c r="AC1647" s="6"/>
      <c r="AD1647" s="6" t="s">
        <v>3</v>
      </c>
      <c r="AE1647" s="5"/>
      <c r="AF1647" s="6"/>
      <c r="AG1647" s="6"/>
      <c r="AH1647" s="5"/>
      <c r="AI1647" s="6"/>
      <c r="AJ1647" s="6"/>
      <c r="AK1647" s="5"/>
      <c r="AL1647" s="5"/>
      <c r="AM1647" s="5"/>
      <c r="AN1647" s="5"/>
      <c r="AO1647" s="5"/>
      <c r="AP1647" s="5"/>
      <c r="AQ1647" s="5"/>
    </row>
    <row r="1648" spans="1:43" x14ac:dyDescent="0.25">
      <c r="A1648" s="161" t="str">
        <f t="shared" si="27"/>
        <v>U_INDONESIAN_KRIS_SWORDSMAN</v>
      </c>
      <c r="B1648" s="9" t="s">
        <v>2394</v>
      </c>
      <c r="C1648" s="5"/>
      <c r="D1648" s="5"/>
      <c r="E1648" s="5" t="s">
        <v>1576</v>
      </c>
      <c r="F1648" s="5" t="s">
        <v>1576</v>
      </c>
      <c r="G1648" s="5"/>
      <c r="H1648" s="5" t="s">
        <v>1645</v>
      </c>
      <c r="I1648" s="5" t="s">
        <v>128</v>
      </c>
      <c r="J1648" s="6"/>
      <c r="K1648" s="6"/>
      <c r="L1648" s="13" t="s">
        <v>1708</v>
      </c>
      <c r="M1648" s="8"/>
      <c r="N1648" s="5"/>
      <c r="O1648" s="5"/>
      <c r="P1648" s="5"/>
      <c r="Q1648" s="7" t="s">
        <v>1737</v>
      </c>
      <c r="R1648" s="6" t="s">
        <v>1737</v>
      </c>
      <c r="S1648" s="13" t="s">
        <v>1737</v>
      </c>
      <c r="T1648" s="6"/>
      <c r="U1648" s="7" t="s">
        <v>1695</v>
      </c>
      <c r="V1648" s="5"/>
      <c r="W1648" s="7" t="s">
        <v>3</v>
      </c>
      <c r="X1648" s="6" t="s">
        <v>3</v>
      </c>
      <c r="Y1648" s="5"/>
      <c r="Z1648" s="7">
        <v>1</v>
      </c>
      <c r="AA1648" s="6"/>
      <c r="AB1648" s="5"/>
      <c r="AC1648" s="6"/>
      <c r="AD1648" s="6" t="s">
        <v>3</v>
      </c>
      <c r="AE1648" s="5"/>
      <c r="AF1648" s="7" t="s">
        <v>1737</v>
      </c>
      <c r="AG1648" s="6"/>
      <c r="AH1648" s="5"/>
      <c r="AI1648" s="6" t="s">
        <v>1737</v>
      </c>
      <c r="AJ1648" s="6"/>
      <c r="AK1648" s="5"/>
      <c r="AL1648" s="5"/>
      <c r="AM1648" s="5"/>
      <c r="AN1648" s="5"/>
      <c r="AO1648" s="5"/>
      <c r="AP1648" s="5"/>
      <c r="AQ1648" s="5"/>
    </row>
    <row r="1649" spans="1:43" x14ac:dyDescent="0.25">
      <c r="A1649" s="161" t="str">
        <f t="shared" si="27"/>
        <v>U_IROQUOIAN_MOHAWKWARRIOR</v>
      </c>
      <c r="B1649" s="9" t="s">
        <v>2362</v>
      </c>
      <c r="C1649" s="5"/>
      <c r="D1649" s="5"/>
      <c r="E1649" s="5" t="s">
        <v>1577</v>
      </c>
      <c r="F1649" s="5" t="s">
        <v>1577</v>
      </c>
      <c r="G1649" s="5"/>
      <c r="H1649" s="5" t="s">
        <v>1683</v>
      </c>
      <c r="I1649" s="5" t="s">
        <v>128</v>
      </c>
      <c r="J1649" s="6"/>
      <c r="K1649" s="6"/>
      <c r="L1649" s="13" t="s">
        <v>1708</v>
      </c>
      <c r="M1649" s="8"/>
      <c r="N1649" s="5"/>
      <c r="O1649" s="5"/>
      <c r="P1649" s="5"/>
      <c r="Q1649" s="7" t="s">
        <v>1737</v>
      </c>
      <c r="R1649" s="6" t="s">
        <v>1737</v>
      </c>
      <c r="S1649" s="13" t="s">
        <v>1620</v>
      </c>
      <c r="T1649" s="6">
        <v>18</v>
      </c>
      <c r="U1649" s="7" t="s">
        <v>1737</v>
      </c>
      <c r="V1649" s="5"/>
      <c r="W1649" s="6" t="s">
        <v>3</v>
      </c>
      <c r="X1649" s="6" t="s">
        <v>3</v>
      </c>
      <c r="Y1649" s="5"/>
      <c r="Z1649" s="7">
        <v>1</v>
      </c>
      <c r="AA1649" s="6"/>
      <c r="AB1649" s="5"/>
      <c r="AC1649" s="6"/>
      <c r="AD1649" s="6" t="s">
        <v>3</v>
      </c>
      <c r="AE1649" s="5"/>
      <c r="AF1649" s="7" t="s">
        <v>1737</v>
      </c>
      <c r="AG1649" s="6"/>
      <c r="AH1649" s="5"/>
      <c r="AI1649" s="7" t="s">
        <v>1737</v>
      </c>
      <c r="AJ1649" s="6"/>
      <c r="AK1649" s="5"/>
      <c r="AL1649" s="5"/>
      <c r="AM1649" s="5"/>
      <c r="AN1649" s="5"/>
      <c r="AO1649" s="5"/>
      <c r="AP1649" s="5"/>
      <c r="AQ1649" s="5"/>
    </row>
    <row r="1650" spans="1:43" x14ac:dyDescent="0.25">
      <c r="A1650" s="161" t="str">
        <f t="shared" si="27"/>
        <v>U_JAPANESE_SAMURAI</v>
      </c>
      <c r="B1650" s="9" t="s">
        <v>2363</v>
      </c>
      <c r="C1650" s="5"/>
      <c r="D1650" s="5"/>
      <c r="E1650" s="5" t="s">
        <v>786</v>
      </c>
      <c r="F1650" s="5" t="s">
        <v>786</v>
      </c>
      <c r="G1650" s="5"/>
      <c r="H1650" s="5" t="s">
        <v>1684</v>
      </c>
      <c r="I1650" s="5" t="s">
        <v>128</v>
      </c>
      <c r="J1650" s="6"/>
      <c r="K1650" s="6"/>
      <c r="L1650" s="13" t="s">
        <v>1708</v>
      </c>
      <c r="M1650" s="8"/>
      <c r="N1650" s="5"/>
      <c r="O1650" s="5"/>
      <c r="P1650" s="5"/>
      <c r="Q1650" s="7">
        <v>0</v>
      </c>
      <c r="R1650" s="6" t="s">
        <v>1737</v>
      </c>
      <c r="S1650" s="13" t="s">
        <v>1626</v>
      </c>
      <c r="T1650" s="6">
        <v>0</v>
      </c>
      <c r="U1650" s="7" t="s">
        <v>1737</v>
      </c>
      <c r="V1650" s="5"/>
      <c r="W1650" s="6">
        <v>0</v>
      </c>
      <c r="X1650" s="6" t="s">
        <v>3</v>
      </c>
      <c r="Y1650" s="5"/>
      <c r="Z1650" s="7">
        <v>0</v>
      </c>
      <c r="AA1650" s="6"/>
      <c r="AB1650" s="5"/>
      <c r="AC1650" s="6">
        <v>0</v>
      </c>
      <c r="AD1650" s="6" t="s">
        <v>3</v>
      </c>
      <c r="AE1650" s="5"/>
      <c r="AF1650" s="7">
        <v>0</v>
      </c>
      <c r="AG1650" s="6"/>
      <c r="AH1650" s="5"/>
      <c r="AI1650" s="7">
        <v>0</v>
      </c>
      <c r="AJ1650" s="6"/>
      <c r="AK1650" s="5"/>
      <c r="AL1650" s="5" t="s">
        <v>1911</v>
      </c>
      <c r="AM1650" s="5"/>
      <c r="AN1650" s="5"/>
      <c r="AO1650" s="5" t="s">
        <v>1911</v>
      </c>
      <c r="AP1650" s="5"/>
      <c r="AQ1650" s="5"/>
    </row>
    <row r="1651" spans="1:43" x14ac:dyDescent="0.25">
      <c r="A1651" s="161" t="str">
        <f t="shared" si="27"/>
        <v>U_JAPANESE_SAMURAI</v>
      </c>
      <c r="B1651" s="9" t="s">
        <v>2363</v>
      </c>
      <c r="E1651" s="4" t="s">
        <v>786</v>
      </c>
      <c r="F1651" s="4" t="s">
        <v>786</v>
      </c>
      <c r="G1651" s="4" t="s">
        <v>2055</v>
      </c>
      <c r="H1651" s="4" t="s">
        <v>680</v>
      </c>
      <c r="I1651" s="4" t="s">
        <v>102</v>
      </c>
      <c r="Q1651" s="9">
        <v>1</v>
      </c>
      <c r="S1651" s="13" t="s">
        <v>1626</v>
      </c>
      <c r="T1651" s="11">
        <v>2</v>
      </c>
      <c r="W1651" s="11">
        <v>3</v>
      </c>
      <c r="Z1651" s="9">
        <v>1</v>
      </c>
      <c r="AD1651" s="6" t="s">
        <v>3</v>
      </c>
      <c r="AF1651" s="11">
        <v>1</v>
      </c>
      <c r="AI1651" s="11">
        <v>1</v>
      </c>
    </row>
    <row r="1652" spans="1:43" x14ac:dyDescent="0.25">
      <c r="A1652" s="161" t="str">
        <f t="shared" si="27"/>
        <v>U_JAPANESE_SAMURAI</v>
      </c>
      <c r="B1652" s="9" t="s">
        <v>2363</v>
      </c>
      <c r="E1652" s="4" t="s">
        <v>786</v>
      </c>
      <c r="F1652" s="4" t="s">
        <v>786</v>
      </c>
      <c r="G1652" s="4" t="s">
        <v>2047</v>
      </c>
      <c r="H1652" s="4" t="s">
        <v>953</v>
      </c>
      <c r="I1652" s="4" t="s">
        <v>102</v>
      </c>
      <c r="Q1652" s="9">
        <v>1</v>
      </c>
      <c r="S1652" s="13" t="s">
        <v>1626</v>
      </c>
      <c r="T1652" s="11">
        <v>2</v>
      </c>
      <c r="W1652" s="11">
        <v>4</v>
      </c>
      <c r="Z1652" s="9">
        <v>0</v>
      </c>
      <c r="AD1652" s="6" t="s">
        <v>3</v>
      </c>
      <c r="AF1652" s="11">
        <v>1</v>
      </c>
      <c r="AI1652" s="11">
        <v>1</v>
      </c>
    </row>
    <row r="1653" spans="1:43" x14ac:dyDescent="0.25">
      <c r="A1653" s="161" t="str">
        <f t="shared" si="27"/>
        <v>U_JAPANESE_SAMURAI</v>
      </c>
      <c r="B1653" s="9" t="s">
        <v>2363</v>
      </c>
      <c r="E1653" s="4" t="s">
        <v>786</v>
      </c>
      <c r="F1653" s="4" t="s">
        <v>786</v>
      </c>
      <c r="G1653" s="4" t="s">
        <v>2055</v>
      </c>
      <c r="H1653" s="4" t="s">
        <v>680</v>
      </c>
      <c r="I1653" s="4" t="s">
        <v>102</v>
      </c>
      <c r="Q1653" s="9">
        <v>1</v>
      </c>
      <c r="S1653" s="13" t="s">
        <v>1626</v>
      </c>
      <c r="T1653" s="11">
        <v>2</v>
      </c>
      <c r="W1653" s="11">
        <v>3</v>
      </c>
      <c r="Z1653" s="9">
        <v>0</v>
      </c>
      <c r="AD1653" s="6" t="s">
        <v>3</v>
      </c>
      <c r="AF1653" s="11">
        <v>1</v>
      </c>
      <c r="AI1653" s="11">
        <v>1</v>
      </c>
    </row>
    <row r="1654" spans="1:43" x14ac:dyDescent="0.25">
      <c r="A1654" s="161" t="str">
        <f t="shared" si="27"/>
        <v>U_JAPANESE_SAMURAI</v>
      </c>
      <c r="B1654" s="9" t="s">
        <v>2363</v>
      </c>
      <c r="E1654" s="4" t="s">
        <v>786</v>
      </c>
      <c r="F1654" s="4" t="s">
        <v>786</v>
      </c>
      <c r="G1654" s="4" t="s">
        <v>2047</v>
      </c>
      <c r="H1654" s="4" t="s">
        <v>953</v>
      </c>
      <c r="I1654" s="4" t="s">
        <v>102</v>
      </c>
      <c r="Q1654" s="9">
        <v>2</v>
      </c>
      <c r="S1654" s="13" t="s">
        <v>1626</v>
      </c>
      <c r="T1654" s="11">
        <v>2</v>
      </c>
      <c r="W1654" s="9">
        <v>3</v>
      </c>
      <c r="Z1654" s="9">
        <v>0</v>
      </c>
      <c r="AD1654" s="6" t="s">
        <v>3</v>
      </c>
      <c r="AF1654" s="11">
        <v>0</v>
      </c>
      <c r="AI1654" s="11">
        <v>1</v>
      </c>
    </row>
    <row r="1655" spans="1:43" x14ac:dyDescent="0.25">
      <c r="A1655" s="161" t="str">
        <f t="shared" si="27"/>
        <v>U_JAPANESE_SAMURAI</v>
      </c>
      <c r="B1655" s="9" t="s">
        <v>2363</v>
      </c>
      <c r="E1655" s="4" t="s">
        <v>786</v>
      </c>
      <c r="F1655" s="4" t="s">
        <v>786</v>
      </c>
      <c r="G1655" s="4" t="s">
        <v>2055</v>
      </c>
      <c r="H1655" s="4" t="s">
        <v>680</v>
      </c>
      <c r="I1655" s="4" t="s">
        <v>102</v>
      </c>
      <c r="Q1655" s="9">
        <v>2</v>
      </c>
      <c r="S1655" s="13" t="s">
        <v>1626</v>
      </c>
      <c r="T1655" s="11">
        <v>2</v>
      </c>
      <c r="W1655" s="9">
        <v>4</v>
      </c>
      <c r="Z1655" s="9">
        <v>0</v>
      </c>
      <c r="AD1655" s="6" t="s">
        <v>3</v>
      </c>
      <c r="AF1655" s="11">
        <v>0</v>
      </c>
      <c r="AI1655" s="11">
        <v>1</v>
      </c>
    </row>
    <row r="1656" spans="1:43" x14ac:dyDescent="0.25">
      <c r="A1656" s="161" t="str">
        <f t="shared" si="27"/>
        <v>U_JAPANESE_SAMURAI</v>
      </c>
      <c r="B1656" s="9" t="s">
        <v>2363</v>
      </c>
      <c r="E1656" s="4" t="s">
        <v>786</v>
      </c>
      <c r="F1656" s="4" t="s">
        <v>786</v>
      </c>
      <c r="G1656" s="4" t="s">
        <v>2047</v>
      </c>
      <c r="H1656" s="4" t="s">
        <v>953</v>
      </c>
      <c r="I1656" s="4" t="s">
        <v>102</v>
      </c>
      <c r="Q1656" s="9">
        <v>2</v>
      </c>
      <c r="S1656" s="13" t="s">
        <v>1626</v>
      </c>
      <c r="T1656" s="11">
        <v>2</v>
      </c>
      <c r="W1656" s="9">
        <v>3</v>
      </c>
      <c r="Z1656" s="9">
        <v>0</v>
      </c>
      <c r="AD1656" s="6" t="s">
        <v>3</v>
      </c>
      <c r="AF1656" s="11">
        <v>0</v>
      </c>
      <c r="AI1656" s="11">
        <v>1</v>
      </c>
    </row>
    <row r="1657" spans="1:43" x14ac:dyDescent="0.25">
      <c r="A1657" s="161" t="str">
        <f t="shared" si="27"/>
        <v>U_JAPANESE_SAMURAI</v>
      </c>
      <c r="B1657" s="9" t="s">
        <v>2363</v>
      </c>
      <c r="E1657" s="4" t="s">
        <v>786</v>
      </c>
      <c r="F1657" s="4" t="s">
        <v>786</v>
      </c>
      <c r="G1657" s="4" t="s">
        <v>2055</v>
      </c>
      <c r="H1657" s="4" t="s">
        <v>680</v>
      </c>
      <c r="I1657" s="4" t="s">
        <v>102</v>
      </c>
      <c r="Q1657" s="9">
        <v>1</v>
      </c>
      <c r="S1657" s="13" t="s">
        <v>1626</v>
      </c>
      <c r="T1657" s="11">
        <v>2</v>
      </c>
      <c r="W1657" s="9">
        <v>3</v>
      </c>
      <c r="Z1657" s="9">
        <v>0</v>
      </c>
      <c r="AD1657" s="6" t="s">
        <v>3</v>
      </c>
      <c r="AF1657" s="11">
        <v>0</v>
      </c>
      <c r="AI1657" s="11">
        <v>1</v>
      </c>
    </row>
    <row r="1658" spans="1:43" x14ac:dyDescent="0.25">
      <c r="A1658" s="161" t="str">
        <f t="shared" si="27"/>
        <v>U_JAPANESE_SAMURAI</v>
      </c>
      <c r="B1658" s="9" t="s">
        <v>2363</v>
      </c>
      <c r="E1658" s="4" t="s">
        <v>786</v>
      </c>
      <c r="F1658" s="4" t="s">
        <v>786</v>
      </c>
      <c r="G1658" s="4" t="s">
        <v>2047</v>
      </c>
      <c r="H1658" s="4" t="s">
        <v>953</v>
      </c>
      <c r="I1658" s="4" t="s">
        <v>102</v>
      </c>
      <c r="Q1658" s="9">
        <v>1</v>
      </c>
      <c r="S1658" s="13" t="s">
        <v>1626</v>
      </c>
      <c r="T1658" s="11">
        <v>2</v>
      </c>
      <c r="W1658" s="9">
        <v>3</v>
      </c>
      <c r="Z1658" s="9">
        <v>0</v>
      </c>
      <c r="AD1658" s="6" t="s">
        <v>3</v>
      </c>
      <c r="AF1658" s="11">
        <v>0</v>
      </c>
      <c r="AI1658" s="11">
        <v>1</v>
      </c>
    </row>
    <row r="1659" spans="1:43" x14ac:dyDescent="0.25">
      <c r="A1659" s="161" t="str">
        <f t="shared" si="27"/>
        <v>U_JAPANESE_SAMURAI</v>
      </c>
      <c r="B1659" s="9" t="s">
        <v>2363</v>
      </c>
      <c r="E1659" s="4" t="s">
        <v>786</v>
      </c>
      <c r="F1659" s="4" t="s">
        <v>786</v>
      </c>
      <c r="G1659" s="4" t="s">
        <v>2055</v>
      </c>
      <c r="H1659" s="4" t="s">
        <v>680</v>
      </c>
      <c r="I1659" s="4" t="s">
        <v>102</v>
      </c>
      <c r="Q1659" s="9">
        <v>1</v>
      </c>
      <c r="S1659" s="13" t="s">
        <v>1626</v>
      </c>
      <c r="T1659" s="11">
        <v>2</v>
      </c>
      <c r="W1659" s="9">
        <v>4</v>
      </c>
      <c r="Z1659" s="9">
        <v>0</v>
      </c>
      <c r="AD1659" s="6" t="s">
        <v>3</v>
      </c>
      <c r="AF1659" s="11">
        <v>0</v>
      </c>
      <c r="AI1659" s="11">
        <v>1</v>
      </c>
    </row>
    <row r="1660" spans="1:43" x14ac:dyDescent="0.25">
      <c r="A1660" s="161" t="str">
        <f t="shared" si="27"/>
        <v>U_JAPANESE_ZERO</v>
      </c>
      <c r="B1660" s="9" t="s">
        <v>2364</v>
      </c>
      <c r="C1660" s="5"/>
      <c r="D1660" s="5"/>
      <c r="E1660" s="5" t="s">
        <v>1578</v>
      </c>
      <c r="F1660" s="5" t="s">
        <v>1578</v>
      </c>
      <c r="G1660" s="5"/>
      <c r="H1660" s="5" t="s">
        <v>1685</v>
      </c>
      <c r="I1660" s="5" t="s">
        <v>128</v>
      </c>
      <c r="J1660" s="6"/>
      <c r="K1660" s="7"/>
      <c r="L1660" s="13" t="s">
        <v>1711</v>
      </c>
      <c r="M1660" s="8">
        <v>2</v>
      </c>
      <c r="N1660" s="13" t="s">
        <v>1725</v>
      </c>
      <c r="O1660" s="13"/>
      <c r="P1660" s="13"/>
      <c r="Q1660" s="7">
        <v>3</v>
      </c>
      <c r="R1660" s="6">
        <v>7.0000000000000007E-2</v>
      </c>
      <c r="S1660" s="13" t="s">
        <v>1621</v>
      </c>
      <c r="T1660" s="7">
        <v>4</v>
      </c>
      <c r="U1660" s="6">
        <v>0.06</v>
      </c>
      <c r="V1660" s="5" t="s">
        <v>1699</v>
      </c>
      <c r="W1660" s="6" t="s">
        <v>3</v>
      </c>
      <c r="X1660" s="6" t="s">
        <v>3</v>
      </c>
      <c r="Y1660" s="5"/>
      <c r="Z1660" s="7">
        <v>1</v>
      </c>
      <c r="AA1660" s="6"/>
      <c r="AB1660" s="5"/>
      <c r="AC1660" s="6"/>
      <c r="AD1660" s="6" t="s">
        <v>3</v>
      </c>
      <c r="AE1660" s="5"/>
      <c r="AF1660" s="6"/>
      <c r="AG1660" s="6"/>
      <c r="AH1660" s="5"/>
      <c r="AI1660" s="6"/>
      <c r="AJ1660" s="6"/>
      <c r="AK1660" s="5"/>
      <c r="AL1660" s="5"/>
      <c r="AM1660" s="5"/>
      <c r="AN1660" s="5"/>
      <c r="AO1660" s="5"/>
      <c r="AP1660" s="5"/>
      <c r="AQ1660" s="5"/>
    </row>
    <row r="1661" spans="1:43" x14ac:dyDescent="0.25">
      <c r="A1661" s="161" t="str">
        <f t="shared" si="27"/>
        <v>U_KOREAN_HWACHA</v>
      </c>
      <c r="B1661" s="9" t="s">
        <v>2365</v>
      </c>
      <c r="C1661" s="5"/>
      <c r="D1661" s="5"/>
      <c r="E1661" s="5" t="s">
        <v>1579</v>
      </c>
      <c r="F1661" s="5" t="s">
        <v>1579</v>
      </c>
      <c r="G1661" s="5"/>
      <c r="H1661" s="5" t="s">
        <v>1646</v>
      </c>
      <c r="I1661" s="5" t="s">
        <v>128</v>
      </c>
      <c r="J1661" s="6"/>
      <c r="K1661" s="6"/>
      <c r="L1661" s="13" t="s">
        <v>746</v>
      </c>
      <c r="M1661" s="8"/>
      <c r="N1661" s="5"/>
      <c r="O1661" s="5"/>
      <c r="P1661" s="5"/>
      <c r="Q1661" s="7">
        <v>2</v>
      </c>
      <c r="R1661" s="6">
        <v>0.13</v>
      </c>
      <c r="S1661" s="13" t="s">
        <v>1613</v>
      </c>
      <c r="T1661" s="6">
        <v>3</v>
      </c>
      <c r="U1661" s="6" t="s">
        <v>1695</v>
      </c>
      <c r="V1661" s="5" t="s">
        <v>688</v>
      </c>
      <c r="W1661" s="7">
        <v>7</v>
      </c>
      <c r="X1661" s="6" t="s">
        <v>3</v>
      </c>
      <c r="Y1661" s="5"/>
      <c r="Z1661" s="7">
        <v>1</v>
      </c>
      <c r="AA1661" s="6"/>
      <c r="AB1661" s="5"/>
      <c r="AC1661" s="6"/>
      <c r="AD1661" s="6" t="s">
        <v>3</v>
      </c>
      <c r="AE1661" s="5"/>
      <c r="AF1661" s="6"/>
      <c r="AG1661" s="6"/>
      <c r="AH1661" s="5"/>
      <c r="AI1661" s="6"/>
      <c r="AJ1661" s="6"/>
      <c r="AK1661" s="5"/>
      <c r="AL1661" s="5"/>
      <c r="AM1661" s="5"/>
      <c r="AN1661" s="5"/>
      <c r="AO1661" s="5"/>
      <c r="AP1661" s="5"/>
      <c r="AQ1661" s="5"/>
    </row>
    <row r="1662" spans="1:43" x14ac:dyDescent="0.25">
      <c r="A1662" s="161" t="str">
        <f t="shared" si="27"/>
        <v>U_KOREAN_TURTLESHIP</v>
      </c>
      <c r="B1662" s="9" t="s">
        <v>2395</v>
      </c>
      <c r="C1662" s="5"/>
      <c r="D1662" s="5"/>
      <c r="E1662" s="5" t="s">
        <v>1580</v>
      </c>
      <c r="F1662" s="5" t="s">
        <v>1580</v>
      </c>
      <c r="G1662" s="5"/>
      <c r="H1662" s="5" t="s">
        <v>1647</v>
      </c>
      <c r="I1662" s="5" t="s">
        <v>128</v>
      </c>
      <c r="J1662" s="6"/>
      <c r="K1662" s="7"/>
      <c r="L1662" s="13" t="s">
        <v>1713</v>
      </c>
      <c r="M1662" s="8"/>
      <c r="N1662" s="13" t="s">
        <v>1727</v>
      </c>
      <c r="O1662" s="13"/>
      <c r="P1662" s="13"/>
      <c r="Q1662" s="7">
        <v>1</v>
      </c>
      <c r="R1662" s="6" t="s">
        <v>1737</v>
      </c>
      <c r="S1662" s="5"/>
      <c r="T1662" s="6">
        <v>2</v>
      </c>
      <c r="U1662" s="6">
        <v>0.11</v>
      </c>
      <c r="V1662" s="5" t="s">
        <v>1696</v>
      </c>
      <c r="W1662" s="6"/>
      <c r="X1662" s="6"/>
      <c r="Y1662" s="5"/>
      <c r="Z1662" s="6"/>
      <c r="AA1662" s="6"/>
      <c r="AB1662" s="5"/>
      <c r="AC1662" s="6"/>
      <c r="AD1662" s="6"/>
      <c r="AE1662" s="5"/>
      <c r="AF1662" s="6"/>
      <c r="AG1662" s="6"/>
      <c r="AH1662" s="5"/>
      <c r="AI1662" s="6"/>
      <c r="AJ1662" s="6"/>
      <c r="AK1662" s="5"/>
      <c r="AL1662" s="5"/>
      <c r="AM1662" s="5"/>
      <c r="AN1662" s="5"/>
      <c r="AO1662" s="5"/>
      <c r="AP1662" s="5"/>
      <c r="AQ1662" s="5"/>
    </row>
    <row r="1663" spans="1:43" x14ac:dyDescent="0.25">
      <c r="A1663" s="161" t="str">
        <f t="shared" si="27"/>
        <v>U_MAYAN_ATLALIST</v>
      </c>
      <c r="B1663" s="9" t="s">
        <v>2366</v>
      </c>
      <c r="C1663" s="5"/>
      <c r="D1663" s="5"/>
      <c r="E1663" s="5" t="s">
        <v>1581</v>
      </c>
      <c r="F1663" s="5" t="s">
        <v>1581</v>
      </c>
      <c r="G1663" s="5"/>
      <c r="H1663" s="5" t="s">
        <v>1648</v>
      </c>
      <c r="I1663" s="5" t="s">
        <v>128</v>
      </c>
      <c r="J1663" s="6"/>
      <c r="K1663" s="6"/>
      <c r="L1663" s="13" t="s">
        <v>1708</v>
      </c>
      <c r="M1663" s="8"/>
      <c r="N1663" s="5"/>
      <c r="O1663" s="5"/>
      <c r="P1663" s="5"/>
      <c r="Q1663" s="7">
        <v>10</v>
      </c>
      <c r="R1663" s="6" t="s">
        <v>1737</v>
      </c>
      <c r="S1663" s="13" t="s">
        <v>44</v>
      </c>
      <c r="T1663" s="6">
        <v>18</v>
      </c>
      <c r="U1663" s="7" t="s">
        <v>1737</v>
      </c>
      <c r="V1663" s="5"/>
      <c r="W1663" s="6" t="s">
        <v>3</v>
      </c>
      <c r="X1663" s="6" t="s">
        <v>3</v>
      </c>
      <c r="Y1663" s="5"/>
      <c r="Z1663" s="7">
        <v>1</v>
      </c>
      <c r="AA1663" s="6"/>
      <c r="AB1663" s="5"/>
      <c r="AC1663" s="6"/>
      <c r="AD1663" s="6" t="s">
        <v>3</v>
      </c>
      <c r="AE1663" s="5"/>
      <c r="AF1663" s="6" t="s">
        <v>1737</v>
      </c>
      <c r="AG1663" s="6"/>
      <c r="AH1663" s="5"/>
      <c r="AI1663" s="6">
        <v>6</v>
      </c>
      <c r="AJ1663" s="6"/>
      <c r="AK1663" s="5"/>
      <c r="AL1663" s="5"/>
      <c r="AM1663" s="5"/>
      <c r="AN1663" s="5"/>
      <c r="AO1663" s="5"/>
      <c r="AP1663" s="5"/>
      <c r="AQ1663" s="5"/>
    </row>
    <row r="1664" spans="1:43" x14ac:dyDescent="0.25">
      <c r="A1664" s="161" t="str">
        <f t="shared" si="27"/>
        <v>U_MONGOLIAN_KESHIK</v>
      </c>
      <c r="B1664" s="9" t="s">
        <v>2367</v>
      </c>
      <c r="C1664" s="5"/>
      <c r="D1664" s="5"/>
      <c r="E1664" s="5" t="s">
        <v>1582</v>
      </c>
      <c r="F1664" s="5" t="s">
        <v>1582</v>
      </c>
      <c r="G1664" s="5"/>
      <c r="H1664" s="5" t="s">
        <v>1649</v>
      </c>
      <c r="I1664" s="5" t="s">
        <v>128</v>
      </c>
      <c r="J1664" s="6"/>
      <c r="K1664" s="6"/>
      <c r="L1664" s="13" t="s">
        <v>1708</v>
      </c>
      <c r="M1664" s="8"/>
      <c r="N1664" s="5"/>
      <c r="O1664" s="5"/>
      <c r="P1664" s="5"/>
      <c r="Q1664" s="7" t="s">
        <v>1695</v>
      </c>
      <c r="R1664" s="6" t="s">
        <v>1695</v>
      </c>
      <c r="S1664" s="13" t="s">
        <v>1695</v>
      </c>
      <c r="T1664" s="7" t="s">
        <v>1695</v>
      </c>
      <c r="U1664" s="7" t="s">
        <v>1695</v>
      </c>
      <c r="V1664" s="5"/>
      <c r="W1664" s="6" t="s">
        <v>3</v>
      </c>
      <c r="X1664" s="6" t="s">
        <v>3</v>
      </c>
      <c r="Y1664" s="5"/>
      <c r="Z1664" s="7">
        <v>1</v>
      </c>
      <c r="AA1664" s="6"/>
      <c r="AB1664" s="5"/>
      <c r="AC1664" s="6"/>
      <c r="AD1664" s="6" t="s">
        <v>3</v>
      </c>
      <c r="AE1664" s="5"/>
      <c r="AF1664" s="6" t="s">
        <v>1695</v>
      </c>
      <c r="AG1664" s="6"/>
      <c r="AH1664" s="5"/>
      <c r="AI1664" s="6"/>
      <c r="AJ1664" s="6"/>
      <c r="AK1664" s="5"/>
      <c r="AL1664" s="5"/>
      <c r="AM1664" s="5"/>
      <c r="AN1664" s="5"/>
      <c r="AO1664" s="5"/>
      <c r="AP1664" s="5"/>
      <c r="AQ1664" s="5"/>
    </row>
    <row r="1665" spans="1:43" x14ac:dyDescent="0.25">
      <c r="A1665" s="161" t="str">
        <f t="shared" si="27"/>
        <v>U_MORROCAN_BERBER_CAVALRY</v>
      </c>
      <c r="B1665" s="9" t="s">
        <v>2397</v>
      </c>
      <c r="C1665" s="5"/>
      <c r="D1665" s="5"/>
      <c r="E1665" s="5" t="s">
        <v>1583</v>
      </c>
      <c r="F1665" s="5" t="s">
        <v>1583</v>
      </c>
      <c r="G1665" s="5"/>
      <c r="H1665" s="5" t="s">
        <v>1650</v>
      </c>
      <c r="I1665" s="5" t="s">
        <v>128</v>
      </c>
      <c r="J1665" s="6"/>
      <c r="K1665" s="6"/>
      <c r="L1665" s="13" t="s">
        <v>1714</v>
      </c>
      <c r="M1665" s="8"/>
      <c r="N1665" s="5"/>
      <c r="O1665" s="5"/>
      <c r="P1665" s="5"/>
      <c r="Q1665" s="7" t="s">
        <v>1695</v>
      </c>
      <c r="R1665" s="6" t="s">
        <v>1695</v>
      </c>
      <c r="S1665" s="13" t="s">
        <v>1695</v>
      </c>
      <c r="T1665" s="6" t="s">
        <v>1695</v>
      </c>
      <c r="U1665" s="7" t="s">
        <v>1695</v>
      </c>
      <c r="V1665" s="5"/>
      <c r="W1665" s="7" t="s">
        <v>3</v>
      </c>
      <c r="X1665" s="6" t="s">
        <v>3</v>
      </c>
      <c r="Y1665" s="5"/>
      <c r="Z1665" s="7">
        <v>1</v>
      </c>
      <c r="AA1665" s="6"/>
      <c r="AB1665" s="5"/>
      <c r="AC1665" s="6"/>
      <c r="AD1665" s="6" t="s">
        <v>3</v>
      </c>
      <c r="AE1665" s="5"/>
      <c r="AF1665" s="6" t="s">
        <v>1695</v>
      </c>
      <c r="AG1665" s="6"/>
      <c r="AH1665" s="5"/>
      <c r="AI1665" s="6"/>
      <c r="AJ1665" s="6"/>
      <c r="AK1665" s="5"/>
      <c r="AL1665" s="5"/>
      <c r="AM1665" s="5"/>
      <c r="AN1665" s="5"/>
      <c r="AO1665" s="5"/>
      <c r="AP1665" s="5"/>
      <c r="AQ1665" s="5"/>
    </row>
    <row r="1666" spans="1:43" x14ac:dyDescent="0.25">
      <c r="A1666" s="161" t="str">
        <f t="shared" si="27"/>
        <v>U_OTTOMAN_JANISSARY</v>
      </c>
      <c r="B1666" s="9" t="s">
        <v>2368</v>
      </c>
      <c r="C1666" s="5"/>
      <c r="D1666" s="5"/>
      <c r="E1666" s="5" t="s">
        <v>1584</v>
      </c>
      <c r="F1666" s="5" t="s">
        <v>1584</v>
      </c>
      <c r="G1666" s="5"/>
      <c r="H1666" s="5" t="s">
        <v>1686</v>
      </c>
      <c r="I1666" s="5" t="s">
        <v>128</v>
      </c>
      <c r="J1666" s="6"/>
      <c r="K1666" s="6"/>
      <c r="L1666" s="13" t="s">
        <v>1708</v>
      </c>
      <c r="M1666" s="8"/>
      <c r="N1666" s="5"/>
      <c r="O1666" s="5"/>
      <c r="P1666" s="5"/>
      <c r="Q1666" s="7">
        <v>14</v>
      </c>
      <c r="R1666" s="6" t="s">
        <v>1737</v>
      </c>
      <c r="S1666" s="13" t="s">
        <v>1619</v>
      </c>
      <c r="T1666" s="7">
        <v>19</v>
      </c>
      <c r="U1666" s="7" t="s">
        <v>1737</v>
      </c>
      <c r="V1666" s="5"/>
      <c r="W1666" s="6" t="s">
        <v>3</v>
      </c>
      <c r="X1666" s="6" t="s">
        <v>3</v>
      </c>
      <c r="Y1666" s="5"/>
      <c r="Z1666" s="7">
        <v>1</v>
      </c>
      <c r="AA1666" s="6"/>
      <c r="AB1666" s="5"/>
      <c r="AC1666" s="6"/>
      <c r="AD1666" s="6" t="s">
        <v>3</v>
      </c>
      <c r="AE1666" s="5"/>
      <c r="AF1666" s="7" t="s">
        <v>1737</v>
      </c>
      <c r="AG1666" s="6"/>
      <c r="AH1666" s="5"/>
      <c r="AI1666" s="6" t="s">
        <v>1737</v>
      </c>
      <c r="AJ1666" s="6"/>
      <c r="AK1666" s="5"/>
      <c r="AL1666" s="5"/>
      <c r="AM1666" s="5"/>
      <c r="AN1666" s="5"/>
      <c r="AO1666" s="5"/>
      <c r="AP1666" s="5"/>
      <c r="AQ1666" s="5"/>
    </row>
    <row r="1667" spans="1:43" x14ac:dyDescent="0.25">
      <c r="A1667" s="161" t="str">
        <f t="shared" si="27"/>
        <v>U_OTTOMAN_SIPAHI</v>
      </c>
      <c r="B1667" s="9" t="s">
        <v>2369</v>
      </c>
      <c r="C1667" s="5"/>
      <c r="D1667" s="5"/>
      <c r="E1667" s="5" t="s">
        <v>1585</v>
      </c>
      <c r="F1667" s="5" t="s">
        <v>1585</v>
      </c>
      <c r="G1667" s="5"/>
      <c r="H1667" s="5" t="s">
        <v>1687</v>
      </c>
      <c r="I1667" s="5" t="s">
        <v>128</v>
      </c>
      <c r="J1667" s="6"/>
      <c r="K1667" s="6"/>
      <c r="L1667" s="13" t="s">
        <v>1714</v>
      </c>
      <c r="M1667" s="8"/>
      <c r="N1667" s="5"/>
      <c r="O1667" s="5"/>
      <c r="P1667" s="5"/>
      <c r="Q1667" s="7" t="s">
        <v>1695</v>
      </c>
      <c r="R1667" s="6" t="s">
        <v>1695</v>
      </c>
      <c r="S1667" s="13" t="s">
        <v>1695</v>
      </c>
      <c r="T1667" s="7" t="s">
        <v>1695</v>
      </c>
      <c r="U1667" s="7" t="s">
        <v>1695</v>
      </c>
      <c r="V1667" s="5" t="s">
        <v>1701</v>
      </c>
      <c r="W1667" s="6" t="s">
        <v>3</v>
      </c>
      <c r="X1667" s="6" t="s">
        <v>3</v>
      </c>
      <c r="Y1667" s="5"/>
      <c r="Z1667" s="7">
        <v>1</v>
      </c>
      <c r="AA1667" s="6"/>
      <c r="AB1667" s="5"/>
      <c r="AC1667" s="6"/>
      <c r="AD1667" s="6" t="s">
        <v>3</v>
      </c>
      <c r="AE1667" s="5"/>
      <c r="AF1667" s="7" t="s">
        <v>1695</v>
      </c>
      <c r="AG1667" s="6"/>
      <c r="AH1667" s="5"/>
      <c r="AI1667" s="6"/>
      <c r="AJ1667" s="6"/>
      <c r="AK1667" s="5"/>
      <c r="AL1667" s="5"/>
      <c r="AM1667" s="5"/>
      <c r="AN1667" s="5"/>
      <c r="AO1667" s="5"/>
      <c r="AP1667" s="5"/>
      <c r="AQ1667" s="5"/>
    </row>
    <row r="1668" spans="1:43" x14ac:dyDescent="0.25">
      <c r="A1668" s="161" t="str">
        <f t="shared" si="27"/>
        <v>U_PERSIAN_IMMORTAL</v>
      </c>
      <c r="B1668" s="9" t="s">
        <v>2370</v>
      </c>
      <c r="C1668" s="5"/>
      <c r="D1668" s="5"/>
      <c r="E1668" s="5" t="s">
        <v>1586</v>
      </c>
      <c r="F1668" s="5" t="s">
        <v>1586</v>
      </c>
      <c r="G1668" s="5"/>
      <c r="H1668" s="5" t="s">
        <v>1688</v>
      </c>
      <c r="I1668" s="5" t="s">
        <v>128</v>
      </c>
      <c r="J1668" s="6"/>
      <c r="K1668" s="6"/>
      <c r="L1668" s="13" t="s">
        <v>1708</v>
      </c>
      <c r="M1668" s="8"/>
      <c r="N1668" s="5"/>
      <c r="O1668" s="5"/>
      <c r="P1668" s="5"/>
      <c r="Q1668" s="7" t="s">
        <v>1737</v>
      </c>
      <c r="R1668" s="6" t="s">
        <v>1737</v>
      </c>
      <c r="S1668" s="13" t="s">
        <v>1625</v>
      </c>
      <c r="T1668" s="7">
        <v>20</v>
      </c>
      <c r="U1668" s="7" t="s">
        <v>1737</v>
      </c>
      <c r="V1668" s="5"/>
      <c r="W1668" s="6">
        <v>30</v>
      </c>
      <c r="X1668" s="6" t="s">
        <v>3</v>
      </c>
      <c r="Y1668" s="5"/>
      <c r="Z1668" s="7">
        <v>1</v>
      </c>
      <c r="AA1668" s="6"/>
      <c r="AB1668" s="5"/>
      <c r="AC1668" s="6"/>
      <c r="AD1668" s="6" t="s">
        <v>3</v>
      </c>
      <c r="AE1668" s="5"/>
      <c r="AF1668" s="7" t="s">
        <v>1737</v>
      </c>
      <c r="AG1668" s="6"/>
      <c r="AH1668" s="5"/>
      <c r="AI1668" s="6" t="s">
        <v>1737</v>
      </c>
      <c r="AJ1668" s="6"/>
      <c r="AK1668" s="5"/>
      <c r="AL1668" s="5"/>
      <c r="AM1668" s="5"/>
      <c r="AN1668" s="5"/>
      <c r="AO1668" s="5"/>
      <c r="AP1668" s="5"/>
      <c r="AQ1668" s="5"/>
    </row>
    <row r="1669" spans="1:43" x14ac:dyDescent="0.25">
      <c r="A1669" s="161" t="str">
        <f t="shared" si="27"/>
        <v>U_POLISH_WINGED_HUSSAR</v>
      </c>
      <c r="B1669" s="9" t="s">
        <v>2371</v>
      </c>
      <c r="C1669" s="5"/>
      <c r="D1669" s="5"/>
      <c r="E1669" s="5" t="s">
        <v>1587</v>
      </c>
      <c r="F1669" s="5" t="s">
        <v>1587</v>
      </c>
      <c r="G1669" s="5"/>
      <c r="H1669" s="5" t="s">
        <v>1651</v>
      </c>
      <c r="I1669" s="5" t="s">
        <v>128</v>
      </c>
      <c r="J1669" s="6"/>
      <c r="K1669" s="6"/>
      <c r="L1669" s="13" t="s">
        <v>1714</v>
      </c>
      <c r="M1669" s="8"/>
      <c r="N1669" s="5"/>
      <c r="O1669" s="5"/>
      <c r="P1669" s="5"/>
      <c r="Q1669" s="7" t="s">
        <v>1695</v>
      </c>
      <c r="R1669" s="6">
        <v>0.13</v>
      </c>
      <c r="S1669" s="13" t="s">
        <v>1695</v>
      </c>
      <c r="T1669" s="6" t="s">
        <v>1695</v>
      </c>
      <c r="U1669" s="6" t="s">
        <v>1695</v>
      </c>
      <c r="V1669" s="5"/>
      <c r="W1669" s="7" t="s">
        <v>3</v>
      </c>
      <c r="X1669" s="6" t="s">
        <v>3</v>
      </c>
      <c r="Y1669" s="5"/>
      <c r="Z1669" s="7">
        <v>1</v>
      </c>
      <c r="AA1669" s="6"/>
      <c r="AB1669" s="5"/>
      <c r="AC1669" s="6"/>
      <c r="AD1669" s="6" t="s">
        <v>3</v>
      </c>
      <c r="AE1669" s="5"/>
      <c r="AF1669" s="7" t="s">
        <v>1695</v>
      </c>
      <c r="AG1669" s="6"/>
      <c r="AH1669" s="5"/>
      <c r="AI1669" s="6"/>
      <c r="AJ1669" s="6"/>
      <c r="AK1669" s="5"/>
      <c r="AL1669" s="5"/>
      <c r="AM1669" s="5"/>
      <c r="AN1669" s="5"/>
      <c r="AO1669" s="5"/>
      <c r="AP1669" s="5"/>
      <c r="AQ1669" s="5"/>
    </row>
    <row r="1670" spans="1:43" x14ac:dyDescent="0.25">
      <c r="A1670" s="161" t="str">
        <f t="shared" ref="A1670:A1751" si="28">CONCATENATE(E1670,IF(ISBLANK(C1670),"",CONCATENATE("_",C1670)))</f>
        <v>U_POLYNESIAN_MAORI_WARRIOR</v>
      </c>
      <c r="B1670" s="9" t="s">
        <v>2372</v>
      </c>
      <c r="C1670" s="5"/>
      <c r="D1670" s="5"/>
      <c r="E1670" s="5" t="s">
        <v>1588</v>
      </c>
      <c r="F1670" s="5" t="s">
        <v>1588</v>
      </c>
      <c r="G1670" s="5"/>
      <c r="H1670" s="5" t="s">
        <v>1652</v>
      </c>
      <c r="I1670" s="5" t="s">
        <v>128</v>
      </c>
      <c r="J1670" s="6"/>
      <c r="K1670" s="6"/>
      <c r="L1670" s="13" t="s">
        <v>1708</v>
      </c>
      <c r="M1670" s="8"/>
      <c r="N1670" s="5"/>
      <c r="O1670" s="5"/>
      <c r="P1670" s="5"/>
      <c r="Q1670" s="7">
        <v>10</v>
      </c>
      <c r="R1670" s="6">
        <v>0.13</v>
      </c>
      <c r="S1670" s="13" t="s">
        <v>1620</v>
      </c>
      <c r="T1670" s="7">
        <v>18</v>
      </c>
      <c r="U1670" s="6">
        <v>8.7999999999999995E-2</v>
      </c>
      <c r="V1670" s="5"/>
      <c r="W1670" s="6" t="s">
        <v>3</v>
      </c>
      <c r="X1670" s="6" t="s">
        <v>3</v>
      </c>
      <c r="Y1670" s="5"/>
      <c r="Z1670" s="7">
        <v>1</v>
      </c>
      <c r="AA1670" s="6"/>
      <c r="AB1670" s="5"/>
      <c r="AC1670" s="6"/>
      <c r="AD1670" s="6" t="s">
        <v>3</v>
      </c>
      <c r="AE1670" s="5"/>
      <c r="AF1670" s="7" t="s">
        <v>1737</v>
      </c>
      <c r="AG1670" s="6"/>
      <c r="AH1670" s="5"/>
      <c r="AI1670" s="6">
        <v>6</v>
      </c>
      <c r="AJ1670" s="6"/>
      <c r="AK1670" s="5"/>
      <c r="AL1670" s="5"/>
      <c r="AM1670" s="5"/>
      <c r="AN1670" s="5"/>
      <c r="AO1670" s="5"/>
      <c r="AP1670" s="5"/>
      <c r="AQ1670" s="5"/>
    </row>
    <row r="1671" spans="1:43" x14ac:dyDescent="0.25">
      <c r="A1671" s="161" t="str">
        <f t="shared" si="28"/>
        <v>U_POLYNESIAN_WAR_CANOE</v>
      </c>
      <c r="C1671" s="5"/>
      <c r="D1671" s="5"/>
      <c r="E1671" s="5" t="s">
        <v>1589</v>
      </c>
      <c r="F1671" s="5" t="s">
        <v>1589</v>
      </c>
      <c r="G1671" s="5"/>
      <c r="H1671" s="5" t="s">
        <v>995</v>
      </c>
      <c r="I1671" s="5" t="s">
        <v>128</v>
      </c>
      <c r="J1671" s="6"/>
      <c r="K1671" s="7"/>
      <c r="L1671" s="13" t="s">
        <v>1712</v>
      </c>
      <c r="M1671" s="8"/>
      <c r="N1671" s="13" t="s">
        <v>1727</v>
      </c>
      <c r="O1671" s="13"/>
      <c r="P1671" s="13"/>
      <c r="Q1671" s="7">
        <v>2</v>
      </c>
      <c r="R1671" s="6">
        <v>7.0000000000000007E-2</v>
      </c>
      <c r="S1671" s="13" t="s">
        <v>1613</v>
      </c>
      <c r="T1671" s="7">
        <v>5</v>
      </c>
      <c r="U1671" s="6">
        <v>0.04</v>
      </c>
      <c r="V1671" s="5" t="s">
        <v>1696</v>
      </c>
      <c r="W1671" s="6"/>
      <c r="X1671" s="6"/>
      <c r="Y1671" s="5"/>
      <c r="Z1671" s="7">
        <v>1</v>
      </c>
      <c r="AA1671" s="6"/>
      <c r="AB1671" s="5"/>
      <c r="AC1671" s="6"/>
      <c r="AD1671" s="6"/>
      <c r="AE1671" s="5"/>
      <c r="AF1671" s="6"/>
      <c r="AG1671" s="6"/>
      <c r="AH1671" s="5"/>
      <c r="AI1671" s="6"/>
      <c r="AJ1671" s="6"/>
      <c r="AK1671" s="5"/>
      <c r="AL1671" s="5"/>
      <c r="AM1671" s="5"/>
      <c r="AN1671" s="5"/>
      <c r="AO1671" s="5"/>
      <c r="AP1671" s="5"/>
      <c r="AQ1671" s="5"/>
    </row>
    <row r="1672" spans="1:43" x14ac:dyDescent="0.25">
      <c r="A1672" s="161" t="str">
        <f t="shared" si="28"/>
        <v>U_PORTUGUESE_CARRACK</v>
      </c>
      <c r="B1672" s="9" t="s">
        <v>2398</v>
      </c>
      <c r="C1672" s="5"/>
      <c r="D1672" s="5"/>
      <c r="E1672" s="5" t="s">
        <v>1590</v>
      </c>
      <c r="F1672" s="5" t="s">
        <v>1590</v>
      </c>
      <c r="G1672" s="5"/>
      <c r="H1672" s="5" t="s">
        <v>1653</v>
      </c>
      <c r="I1672" s="5" t="s">
        <v>128</v>
      </c>
      <c r="J1672" s="6"/>
      <c r="K1672" s="7"/>
      <c r="L1672" s="13" t="s">
        <v>1713</v>
      </c>
      <c r="M1672" s="8"/>
      <c r="N1672" s="13" t="s">
        <v>1727</v>
      </c>
      <c r="O1672" s="13"/>
      <c r="P1672" s="13"/>
      <c r="Q1672" s="7">
        <v>1</v>
      </c>
      <c r="R1672" s="6" t="s">
        <v>1737</v>
      </c>
      <c r="S1672" s="5"/>
      <c r="T1672" s="6">
        <v>3</v>
      </c>
      <c r="U1672" s="7" t="s">
        <v>1737</v>
      </c>
      <c r="V1672" s="5" t="s">
        <v>1696</v>
      </c>
      <c r="W1672" s="6"/>
      <c r="X1672" s="6"/>
      <c r="Y1672" s="5"/>
      <c r="Z1672" s="6"/>
      <c r="AA1672" s="6"/>
      <c r="AB1672" s="5"/>
      <c r="AC1672" s="6"/>
      <c r="AD1672" s="6"/>
      <c r="AE1672" s="5"/>
      <c r="AF1672" s="6"/>
      <c r="AG1672" s="6"/>
      <c r="AH1672" s="5"/>
      <c r="AI1672" s="6"/>
      <c r="AJ1672" s="6"/>
      <c r="AK1672" s="5"/>
      <c r="AL1672" s="5"/>
      <c r="AM1672" s="5"/>
      <c r="AN1672" s="5"/>
      <c r="AO1672" s="5"/>
      <c r="AP1672" s="5"/>
      <c r="AQ1672" s="5"/>
    </row>
    <row r="1673" spans="1:43" x14ac:dyDescent="0.25">
      <c r="A1673" s="161" t="str">
        <f t="shared" si="28"/>
        <v>U_ROMAN_BALLISTA</v>
      </c>
      <c r="B1673" s="9" t="s">
        <v>2373</v>
      </c>
      <c r="C1673" s="5"/>
      <c r="D1673" s="5"/>
      <c r="E1673" s="5" t="s">
        <v>1591</v>
      </c>
      <c r="F1673" s="5" t="s">
        <v>1591</v>
      </c>
      <c r="G1673" s="5"/>
      <c r="H1673" s="5" t="s">
        <v>1689</v>
      </c>
      <c r="I1673" s="5" t="s">
        <v>128</v>
      </c>
      <c r="J1673" s="6"/>
      <c r="K1673" s="6"/>
      <c r="L1673" s="13" t="s">
        <v>746</v>
      </c>
      <c r="M1673" s="8"/>
      <c r="N1673" s="5"/>
      <c r="O1673" s="5"/>
      <c r="P1673" s="5"/>
      <c r="Q1673" s="7">
        <v>2</v>
      </c>
      <c r="R1673" s="6" t="s">
        <v>1695</v>
      </c>
      <c r="S1673" s="13" t="s">
        <v>1613</v>
      </c>
      <c r="T1673" s="7">
        <v>4</v>
      </c>
      <c r="U1673" s="7" t="s">
        <v>1737</v>
      </c>
      <c r="V1673" s="5" t="s">
        <v>688</v>
      </c>
      <c r="W1673" s="6" t="s">
        <v>3</v>
      </c>
      <c r="X1673" s="6" t="s">
        <v>3</v>
      </c>
      <c r="Y1673" s="5"/>
      <c r="Z1673" s="7">
        <v>1</v>
      </c>
      <c r="AA1673" s="6"/>
      <c r="AB1673" s="5"/>
      <c r="AC1673" s="6"/>
      <c r="AD1673" s="6" t="s">
        <v>3</v>
      </c>
      <c r="AE1673" s="5"/>
      <c r="AF1673" s="6"/>
      <c r="AG1673" s="6"/>
      <c r="AH1673" s="5"/>
      <c r="AI1673" s="6"/>
      <c r="AJ1673" s="6"/>
      <c r="AK1673" s="5"/>
      <c r="AL1673" s="5"/>
      <c r="AM1673" s="5"/>
      <c r="AN1673" s="5"/>
      <c r="AO1673" s="5"/>
      <c r="AP1673" s="5"/>
      <c r="AQ1673" s="5"/>
    </row>
    <row r="1674" spans="1:43" x14ac:dyDescent="0.25">
      <c r="A1674" s="161" t="str">
        <f t="shared" si="28"/>
        <v>U_ROMAN_LEGION</v>
      </c>
      <c r="B1674" s="9" t="s">
        <v>2374</v>
      </c>
      <c r="C1674" s="5"/>
      <c r="D1674" s="5"/>
      <c r="E1674" s="5" t="s">
        <v>1592</v>
      </c>
      <c r="F1674" s="5" t="s">
        <v>1592</v>
      </c>
      <c r="G1674" s="5"/>
      <c r="H1674" s="5" t="s">
        <v>600</v>
      </c>
      <c r="I1674" s="5" t="s">
        <v>128</v>
      </c>
      <c r="J1674" s="6"/>
      <c r="K1674" s="6"/>
      <c r="L1674" s="13" t="s">
        <v>1718</v>
      </c>
      <c r="M1674" s="8"/>
      <c r="N1674" s="5"/>
      <c r="O1674" s="5"/>
      <c r="P1674" s="5"/>
      <c r="Q1674" s="7" t="s">
        <v>1737</v>
      </c>
      <c r="R1674" s="6" t="s">
        <v>1737</v>
      </c>
      <c r="S1674" s="13" t="s">
        <v>1625</v>
      </c>
      <c r="T1674" s="7" t="s">
        <v>1737</v>
      </c>
      <c r="U1674" s="7" t="s">
        <v>1737</v>
      </c>
      <c r="V1674" s="5" t="s">
        <v>1706</v>
      </c>
      <c r="W1674" s="6" t="s">
        <v>3</v>
      </c>
      <c r="X1674" s="6" t="s">
        <v>3</v>
      </c>
      <c r="Y1674" s="5"/>
      <c r="Z1674" s="7">
        <v>1</v>
      </c>
      <c r="AA1674" s="6"/>
      <c r="AB1674" s="5"/>
      <c r="AC1674" s="6"/>
      <c r="AD1674" s="6" t="s">
        <v>3</v>
      </c>
      <c r="AE1674" s="5"/>
      <c r="AF1674" s="6" t="s">
        <v>1737</v>
      </c>
      <c r="AG1674" s="6"/>
      <c r="AH1674" s="5"/>
      <c r="AI1674" s="6" t="s">
        <v>1737</v>
      </c>
      <c r="AJ1674" s="6"/>
      <c r="AK1674" s="5"/>
      <c r="AL1674" s="5"/>
      <c r="AM1674" s="5"/>
      <c r="AN1674" s="5"/>
      <c r="AO1674" s="5"/>
      <c r="AP1674" s="5"/>
      <c r="AQ1674" s="5"/>
    </row>
    <row r="1675" spans="1:43" x14ac:dyDescent="0.25">
      <c r="A1675" s="161" t="str">
        <f t="shared" si="28"/>
        <v>U_RUSSIAN_COSSACK</v>
      </c>
      <c r="B1675" s="9" t="s">
        <v>2375</v>
      </c>
      <c r="C1675" s="5"/>
      <c r="D1675" s="5"/>
      <c r="E1675" s="5" t="s">
        <v>1593</v>
      </c>
      <c r="F1675" s="5" t="s">
        <v>1593</v>
      </c>
      <c r="G1675" s="5"/>
      <c r="H1675" s="5" t="s">
        <v>1690</v>
      </c>
      <c r="I1675" s="5" t="s">
        <v>128</v>
      </c>
      <c r="J1675" s="6"/>
      <c r="K1675" s="6"/>
      <c r="L1675" s="13" t="s">
        <v>1714</v>
      </c>
      <c r="M1675" s="8"/>
      <c r="N1675" s="5"/>
      <c r="O1675" s="5"/>
      <c r="P1675" s="5"/>
      <c r="Q1675" s="7">
        <v>1</v>
      </c>
      <c r="R1675" s="6" t="s">
        <v>1695</v>
      </c>
      <c r="S1675" s="13" t="s">
        <v>1695</v>
      </c>
      <c r="T1675" s="7">
        <v>1</v>
      </c>
      <c r="U1675" s="7" t="s">
        <v>1695</v>
      </c>
      <c r="V1675" s="5"/>
      <c r="W1675" s="7" t="s">
        <v>3</v>
      </c>
      <c r="X1675" s="6" t="s">
        <v>3</v>
      </c>
      <c r="Y1675" s="5"/>
      <c r="Z1675" s="7">
        <v>0</v>
      </c>
      <c r="AA1675" s="6"/>
      <c r="AB1675" s="5"/>
      <c r="AC1675" s="6"/>
      <c r="AD1675" s="6" t="s">
        <v>3</v>
      </c>
      <c r="AE1675" s="5"/>
      <c r="AF1675" s="6">
        <v>1</v>
      </c>
      <c r="AG1675" s="6"/>
      <c r="AH1675" s="5"/>
      <c r="AI1675" s="6">
        <v>1</v>
      </c>
      <c r="AJ1675" s="6"/>
      <c r="AK1675" s="5"/>
      <c r="AL1675" s="5"/>
      <c r="AM1675" s="5"/>
      <c r="AN1675" s="5"/>
      <c r="AO1675" s="5"/>
      <c r="AP1675" s="5"/>
      <c r="AQ1675" s="5"/>
    </row>
    <row r="1676" spans="1:43" x14ac:dyDescent="0.25">
      <c r="A1676" s="161" t="str">
        <f t="shared" si="28"/>
        <v>U_RUSSIAN_COSSACK</v>
      </c>
      <c r="B1676" s="9" t="s">
        <v>2375</v>
      </c>
      <c r="C1676" s="5"/>
      <c r="D1676" s="5"/>
      <c r="E1676" s="5" t="s">
        <v>1593</v>
      </c>
      <c r="F1676" s="5" t="s">
        <v>1593</v>
      </c>
      <c r="G1676" s="5" t="s">
        <v>2047</v>
      </c>
      <c r="H1676" s="5" t="s">
        <v>1691</v>
      </c>
      <c r="I1676" s="5" t="s">
        <v>128</v>
      </c>
      <c r="J1676" s="6"/>
      <c r="K1676" s="6"/>
      <c r="L1676" s="13" t="s">
        <v>1714</v>
      </c>
      <c r="M1676" s="8"/>
      <c r="N1676" s="5"/>
      <c r="O1676" s="5"/>
      <c r="P1676" s="5"/>
      <c r="Q1676" s="7">
        <v>2</v>
      </c>
      <c r="R1676" s="6" t="s">
        <v>1695</v>
      </c>
      <c r="S1676" s="13" t="s">
        <v>1695</v>
      </c>
      <c r="T1676" s="7">
        <v>2</v>
      </c>
      <c r="U1676" s="7" t="s">
        <v>1695</v>
      </c>
      <c r="V1676" s="5"/>
      <c r="W1676" s="7" t="s">
        <v>3</v>
      </c>
      <c r="X1676" s="6" t="s">
        <v>3</v>
      </c>
      <c r="Y1676" s="5"/>
      <c r="Z1676" s="7">
        <v>1</v>
      </c>
      <c r="AA1676" s="6"/>
      <c r="AB1676" s="5"/>
      <c r="AC1676" s="6"/>
      <c r="AD1676" s="6" t="s">
        <v>3</v>
      </c>
      <c r="AE1676" s="5"/>
      <c r="AF1676" s="6">
        <v>1</v>
      </c>
      <c r="AG1676" s="6"/>
      <c r="AH1676" s="5"/>
      <c r="AI1676" s="6">
        <v>1</v>
      </c>
      <c r="AJ1676" s="6"/>
      <c r="AK1676" s="5"/>
      <c r="AL1676" s="5"/>
      <c r="AM1676" s="5"/>
      <c r="AN1676" s="5"/>
      <c r="AO1676" s="5"/>
      <c r="AP1676" s="5"/>
      <c r="AQ1676" s="5"/>
    </row>
    <row r="1677" spans="1:43" x14ac:dyDescent="0.25">
      <c r="A1677" s="161" t="str">
        <f t="shared" si="28"/>
        <v>U_RUSSIAN_COSSACK</v>
      </c>
      <c r="B1677" s="9" t="s">
        <v>2375</v>
      </c>
      <c r="C1677" s="5"/>
      <c r="D1677" s="5"/>
      <c r="E1677" s="5" t="s">
        <v>1593</v>
      </c>
      <c r="F1677" s="5" t="s">
        <v>1593</v>
      </c>
      <c r="G1677" s="5" t="s">
        <v>2049</v>
      </c>
      <c r="H1677" s="5" t="s">
        <v>1692</v>
      </c>
      <c r="I1677" s="5" t="s">
        <v>128</v>
      </c>
      <c r="J1677" s="6"/>
      <c r="K1677" s="6"/>
      <c r="L1677" s="13" t="s">
        <v>1714</v>
      </c>
      <c r="M1677" s="8"/>
      <c r="N1677" s="5"/>
      <c r="O1677" s="5"/>
      <c r="P1677" s="5"/>
      <c r="Q1677" s="7">
        <v>2</v>
      </c>
      <c r="R1677" s="6" t="s">
        <v>1695</v>
      </c>
      <c r="S1677" s="13" t="s">
        <v>1695</v>
      </c>
      <c r="T1677" s="7">
        <v>2</v>
      </c>
      <c r="U1677" s="7" t="s">
        <v>1695</v>
      </c>
      <c r="V1677" s="5"/>
      <c r="W1677" s="7" t="s">
        <v>3</v>
      </c>
      <c r="X1677" s="6" t="s">
        <v>3</v>
      </c>
      <c r="Y1677" s="5"/>
      <c r="Z1677" s="7">
        <v>0</v>
      </c>
      <c r="AA1677" s="6"/>
      <c r="AB1677" s="5"/>
      <c r="AC1677" s="6"/>
      <c r="AD1677" s="6" t="s">
        <v>3</v>
      </c>
      <c r="AE1677" s="5"/>
      <c r="AF1677" s="7">
        <v>1</v>
      </c>
      <c r="AG1677" s="6"/>
      <c r="AH1677" s="5"/>
      <c r="AI1677" s="7">
        <v>2</v>
      </c>
      <c r="AJ1677" s="6"/>
      <c r="AK1677" s="5"/>
      <c r="AL1677" s="5"/>
      <c r="AM1677" s="5"/>
      <c r="AN1677" s="5"/>
      <c r="AO1677" s="5"/>
      <c r="AP1677" s="5"/>
      <c r="AQ1677" s="5"/>
    </row>
    <row r="1678" spans="1:43" x14ac:dyDescent="0.25">
      <c r="A1678" s="161" t="str">
        <f t="shared" si="28"/>
        <v>U_RUSSIAN_COSSACK</v>
      </c>
      <c r="B1678" s="9" t="s">
        <v>2375</v>
      </c>
      <c r="C1678" s="5"/>
      <c r="D1678" s="5"/>
      <c r="E1678" s="5" t="s">
        <v>1593</v>
      </c>
      <c r="F1678" s="5" t="s">
        <v>1593</v>
      </c>
      <c r="G1678" s="5"/>
      <c r="H1678" s="5" t="s">
        <v>1690</v>
      </c>
      <c r="I1678" s="5" t="s">
        <v>128</v>
      </c>
      <c r="J1678" s="6"/>
      <c r="K1678" s="6"/>
      <c r="L1678" s="13" t="s">
        <v>1714</v>
      </c>
      <c r="M1678" s="8"/>
      <c r="N1678" s="5"/>
      <c r="O1678" s="5"/>
      <c r="P1678" s="5"/>
      <c r="Q1678" s="7">
        <v>0</v>
      </c>
      <c r="R1678" s="6" t="s">
        <v>1695</v>
      </c>
      <c r="S1678" s="13" t="s">
        <v>1695</v>
      </c>
      <c r="T1678" s="7">
        <v>1</v>
      </c>
      <c r="U1678" s="7" t="s">
        <v>1695</v>
      </c>
      <c r="V1678" s="5"/>
      <c r="W1678" s="7" t="s">
        <v>3</v>
      </c>
      <c r="X1678" s="6" t="s">
        <v>3</v>
      </c>
      <c r="Y1678" s="5"/>
      <c r="Z1678" s="7">
        <v>0</v>
      </c>
      <c r="AA1678" s="6"/>
      <c r="AB1678" s="5"/>
      <c r="AC1678" s="6"/>
      <c r="AD1678" s="6" t="s">
        <v>3</v>
      </c>
      <c r="AE1678" s="5"/>
      <c r="AF1678" s="7">
        <v>0</v>
      </c>
      <c r="AG1678" s="6"/>
      <c r="AH1678" s="5"/>
      <c r="AI1678" s="7">
        <v>2</v>
      </c>
      <c r="AJ1678" s="6"/>
      <c r="AK1678" s="5"/>
      <c r="AL1678" s="5"/>
      <c r="AM1678" s="5"/>
      <c r="AN1678" s="5"/>
      <c r="AO1678" s="5"/>
      <c r="AP1678" s="5"/>
      <c r="AQ1678" s="5"/>
    </row>
    <row r="1679" spans="1:43" x14ac:dyDescent="0.25">
      <c r="A1679" s="161" t="str">
        <f t="shared" si="28"/>
        <v>U_RUSSIAN_COSSACK</v>
      </c>
      <c r="B1679" s="9" t="s">
        <v>2375</v>
      </c>
      <c r="C1679" s="5"/>
      <c r="D1679" s="5"/>
      <c r="E1679" s="5" t="s">
        <v>1593</v>
      </c>
      <c r="F1679" s="5" t="s">
        <v>1593</v>
      </c>
      <c r="G1679" s="5" t="s">
        <v>2047</v>
      </c>
      <c r="H1679" s="5" t="s">
        <v>1691</v>
      </c>
      <c r="I1679" s="5" t="s">
        <v>128</v>
      </c>
      <c r="J1679" s="6"/>
      <c r="K1679" s="6"/>
      <c r="L1679" s="13" t="s">
        <v>1714</v>
      </c>
      <c r="M1679" s="8"/>
      <c r="N1679" s="5"/>
      <c r="O1679" s="5"/>
      <c r="P1679" s="5"/>
      <c r="Q1679" s="7">
        <v>0</v>
      </c>
      <c r="R1679" s="6" t="s">
        <v>1695</v>
      </c>
      <c r="S1679" s="13" t="s">
        <v>1695</v>
      </c>
      <c r="T1679" s="7">
        <v>1</v>
      </c>
      <c r="U1679" s="7" t="s">
        <v>1695</v>
      </c>
      <c r="V1679" s="5"/>
      <c r="W1679" s="7" t="s">
        <v>3</v>
      </c>
      <c r="X1679" s="6" t="s">
        <v>3</v>
      </c>
      <c r="Y1679" s="5"/>
      <c r="Z1679" s="7">
        <v>0</v>
      </c>
      <c r="AA1679" s="6"/>
      <c r="AB1679" s="5"/>
      <c r="AC1679" s="6"/>
      <c r="AD1679" s="6" t="s">
        <v>3</v>
      </c>
      <c r="AE1679" s="5"/>
      <c r="AF1679" s="7">
        <v>0</v>
      </c>
      <c r="AG1679" s="6"/>
      <c r="AH1679" s="5"/>
      <c r="AI1679" s="7">
        <v>1</v>
      </c>
      <c r="AJ1679" s="6"/>
      <c r="AK1679" s="5"/>
      <c r="AL1679" s="5"/>
      <c r="AM1679" s="5"/>
      <c r="AN1679" s="5"/>
      <c r="AO1679" s="5"/>
      <c r="AP1679" s="5"/>
      <c r="AQ1679" s="5"/>
    </row>
    <row r="1680" spans="1:43" x14ac:dyDescent="0.25">
      <c r="A1680" s="161" t="str">
        <f t="shared" si="28"/>
        <v>U_SAXON_HUSCARL</v>
      </c>
      <c r="C1680" s="5"/>
      <c r="D1680" s="5"/>
      <c r="E1680" s="5" t="s">
        <v>1594</v>
      </c>
      <c r="F1680" s="5" t="s">
        <v>1594</v>
      </c>
      <c r="G1680" s="5"/>
      <c r="H1680" s="5" t="s">
        <v>1654</v>
      </c>
      <c r="I1680" s="5" t="s">
        <v>128</v>
      </c>
      <c r="J1680" s="6"/>
      <c r="K1680" s="6"/>
      <c r="L1680" s="13" t="s">
        <v>1708</v>
      </c>
      <c r="M1680" s="8"/>
      <c r="N1680" s="5"/>
      <c r="O1680" s="5"/>
      <c r="P1680" s="5"/>
      <c r="Q1680" s="7">
        <v>9</v>
      </c>
      <c r="R1680" s="6" t="s">
        <v>1737</v>
      </c>
      <c r="S1680" s="13" t="s">
        <v>1621</v>
      </c>
      <c r="T1680" s="6" t="s">
        <v>1737</v>
      </c>
      <c r="U1680" s="7" t="s">
        <v>1737</v>
      </c>
      <c r="V1680" s="5" t="s">
        <v>1620</v>
      </c>
      <c r="W1680" s="6" t="s">
        <v>3</v>
      </c>
      <c r="X1680" s="6" t="s">
        <v>3</v>
      </c>
      <c r="Y1680" s="5"/>
      <c r="Z1680" s="7">
        <v>1</v>
      </c>
      <c r="AA1680" s="6"/>
      <c r="AB1680" s="5"/>
      <c r="AC1680" s="6"/>
      <c r="AD1680" s="6" t="s">
        <v>3</v>
      </c>
      <c r="AE1680" s="5"/>
      <c r="AF1680" s="7" t="s">
        <v>1737</v>
      </c>
      <c r="AG1680" s="6"/>
      <c r="AH1680" s="5"/>
      <c r="AI1680" s="7">
        <v>6</v>
      </c>
      <c r="AJ1680" s="6"/>
      <c r="AK1680" s="5"/>
      <c r="AL1680" s="5"/>
      <c r="AM1680" s="5"/>
      <c r="AN1680" s="5"/>
      <c r="AO1680" s="5"/>
      <c r="AP1680" s="5"/>
      <c r="AQ1680" s="5"/>
    </row>
    <row r="1681" spans="1:43" x14ac:dyDescent="0.25">
      <c r="A1681" s="161" t="str">
        <f t="shared" si="28"/>
        <v>U_SHOSHONE_COMANCHE_RIDERS</v>
      </c>
      <c r="B1681" s="9" t="s">
        <v>2376</v>
      </c>
      <c r="C1681" s="5"/>
      <c r="D1681" s="5"/>
      <c r="E1681" s="5" t="s">
        <v>1595</v>
      </c>
      <c r="F1681" s="5" t="s">
        <v>1595</v>
      </c>
      <c r="G1681" s="5"/>
      <c r="H1681" s="5" t="s">
        <v>1655</v>
      </c>
      <c r="I1681" s="5" t="s">
        <v>128</v>
      </c>
      <c r="J1681" s="6"/>
      <c r="K1681" s="6"/>
      <c r="L1681" s="13" t="s">
        <v>1714</v>
      </c>
      <c r="M1681" s="8"/>
      <c r="N1681" s="5"/>
      <c r="O1681" s="5"/>
      <c r="P1681" s="5"/>
      <c r="Q1681" s="7" t="s">
        <v>1695</v>
      </c>
      <c r="R1681" s="6" t="s">
        <v>1695</v>
      </c>
      <c r="S1681" s="13" t="s">
        <v>1695</v>
      </c>
      <c r="T1681" s="6" t="s">
        <v>1695</v>
      </c>
      <c r="U1681" s="7" t="s">
        <v>1695</v>
      </c>
      <c r="V1681" s="5"/>
      <c r="W1681" s="7" t="s">
        <v>3</v>
      </c>
      <c r="X1681" s="6" t="s">
        <v>3</v>
      </c>
      <c r="Y1681" s="5"/>
      <c r="Z1681" s="7">
        <v>1</v>
      </c>
      <c r="AA1681" s="6"/>
      <c r="AB1681" s="5"/>
      <c r="AC1681" s="6"/>
      <c r="AD1681" s="6" t="s">
        <v>3</v>
      </c>
      <c r="AE1681" s="5"/>
      <c r="AF1681" s="7" t="s">
        <v>1695</v>
      </c>
      <c r="AG1681" s="6"/>
      <c r="AH1681" s="5"/>
      <c r="AI1681" s="6"/>
      <c r="AJ1681" s="6"/>
      <c r="AK1681" s="5"/>
      <c r="AL1681" s="5"/>
      <c r="AM1681" s="5"/>
      <c r="AN1681" s="5"/>
      <c r="AO1681" s="5"/>
      <c r="AP1681" s="5"/>
      <c r="AQ1681" s="5"/>
    </row>
    <row r="1682" spans="1:43" x14ac:dyDescent="0.25">
      <c r="A1682" s="161" t="str">
        <f t="shared" si="28"/>
        <v>U_SHOSHONE_PATHFINDER</v>
      </c>
      <c r="B1682" s="9" t="s">
        <v>2377</v>
      </c>
      <c r="C1682" s="5"/>
      <c r="D1682" s="5"/>
      <c r="E1682" s="5" t="s">
        <v>1596</v>
      </c>
      <c r="F1682" s="5" t="s">
        <v>1596</v>
      </c>
      <c r="G1682" s="5"/>
      <c r="H1682" s="5" t="s">
        <v>1656</v>
      </c>
      <c r="I1682" s="5" t="s">
        <v>128</v>
      </c>
      <c r="J1682" s="6"/>
      <c r="K1682" s="6"/>
      <c r="L1682" s="13" t="s">
        <v>1708</v>
      </c>
      <c r="M1682" s="8"/>
      <c r="N1682" s="5"/>
      <c r="O1682" s="5"/>
      <c r="P1682" s="5"/>
      <c r="Q1682" s="7">
        <v>6</v>
      </c>
      <c r="R1682" s="6" t="s">
        <v>1737</v>
      </c>
      <c r="S1682" s="13" t="s">
        <v>20</v>
      </c>
      <c r="T1682" s="6"/>
      <c r="U1682" s="7" t="s">
        <v>1695</v>
      </c>
      <c r="V1682" s="5"/>
      <c r="W1682" s="7" t="s">
        <v>3</v>
      </c>
      <c r="X1682" s="6" t="s">
        <v>3</v>
      </c>
      <c r="Y1682" s="5"/>
      <c r="Z1682" s="7">
        <v>1</v>
      </c>
      <c r="AA1682" s="6"/>
      <c r="AB1682" s="5"/>
      <c r="AC1682" s="6"/>
      <c r="AD1682" s="6" t="s">
        <v>3</v>
      </c>
      <c r="AE1682" s="5"/>
      <c r="AF1682" s="7">
        <v>2</v>
      </c>
      <c r="AG1682" s="6"/>
      <c r="AH1682" s="5"/>
      <c r="AI1682" s="7">
        <v>5</v>
      </c>
      <c r="AJ1682" s="6"/>
      <c r="AK1682" s="5"/>
      <c r="AL1682" s="5"/>
      <c r="AM1682" s="5"/>
      <c r="AN1682" s="5"/>
      <c r="AO1682" s="5"/>
      <c r="AP1682" s="5"/>
      <c r="AQ1682" s="5"/>
    </row>
    <row r="1683" spans="1:43" x14ac:dyDescent="0.25">
      <c r="A1683" s="161" t="str">
        <f t="shared" si="28"/>
        <v>U_SIAMESE_WARELEPHANT</v>
      </c>
      <c r="B1683" s="9" t="s">
        <v>2378</v>
      </c>
      <c r="C1683" s="5"/>
      <c r="D1683" s="5"/>
      <c r="E1683" s="5" t="s">
        <v>1597</v>
      </c>
      <c r="F1683" s="5" t="s">
        <v>1597</v>
      </c>
      <c r="G1683" s="5"/>
      <c r="H1683" s="5" t="s">
        <v>1693</v>
      </c>
      <c r="I1683" s="5" t="s">
        <v>128</v>
      </c>
      <c r="J1683" s="6"/>
      <c r="K1683" s="6"/>
      <c r="L1683" s="13" t="s">
        <v>1717</v>
      </c>
      <c r="M1683" s="8"/>
      <c r="N1683" s="5"/>
      <c r="O1683" s="5"/>
      <c r="P1683" s="5"/>
      <c r="Q1683" s="7">
        <v>2</v>
      </c>
      <c r="R1683" s="6" t="s">
        <v>1695</v>
      </c>
      <c r="S1683" s="13" t="s">
        <v>1618</v>
      </c>
      <c r="T1683" s="6">
        <v>3</v>
      </c>
      <c r="U1683" s="7" t="s">
        <v>1695</v>
      </c>
      <c r="V1683" s="5"/>
      <c r="W1683" s="6" t="s">
        <v>3</v>
      </c>
      <c r="X1683" s="6" t="s">
        <v>3</v>
      </c>
      <c r="Y1683" s="5"/>
      <c r="Z1683" s="7">
        <v>1</v>
      </c>
      <c r="AA1683" s="6"/>
      <c r="AB1683" s="5"/>
      <c r="AC1683" s="6"/>
      <c r="AD1683" s="6" t="s">
        <v>3</v>
      </c>
      <c r="AE1683" s="5"/>
      <c r="AF1683" s="6"/>
      <c r="AG1683" s="6"/>
      <c r="AH1683" s="5"/>
      <c r="AI1683" s="6"/>
      <c r="AJ1683" s="6"/>
      <c r="AK1683" s="5"/>
      <c r="AL1683" s="5"/>
      <c r="AM1683" s="5"/>
      <c r="AN1683" s="5"/>
      <c r="AO1683" s="5"/>
      <c r="AP1683" s="5"/>
      <c r="AQ1683" s="5"/>
    </row>
    <row r="1684" spans="1:43" x14ac:dyDescent="0.25">
      <c r="A1684" s="161" t="str">
        <f t="shared" si="28"/>
        <v>U_SONGHAI_MUSLIMCAVALRY</v>
      </c>
      <c r="B1684" s="9" t="s">
        <v>2379</v>
      </c>
      <c r="C1684" s="5"/>
      <c r="D1684" s="5"/>
      <c r="E1684" s="5" t="s">
        <v>1598</v>
      </c>
      <c r="F1684" s="5" t="s">
        <v>1598</v>
      </c>
      <c r="G1684" s="5"/>
      <c r="H1684" s="5" t="s">
        <v>1694</v>
      </c>
      <c r="I1684" s="5" t="s">
        <v>128</v>
      </c>
      <c r="J1684" s="6"/>
      <c r="K1684" s="6"/>
      <c r="L1684" s="13" t="s">
        <v>1714</v>
      </c>
      <c r="M1684" s="8"/>
      <c r="N1684" s="5"/>
      <c r="O1684" s="5"/>
      <c r="P1684" s="5"/>
      <c r="Q1684" s="7" t="s">
        <v>1695</v>
      </c>
      <c r="R1684" s="6" t="s">
        <v>1695</v>
      </c>
      <c r="S1684" s="13" t="s">
        <v>1695</v>
      </c>
      <c r="T1684" s="6" t="s">
        <v>1695</v>
      </c>
      <c r="U1684" s="7" t="s">
        <v>1695</v>
      </c>
      <c r="V1684" s="5" t="s">
        <v>1701</v>
      </c>
      <c r="W1684" s="6" t="s">
        <v>3</v>
      </c>
      <c r="X1684" s="6" t="s">
        <v>3</v>
      </c>
      <c r="Y1684" s="5"/>
      <c r="Z1684" s="7">
        <v>1</v>
      </c>
      <c r="AA1684" s="6"/>
      <c r="AB1684" s="5"/>
      <c r="AC1684" s="6"/>
      <c r="AD1684" s="6" t="s">
        <v>3</v>
      </c>
      <c r="AE1684" s="5"/>
      <c r="AF1684" s="7" t="s">
        <v>1695</v>
      </c>
      <c r="AG1684" s="6"/>
      <c r="AH1684" s="5"/>
      <c r="AI1684" s="6"/>
      <c r="AJ1684" s="6"/>
      <c r="AK1684" s="5"/>
      <c r="AL1684" s="5"/>
      <c r="AM1684" s="5"/>
      <c r="AN1684" s="5"/>
      <c r="AO1684" s="5"/>
      <c r="AP1684" s="5"/>
      <c r="AQ1684" s="5"/>
    </row>
    <row r="1685" spans="1:43" x14ac:dyDescent="0.25">
      <c r="A1685" s="161" t="str">
        <f t="shared" si="28"/>
        <v>U_SPANISH_CONQUISTADOR</v>
      </c>
      <c r="B1685" s="9" t="s">
        <v>2380</v>
      </c>
      <c r="C1685" s="5"/>
      <c r="D1685" s="5"/>
      <c r="E1685" s="5" t="s">
        <v>1599</v>
      </c>
      <c r="F1685" s="5" t="s">
        <v>1599</v>
      </c>
      <c r="G1685" s="5"/>
      <c r="H1685" s="5" t="s">
        <v>1657</v>
      </c>
      <c r="I1685" s="5" t="s">
        <v>128</v>
      </c>
      <c r="J1685" s="6"/>
      <c r="K1685" s="6"/>
      <c r="L1685" s="13" t="s">
        <v>1708</v>
      </c>
      <c r="M1685" s="8"/>
      <c r="N1685" s="5"/>
      <c r="O1685" s="5"/>
      <c r="P1685" s="5"/>
      <c r="Q1685" s="7" t="s">
        <v>1695</v>
      </c>
      <c r="R1685" s="6">
        <v>0.13</v>
      </c>
      <c r="S1685" s="13" t="s">
        <v>1695</v>
      </c>
      <c r="T1685" s="6"/>
      <c r="U1685" s="6"/>
      <c r="V1685" s="5"/>
      <c r="W1685" s="6" t="s">
        <v>3</v>
      </c>
      <c r="X1685" s="6" t="s">
        <v>3</v>
      </c>
      <c r="Y1685" s="5"/>
      <c r="Z1685" s="7">
        <v>1</v>
      </c>
      <c r="AA1685" s="6"/>
      <c r="AB1685" s="5"/>
      <c r="AC1685" s="6"/>
      <c r="AD1685" s="6" t="s">
        <v>3</v>
      </c>
      <c r="AE1685" s="5"/>
      <c r="AF1685" s="7" t="s">
        <v>1695</v>
      </c>
      <c r="AG1685" s="6"/>
      <c r="AH1685" s="5"/>
      <c r="AI1685" s="6"/>
      <c r="AJ1685" s="6"/>
      <c r="AK1685" s="5"/>
      <c r="AL1685" s="5"/>
      <c r="AM1685" s="5"/>
      <c r="AN1685" s="5"/>
      <c r="AO1685" s="5"/>
      <c r="AP1685" s="5"/>
      <c r="AQ1685" s="5"/>
    </row>
    <row r="1686" spans="1:43" x14ac:dyDescent="0.25">
      <c r="A1686" s="161" t="str">
        <f t="shared" si="28"/>
        <v>U_SPANISH_GALLEON</v>
      </c>
      <c r="C1686" s="5"/>
      <c r="D1686" s="5"/>
      <c r="E1686" s="5" t="s">
        <v>1600</v>
      </c>
      <c r="F1686" s="5" t="s">
        <v>1600</v>
      </c>
      <c r="G1686" s="5"/>
      <c r="H1686" s="5" t="s">
        <v>1658</v>
      </c>
      <c r="I1686" s="5" t="s">
        <v>128</v>
      </c>
      <c r="J1686" s="6"/>
      <c r="K1686" s="7"/>
      <c r="L1686" s="13" t="s">
        <v>1712</v>
      </c>
      <c r="M1686" s="8"/>
      <c r="N1686" s="13" t="s">
        <v>1727</v>
      </c>
      <c r="O1686" s="13"/>
      <c r="P1686" s="13"/>
      <c r="Q1686" s="7">
        <v>2</v>
      </c>
      <c r="R1686" s="6">
        <v>0.13</v>
      </c>
      <c r="S1686" s="13" t="s">
        <v>1613</v>
      </c>
      <c r="T1686" s="6" t="s">
        <v>1695</v>
      </c>
      <c r="U1686" s="6" t="s">
        <v>1695</v>
      </c>
      <c r="V1686" s="5" t="s">
        <v>1696</v>
      </c>
      <c r="W1686" s="6"/>
      <c r="X1686" s="6"/>
      <c r="Y1686" s="5"/>
      <c r="Z1686" s="7">
        <v>1</v>
      </c>
      <c r="AA1686" s="6"/>
      <c r="AB1686" s="5"/>
      <c r="AC1686" s="6"/>
      <c r="AD1686" s="6"/>
      <c r="AE1686" s="5"/>
      <c r="AF1686" s="6"/>
      <c r="AG1686" s="6"/>
      <c r="AH1686" s="5"/>
      <c r="AI1686" s="6"/>
      <c r="AJ1686" s="6"/>
      <c r="AK1686" s="5"/>
      <c r="AL1686" s="5"/>
      <c r="AM1686" s="5"/>
      <c r="AN1686" s="5"/>
      <c r="AO1686" s="5"/>
      <c r="AP1686" s="5"/>
      <c r="AQ1686" s="5"/>
    </row>
    <row r="1687" spans="1:43" x14ac:dyDescent="0.25">
      <c r="A1687" s="161" t="str">
        <f t="shared" si="28"/>
        <v>U_SPANISH_TERCIO</v>
      </c>
      <c r="B1687" s="9" t="s">
        <v>2381</v>
      </c>
      <c r="C1687" s="5"/>
      <c r="D1687" s="5"/>
      <c r="E1687" s="5" t="s">
        <v>1601</v>
      </c>
      <c r="F1687" s="5" t="s">
        <v>1601</v>
      </c>
      <c r="G1687" s="5"/>
      <c r="H1687" s="5" t="s">
        <v>1659</v>
      </c>
      <c r="I1687" s="5" t="s">
        <v>128</v>
      </c>
      <c r="J1687" s="6"/>
      <c r="K1687" s="6"/>
      <c r="L1687" s="13" t="s">
        <v>1708</v>
      </c>
      <c r="M1687" s="8"/>
      <c r="N1687" s="5"/>
      <c r="O1687" s="5"/>
      <c r="P1687" s="5"/>
      <c r="Q1687" s="7">
        <v>6</v>
      </c>
      <c r="R1687" s="6" t="s">
        <v>1737</v>
      </c>
      <c r="S1687" s="13" t="s">
        <v>1627</v>
      </c>
      <c r="T1687" s="6">
        <v>9</v>
      </c>
      <c r="U1687" s="7" t="s">
        <v>1737</v>
      </c>
      <c r="V1687" s="5" t="s">
        <v>1707</v>
      </c>
      <c r="W1687" s="6">
        <v>16</v>
      </c>
      <c r="X1687" s="6" t="s">
        <v>3</v>
      </c>
      <c r="Y1687" s="5"/>
      <c r="Z1687" s="7">
        <v>1</v>
      </c>
      <c r="AA1687" s="6"/>
      <c r="AB1687" s="5"/>
      <c r="AC1687" s="6"/>
      <c r="AD1687" s="6" t="s">
        <v>3</v>
      </c>
      <c r="AE1687" s="5"/>
      <c r="AF1687" s="7">
        <v>2</v>
      </c>
      <c r="AG1687" s="6"/>
      <c r="AH1687" s="5"/>
      <c r="AI1687" s="6">
        <v>4</v>
      </c>
      <c r="AJ1687" s="6"/>
      <c r="AK1687" s="5"/>
      <c r="AL1687" s="5"/>
      <c r="AM1687" s="5"/>
      <c r="AN1687" s="5"/>
      <c r="AO1687" s="5"/>
      <c r="AP1687" s="5"/>
      <c r="AQ1687" s="5"/>
    </row>
    <row r="1688" spans="1:43" x14ac:dyDescent="0.25">
      <c r="A1688" s="161" t="str">
        <f t="shared" si="28"/>
        <v>U_SPANISH_TERCIO</v>
      </c>
      <c r="B1688" s="9" t="s">
        <v>2381</v>
      </c>
      <c r="C1688" s="5"/>
      <c r="D1688" s="5"/>
      <c r="E1688" s="5" t="s">
        <v>1601</v>
      </c>
      <c r="F1688" s="5" t="s">
        <v>1601</v>
      </c>
      <c r="G1688" s="5" t="s">
        <v>2061</v>
      </c>
      <c r="H1688" s="5" t="s">
        <v>1660</v>
      </c>
      <c r="I1688" s="5" t="s">
        <v>128</v>
      </c>
      <c r="J1688" s="6"/>
      <c r="K1688" s="6"/>
      <c r="L1688" s="13" t="s">
        <v>1708</v>
      </c>
      <c r="M1688" s="8"/>
      <c r="N1688" s="5"/>
      <c r="O1688" s="5"/>
      <c r="P1688" s="5"/>
      <c r="Q1688" s="7">
        <v>6</v>
      </c>
      <c r="R1688" s="6" t="s">
        <v>1737</v>
      </c>
      <c r="S1688" s="13" t="s">
        <v>1627</v>
      </c>
      <c r="T1688" s="6">
        <v>9</v>
      </c>
      <c r="U1688" s="7" t="s">
        <v>1737</v>
      </c>
      <c r="V1688" s="5" t="s">
        <v>1707</v>
      </c>
      <c r="W1688" s="6">
        <v>16</v>
      </c>
      <c r="X1688" s="6" t="s">
        <v>3</v>
      </c>
      <c r="Y1688" s="5"/>
      <c r="Z1688" s="7">
        <v>0</v>
      </c>
      <c r="AA1688" s="6"/>
      <c r="AB1688" s="5"/>
      <c r="AC1688" s="6"/>
      <c r="AD1688" s="6" t="s">
        <v>3</v>
      </c>
      <c r="AE1688" s="5"/>
      <c r="AF1688" s="7">
        <v>1</v>
      </c>
      <c r="AG1688" s="6"/>
      <c r="AH1688" s="5"/>
      <c r="AI1688" s="6">
        <v>3</v>
      </c>
      <c r="AJ1688" s="6"/>
      <c r="AK1688" s="5"/>
      <c r="AL1688" s="5"/>
      <c r="AM1688" s="5"/>
      <c r="AN1688" s="5"/>
      <c r="AO1688" s="5"/>
      <c r="AP1688" s="5"/>
      <c r="AQ1688" s="5"/>
    </row>
    <row r="1689" spans="1:43" x14ac:dyDescent="0.25">
      <c r="A1689" s="161" t="str">
        <f t="shared" si="28"/>
        <v>U_SPANISH_TREASURE_CART</v>
      </c>
      <c r="C1689" s="5"/>
      <c r="D1689" s="5"/>
      <c r="E1689" s="5" t="s">
        <v>1602</v>
      </c>
      <c r="F1689" s="5" t="s">
        <v>1602</v>
      </c>
      <c r="H1689" s="5" t="s">
        <v>1661</v>
      </c>
      <c r="I1689" s="5" t="s">
        <v>128</v>
      </c>
      <c r="J1689" s="6"/>
      <c r="K1689" s="6"/>
      <c r="L1689" s="13" t="s">
        <v>1709</v>
      </c>
      <c r="M1689" s="8"/>
      <c r="N1689" s="5"/>
      <c r="O1689" s="5"/>
      <c r="P1689" s="5"/>
      <c r="Q1689" s="7">
        <v>1</v>
      </c>
      <c r="R1689" s="6">
        <v>6.3E-2</v>
      </c>
      <c r="S1689" s="5"/>
      <c r="T1689" s="6"/>
      <c r="U1689" s="6"/>
      <c r="V1689" s="5"/>
      <c r="W1689" s="6"/>
      <c r="X1689" s="6" t="s">
        <v>3</v>
      </c>
      <c r="Y1689" s="5"/>
      <c r="Z1689" s="6"/>
      <c r="AA1689" s="6"/>
      <c r="AB1689" s="5"/>
      <c r="AC1689" s="6"/>
      <c r="AD1689" s="6" t="s">
        <v>3</v>
      </c>
      <c r="AE1689" s="5"/>
      <c r="AF1689" s="6"/>
      <c r="AG1689" s="6"/>
      <c r="AH1689" s="5"/>
      <c r="AI1689" s="6"/>
      <c r="AJ1689" s="6"/>
      <c r="AK1689" s="5"/>
      <c r="AL1689" s="5"/>
      <c r="AM1689" s="5"/>
      <c r="AN1689" s="5"/>
      <c r="AO1689" s="5"/>
      <c r="AP1689" s="5"/>
      <c r="AQ1689" s="5"/>
    </row>
    <row r="1690" spans="1:43" x14ac:dyDescent="0.25">
      <c r="A1690" s="161" t="str">
        <f t="shared" si="28"/>
        <v>U_SUMERIAN_PHALANX</v>
      </c>
      <c r="C1690" s="5"/>
      <c r="D1690" s="5"/>
      <c r="E1690" s="5" t="s">
        <v>1603</v>
      </c>
      <c r="F1690" s="5" t="s">
        <v>1603</v>
      </c>
      <c r="G1690" s="5"/>
      <c r="H1690" s="5" t="s">
        <v>1662</v>
      </c>
      <c r="I1690" s="5" t="s">
        <v>128</v>
      </c>
      <c r="J1690" s="6"/>
      <c r="K1690" s="6"/>
      <c r="L1690" s="13" t="s">
        <v>1708</v>
      </c>
      <c r="M1690" s="8"/>
      <c r="N1690" s="5"/>
      <c r="O1690" s="5"/>
      <c r="P1690" s="5"/>
      <c r="Q1690" s="7" t="s">
        <v>1737</v>
      </c>
      <c r="R1690" s="6">
        <v>0.13</v>
      </c>
      <c r="S1690" s="13" t="s">
        <v>1625</v>
      </c>
      <c r="T1690" s="6">
        <v>20</v>
      </c>
      <c r="U1690" s="6" t="s">
        <v>1695</v>
      </c>
      <c r="V1690" s="5"/>
      <c r="W1690" s="6" t="s">
        <v>3</v>
      </c>
      <c r="X1690" s="6" t="s">
        <v>3</v>
      </c>
      <c r="Y1690" s="5"/>
      <c r="Z1690" s="7">
        <v>1</v>
      </c>
      <c r="AA1690" s="6"/>
      <c r="AB1690" s="5"/>
      <c r="AC1690" s="6"/>
      <c r="AD1690" s="6" t="s">
        <v>3</v>
      </c>
      <c r="AE1690" s="5"/>
      <c r="AF1690" s="7" t="s">
        <v>1695</v>
      </c>
      <c r="AG1690" s="6"/>
      <c r="AH1690" s="5"/>
      <c r="AI1690" s="6" t="s">
        <v>1737</v>
      </c>
      <c r="AJ1690" s="6"/>
      <c r="AK1690" s="5"/>
      <c r="AL1690" s="5"/>
      <c r="AM1690" s="5"/>
      <c r="AN1690" s="5"/>
      <c r="AO1690" s="5"/>
      <c r="AP1690" s="5"/>
      <c r="AQ1690" s="5"/>
    </row>
    <row r="1691" spans="1:43" x14ac:dyDescent="0.25">
      <c r="A1691" s="161" t="str">
        <f t="shared" si="28"/>
        <v>U_SWEDISH_CAROLEAN</v>
      </c>
      <c r="B1691" s="9" t="s">
        <v>2382</v>
      </c>
      <c r="C1691" s="5"/>
      <c r="D1691" s="5"/>
      <c r="E1691" s="5" t="s">
        <v>1604</v>
      </c>
      <c r="F1691" s="5" t="s">
        <v>1604</v>
      </c>
      <c r="G1691" s="5"/>
      <c r="H1691" s="5" t="s">
        <v>1663</v>
      </c>
      <c r="I1691" s="5" t="s">
        <v>128</v>
      </c>
      <c r="J1691" s="6"/>
      <c r="K1691" s="6"/>
      <c r="L1691" s="13" t="s">
        <v>1708</v>
      </c>
      <c r="M1691" s="8"/>
      <c r="N1691" s="5"/>
      <c r="O1691" s="5"/>
      <c r="P1691" s="5"/>
      <c r="Q1691" s="7">
        <v>14</v>
      </c>
      <c r="R1691" s="6" t="s">
        <v>1737</v>
      </c>
      <c r="S1691" s="13" t="s">
        <v>1619</v>
      </c>
      <c r="T1691" s="6">
        <v>19</v>
      </c>
      <c r="U1691" s="7" t="s">
        <v>1737</v>
      </c>
      <c r="V1691" s="5"/>
      <c r="W1691" s="6" t="s">
        <v>3</v>
      </c>
      <c r="X1691" s="6" t="s">
        <v>3</v>
      </c>
      <c r="Y1691" s="5"/>
      <c r="Z1691" s="7">
        <v>1</v>
      </c>
      <c r="AA1691" s="6"/>
      <c r="AB1691" s="5"/>
      <c r="AC1691" s="6"/>
      <c r="AD1691" s="6" t="s">
        <v>3</v>
      </c>
      <c r="AE1691" s="5"/>
      <c r="AF1691" s="7" t="s">
        <v>1737</v>
      </c>
      <c r="AG1691" s="6"/>
      <c r="AH1691" s="5"/>
      <c r="AI1691" s="7" t="s">
        <v>1737</v>
      </c>
      <c r="AJ1691" s="6"/>
      <c r="AK1691" s="5"/>
      <c r="AL1691" s="5"/>
      <c r="AM1691" s="5"/>
      <c r="AN1691" s="5"/>
      <c r="AO1691" s="5"/>
      <c r="AP1691" s="5"/>
      <c r="AQ1691" s="5"/>
    </row>
    <row r="1692" spans="1:43" x14ac:dyDescent="0.25">
      <c r="A1692" s="161" t="str">
        <f t="shared" si="28"/>
        <v>U_SWEDISH_HAKKAPELITTA</v>
      </c>
      <c r="B1692" s="9" t="s">
        <v>2399</v>
      </c>
      <c r="C1692" s="5"/>
      <c r="D1692" s="5"/>
      <c r="E1692" s="5" t="s">
        <v>1605</v>
      </c>
      <c r="F1692" s="5" t="s">
        <v>1605</v>
      </c>
      <c r="G1692" s="5"/>
      <c r="H1692" s="5" t="s">
        <v>1664</v>
      </c>
      <c r="I1692" s="5" t="s">
        <v>128</v>
      </c>
      <c r="J1692" s="6"/>
      <c r="K1692" s="6"/>
      <c r="L1692" s="13" t="s">
        <v>1714</v>
      </c>
      <c r="M1692" s="8"/>
      <c r="N1692" s="5"/>
      <c r="O1692" s="5"/>
      <c r="P1692" s="5"/>
      <c r="Q1692" s="7" t="s">
        <v>1695</v>
      </c>
      <c r="R1692" s="6" t="s">
        <v>1695</v>
      </c>
      <c r="S1692" s="13" t="s">
        <v>1695</v>
      </c>
      <c r="T1692" s="6" t="s">
        <v>1695</v>
      </c>
      <c r="U1692" s="7" t="s">
        <v>1695</v>
      </c>
      <c r="V1692" s="5" t="s">
        <v>1701</v>
      </c>
      <c r="W1692" s="6" t="s">
        <v>3</v>
      </c>
      <c r="X1692" s="6" t="s">
        <v>3</v>
      </c>
      <c r="Y1692" s="5"/>
      <c r="Z1692" s="7">
        <v>1</v>
      </c>
      <c r="AA1692" s="6"/>
      <c r="AB1692" s="5"/>
      <c r="AC1692" s="6"/>
      <c r="AD1692" s="6" t="s">
        <v>3</v>
      </c>
      <c r="AE1692" s="5"/>
      <c r="AF1692" s="7" t="s">
        <v>1695</v>
      </c>
      <c r="AG1692" s="6"/>
      <c r="AH1692" s="5"/>
      <c r="AI1692" s="6"/>
      <c r="AJ1692" s="6"/>
      <c r="AK1692" s="5"/>
      <c r="AL1692" s="5"/>
      <c r="AM1692" s="5"/>
      <c r="AN1692" s="5"/>
      <c r="AO1692" s="5"/>
      <c r="AP1692" s="5"/>
      <c r="AQ1692" s="5"/>
    </row>
    <row r="1693" spans="1:43" x14ac:dyDescent="0.25">
      <c r="A1693" s="161" t="str">
        <f t="shared" si="28"/>
        <v>U_VENETIAN_GALLEASS</v>
      </c>
      <c r="B1693" s="9" t="s">
        <v>2383</v>
      </c>
      <c r="C1693" s="5"/>
      <c r="D1693" s="5"/>
      <c r="E1693" s="5" t="s">
        <v>1606</v>
      </c>
      <c r="F1693" s="5" t="s">
        <v>1606</v>
      </c>
      <c r="G1693" s="5"/>
      <c r="H1693" s="5" t="s">
        <v>1665</v>
      </c>
      <c r="I1693" s="5" t="s">
        <v>128</v>
      </c>
      <c r="J1693" s="6"/>
      <c r="K1693" s="7"/>
      <c r="L1693" s="13" t="s">
        <v>1712</v>
      </c>
      <c r="M1693" s="8"/>
      <c r="N1693" s="13" t="s">
        <v>1727</v>
      </c>
      <c r="O1693" s="13"/>
      <c r="P1693" s="13"/>
      <c r="Q1693" s="7">
        <v>1</v>
      </c>
      <c r="R1693" s="6" t="s">
        <v>1737</v>
      </c>
      <c r="S1693" s="5"/>
      <c r="T1693" s="6"/>
      <c r="U1693" s="6">
        <v>0.1</v>
      </c>
      <c r="V1693" s="5"/>
      <c r="W1693" s="6"/>
      <c r="X1693" s="6"/>
      <c r="Y1693" s="5"/>
      <c r="Z1693" s="6"/>
      <c r="AA1693" s="6"/>
      <c r="AB1693" s="5"/>
      <c r="AC1693" s="6"/>
      <c r="AD1693" s="6"/>
      <c r="AE1693" s="5"/>
      <c r="AF1693" s="6"/>
      <c r="AG1693" s="6"/>
      <c r="AH1693" s="5"/>
      <c r="AI1693" s="6"/>
      <c r="AJ1693" s="6"/>
      <c r="AK1693" s="5"/>
      <c r="AL1693" s="5"/>
      <c r="AM1693" s="5"/>
      <c r="AN1693" s="5"/>
      <c r="AO1693" s="5"/>
      <c r="AP1693" s="5"/>
      <c r="AQ1693" s="5"/>
    </row>
    <row r="1694" spans="1:43" x14ac:dyDescent="0.25">
      <c r="A1694" s="161" t="str">
        <f t="shared" si="28"/>
        <v>U_VENETIAN_MERCHANT</v>
      </c>
      <c r="B1694" s="9" t="s">
        <v>2384</v>
      </c>
      <c r="C1694" s="5"/>
      <c r="D1694" s="5"/>
      <c r="E1694" s="5" t="s">
        <v>1607</v>
      </c>
      <c r="F1694" s="5" t="s">
        <v>1607</v>
      </c>
      <c r="G1694" s="5"/>
      <c r="H1694" s="5" t="s">
        <v>1666</v>
      </c>
      <c r="I1694" s="5" t="s">
        <v>128</v>
      </c>
      <c r="J1694" s="6"/>
      <c r="K1694" s="6"/>
      <c r="L1694" s="13" t="s">
        <v>1712</v>
      </c>
      <c r="M1694" s="8"/>
      <c r="N1694" s="5"/>
      <c r="O1694" s="5"/>
      <c r="P1694" s="5"/>
      <c r="Q1694" s="7">
        <v>1</v>
      </c>
      <c r="R1694" s="6" t="s">
        <v>1695</v>
      </c>
      <c r="S1694" s="13" t="s">
        <v>1624</v>
      </c>
      <c r="T1694" s="6"/>
      <c r="U1694" s="6"/>
      <c r="V1694" s="5"/>
      <c r="W1694" s="6"/>
      <c r="X1694" s="6" t="s">
        <v>3</v>
      </c>
      <c r="Y1694" s="5"/>
      <c r="Z1694" s="6"/>
      <c r="AA1694" s="6"/>
      <c r="AB1694" s="5"/>
      <c r="AC1694" s="6"/>
      <c r="AD1694" s="6" t="s">
        <v>3</v>
      </c>
      <c r="AE1694" s="5"/>
      <c r="AF1694" s="6"/>
      <c r="AG1694" s="6"/>
      <c r="AH1694" s="5"/>
      <c r="AI1694" s="6"/>
      <c r="AJ1694" s="6"/>
      <c r="AK1694" s="5"/>
      <c r="AL1694" s="5"/>
      <c r="AM1694" s="5"/>
      <c r="AN1694" s="5"/>
      <c r="AO1694" s="5"/>
      <c r="AP1694" s="5"/>
      <c r="AQ1694" s="5"/>
    </row>
    <row r="1695" spans="1:43" x14ac:dyDescent="0.25">
      <c r="A1695" s="161" t="str">
        <f t="shared" si="28"/>
        <v>U_ZULU_IMPI_WARRIOR</v>
      </c>
      <c r="B1695" s="9" t="s">
        <v>2336</v>
      </c>
      <c r="C1695" s="5"/>
      <c r="D1695" s="5"/>
      <c r="E1695" s="5" t="s">
        <v>1608</v>
      </c>
      <c r="F1695" s="5" t="s">
        <v>1608</v>
      </c>
      <c r="G1695" s="5"/>
      <c r="H1695" s="5" t="s">
        <v>1667</v>
      </c>
      <c r="I1695" s="5" t="s">
        <v>128</v>
      </c>
      <c r="J1695" s="6"/>
      <c r="K1695" s="6"/>
      <c r="L1695" s="13" t="s">
        <v>1708</v>
      </c>
      <c r="M1695" s="8"/>
      <c r="N1695" s="5"/>
      <c r="O1695" s="5"/>
      <c r="P1695" s="5"/>
      <c r="Q1695" s="7">
        <v>4</v>
      </c>
      <c r="R1695" s="6" t="s">
        <v>1737</v>
      </c>
      <c r="S1695" s="13" t="s">
        <v>1620</v>
      </c>
      <c r="T1695" s="6"/>
      <c r="U1695" s="7" t="s">
        <v>1695</v>
      </c>
      <c r="V1695" s="5"/>
      <c r="W1695" s="7" t="s">
        <v>3</v>
      </c>
      <c r="X1695" s="6" t="s">
        <v>3</v>
      </c>
      <c r="Y1695" s="5"/>
      <c r="Z1695" s="7">
        <v>1</v>
      </c>
      <c r="AA1695" s="6"/>
      <c r="AB1695" s="5"/>
      <c r="AC1695" s="6"/>
      <c r="AD1695" s="6" t="s">
        <v>3</v>
      </c>
      <c r="AE1695" s="5"/>
      <c r="AF1695" s="7">
        <v>1</v>
      </c>
      <c r="AG1695" s="6"/>
      <c r="AH1695" s="5"/>
      <c r="AI1695" s="6">
        <v>3</v>
      </c>
      <c r="AJ1695" s="6"/>
      <c r="AK1695" s="5"/>
      <c r="AL1695" s="5"/>
      <c r="AM1695" s="5"/>
      <c r="AN1695" s="5"/>
      <c r="AO1695" s="5"/>
      <c r="AP1695" s="5"/>
      <c r="AQ1695" s="5"/>
    </row>
    <row r="1696" spans="1:43" x14ac:dyDescent="0.25">
      <c r="A1696" s="161" t="str">
        <f t="shared" si="28"/>
        <v>U_ZULU_IMPI_WARRIOR</v>
      </c>
      <c r="B1696" s="9" t="s">
        <v>2336</v>
      </c>
      <c r="C1696" s="5"/>
      <c r="D1696" s="5"/>
      <c r="E1696" s="5" t="s">
        <v>1608</v>
      </c>
      <c r="F1696" s="5" t="s">
        <v>1608</v>
      </c>
      <c r="G1696" s="5" t="s">
        <v>2047</v>
      </c>
      <c r="H1696" s="5" t="s">
        <v>1668</v>
      </c>
      <c r="I1696" s="5" t="s">
        <v>128</v>
      </c>
      <c r="J1696" s="6"/>
      <c r="K1696" s="6"/>
      <c r="L1696" s="13" t="s">
        <v>1708</v>
      </c>
      <c r="M1696" s="8"/>
      <c r="N1696" s="5"/>
      <c r="O1696" s="5"/>
      <c r="P1696" s="5"/>
      <c r="Q1696" s="7">
        <v>3</v>
      </c>
      <c r="R1696" s="6" t="s">
        <v>1737</v>
      </c>
      <c r="S1696" s="13" t="s">
        <v>1620</v>
      </c>
      <c r="T1696" s="6"/>
      <c r="U1696" s="7" t="s">
        <v>1695</v>
      </c>
      <c r="V1696" s="5"/>
      <c r="W1696" s="7" t="s">
        <v>3</v>
      </c>
      <c r="X1696" s="6" t="s">
        <v>3</v>
      </c>
      <c r="Y1696" s="5"/>
      <c r="Z1696" s="7">
        <v>0</v>
      </c>
      <c r="AA1696" s="6"/>
      <c r="AB1696" s="5"/>
      <c r="AC1696" s="6"/>
      <c r="AD1696" s="6" t="s">
        <v>3</v>
      </c>
      <c r="AE1696" s="5"/>
      <c r="AF1696" s="7">
        <v>1</v>
      </c>
      <c r="AG1696" s="6"/>
      <c r="AH1696" s="5"/>
      <c r="AI1696" s="6">
        <v>2</v>
      </c>
      <c r="AJ1696" s="6"/>
      <c r="AK1696" s="5"/>
      <c r="AL1696" s="5"/>
      <c r="AM1696" s="5"/>
      <c r="AN1696" s="5"/>
      <c r="AO1696" s="5"/>
      <c r="AP1696" s="5"/>
      <c r="AQ1696" s="5"/>
    </row>
    <row r="1697" spans="1:43" x14ac:dyDescent="0.25">
      <c r="A1697" s="161" t="str">
        <f t="shared" si="28"/>
        <v>U_ZULU_IMPI_WARRIOR</v>
      </c>
      <c r="B1697" s="9" t="s">
        <v>2336</v>
      </c>
      <c r="C1697" s="5"/>
      <c r="D1697" s="5"/>
      <c r="E1697" s="5" t="s">
        <v>1608</v>
      </c>
      <c r="F1697" s="5" t="s">
        <v>1608</v>
      </c>
      <c r="G1697" s="5" t="s">
        <v>2049</v>
      </c>
      <c r="H1697" s="5" t="s">
        <v>1669</v>
      </c>
      <c r="I1697" s="5" t="s">
        <v>128</v>
      </c>
      <c r="J1697" s="6"/>
      <c r="K1697" s="6"/>
      <c r="L1697" s="13" t="s">
        <v>1708</v>
      </c>
      <c r="M1697" s="8"/>
      <c r="N1697" s="5"/>
      <c r="O1697" s="5"/>
      <c r="P1697" s="5"/>
      <c r="Q1697" s="7">
        <v>5</v>
      </c>
      <c r="R1697" s="6" t="s">
        <v>1737</v>
      </c>
      <c r="S1697" s="13" t="s">
        <v>1620</v>
      </c>
      <c r="T1697" s="6"/>
      <c r="U1697" s="7" t="s">
        <v>1695</v>
      </c>
      <c r="V1697" s="5"/>
      <c r="W1697" s="7" t="s">
        <v>3</v>
      </c>
      <c r="X1697" s="6" t="s">
        <v>3</v>
      </c>
      <c r="Y1697" s="5"/>
      <c r="Z1697" s="7">
        <v>0</v>
      </c>
      <c r="AA1697" s="6"/>
      <c r="AB1697" s="5"/>
      <c r="AC1697" s="6"/>
      <c r="AD1697" s="6" t="s">
        <v>3</v>
      </c>
      <c r="AE1697" s="5"/>
      <c r="AF1697" s="7">
        <v>1</v>
      </c>
      <c r="AG1697" s="6"/>
      <c r="AH1697" s="5"/>
      <c r="AI1697" s="6">
        <v>2</v>
      </c>
      <c r="AJ1697" s="6"/>
      <c r="AK1697" s="5"/>
      <c r="AL1697" s="5"/>
      <c r="AM1697" s="5"/>
      <c r="AN1697" s="5"/>
      <c r="AO1697" s="5"/>
      <c r="AP1697" s="5"/>
      <c r="AQ1697" s="5"/>
    </row>
    <row r="1698" spans="1:43" x14ac:dyDescent="0.25">
      <c r="A1698" s="161" t="str">
        <f t="shared" si="28"/>
        <v>UNION_ARTILLERY_NAPOLEON</v>
      </c>
      <c r="C1698" s="5"/>
      <c r="D1698" s="5"/>
      <c r="E1698" s="5" t="s">
        <v>1379</v>
      </c>
      <c r="F1698" s="5" t="s">
        <v>1379</v>
      </c>
      <c r="G1698" s="5"/>
      <c r="H1698" s="5" t="s">
        <v>1532</v>
      </c>
      <c r="I1698" s="5" t="s">
        <v>128</v>
      </c>
      <c r="J1698" s="6"/>
      <c r="K1698" s="6"/>
      <c r="L1698" s="13" t="s">
        <v>746</v>
      </c>
      <c r="M1698" s="8"/>
      <c r="N1698" s="5"/>
      <c r="O1698" s="5"/>
      <c r="P1698" s="5"/>
      <c r="Q1698" s="7">
        <v>3</v>
      </c>
      <c r="R1698" s="6" t="s">
        <v>1695</v>
      </c>
      <c r="S1698" s="13" t="s">
        <v>1613</v>
      </c>
      <c r="T1698" s="6"/>
      <c r="U1698" s="7" t="s">
        <v>1695</v>
      </c>
      <c r="V1698" s="5"/>
      <c r="W1698" s="6" t="s">
        <v>3</v>
      </c>
      <c r="X1698" s="6" t="s">
        <v>3</v>
      </c>
      <c r="Y1698" s="5"/>
      <c r="Z1698" s="7">
        <v>1</v>
      </c>
      <c r="AA1698" s="6"/>
      <c r="AB1698" s="5"/>
      <c r="AC1698" s="6"/>
      <c r="AD1698" s="6" t="s">
        <v>3</v>
      </c>
      <c r="AE1698" s="5"/>
      <c r="AF1698" s="6"/>
      <c r="AG1698" s="6"/>
      <c r="AH1698" s="5"/>
      <c r="AI1698" s="6"/>
      <c r="AJ1698" s="6"/>
      <c r="AK1698" s="5"/>
      <c r="AL1698" s="5"/>
      <c r="AM1698" s="5"/>
      <c r="AN1698" s="5"/>
      <c r="AO1698" s="5"/>
      <c r="AP1698" s="5"/>
      <c r="AQ1698" s="5"/>
    </row>
    <row r="1699" spans="1:43" x14ac:dyDescent="0.25">
      <c r="A1699" s="161" t="str">
        <f t="shared" si="28"/>
        <v>UNION_ARTILLERY_PARROTT</v>
      </c>
      <c r="C1699" s="5"/>
      <c r="D1699" s="5"/>
      <c r="E1699" s="5" t="s">
        <v>1380</v>
      </c>
      <c r="F1699" s="5" t="s">
        <v>1380</v>
      </c>
      <c r="G1699" s="5"/>
      <c r="H1699" s="5" t="s">
        <v>1533</v>
      </c>
      <c r="I1699" s="5" t="s">
        <v>128</v>
      </c>
      <c r="J1699" s="6"/>
      <c r="K1699" s="6"/>
      <c r="L1699" s="13" t="s">
        <v>746</v>
      </c>
      <c r="M1699" s="8"/>
      <c r="N1699" s="5"/>
      <c r="O1699" s="5"/>
      <c r="P1699" s="5"/>
      <c r="Q1699" s="7">
        <v>3</v>
      </c>
      <c r="R1699" s="6" t="s">
        <v>1695</v>
      </c>
      <c r="S1699" s="13" t="s">
        <v>1613</v>
      </c>
      <c r="T1699" s="6"/>
      <c r="U1699" s="7" t="s">
        <v>1695</v>
      </c>
      <c r="V1699" s="5"/>
      <c r="W1699" s="6" t="s">
        <v>3</v>
      </c>
      <c r="X1699" s="6" t="s">
        <v>3</v>
      </c>
      <c r="Y1699" s="5"/>
      <c r="Z1699" s="7">
        <v>1</v>
      </c>
      <c r="AA1699" s="6"/>
      <c r="AB1699" s="5"/>
      <c r="AC1699" s="6"/>
      <c r="AD1699" s="6" t="s">
        <v>3</v>
      </c>
      <c r="AE1699" s="5"/>
      <c r="AF1699" s="6"/>
      <c r="AG1699" s="6"/>
      <c r="AH1699" s="5"/>
      <c r="AI1699" s="6"/>
      <c r="AJ1699" s="6"/>
      <c r="AK1699" s="5"/>
      <c r="AL1699" s="5"/>
      <c r="AM1699" s="5"/>
      <c r="AN1699" s="5"/>
      <c r="AO1699" s="5"/>
      <c r="AP1699" s="5"/>
      <c r="AQ1699" s="5"/>
    </row>
    <row r="1700" spans="1:43" x14ac:dyDescent="0.25">
      <c r="A1700" s="161" t="str">
        <f t="shared" si="28"/>
        <v>UNION_CAVALRY_CARBINE</v>
      </c>
      <c r="C1700" s="5"/>
      <c r="D1700" s="5"/>
      <c r="E1700" s="5" t="s">
        <v>1381</v>
      </c>
      <c r="F1700" s="5" t="s">
        <v>1381</v>
      </c>
      <c r="G1700" s="5"/>
      <c r="H1700" s="5" t="s">
        <v>1534</v>
      </c>
      <c r="I1700" s="5" t="s">
        <v>128</v>
      </c>
      <c r="J1700" s="6"/>
      <c r="K1700" s="6"/>
      <c r="L1700" s="13" t="s">
        <v>1714</v>
      </c>
      <c r="M1700" s="8"/>
      <c r="N1700" s="5"/>
      <c r="O1700" s="5"/>
      <c r="P1700" s="5"/>
      <c r="Q1700" s="7" t="s">
        <v>1695</v>
      </c>
      <c r="R1700" s="6" t="s">
        <v>1695</v>
      </c>
      <c r="S1700" s="13" t="s">
        <v>1695</v>
      </c>
      <c r="T1700" s="6"/>
      <c r="U1700" s="7" t="s">
        <v>1695</v>
      </c>
      <c r="V1700" s="5"/>
      <c r="W1700" s="6" t="s">
        <v>3</v>
      </c>
      <c r="X1700" s="6" t="s">
        <v>3</v>
      </c>
      <c r="Y1700" s="5"/>
      <c r="Z1700" s="7">
        <v>1</v>
      </c>
      <c r="AA1700" s="6"/>
      <c r="AB1700" s="5"/>
      <c r="AC1700" s="6"/>
      <c r="AD1700" s="6" t="s">
        <v>3</v>
      </c>
      <c r="AE1700" s="5"/>
      <c r="AF1700" s="7" t="s">
        <v>1695</v>
      </c>
      <c r="AG1700" s="6"/>
      <c r="AH1700" s="5"/>
      <c r="AI1700" s="6"/>
      <c r="AJ1700" s="6"/>
      <c r="AK1700" s="5"/>
      <c r="AL1700" s="5"/>
      <c r="AM1700" s="5"/>
      <c r="AN1700" s="5"/>
      <c r="AO1700" s="5"/>
      <c r="AP1700" s="5"/>
      <c r="AQ1700" s="5"/>
    </row>
    <row r="1701" spans="1:43" x14ac:dyDescent="0.25">
      <c r="A1701" s="161" t="str">
        <f t="shared" si="28"/>
        <v>UNION_CAVALRY_PISTOL</v>
      </c>
      <c r="C1701" s="5"/>
      <c r="D1701" s="5"/>
      <c r="E1701" s="5" t="s">
        <v>1382</v>
      </c>
      <c r="F1701" s="5" t="s">
        <v>1382</v>
      </c>
      <c r="G1701" s="5"/>
      <c r="H1701" s="5" t="s">
        <v>1535</v>
      </c>
      <c r="I1701" s="5" t="s">
        <v>128</v>
      </c>
      <c r="J1701" s="6"/>
      <c r="K1701" s="6"/>
      <c r="L1701" s="13" t="s">
        <v>1714</v>
      </c>
      <c r="M1701" s="8"/>
      <c r="N1701" s="5"/>
      <c r="O1701" s="5"/>
      <c r="P1701" s="5"/>
      <c r="Q1701" s="7" t="s">
        <v>1695</v>
      </c>
      <c r="R1701" s="6" t="s">
        <v>1695</v>
      </c>
      <c r="S1701" s="13" t="s">
        <v>1695</v>
      </c>
      <c r="T1701" s="6"/>
      <c r="U1701" s="7" t="s">
        <v>1695</v>
      </c>
      <c r="V1701" s="5"/>
      <c r="W1701" s="7" t="s">
        <v>3</v>
      </c>
      <c r="X1701" s="6" t="s">
        <v>3</v>
      </c>
      <c r="Y1701" s="5"/>
      <c r="Z1701" s="7">
        <v>1</v>
      </c>
      <c r="AA1701" s="6"/>
      <c r="AB1701" s="5"/>
      <c r="AC1701" s="6"/>
      <c r="AD1701" s="6" t="s">
        <v>3</v>
      </c>
      <c r="AE1701" s="5"/>
      <c r="AF1701" s="7" t="s">
        <v>1695</v>
      </c>
      <c r="AG1701" s="6"/>
      <c r="AH1701" s="5"/>
      <c r="AI1701" s="6"/>
      <c r="AJ1701" s="6"/>
      <c r="AK1701" s="5"/>
      <c r="AL1701" s="5"/>
      <c r="AM1701" s="5"/>
      <c r="AN1701" s="5"/>
      <c r="AO1701" s="5"/>
      <c r="AP1701" s="5"/>
      <c r="AQ1701" s="5"/>
    </row>
    <row r="1702" spans="1:43" x14ac:dyDescent="0.25">
      <c r="A1702" s="161" t="str">
        <f t="shared" si="28"/>
        <v>UNION_CORPS</v>
      </c>
      <c r="C1702" s="5"/>
      <c r="D1702" s="5"/>
      <c r="E1702" s="5" t="s">
        <v>1383</v>
      </c>
      <c r="F1702" s="5" t="s">
        <v>1539</v>
      </c>
      <c r="G1702" s="5"/>
      <c r="H1702" s="5" t="s">
        <v>1538</v>
      </c>
      <c r="I1702" s="5" t="s">
        <v>128</v>
      </c>
      <c r="J1702" s="6"/>
      <c r="K1702" s="6"/>
      <c r="L1702" s="13" t="s">
        <v>1708</v>
      </c>
      <c r="M1702" s="8"/>
      <c r="N1702" s="5"/>
      <c r="O1702" s="5"/>
      <c r="P1702" s="5"/>
      <c r="Q1702" s="7">
        <v>14</v>
      </c>
      <c r="R1702" s="6" t="s">
        <v>1737</v>
      </c>
      <c r="S1702" s="13" t="s">
        <v>1619</v>
      </c>
      <c r="T1702" s="6"/>
      <c r="U1702" s="7" t="s">
        <v>1737</v>
      </c>
      <c r="V1702" s="5"/>
      <c r="W1702" s="7" t="s">
        <v>3</v>
      </c>
      <c r="X1702" s="6" t="s">
        <v>3</v>
      </c>
      <c r="Y1702" s="5"/>
      <c r="Z1702" s="7">
        <v>2</v>
      </c>
      <c r="AA1702" s="6"/>
      <c r="AB1702" s="5"/>
      <c r="AC1702" s="6"/>
      <c r="AD1702" s="6" t="s">
        <v>3</v>
      </c>
      <c r="AE1702" s="5"/>
      <c r="AF1702" s="7">
        <v>4</v>
      </c>
      <c r="AG1702" s="6"/>
      <c r="AH1702" s="5"/>
      <c r="AI1702" s="6">
        <v>8</v>
      </c>
      <c r="AJ1702" s="6"/>
      <c r="AK1702" s="5"/>
      <c r="AL1702" s="5"/>
      <c r="AM1702" s="5"/>
      <c r="AN1702" s="5"/>
      <c r="AO1702" s="5"/>
      <c r="AP1702" s="5"/>
      <c r="AQ1702" s="5"/>
    </row>
    <row r="1703" spans="1:43" x14ac:dyDescent="0.25">
      <c r="A1703" s="161" t="str">
        <f t="shared" si="28"/>
        <v>UNION_DIVISION</v>
      </c>
      <c r="C1703" s="5"/>
      <c r="D1703" s="5"/>
      <c r="E1703" s="5" t="s">
        <v>1384</v>
      </c>
      <c r="F1703" s="5" t="s">
        <v>1539</v>
      </c>
      <c r="G1703" s="5"/>
      <c r="H1703" s="5" t="s">
        <v>1538</v>
      </c>
      <c r="I1703" s="5" t="s">
        <v>128</v>
      </c>
      <c r="J1703" s="6"/>
      <c r="K1703" s="6"/>
      <c r="L1703" s="13" t="s">
        <v>1708</v>
      </c>
      <c r="M1703" s="8"/>
      <c r="N1703" s="5"/>
      <c r="O1703" s="5"/>
      <c r="P1703" s="5"/>
      <c r="Q1703" s="7">
        <v>7</v>
      </c>
      <c r="R1703" s="6" t="s">
        <v>1737</v>
      </c>
      <c r="S1703" s="13" t="s">
        <v>1619</v>
      </c>
      <c r="T1703" s="6"/>
      <c r="U1703" s="7" t="s">
        <v>1737</v>
      </c>
      <c r="V1703" s="5"/>
      <c r="W1703" s="7" t="s">
        <v>3</v>
      </c>
      <c r="X1703" s="6" t="s">
        <v>3</v>
      </c>
      <c r="Y1703" s="5"/>
      <c r="Z1703" s="7">
        <v>1</v>
      </c>
      <c r="AA1703" s="6"/>
      <c r="AB1703" s="5"/>
      <c r="AC1703" s="6"/>
      <c r="AD1703" s="6" t="s">
        <v>3</v>
      </c>
      <c r="AE1703" s="5"/>
      <c r="AF1703" s="7">
        <v>2</v>
      </c>
      <c r="AG1703" s="6"/>
      <c r="AH1703" s="5"/>
      <c r="AI1703" s="6">
        <v>5</v>
      </c>
      <c r="AJ1703" s="6"/>
      <c r="AK1703" s="5"/>
      <c r="AL1703" s="5"/>
      <c r="AM1703" s="5"/>
      <c r="AN1703" s="5"/>
      <c r="AO1703" s="5"/>
      <c r="AP1703" s="5"/>
      <c r="AQ1703" s="5"/>
    </row>
    <row r="1704" spans="1:43" x14ac:dyDescent="0.25">
      <c r="A1704" s="161" t="str">
        <f t="shared" si="28"/>
        <v>UNION_GENERAL</v>
      </c>
      <c r="C1704" s="5"/>
      <c r="D1704" s="5"/>
      <c r="E1704" s="5" t="s">
        <v>1385</v>
      </c>
      <c r="F1704" s="5" t="s">
        <v>1387</v>
      </c>
      <c r="G1704" s="5"/>
      <c r="H1704" s="5" t="s">
        <v>1536</v>
      </c>
      <c r="I1704" s="5" t="s">
        <v>128</v>
      </c>
      <c r="J1704" s="6"/>
      <c r="K1704" s="6"/>
      <c r="L1704" s="13" t="s">
        <v>1708</v>
      </c>
      <c r="M1704" s="8"/>
      <c r="N1704" s="5"/>
      <c r="O1704" s="5"/>
      <c r="P1704" s="5"/>
      <c r="Q1704" s="7">
        <v>1</v>
      </c>
      <c r="R1704" s="6" t="s">
        <v>1695</v>
      </c>
      <c r="S1704" s="13" t="s">
        <v>1620</v>
      </c>
      <c r="T1704" s="6"/>
      <c r="U1704" s="7" t="s">
        <v>1737</v>
      </c>
      <c r="V1704" s="5"/>
      <c r="W1704" s="6"/>
      <c r="X1704" s="6" t="s">
        <v>3</v>
      </c>
      <c r="Y1704" s="5"/>
      <c r="Z1704" s="6"/>
      <c r="AA1704" s="6"/>
      <c r="AB1704" s="5"/>
      <c r="AC1704" s="6"/>
      <c r="AD1704" s="6" t="s">
        <v>3</v>
      </c>
      <c r="AE1704" s="5"/>
      <c r="AF1704" s="6"/>
      <c r="AG1704" s="6"/>
      <c r="AH1704" s="5"/>
      <c r="AI1704" s="6"/>
      <c r="AJ1704" s="6"/>
      <c r="AK1704" s="5"/>
      <c r="AL1704" s="5"/>
      <c r="AM1704" s="5"/>
      <c r="AN1704" s="5"/>
      <c r="AO1704" s="5"/>
      <c r="AP1704" s="5"/>
      <c r="AQ1704" s="5"/>
    </row>
    <row r="1705" spans="1:43" x14ac:dyDescent="0.25">
      <c r="A1705" s="161" t="str">
        <f t="shared" si="28"/>
        <v>UNION_IRONCLAD</v>
      </c>
      <c r="C1705" s="5"/>
      <c r="D1705" s="5"/>
      <c r="E1705" s="5" t="s">
        <v>1386</v>
      </c>
      <c r="F1705" s="5" t="s">
        <v>1386</v>
      </c>
      <c r="G1705" s="5"/>
      <c r="H1705" s="5" t="s">
        <v>1537</v>
      </c>
      <c r="I1705" s="5" t="s">
        <v>128</v>
      </c>
      <c r="J1705" s="6"/>
      <c r="K1705" s="7"/>
      <c r="L1705" s="13" t="s">
        <v>1713</v>
      </c>
      <c r="M1705" s="8"/>
      <c r="N1705" s="13" t="s">
        <v>1727</v>
      </c>
      <c r="O1705" s="13"/>
      <c r="P1705" s="13"/>
      <c r="Q1705" s="7">
        <v>1</v>
      </c>
      <c r="R1705" s="6" t="s">
        <v>1695</v>
      </c>
      <c r="S1705" s="5"/>
      <c r="T1705" s="6"/>
      <c r="U1705" s="7"/>
      <c r="V1705" s="5"/>
      <c r="W1705" s="7" t="s">
        <v>3</v>
      </c>
      <c r="X1705" s="6"/>
      <c r="Y1705" s="5"/>
      <c r="Z1705" s="6"/>
      <c r="AA1705" s="6"/>
      <c r="AB1705" s="5"/>
      <c r="AC1705" s="6"/>
      <c r="AD1705" s="6"/>
      <c r="AE1705" s="5"/>
      <c r="AF1705" s="6"/>
      <c r="AG1705" s="6"/>
      <c r="AH1705" s="5"/>
      <c r="AI1705" s="6"/>
      <c r="AJ1705" s="6"/>
      <c r="AK1705" s="5"/>
      <c r="AL1705" s="5"/>
      <c r="AM1705" s="5"/>
      <c r="AN1705" s="5"/>
      <c r="AO1705" s="5"/>
      <c r="AP1705" s="5"/>
      <c r="AQ1705" s="5"/>
    </row>
    <row r="1706" spans="1:43" x14ac:dyDescent="0.25">
      <c r="A1706" s="161" t="str">
        <f t="shared" si="28"/>
        <v>WORKBOAT</v>
      </c>
      <c r="B1706" s="9" t="s">
        <v>1388</v>
      </c>
      <c r="C1706" s="5"/>
      <c r="D1706" s="5"/>
      <c r="E1706" s="5" t="s">
        <v>1388</v>
      </c>
      <c r="F1706" s="5" t="s">
        <v>1388</v>
      </c>
      <c r="G1706" s="5"/>
      <c r="H1706" s="5" t="s">
        <v>4</v>
      </c>
      <c r="I1706" s="5" t="s">
        <v>128</v>
      </c>
      <c r="J1706" s="6">
        <v>1</v>
      </c>
      <c r="K1706" s="7"/>
      <c r="L1706" s="13" t="s">
        <v>1712</v>
      </c>
      <c r="M1706" s="8"/>
      <c r="N1706" s="13" t="s">
        <v>1727</v>
      </c>
      <c r="O1706" s="13"/>
      <c r="P1706" s="13"/>
      <c r="Q1706" s="7">
        <v>1</v>
      </c>
      <c r="R1706" s="6">
        <v>7.0000000000000007E-2</v>
      </c>
      <c r="S1706" s="5"/>
      <c r="T1706" s="7">
        <v>3</v>
      </c>
      <c r="U1706" s="6">
        <v>5.5E-2</v>
      </c>
      <c r="V1706" s="5" t="s">
        <v>1696</v>
      </c>
      <c r="W1706" s="6"/>
      <c r="X1706" s="6"/>
      <c r="Y1706" s="5"/>
      <c r="Z1706" s="6"/>
      <c r="AA1706" s="6"/>
      <c r="AB1706" s="5"/>
      <c r="AC1706" s="6"/>
      <c r="AD1706" s="6"/>
      <c r="AE1706" s="5"/>
      <c r="AF1706" s="6"/>
      <c r="AG1706" s="6"/>
      <c r="AH1706" s="5"/>
      <c r="AI1706" s="6"/>
      <c r="AJ1706" s="6"/>
      <c r="AK1706" s="5"/>
      <c r="AL1706" s="5"/>
      <c r="AM1706" s="5"/>
      <c r="AN1706" s="5"/>
      <c r="AO1706" s="5"/>
      <c r="AP1706" s="5"/>
      <c r="AQ1706" s="5"/>
    </row>
    <row r="1707" spans="1:43" x14ac:dyDescent="0.25">
      <c r="A1707" s="161" t="str">
        <f t="shared" si="28"/>
        <v>WORKBOAT_LATE</v>
      </c>
      <c r="B1707" s="9" t="s">
        <v>1388</v>
      </c>
      <c r="C1707" s="5"/>
      <c r="D1707" s="5"/>
      <c r="E1707" s="5" t="s">
        <v>1389</v>
      </c>
      <c r="F1707" s="5" t="s">
        <v>1390</v>
      </c>
      <c r="G1707" s="5"/>
      <c r="H1707" s="5" t="s">
        <v>1542</v>
      </c>
      <c r="I1707" s="5" t="s">
        <v>128</v>
      </c>
      <c r="J1707" s="6"/>
      <c r="K1707" s="7"/>
      <c r="L1707" s="13" t="s">
        <v>1712</v>
      </c>
      <c r="M1707" s="8"/>
      <c r="N1707" s="13" t="s">
        <v>1727</v>
      </c>
      <c r="O1707" s="13"/>
      <c r="P1707" s="13"/>
      <c r="Q1707" s="7">
        <v>1</v>
      </c>
      <c r="R1707" s="6">
        <v>7.0000000000000007E-2</v>
      </c>
      <c r="S1707" s="5"/>
      <c r="T1707" s="7">
        <v>2</v>
      </c>
      <c r="U1707" s="6">
        <v>5.7000000000000002E-2</v>
      </c>
      <c r="V1707" s="5" t="s">
        <v>1696</v>
      </c>
      <c r="W1707" s="6"/>
      <c r="X1707" s="6"/>
      <c r="Y1707" s="5"/>
      <c r="Z1707" s="6"/>
      <c r="AA1707" s="6"/>
      <c r="AB1707" s="5"/>
      <c r="AC1707" s="6"/>
      <c r="AD1707" s="6"/>
      <c r="AE1707" s="5"/>
      <c r="AF1707" s="6"/>
      <c r="AG1707" s="6"/>
      <c r="AH1707" s="5"/>
      <c r="AI1707" s="6"/>
      <c r="AJ1707" s="6"/>
      <c r="AK1707" s="5"/>
      <c r="AL1707" s="5"/>
      <c r="AM1707" s="5"/>
      <c r="AN1707" s="5"/>
      <c r="AO1707" s="5"/>
      <c r="AP1707" s="5"/>
      <c r="AQ1707" s="5"/>
    </row>
    <row r="1708" spans="1:43" x14ac:dyDescent="0.25">
      <c r="A1708" s="161" t="str">
        <f t="shared" si="28"/>
        <v>WW1_BOMBER</v>
      </c>
      <c r="B1708" s="9" t="s">
        <v>2401</v>
      </c>
      <c r="C1708" s="5"/>
      <c r="D1708" s="5"/>
      <c r="E1708" s="5" t="s">
        <v>778</v>
      </c>
      <c r="F1708" s="5" t="s">
        <v>778</v>
      </c>
      <c r="G1708" s="5"/>
      <c r="H1708" s="5" t="s">
        <v>1160</v>
      </c>
      <c r="I1708" s="5" t="s">
        <v>128</v>
      </c>
      <c r="J1708" s="6"/>
      <c r="K1708" s="7"/>
      <c r="L1708" s="13" t="s">
        <v>1711</v>
      </c>
      <c r="M1708" s="8">
        <v>1.5</v>
      </c>
      <c r="N1708" s="13" t="s">
        <v>1725</v>
      </c>
      <c r="O1708" s="13"/>
      <c r="P1708" s="13"/>
      <c r="Q1708" s="7">
        <v>1</v>
      </c>
      <c r="R1708" s="6">
        <v>0.08</v>
      </c>
      <c r="S1708" s="13" t="s">
        <v>1615</v>
      </c>
      <c r="T1708" s="7">
        <v>2</v>
      </c>
      <c r="U1708" s="6">
        <v>7.4999999999999997E-2</v>
      </c>
      <c r="V1708" s="5"/>
      <c r="W1708" s="6" t="s">
        <v>3</v>
      </c>
      <c r="X1708" s="6" t="s">
        <v>3</v>
      </c>
      <c r="Y1708" s="5"/>
      <c r="Z1708" s="6"/>
      <c r="AA1708" s="6"/>
      <c r="AB1708" s="5"/>
      <c r="AC1708" s="6"/>
      <c r="AD1708" s="6" t="s">
        <v>3</v>
      </c>
      <c r="AE1708" s="5"/>
      <c r="AF1708" s="6"/>
      <c r="AG1708" s="6"/>
      <c r="AH1708" s="5"/>
      <c r="AI1708" s="6"/>
      <c r="AJ1708" s="6"/>
      <c r="AK1708" s="5"/>
      <c r="AL1708" s="5"/>
      <c r="AM1708" s="5"/>
      <c r="AN1708" s="5"/>
      <c r="AO1708" s="5"/>
      <c r="AP1708" s="5"/>
      <c r="AQ1708" s="5"/>
    </row>
    <row r="1709" spans="1:43" x14ac:dyDescent="0.25">
      <c r="A1709" s="161" t="str">
        <f t="shared" si="28"/>
        <v>WW1_BOMBER_AUSTRALIA</v>
      </c>
      <c r="B1709" s="9" t="s">
        <v>2401</v>
      </c>
      <c r="C1709" s="5" t="s">
        <v>1302</v>
      </c>
      <c r="D1709" s="5" t="s">
        <v>713</v>
      </c>
      <c r="E1709" s="5" t="s">
        <v>778</v>
      </c>
      <c r="F1709" s="5" t="s">
        <v>778</v>
      </c>
      <c r="G1709" s="5"/>
      <c r="H1709" s="5"/>
      <c r="I1709" s="5"/>
      <c r="J1709" s="6"/>
      <c r="K1709" s="7"/>
      <c r="L1709" s="13"/>
      <c r="M1709" s="8"/>
      <c r="N1709" s="13"/>
      <c r="O1709" s="13"/>
      <c r="P1709" s="13"/>
      <c r="Q1709" s="7"/>
      <c r="R1709" s="6"/>
      <c r="S1709" s="13"/>
      <c r="T1709" s="7"/>
      <c r="U1709" s="6"/>
      <c r="V1709" s="5"/>
      <c r="W1709" s="6"/>
      <c r="X1709" s="6"/>
      <c r="Y1709" s="5"/>
      <c r="Z1709" s="6"/>
      <c r="AA1709" s="6"/>
      <c r="AB1709" s="5"/>
      <c r="AC1709" s="6"/>
      <c r="AD1709" s="6"/>
      <c r="AE1709" s="5"/>
      <c r="AF1709" s="6"/>
      <c r="AG1709" s="6"/>
      <c r="AH1709" s="5"/>
      <c r="AI1709" s="6"/>
      <c r="AJ1709" s="6"/>
      <c r="AK1709" s="5"/>
      <c r="AL1709" s="5"/>
      <c r="AM1709" s="5"/>
      <c r="AN1709" s="5"/>
      <c r="AO1709" s="5"/>
      <c r="AP1709" s="5"/>
      <c r="AQ1709" s="5"/>
    </row>
    <row r="1710" spans="1:43" x14ac:dyDescent="0.25">
      <c r="A1710" s="161" t="str">
        <f t="shared" si="28"/>
        <v>WW1_BOMBER_CANADA</v>
      </c>
      <c r="B1710" s="9" t="s">
        <v>2401</v>
      </c>
      <c r="C1710" s="5" t="s">
        <v>2223</v>
      </c>
      <c r="D1710" s="5" t="s">
        <v>713</v>
      </c>
      <c r="E1710" s="5" t="s">
        <v>778</v>
      </c>
      <c r="F1710" s="5" t="s">
        <v>778</v>
      </c>
      <c r="G1710" s="5"/>
      <c r="H1710" s="5"/>
      <c r="I1710" s="5"/>
      <c r="J1710" s="6"/>
      <c r="K1710" s="7"/>
      <c r="L1710" s="13"/>
      <c r="M1710" s="8"/>
      <c r="N1710" s="13"/>
      <c r="O1710" s="13"/>
      <c r="P1710" s="13"/>
      <c r="Q1710" s="7"/>
      <c r="R1710" s="6"/>
      <c r="S1710" s="13"/>
      <c r="T1710" s="7"/>
      <c r="U1710" s="6"/>
      <c r="V1710" s="5"/>
      <c r="W1710" s="6"/>
      <c r="X1710" s="6"/>
      <c r="Y1710" s="5"/>
      <c r="Z1710" s="6"/>
      <c r="AA1710" s="6"/>
      <c r="AB1710" s="5"/>
      <c r="AC1710" s="6"/>
      <c r="AD1710" s="6"/>
      <c r="AE1710" s="5"/>
      <c r="AF1710" s="6"/>
      <c r="AG1710" s="6"/>
      <c r="AH1710" s="5"/>
      <c r="AI1710" s="6"/>
      <c r="AJ1710" s="6"/>
      <c r="AK1710" s="5"/>
      <c r="AL1710" s="5"/>
      <c r="AM1710" s="5"/>
      <c r="AN1710" s="5"/>
      <c r="AO1710" s="5"/>
      <c r="AP1710" s="5"/>
      <c r="AQ1710" s="5"/>
    </row>
    <row r="1711" spans="1:43" x14ac:dyDescent="0.25">
      <c r="A1711" s="161" t="str">
        <f t="shared" si="28"/>
        <v>WW1_BOMBER_CELTS</v>
      </c>
      <c r="B1711" s="9" t="s">
        <v>2401</v>
      </c>
      <c r="C1711" s="5" t="s">
        <v>709</v>
      </c>
      <c r="D1711" s="5" t="s">
        <v>713</v>
      </c>
      <c r="E1711" s="5" t="s">
        <v>778</v>
      </c>
      <c r="F1711" s="5" t="s">
        <v>778</v>
      </c>
      <c r="G1711" s="5"/>
      <c r="H1711" s="5"/>
      <c r="I1711" s="5"/>
      <c r="J1711" s="6"/>
      <c r="K1711" s="7"/>
      <c r="L1711" s="13"/>
      <c r="M1711" s="8"/>
      <c r="N1711" s="13"/>
      <c r="O1711" s="13"/>
      <c r="P1711" s="13"/>
      <c r="Q1711" s="7"/>
      <c r="R1711" s="6"/>
      <c r="S1711" s="13"/>
      <c r="T1711" s="7"/>
      <c r="U1711" s="6"/>
      <c r="V1711" s="5"/>
      <c r="W1711" s="6"/>
      <c r="X1711" s="6"/>
      <c r="Y1711" s="5"/>
      <c r="Z1711" s="6"/>
      <c r="AA1711" s="6"/>
      <c r="AB1711" s="5"/>
      <c r="AC1711" s="6"/>
      <c r="AD1711" s="6"/>
      <c r="AE1711" s="5"/>
      <c r="AF1711" s="6"/>
      <c r="AG1711" s="6"/>
      <c r="AH1711" s="5"/>
      <c r="AI1711" s="6"/>
      <c r="AJ1711" s="6"/>
      <c r="AK1711" s="5"/>
      <c r="AL1711" s="5"/>
      <c r="AM1711" s="5"/>
      <c r="AN1711" s="5"/>
      <c r="AO1711" s="5"/>
      <c r="AP1711" s="5"/>
      <c r="AQ1711" s="5"/>
    </row>
    <row r="1712" spans="1:43" x14ac:dyDescent="0.25">
      <c r="A1712" s="161" t="str">
        <f t="shared" si="28"/>
        <v>WW1_BOMBER_ENGLAND</v>
      </c>
      <c r="B1712" s="9" t="s">
        <v>2401</v>
      </c>
      <c r="C1712" s="5" t="s">
        <v>713</v>
      </c>
      <c r="D1712" s="5"/>
      <c r="E1712" s="5" t="s">
        <v>778</v>
      </c>
      <c r="F1712" s="5" t="s">
        <v>778</v>
      </c>
      <c r="G1712" s="5"/>
      <c r="H1712" s="5" t="s">
        <v>2241</v>
      </c>
      <c r="I1712" s="5" t="s">
        <v>2239</v>
      </c>
      <c r="J1712" s="6"/>
      <c r="K1712" s="7"/>
      <c r="L1712" s="13"/>
      <c r="M1712" s="8"/>
      <c r="N1712" s="13"/>
      <c r="O1712" s="13"/>
      <c r="P1712" s="13"/>
      <c r="Q1712" s="7"/>
      <c r="R1712" s="6">
        <v>0.17799999999999999</v>
      </c>
      <c r="S1712" s="13"/>
      <c r="T1712" s="7"/>
      <c r="U1712" s="6">
        <v>0.16500000000000001</v>
      </c>
      <c r="V1712" s="5"/>
      <c r="W1712" s="6"/>
      <c r="X1712" s="6"/>
      <c r="Y1712" s="5"/>
      <c r="Z1712" s="6"/>
      <c r="AA1712" s="6"/>
      <c r="AB1712" s="5"/>
      <c r="AC1712" s="6"/>
      <c r="AD1712" s="6"/>
      <c r="AE1712" s="5"/>
      <c r="AF1712" s="6"/>
      <c r="AG1712" s="6"/>
      <c r="AH1712" s="5"/>
      <c r="AI1712" s="6"/>
      <c r="AJ1712" s="6"/>
      <c r="AK1712" s="5"/>
      <c r="AL1712" s="5"/>
      <c r="AM1712" s="5"/>
      <c r="AN1712" s="5"/>
      <c r="AO1712" s="5"/>
      <c r="AP1712" s="5"/>
      <c r="AQ1712" s="5"/>
    </row>
    <row r="1713" spans="1:43" x14ac:dyDescent="0.25">
      <c r="A1713" s="161" t="str">
        <f t="shared" si="28"/>
        <v>WW1_FIGHTER</v>
      </c>
      <c r="B1713" s="9" t="s">
        <v>2402</v>
      </c>
      <c r="C1713" s="5"/>
      <c r="D1713" s="5"/>
      <c r="E1713" s="5" t="s">
        <v>779</v>
      </c>
      <c r="F1713" s="5" t="s">
        <v>779</v>
      </c>
      <c r="G1713" s="5"/>
      <c r="H1713" s="5" t="s">
        <v>1159</v>
      </c>
      <c r="I1713" s="5" t="s">
        <v>128</v>
      </c>
      <c r="J1713" s="6"/>
      <c r="K1713" s="7"/>
      <c r="L1713" s="13" t="s">
        <v>1711</v>
      </c>
      <c r="M1713" s="8">
        <v>1.8</v>
      </c>
      <c r="N1713" s="13" t="s">
        <v>1725</v>
      </c>
      <c r="O1713" s="13"/>
      <c r="P1713" s="13"/>
      <c r="Q1713" s="7">
        <v>3</v>
      </c>
      <c r="R1713" s="6">
        <v>0.08</v>
      </c>
      <c r="S1713" s="13" t="s">
        <v>1621</v>
      </c>
      <c r="T1713" s="6"/>
      <c r="U1713" s="6">
        <v>7.0000000000000007E-2</v>
      </c>
      <c r="V1713" s="5"/>
      <c r="W1713" s="6" t="s">
        <v>3</v>
      </c>
      <c r="X1713" s="6" t="s">
        <v>3</v>
      </c>
      <c r="Y1713" s="5"/>
      <c r="Z1713" s="6">
        <v>1</v>
      </c>
      <c r="AA1713" s="6"/>
      <c r="AB1713" s="5"/>
      <c r="AC1713" s="6"/>
      <c r="AD1713" s="6" t="s">
        <v>3</v>
      </c>
      <c r="AE1713" s="5"/>
      <c r="AF1713" s="6"/>
      <c r="AG1713" s="6"/>
      <c r="AH1713" s="5"/>
      <c r="AI1713" s="6"/>
      <c r="AJ1713" s="6"/>
      <c r="AK1713" s="5"/>
      <c r="AL1713" s="5"/>
      <c r="AM1713" s="5"/>
      <c r="AN1713" s="5"/>
      <c r="AO1713" s="5"/>
      <c r="AP1713" s="5"/>
      <c r="AQ1713" s="5"/>
    </row>
    <row r="1714" spans="1:43" x14ac:dyDescent="0.25">
      <c r="A1714" s="161" t="str">
        <f t="shared" si="28"/>
        <v>WW1_FIGHTER_AMER</v>
      </c>
      <c r="B1714" s="9" t="s">
        <v>2402</v>
      </c>
      <c r="C1714" s="5" t="s">
        <v>697</v>
      </c>
      <c r="D1714" s="5" t="s">
        <v>699</v>
      </c>
      <c r="E1714" s="5" t="s">
        <v>779</v>
      </c>
      <c r="F1714" s="5" t="s">
        <v>779</v>
      </c>
      <c r="G1714" s="5"/>
      <c r="H1714" s="5"/>
      <c r="I1714" s="5"/>
      <c r="J1714" s="6"/>
      <c r="K1714" s="7"/>
      <c r="L1714" s="13"/>
      <c r="M1714" s="8"/>
      <c r="N1714" s="13"/>
      <c r="O1714" s="13"/>
      <c r="P1714" s="13"/>
      <c r="Q1714" s="7"/>
      <c r="R1714" s="6"/>
      <c r="S1714" s="13"/>
      <c r="T1714" s="6"/>
      <c r="U1714" s="6"/>
      <c r="V1714" s="5"/>
      <c r="W1714" s="6"/>
      <c r="X1714" s="6"/>
      <c r="Y1714" s="5"/>
      <c r="Z1714" s="6"/>
      <c r="AA1714" s="6"/>
      <c r="AB1714" s="5"/>
      <c r="AC1714" s="6"/>
      <c r="AD1714" s="6"/>
      <c r="AE1714" s="5"/>
      <c r="AF1714" s="6"/>
      <c r="AG1714" s="6"/>
      <c r="AH1714" s="5"/>
      <c r="AI1714" s="6"/>
      <c r="AJ1714" s="6"/>
      <c r="AK1714" s="5"/>
      <c r="AL1714" s="5"/>
      <c r="AM1714" s="5"/>
      <c r="AN1714" s="5"/>
      <c r="AO1714" s="5"/>
      <c r="AP1714" s="5"/>
      <c r="AQ1714" s="5"/>
    </row>
    <row r="1715" spans="1:43" x14ac:dyDescent="0.25">
      <c r="A1715" s="161" t="str">
        <f t="shared" si="28"/>
        <v>WW1_FIGHTER_ASIA</v>
      </c>
      <c r="B1715" s="9" t="s">
        <v>2402</v>
      </c>
      <c r="C1715" s="4" t="s">
        <v>693</v>
      </c>
      <c r="E1715" s="4" t="s">
        <v>779</v>
      </c>
      <c r="F1715" s="4" t="s">
        <v>779</v>
      </c>
      <c r="G1715" s="14" t="s">
        <v>132</v>
      </c>
      <c r="H1715" s="4" t="s">
        <v>493</v>
      </c>
      <c r="I1715" s="4" t="s">
        <v>102</v>
      </c>
    </row>
    <row r="1716" spans="1:43" x14ac:dyDescent="0.25">
      <c r="A1716" s="161" t="str">
        <f t="shared" si="28"/>
        <v>WW1_FIGHTER_CHINA</v>
      </c>
      <c r="B1716" s="9" t="s">
        <v>2402</v>
      </c>
      <c r="C1716" s="4" t="s">
        <v>710</v>
      </c>
      <c r="D1716" s="4" t="s">
        <v>693</v>
      </c>
      <c r="E1716" s="4" t="s">
        <v>779</v>
      </c>
      <c r="F1716" s="4" t="s">
        <v>779</v>
      </c>
      <c r="G1716" s="14"/>
      <c r="H1716" s="4" t="s">
        <v>261</v>
      </c>
      <c r="I1716" s="4" t="s">
        <v>102</v>
      </c>
    </row>
    <row r="1717" spans="1:43" x14ac:dyDescent="0.25">
      <c r="A1717" s="161" t="str">
        <f t="shared" si="28"/>
        <v>WW1_FIGHTER_JAPAN</v>
      </c>
      <c r="B1717" s="9" t="s">
        <v>2402</v>
      </c>
      <c r="C1717" s="4" t="s">
        <v>722</v>
      </c>
      <c r="D1717" s="4" t="s">
        <v>693</v>
      </c>
      <c r="E1717" s="4" t="s">
        <v>779</v>
      </c>
      <c r="F1717" s="4" t="s">
        <v>779</v>
      </c>
      <c r="G1717" s="14" t="s">
        <v>132</v>
      </c>
    </row>
    <row r="1718" spans="1:43" x14ac:dyDescent="0.25">
      <c r="A1718" s="161" t="str">
        <f t="shared" si="28"/>
        <v>WW1_FIGHTER_CENTAS</v>
      </c>
      <c r="B1718" s="9" t="s">
        <v>2402</v>
      </c>
      <c r="C1718" s="4" t="s">
        <v>918</v>
      </c>
      <c r="D1718" s="4" t="s">
        <v>698</v>
      </c>
      <c r="E1718" s="4" t="s">
        <v>779</v>
      </c>
      <c r="F1718" s="4" t="s">
        <v>779</v>
      </c>
      <c r="G1718" s="14"/>
    </row>
    <row r="1719" spans="1:43" x14ac:dyDescent="0.25">
      <c r="A1719" s="161" t="str">
        <f t="shared" si="28"/>
        <v>WW1_FIGHTER_HUNS</v>
      </c>
      <c r="B1719" s="9" t="s">
        <v>2402</v>
      </c>
      <c r="C1719" s="4" t="s">
        <v>904</v>
      </c>
      <c r="E1719" s="4" t="s">
        <v>779</v>
      </c>
      <c r="F1719" s="4" t="s">
        <v>779</v>
      </c>
      <c r="H1719" s="4" t="s">
        <v>917</v>
      </c>
      <c r="I1719" s="4" t="s">
        <v>102</v>
      </c>
    </row>
    <row r="1720" spans="1:43" x14ac:dyDescent="0.25">
      <c r="A1720" s="161" t="str">
        <f t="shared" si="28"/>
        <v>WW1_FIGHTER_EASTEU</v>
      </c>
      <c r="B1720" s="9" t="s">
        <v>2402</v>
      </c>
      <c r="C1720" s="4" t="s">
        <v>698</v>
      </c>
      <c r="E1720" s="4" t="s">
        <v>779</v>
      </c>
      <c r="F1720" s="4" t="s">
        <v>779</v>
      </c>
      <c r="G1720" s="14" t="s">
        <v>132</v>
      </c>
      <c r="H1720" s="4" t="s">
        <v>576</v>
      </c>
      <c r="I1720" s="4" t="s">
        <v>102</v>
      </c>
    </row>
    <row r="1721" spans="1:43" x14ac:dyDescent="0.25">
      <c r="A1721" s="161" t="str">
        <f t="shared" si="28"/>
        <v>WW1_FIGHTER_RUSSIA</v>
      </c>
      <c r="B1721" s="9" t="s">
        <v>2402</v>
      </c>
      <c r="C1721" s="4" t="s">
        <v>735</v>
      </c>
      <c r="E1721" s="4" t="s">
        <v>779</v>
      </c>
      <c r="F1721" s="4" t="s">
        <v>779</v>
      </c>
      <c r="G1721" s="14" t="s">
        <v>132</v>
      </c>
      <c r="H1721" s="4" t="s">
        <v>629</v>
      </c>
      <c r="I1721" s="4" t="s">
        <v>102</v>
      </c>
    </row>
    <row r="1722" spans="1:43" x14ac:dyDescent="0.25">
      <c r="A1722" s="161" t="str">
        <f t="shared" si="28"/>
        <v>WW1_FIGHTER_AMERICA</v>
      </c>
      <c r="B1722" s="9" t="s">
        <v>2402</v>
      </c>
      <c r="C1722" s="4" t="s">
        <v>699</v>
      </c>
      <c r="E1722" s="4" t="s">
        <v>779</v>
      </c>
      <c r="F1722" s="4" t="s">
        <v>779</v>
      </c>
      <c r="G1722" s="14"/>
      <c r="H1722" s="4" t="s">
        <v>154</v>
      </c>
      <c r="I1722" s="4" t="s">
        <v>102</v>
      </c>
    </row>
    <row r="1723" spans="1:43" x14ac:dyDescent="0.25">
      <c r="A1723" s="161" t="str">
        <f t="shared" si="28"/>
        <v>WW1_FIGHTER_AUSTRALIA</v>
      </c>
      <c r="B1723" s="9" t="s">
        <v>2402</v>
      </c>
      <c r="C1723" s="4" t="s">
        <v>1302</v>
      </c>
      <c r="D1723" s="4" t="s">
        <v>713</v>
      </c>
      <c r="E1723" s="4" t="s">
        <v>779</v>
      </c>
      <c r="F1723" s="4" t="s">
        <v>779</v>
      </c>
      <c r="G1723" s="14"/>
    </row>
    <row r="1724" spans="1:43" x14ac:dyDescent="0.25">
      <c r="A1724" s="161" t="str">
        <f t="shared" si="28"/>
        <v>WW1_FIGHTER_AUSTRIA</v>
      </c>
      <c r="B1724" s="9" t="s">
        <v>2402</v>
      </c>
      <c r="C1724" s="4" t="s">
        <v>701</v>
      </c>
      <c r="E1724" s="4" t="s">
        <v>779</v>
      </c>
      <c r="F1724" s="4" t="s">
        <v>779</v>
      </c>
      <c r="G1724" s="14"/>
      <c r="H1724" s="4" t="s">
        <v>188</v>
      </c>
      <c r="I1724" s="4" t="s">
        <v>102</v>
      </c>
    </row>
    <row r="1725" spans="1:43" x14ac:dyDescent="0.25">
      <c r="A1725" s="161" t="str">
        <f t="shared" si="28"/>
        <v>WW1_FIGHTER_BELGIUM</v>
      </c>
      <c r="B1725" s="9" t="s">
        <v>2402</v>
      </c>
      <c r="C1725" s="4" t="s">
        <v>704</v>
      </c>
      <c r="E1725" s="4" t="s">
        <v>779</v>
      </c>
      <c r="F1725" s="4" t="s">
        <v>779</v>
      </c>
      <c r="G1725" s="14"/>
      <c r="H1725" s="4" t="s">
        <v>2238</v>
      </c>
      <c r="I1725" s="4" t="s">
        <v>2239</v>
      </c>
    </row>
    <row r="1726" spans="1:43" x14ac:dyDescent="0.25">
      <c r="A1726" s="161" t="str">
        <f t="shared" si="28"/>
        <v>WW1_FIGHTER_CANADA</v>
      </c>
      <c r="B1726" s="9" t="s">
        <v>2402</v>
      </c>
      <c r="C1726" s="4" t="s">
        <v>2223</v>
      </c>
      <c r="D1726" s="4" t="s">
        <v>713</v>
      </c>
      <c r="E1726" s="4" t="s">
        <v>779</v>
      </c>
      <c r="F1726" s="4" t="s">
        <v>779</v>
      </c>
      <c r="G1726" s="14"/>
    </row>
    <row r="1727" spans="1:43" x14ac:dyDescent="0.25">
      <c r="A1727" s="161" t="str">
        <f t="shared" si="28"/>
        <v>WW1_FIGHTER_CELTS</v>
      </c>
      <c r="B1727" s="9" t="s">
        <v>2402</v>
      </c>
      <c r="C1727" s="4" t="s">
        <v>709</v>
      </c>
      <c r="D1727" s="4" t="s">
        <v>713</v>
      </c>
      <c r="E1727" s="4" t="s">
        <v>779</v>
      </c>
      <c r="F1727" s="4" t="s">
        <v>779</v>
      </c>
      <c r="G1727" s="14"/>
    </row>
    <row r="1728" spans="1:43" x14ac:dyDescent="0.25">
      <c r="A1728" s="161" t="str">
        <f t="shared" si="28"/>
        <v>WW1_FIGHTER_ENGLAND</v>
      </c>
      <c r="B1728" s="9" t="s">
        <v>2402</v>
      </c>
      <c r="C1728" s="4" t="s">
        <v>713</v>
      </c>
      <c r="E1728" s="4" t="s">
        <v>779</v>
      </c>
      <c r="F1728" s="4" t="s">
        <v>779</v>
      </c>
      <c r="G1728" s="14" t="s">
        <v>132</v>
      </c>
      <c r="H1728" s="4" t="s">
        <v>315</v>
      </c>
      <c r="I1728" s="4" t="s">
        <v>102</v>
      </c>
    </row>
    <row r="1729" spans="1:43" x14ac:dyDescent="0.25">
      <c r="A1729" s="161" t="str">
        <f t="shared" si="28"/>
        <v>WW1_FIGHTER_FRANCE</v>
      </c>
      <c r="B1729" s="9" t="s">
        <v>2402</v>
      </c>
      <c r="C1729" s="4" t="s">
        <v>715</v>
      </c>
      <c r="E1729" s="4" t="s">
        <v>779</v>
      </c>
      <c r="F1729" s="4" t="s">
        <v>779</v>
      </c>
      <c r="G1729" s="14" t="s">
        <v>132</v>
      </c>
      <c r="H1729" s="4" t="s">
        <v>360</v>
      </c>
      <c r="I1729" s="4" t="s">
        <v>102</v>
      </c>
    </row>
    <row r="1730" spans="1:43" x14ac:dyDescent="0.25">
      <c r="A1730" s="161" t="str">
        <f t="shared" si="28"/>
        <v>WW1_FIGHTER_GERMANY</v>
      </c>
      <c r="B1730" s="9" t="s">
        <v>2402</v>
      </c>
      <c r="C1730" s="4" t="s">
        <v>717</v>
      </c>
      <c r="E1730" s="4" t="s">
        <v>779</v>
      </c>
      <c r="F1730" s="4" t="s">
        <v>779</v>
      </c>
      <c r="G1730" s="14" t="s">
        <v>132</v>
      </c>
      <c r="H1730" s="4" t="s">
        <v>393</v>
      </c>
      <c r="I1730" s="4" t="s">
        <v>102</v>
      </c>
    </row>
    <row r="1731" spans="1:43" x14ac:dyDescent="0.25">
      <c r="A1731" s="161" t="str">
        <f t="shared" si="28"/>
        <v>WW1_FIGHTER_SWISS</v>
      </c>
      <c r="B1731" s="9" t="s">
        <v>2402</v>
      </c>
      <c r="C1731" s="4" t="s">
        <v>740</v>
      </c>
      <c r="D1731" s="4" t="s">
        <v>704</v>
      </c>
      <c r="E1731" s="4" t="s">
        <v>779</v>
      </c>
      <c r="F1731" s="4" t="s">
        <v>779</v>
      </c>
      <c r="G1731" s="14"/>
    </row>
    <row r="1732" spans="1:43" x14ac:dyDescent="0.25">
      <c r="A1732" s="161" t="str">
        <f t="shared" si="28"/>
        <v>WW1_FIGHTER_MED</v>
      </c>
      <c r="B1732" s="9" t="s">
        <v>2402</v>
      </c>
      <c r="C1732" s="4" t="s">
        <v>692</v>
      </c>
      <c r="E1732" s="4" t="s">
        <v>779</v>
      </c>
      <c r="F1732" s="4" t="s">
        <v>779</v>
      </c>
      <c r="G1732" s="14"/>
      <c r="H1732" s="4" t="s">
        <v>1923</v>
      </c>
      <c r="I1732" s="4" t="s">
        <v>1924</v>
      </c>
    </row>
    <row r="1733" spans="1:43" x14ac:dyDescent="0.25">
      <c r="A1733" s="161" t="str">
        <f t="shared" si="28"/>
        <v>WW1_FIGHTER_ROME</v>
      </c>
      <c r="B1733" s="9" t="s">
        <v>2402</v>
      </c>
      <c r="C1733" s="4" t="s">
        <v>734</v>
      </c>
      <c r="E1733" s="4" t="s">
        <v>779</v>
      </c>
      <c r="F1733" s="4" t="s">
        <v>779</v>
      </c>
      <c r="G1733" s="14"/>
      <c r="H1733" s="4" t="s">
        <v>601</v>
      </c>
      <c r="I1733" s="4" t="s">
        <v>102</v>
      </c>
    </row>
    <row r="1734" spans="1:43" x14ac:dyDescent="0.25">
      <c r="A1734" s="161" t="str">
        <f t="shared" si="28"/>
        <v>WW1_FIGHTER_OTTOMAN</v>
      </c>
      <c r="B1734" s="9" t="s">
        <v>2402</v>
      </c>
      <c r="C1734" s="4" t="s">
        <v>1037</v>
      </c>
      <c r="E1734" s="4" t="s">
        <v>779</v>
      </c>
      <c r="F1734" s="4" t="s">
        <v>779</v>
      </c>
      <c r="G1734" s="14"/>
      <c r="H1734" s="4" t="s">
        <v>2240</v>
      </c>
      <c r="I1734" s="4" t="s">
        <v>2239</v>
      </c>
    </row>
    <row r="1735" spans="1:43" x14ac:dyDescent="0.25">
      <c r="A1735" s="161" t="str">
        <f t="shared" si="28"/>
        <v>WW1_FIGHTER_SOUTHAM</v>
      </c>
      <c r="B1735" s="9" t="s">
        <v>2402</v>
      </c>
      <c r="C1735" s="4" t="s">
        <v>691</v>
      </c>
      <c r="D1735" s="4" t="s">
        <v>692</v>
      </c>
      <c r="E1735" s="4" t="s">
        <v>779</v>
      </c>
      <c r="F1735" s="4" t="s">
        <v>779</v>
      </c>
      <c r="G1735" s="14"/>
    </row>
    <row r="1736" spans="1:43" x14ac:dyDescent="0.25">
      <c r="A1736" s="161" t="str">
        <f t="shared" si="28"/>
        <v>WW1_FIGHTER_SOUTHAS</v>
      </c>
      <c r="B1736" s="9" t="s">
        <v>2402</v>
      </c>
      <c r="C1736" s="4" t="s">
        <v>695</v>
      </c>
      <c r="E1736" s="4" t="s">
        <v>779</v>
      </c>
      <c r="F1736" s="4" t="s">
        <v>779</v>
      </c>
      <c r="G1736" s="14"/>
      <c r="H1736" s="4" t="s">
        <v>1925</v>
      </c>
      <c r="I1736" s="4" t="s">
        <v>1924</v>
      </c>
    </row>
    <row r="1737" spans="1:43" x14ac:dyDescent="0.25">
      <c r="A1737" s="161" t="str">
        <f t="shared" si="28"/>
        <v>WW1_INFANTRY</v>
      </c>
      <c r="B1737" s="9" t="s">
        <v>2403</v>
      </c>
      <c r="C1737" s="5"/>
      <c r="D1737" s="5"/>
      <c r="E1737" s="5" t="s">
        <v>780</v>
      </c>
      <c r="F1737" s="5" t="s">
        <v>780</v>
      </c>
      <c r="G1737" s="5"/>
      <c r="H1737" s="5" t="s">
        <v>1158</v>
      </c>
      <c r="I1737" s="5" t="s">
        <v>128</v>
      </c>
      <c r="J1737" s="6"/>
      <c r="K1737" s="6"/>
      <c r="L1737" s="13" t="s">
        <v>1708</v>
      </c>
      <c r="M1737" s="8"/>
      <c r="N1737" s="5"/>
      <c r="O1737" s="5"/>
      <c r="P1737" s="5"/>
      <c r="Q1737" s="7">
        <v>14</v>
      </c>
      <c r="R1737" s="6">
        <v>0.125</v>
      </c>
      <c r="S1737" s="13" t="s">
        <v>1620</v>
      </c>
      <c r="T1737" s="6">
        <v>18</v>
      </c>
      <c r="U1737" s="7" t="s">
        <v>1737</v>
      </c>
      <c r="V1737" s="5"/>
      <c r="W1737" s="6" t="s">
        <v>3</v>
      </c>
      <c r="X1737" s="6" t="s">
        <v>3</v>
      </c>
      <c r="Y1737" s="5"/>
      <c r="Z1737" s="6">
        <v>1</v>
      </c>
      <c r="AA1737" s="6"/>
      <c r="AB1737" s="5"/>
      <c r="AC1737" s="6"/>
      <c r="AD1737" s="6" t="s">
        <v>3</v>
      </c>
      <c r="AE1737" s="5"/>
      <c r="AF1737" s="6" t="s">
        <v>1737</v>
      </c>
      <c r="AG1737" s="6"/>
      <c r="AH1737" s="5"/>
      <c r="AI1737" s="6" t="s">
        <v>1737</v>
      </c>
      <c r="AJ1737" s="6"/>
      <c r="AK1737" s="5"/>
      <c r="AL1737" s="5"/>
      <c r="AM1737" s="5"/>
      <c r="AN1737" s="5"/>
      <c r="AO1737" s="5"/>
      <c r="AP1737" s="5"/>
      <c r="AQ1737" s="5"/>
    </row>
    <row r="1738" spans="1:43" x14ac:dyDescent="0.25">
      <c r="A1738" s="161" t="str">
        <f t="shared" si="28"/>
        <v>WW1_INFANTRY_AMER</v>
      </c>
      <c r="B1738" s="9" t="s">
        <v>2403</v>
      </c>
      <c r="C1738" s="4" t="s">
        <v>697</v>
      </c>
      <c r="E1738" s="4" t="s">
        <v>780</v>
      </c>
      <c r="F1738" s="4" t="s">
        <v>780</v>
      </c>
      <c r="H1738" s="4" t="s">
        <v>472</v>
      </c>
      <c r="I1738" s="4" t="s">
        <v>835</v>
      </c>
      <c r="R1738" s="11">
        <v>0.13500000000000001</v>
      </c>
      <c r="U1738" s="11">
        <v>9.5000000000000001E-2</v>
      </c>
    </row>
    <row r="1739" spans="1:43" x14ac:dyDescent="0.25">
      <c r="A1739" s="161" t="str">
        <f t="shared" si="28"/>
        <v>WW1_INFANTRY_JAPAN</v>
      </c>
      <c r="B1739" s="9" t="s">
        <v>2403</v>
      </c>
      <c r="C1739" s="4" t="s">
        <v>722</v>
      </c>
      <c r="E1739" s="4" t="s">
        <v>780</v>
      </c>
      <c r="F1739" s="4" t="s">
        <v>780</v>
      </c>
      <c r="G1739" s="14" t="s">
        <v>132</v>
      </c>
      <c r="H1739" s="4" t="s">
        <v>494</v>
      </c>
      <c r="I1739" s="4" t="s">
        <v>122</v>
      </c>
    </row>
    <row r="1740" spans="1:43" x14ac:dyDescent="0.25">
      <c r="A1740" s="161" t="str">
        <f t="shared" si="28"/>
        <v>WW1_INFANTRY_CENTAS</v>
      </c>
      <c r="B1740" s="9" t="s">
        <v>2403</v>
      </c>
      <c r="C1740" s="4" t="s">
        <v>918</v>
      </c>
      <c r="E1740" s="4" t="s">
        <v>780</v>
      </c>
      <c r="F1740" s="4" t="s">
        <v>780</v>
      </c>
      <c r="G1740" s="14" t="s">
        <v>132</v>
      </c>
      <c r="H1740" s="14" t="s">
        <v>1045</v>
      </c>
      <c r="I1740" s="4" t="s">
        <v>122</v>
      </c>
      <c r="J1740" s="167"/>
    </row>
    <row r="1741" spans="1:43" x14ac:dyDescent="0.25">
      <c r="A1741" s="161" t="str">
        <f t="shared" si="28"/>
        <v>WW1_INFANTRY_HUNS</v>
      </c>
      <c r="B1741" s="9" t="s">
        <v>2403</v>
      </c>
      <c r="C1741" s="4" t="s">
        <v>904</v>
      </c>
      <c r="D1741" s="4" t="s">
        <v>701</v>
      </c>
      <c r="E1741" s="4" t="s">
        <v>780</v>
      </c>
      <c r="F1741" s="4" t="s">
        <v>780</v>
      </c>
      <c r="G1741" s="14"/>
      <c r="H1741" s="14"/>
      <c r="J1741" s="167"/>
    </row>
    <row r="1742" spans="1:43" x14ac:dyDescent="0.25">
      <c r="A1742" s="161" t="str">
        <f t="shared" si="28"/>
        <v>WW1_INFANTRY_EASTEU</v>
      </c>
      <c r="B1742" s="9" t="s">
        <v>2403</v>
      </c>
      <c r="C1742" s="4" t="s">
        <v>698</v>
      </c>
      <c r="E1742" s="4" t="s">
        <v>780</v>
      </c>
      <c r="F1742" s="4" t="s">
        <v>780</v>
      </c>
      <c r="G1742" s="14" t="s">
        <v>132</v>
      </c>
      <c r="H1742" s="4" t="s">
        <v>630</v>
      </c>
      <c r="I1742" s="4" t="s">
        <v>122</v>
      </c>
    </row>
    <row r="1743" spans="1:43" x14ac:dyDescent="0.25">
      <c r="A1743" s="161" t="str">
        <f t="shared" si="28"/>
        <v>WW1_INFANTRY_AMERICA</v>
      </c>
      <c r="B1743" s="9" t="s">
        <v>2403</v>
      </c>
      <c r="C1743" s="4" t="s">
        <v>699</v>
      </c>
      <c r="E1743" s="4" t="s">
        <v>780</v>
      </c>
      <c r="F1743" s="4" t="s">
        <v>780</v>
      </c>
      <c r="G1743" s="14"/>
      <c r="H1743" s="4" t="s">
        <v>155</v>
      </c>
      <c r="I1743" s="4" t="s">
        <v>122</v>
      </c>
    </row>
    <row r="1744" spans="1:43" x14ac:dyDescent="0.25">
      <c r="A1744" s="161" t="str">
        <f t="shared" si="28"/>
        <v>WW1_INFANTRY_AUSTRIA</v>
      </c>
      <c r="B1744" s="9" t="s">
        <v>2403</v>
      </c>
      <c r="C1744" s="4" t="s">
        <v>701</v>
      </c>
      <c r="E1744" s="4" t="s">
        <v>780</v>
      </c>
      <c r="F1744" s="4" t="s">
        <v>780</v>
      </c>
      <c r="G1744" s="14"/>
      <c r="H1744" s="4" t="s">
        <v>189</v>
      </c>
      <c r="I1744" s="4" t="s">
        <v>122</v>
      </c>
    </row>
    <row r="1745" spans="1:43" x14ac:dyDescent="0.25">
      <c r="A1745" s="161" t="str">
        <f t="shared" si="28"/>
        <v>WW1_INFANTRY_CELTS</v>
      </c>
      <c r="B1745" s="9" t="s">
        <v>2403</v>
      </c>
      <c r="C1745" s="4" t="s">
        <v>709</v>
      </c>
      <c r="D1745" s="4" t="s">
        <v>713</v>
      </c>
      <c r="E1745" s="4" t="s">
        <v>780</v>
      </c>
      <c r="F1745" s="4" t="s">
        <v>780</v>
      </c>
      <c r="G1745" s="14"/>
    </row>
    <row r="1746" spans="1:43" x14ac:dyDescent="0.25">
      <c r="A1746" s="161" t="str">
        <f t="shared" si="28"/>
        <v>WW1_INFANTRY_ENGLAND</v>
      </c>
      <c r="B1746" s="9" t="s">
        <v>2403</v>
      </c>
      <c r="C1746" s="4" t="s">
        <v>713</v>
      </c>
      <c r="E1746" s="4" t="s">
        <v>780</v>
      </c>
      <c r="F1746" s="4" t="s">
        <v>780</v>
      </c>
      <c r="G1746" s="14" t="s">
        <v>132</v>
      </c>
      <c r="H1746" s="4" t="s">
        <v>316</v>
      </c>
      <c r="I1746" s="4" t="s">
        <v>122</v>
      </c>
    </row>
    <row r="1747" spans="1:43" x14ac:dyDescent="0.25">
      <c r="A1747" s="161" t="str">
        <f t="shared" si="28"/>
        <v>WW1_INFANTRY_FRANCE</v>
      </c>
      <c r="B1747" s="9" t="s">
        <v>2403</v>
      </c>
      <c r="C1747" s="4" t="s">
        <v>715</v>
      </c>
      <c r="E1747" s="4" t="s">
        <v>780</v>
      </c>
      <c r="F1747" s="4" t="s">
        <v>780</v>
      </c>
      <c r="G1747" s="14" t="s">
        <v>132</v>
      </c>
      <c r="H1747" s="4" t="s">
        <v>361</v>
      </c>
      <c r="I1747" s="4" t="s">
        <v>122</v>
      </c>
    </row>
    <row r="1748" spans="1:43" x14ac:dyDescent="0.25">
      <c r="A1748" s="161" t="str">
        <f t="shared" si="28"/>
        <v>WW1_INFANTRY_GERMANY</v>
      </c>
      <c r="B1748" s="9" t="s">
        <v>2403</v>
      </c>
      <c r="C1748" s="4" t="s">
        <v>717</v>
      </c>
      <c r="E1748" s="4" t="s">
        <v>780</v>
      </c>
      <c r="F1748" s="4" t="s">
        <v>780</v>
      </c>
      <c r="G1748" s="14" t="s">
        <v>132</v>
      </c>
      <c r="H1748" s="4" t="s">
        <v>394</v>
      </c>
      <c r="I1748" s="4" t="s">
        <v>122</v>
      </c>
    </row>
    <row r="1749" spans="1:43" x14ac:dyDescent="0.25">
      <c r="A1749" s="161" t="str">
        <f t="shared" si="28"/>
        <v>WW1_INFANTRY_MED</v>
      </c>
      <c r="B1749" s="9" t="s">
        <v>2403</v>
      </c>
      <c r="C1749" s="4" t="s">
        <v>692</v>
      </c>
      <c r="E1749" s="4" t="s">
        <v>780</v>
      </c>
      <c r="F1749" s="4" t="s">
        <v>780</v>
      </c>
      <c r="G1749" s="14" t="s">
        <v>132</v>
      </c>
      <c r="H1749" s="4" t="s">
        <v>415</v>
      </c>
      <c r="I1749" s="4" t="s">
        <v>122</v>
      </c>
    </row>
    <row r="1750" spans="1:43" x14ac:dyDescent="0.25">
      <c r="A1750" s="161" t="str">
        <f t="shared" si="28"/>
        <v>WW1_INFANTRY_ROME</v>
      </c>
      <c r="B1750" s="9" t="s">
        <v>2403</v>
      </c>
      <c r="C1750" s="4" t="s">
        <v>734</v>
      </c>
      <c r="E1750" s="4" t="s">
        <v>780</v>
      </c>
      <c r="F1750" s="4" t="s">
        <v>780</v>
      </c>
      <c r="G1750" s="14" t="s">
        <v>132</v>
      </c>
      <c r="H1750" s="4" t="s">
        <v>602</v>
      </c>
      <c r="I1750" s="4" t="s">
        <v>122</v>
      </c>
    </row>
    <row r="1751" spans="1:43" x14ac:dyDescent="0.25">
      <c r="A1751" s="161" t="str">
        <f t="shared" si="28"/>
        <v>WW1_INFANTRY_MIDEAST</v>
      </c>
      <c r="B1751" s="9" t="s">
        <v>2403</v>
      </c>
      <c r="C1751" s="4" t="s">
        <v>690</v>
      </c>
      <c r="E1751" s="4" t="s">
        <v>780</v>
      </c>
      <c r="F1751" s="4" t="s">
        <v>780</v>
      </c>
      <c r="H1751" s="4" t="s">
        <v>172</v>
      </c>
      <c r="I1751" s="4" t="s">
        <v>122</v>
      </c>
    </row>
    <row r="1752" spans="1:43" x14ac:dyDescent="0.25">
      <c r="A1752" s="161" t="str">
        <f t="shared" ref="A1752:A1780" si="29">CONCATENATE(E1752,IF(ISBLANK(C1752),"",CONCATENATE("_",C1752)))</f>
        <v>WW1_INFANTRY_SOUTHAS</v>
      </c>
      <c r="B1752" s="9" t="s">
        <v>2403</v>
      </c>
      <c r="C1752" s="4" t="s">
        <v>695</v>
      </c>
      <c r="E1752" s="4" t="s">
        <v>780</v>
      </c>
      <c r="F1752" s="4" t="s">
        <v>780</v>
      </c>
      <c r="H1752" s="4" t="s">
        <v>445</v>
      </c>
      <c r="I1752" s="4" t="s">
        <v>122</v>
      </c>
    </row>
    <row r="1753" spans="1:43" x14ac:dyDescent="0.25">
      <c r="A1753" s="161" t="str">
        <f t="shared" si="29"/>
        <v>WW1_TANK</v>
      </c>
      <c r="B1753" s="9" t="s">
        <v>2400</v>
      </c>
      <c r="C1753" s="5"/>
      <c r="D1753" s="5"/>
      <c r="E1753" s="5" t="s">
        <v>781</v>
      </c>
      <c r="F1753" s="5" t="s">
        <v>781</v>
      </c>
      <c r="G1753" s="5"/>
      <c r="H1753" s="5" t="s">
        <v>2242</v>
      </c>
      <c r="I1753" s="5" t="s">
        <v>2239</v>
      </c>
      <c r="J1753" s="6"/>
      <c r="K1753" s="6"/>
      <c r="L1753" s="13" t="s">
        <v>1709</v>
      </c>
      <c r="M1753" s="8"/>
      <c r="N1753" s="5"/>
      <c r="O1753" s="5"/>
      <c r="P1753" s="5"/>
      <c r="Q1753" s="7">
        <v>2</v>
      </c>
      <c r="R1753" s="6">
        <v>0.11</v>
      </c>
      <c r="S1753" s="13" t="s">
        <v>1613</v>
      </c>
      <c r="T1753" s="6">
        <v>4</v>
      </c>
      <c r="U1753" s="6">
        <v>0.12</v>
      </c>
      <c r="V1753" s="5" t="s">
        <v>688</v>
      </c>
      <c r="W1753" s="7" t="s">
        <v>3</v>
      </c>
      <c r="X1753" s="6" t="s">
        <v>3</v>
      </c>
      <c r="Y1753" s="5"/>
      <c r="Z1753" s="6">
        <v>1</v>
      </c>
      <c r="AA1753" s="6"/>
      <c r="AB1753" s="5"/>
      <c r="AC1753" s="6"/>
      <c r="AD1753" s="6" t="s">
        <v>3</v>
      </c>
      <c r="AE1753" s="5"/>
      <c r="AF1753" s="6"/>
      <c r="AG1753" s="6"/>
      <c r="AH1753" s="5"/>
      <c r="AI1753" s="6"/>
      <c r="AJ1753" s="6"/>
      <c r="AK1753" s="5"/>
      <c r="AL1753" s="5"/>
      <c r="AM1753" s="5"/>
      <c r="AN1753" s="5"/>
      <c r="AO1753" s="5"/>
      <c r="AP1753" s="5"/>
      <c r="AQ1753" s="5"/>
    </row>
    <row r="1754" spans="1:43" x14ac:dyDescent="0.25">
      <c r="A1754" s="161" t="str">
        <f t="shared" si="29"/>
        <v>WW1_TANK_AMER</v>
      </c>
      <c r="B1754" s="9" t="s">
        <v>2400</v>
      </c>
      <c r="C1754" s="5" t="s">
        <v>697</v>
      </c>
      <c r="D1754" s="5" t="s">
        <v>699</v>
      </c>
      <c r="E1754" s="5" t="s">
        <v>781</v>
      </c>
      <c r="F1754" s="5" t="s">
        <v>781</v>
      </c>
      <c r="G1754" s="5"/>
      <c r="H1754" s="5"/>
      <c r="I1754" s="5"/>
      <c r="J1754" s="6"/>
      <c r="K1754" s="6"/>
      <c r="L1754" s="13"/>
      <c r="M1754" s="8"/>
      <c r="N1754" s="5"/>
      <c r="O1754" s="5"/>
      <c r="P1754" s="5"/>
      <c r="Q1754" s="7"/>
      <c r="R1754" s="6"/>
      <c r="S1754" s="13"/>
      <c r="T1754" s="6"/>
      <c r="U1754" s="6"/>
      <c r="V1754" s="5"/>
      <c r="W1754" s="7"/>
      <c r="X1754" s="6"/>
      <c r="Y1754" s="5"/>
      <c r="Z1754" s="6"/>
      <c r="AA1754" s="6"/>
      <c r="AB1754" s="5"/>
      <c r="AC1754" s="6"/>
      <c r="AD1754" s="6"/>
      <c r="AE1754" s="5"/>
      <c r="AF1754" s="6"/>
      <c r="AG1754" s="6"/>
      <c r="AH1754" s="5"/>
      <c r="AI1754" s="6"/>
      <c r="AJ1754" s="6"/>
      <c r="AK1754" s="5"/>
      <c r="AL1754" s="5"/>
      <c r="AM1754" s="5"/>
      <c r="AN1754" s="5"/>
      <c r="AO1754" s="5"/>
      <c r="AP1754" s="5"/>
      <c r="AQ1754" s="5"/>
    </row>
    <row r="1755" spans="1:43" x14ac:dyDescent="0.25">
      <c r="A1755" s="161" t="str">
        <f t="shared" si="29"/>
        <v>WW1_TANK_CHINA</v>
      </c>
      <c r="B1755" s="9" t="s">
        <v>2400</v>
      </c>
      <c r="C1755" s="4" t="s">
        <v>710</v>
      </c>
      <c r="E1755" s="4" t="s">
        <v>781</v>
      </c>
      <c r="F1755" s="4" t="s">
        <v>781</v>
      </c>
      <c r="G1755" s="14" t="s">
        <v>132</v>
      </c>
      <c r="H1755" s="4" t="s">
        <v>262</v>
      </c>
      <c r="I1755" s="4" t="s">
        <v>102</v>
      </c>
      <c r="R1755" s="11">
        <v>0.13</v>
      </c>
      <c r="T1755" s="11">
        <v>4</v>
      </c>
      <c r="U1755" s="11">
        <v>0.11</v>
      </c>
    </row>
    <row r="1756" spans="1:43" x14ac:dyDescent="0.25">
      <c r="A1756" s="161" t="str">
        <f t="shared" si="29"/>
        <v>WW1_TANK_JAPAN</v>
      </c>
      <c r="B1756" s="9" t="s">
        <v>2400</v>
      </c>
      <c r="C1756" s="4" t="s">
        <v>722</v>
      </c>
      <c r="E1756" s="4" t="s">
        <v>781</v>
      </c>
      <c r="F1756" s="4" t="s">
        <v>781</v>
      </c>
      <c r="G1756" s="14" t="s">
        <v>132</v>
      </c>
      <c r="H1756" s="4" t="s">
        <v>495</v>
      </c>
      <c r="I1756" s="4" t="s">
        <v>102</v>
      </c>
      <c r="R1756" s="11">
        <v>0.13</v>
      </c>
      <c r="T1756" s="11">
        <v>4</v>
      </c>
      <c r="U1756" s="11">
        <v>0.11</v>
      </c>
    </row>
    <row r="1757" spans="1:43" x14ac:dyDescent="0.25">
      <c r="A1757" s="161" t="str">
        <f t="shared" si="29"/>
        <v>WW1_TANK_HUNS</v>
      </c>
      <c r="B1757" s="9" t="s">
        <v>2400</v>
      </c>
      <c r="C1757" s="4" t="s">
        <v>904</v>
      </c>
      <c r="D1757" s="4" t="s">
        <v>701</v>
      </c>
      <c r="E1757" s="4" t="s">
        <v>781</v>
      </c>
      <c r="F1757" s="4" t="s">
        <v>781</v>
      </c>
    </row>
    <row r="1758" spans="1:43" x14ac:dyDescent="0.25">
      <c r="A1758" s="161" t="str">
        <f t="shared" si="29"/>
        <v>WW1_TANK_EASTEU</v>
      </c>
      <c r="B1758" s="9" t="s">
        <v>2400</v>
      </c>
      <c r="C1758" s="4" t="s">
        <v>698</v>
      </c>
      <c r="E1758" s="4" t="s">
        <v>781</v>
      </c>
      <c r="F1758" s="4" t="s">
        <v>781</v>
      </c>
      <c r="H1758" s="4" t="s">
        <v>856</v>
      </c>
      <c r="I1758" s="4" t="s">
        <v>120</v>
      </c>
      <c r="R1758" s="11">
        <v>0.13</v>
      </c>
      <c r="T1758" s="11">
        <v>4</v>
      </c>
      <c r="U1758" s="11">
        <v>0.11</v>
      </c>
    </row>
    <row r="1759" spans="1:43" x14ac:dyDescent="0.25">
      <c r="A1759" s="161" t="str">
        <f t="shared" si="29"/>
        <v>WW1_TANK_POLAND</v>
      </c>
      <c r="B1759" s="9" t="s">
        <v>2400</v>
      </c>
      <c r="C1759" s="4" t="s">
        <v>732</v>
      </c>
      <c r="E1759" s="4" t="s">
        <v>781</v>
      </c>
      <c r="F1759" s="4" t="s">
        <v>781</v>
      </c>
      <c r="G1759" s="14" t="s">
        <v>132</v>
      </c>
      <c r="H1759" s="4" t="s">
        <v>577</v>
      </c>
      <c r="I1759" s="4" t="s">
        <v>102</v>
      </c>
      <c r="R1759" s="9">
        <v>0.13</v>
      </c>
      <c r="T1759" s="11">
        <v>4</v>
      </c>
      <c r="U1759" s="11">
        <v>0.11</v>
      </c>
    </row>
    <row r="1760" spans="1:43" x14ac:dyDescent="0.25">
      <c r="A1760" s="161" t="str">
        <f t="shared" si="29"/>
        <v>WW1_TANK_RUSSIA</v>
      </c>
      <c r="B1760" s="9" t="s">
        <v>2400</v>
      </c>
      <c r="C1760" s="4" t="s">
        <v>735</v>
      </c>
      <c r="E1760" s="4" t="s">
        <v>781</v>
      </c>
      <c r="F1760" s="4" t="s">
        <v>781</v>
      </c>
      <c r="G1760" s="14" t="s">
        <v>132</v>
      </c>
      <c r="H1760" s="4" t="s">
        <v>631</v>
      </c>
      <c r="I1760" s="4" t="s">
        <v>102</v>
      </c>
      <c r="R1760" s="9">
        <v>0.13</v>
      </c>
      <c r="T1760" s="11">
        <v>4</v>
      </c>
      <c r="U1760" s="11">
        <v>0.11</v>
      </c>
    </row>
    <row r="1761" spans="1:26" x14ac:dyDescent="0.25">
      <c r="A1761" s="161" t="str">
        <f t="shared" si="29"/>
        <v>WW1_TANK_AMERICA</v>
      </c>
      <c r="B1761" s="9" t="s">
        <v>2400</v>
      </c>
      <c r="C1761" s="4" t="s">
        <v>699</v>
      </c>
      <c r="E1761" s="4" t="s">
        <v>781</v>
      </c>
      <c r="F1761" s="4" t="s">
        <v>781</v>
      </c>
      <c r="G1761" s="14"/>
      <c r="H1761" s="4" t="s">
        <v>156</v>
      </c>
      <c r="I1761" s="4" t="s">
        <v>102</v>
      </c>
      <c r="Q1761" s="11">
        <v>1</v>
      </c>
      <c r="R1761" s="9">
        <v>0.13</v>
      </c>
      <c r="T1761" s="11">
        <v>2</v>
      </c>
      <c r="U1761" s="11">
        <v>0.11</v>
      </c>
    </row>
    <row r="1762" spans="1:26" x14ac:dyDescent="0.25">
      <c r="A1762" s="161" t="str">
        <f t="shared" si="29"/>
        <v>WW1_TANK_AMERICA</v>
      </c>
      <c r="B1762" s="9" t="s">
        <v>2400</v>
      </c>
      <c r="C1762" s="4" t="s">
        <v>699</v>
      </c>
      <c r="E1762" s="4" t="s">
        <v>781</v>
      </c>
      <c r="F1762" s="4" t="s">
        <v>781</v>
      </c>
      <c r="G1762" s="14"/>
      <c r="H1762" s="4" t="s">
        <v>2243</v>
      </c>
      <c r="I1762" s="4" t="s">
        <v>2239</v>
      </c>
      <c r="Q1762" s="11">
        <v>1</v>
      </c>
      <c r="R1762" s="9">
        <v>0.13</v>
      </c>
      <c r="T1762" s="11">
        <v>2</v>
      </c>
      <c r="U1762" s="11">
        <v>0.11</v>
      </c>
    </row>
    <row r="1763" spans="1:26" x14ac:dyDescent="0.25">
      <c r="A1763" s="161" t="str">
        <f t="shared" si="29"/>
        <v>WW1_TANK_AUSTRALIA</v>
      </c>
      <c r="B1763" s="9" t="s">
        <v>2400</v>
      </c>
      <c r="C1763" s="4" t="s">
        <v>1302</v>
      </c>
      <c r="D1763" s="4" t="s">
        <v>709</v>
      </c>
      <c r="E1763" s="4" t="s">
        <v>781</v>
      </c>
      <c r="F1763" s="4" t="s">
        <v>781</v>
      </c>
      <c r="G1763" s="14"/>
      <c r="R1763" s="9"/>
    </row>
    <row r="1764" spans="1:26" x14ac:dyDescent="0.25">
      <c r="A1764" s="161" t="str">
        <f t="shared" si="29"/>
        <v>WW1_TANK_AUSTRIA</v>
      </c>
      <c r="B1764" s="9" t="s">
        <v>2400</v>
      </c>
      <c r="C1764" s="4" t="s">
        <v>701</v>
      </c>
      <c r="E1764" s="4" t="s">
        <v>781</v>
      </c>
      <c r="F1764" s="4" t="s">
        <v>781</v>
      </c>
      <c r="G1764" s="14"/>
      <c r="H1764" s="4" t="s">
        <v>190</v>
      </c>
      <c r="I1764" s="4" t="s">
        <v>102</v>
      </c>
      <c r="R1764" s="9">
        <v>0.13</v>
      </c>
      <c r="T1764" s="11">
        <v>4</v>
      </c>
      <c r="U1764" s="11">
        <v>0.11</v>
      </c>
    </row>
    <row r="1765" spans="1:26" x14ac:dyDescent="0.25">
      <c r="A1765" s="161" t="str">
        <f t="shared" si="29"/>
        <v>WW1_TANK_BELGIUM</v>
      </c>
      <c r="B1765" s="9" t="s">
        <v>2400</v>
      </c>
      <c r="C1765" s="4" t="s">
        <v>704</v>
      </c>
      <c r="E1765" s="4" t="s">
        <v>781</v>
      </c>
      <c r="F1765" s="4" t="s">
        <v>781</v>
      </c>
      <c r="G1765" s="14"/>
      <c r="H1765" s="4" t="s">
        <v>220</v>
      </c>
      <c r="I1765" s="4" t="s">
        <v>120</v>
      </c>
      <c r="R1765" s="11">
        <v>0.13</v>
      </c>
    </row>
    <row r="1766" spans="1:26" x14ac:dyDescent="0.25">
      <c r="A1766" s="161" t="str">
        <f t="shared" si="29"/>
        <v>WW1_TANK_CANADA</v>
      </c>
      <c r="B1766" s="9" t="s">
        <v>2400</v>
      </c>
      <c r="C1766" s="4" t="s">
        <v>2223</v>
      </c>
      <c r="E1766" s="4" t="s">
        <v>781</v>
      </c>
      <c r="F1766" s="4" t="s">
        <v>781</v>
      </c>
      <c r="G1766" s="14"/>
      <c r="H1766" s="4" t="s">
        <v>2225</v>
      </c>
      <c r="I1766" s="4" t="s">
        <v>120</v>
      </c>
      <c r="R1766" s="11">
        <v>0.13</v>
      </c>
    </row>
    <row r="1767" spans="1:26" x14ac:dyDescent="0.25">
      <c r="A1767" s="161" t="str">
        <f t="shared" si="29"/>
        <v>WW1_TANK_CELTS</v>
      </c>
      <c r="B1767" s="9" t="s">
        <v>2400</v>
      </c>
      <c r="C1767" s="4" t="s">
        <v>709</v>
      </c>
      <c r="E1767" s="4" t="s">
        <v>781</v>
      </c>
      <c r="F1767" s="4" t="s">
        <v>781</v>
      </c>
      <c r="G1767" s="14"/>
      <c r="H1767" s="4" t="s">
        <v>317</v>
      </c>
      <c r="I1767" s="4" t="s">
        <v>102</v>
      </c>
      <c r="R1767" s="11">
        <v>0.125</v>
      </c>
      <c r="T1767" s="11">
        <v>4</v>
      </c>
    </row>
    <row r="1768" spans="1:26" x14ac:dyDescent="0.25">
      <c r="A1768" s="161" t="str">
        <f t="shared" si="29"/>
        <v>WW1_TANK_ENGLAND</v>
      </c>
      <c r="B1768" s="9" t="s">
        <v>2400</v>
      </c>
      <c r="C1768" s="4" t="s">
        <v>713</v>
      </c>
      <c r="E1768" s="4" t="s">
        <v>781</v>
      </c>
      <c r="F1768" s="4" t="s">
        <v>781</v>
      </c>
      <c r="G1768" s="14" t="s">
        <v>132</v>
      </c>
      <c r="H1768" s="4" t="s">
        <v>2222</v>
      </c>
      <c r="I1768" s="4" t="s">
        <v>120</v>
      </c>
      <c r="Q1768" s="11">
        <v>1</v>
      </c>
      <c r="R1768" s="11">
        <v>0.125</v>
      </c>
      <c r="T1768" s="11">
        <v>1</v>
      </c>
      <c r="Z1768" s="11">
        <v>0</v>
      </c>
    </row>
    <row r="1769" spans="1:26" x14ac:dyDescent="0.25">
      <c r="A1769" s="161" t="str">
        <f>CONCATENATE(E1769,IF(ISBLANK(C1769),"",CONCATENATE("_",C1769)))</f>
        <v>WW1_TANK_ENGLAND</v>
      </c>
      <c r="B1769" s="9" t="s">
        <v>2400</v>
      </c>
      <c r="C1769" s="4" t="s">
        <v>713</v>
      </c>
      <c r="E1769" s="4" t="s">
        <v>781</v>
      </c>
      <c r="F1769" s="4" t="s">
        <v>781</v>
      </c>
      <c r="G1769" s="14" t="s">
        <v>2047</v>
      </c>
      <c r="H1769" s="4" t="s">
        <v>317</v>
      </c>
      <c r="I1769" s="4" t="s">
        <v>102</v>
      </c>
      <c r="Q1769" s="11">
        <v>1</v>
      </c>
      <c r="R1769" s="11">
        <v>0.125</v>
      </c>
      <c r="T1769" s="11">
        <v>3</v>
      </c>
      <c r="Z1769" s="11">
        <v>1</v>
      </c>
    </row>
    <row r="1770" spans="1:26" x14ac:dyDescent="0.25">
      <c r="A1770" s="161" t="str">
        <f t="shared" si="29"/>
        <v>WW1_TANK_FRANCE</v>
      </c>
      <c r="B1770" s="9" t="s">
        <v>2400</v>
      </c>
      <c r="C1770" s="4" t="s">
        <v>715</v>
      </c>
      <c r="E1770" s="4" t="s">
        <v>781</v>
      </c>
      <c r="F1770" s="4" t="s">
        <v>781</v>
      </c>
      <c r="H1770" s="4" t="s">
        <v>883</v>
      </c>
      <c r="I1770" s="4" t="s">
        <v>102</v>
      </c>
      <c r="Q1770" s="11">
        <v>1</v>
      </c>
      <c r="R1770" s="9">
        <v>0.13</v>
      </c>
      <c r="T1770" s="11">
        <v>1</v>
      </c>
      <c r="U1770" s="11">
        <v>0.11</v>
      </c>
      <c r="Z1770" s="9">
        <v>0</v>
      </c>
    </row>
    <row r="1771" spans="1:26" x14ac:dyDescent="0.25">
      <c r="A1771" s="161" t="str">
        <f t="shared" si="29"/>
        <v>WW1_TANK_FRANCE</v>
      </c>
      <c r="B1771" s="9" t="s">
        <v>2400</v>
      </c>
      <c r="C1771" s="4" t="s">
        <v>715</v>
      </c>
      <c r="E1771" s="4" t="s">
        <v>781</v>
      </c>
      <c r="F1771" s="4" t="s">
        <v>781</v>
      </c>
      <c r="G1771" s="4" t="s">
        <v>2047</v>
      </c>
      <c r="H1771" s="4" t="s">
        <v>884</v>
      </c>
      <c r="I1771" s="4" t="s">
        <v>120</v>
      </c>
      <c r="Q1771" s="11">
        <v>1</v>
      </c>
      <c r="R1771" s="9">
        <v>0.13</v>
      </c>
      <c r="T1771" s="11">
        <v>2</v>
      </c>
      <c r="U1771" s="11">
        <v>0.11</v>
      </c>
      <c r="Z1771" s="9">
        <v>1</v>
      </c>
    </row>
    <row r="1772" spans="1:26" x14ac:dyDescent="0.25">
      <c r="A1772" s="161" t="str">
        <f t="shared" si="29"/>
        <v>WW1_TANK_FRANCE</v>
      </c>
      <c r="B1772" s="9" t="s">
        <v>2400</v>
      </c>
      <c r="C1772" s="4" t="s">
        <v>715</v>
      </c>
      <c r="E1772" s="4" t="s">
        <v>781</v>
      </c>
      <c r="F1772" s="4" t="s">
        <v>781</v>
      </c>
      <c r="G1772" s="4" t="s">
        <v>2049</v>
      </c>
      <c r="H1772" s="4" t="s">
        <v>362</v>
      </c>
      <c r="I1772" s="4" t="s">
        <v>120</v>
      </c>
      <c r="Q1772" s="11">
        <v>0</v>
      </c>
      <c r="R1772" s="9">
        <v>0.13</v>
      </c>
      <c r="T1772" s="11">
        <v>1</v>
      </c>
      <c r="U1772" s="11">
        <v>0.11</v>
      </c>
      <c r="Z1772" s="9">
        <v>0</v>
      </c>
    </row>
    <row r="1773" spans="1:26" x14ac:dyDescent="0.25">
      <c r="A1773" s="161" t="str">
        <f t="shared" si="29"/>
        <v>WW1_TANK_GERMANY</v>
      </c>
      <c r="B1773" s="9" t="s">
        <v>2400</v>
      </c>
      <c r="C1773" s="4" t="s">
        <v>717</v>
      </c>
      <c r="E1773" s="4" t="s">
        <v>781</v>
      </c>
      <c r="F1773" s="4" t="s">
        <v>781</v>
      </c>
      <c r="G1773" s="14" t="s">
        <v>132</v>
      </c>
      <c r="H1773" s="4" t="s">
        <v>395</v>
      </c>
      <c r="I1773" s="4" t="s">
        <v>102</v>
      </c>
      <c r="Q1773" s="11">
        <v>1</v>
      </c>
      <c r="R1773" s="9">
        <v>0.115</v>
      </c>
      <c r="T1773" s="11">
        <v>2</v>
      </c>
      <c r="U1773" s="11">
        <v>0.97499999999999998</v>
      </c>
    </row>
    <row r="1774" spans="1:26" x14ac:dyDescent="0.25">
      <c r="A1774" s="161" t="str">
        <f t="shared" si="29"/>
        <v>WW1_TANK_GERMANY</v>
      </c>
      <c r="B1774" s="9" t="s">
        <v>2400</v>
      </c>
      <c r="C1774" s="4" t="s">
        <v>717</v>
      </c>
      <c r="E1774" s="4" t="s">
        <v>781</v>
      </c>
      <c r="F1774" s="4" t="s">
        <v>781</v>
      </c>
      <c r="G1774" s="14" t="s">
        <v>2047</v>
      </c>
      <c r="H1774" s="4" t="s">
        <v>2228</v>
      </c>
      <c r="I1774" s="4" t="s">
        <v>120</v>
      </c>
      <c r="Q1774" s="11">
        <v>1</v>
      </c>
      <c r="R1774" s="9">
        <v>0.125</v>
      </c>
      <c r="T1774" s="11">
        <v>2</v>
      </c>
      <c r="U1774" s="11">
        <v>0.105</v>
      </c>
    </row>
    <row r="1775" spans="1:26" x14ac:dyDescent="0.25">
      <c r="A1775" s="161" t="str">
        <f t="shared" si="29"/>
        <v>WW1_TANK_BRAZIL</v>
      </c>
      <c r="B1775" s="9" t="s">
        <v>2400</v>
      </c>
      <c r="C1775" s="4" t="s">
        <v>706</v>
      </c>
      <c r="E1775" s="4" t="s">
        <v>781</v>
      </c>
      <c r="F1775" s="4" t="s">
        <v>781</v>
      </c>
      <c r="G1775" s="14" t="s">
        <v>132</v>
      </c>
      <c r="H1775" s="4" t="s">
        <v>224</v>
      </c>
      <c r="I1775" s="4" t="s">
        <v>120</v>
      </c>
      <c r="R1775" s="9">
        <v>0.13</v>
      </c>
      <c r="T1775" s="11">
        <v>4</v>
      </c>
      <c r="U1775" s="11">
        <v>0.11</v>
      </c>
    </row>
    <row r="1776" spans="1:26" x14ac:dyDescent="0.25">
      <c r="A1776" s="161" t="str">
        <f t="shared" si="29"/>
        <v>WW1_TANK_GREECE</v>
      </c>
      <c r="B1776" s="9" t="s">
        <v>2400</v>
      </c>
      <c r="C1776" s="4" t="s">
        <v>718</v>
      </c>
      <c r="E1776" s="4" t="s">
        <v>781</v>
      </c>
      <c r="F1776" s="4" t="s">
        <v>781</v>
      </c>
      <c r="G1776" s="14" t="s">
        <v>132</v>
      </c>
      <c r="H1776" s="4" t="s">
        <v>416</v>
      </c>
      <c r="I1776" s="4" t="s">
        <v>102</v>
      </c>
      <c r="R1776" s="9">
        <v>0.13</v>
      </c>
      <c r="T1776" s="11">
        <v>4</v>
      </c>
      <c r="U1776" s="11">
        <v>0.11</v>
      </c>
    </row>
    <row r="1777" spans="1:43" x14ac:dyDescent="0.25">
      <c r="A1777" s="161" t="str">
        <f t="shared" si="29"/>
        <v>WW1_TANK_ROME</v>
      </c>
      <c r="B1777" s="9" t="s">
        <v>2400</v>
      </c>
      <c r="C1777" s="4" t="s">
        <v>734</v>
      </c>
      <c r="E1777" s="4" t="s">
        <v>781</v>
      </c>
      <c r="F1777" s="4" t="s">
        <v>781</v>
      </c>
      <c r="G1777" s="14" t="s">
        <v>132</v>
      </c>
      <c r="H1777" s="4" t="s">
        <v>603</v>
      </c>
      <c r="I1777" s="4" t="s">
        <v>102</v>
      </c>
      <c r="R1777" s="9">
        <v>0.13</v>
      </c>
      <c r="T1777" s="11">
        <v>4</v>
      </c>
      <c r="U1777" s="11">
        <v>0.11</v>
      </c>
    </row>
    <row r="1778" spans="1:43" x14ac:dyDescent="0.25">
      <c r="A1778" s="161" t="str">
        <f t="shared" si="29"/>
        <v>WW1_TANK_SPAIN</v>
      </c>
      <c r="B1778" s="9" t="s">
        <v>2400</v>
      </c>
      <c r="C1778" s="4" t="s">
        <v>738</v>
      </c>
      <c r="E1778" s="4" t="s">
        <v>781</v>
      </c>
      <c r="F1778" s="4" t="s">
        <v>781</v>
      </c>
      <c r="G1778" s="14" t="s">
        <v>132</v>
      </c>
      <c r="H1778" s="4" t="s">
        <v>665</v>
      </c>
      <c r="I1778" s="4" t="s">
        <v>102</v>
      </c>
      <c r="R1778" s="9">
        <v>0.13</v>
      </c>
      <c r="T1778" s="11">
        <v>4</v>
      </c>
      <c r="U1778" s="11">
        <v>0.11</v>
      </c>
    </row>
    <row r="1779" spans="1:43" x14ac:dyDescent="0.25">
      <c r="A1779" s="161" t="str">
        <f t="shared" si="29"/>
        <v>WW1_TANK_SWEDEN</v>
      </c>
      <c r="B1779" s="9" t="s">
        <v>2400</v>
      </c>
      <c r="C1779" s="4" t="s">
        <v>739</v>
      </c>
      <c r="E1779" s="4" t="s">
        <v>781</v>
      </c>
      <c r="F1779" s="4" t="s">
        <v>781</v>
      </c>
      <c r="G1779" s="14" t="s">
        <v>132</v>
      </c>
      <c r="H1779" s="4" t="s">
        <v>677</v>
      </c>
      <c r="I1779" s="4" t="s">
        <v>102</v>
      </c>
      <c r="R1779" s="9">
        <v>0.13</v>
      </c>
      <c r="T1779" s="11">
        <v>4</v>
      </c>
      <c r="U1779" s="11">
        <v>0.11</v>
      </c>
    </row>
    <row r="1780" spans="1:43" x14ac:dyDescent="0.25">
      <c r="A1780" s="161" t="str">
        <f t="shared" si="29"/>
        <v>WW2_INFANTRY</v>
      </c>
      <c r="B1780" s="9" t="s">
        <v>111</v>
      </c>
      <c r="C1780" s="5"/>
      <c r="D1780" s="5"/>
      <c r="E1780" s="5" t="s">
        <v>1391</v>
      </c>
      <c r="F1780" s="5" t="s">
        <v>1391</v>
      </c>
      <c r="G1780" s="5"/>
      <c r="H1780" s="5" t="s">
        <v>1502</v>
      </c>
      <c r="I1780" s="5" t="s">
        <v>102</v>
      </c>
      <c r="J1780" s="6"/>
      <c r="K1780" s="6"/>
      <c r="L1780" s="13" t="s">
        <v>1708</v>
      </c>
      <c r="M1780" s="8"/>
      <c r="N1780" s="5"/>
      <c r="O1780" s="5"/>
      <c r="P1780" s="5"/>
      <c r="Q1780" s="7">
        <v>14</v>
      </c>
      <c r="R1780" s="6" t="s">
        <v>1737</v>
      </c>
      <c r="S1780" s="13" t="s">
        <v>1620</v>
      </c>
      <c r="T1780" s="6">
        <v>18</v>
      </c>
      <c r="U1780" s="7" t="s">
        <v>1737</v>
      </c>
      <c r="V1780" s="5"/>
      <c r="W1780" s="6" t="s">
        <v>3</v>
      </c>
      <c r="X1780" s="6" t="s">
        <v>3</v>
      </c>
      <c r="Y1780" s="5"/>
      <c r="Z1780" s="7">
        <v>1</v>
      </c>
      <c r="AA1780" s="6"/>
      <c r="AB1780" s="5"/>
      <c r="AC1780" s="6"/>
      <c r="AD1780" s="6" t="s">
        <v>3</v>
      </c>
      <c r="AE1780" s="5"/>
      <c r="AF1780" s="6" t="s">
        <v>1737</v>
      </c>
      <c r="AG1780" s="6"/>
      <c r="AH1780" s="5"/>
      <c r="AI1780" s="6" t="s">
        <v>1737</v>
      </c>
      <c r="AJ1780" s="6"/>
      <c r="AK1780" s="5"/>
      <c r="AL1780" s="5"/>
      <c r="AM1780" s="5"/>
      <c r="AN1780" s="5"/>
      <c r="AO1780" s="5"/>
      <c r="AP1780" s="5"/>
      <c r="AQ1780" s="5"/>
    </row>
    <row r="1781" spans="1:43" x14ac:dyDescent="0.25">
      <c r="A1781" s="161" t="str">
        <f t="shared" ref="A1781:A1812" si="30">CONCATENATE(E1781,IF(ISBLANK(C1781),"",CONCATENATE("_",C1781)))</f>
        <v>WW2_INFANTRY_AFRI</v>
      </c>
      <c r="B1781" s="9" t="s">
        <v>111</v>
      </c>
      <c r="C1781" s="4" t="s">
        <v>694</v>
      </c>
      <c r="E1781" s="5" t="s">
        <v>1391</v>
      </c>
      <c r="F1781" s="5" t="s">
        <v>1391</v>
      </c>
      <c r="H1781" s="4" t="s">
        <v>324</v>
      </c>
      <c r="I1781" s="4" t="s">
        <v>1025</v>
      </c>
    </row>
    <row r="1782" spans="1:43" x14ac:dyDescent="0.25">
      <c r="A1782" s="161" t="str">
        <f t="shared" si="30"/>
        <v>WW2_INFANTRY_AMER</v>
      </c>
      <c r="B1782" s="9" t="s">
        <v>111</v>
      </c>
      <c r="C1782" s="4" t="s">
        <v>697</v>
      </c>
      <c r="E1782" s="5" t="s">
        <v>1391</v>
      </c>
      <c r="F1782" s="5" t="s">
        <v>1391</v>
      </c>
      <c r="H1782" s="4" t="s">
        <v>463</v>
      </c>
      <c r="I1782" s="4" t="s">
        <v>835</v>
      </c>
    </row>
    <row r="1783" spans="1:43" x14ac:dyDescent="0.25">
      <c r="A1783" s="161" t="str">
        <f t="shared" si="30"/>
        <v>WW2_INFANTRY_ASIA</v>
      </c>
      <c r="B1783" s="9" t="s">
        <v>111</v>
      </c>
      <c r="C1783" s="4" t="s">
        <v>693</v>
      </c>
      <c r="E1783" s="5" t="s">
        <v>1391</v>
      </c>
      <c r="F1783" s="5" t="s">
        <v>1391</v>
      </c>
      <c r="H1783" s="4" t="s">
        <v>449</v>
      </c>
      <c r="I1783" s="4" t="s">
        <v>102</v>
      </c>
    </row>
    <row r="1784" spans="1:43" x14ac:dyDescent="0.25">
      <c r="A1784" s="161" t="str">
        <f t="shared" si="30"/>
        <v>WW2_INFANTRY_CHINA</v>
      </c>
      <c r="B1784" s="9" t="s">
        <v>111</v>
      </c>
      <c r="C1784" s="4" t="s">
        <v>710</v>
      </c>
      <c r="E1784" s="5" t="s">
        <v>1391</v>
      </c>
      <c r="F1784" s="5" t="s">
        <v>1391</v>
      </c>
      <c r="G1784" s="14" t="s">
        <v>132</v>
      </c>
      <c r="H1784" s="4" t="s">
        <v>636</v>
      </c>
      <c r="I1784" s="4" t="s">
        <v>102</v>
      </c>
    </row>
    <row r="1785" spans="1:43" x14ac:dyDescent="0.25">
      <c r="A1785" s="161" t="str">
        <f t="shared" si="30"/>
        <v>WW2_INFANTRY_JAPAN</v>
      </c>
      <c r="B1785" s="9" t="s">
        <v>111</v>
      </c>
      <c r="C1785" s="4" t="s">
        <v>722</v>
      </c>
      <c r="E1785" s="5" t="s">
        <v>1391</v>
      </c>
      <c r="F1785" s="5" t="s">
        <v>1391</v>
      </c>
      <c r="H1785" s="4" t="s">
        <v>952</v>
      </c>
      <c r="I1785" s="4" t="s">
        <v>102</v>
      </c>
      <c r="Q1785" s="11">
        <v>1</v>
      </c>
      <c r="T1785" s="11">
        <v>1</v>
      </c>
      <c r="Z1785" s="11">
        <v>0</v>
      </c>
      <c r="AF1785" s="11">
        <v>1</v>
      </c>
      <c r="AI1785" s="11">
        <v>1</v>
      </c>
    </row>
    <row r="1786" spans="1:43" x14ac:dyDescent="0.25">
      <c r="A1786" s="161" t="str">
        <f t="shared" si="30"/>
        <v>WW2_INFANTRY_JAPAN</v>
      </c>
      <c r="B1786" s="9" t="s">
        <v>111</v>
      </c>
      <c r="C1786" s="4" t="s">
        <v>722</v>
      </c>
      <c r="E1786" s="5" t="s">
        <v>1391</v>
      </c>
      <c r="F1786" s="5" t="s">
        <v>1391</v>
      </c>
      <c r="G1786" s="4" t="s">
        <v>2047</v>
      </c>
      <c r="H1786" s="4" t="s">
        <v>481</v>
      </c>
      <c r="I1786" s="4" t="s">
        <v>102</v>
      </c>
      <c r="Q1786" s="11">
        <v>13</v>
      </c>
      <c r="T1786" s="11">
        <v>8</v>
      </c>
      <c r="Z1786" s="11">
        <v>1</v>
      </c>
      <c r="AF1786" s="11">
        <v>2</v>
      </c>
      <c r="AI1786" s="11">
        <v>6</v>
      </c>
    </row>
    <row r="1787" spans="1:43" x14ac:dyDescent="0.25">
      <c r="A1787" s="161" t="str">
        <f>CONCATENATE(E1787,IF(ISBLANK(C1787),"",CONCATENATE("_",C1787)))</f>
        <v>WW2_INFANTRY_JAPAN</v>
      </c>
      <c r="B1787" s="9" t="s">
        <v>111</v>
      </c>
      <c r="C1787" s="4" t="s">
        <v>722</v>
      </c>
      <c r="E1787" s="5" t="s">
        <v>1391</v>
      </c>
      <c r="F1787" s="5" t="s">
        <v>1391</v>
      </c>
      <c r="H1787" s="4" t="s">
        <v>952</v>
      </c>
      <c r="I1787" s="4" t="s">
        <v>102</v>
      </c>
      <c r="Q1787" s="11">
        <v>0</v>
      </c>
      <c r="T1787" s="11">
        <v>1</v>
      </c>
      <c r="Z1787" s="11">
        <v>0</v>
      </c>
      <c r="AF1787" s="11">
        <v>0</v>
      </c>
      <c r="AI1787" s="11">
        <v>0</v>
      </c>
    </row>
    <row r="1788" spans="1:43" x14ac:dyDescent="0.25">
      <c r="A1788" s="161" t="str">
        <f>CONCATENATE(E1788,IF(ISBLANK(C1788),"",CONCATENATE("_",C1788)))</f>
        <v>WW2_INFANTRY_JAPAN</v>
      </c>
      <c r="B1788" s="9" t="s">
        <v>111</v>
      </c>
      <c r="C1788" s="4" t="s">
        <v>722</v>
      </c>
      <c r="E1788" s="5" t="s">
        <v>1391</v>
      </c>
      <c r="F1788" s="5" t="s">
        <v>1391</v>
      </c>
      <c r="G1788" s="4" t="s">
        <v>2047</v>
      </c>
      <c r="H1788" s="4" t="s">
        <v>481</v>
      </c>
      <c r="I1788" s="4" t="s">
        <v>102</v>
      </c>
      <c r="Q1788" s="11">
        <v>0</v>
      </c>
      <c r="T1788" s="11">
        <v>8</v>
      </c>
      <c r="Z1788" s="11">
        <v>0</v>
      </c>
      <c r="AF1788" s="11">
        <v>0</v>
      </c>
      <c r="AI1788" s="11">
        <v>0</v>
      </c>
    </row>
    <row r="1789" spans="1:43" x14ac:dyDescent="0.25">
      <c r="A1789" s="161" t="str">
        <f t="shared" si="30"/>
        <v>WW2_INFANTRY_CENTAS</v>
      </c>
      <c r="B1789" s="9" t="s">
        <v>111</v>
      </c>
      <c r="C1789" s="4" t="s">
        <v>918</v>
      </c>
      <c r="E1789" s="5" t="s">
        <v>1391</v>
      </c>
      <c r="F1789" s="5" t="s">
        <v>1391</v>
      </c>
      <c r="G1789" s="14" t="s">
        <v>132</v>
      </c>
      <c r="H1789" s="4" t="s">
        <v>908</v>
      </c>
      <c r="I1789" s="4" t="s">
        <v>102</v>
      </c>
      <c r="R1789" s="11">
        <v>0.15</v>
      </c>
      <c r="U1789" s="11">
        <v>9.5000000000000001E-2</v>
      </c>
      <c r="X1789" s="11" t="s">
        <v>3</v>
      </c>
    </row>
    <row r="1790" spans="1:43" x14ac:dyDescent="0.25">
      <c r="A1790" s="161" t="str">
        <f t="shared" si="30"/>
        <v>WW2_INFANTRY_EASTEU</v>
      </c>
      <c r="B1790" s="9" t="s">
        <v>111</v>
      </c>
      <c r="C1790" s="4" t="s">
        <v>698</v>
      </c>
      <c r="E1790" s="5" t="s">
        <v>1391</v>
      </c>
      <c r="F1790" s="5" t="s">
        <v>1391</v>
      </c>
      <c r="H1790" s="4" t="s">
        <v>571</v>
      </c>
      <c r="I1790" s="4" t="s">
        <v>102</v>
      </c>
    </row>
    <row r="1791" spans="1:43" x14ac:dyDescent="0.25">
      <c r="A1791" s="161" t="str">
        <f t="shared" si="30"/>
        <v>WW2_INFANTRY_RUSSIA</v>
      </c>
      <c r="B1791" s="9" t="s">
        <v>111</v>
      </c>
      <c r="C1791" s="4" t="s">
        <v>735</v>
      </c>
      <c r="E1791" s="5" t="s">
        <v>1391</v>
      </c>
      <c r="F1791" s="5" t="s">
        <v>1391</v>
      </c>
      <c r="G1791" s="14" t="s">
        <v>132</v>
      </c>
      <c r="H1791" s="4" t="s">
        <v>614</v>
      </c>
      <c r="I1791" s="4" t="s">
        <v>102</v>
      </c>
    </row>
    <row r="1792" spans="1:43" x14ac:dyDescent="0.25">
      <c r="A1792" s="161" t="str">
        <f t="shared" si="30"/>
        <v>WW2_INFANTRY_AMERICA</v>
      </c>
      <c r="B1792" s="9" t="s">
        <v>111</v>
      </c>
      <c r="C1792" s="4" t="s">
        <v>699</v>
      </c>
      <c r="E1792" s="5" t="s">
        <v>1391</v>
      </c>
      <c r="F1792" s="5" t="s">
        <v>1391</v>
      </c>
      <c r="G1792" s="14"/>
      <c r="H1792" s="4" t="s">
        <v>140</v>
      </c>
      <c r="I1792" s="4" t="s">
        <v>102</v>
      </c>
    </row>
    <row r="1793" spans="1:35" x14ac:dyDescent="0.25">
      <c r="A1793" s="161" t="str">
        <f t="shared" si="30"/>
        <v>WW2_INFANTRY_AUSTRALIA</v>
      </c>
      <c r="B1793" s="9" t="s">
        <v>111</v>
      </c>
      <c r="C1793" s="4" t="s">
        <v>1302</v>
      </c>
      <c r="E1793" s="5" t="s">
        <v>1391</v>
      </c>
      <c r="F1793" s="5" t="s">
        <v>1391</v>
      </c>
      <c r="G1793" s="14"/>
      <c r="H1793" s="4" t="s">
        <v>2230</v>
      </c>
      <c r="I1793" s="4" t="s">
        <v>966</v>
      </c>
      <c r="Q1793" s="11">
        <v>3</v>
      </c>
      <c r="T1793" s="11">
        <v>4</v>
      </c>
      <c r="W1793" s="11" t="s">
        <v>3</v>
      </c>
      <c r="Z1793" s="11">
        <v>0</v>
      </c>
      <c r="AF1793" s="11">
        <v>1</v>
      </c>
      <c r="AI1793" s="11">
        <v>1</v>
      </c>
    </row>
    <row r="1794" spans="1:35" x14ac:dyDescent="0.25">
      <c r="A1794" s="161" t="str">
        <f t="shared" si="30"/>
        <v>WW2_INFANTRY_AUSTRALIA</v>
      </c>
      <c r="B1794" s="9" t="s">
        <v>111</v>
      </c>
      <c r="C1794" s="4" t="s">
        <v>1302</v>
      </c>
      <c r="E1794" s="5" t="s">
        <v>1391</v>
      </c>
      <c r="F1794" s="5" t="s">
        <v>1391</v>
      </c>
      <c r="G1794" s="14" t="s">
        <v>2047</v>
      </c>
      <c r="H1794" s="4" t="s">
        <v>2231</v>
      </c>
      <c r="I1794" s="4" t="s">
        <v>966</v>
      </c>
      <c r="Q1794" s="11">
        <v>4</v>
      </c>
      <c r="T1794" s="11">
        <v>5</v>
      </c>
      <c r="W1794" s="11" t="s">
        <v>3</v>
      </c>
      <c r="Z1794" s="11">
        <v>1</v>
      </c>
      <c r="AF1794" s="11">
        <v>1</v>
      </c>
      <c r="AI1794" s="11">
        <v>3</v>
      </c>
    </row>
    <row r="1795" spans="1:35" x14ac:dyDescent="0.25">
      <c r="A1795" s="161" t="str">
        <f t="shared" si="30"/>
        <v>WW2_INFANTRY_AUSTRALIA</v>
      </c>
      <c r="B1795" s="9" t="s">
        <v>111</v>
      </c>
      <c r="C1795" s="4" t="s">
        <v>1302</v>
      </c>
      <c r="E1795" s="5" t="s">
        <v>1391</v>
      </c>
      <c r="F1795" s="5" t="s">
        <v>1391</v>
      </c>
      <c r="G1795" s="14"/>
      <c r="H1795" s="4" t="s">
        <v>2230</v>
      </c>
      <c r="I1795" s="4" t="s">
        <v>966</v>
      </c>
      <c r="Q1795" s="11">
        <v>2</v>
      </c>
      <c r="T1795" s="11">
        <v>3</v>
      </c>
      <c r="W1795" s="11" t="s">
        <v>3</v>
      </c>
      <c r="Z1795" s="11">
        <v>0</v>
      </c>
      <c r="AF1795" s="11">
        <v>1</v>
      </c>
      <c r="AI1795" s="11">
        <v>1</v>
      </c>
    </row>
    <row r="1796" spans="1:35" x14ac:dyDescent="0.25">
      <c r="A1796" s="161" t="str">
        <f t="shared" si="30"/>
        <v>WW2_INFANTRY_AUSTRALIA</v>
      </c>
      <c r="B1796" s="9" t="s">
        <v>111</v>
      </c>
      <c r="C1796" s="4" t="s">
        <v>1302</v>
      </c>
      <c r="E1796" s="5" t="s">
        <v>1391</v>
      </c>
      <c r="F1796" s="5" t="s">
        <v>1391</v>
      </c>
      <c r="G1796" s="14" t="s">
        <v>2047</v>
      </c>
      <c r="H1796" s="4" t="s">
        <v>2231</v>
      </c>
      <c r="I1796" s="4" t="s">
        <v>966</v>
      </c>
      <c r="Q1796" s="11">
        <v>5</v>
      </c>
      <c r="T1796" s="11">
        <v>6</v>
      </c>
      <c r="W1796" s="11" t="s">
        <v>3</v>
      </c>
      <c r="Z1796" s="11">
        <v>0</v>
      </c>
      <c r="AF1796" s="11">
        <v>0</v>
      </c>
      <c r="AI1796" s="11">
        <v>2</v>
      </c>
    </row>
    <row r="1797" spans="1:35" x14ac:dyDescent="0.25">
      <c r="A1797" s="161" t="str">
        <f t="shared" si="30"/>
        <v>WW2_INFANTRY_AUSTRIA</v>
      </c>
      <c r="B1797" s="9" t="s">
        <v>111</v>
      </c>
      <c r="C1797" s="4" t="s">
        <v>701</v>
      </c>
      <c r="E1797" s="5" t="s">
        <v>1391</v>
      </c>
      <c r="F1797" s="5" t="s">
        <v>1391</v>
      </c>
      <c r="G1797" s="14"/>
      <c r="H1797" s="4" t="s">
        <v>180</v>
      </c>
      <c r="I1797" s="4" t="s">
        <v>102</v>
      </c>
    </row>
    <row r="1798" spans="1:35" x14ac:dyDescent="0.25">
      <c r="A1798" s="161" t="str">
        <f t="shared" si="30"/>
        <v>WW2_INFANTRY_CELTS</v>
      </c>
      <c r="B1798" s="9" t="s">
        <v>111</v>
      </c>
      <c r="C1798" s="4" t="s">
        <v>709</v>
      </c>
      <c r="D1798" s="4" t="s">
        <v>713</v>
      </c>
      <c r="E1798" s="5" t="s">
        <v>1391</v>
      </c>
      <c r="F1798" s="5" t="s">
        <v>1391</v>
      </c>
      <c r="G1798" s="14"/>
    </row>
    <row r="1799" spans="1:35" x14ac:dyDescent="0.25">
      <c r="A1799" s="161" t="str">
        <f t="shared" si="30"/>
        <v>WW2_INFANTRY_ENGLAND</v>
      </c>
      <c r="B1799" s="9" t="s">
        <v>111</v>
      </c>
      <c r="C1799" s="4" t="s">
        <v>713</v>
      </c>
      <c r="E1799" s="5" t="s">
        <v>1391</v>
      </c>
      <c r="F1799" s="5" t="s">
        <v>1391</v>
      </c>
      <c r="G1799" s="14" t="s">
        <v>132</v>
      </c>
      <c r="H1799" s="4" t="s">
        <v>300</v>
      </c>
      <c r="I1799" s="4" t="s">
        <v>102</v>
      </c>
    </row>
    <row r="1800" spans="1:35" x14ac:dyDescent="0.25">
      <c r="A1800" s="161" t="str">
        <f t="shared" si="30"/>
        <v>WW2_INFANTRY_FRANCE</v>
      </c>
      <c r="B1800" s="9" t="s">
        <v>111</v>
      </c>
      <c r="C1800" s="4" t="s">
        <v>715</v>
      </c>
      <c r="E1800" s="5" t="s">
        <v>1391</v>
      </c>
      <c r="F1800" s="5" t="s">
        <v>1391</v>
      </c>
      <c r="G1800" s="14" t="s">
        <v>132</v>
      </c>
      <c r="H1800" s="4" t="s">
        <v>346</v>
      </c>
      <c r="I1800" s="4" t="s">
        <v>102</v>
      </c>
    </row>
    <row r="1801" spans="1:35" x14ac:dyDescent="0.25">
      <c r="A1801" s="161" t="str">
        <f t="shared" si="30"/>
        <v>WW2_INFANTRY_GERMANY</v>
      </c>
      <c r="B1801" s="9" t="s">
        <v>111</v>
      </c>
      <c r="C1801" s="4" t="s">
        <v>717</v>
      </c>
      <c r="E1801" s="5" t="s">
        <v>1391</v>
      </c>
      <c r="F1801" s="5" t="s">
        <v>1391</v>
      </c>
      <c r="G1801" s="14" t="s">
        <v>132</v>
      </c>
      <c r="H1801" s="4" t="s">
        <v>377</v>
      </c>
      <c r="I1801" s="4" t="s">
        <v>102</v>
      </c>
    </row>
    <row r="1802" spans="1:35" x14ac:dyDescent="0.25">
      <c r="A1802" s="161" t="str">
        <f t="shared" si="30"/>
        <v>WW2_INFANTRY_NETHERLANDS</v>
      </c>
      <c r="B1802" s="9" t="s">
        <v>111</v>
      </c>
      <c r="C1802" s="4" t="s">
        <v>730</v>
      </c>
      <c r="E1802" s="5" t="s">
        <v>1391</v>
      </c>
      <c r="F1802" s="5" t="s">
        <v>1391</v>
      </c>
      <c r="G1802" s="14" t="s">
        <v>132</v>
      </c>
      <c r="H1802" s="4" t="s">
        <v>543</v>
      </c>
      <c r="I1802" s="4" t="s">
        <v>102</v>
      </c>
    </row>
    <row r="1803" spans="1:35" x14ac:dyDescent="0.25">
      <c r="A1803" s="161" t="str">
        <f t="shared" si="30"/>
        <v>WW2_INFANTRY_GREECE</v>
      </c>
      <c r="B1803" s="9" t="s">
        <v>111</v>
      </c>
      <c r="C1803" s="4" t="s">
        <v>718</v>
      </c>
      <c r="E1803" s="5" t="s">
        <v>1391</v>
      </c>
      <c r="F1803" s="5" t="s">
        <v>1391</v>
      </c>
      <c r="G1803" s="14" t="s">
        <v>132</v>
      </c>
      <c r="H1803" s="4" t="s">
        <v>404</v>
      </c>
      <c r="I1803" s="4" t="s">
        <v>102</v>
      </c>
    </row>
    <row r="1804" spans="1:35" x14ac:dyDescent="0.25">
      <c r="A1804" s="161" t="str">
        <f t="shared" si="30"/>
        <v>WW2_INFANTRY_ROME</v>
      </c>
      <c r="B1804" s="9" t="s">
        <v>111</v>
      </c>
      <c r="C1804" s="4" t="s">
        <v>734</v>
      </c>
      <c r="E1804" s="5" t="s">
        <v>1391</v>
      </c>
      <c r="F1804" s="5" t="s">
        <v>1391</v>
      </c>
      <c r="G1804" s="14" t="s">
        <v>132</v>
      </c>
      <c r="H1804" s="4" t="s">
        <v>590</v>
      </c>
      <c r="I1804" s="4" t="s">
        <v>102</v>
      </c>
    </row>
    <row r="1805" spans="1:35" x14ac:dyDescent="0.25">
      <c r="A1805" s="161" t="str">
        <f t="shared" si="30"/>
        <v>WW2_INFANTRY_SPAIN</v>
      </c>
      <c r="B1805" s="9" t="s">
        <v>111</v>
      </c>
      <c r="C1805" s="4" t="s">
        <v>738</v>
      </c>
      <c r="E1805" s="5" t="s">
        <v>1391</v>
      </c>
      <c r="F1805" s="5" t="s">
        <v>1391</v>
      </c>
      <c r="G1805" s="14" t="s">
        <v>132</v>
      </c>
      <c r="H1805" s="4" t="s">
        <v>654</v>
      </c>
      <c r="I1805" s="4" t="s">
        <v>102</v>
      </c>
    </row>
    <row r="1806" spans="1:35" x14ac:dyDescent="0.25">
      <c r="A1806" s="161" t="str">
        <f t="shared" si="30"/>
        <v>WW2_INFANTRY_SWEDEN</v>
      </c>
      <c r="B1806" s="9" t="s">
        <v>111</v>
      </c>
      <c r="C1806" s="4" t="s">
        <v>739</v>
      </c>
      <c r="E1806" s="5" t="s">
        <v>1391</v>
      </c>
      <c r="F1806" s="5" t="s">
        <v>1391</v>
      </c>
      <c r="G1806" s="14" t="s">
        <v>132</v>
      </c>
      <c r="H1806" s="4" t="s">
        <v>672</v>
      </c>
      <c r="I1806" s="4" t="s">
        <v>102</v>
      </c>
    </row>
    <row r="1807" spans="1:35" x14ac:dyDescent="0.25">
      <c r="A1807" s="161" t="str">
        <f t="shared" si="30"/>
        <v>WW2_INFANTRY_SAHUL</v>
      </c>
      <c r="B1807" s="9" t="s">
        <v>111</v>
      </c>
      <c r="C1807" s="4" t="s">
        <v>1788</v>
      </c>
      <c r="E1807" s="5" t="s">
        <v>1391</v>
      </c>
      <c r="F1807" s="5" t="s">
        <v>1391</v>
      </c>
      <c r="G1807" s="14"/>
      <c r="H1807" s="4" t="s">
        <v>2229</v>
      </c>
      <c r="I1807" s="4" t="s">
        <v>966</v>
      </c>
      <c r="Q1807" s="11">
        <v>3</v>
      </c>
      <c r="T1807" s="11">
        <v>4</v>
      </c>
      <c r="W1807" s="11" t="s">
        <v>3</v>
      </c>
      <c r="Z1807" s="11">
        <v>0</v>
      </c>
      <c r="AF1807" s="11">
        <v>1</v>
      </c>
      <c r="AI1807" s="11">
        <v>1</v>
      </c>
    </row>
    <row r="1808" spans="1:35" x14ac:dyDescent="0.25">
      <c r="A1808" s="161" t="str">
        <f t="shared" si="30"/>
        <v>WW2_INFANTRY_SAHUL</v>
      </c>
      <c r="B1808" s="9" t="s">
        <v>111</v>
      </c>
      <c r="C1808" s="4" t="s">
        <v>1788</v>
      </c>
      <c r="E1808" s="5" t="s">
        <v>1391</v>
      </c>
      <c r="F1808" s="5" t="s">
        <v>1391</v>
      </c>
      <c r="G1808" s="14" t="s">
        <v>2047</v>
      </c>
      <c r="H1808" s="4" t="s">
        <v>2232</v>
      </c>
      <c r="I1808" s="4" t="s">
        <v>966</v>
      </c>
      <c r="Q1808" s="11">
        <v>4</v>
      </c>
      <c r="T1808" s="11">
        <v>5</v>
      </c>
      <c r="W1808" s="11" t="s">
        <v>3</v>
      </c>
      <c r="Z1808" s="11">
        <v>1</v>
      </c>
      <c r="AF1808" s="11">
        <v>1</v>
      </c>
      <c r="AI1808" s="11">
        <v>3</v>
      </c>
    </row>
    <row r="1809" spans="1:43" x14ac:dyDescent="0.25">
      <c r="A1809" s="161" t="str">
        <f t="shared" si="30"/>
        <v>WW2_INFANTRY_SAHUL</v>
      </c>
      <c r="B1809" s="9" t="s">
        <v>111</v>
      </c>
      <c r="C1809" s="4" t="s">
        <v>1788</v>
      </c>
      <c r="E1809" s="5" t="s">
        <v>1391</v>
      </c>
      <c r="F1809" s="5" t="s">
        <v>1391</v>
      </c>
      <c r="G1809" s="14"/>
      <c r="H1809" s="4" t="s">
        <v>2229</v>
      </c>
      <c r="I1809" s="4" t="s">
        <v>966</v>
      </c>
      <c r="Q1809" s="11">
        <v>2</v>
      </c>
      <c r="T1809" s="11">
        <v>3</v>
      </c>
      <c r="W1809" s="11" t="s">
        <v>3</v>
      </c>
      <c r="Z1809" s="11">
        <v>0</v>
      </c>
      <c r="AF1809" s="11">
        <v>1</v>
      </c>
      <c r="AI1809" s="11">
        <v>1</v>
      </c>
    </row>
    <row r="1810" spans="1:43" x14ac:dyDescent="0.25">
      <c r="A1810" s="161" t="str">
        <f t="shared" si="30"/>
        <v>WW2_INFANTRY_SAHUL</v>
      </c>
      <c r="B1810" s="9" t="s">
        <v>111</v>
      </c>
      <c r="C1810" s="4" t="s">
        <v>1788</v>
      </c>
      <c r="E1810" s="5" t="s">
        <v>1391</v>
      </c>
      <c r="F1810" s="5" t="s">
        <v>1391</v>
      </c>
      <c r="G1810" s="14" t="s">
        <v>2047</v>
      </c>
      <c r="H1810" s="4" t="s">
        <v>2232</v>
      </c>
      <c r="I1810" s="4" t="s">
        <v>966</v>
      </c>
      <c r="Q1810" s="11">
        <v>5</v>
      </c>
      <c r="T1810" s="11">
        <v>6</v>
      </c>
      <c r="W1810" s="11" t="s">
        <v>3</v>
      </c>
      <c r="Z1810" s="11">
        <v>0</v>
      </c>
      <c r="AF1810" s="11">
        <v>0</v>
      </c>
      <c r="AI1810" s="11">
        <v>2</v>
      </c>
    </row>
    <row r="1811" spans="1:43" x14ac:dyDescent="0.25">
      <c r="A1811" s="161" t="str">
        <f t="shared" si="30"/>
        <v>WW2_INFANTRY_SEASIA</v>
      </c>
      <c r="B1811" s="9" t="s">
        <v>111</v>
      </c>
      <c r="C1811" s="4" t="s">
        <v>696</v>
      </c>
      <c r="D1811" s="4" t="s">
        <v>693</v>
      </c>
      <c r="E1811" s="5" t="s">
        <v>1391</v>
      </c>
      <c r="F1811" s="5" t="s">
        <v>1391</v>
      </c>
    </row>
    <row r="1812" spans="1:43" x14ac:dyDescent="0.25">
      <c r="A1812" s="161" t="str">
        <f t="shared" si="30"/>
        <v>WW2_INFANTRY_SIAM</v>
      </c>
      <c r="B1812" s="9" t="s">
        <v>111</v>
      </c>
      <c r="C1812" s="4" t="s">
        <v>736</v>
      </c>
      <c r="E1812" s="5" t="s">
        <v>1391</v>
      </c>
      <c r="F1812" s="5" t="s">
        <v>1391</v>
      </c>
      <c r="G1812" s="14" t="s">
        <v>132</v>
      </c>
      <c r="H1812" s="4" t="s">
        <v>249</v>
      </c>
      <c r="I1812" s="4" t="s">
        <v>102</v>
      </c>
    </row>
    <row r="1813" spans="1:43" x14ac:dyDescent="0.25">
      <c r="A1813" s="161" t="str">
        <f>CONCATENATE(E1813,IF(ISBLANK(C1813),"",CONCATENATE("_",C1813)))</f>
        <v>XCOM_SQUAD</v>
      </c>
      <c r="B1813" s="9" t="s">
        <v>782</v>
      </c>
      <c r="C1813" s="5"/>
      <c r="D1813" s="5"/>
      <c r="E1813" s="5" t="s">
        <v>782</v>
      </c>
      <c r="F1813" s="5" t="s">
        <v>782</v>
      </c>
      <c r="G1813" s="5"/>
      <c r="H1813" s="5" t="s">
        <v>1543</v>
      </c>
      <c r="I1813" s="5" t="s">
        <v>128</v>
      </c>
      <c r="J1813" s="6"/>
      <c r="K1813" s="6"/>
      <c r="L1813" s="13" t="s">
        <v>1708</v>
      </c>
      <c r="M1813" s="8"/>
      <c r="N1813" s="5"/>
      <c r="O1813" s="5"/>
      <c r="P1813" s="5"/>
      <c r="Q1813" s="7">
        <v>6</v>
      </c>
      <c r="R1813" s="6" t="s">
        <v>1737</v>
      </c>
      <c r="S1813" s="13" t="s">
        <v>1614</v>
      </c>
      <c r="T1813" s="6">
        <v>10</v>
      </c>
      <c r="U1813" s="7" t="s">
        <v>1695</v>
      </c>
      <c r="V1813" s="5"/>
      <c r="W1813" s="7" t="s">
        <v>3</v>
      </c>
      <c r="X1813" s="6" t="s">
        <v>3</v>
      </c>
      <c r="Y1813" s="5"/>
      <c r="Z1813" s="7">
        <v>1</v>
      </c>
      <c r="AA1813" s="6"/>
      <c r="AB1813" s="5"/>
      <c r="AC1813" s="6"/>
      <c r="AD1813" s="6" t="s">
        <v>3</v>
      </c>
      <c r="AE1813" s="5"/>
      <c r="AF1813" s="6">
        <v>2</v>
      </c>
      <c r="AG1813" s="6"/>
      <c r="AH1813" s="5"/>
      <c r="AI1813" s="6">
        <v>5</v>
      </c>
      <c r="AJ1813" s="6"/>
      <c r="AK1813" s="5"/>
      <c r="AL1813" s="5"/>
      <c r="AM1813" s="5"/>
      <c r="AN1813" s="5"/>
      <c r="AO1813" s="5"/>
      <c r="AP1813" s="5"/>
      <c r="AQ1813" s="5"/>
    </row>
    <row r="1814" spans="1:43" x14ac:dyDescent="0.25">
      <c r="A1814" s="161" t="str">
        <f>CONCATENATE(E1814,IF(ISBLANK(C1814),"",CONCATENATE("_",C1814)))</f>
        <v>XP_PRIVATEER</v>
      </c>
      <c r="B1814" s="9" t="s">
        <v>1364</v>
      </c>
      <c r="C1814" s="5"/>
      <c r="D1814" s="5"/>
      <c r="E1814" s="5" t="s">
        <v>783</v>
      </c>
      <c r="F1814" s="5" t="s">
        <v>783</v>
      </c>
      <c r="G1814" s="5"/>
      <c r="H1814" s="5" t="s">
        <v>1161</v>
      </c>
      <c r="I1814" s="5" t="s">
        <v>128</v>
      </c>
      <c r="J1814" s="6"/>
      <c r="K1814" s="7"/>
      <c r="L1814" s="13" t="s">
        <v>1712</v>
      </c>
      <c r="M1814" s="8"/>
      <c r="N1814" s="13" t="s">
        <v>1727</v>
      </c>
      <c r="O1814" s="13"/>
      <c r="P1814" s="13"/>
      <c r="Q1814" s="7">
        <v>1</v>
      </c>
      <c r="R1814" s="6" t="s">
        <v>1737</v>
      </c>
      <c r="S1814" s="5"/>
      <c r="T1814" s="6"/>
      <c r="U1814" s="7" t="s">
        <v>1737</v>
      </c>
      <c r="V1814" s="5"/>
      <c r="W1814" s="6"/>
      <c r="X1814" s="6"/>
      <c r="Y1814" s="5"/>
      <c r="Z1814" s="6"/>
      <c r="AA1814" s="6"/>
      <c r="AB1814" s="5"/>
      <c r="AC1814" s="6"/>
      <c r="AD1814" s="6"/>
      <c r="AE1814" s="5"/>
      <c r="AF1814" s="6"/>
      <c r="AG1814" s="6"/>
      <c r="AH1814" s="5"/>
      <c r="AI1814" s="6"/>
      <c r="AJ1814" s="6"/>
      <c r="AK1814" s="5"/>
      <c r="AL1814" s="5"/>
      <c r="AM1814" s="5"/>
      <c r="AN1814" s="5"/>
      <c r="AO1814" s="5"/>
      <c r="AP1814" s="5"/>
      <c r="AQ1814" s="5"/>
    </row>
    <row r="1815" spans="1:43" x14ac:dyDescent="0.25">
      <c r="A1815" s="161" t="str">
        <f>CONCATENATE(E1815,IF(ISBLANK(C1815),"",CONCATENATE("_",C1815)))</f>
        <v>AUTOCHTHON</v>
      </c>
      <c r="C1815" s="5"/>
      <c r="D1815" s="5"/>
      <c r="E1815" s="5" t="s">
        <v>2086</v>
      </c>
      <c r="F1815" s="5" t="s">
        <v>2086</v>
      </c>
      <c r="G1815" s="5"/>
      <c r="H1815" s="5" t="s">
        <v>2091</v>
      </c>
      <c r="I1815" s="5" t="s">
        <v>1025</v>
      </c>
      <c r="J1815" s="6"/>
      <c r="K1815" s="7">
        <v>1</v>
      </c>
      <c r="L1815" s="13"/>
      <c r="M1815" s="8"/>
      <c r="N1815" s="13"/>
      <c r="O1815" s="13"/>
      <c r="P1815" s="13"/>
      <c r="Q1815" s="7">
        <v>6</v>
      </c>
      <c r="R1815" s="6">
        <v>0.17499999999999999</v>
      </c>
      <c r="S1815" s="5"/>
      <c r="T1815" s="6">
        <v>10</v>
      </c>
      <c r="U1815" s="7"/>
      <c r="V1815" s="5"/>
      <c r="W1815" s="6"/>
      <c r="X1815" s="6"/>
      <c r="Y1815" s="5"/>
      <c r="Z1815" s="6">
        <v>1</v>
      </c>
      <c r="AA1815" s="6"/>
      <c r="AB1815" s="5"/>
      <c r="AC1815" s="6"/>
      <c r="AD1815" s="6"/>
      <c r="AE1815" s="5"/>
      <c r="AF1815" s="6">
        <v>2</v>
      </c>
      <c r="AG1815" s="6"/>
      <c r="AH1815" s="5"/>
      <c r="AI1815" s="6">
        <v>5</v>
      </c>
      <c r="AJ1815" s="6"/>
      <c r="AK1815" s="5"/>
      <c r="AL1815" s="5"/>
      <c r="AM1815" s="5"/>
      <c r="AN1815" s="5"/>
      <c r="AO1815" s="5"/>
      <c r="AP1815" s="5"/>
      <c r="AQ1815" s="5"/>
    </row>
    <row r="1816" spans="1:43" s="2" customFormat="1" x14ac:dyDescent="0.25">
      <c r="A1816" s="161" t="str">
        <f t="shared" ref="A1816:A1882" si="31">CONCATENATE(E1816,IF(ISBLANK(C1816),"",CONCATENATE("_",C1816)))</f>
        <v>CAVEMAN</v>
      </c>
      <c r="B1816" s="9"/>
      <c r="C1816" s="5"/>
      <c r="D1816" s="5"/>
      <c r="E1816" s="5" t="s">
        <v>2087</v>
      </c>
      <c r="F1816" s="5" t="s">
        <v>2087</v>
      </c>
      <c r="G1816" s="5"/>
      <c r="H1816" s="5" t="s">
        <v>1405</v>
      </c>
      <c r="I1816" s="5" t="s">
        <v>128</v>
      </c>
      <c r="J1816" s="6"/>
      <c r="K1816" s="7">
        <v>1</v>
      </c>
      <c r="L1816" s="13" t="s">
        <v>1718</v>
      </c>
      <c r="M1816" s="8"/>
      <c r="N1816" s="5"/>
      <c r="O1816" s="5"/>
      <c r="P1816" s="5"/>
      <c r="Q1816" s="6">
        <v>2</v>
      </c>
      <c r="R1816" s="6" t="s">
        <v>1737</v>
      </c>
      <c r="S1816" s="13" t="s">
        <v>46</v>
      </c>
      <c r="T1816" s="6">
        <v>2</v>
      </c>
      <c r="U1816" s="7" t="s">
        <v>1737</v>
      </c>
      <c r="V1816" s="5"/>
      <c r="W1816" s="7">
        <v>3</v>
      </c>
      <c r="X1816" s="6" t="s">
        <v>3</v>
      </c>
      <c r="Y1816" s="5"/>
      <c r="Z1816" s="7">
        <v>1</v>
      </c>
      <c r="AA1816" s="6"/>
      <c r="AB1816" s="5"/>
      <c r="AC1816" s="6"/>
      <c r="AD1816" s="6" t="s">
        <v>3</v>
      </c>
      <c r="AE1816" s="5"/>
      <c r="AF1816" s="6">
        <v>1</v>
      </c>
      <c r="AG1816" s="6"/>
      <c r="AH1816" s="5"/>
      <c r="AI1816" s="6">
        <v>1</v>
      </c>
      <c r="AJ1816" s="6"/>
      <c r="AK1816" s="5"/>
      <c r="AL1816" s="5"/>
      <c r="AM1816" s="5"/>
      <c r="AN1816" s="5"/>
      <c r="AO1816" s="5"/>
      <c r="AP1816" s="5"/>
      <c r="AQ1816" s="5"/>
    </row>
    <row r="1817" spans="1:43" s="2" customFormat="1" x14ac:dyDescent="0.25">
      <c r="A1817" s="161" t="str">
        <f t="shared" si="31"/>
        <v>CAVEMAN</v>
      </c>
      <c r="B1817" s="9"/>
      <c r="C1817" s="5"/>
      <c r="D1817" s="5"/>
      <c r="E1817" s="5" t="s">
        <v>2087</v>
      </c>
      <c r="F1817" s="5" t="s">
        <v>2087</v>
      </c>
      <c r="G1817" s="5" t="s">
        <v>2047</v>
      </c>
      <c r="H1817" s="5" t="s">
        <v>1406</v>
      </c>
      <c r="I1817" s="5" t="s">
        <v>128</v>
      </c>
      <c r="J1817" s="6"/>
      <c r="K1817" s="7">
        <v>1</v>
      </c>
      <c r="L1817" s="13" t="s">
        <v>1718</v>
      </c>
      <c r="M1817" s="8"/>
      <c r="N1817" s="5"/>
      <c r="O1817" s="5"/>
      <c r="P1817" s="5"/>
      <c r="Q1817" s="6">
        <v>4</v>
      </c>
      <c r="R1817" s="6" t="s">
        <v>1737</v>
      </c>
      <c r="S1817" s="13" t="s">
        <v>46</v>
      </c>
      <c r="T1817" s="6">
        <v>1</v>
      </c>
      <c r="U1817" s="7" t="s">
        <v>1737</v>
      </c>
      <c r="V1817" s="5"/>
      <c r="W1817" s="7">
        <v>3</v>
      </c>
      <c r="X1817" s="6" t="s">
        <v>3</v>
      </c>
      <c r="Y1817" s="5"/>
      <c r="Z1817" s="7">
        <v>0</v>
      </c>
      <c r="AA1817" s="6"/>
      <c r="AB1817" s="5"/>
      <c r="AC1817" s="6"/>
      <c r="AD1817" s="6" t="s">
        <v>3</v>
      </c>
      <c r="AE1817" s="5"/>
      <c r="AF1817" s="6">
        <v>1</v>
      </c>
      <c r="AG1817" s="6"/>
      <c r="AH1817" s="5"/>
      <c r="AI1817" s="6">
        <v>1</v>
      </c>
      <c r="AJ1817" s="6"/>
      <c r="AK1817" s="5"/>
      <c r="AL1817" s="5"/>
      <c r="AM1817" s="5"/>
      <c r="AN1817" s="5"/>
      <c r="AO1817" s="5"/>
      <c r="AP1817" s="5"/>
      <c r="AQ1817" s="5"/>
    </row>
    <row r="1818" spans="1:43" s="2" customFormat="1" x14ac:dyDescent="0.25">
      <c r="A1818" s="161" t="str">
        <f t="shared" si="31"/>
        <v>CAVEMAN</v>
      </c>
      <c r="B1818" s="9"/>
      <c r="C1818" s="5"/>
      <c r="D1818" s="5"/>
      <c r="E1818" s="5" t="s">
        <v>2087</v>
      </c>
      <c r="F1818" s="5" t="s">
        <v>2087</v>
      </c>
      <c r="G1818" s="5" t="s">
        <v>2049</v>
      </c>
      <c r="H1818" s="5" t="s">
        <v>1407</v>
      </c>
      <c r="I1818" s="5" t="s">
        <v>128</v>
      </c>
      <c r="J1818" s="6"/>
      <c r="K1818" s="7">
        <v>1</v>
      </c>
      <c r="L1818" s="13" t="s">
        <v>1718</v>
      </c>
      <c r="M1818" s="8"/>
      <c r="N1818" s="5"/>
      <c r="O1818" s="5"/>
      <c r="P1818" s="5"/>
      <c r="Q1818" s="6">
        <v>4</v>
      </c>
      <c r="R1818" s="6" t="s">
        <v>1737</v>
      </c>
      <c r="S1818" s="13" t="s">
        <v>46</v>
      </c>
      <c r="T1818" s="6">
        <v>1</v>
      </c>
      <c r="U1818" s="7" t="s">
        <v>1737</v>
      </c>
      <c r="V1818" s="5"/>
      <c r="W1818" s="7">
        <v>3</v>
      </c>
      <c r="X1818" s="6" t="s">
        <v>3</v>
      </c>
      <c r="Y1818" s="5"/>
      <c r="Z1818" s="7">
        <v>0</v>
      </c>
      <c r="AA1818" s="6"/>
      <c r="AB1818" s="5"/>
      <c r="AC1818" s="6"/>
      <c r="AD1818" s="6" t="s">
        <v>3</v>
      </c>
      <c r="AE1818" s="5"/>
      <c r="AF1818" s="6">
        <v>0</v>
      </c>
      <c r="AG1818" s="6"/>
      <c r="AH1818" s="5"/>
      <c r="AI1818" s="6">
        <v>1</v>
      </c>
      <c r="AJ1818" s="6"/>
      <c r="AK1818" s="5"/>
      <c r="AL1818" s="5"/>
      <c r="AM1818" s="5"/>
      <c r="AN1818" s="5"/>
      <c r="AO1818" s="5"/>
      <c r="AP1818" s="5"/>
      <c r="AQ1818" s="5"/>
    </row>
    <row r="1819" spans="1:43" s="2" customFormat="1" x14ac:dyDescent="0.25">
      <c r="A1819" s="161" t="str">
        <f t="shared" si="31"/>
        <v>CAVEMAN</v>
      </c>
      <c r="B1819" s="9"/>
      <c r="C1819" s="5"/>
      <c r="D1819" s="5"/>
      <c r="E1819" s="5" t="s">
        <v>2087</v>
      </c>
      <c r="F1819" s="5" t="s">
        <v>2087</v>
      </c>
      <c r="G1819" s="5"/>
      <c r="H1819" s="5" t="s">
        <v>1405</v>
      </c>
      <c r="I1819" s="5" t="s">
        <v>128</v>
      </c>
      <c r="J1819" s="6"/>
      <c r="K1819" s="7">
        <v>1</v>
      </c>
      <c r="L1819" s="13" t="s">
        <v>1718</v>
      </c>
      <c r="M1819" s="8"/>
      <c r="N1819" s="5"/>
      <c r="O1819" s="5"/>
      <c r="P1819" s="5"/>
      <c r="Q1819" s="6">
        <v>0</v>
      </c>
      <c r="R1819" s="6" t="s">
        <v>1737</v>
      </c>
      <c r="S1819" s="13" t="s">
        <v>46</v>
      </c>
      <c r="T1819" s="6">
        <v>2</v>
      </c>
      <c r="U1819" s="7" t="s">
        <v>1737</v>
      </c>
      <c r="V1819" s="5"/>
      <c r="W1819" s="7">
        <v>3</v>
      </c>
      <c r="X1819" s="6" t="s">
        <v>3</v>
      </c>
      <c r="Y1819" s="5"/>
      <c r="Z1819" s="7">
        <v>0</v>
      </c>
      <c r="AA1819" s="6"/>
      <c r="AB1819" s="5"/>
      <c r="AC1819" s="6"/>
      <c r="AD1819" s="6" t="s">
        <v>3</v>
      </c>
      <c r="AE1819" s="5"/>
      <c r="AF1819" s="6">
        <v>0</v>
      </c>
      <c r="AG1819" s="6"/>
      <c r="AH1819" s="5"/>
      <c r="AI1819" s="6">
        <v>1</v>
      </c>
      <c r="AJ1819" s="6"/>
      <c r="AK1819" s="5"/>
      <c r="AL1819" s="5"/>
      <c r="AM1819" s="5"/>
      <c r="AN1819" s="5"/>
      <c r="AO1819" s="5"/>
      <c r="AP1819" s="5"/>
      <c r="AQ1819" s="5"/>
    </row>
    <row r="1820" spans="1:43" s="2" customFormat="1" x14ac:dyDescent="0.25">
      <c r="A1820" s="161" t="str">
        <f t="shared" si="31"/>
        <v>CAVEMAN</v>
      </c>
      <c r="B1820" s="9"/>
      <c r="C1820" s="5"/>
      <c r="D1820" s="5"/>
      <c r="E1820" s="5" t="s">
        <v>2087</v>
      </c>
      <c r="F1820" s="5" t="s">
        <v>2087</v>
      </c>
      <c r="G1820" s="5" t="s">
        <v>2047</v>
      </c>
      <c r="H1820" s="5" t="s">
        <v>1406</v>
      </c>
      <c r="I1820" s="5" t="s">
        <v>128</v>
      </c>
      <c r="J1820" s="6"/>
      <c r="K1820" s="7">
        <v>1</v>
      </c>
      <c r="L1820" s="13" t="s">
        <v>1718</v>
      </c>
      <c r="M1820" s="8"/>
      <c r="N1820" s="5"/>
      <c r="O1820" s="5"/>
      <c r="P1820" s="5"/>
      <c r="Q1820" s="6">
        <v>0</v>
      </c>
      <c r="R1820" s="6" t="s">
        <v>1737</v>
      </c>
      <c r="S1820" s="13" t="s">
        <v>46</v>
      </c>
      <c r="T1820" s="6">
        <v>2</v>
      </c>
      <c r="U1820" s="7" t="s">
        <v>1737</v>
      </c>
      <c r="V1820" s="5"/>
      <c r="W1820" s="7">
        <v>3</v>
      </c>
      <c r="X1820" s="6" t="s">
        <v>3</v>
      </c>
      <c r="Y1820" s="5"/>
      <c r="Z1820" s="7">
        <v>0</v>
      </c>
      <c r="AA1820" s="6"/>
      <c r="AB1820" s="5"/>
      <c r="AC1820" s="6"/>
      <c r="AD1820" s="6" t="s">
        <v>3</v>
      </c>
      <c r="AE1820" s="5"/>
      <c r="AF1820" s="6">
        <v>0</v>
      </c>
      <c r="AG1820" s="6"/>
      <c r="AH1820" s="5"/>
      <c r="AI1820" s="6">
        <v>0</v>
      </c>
      <c r="AJ1820" s="6"/>
      <c r="AK1820" s="5"/>
      <c r="AL1820" s="5"/>
      <c r="AM1820" s="5"/>
      <c r="AN1820" s="5"/>
      <c r="AO1820" s="5"/>
      <c r="AP1820" s="5"/>
      <c r="AQ1820" s="5"/>
    </row>
    <row r="1821" spans="1:43" s="2" customFormat="1" x14ac:dyDescent="0.25">
      <c r="A1821" s="161" t="str">
        <f t="shared" si="31"/>
        <v>CAVEMAN</v>
      </c>
      <c r="B1821" s="9"/>
      <c r="C1821" s="5"/>
      <c r="D1821" s="5"/>
      <c r="E1821" s="5" t="s">
        <v>2087</v>
      </c>
      <c r="F1821" s="5" t="s">
        <v>2087</v>
      </c>
      <c r="G1821" s="5" t="s">
        <v>2049</v>
      </c>
      <c r="H1821" s="5" t="s">
        <v>1407</v>
      </c>
      <c r="I1821" s="5" t="s">
        <v>128</v>
      </c>
      <c r="J1821" s="6"/>
      <c r="K1821" s="7">
        <v>1</v>
      </c>
      <c r="L1821" s="13" t="s">
        <v>1718</v>
      </c>
      <c r="M1821" s="8"/>
      <c r="N1821" s="5"/>
      <c r="O1821" s="5"/>
      <c r="P1821" s="5"/>
      <c r="Q1821" s="6">
        <v>0</v>
      </c>
      <c r="R1821" s="6" t="s">
        <v>1737</v>
      </c>
      <c r="S1821" s="13" t="s">
        <v>46</v>
      </c>
      <c r="T1821" s="6">
        <v>2</v>
      </c>
      <c r="U1821" s="7" t="s">
        <v>1737</v>
      </c>
      <c r="V1821" s="5"/>
      <c r="W1821" s="7">
        <v>3</v>
      </c>
      <c r="X1821" s="6" t="s">
        <v>3</v>
      </c>
      <c r="Y1821" s="5"/>
      <c r="Z1821" s="7">
        <v>0</v>
      </c>
      <c r="AA1821" s="6"/>
      <c r="AB1821" s="5"/>
      <c r="AC1821" s="6"/>
      <c r="AD1821" s="6" t="s">
        <v>3</v>
      </c>
      <c r="AE1821" s="5"/>
      <c r="AF1821" s="6">
        <v>0</v>
      </c>
      <c r="AG1821" s="6"/>
      <c r="AH1821" s="5"/>
      <c r="AI1821" s="6">
        <v>0</v>
      </c>
      <c r="AJ1821" s="6"/>
      <c r="AK1821" s="5"/>
      <c r="AL1821" s="5"/>
      <c r="AM1821" s="5"/>
      <c r="AN1821" s="5"/>
      <c r="AO1821" s="5"/>
      <c r="AP1821" s="5"/>
      <c r="AQ1821" s="5"/>
    </row>
    <row r="1822" spans="1:43" x14ac:dyDescent="0.25">
      <c r="A1822" s="161" t="str">
        <f>CONCATENATE(E1822,IF(ISBLANK(C1822),"",CONCATENATE("_",C1822)))</f>
        <v>CAVEMAN_AFRI</v>
      </c>
      <c r="C1822" s="5" t="s">
        <v>694</v>
      </c>
      <c r="D1822" s="5"/>
      <c r="E1822" s="5" t="s">
        <v>2087</v>
      </c>
      <c r="F1822" s="5" t="s">
        <v>2087</v>
      </c>
      <c r="G1822" s="5"/>
      <c r="H1822" s="5" t="s">
        <v>2097</v>
      </c>
      <c r="I1822" s="5" t="s">
        <v>1025</v>
      </c>
      <c r="J1822" s="6"/>
      <c r="K1822" s="7">
        <v>1</v>
      </c>
      <c r="L1822" s="13"/>
      <c r="M1822" s="8"/>
      <c r="N1822" s="13"/>
      <c r="O1822" s="13"/>
      <c r="P1822" s="13"/>
      <c r="Q1822" s="7">
        <v>6</v>
      </c>
      <c r="R1822" s="6"/>
      <c r="S1822" s="5"/>
      <c r="T1822" s="6">
        <v>10</v>
      </c>
      <c r="U1822" s="7"/>
      <c r="V1822" s="5"/>
      <c r="W1822" s="6" t="s">
        <v>3</v>
      </c>
      <c r="X1822" s="6"/>
      <c r="Y1822" s="5"/>
      <c r="Z1822" s="6">
        <v>1</v>
      </c>
      <c r="AA1822" s="6"/>
      <c r="AB1822" s="5"/>
      <c r="AC1822" s="6"/>
      <c r="AD1822" s="6"/>
      <c r="AE1822" s="5"/>
      <c r="AF1822" s="6">
        <v>2</v>
      </c>
      <c r="AG1822" s="6"/>
      <c r="AH1822" s="5"/>
      <c r="AI1822" s="6">
        <v>5</v>
      </c>
      <c r="AJ1822" s="6"/>
      <c r="AK1822" s="5"/>
      <c r="AL1822" s="5"/>
      <c r="AM1822" s="5"/>
      <c r="AN1822" s="5"/>
      <c r="AO1822" s="5"/>
      <c r="AP1822" s="5"/>
      <c r="AQ1822" s="5"/>
    </row>
    <row r="1823" spans="1:43" s="2" customFormat="1" x14ac:dyDescent="0.25">
      <c r="A1823" s="161" t="str">
        <f>CONCATENATE(E1823,IF(ISBLANK(C1823),"",CONCATENATE("_",C1823)))</f>
        <v>CAVEMAN_CENTAS</v>
      </c>
      <c r="B1823" s="9"/>
      <c r="C1823" s="4" t="s">
        <v>918</v>
      </c>
      <c r="D1823" s="4"/>
      <c r="E1823" s="4" t="s">
        <v>2087</v>
      </c>
      <c r="F1823" s="4" t="s">
        <v>2087</v>
      </c>
      <c r="G1823" s="4"/>
      <c r="H1823" s="4" t="s">
        <v>1792</v>
      </c>
      <c r="I1823" s="4" t="s">
        <v>1794</v>
      </c>
      <c r="J1823" s="11"/>
      <c r="K1823" s="7">
        <v>1</v>
      </c>
      <c r="L1823" s="4"/>
      <c r="M1823" s="12"/>
      <c r="N1823" s="4"/>
      <c r="O1823" s="4"/>
      <c r="P1823" s="4"/>
      <c r="Q1823" s="9">
        <v>6</v>
      </c>
      <c r="R1823" s="11"/>
      <c r="S1823" s="4"/>
      <c r="T1823" s="9">
        <v>10</v>
      </c>
      <c r="U1823" s="11"/>
      <c r="V1823" s="4"/>
      <c r="W1823" s="9" t="s">
        <v>3</v>
      </c>
      <c r="X1823" s="11"/>
      <c r="Y1823" s="4"/>
      <c r="Z1823" s="9">
        <v>1</v>
      </c>
      <c r="AA1823" s="11"/>
      <c r="AB1823" s="4"/>
      <c r="AC1823" s="11"/>
      <c r="AD1823" s="11"/>
      <c r="AE1823" s="4"/>
      <c r="AF1823" s="9">
        <v>2</v>
      </c>
      <c r="AG1823" s="11"/>
      <c r="AH1823" s="4"/>
      <c r="AI1823" s="9">
        <v>5</v>
      </c>
      <c r="AJ1823" s="11"/>
      <c r="AK1823" s="4"/>
      <c r="AL1823" s="4"/>
      <c r="AM1823" s="4"/>
      <c r="AN1823" s="4"/>
      <c r="AO1823" s="4"/>
      <c r="AP1823" s="4"/>
      <c r="AQ1823" s="4"/>
    </row>
    <row r="1824" spans="1:43" s="2" customFormat="1" x14ac:dyDescent="0.25">
      <c r="A1824" s="161" t="str">
        <f>CONCATENATE(E1824,IF(ISBLANK(C1824),"",CONCATENATE("_",C1824)))</f>
        <v>CAVEMAN_MED</v>
      </c>
      <c r="B1824" s="9"/>
      <c r="C1824" s="4" t="s">
        <v>692</v>
      </c>
      <c r="D1824" s="4"/>
      <c r="E1824" s="4" t="s">
        <v>2087</v>
      </c>
      <c r="F1824" s="4" t="s">
        <v>2087</v>
      </c>
      <c r="G1824" s="4"/>
      <c r="H1824" s="4" t="s">
        <v>853</v>
      </c>
      <c r="I1824" s="4" t="s">
        <v>1055</v>
      </c>
      <c r="J1824" s="11"/>
      <c r="K1824" s="7">
        <v>1</v>
      </c>
      <c r="L1824" s="4"/>
      <c r="M1824" s="12"/>
      <c r="N1824" s="4"/>
      <c r="O1824" s="4"/>
      <c r="P1824" s="4"/>
      <c r="Q1824" s="9">
        <v>6</v>
      </c>
      <c r="R1824" s="11"/>
      <c r="S1824" s="4"/>
      <c r="T1824" s="9">
        <v>10</v>
      </c>
      <c r="U1824" s="11"/>
      <c r="V1824" s="4"/>
      <c r="W1824" s="9" t="s">
        <v>3</v>
      </c>
      <c r="X1824" s="11"/>
      <c r="Y1824" s="4"/>
      <c r="Z1824" s="9">
        <v>1</v>
      </c>
      <c r="AA1824" s="11"/>
      <c r="AB1824" s="4"/>
      <c r="AC1824" s="11"/>
      <c r="AD1824" s="11"/>
      <c r="AE1824" s="4"/>
      <c r="AF1824" s="9">
        <v>2</v>
      </c>
      <c r="AG1824" s="11"/>
      <c r="AH1824" s="4"/>
      <c r="AI1824" s="9">
        <v>5</v>
      </c>
      <c r="AJ1824" s="11"/>
      <c r="AK1824" s="4"/>
      <c r="AL1824" s="4"/>
      <c r="AM1824" s="4"/>
      <c r="AN1824" s="4"/>
      <c r="AO1824" s="4"/>
      <c r="AP1824" s="4"/>
      <c r="AQ1824" s="4"/>
    </row>
    <row r="1825" spans="1:43" s="2" customFormat="1" x14ac:dyDescent="0.25">
      <c r="A1825" s="161" t="str">
        <f t="shared" si="31"/>
        <v>CAVEMAN_NORTHAF</v>
      </c>
      <c r="B1825" s="9"/>
      <c r="C1825" s="5" t="s">
        <v>2011</v>
      </c>
      <c r="D1825" s="5"/>
      <c r="E1825" s="5" t="s">
        <v>2087</v>
      </c>
      <c r="F1825" s="5" t="s">
        <v>2087</v>
      </c>
      <c r="G1825" s="5"/>
      <c r="H1825" s="5" t="s">
        <v>2099</v>
      </c>
      <c r="I1825" s="5" t="s">
        <v>1025</v>
      </c>
      <c r="J1825" s="6"/>
      <c r="K1825" s="7">
        <v>1</v>
      </c>
      <c r="L1825" s="13"/>
      <c r="M1825" s="8"/>
      <c r="N1825" s="5"/>
      <c r="O1825" s="5"/>
      <c r="P1825" s="5"/>
      <c r="Q1825" s="6">
        <v>6</v>
      </c>
      <c r="R1825" s="6"/>
      <c r="S1825" s="13"/>
      <c r="T1825" s="6">
        <v>10</v>
      </c>
      <c r="U1825" s="7"/>
      <c r="V1825" s="5"/>
      <c r="W1825" s="7" t="s">
        <v>3</v>
      </c>
      <c r="X1825" s="6"/>
      <c r="Y1825" s="5"/>
      <c r="Z1825" s="7">
        <v>1</v>
      </c>
      <c r="AA1825" s="6"/>
      <c r="AB1825" s="5"/>
      <c r="AC1825" s="6"/>
      <c r="AD1825" s="6"/>
      <c r="AE1825" s="5"/>
      <c r="AF1825" s="6">
        <v>2</v>
      </c>
      <c r="AG1825" s="6"/>
      <c r="AH1825" s="5"/>
      <c r="AI1825" s="6">
        <v>5</v>
      </c>
      <c r="AJ1825" s="6"/>
      <c r="AK1825" s="5"/>
      <c r="AL1825" s="5"/>
      <c r="AM1825" s="5"/>
      <c r="AN1825" s="5"/>
      <c r="AO1825" s="5"/>
      <c r="AP1825" s="5"/>
      <c r="AQ1825" s="5"/>
    </row>
    <row r="1826" spans="1:43" s="2" customFormat="1" x14ac:dyDescent="0.25">
      <c r="A1826" s="161" t="str">
        <f t="shared" si="31"/>
        <v>CAVEMAN_NORTHEU</v>
      </c>
      <c r="B1826" s="9"/>
      <c r="C1826" s="4" t="s">
        <v>962</v>
      </c>
      <c r="D1826" s="4"/>
      <c r="E1826" s="4" t="s">
        <v>2087</v>
      </c>
      <c r="F1826" s="4" t="s">
        <v>2087</v>
      </c>
      <c r="G1826" s="4"/>
      <c r="H1826" s="4" t="s">
        <v>1022</v>
      </c>
      <c r="I1826" s="4" t="s">
        <v>1796</v>
      </c>
      <c r="J1826" s="11"/>
      <c r="K1826" s="7">
        <v>1</v>
      </c>
      <c r="L1826" s="4"/>
      <c r="M1826" s="12"/>
      <c r="N1826" s="4"/>
      <c r="O1826" s="4"/>
      <c r="P1826" s="4"/>
      <c r="Q1826" s="9">
        <v>2</v>
      </c>
      <c r="R1826" s="11">
        <v>0.15</v>
      </c>
      <c r="S1826" s="4"/>
      <c r="T1826" s="11">
        <v>3</v>
      </c>
      <c r="U1826" s="11">
        <v>9.5000000000000001E-2</v>
      </c>
      <c r="V1826" s="4"/>
      <c r="W1826" s="11"/>
      <c r="X1826" s="11"/>
      <c r="Y1826" s="4"/>
      <c r="Z1826" s="9">
        <v>1</v>
      </c>
      <c r="AA1826" s="11"/>
      <c r="AB1826" s="4"/>
      <c r="AC1826" s="11"/>
      <c r="AD1826" s="11"/>
      <c r="AE1826" s="4"/>
      <c r="AF1826" s="11">
        <v>1</v>
      </c>
      <c r="AG1826" s="11"/>
      <c r="AH1826" s="4"/>
      <c r="AI1826" s="11">
        <v>1</v>
      </c>
      <c r="AJ1826" s="11"/>
      <c r="AK1826" s="4"/>
      <c r="AL1826" s="4"/>
      <c r="AM1826" s="4"/>
      <c r="AN1826" s="4"/>
      <c r="AO1826" s="4"/>
      <c r="AP1826" s="4"/>
      <c r="AQ1826" s="4"/>
    </row>
    <row r="1827" spans="1:43" s="2" customFormat="1" x14ac:dyDescent="0.25">
      <c r="A1827" s="161" t="str">
        <f t="shared" si="31"/>
        <v>CAVEMAN_NORTHEU</v>
      </c>
      <c r="B1827" s="9"/>
      <c r="C1827" s="4" t="s">
        <v>962</v>
      </c>
      <c r="D1827" s="4"/>
      <c r="E1827" s="4" t="s">
        <v>2087</v>
      </c>
      <c r="F1827" s="4" t="s">
        <v>2087</v>
      </c>
      <c r="G1827" s="4" t="s">
        <v>2047</v>
      </c>
      <c r="H1827" s="4" t="s">
        <v>1023</v>
      </c>
      <c r="I1827" s="4" t="s">
        <v>1796</v>
      </c>
      <c r="J1827" s="11"/>
      <c r="K1827" s="7">
        <v>1</v>
      </c>
      <c r="L1827" s="4"/>
      <c r="M1827" s="12"/>
      <c r="N1827" s="4"/>
      <c r="O1827" s="4"/>
      <c r="P1827" s="4"/>
      <c r="Q1827" s="9">
        <v>1</v>
      </c>
      <c r="R1827" s="11">
        <v>0.15</v>
      </c>
      <c r="S1827" s="4"/>
      <c r="T1827" s="11">
        <v>4</v>
      </c>
      <c r="U1827" s="11">
        <v>9.5000000000000001E-2</v>
      </c>
      <c r="V1827" s="4"/>
      <c r="W1827" s="11"/>
      <c r="X1827" s="11"/>
      <c r="Y1827" s="4"/>
      <c r="Z1827" s="9">
        <v>0</v>
      </c>
      <c r="AA1827" s="11"/>
      <c r="AB1827" s="4"/>
      <c r="AC1827" s="11"/>
      <c r="AD1827" s="11"/>
      <c r="AE1827" s="4"/>
      <c r="AF1827" s="11">
        <v>1</v>
      </c>
      <c r="AG1827" s="11"/>
      <c r="AH1827" s="4"/>
      <c r="AI1827" s="11">
        <v>1</v>
      </c>
      <c r="AJ1827" s="11"/>
      <c r="AK1827" s="4"/>
      <c r="AL1827" s="4"/>
      <c r="AM1827" s="4"/>
      <c r="AN1827" s="4"/>
      <c r="AO1827" s="4"/>
      <c r="AP1827" s="4"/>
      <c r="AQ1827" s="4"/>
    </row>
    <row r="1828" spans="1:43" s="2" customFormat="1" x14ac:dyDescent="0.25">
      <c r="A1828" s="161" t="str">
        <f t="shared" si="31"/>
        <v>CAVEMAN_NORTHEU</v>
      </c>
      <c r="B1828" s="9"/>
      <c r="C1828" s="4" t="s">
        <v>962</v>
      </c>
      <c r="D1828" s="4"/>
      <c r="E1828" s="4" t="s">
        <v>2087</v>
      </c>
      <c r="F1828" s="4" t="s">
        <v>2087</v>
      </c>
      <c r="G1828" s="4"/>
      <c r="H1828" s="4" t="s">
        <v>1022</v>
      </c>
      <c r="I1828" s="4" t="s">
        <v>1796</v>
      </c>
      <c r="J1828" s="11"/>
      <c r="K1828" s="7">
        <v>1</v>
      </c>
      <c r="L1828" s="4"/>
      <c r="M1828" s="12"/>
      <c r="N1828" s="4"/>
      <c r="O1828" s="4"/>
      <c r="P1828" s="4"/>
      <c r="Q1828" s="9">
        <v>1</v>
      </c>
      <c r="R1828" s="11">
        <v>0.15</v>
      </c>
      <c r="S1828" s="4"/>
      <c r="T1828" s="11">
        <v>4</v>
      </c>
      <c r="U1828" s="11">
        <v>9.5000000000000001E-2</v>
      </c>
      <c r="V1828" s="4"/>
      <c r="W1828" s="11"/>
      <c r="X1828" s="11"/>
      <c r="Y1828" s="4"/>
      <c r="Z1828" s="9">
        <v>0</v>
      </c>
      <c r="AA1828" s="11"/>
      <c r="AB1828" s="4"/>
      <c r="AC1828" s="11"/>
      <c r="AD1828" s="11"/>
      <c r="AE1828" s="4"/>
      <c r="AF1828" s="11">
        <v>0</v>
      </c>
      <c r="AG1828" s="11"/>
      <c r="AH1828" s="4"/>
      <c r="AI1828" s="11">
        <v>1</v>
      </c>
      <c r="AJ1828" s="11"/>
      <c r="AK1828" s="4"/>
      <c r="AL1828" s="4"/>
      <c r="AM1828" s="4"/>
      <c r="AN1828" s="4"/>
      <c r="AO1828" s="4"/>
      <c r="AP1828" s="4"/>
      <c r="AQ1828" s="4"/>
    </row>
    <row r="1829" spans="1:43" s="2" customFormat="1" x14ac:dyDescent="0.25">
      <c r="A1829" s="161" t="str">
        <f t="shared" si="31"/>
        <v>CAVEMAN_NORTHEU</v>
      </c>
      <c r="B1829" s="9"/>
      <c r="C1829" s="4" t="s">
        <v>962</v>
      </c>
      <c r="D1829" s="4"/>
      <c r="E1829" s="4" t="s">
        <v>2087</v>
      </c>
      <c r="F1829" s="4" t="s">
        <v>2087</v>
      </c>
      <c r="G1829" s="4" t="s">
        <v>2047</v>
      </c>
      <c r="H1829" s="4" t="s">
        <v>1023</v>
      </c>
      <c r="I1829" s="4" t="s">
        <v>1796</v>
      </c>
      <c r="J1829" s="11"/>
      <c r="K1829" s="7">
        <v>1</v>
      </c>
      <c r="L1829" s="4"/>
      <c r="M1829" s="12"/>
      <c r="N1829" s="4"/>
      <c r="O1829" s="4"/>
      <c r="P1829" s="4"/>
      <c r="Q1829" s="9">
        <v>2</v>
      </c>
      <c r="R1829" s="11">
        <v>0.15</v>
      </c>
      <c r="S1829" s="4"/>
      <c r="T1829" s="11">
        <v>2</v>
      </c>
      <c r="U1829" s="11">
        <v>9.5000000000000001E-2</v>
      </c>
      <c r="V1829" s="4"/>
      <c r="W1829" s="11"/>
      <c r="X1829" s="11"/>
      <c r="Y1829" s="4"/>
      <c r="Z1829" s="9">
        <v>0</v>
      </c>
      <c r="AA1829" s="11"/>
      <c r="AB1829" s="4"/>
      <c r="AC1829" s="11"/>
      <c r="AD1829" s="11"/>
      <c r="AE1829" s="4"/>
      <c r="AF1829" s="11">
        <v>0</v>
      </c>
      <c r="AG1829" s="11"/>
      <c r="AH1829" s="4"/>
      <c r="AI1829" s="11">
        <v>1</v>
      </c>
      <c r="AJ1829" s="11"/>
      <c r="AK1829" s="4"/>
      <c r="AL1829" s="4"/>
      <c r="AM1829" s="4"/>
      <c r="AN1829" s="4"/>
      <c r="AO1829" s="4"/>
      <c r="AP1829" s="4"/>
      <c r="AQ1829" s="4"/>
    </row>
    <row r="1830" spans="1:43" x14ac:dyDescent="0.25">
      <c r="A1830" s="161" t="str">
        <f t="shared" si="31"/>
        <v>EXPLORER</v>
      </c>
      <c r="C1830" s="5"/>
      <c r="D1830" s="5"/>
      <c r="E1830" s="5" t="s">
        <v>1338</v>
      </c>
      <c r="F1830" s="5" t="s">
        <v>1338</v>
      </c>
      <c r="G1830" s="5"/>
      <c r="H1830" s="5" t="s">
        <v>529</v>
      </c>
      <c r="I1830" s="5" t="s">
        <v>2103</v>
      </c>
      <c r="J1830" s="6"/>
      <c r="K1830" s="7">
        <v>1</v>
      </c>
      <c r="L1830" s="13"/>
      <c r="M1830" s="8"/>
      <c r="N1830" s="13"/>
      <c r="O1830" s="13"/>
      <c r="P1830" s="13"/>
      <c r="Q1830" s="7">
        <v>2</v>
      </c>
      <c r="R1830" s="6" t="s">
        <v>1695</v>
      </c>
      <c r="S1830" s="5"/>
      <c r="T1830" s="6">
        <v>3</v>
      </c>
      <c r="U1830" s="7" t="s">
        <v>1695</v>
      </c>
      <c r="V1830" s="5"/>
      <c r="W1830" s="6" t="s">
        <v>3</v>
      </c>
      <c r="X1830" s="6" t="s">
        <v>3</v>
      </c>
      <c r="Y1830" s="5"/>
      <c r="Z1830" s="6">
        <v>1</v>
      </c>
      <c r="AA1830" s="6"/>
      <c r="AB1830" s="5"/>
      <c r="AC1830" s="6"/>
      <c r="AD1830" s="6" t="s">
        <v>3</v>
      </c>
      <c r="AE1830" s="5"/>
      <c r="AF1830" s="6">
        <v>1</v>
      </c>
      <c r="AG1830" s="6"/>
      <c r="AH1830" s="5"/>
      <c r="AI1830" s="6">
        <v>2</v>
      </c>
      <c r="AJ1830" s="6"/>
      <c r="AK1830" s="5"/>
      <c r="AL1830" s="5"/>
      <c r="AM1830" s="5"/>
      <c r="AN1830" s="5"/>
      <c r="AO1830" s="5"/>
      <c r="AP1830" s="5"/>
      <c r="AQ1830" s="5"/>
    </row>
    <row r="1831" spans="1:43" x14ac:dyDescent="0.25">
      <c r="A1831" s="161" t="str">
        <f t="shared" si="31"/>
        <v>PRIMITIVE_ARCHER</v>
      </c>
      <c r="C1831" s="5"/>
      <c r="D1831" s="5"/>
      <c r="E1831" s="5" t="s">
        <v>2088</v>
      </c>
      <c r="F1831" s="5" t="s">
        <v>2088</v>
      </c>
      <c r="G1831" s="5"/>
      <c r="H1831" s="5" t="s">
        <v>2090</v>
      </c>
      <c r="I1831" s="5" t="s">
        <v>1935</v>
      </c>
      <c r="J1831" s="6"/>
      <c r="K1831" s="7">
        <v>1</v>
      </c>
      <c r="L1831" s="13"/>
      <c r="M1831" s="8"/>
      <c r="N1831" s="13"/>
      <c r="O1831" s="13"/>
      <c r="P1831" s="13"/>
      <c r="Q1831" s="7">
        <v>6</v>
      </c>
      <c r="R1831" s="6">
        <v>0.13</v>
      </c>
      <c r="S1831" s="5"/>
      <c r="T1831" s="6">
        <v>10</v>
      </c>
      <c r="U1831" s="7" t="s">
        <v>1737</v>
      </c>
      <c r="V1831" s="5"/>
      <c r="W1831" s="6" t="s">
        <v>3</v>
      </c>
      <c r="X1831" s="6" t="s">
        <v>3</v>
      </c>
      <c r="Y1831" s="5"/>
      <c r="Z1831" s="6">
        <v>1</v>
      </c>
      <c r="AA1831" s="6"/>
      <c r="AB1831" s="5"/>
      <c r="AC1831" s="6"/>
      <c r="AD1831" s="6" t="s">
        <v>3</v>
      </c>
      <c r="AE1831" s="5"/>
      <c r="AF1831" s="6">
        <v>2</v>
      </c>
      <c r="AG1831" s="6"/>
      <c r="AH1831" s="5"/>
      <c r="AI1831" s="6">
        <v>5</v>
      </c>
      <c r="AJ1831" s="6"/>
      <c r="AK1831" s="5"/>
      <c r="AL1831" s="5"/>
      <c r="AM1831" s="5"/>
      <c r="AN1831" s="5"/>
      <c r="AO1831" s="5"/>
      <c r="AP1831" s="5"/>
      <c r="AQ1831" s="5"/>
    </row>
    <row r="1832" spans="1:43" x14ac:dyDescent="0.25">
      <c r="A1832" s="161" t="str">
        <f t="shared" si="31"/>
        <v>SAVAGE</v>
      </c>
      <c r="C1832" s="5"/>
      <c r="D1832" s="5"/>
      <c r="E1832" s="5" t="s">
        <v>2089</v>
      </c>
      <c r="F1832" s="5" t="s">
        <v>2089</v>
      </c>
      <c r="G1832" s="5"/>
      <c r="H1832" s="5" t="s">
        <v>2130</v>
      </c>
      <c r="I1832" s="5" t="s">
        <v>2131</v>
      </c>
      <c r="J1832" s="6"/>
      <c r="K1832" s="7">
        <v>1</v>
      </c>
      <c r="L1832" s="13"/>
      <c r="M1832" s="8"/>
      <c r="N1832" s="13"/>
      <c r="O1832" s="13"/>
      <c r="P1832" s="13"/>
      <c r="Q1832" s="7">
        <v>6</v>
      </c>
      <c r="R1832" s="6">
        <v>0.14000000000000001</v>
      </c>
      <c r="S1832" s="5"/>
      <c r="T1832" s="6">
        <v>10</v>
      </c>
      <c r="U1832" s="7" t="s">
        <v>1737</v>
      </c>
      <c r="V1832" s="5"/>
      <c r="W1832" s="6" t="s">
        <v>3</v>
      </c>
      <c r="X1832" s="6" t="s">
        <v>3</v>
      </c>
      <c r="Y1832" s="5"/>
      <c r="Z1832" s="6">
        <v>1</v>
      </c>
      <c r="AA1832" s="6"/>
      <c r="AB1832" s="5"/>
      <c r="AC1832" s="6"/>
      <c r="AD1832" s="6" t="s">
        <v>3</v>
      </c>
      <c r="AE1832" s="5"/>
      <c r="AF1832" s="6">
        <v>2</v>
      </c>
      <c r="AG1832" s="6"/>
      <c r="AH1832" s="5"/>
      <c r="AI1832" s="6">
        <v>5</v>
      </c>
      <c r="AJ1832" s="6"/>
      <c r="AK1832" s="5"/>
      <c r="AL1832" s="5"/>
      <c r="AM1832" s="5"/>
      <c r="AN1832" s="5"/>
      <c r="AO1832" s="5"/>
      <c r="AP1832" s="5"/>
      <c r="AQ1832" s="5"/>
    </row>
    <row r="1833" spans="1:43" s="2" customFormat="1" x14ac:dyDescent="0.25">
      <c r="A1833" s="161" t="str">
        <f t="shared" si="31"/>
        <v>SAVAGE_AFRI</v>
      </c>
      <c r="B1833" s="9"/>
      <c r="C1833" s="5" t="s">
        <v>694</v>
      </c>
      <c r="D1833" s="5"/>
      <c r="E1833" s="5" t="s">
        <v>2089</v>
      </c>
      <c r="F1833" s="5" t="s">
        <v>2089</v>
      </c>
      <c r="G1833" s="5"/>
      <c r="H1833" s="5" t="s">
        <v>2098</v>
      </c>
      <c r="I1833" s="5" t="s">
        <v>1025</v>
      </c>
      <c r="J1833" s="6"/>
      <c r="K1833" s="7">
        <v>1</v>
      </c>
      <c r="L1833" s="13"/>
      <c r="M1833" s="8"/>
      <c r="N1833" s="5"/>
      <c r="O1833" s="5"/>
      <c r="P1833" s="5"/>
      <c r="Q1833" s="6"/>
      <c r="R1833" s="6"/>
      <c r="S1833" s="13"/>
      <c r="T1833" s="6"/>
      <c r="U1833" s="7"/>
      <c r="V1833" s="5"/>
      <c r="W1833" s="7"/>
      <c r="X1833" s="6"/>
      <c r="Y1833" s="5"/>
      <c r="Z1833" s="7"/>
      <c r="AA1833" s="6"/>
      <c r="AB1833" s="5"/>
      <c r="AC1833" s="6"/>
      <c r="AD1833" s="6"/>
      <c r="AE1833" s="5"/>
      <c r="AF1833" s="6"/>
      <c r="AG1833" s="6"/>
      <c r="AH1833" s="5"/>
      <c r="AI1833" s="6"/>
      <c r="AJ1833" s="6"/>
      <c r="AK1833" s="5"/>
      <c r="AL1833" s="5"/>
      <c r="AM1833" s="5"/>
      <c r="AN1833" s="5"/>
      <c r="AO1833" s="5"/>
      <c r="AP1833" s="5"/>
      <c r="AQ1833" s="5"/>
    </row>
    <row r="1834" spans="1:43" s="2" customFormat="1" x14ac:dyDescent="0.25">
      <c r="A1834" s="161" t="str">
        <f t="shared" si="31"/>
        <v>SAVAGE_CELTS</v>
      </c>
      <c r="B1834" s="9"/>
      <c r="C1834" s="5" t="s">
        <v>709</v>
      </c>
      <c r="D1834" s="5" t="s">
        <v>962</v>
      </c>
      <c r="E1834" s="5" t="s">
        <v>2089</v>
      </c>
      <c r="F1834" s="5" t="s">
        <v>2089</v>
      </c>
      <c r="G1834" s="5"/>
      <c r="H1834" s="5"/>
      <c r="I1834" s="5"/>
      <c r="J1834" s="6"/>
      <c r="K1834" s="7">
        <v>1</v>
      </c>
      <c r="L1834" s="13"/>
      <c r="M1834" s="8"/>
      <c r="N1834" s="5"/>
      <c r="O1834" s="5"/>
      <c r="P1834" s="5"/>
      <c r="Q1834" s="6"/>
      <c r="R1834" s="6"/>
      <c r="S1834" s="13"/>
      <c r="T1834" s="6"/>
      <c r="U1834" s="7"/>
      <c r="V1834" s="5"/>
      <c r="W1834" s="7"/>
      <c r="X1834" s="6"/>
      <c r="Y1834" s="5"/>
      <c r="Z1834" s="7"/>
      <c r="AA1834" s="6"/>
      <c r="AB1834" s="5"/>
      <c r="AC1834" s="6"/>
      <c r="AD1834" s="6"/>
      <c r="AE1834" s="5"/>
      <c r="AF1834" s="6"/>
      <c r="AG1834" s="6"/>
      <c r="AH1834" s="5"/>
      <c r="AI1834" s="6"/>
      <c r="AJ1834" s="6"/>
      <c r="AK1834" s="5"/>
      <c r="AL1834" s="5"/>
      <c r="AM1834" s="5"/>
      <c r="AN1834" s="5"/>
      <c r="AO1834" s="5"/>
      <c r="AP1834" s="5"/>
      <c r="AQ1834" s="5"/>
    </row>
    <row r="1835" spans="1:43" s="2" customFormat="1" x14ac:dyDescent="0.25">
      <c r="A1835" s="161" t="str">
        <f>CONCATENATE(E1835,IF(ISBLANK(C1835),"",CONCATENATE("_",C1835)))</f>
        <v>SAVAGE_EURO</v>
      </c>
      <c r="B1835" s="9"/>
      <c r="C1835" s="4" t="s">
        <v>689</v>
      </c>
      <c r="D1835" s="4"/>
      <c r="E1835" s="4" t="s">
        <v>2089</v>
      </c>
      <c r="F1835" s="4" t="s">
        <v>2089</v>
      </c>
      <c r="G1835" s="4"/>
      <c r="H1835" s="4" t="s">
        <v>236</v>
      </c>
      <c r="I1835" s="4" t="s">
        <v>1055</v>
      </c>
      <c r="J1835" s="11"/>
      <c r="K1835" s="7">
        <v>1</v>
      </c>
      <c r="L1835" s="4"/>
      <c r="M1835" s="12"/>
      <c r="N1835" s="4"/>
      <c r="O1835" s="4"/>
      <c r="P1835" s="4"/>
      <c r="Q1835" s="9"/>
      <c r="R1835" s="11"/>
      <c r="S1835" s="4"/>
      <c r="T1835" s="11"/>
      <c r="U1835" s="11"/>
      <c r="V1835" s="4"/>
      <c r="W1835" s="11"/>
      <c r="X1835" s="11"/>
      <c r="Y1835" s="4"/>
      <c r="Z1835" s="9"/>
      <c r="AA1835" s="11"/>
      <c r="AB1835" s="4"/>
      <c r="AC1835" s="11"/>
      <c r="AD1835" s="11"/>
      <c r="AE1835" s="4"/>
      <c r="AF1835" s="11"/>
      <c r="AG1835" s="11"/>
      <c r="AH1835" s="4"/>
      <c r="AI1835" s="11"/>
      <c r="AJ1835" s="11"/>
      <c r="AK1835" s="4"/>
      <c r="AL1835" s="4"/>
      <c r="AM1835" s="4"/>
      <c r="AN1835" s="4"/>
      <c r="AO1835" s="4"/>
      <c r="AP1835" s="4"/>
      <c r="AQ1835" s="4"/>
    </row>
    <row r="1836" spans="1:43" s="2" customFormat="1" x14ac:dyDescent="0.25">
      <c r="A1836" s="161" t="str">
        <f t="shared" si="31"/>
        <v>SAVAGE_NORTHEU</v>
      </c>
      <c r="B1836" s="9"/>
      <c r="C1836" s="5" t="s">
        <v>962</v>
      </c>
      <c r="D1836" s="5"/>
      <c r="E1836" s="5" t="s">
        <v>2089</v>
      </c>
      <c r="F1836" s="5" t="s">
        <v>2089</v>
      </c>
      <c r="G1836" s="5"/>
      <c r="H1836" s="5" t="s">
        <v>2094</v>
      </c>
      <c r="I1836" s="5" t="s">
        <v>835</v>
      </c>
      <c r="J1836" s="6"/>
      <c r="K1836" s="7">
        <v>1</v>
      </c>
      <c r="L1836" s="13"/>
      <c r="M1836" s="8"/>
      <c r="N1836" s="5"/>
      <c r="O1836" s="5"/>
      <c r="P1836" s="5"/>
      <c r="Q1836" s="6"/>
      <c r="R1836" s="6"/>
      <c r="S1836" s="13"/>
      <c r="T1836" s="6"/>
      <c r="U1836" s="7"/>
      <c r="V1836" s="5"/>
      <c r="W1836" s="7"/>
      <c r="X1836" s="6"/>
      <c r="Y1836" s="5"/>
      <c r="Z1836" s="7"/>
      <c r="AA1836" s="6"/>
      <c r="AB1836" s="5"/>
      <c r="AC1836" s="6"/>
      <c r="AD1836" s="6"/>
      <c r="AE1836" s="5"/>
      <c r="AF1836" s="6"/>
      <c r="AG1836" s="6"/>
      <c r="AH1836" s="5"/>
      <c r="AI1836" s="6"/>
      <c r="AJ1836" s="6"/>
      <c r="AK1836" s="5"/>
      <c r="AL1836" s="5"/>
      <c r="AM1836" s="5"/>
      <c r="AN1836" s="5"/>
      <c r="AO1836" s="5"/>
      <c r="AP1836" s="5"/>
      <c r="AQ1836" s="5"/>
    </row>
    <row r="1837" spans="1:43" x14ac:dyDescent="0.25">
      <c r="A1837" s="161" t="str">
        <f t="shared" si="31"/>
        <v>SAVAGE_NORTHAF</v>
      </c>
      <c r="C1837" s="5" t="s">
        <v>2011</v>
      </c>
      <c r="D1837" s="5"/>
      <c r="E1837" s="5" t="s">
        <v>2089</v>
      </c>
      <c r="F1837" s="5" t="s">
        <v>2089</v>
      </c>
      <c r="G1837" s="5"/>
      <c r="H1837" s="5" t="s">
        <v>2100</v>
      </c>
      <c r="I1837" s="5" t="s">
        <v>1025</v>
      </c>
      <c r="J1837" s="6"/>
      <c r="K1837" s="7">
        <v>1</v>
      </c>
      <c r="L1837" s="13"/>
      <c r="M1837" s="8"/>
      <c r="N1837" s="13"/>
      <c r="O1837" s="13"/>
      <c r="P1837" s="13"/>
      <c r="Q1837" s="7">
        <v>2</v>
      </c>
      <c r="R1837" s="6"/>
      <c r="S1837" s="5"/>
      <c r="T1837" s="6">
        <v>2</v>
      </c>
      <c r="U1837" s="7"/>
      <c r="V1837" s="5"/>
      <c r="W1837" s="6"/>
      <c r="X1837" s="6"/>
      <c r="Y1837" s="5"/>
      <c r="Z1837" s="6">
        <v>1</v>
      </c>
      <c r="AA1837" s="6"/>
      <c r="AB1837" s="5"/>
      <c r="AC1837" s="6"/>
      <c r="AD1837" s="6"/>
      <c r="AE1837" s="5"/>
      <c r="AF1837" s="6">
        <v>1</v>
      </c>
      <c r="AG1837" s="6"/>
      <c r="AH1837" s="5"/>
      <c r="AI1837" s="6">
        <v>2</v>
      </c>
      <c r="AJ1837" s="6"/>
      <c r="AK1837" s="5"/>
      <c r="AL1837" s="5"/>
      <c r="AM1837" s="5"/>
      <c r="AN1837" s="5"/>
      <c r="AO1837" s="5"/>
      <c r="AP1837" s="5"/>
      <c r="AQ1837" s="5"/>
    </row>
    <row r="1838" spans="1:43" x14ac:dyDescent="0.25">
      <c r="A1838" s="161" t="str">
        <f t="shared" si="31"/>
        <v>SAVAGE_NORTHAF</v>
      </c>
      <c r="C1838" s="5" t="s">
        <v>2011</v>
      </c>
      <c r="D1838" s="5"/>
      <c r="E1838" s="5" t="s">
        <v>2089</v>
      </c>
      <c r="F1838" s="5" t="s">
        <v>2089</v>
      </c>
      <c r="G1838" s="5"/>
      <c r="H1838" s="5" t="s">
        <v>2101</v>
      </c>
      <c r="I1838" s="5" t="s">
        <v>1025</v>
      </c>
      <c r="J1838" s="6"/>
      <c r="K1838" s="7">
        <v>1</v>
      </c>
      <c r="L1838" s="13"/>
      <c r="M1838" s="8"/>
      <c r="N1838" s="13"/>
      <c r="O1838" s="13"/>
      <c r="P1838" s="13"/>
      <c r="Q1838" s="7">
        <v>2</v>
      </c>
      <c r="R1838" s="6"/>
      <c r="S1838" s="5"/>
      <c r="T1838" s="6">
        <v>3</v>
      </c>
      <c r="U1838" s="7"/>
      <c r="V1838" s="5"/>
      <c r="W1838" s="6"/>
      <c r="X1838" s="6"/>
      <c r="Y1838" s="5"/>
      <c r="Z1838" s="6">
        <v>0</v>
      </c>
      <c r="AA1838" s="6"/>
      <c r="AB1838" s="5"/>
      <c r="AC1838" s="6"/>
      <c r="AD1838" s="6"/>
      <c r="AE1838" s="5"/>
      <c r="AF1838" s="6">
        <v>1</v>
      </c>
      <c r="AG1838" s="6"/>
      <c r="AH1838" s="5"/>
      <c r="AI1838" s="6">
        <v>1</v>
      </c>
      <c r="AJ1838" s="6"/>
      <c r="AK1838" s="5"/>
      <c r="AL1838" s="5"/>
      <c r="AM1838" s="5"/>
      <c r="AN1838" s="5"/>
      <c r="AO1838" s="5"/>
      <c r="AP1838" s="5"/>
      <c r="AQ1838" s="5"/>
    </row>
    <row r="1839" spans="1:43" x14ac:dyDescent="0.25">
      <c r="A1839" s="161" t="str">
        <f t="shared" si="31"/>
        <v>SAVAGE_NORTHAF</v>
      </c>
      <c r="C1839" s="5" t="s">
        <v>2011</v>
      </c>
      <c r="D1839" s="5"/>
      <c r="E1839" s="5" t="s">
        <v>2089</v>
      </c>
      <c r="F1839" s="5" t="s">
        <v>2089</v>
      </c>
      <c r="G1839" s="5"/>
      <c r="H1839" s="5" t="s">
        <v>2100</v>
      </c>
      <c r="I1839" s="5" t="s">
        <v>1025</v>
      </c>
      <c r="J1839" s="6"/>
      <c r="K1839" s="7">
        <v>1</v>
      </c>
      <c r="L1839" s="13"/>
      <c r="M1839" s="8"/>
      <c r="N1839" s="13"/>
      <c r="O1839" s="13"/>
      <c r="P1839" s="13"/>
      <c r="Q1839" s="7">
        <v>2</v>
      </c>
      <c r="R1839" s="6"/>
      <c r="S1839" s="5"/>
      <c r="T1839" s="6">
        <v>3</v>
      </c>
      <c r="U1839" s="7"/>
      <c r="V1839" s="5"/>
      <c r="W1839" s="6"/>
      <c r="X1839" s="6"/>
      <c r="Y1839" s="5"/>
      <c r="Z1839" s="6">
        <v>0</v>
      </c>
      <c r="AA1839" s="6"/>
      <c r="AB1839" s="5"/>
      <c r="AC1839" s="6"/>
      <c r="AD1839" s="6"/>
      <c r="AE1839" s="5"/>
      <c r="AF1839" s="6">
        <v>0</v>
      </c>
      <c r="AG1839" s="6"/>
      <c r="AH1839" s="5"/>
      <c r="AI1839" s="6">
        <v>1</v>
      </c>
      <c r="AJ1839" s="6"/>
      <c r="AK1839" s="5"/>
      <c r="AL1839" s="5"/>
      <c r="AM1839" s="5"/>
      <c r="AN1839" s="5"/>
      <c r="AO1839" s="5"/>
      <c r="AP1839" s="5"/>
      <c r="AQ1839" s="5"/>
    </row>
    <row r="1840" spans="1:43" x14ac:dyDescent="0.25">
      <c r="A1840" s="161" t="str">
        <f t="shared" si="31"/>
        <v>SAVAGE_NORTHAF</v>
      </c>
      <c r="C1840" s="5" t="s">
        <v>2011</v>
      </c>
      <c r="D1840" s="5"/>
      <c r="E1840" s="5" t="s">
        <v>2089</v>
      </c>
      <c r="F1840" s="5" t="s">
        <v>2089</v>
      </c>
      <c r="G1840" s="5"/>
      <c r="H1840" s="5" t="s">
        <v>2101</v>
      </c>
      <c r="I1840" s="5" t="s">
        <v>1025</v>
      </c>
      <c r="J1840" s="6"/>
      <c r="K1840" s="7">
        <v>1</v>
      </c>
      <c r="L1840" s="13"/>
      <c r="M1840" s="8"/>
      <c r="N1840" s="13"/>
      <c r="O1840" s="13"/>
      <c r="P1840" s="13"/>
      <c r="Q1840" s="7">
        <v>0</v>
      </c>
      <c r="R1840" s="6"/>
      <c r="S1840" s="5"/>
      <c r="T1840" s="6">
        <v>2</v>
      </c>
      <c r="U1840" s="7"/>
      <c r="V1840" s="5"/>
      <c r="W1840" s="6"/>
      <c r="X1840" s="6"/>
      <c r="Y1840" s="5"/>
      <c r="Z1840" s="6">
        <v>0</v>
      </c>
      <c r="AA1840" s="6"/>
      <c r="AB1840" s="5"/>
      <c r="AC1840" s="6"/>
      <c r="AD1840" s="6"/>
      <c r="AE1840" s="5"/>
      <c r="AF1840" s="6">
        <v>0</v>
      </c>
      <c r="AG1840" s="6"/>
      <c r="AH1840" s="5"/>
      <c r="AI1840" s="6">
        <v>1</v>
      </c>
      <c r="AJ1840" s="6"/>
      <c r="AK1840" s="5"/>
      <c r="AL1840" s="5"/>
      <c r="AM1840" s="5"/>
      <c r="AN1840" s="5"/>
      <c r="AO1840" s="5"/>
      <c r="AP1840" s="5"/>
      <c r="AQ1840" s="5"/>
    </row>
    <row r="1841" spans="1:43" x14ac:dyDescent="0.25">
      <c r="A1841" s="161" t="str">
        <f t="shared" si="31"/>
        <v>SHAMAN</v>
      </c>
      <c r="C1841" s="5"/>
      <c r="D1841" s="5"/>
      <c r="E1841" s="5" t="s">
        <v>2095</v>
      </c>
      <c r="F1841" s="5" t="s">
        <v>2095</v>
      </c>
      <c r="G1841" s="5"/>
      <c r="H1841" s="5" t="s">
        <v>2096</v>
      </c>
      <c r="I1841" s="5" t="s">
        <v>102</v>
      </c>
      <c r="J1841" s="6"/>
      <c r="K1841" s="7">
        <v>1</v>
      </c>
      <c r="L1841" s="13"/>
      <c r="M1841" s="8"/>
      <c r="N1841" s="13"/>
      <c r="O1841" s="13"/>
      <c r="P1841" s="13"/>
      <c r="Q1841" s="7">
        <v>3</v>
      </c>
      <c r="R1841" s="6">
        <v>0.13500000000000001</v>
      </c>
      <c r="S1841" s="5"/>
      <c r="T1841" s="6"/>
      <c r="U1841" s="7"/>
      <c r="V1841" s="5"/>
      <c r="W1841" s="6"/>
      <c r="X1841" s="6"/>
      <c r="Y1841" s="5"/>
      <c r="Z1841" s="6">
        <v>1</v>
      </c>
      <c r="AA1841" s="6"/>
      <c r="AB1841" s="5"/>
      <c r="AC1841" s="6"/>
      <c r="AD1841" s="6"/>
      <c r="AE1841" s="5"/>
      <c r="AF1841" s="6">
        <v>2</v>
      </c>
      <c r="AG1841" s="6"/>
      <c r="AH1841" s="5"/>
      <c r="AI1841" s="6">
        <v>3</v>
      </c>
      <c r="AJ1841" s="6"/>
      <c r="AK1841" s="5"/>
      <c r="AL1841" s="5"/>
      <c r="AM1841" s="5"/>
      <c r="AN1841" s="5"/>
      <c r="AO1841" s="5"/>
      <c r="AP1841" s="5"/>
      <c r="AQ1841" s="5"/>
    </row>
    <row r="1842" spans="1:43" x14ac:dyDescent="0.25">
      <c r="A1842" s="161" t="str">
        <f t="shared" si="31"/>
        <v>2HANDER</v>
      </c>
      <c r="C1842" s="5"/>
      <c r="D1842" s="5"/>
      <c r="E1842" s="5" t="s">
        <v>2170</v>
      </c>
      <c r="F1842" s="5" t="s">
        <v>2170</v>
      </c>
      <c r="G1842" s="5"/>
      <c r="H1842" s="5" t="s">
        <v>2174</v>
      </c>
      <c r="I1842" s="5" t="s">
        <v>1813</v>
      </c>
      <c r="J1842" s="6"/>
      <c r="K1842" s="7">
        <v>1</v>
      </c>
      <c r="L1842" s="13"/>
      <c r="M1842" s="8"/>
      <c r="N1842" s="13"/>
      <c r="O1842" s="13"/>
      <c r="P1842" s="13"/>
      <c r="Q1842" s="7"/>
      <c r="R1842" s="6"/>
      <c r="S1842" s="5"/>
      <c r="T1842" s="6"/>
      <c r="U1842" s="7"/>
      <c r="V1842" s="5"/>
      <c r="W1842" s="6"/>
      <c r="X1842" s="6"/>
      <c r="Y1842" s="5"/>
      <c r="Z1842" s="6"/>
      <c r="AA1842" s="6"/>
      <c r="AB1842" s="5"/>
      <c r="AC1842" s="6"/>
      <c r="AD1842" s="6"/>
      <c r="AE1842" s="5"/>
      <c r="AF1842" s="6"/>
      <c r="AG1842" s="6"/>
      <c r="AH1842" s="5"/>
      <c r="AI1842" s="6"/>
      <c r="AJ1842" s="6"/>
      <c r="AK1842" s="5"/>
      <c r="AL1842" s="5"/>
      <c r="AM1842" s="5"/>
      <c r="AN1842" s="5"/>
      <c r="AO1842" s="5"/>
      <c r="AP1842" s="5"/>
      <c r="AQ1842" s="5"/>
    </row>
    <row r="1843" spans="1:43" x14ac:dyDescent="0.25">
      <c r="A1843" s="161" t="str">
        <f t="shared" si="31"/>
        <v>2HANDER_NORTHEU</v>
      </c>
      <c r="C1843" s="5" t="s">
        <v>962</v>
      </c>
      <c r="D1843" s="5"/>
      <c r="E1843" s="5" t="s">
        <v>2170</v>
      </c>
      <c r="F1843" s="5" t="s">
        <v>2170</v>
      </c>
      <c r="G1843" s="5"/>
      <c r="H1843" s="5" t="s">
        <v>2421</v>
      </c>
      <c r="I1843" s="5" t="s">
        <v>1813</v>
      </c>
      <c r="J1843" s="6"/>
      <c r="K1843" s="7">
        <v>1</v>
      </c>
      <c r="L1843" s="13"/>
      <c r="M1843" s="8"/>
      <c r="N1843" s="13"/>
      <c r="O1843" s="13"/>
      <c r="P1843" s="13"/>
      <c r="Q1843" s="7"/>
      <c r="R1843" s="6"/>
      <c r="S1843" s="5"/>
      <c r="T1843" s="6"/>
      <c r="U1843" s="7"/>
      <c r="V1843" s="5"/>
      <c r="W1843" s="6"/>
      <c r="X1843" s="6"/>
      <c r="Y1843" s="5"/>
      <c r="Z1843" s="6"/>
      <c r="AA1843" s="6"/>
      <c r="AB1843" s="5"/>
      <c r="AC1843" s="6"/>
      <c r="AD1843" s="6"/>
      <c r="AE1843" s="5"/>
      <c r="AF1843" s="6"/>
      <c r="AG1843" s="6"/>
      <c r="AH1843" s="5"/>
      <c r="AI1843" s="6"/>
      <c r="AJ1843" s="6"/>
      <c r="AK1843" s="5"/>
      <c r="AL1843" s="5"/>
      <c r="AM1843" s="5"/>
      <c r="AN1843" s="5"/>
      <c r="AO1843" s="5"/>
      <c r="AP1843" s="5"/>
      <c r="AQ1843" s="5"/>
    </row>
    <row r="1844" spans="1:43" x14ac:dyDescent="0.25">
      <c r="A1844" s="161" t="str">
        <f t="shared" si="31"/>
        <v>2HANDER_SWEDEN</v>
      </c>
      <c r="C1844" s="5" t="s">
        <v>739</v>
      </c>
      <c r="D1844" s="5"/>
      <c r="E1844" s="5" t="s">
        <v>2170</v>
      </c>
      <c r="F1844" s="5" t="s">
        <v>2170</v>
      </c>
      <c r="G1844" s="5"/>
      <c r="H1844" s="5" t="s">
        <v>2422</v>
      </c>
      <c r="I1844" s="5" t="s">
        <v>1813</v>
      </c>
      <c r="J1844" s="6"/>
      <c r="K1844" s="7">
        <v>1</v>
      </c>
      <c r="L1844" s="13"/>
      <c r="M1844" s="8"/>
      <c r="N1844" s="13"/>
      <c r="O1844" s="13"/>
      <c r="P1844" s="13"/>
      <c r="Q1844" s="7"/>
      <c r="R1844" s="6"/>
      <c r="S1844" s="5"/>
      <c r="T1844" s="6"/>
      <c r="U1844" s="7"/>
      <c r="V1844" s="5"/>
      <c r="W1844" s="6"/>
      <c r="X1844" s="6"/>
      <c r="Y1844" s="5"/>
      <c r="Z1844" s="6"/>
      <c r="AA1844" s="6"/>
      <c r="AB1844" s="5"/>
      <c r="AC1844" s="6"/>
      <c r="AD1844" s="6"/>
      <c r="AE1844" s="5"/>
      <c r="AF1844" s="6"/>
      <c r="AG1844" s="6"/>
      <c r="AH1844" s="5"/>
      <c r="AI1844" s="6"/>
      <c r="AJ1844" s="6"/>
      <c r="AK1844" s="5"/>
      <c r="AL1844" s="5"/>
      <c r="AM1844" s="5"/>
      <c r="AN1844" s="5"/>
      <c r="AO1844" s="5"/>
      <c r="AP1844" s="5"/>
      <c r="AQ1844" s="5"/>
    </row>
    <row r="1845" spans="1:43" x14ac:dyDescent="0.25">
      <c r="A1845" s="161" t="str">
        <f t="shared" si="31"/>
        <v>2HANDER_SOUTHAS</v>
      </c>
      <c r="C1845" s="5" t="s">
        <v>695</v>
      </c>
      <c r="D1845" s="5"/>
      <c r="E1845" s="5" t="s">
        <v>2170</v>
      </c>
      <c r="F1845" s="5" t="s">
        <v>2170</v>
      </c>
      <c r="G1845" s="5"/>
      <c r="H1845" s="5" t="s">
        <v>2420</v>
      </c>
      <c r="I1845" s="5" t="s">
        <v>1813</v>
      </c>
      <c r="J1845" s="6"/>
      <c r="K1845" s="7">
        <v>1</v>
      </c>
      <c r="L1845" s="13"/>
      <c r="M1845" s="8"/>
      <c r="N1845" s="13"/>
      <c r="O1845" s="13"/>
      <c r="P1845" s="13"/>
      <c r="Q1845" s="7"/>
      <c r="R1845" s="6"/>
      <c r="S1845" s="5"/>
      <c r="T1845" s="6"/>
      <c r="U1845" s="7"/>
      <c r="V1845" s="5"/>
      <c r="W1845" s="6"/>
      <c r="X1845" s="6"/>
      <c r="Y1845" s="5"/>
      <c r="Z1845" s="6"/>
      <c r="AA1845" s="6"/>
      <c r="AB1845" s="5"/>
      <c r="AC1845" s="6"/>
      <c r="AD1845" s="6"/>
      <c r="AE1845" s="5"/>
      <c r="AF1845" s="6"/>
      <c r="AG1845" s="6"/>
      <c r="AH1845" s="5"/>
      <c r="AI1845" s="6"/>
      <c r="AJ1845" s="6"/>
      <c r="AK1845" s="5"/>
      <c r="AL1845" s="5"/>
      <c r="AM1845" s="5"/>
      <c r="AN1845" s="5"/>
      <c r="AO1845" s="5"/>
      <c r="AP1845" s="5"/>
      <c r="AQ1845" s="5"/>
    </row>
    <row r="1846" spans="1:43" x14ac:dyDescent="0.25">
      <c r="A1846" s="161" t="str">
        <f t="shared" si="31"/>
        <v>REITER</v>
      </c>
      <c r="C1846" s="5"/>
      <c r="D1846" s="5"/>
      <c r="E1846" s="5" t="s">
        <v>2171</v>
      </c>
      <c r="F1846" s="5" t="s">
        <v>2171</v>
      </c>
      <c r="G1846" s="5"/>
      <c r="H1846" s="5" t="s">
        <v>2175</v>
      </c>
      <c r="I1846" s="5" t="s">
        <v>1935</v>
      </c>
      <c r="J1846" s="6"/>
      <c r="K1846" s="7">
        <v>1</v>
      </c>
      <c r="L1846" s="13"/>
      <c r="M1846" s="8"/>
      <c r="N1846" s="13"/>
      <c r="O1846" s="13"/>
      <c r="P1846" s="13"/>
      <c r="Q1846" s="7"/>
      <c r="R1846" s="6"/>
      <c r="S1846" s="5"/>
      <c r="T1846" s="6"/>
      <c r="U1846" s="7"/>
      <c r="V1846" s="5"/>
      <c r="W1846" s="6"/>
      <c r="X1846" s="6"/>
      <c r="Y1846" s="5"/>
      <c r="Z1846" s="6"/>
      <c r="AA1846" s="6"/>
      <c r="AB1846" s="5"/>
      <c r="AC1846" s="6"/>
      <c r="AD1846" s="6"/>
      <c r="AE1846" s="5"/>
      <c r="AF1846" s="6"/>
      <c r="AG1846" s="6"/>
      <c r="AH1846" s="5"/>
      <c r="AI1846" s="6"/>
      <c r="AJ1846" s="6"/>
      <c r="AK1846" s="5"/>
      <c r="AL1846" s="5"/>
      <c r="AM1846" s="5"/>
      <c r="AN1846" s="5"/>
      <c r="AO1846" s="5"/>
      <c r="AP1846" s="5"/>
      <c r="AQ1846" s="5"/>
    </row>
    <row r="1847" spans="1:43" x14ac:dyDescent="0.25">
      <c r="A1847" s="161" t="str">
        <f t="shared" si="31"/>
        <v>RODELEROS</v>
      </c>
      <c r="C1847" s="5"/>
      <c r="D1847" s="5"/>
      <c r="E1847" s="5" t="s">
        <v>2172</v>
      </c>
      <c r="F1847" s="5" t="s">
        <v>2172</v>
      </c>
      <c r="G1847" s="5"/>
      <c r="H1847" s="5" t="s">
        <v>2176</v>
      </c>
      <c r="I1847" s="5" t="s">
        <v>1935</v>
      </c>
      <c r="J1847" s="6"/>
      <c r="K1847" s="7">
        <v>1</v>
      </c>
      <c r="L1847" s="13"/>
      <c r="M1847" s="8"/>
      <c r="N1847" s="13"/>
      <c r="O1847" s="13"/>
      <c r="P1847" s="13"/>
      <c r="Q1847" s="7"/>
      <c r="R1847" s="6"/>
      <c r="S1847" s="5"/>
      <c r="T1847" s="6"/>
      <c r="U1847" s="7"/>
      <c r="V1847" s="5"/>
      <c r="W1847" s="6"/>
      <c r="X1847" s="6"/>
      <c r="Y1847" s="5"/>
      <c r="Z1847" s="6"/>
      <c r="AA1847" s="6"/>
      <c r="AB1847" s="5"/>
      <c r="AC1847" s="6"/>
      <c r="AD1847" s="6"/>
      <c r="AE1847" s="5"/>
      <c r="AF1847" s="6"/>
      <c r="AG1847" s="6"/>
      <c r="AH1847" s="5"/>
      <c r="AI1847" s="6"/>
      <c r="AJ1847" s="6"/>
      <c r="AK1847" s="5"/>
      <c r="AL1847" s="5"/>
      <c r="AM1847" s="5"/>
      <c r="AN1847" s="5"/>
      <c r="AO1847" s="5"/>
      <c r="AP1847" s="5"/>
      <c r="AQ1847" s="5"/>
    </row>
    <row r="1848" spans="1:43" x14ac:dyDescent="0.25">
      <c r="A1848" s="161" t="str">
        <f t="shared" si="31"/>
        <v>FREE_COMPANY</v>
      </c>
      <c r="C1848" s="5"/>
      <c r="D1848" s="5"/>
      <c r="E1848" s="5" t="s">
        <v>2173</v>
      </c>
      <c r="F1848" s="5" t="s">
        <v>2173</v>
      </c>
      <c r="G1848" s="5"/>
      <c r="H1848" s="5" t="s">
        <v>2177</v>
      </c>
      <c r="I1848" s="5" t="s">
        <v>1813</v>
      </c>
      <c r="J1848" s="6"/>
      <c r="K1848" s="7">
        <v>1</v>
      </c>
      <c r="L1848" s="13"/>
      <c r="M1848" s="8"/>
      <c r="N1848" s="13"/>
      <c r="O1848" s="13"/>
      <c r="P1848" s="13"/>
      <c r="Q1848" s="7"/>
      <c r="R1848" s="6"/>
      <c r="S1848" s="5"/>
      <c r="T1848" s="6"/>
      <c r="U1848" s="7"/>
      <c r="V1848" s="5"/>
      <c r="W1848" s="6"/>
      <c r="X1848" s="6"/>
      <c r="Y1848" s="5"/>
      <c r="Z1848" s="6"/>
      <c r="AA1848" s="6"/>
      <c r="AB1848" s="5"/>
      <c r="AC1848" s="6"/>
      <c r="AD1848" s="6"/>
      <c r="AE1848" s="5"/>
      <c r="AF1848" s="6"/>
      <c r="AG1848" s="6"/>
      <c r="AH1848" s="5"/>
      <c r="AI1848" s="6"/>
      <c r="AJ1848" s="6"/>
      <c r="AK1848" s="5"/>
      <c r="AL1848" s="5"/>
      <c r="AM1848" s="5"/>
      <c r="AN1848" s="5"/>
      <c r="AO1848" s="5"/>
      <c r="AP1848" s="5"/>
      <c r="AQ1848" s="5"/>
    </row>
    <row r="1849" spans="1:43" x14ac:dyDescent="0.25">
      <c r="A1849" s="161" t="str">
        <f t="shared" si="31"/>
        <v>FREE_COMPANY</v>
      </c>
      <c r="C1849" s="5"/>
      <c r="D1849" s="5"/>
      <c r="E1849" s="5" t="s">
        <v>2173</v>
      </c>
      <c r="F1849" s="5" t="s">
        <v>2173</v>
      </c>
      <c r="G1849" s="5" t="s">
        <v>2040</v>
      </c>
      <c r="H1849" s="5" t="s">
        <v>2178</v>
      </c>
      <c r="I1849" s="5" t="s">
        <v>1813</v>
      </c>
      <c r="J1849" s="6"/>
      <c r="K1849" s="7">
        <v>1</v>
      </c>
      <c r="L1849" s="13"/>
      <c r="M1849" s="8"/>
      <c r="N1849" s="13"/>
      <c r="O1849" s="13"/>
      <c r="P1849" s="13"/>
      <c r="Q1849" s="7"/>
      <c r="R1849" s="6"/>
      <c r="S1849" s="5"/>
      <c r="T1849" s="6"/>
      <c r="U1849" s="7"/>
      <c r="V1849" s="5"/>
      <c r="W1849" s="6"/>
      <c r="X1849" s="6"/>
      <c r="Y1849" s="5"/>
      <c r="Z1849" s="6"/>
      <c r="AA1849" s="6"/>
      <c r="AB1849" s="5"/>
      <c r="AC1849" s="6"/>
      <c r="AD1849" s="6"/>
      <c r="AE1849" s="5"/>
      <c r="AF1849" s="6"/>
      <c r="AG1849" s="6"/>
      <c r="AH1849" s="5"/>
      <c r="AI1849" s="6"/>
      <c r="AJ1849" s="6"/>
      <c r="AK1849" s="5"/>
      <c r="AL1849" s="5"/>
      <c r="AM1849" s="5"/>
      <c r="AN1849" s="5"/>
      <c r="AO1849" s="5"/>
      <c r="AP1849" s="5"/>
      <c r="AQ1849" s="5"/>
    </row>
    <row r="1850" spans="1:43" s="2" customFormat="1" x14ac:dyDescent="0.25">
      <c r="A1850" s="161" t="str">
        <f t="shared" si="31"/>
        <v>EE_CARRACK</v>
      </c>
      <c r="B1850" s="9"/>
      <c r="C1850" s="5"/>
      <c r="D1850" s="5"/>
      <c r="E1850" s="5" t="s">
        <v>2064</v>
      </c>
      <c r="F1850" s="5" t="s">
        <v>2064</v>
      </c>
      <c r="G1850" s="5"/>
      <c r="H1850" s="5" t="s">
        <v>2065</v>
      </c>
      <c r="I1850" s="5" t="s">
        <v>1984</v>
      </c>
      <c r="J1850" s="6"/>
      <c r="K1850" s="7">
        <v>1</v>
      </c>
      <c r="L1850" s="13" t="s">
        <v>1708</v>
      </c>
      <c r="M1850" s="8"/>
      <c r="N1850" s="13" t="s">
        <v>1727</v>
      </c>
      <c r="O1850" s="13"/>
      <c r="P1850" s="13"/>
      <c r="Q1850" s="7">
        <v>1</v>
      </c>
      <c r="R1850" s="6" t="s">
        <v>1695</v>
      </c>
      <c r="S1850" s="13"/>
      <c r="T1850" s="7">
        <v>3</v>
      </c>
      <c r="U1850" s="7" t="s">
        <v>1737</v>
      </c>
      <c r="V1850" s="5" t="s">
        <v>1696</v>
      </c>
      <c r="W1850" s="6"/>
      <c r="X1850" s="6"/>
      <c r="Y1850" s="5"/>
      <c r="Z1850" s="6">
        <v>1</v>
      </c>
      <c r="AA1850" s="6"/>
      <c r="AB1850" s="5"/>
      <c r="AC1850" s="6"/>
      <c r="AD1850" s="6"/>
      <c r="AE1850" s="5"/>
      <c r="AF1850" s="6"/>
      <c r="AG1850" s="6"/>
      <c r="AH1850" s="5"/>
      <c r="AI1850" s="6"/>
      <c r="AJ1850" s="6"/>
      <c r="AK1850" s="5"/>
      <c r="AL1850" s="5"/>
      <c r="AM1850" s="5"/>
      <c r="AN1850" s="5"/>
      <c r="AO1850" s="5"/>
      <c r="AP1850" s="5"/>
      <c r="AQ1850" s="5"/>
    </row>
    <row r="1851" spans="1:43" x14ac:dyDescent="0.25">
      <c r="A1851" s="161" t="str">
        <f t="shared" si="31"/>
        <v>EE_CARRACK_OTTOMAN</v>
      </c>
      <c r="C1851" s="5" t="s">
        <v>1037</v>
      </c>
      <c r="D1851" s="5"/>
      <c r="E1851" s="5" t="s">
        <v>2064</v>
      </c>
      <c r="F1851" s="5" t="s">
        <v>2064</v>
      </c>
      <c r="G1851" s="5"/>
      <c r="H1851" s="5" t="s">
        <v>1981</v>
      </c>
      <c r="I1851" s="5" t="s">
        <v>1984</v>
      </c>
      <c r="J1851" s="6"/>
      <c r="K1851" s="7">
        <v>1</v>
      </c>
      <c r="L1851" s="13"/>
      <c r="M1851" s="8"/>
      <c r="N1851" s="13"/>
      <c r="O1851" s="13"/>
      <c r="P1851" s="13"/>
      <c r="Q1851" s="7"/>
      <c r="R1851" s="6"/>
      <c r="S1851" s="5"/>
      <c r="T1851" s="7"/>
      <c r="U1851" s="7"/>
      <c r="V1851" s="5"/>
      <c r="W1851" s="6"/>
      <c r="X1851" s="6"/>
      <c r="Y1851" s="5"/>
      <c r="Z1851" s="6"/>
      <c r="AA1851" s="6"/>
      <c r="AB1851" s="5"/>
      <c r="AC1851" s="6"/>
      <c r="AD1851" s="6"/>
      <c r="AE1851" s="5"/>
      <c r="AF1851" s="6"/>
      <c r="AG1851" s="6"/>
      <c r="AH1851" s="5"/>
      <c r="AI1851" s="6"/>
      <c r="AJ1851" s="6"/>
      <c r="AK1851" s="5"/>
      <c r="AL1851" s="5"/>
      <c r="AM1851" s="5"/>
      <c r="AN1851" s="5"/>
      <c r="AO1851" s="5"/>
      <c r="AP1851" s="5"/>
      <c r="AQ1851" s="5"/>
    </row>
    <row r="1852" spans="1:43" x14ac:dyDescent="0.25">
      <c r="A1852" s="161" t="str">
        <f t="shared" si="31"/>
        <v>EE_CARRACK_RUSSIA</v>
      </c>
      <c r="C1852" s="5" t="s">
        <v>735</v>
      </c>
      <c r="D1852" s="5"/>
      <c r="E1852" s="5" t="s">
        <v>2064</v>
      </c>
      <c r="F1852" s="5" t="s">
        <v>2064</v>
      </c>
      <c r="G1852" s="5"/>
      <c r="H1852" s="5" t="s">
        <v>1977</v>
      </c>
      <c r="I1852" s="5" t="s">
        <v>1984</v>
      </c>
      <c r="J1852" s="6"/>
      <c r="K1852" s="7">
        <v>1</v>
      </c>
      <c r="L1852" s="13"/>
      <c r="M1852" s="8"/>
      <c r="N1852" s="13"/>
      <c r="O1852" s="13"/>
      <c r="P1852" s="13"/>
      <c r="Q1852" s="7"/>
      <c r="R1852" s="6"/>
      <c r="S1852" s="5"/>
      <c r="T1852" s="7"/>
      <c r="U1852" s="7"/>
      <c r="V1852" s="5"/>
      <c r="W1852" s="6"/>
      <c r="X1852" s="6"/>
      <c r="Y1852" s="5"/>
      <c r="Z1852" s="6"/>
      <c r="AA1852" s="6"/>
      <c r="AB1852" s="5"/>
      <c r="AC1852" s="6"/>
      <c r="AD1852" s="6"/>
      <c r="AE1852" s="5"/>
      <c r="AF1852" s="6"/>
      <c r="AG1852" s="6"/>
      <c r="AH1852" s="5"/>
      <c r="AI1852" s="6"/>
      <c r="AJ1852" s="6"/>
      <c r="AK1852" s="5"/>
      <c r="AL1852" s="5"/>
      <c r="AM1852" s="5"/>
      <c r="AN1852" s="5"/>
      <c r="AO1852" s="5"/>
      <c r="AP1852" s="5"/>
      <c r="AQ1852" s="5"/>
    </row>
    <row r="1853" spans="1:43" x14ac:dyDescent="0.25">
      <c r="A1853" s="161" t="str">
        <f t="shared" si="31"/>
        <v>EE_CARRACK_ENGLAND</v>
      </c>
      <c r="C1853" s="5" t="s">
        <v>713</v>
      </c>
      <c r="D1853" s="5"/>
      <c r="E1853" s="5" t="s">
        <v>2064</v>
      </c>
      <c r="F1853" s="5" t="s">
        <v>2064</v>
      </c>
      <c r="G1853" s="5"/>
      <c r="H1853" s="5" t="s">
        <v>1978</v>
      </c>
      <c r="I1853" s="5" t="s">
        <v>1984</v>
      </c>
      <c r="J1853" s="6"/>
      <c r="K1853" s="7">
        <v>1</v>
      </c>
      <c r="L1853" s="13"/>
      <c r="M1853" s="8"/>
      <c r="N1853" s="13"/>
      <c r="O1853" s="13"/>
      <c r="P1853" s="13"/>
      <c r="Q1853" s="7"/>
      <c r="R1853" s="6"/>
      <c r="S1853" s="5"/>
      <c r="T1853" s="7"/>
      <c r="U1853" s="7"/>
      <c r="V1853" s="5"/>
      <c r="W1853" s="6"/>
      <c r="X1853" s="6"/>
      <c r="Y1853" s="5"/>
      <c r="Z1853" s="6"/>
      <c r="AA1853" s="6"/>
      <c r="AB1853" s="5"/>
      <c r="AC1853" s="6"/>
      <c r="AD1853" s="6"/>
      <c r="AE1853" s="5"/>
      <c r="AF1853" s="6"/>
      <c r="AG1853" s="6"/>
      <c r="AH1853" s="5"/>
      <c r="AI1853" s="6"/>
      <c r="AJ1853" s="6"/>
      <c r="AK1853" s="5"/>
      <c r="AL1853" s="5"/>
      <c r="AM1853" s="5"/>
      <c r="AN1853" s="5"/>
      <c r="AO1853" s="5"/>
      <c r="AP1853" s="5"/>
      <c r="AQ1853" s="5"/>
    </row>
    <row r="1854" spans="1:43" x14ac:dyDescent="0.25">
      <c r="A1854" s="161" t="str">
        <f t="shared" si="31"/>
        <v>EE_CARRACK_FRANCE</v>
      </c>
      <c r="C1854" s="5" t="s">
        <v>715</v>
      </c>
      <c r="D1854" s="5"/>
      <c r="E1854" s="5" t="s">
        <v>2064</v>
      </c>
      <c r="F1854" s="5" t="s">
        <v>2064</v>
      </c>
      <c r="G1854" s="5"/>
      <c r="H1854" s="5" t="s">
        <v>1979</v>
      </c>
      <c r="I1854" s="5" t="s">
        <v>1984</v>
      </c>
      <c r="J1854" s="6"/>
      <c r="K1854" s="7">
        <v>1</v>
      </c>
      <c r="L1854" s="13"/>
      <c r="M1854" s="8"/>
      <c r="N1854" s="13"/>
      <c r="O1854" s="13"/>
      <c r="P1854" s="13"/>
      <c r="Q1854" s="7"/>
      <c r="R1854" s="6"/>
      <c r="S1854" s="5"/>
      <c r="T1854" s="7"/>
      <c r="U1854" s="7"/>
      <c r="V1854" s="5"/>
      <c r="W1854" s="6"/>
      <c r="X1854" s="6"/>
      <c r="Y1854" s="5"/>
      <c r="Z1854" s="6"/>
      <c r="AA1854" s="6"/>
      <c r="AB1854" s="5"/>
      <c r="AC1854" s="6"/>
      <c r="AD1854" s="6"/>
      <c r="AE1854" s="5"/>
      <c r="AF1854" s="6"/>
      <c r="AG1854" s="6"/>
      <c r="AH1854" s="5"/>
      <c r="AI1854" s="6"/>
      <c r="AJ1854" s="6"/>
      <c r="AK1854" s="5"/>
      <c r="AL1854" s="5"/>
      <c r="AM1854" s="5"/>
      <c r="AN1854" s="5"/>
      <c r="AO1854" s="5"/>
      <c r="AP1854" s="5"/>
      <c r="AQ1854" s="5"/>
    </row>
    <row r="1855" spans="1:43" x14ac:dyDescent="0.25">
      <c r="A1855" s="161" t="str">
        <f t="shared" si="31"/>
        <v>EE_CARRACK_ROME</v>
      </c>
      <c r="C1855" s="5" t="s">
        <v>734</v>
      </c>
      <c r="D1855" s="5"/>
      <c r="E1855" s="5" t="s">
        <v>2064</v>
      </c>
      <c r="F1855" s="5" t="s">
        <v>2064</v>
      </c>
      <c r="G1855" s="5"/>
      <c r="H1855" s="5" t="s">
        <v>1983</v>
      </c>
      <c r="I1855" s="5" t="s">
        <v>1984</v>
      </c>
      <c r="J1855" s="6"/>
      <c r="K1855" s="7">
        <v>1</v>
      </c>
      <c r="L1855" s="13"/>
      <c r="M1855" s="8"/>
      <c r="N1855" s="13"/>
      <c r="O1855" s="13"/>
      <c r="P1855" s="13"/>
      <c r="Q1855" s="7"/>
      <c r="R1855" s="6"/>
      <c r="S1855" s="5"/>
      <c r="T1855" s="7"/>
      <c r="U1855" s="7"/>
      <c r="V1855" s="5"/>
      <c r="W1855" s="6"/>
      <c r="X1855" s="6"/>
      <c r="Y1855" s="5"/>
      <c r="Z1855" s="6"/>
      <c r="AA1855" s="6"/>
      <c r="AB1855" s="5"/>
      <c r="AC1855" s="6"/>
      <c r="AD1855" s="6"/>
      <c r="AE1855" s="5"/>
      <c r="AF1855" s="6"/>
      <c r="AG1855" s="6"/>
      <c r="AH1855" s="5"/>
      <c r="AI1855" s="6"/>
      <c r="AJ1855" s="6"/>
      <c r="AK1855" s="5"/>
      <c r="AL1855" s="5"/>
      <c r="AM1855" s="5"/>
      <c r="AN1855" s="5"/>
      <c r="AO1855" s="5"/>
      <c r="AP1855" s="5"/>
      <c r="AQ1855" s="5"/>
    </row>
    <row r="1856" spans="1:43" x14ac:dyDescent="0.25">
      <c r="A1856" s="161" t="str">
        <f t="shared" si="31"/>
        <v>EE_CARRACK_NORTHAF</v>
      </c>
      <c r="C1856" s="5" t="s">
        <v>2011</v>
      </c>
      <c r="D1856" s="5"/>
      <c r="E1856" s="5" t="s">
        <v>2064</v>
      </c>
      <c r="F1856" s="5" t="s">
        <v>2064</v>
      </c>
      <c r="G1856" s="5"/>
      <c r="H1856" s="5" t="s">
        <v>1980</v>
      </c>
      <c r="I1856" s="5" t="s">
        <v>1984</v>
      </c>
      <c r="J1856" s="6"/>
      <c r="K1856" s="7">
        <v>1</v>
      </c>
      <c r="L1856" s="13"/>
      <c r="M1856" s="8"/>
      <c r="N1856" s="13"/>
      <c r="O1856" s="13"/>
      <c r="P1856" s="13"/>
      <c r="Q1856" s="7"/>
      <c r="R1856" s="6"/>
      <c r="S1856" s="5"/>
      <c r="T1856" s="7"/>
      <c r="U1856" s="7"/>
      <c r="V1856" s="5"/>
      <c r="W1856" s="6"/>
      <c r="X1856" s="6"/>
      <c r="Y1856" s="5"/>
      <c r="Z1856" s="6"/>
      <c r="AA1856" s="6"/>
      <c r="AB1856" s="5"/>
      <c r="AC1856" s="6"/>
      <c r="AD1856" s="6"/>
      <c r="AE1856" s="5"/>
      <c r="AF1856" s="6"/>
      <c r="AG1856" s="6"/>
      <c r="AH1856" s="5"/>
      <c r="AI1856" s="6"/>
      <c r="AJ1856" s="6"/>
      <c r="AK1856" s="5"/>
      <c r="AL1856" s="5"/>
      <c r="AM1856" s="5"/>
      <c r="AN1856" s="5"/>
      <c r="AO1856" s="5"/>
      <c r="AP1856" s="5"/>
      <c r="AQ1856" s="5"/>
    </row>
    <row r="1857" spans="1:43" x14ac:dyDescent="0.25">
      <c r="A1857" s="161" t="str">
        <f t="shared" si="31"/>
        <v>EE_CARRACK_SWEDEN</v>
      </c>
      <c r="C1857" s="5" t="s">
        <v>739</v>
      </c>
      <c r="D1857" s="5"/>
      <c r="E1857" s="5" t="s">
        <v>2064</v>
      </c>
      <c r="F1857" s="5" t="s">
        <v>2064</v>
      </c>
      <c r="G1857" s="5"/>
      <c r="H1857" s="5" t="s">
        <v>1982</v>
      </c>
      <c r="I1857" s="5" t="s">
        <v>1984</v>
      </c>
      <c r="J1857" s="6"/>
      <c r="K1857" s="7">
        <v>1</v>
      </c>
      <c r="L1857" s="13"/>
      <c r="M1857" s="8"/>
      <c r="N1857" s="13"/>
      <c r="O1857" s="13"/>
      <c r="P1857" s="13"/>
      <c r="Q1857" s="7"/>
      <c r="R1857" s="6"/>
      <c r="S1857" s="5"/>
      <c r="T1857" s="7"/>
      <c r="U1857" s="7"/>
      <c r="V1857" s="5"/>
      <c r="W1857" s="6"/>
      <c r="X1857" s="6"/>
      <c r="Y1857" s="5"/>
      <c r="Z1857" s="6"/>
      <c r="AA1857" s="6"/>
      <c r="AB1857" s="5"/>
      <c r="AC1857" s="6"/>
      <c r="AD1857" s="6"/>
      <c r="AE1857" s="5"/>
      <c r="AF1857" s="6"/>
      <c r="AG1857" s="6"/>
      <c r="AH1857" s="5"/>
      <c r="AI1857" s="6"/>
      <c r="AJ1857" s="6"/>
      <c r="AK1857" s="5"/>
      <c r="AL1857" s="5"/>
      <c r="AM1857" s="5"/>
      <c r="AN1857" s="5"/>
      <c r="AO1857" s="5"/>
      <c r="AP1857" s="5"/>
      <c r="AQ1857" s="5"/>
    </row>
    <row r="1858" spans="1:43" x14ac:dyDescent="0.25">
      <c r="A1858" s="161" t="str">
        <f t="shared" si="31"/>
        <v>EE_CRUISER</v>
      </c>
      <c r="C1858" s="5"/>
      <c r="D1858" s="5"/>
      <c r="E1858" s="5" t="s">
        <v>2190</v>
      </c>
      <c r="F1858" s="5" t="s">
        <v>2190</v>
      </c>
      <c r="G1858" s="5"/>
      <c r="H1858" s="5" t="s">
        <v>2191</v>
      </c>
      <c r="I1858" s="5" t="s">
        <v>1935</v>
      </c>
      <c r="J1858" s="6"/>
      <c r="K1858" s="7">
        <v>1</v>
      </c>
      <c r="L1858" s="13"/>
      <c r="M1858" s="8"/>
      <c r="N1858" s="13"/>
      <c r="O1858" s="13"/>
      <c r="P1858" s="13"/>
      <c r="Q1858" s="7">
        <v>1</v>
      </c>
      <c r="R1858" s="6">
        <v>0.08</v>
      </c>
      <c r="S1858" s="5"/>
      <c r="T1858" s="7"/>
      <c r="U1858" s="7">
        <v>6.5000000000000002E-2</v>
      </c>
      <c r="V1858" s="5"/>
      <c r="W1858" s="6"/>
      <c r="X1858" s="6"/>
      <c r="Y1858" s="5"/>
      <c r="Z1858" s="6"/>
      <c r="AA1858" s="6"/>
      <c r="AB1858" s="5"/>
      <c r="AC1858" s="6"/>
      <c r="AD1858" s="6"/>
      <c r="AE1858" s="5"/>
      <c r="AF1858" s="6"/>
      <c r="AG1858" s="6"/>
      <c r="AH1858" s="5"/>
      <c r="AI1858" s="6"/>
      <c r="AJ1858" s="6"/>
      <c r="AK1858" s="5"/>
      <c r="AL1858" s="5"/>
      <c r="AM1858" s="5"/>
      <c r="AN1858" s="5"/>
      <c r="AO1858" s="5"/>
      <c r="AP1858" s="5"/>
      <c r="AQ1858" s="5"/>
    </row>
    <row r="1859" spans="1:43" x14ac:dyDescent="0.25">
      <c r="A1859" s="161" t="str">
        <f t="shared" si="31"/>
        <v>EE_CUIRASSIER</v>
      </c>
      <c r="C1859" s="5"/>
      <c r="D1859" s="5"/>
      <c r="E1859" s="5" t="s">
        <v>2077</v>
      </c>
      <c r="F1859" s="5" t="s">
        <v>2077</v>
      </c>
      <c r="G1859" s="5"/>
      <c r="H1859" s="5" t="s">
        <v>2079</v>
      </c>
      <c r="I1859" s="5" t="s">
        <v>2078</v>
      </c>
      <c r="J1859" s="6"/>
      <c r="K1859" s="7">
        <v>1</v>
      </c>
      <c r="L1859" s="13"/>
      <c r="M1859" s="8"/>
      <c r="N1859" s="13"/>
      <c r="O1859" s="13"/>
      <c r="P1859" s="13"/>
      <c r="Q1859" s="7" t="s">
        <v>1695</v>
      </c>
      <c r="R1859" s="6" t="s">
        <v>1695</v>
      </c>
      <c r="S1859" s="13" t="s">
        <v>1695</v>
      </c>
      <c r="T1859" s="6" t="s">
        <v>1695</v>
      </c>
      <c r="U1859" s="7" t="s">
        <v>1695</v>
      </c>
      <c r="V1859" s="5" t="s">
        <v>1701</v>
      </c>
      <c r="W1859" s="6" t="s">
        <v>3</v>
      </c>
      <c r="X1859" s="6" t="s">
        <v>3</v>
      </c>
      <c r="Y1859" s="5"/>
      <c r="Z1859" s="7">
        <v>1</v>
      </c>
      <c r="AA1859" s="6"/>
      <c r="AB1859" s="5"/>
      <c r="AC1859" s="6"/>
      <c r="AD1859" s="6" t="s">
        <v>3</v>
      </c>
      <c r="AE1859" s="5"/>
      <c r="AF1859" s="7" t="s">
        <v>1695</v>
      </c>
      <c r="AG1859" s="6"/>
      <c r="AH1859" s="5"/>
      <c r="AI1859" s="6"/>
      <c r="AJ1859" s="6"/>
      <c r="AK1859" s="5"/>
      <c r="AL1859" s="5"/>
      <c r="AM1859" s="5"/>
      <c r="AN1859" s="5"/>
      <c r="AO1859" s="5"/>
      <c r="AP1859" s="5"/>
      <c r="AQ1859" s="5"/>
    </row>
    <row r="1860" spans="1:43" x14ac:dyDescent="0.25">
      <c r="A1860" s="161" t="str">
        <f t="shared" si="31"/>
        <v>EE_EXPLORER</v>
      </c>
      <c r="C1860" s="5"/>
      <c r="D1860" s="5"/>
      <c r="E1860" s="5" t="s">
        <v>2182</v>
      </c>
      <c r="F1860" s="5" t="s">
        <v>2182</v>
      </c>
      <c r="G1860" s="5" t="s">
        <v>1970</v>
      </c>
      <c r="H1860" s="5" t="s">
        <v>2186</v>
      </c>
      <c r="I1860" s="5" t="s">
        <v>1935</v>
      </c>
      <c r="J1860" s="6"/>
      <c r="K1860" s="7">
        <v>1</v>
      </c>
      <c r="L1860" s="13"/>
      <c r="M1860" s="8"/>
      <c r="N1860" s="13"/>
      <c r="O1860" s="13"/>
      <c r="P1860" s="13"/>
      <c r="Q1860" s="7">
        <v>2</v>
      </c>
      <c r="R1860" s="6" t="s">
        <v>1737</v>
      </c>
      <c r="S1860" s="13" t="s">
        <v>20</v>
      </c>
      <c r="T1860" s="6"/>
      <c r="U1860" s="6">
        <v>0.08</v>
      </c>
      <c r="V1860" s="5"/>
      <c r="W1860" s="6" t="s">
        <v>3</v>
      </c>
      <c r="X1860" s="6" t="s">
        <v>3</v>
      </c>
      <c r="Y1860" s="5"/>
      <c r="Z1860" s="6">
        <v>1</v>
      </c>
      <c r="AA1860" s="6"/>
      <c r="AB1860" s="5"/>
      <c r="AC1860" s="6"/>
      <c r="AD1860" s="6" t="s">
        <v>3</v>
      </c>
      <c r="AE1860" s="5"/>
      <c r="AF1860" s="6">
        <v>1</v>
      </c>
      <c r="AG1860" s="6"/>
      <c r="AH1860" s="5"/>
      <c r="AI1860" s="6">
        <v>1</v>
      </c>
      <c r="AJ1860" s="6"/>
      <c r="AK1860" s="5"/>
      <c r="AL1860" s="5"/>
      <c r="AM1860" s="5"/>
      <c r="AN1860" s="5"/>
      <c r="AO1860" s="5"/>
      <c r="AP1860" s="5"/>
      <c r="AQ1860" s="5"/>
    </row>
    <row r="1861" spans="1:43" x14ac:dyDescent="0.25">
      <c r="A1861" s="161" t="str">
        <f t="shared" si="31"/>
        <v>EE_EXPLORER</v>
      </c>
      <c r="C1861" s="5"/>
      <c r="D1861" s="5"/>
      <c r="E1861" s="5" t="s">
        <v>2182</v>
      </c>
      <c r="F1861" s="5" t="s">
        <v>2182</v>
      </c>
      <c r="G1861" s="5" t="s">
        <v>2183</v>
      </c>
      <c r="H1861" s="5" t="s">
        <v>2187</v>
      </c>
      <c r="I1861" s="5" t="s">
        <v>1935</v>
      </c>
      <c r="J1861" s="6"/>
      <c r="K1861" s="7">
        <v>1</v>
      </c>
      <c r="L1861" s="13"/>
      <c r="M1861" s="8"/>
      <c r="N1861" s="13"/>
      <c r="O1861" s="13"/>
      <c r="P1861" s="13"/>
      <c r="Q1861" s="7">
        <v>1</v>
      </c>
      <c r="R1861" s="6" t="s">
        <v>1737</v>
      </c>
      <c r="S1861" s="13" t="s">
        <v>20</v>
      </c>
      <c r="T1861" s="6"/>
      <c r="U1861" s="6">
        <v>0.08</v>
      </c>
      <c r="V1861" s="5"/>
      <c r="W1861" s="6" t="s">
        <v>3</v>
      </c>
      <c r="X1861" s="6" t="s">
        <v>3</v>
      </c>
      <c r="Y1861" s="5"/>
      <c r="Z1861" s="6">
        <v>0</v>
      </c>
      <c r="AA1861" s="6"/>
      <c r="AB1861" s="5"/>
      <c r="AC1861" s="6"/>
      <c r="AD1861" s="6" t="s">
        <v>3</v>
      </c>
      <c r="AE1861" s="5"/>
      <c r="AF1861" s="6">
        <v>1</v>
      </c>
      <c r="AG1861" s="6"/>
      <c r="AH1861" s="5"/>
      <c r="AI1861" s="6">
        <v>2</v>
      </c>
      <c r="AJ1861" s="6"/>
      <c r="AK1861" s="5"/>
      <c r="AL1861" s="5"/>
      <c r="AM1861" s="5"/>
      <c r="AN1861" s="5"/>
      <c r="AO1861" s="5"/>
      <c r="AP1861" s="5"/>
      <c r="AQ1861" s="5"/>
    </row>
    <row r="1862" spans="1:43" x14ac:dyDescent="0.25">
      <c r="A1862" s="161" t="str">
        <f t="shared" si="31"/>
        <v>EE_EXPLORER</v>
      </c>
      <c r="C1862" s="5"/>
      <c r="D1862" s="5"/>
      <c r="E1862" s="5" t="s">
        <v>2182</v>
      </c>
      <c r="F1862" s="5" t="s">
        <v>2182</v>
      </c>
      <c r="G1862" s="5" t="s">
        <v>2184</v>
      </c>
      <c r="H1862" s="5" t="s">
        <v>2188</v>
      </c>
      <c r="I1862" s="5" t="s">
        <v>1935</v>
      </c>
      <c r="J1862" s="6"/>
      <c r="K1862" s="7">
        <v>1</v>
      </c>
      <c r="L1862" s="13"/>
      <c r="M1862" s="8"/>
      <c r="N1862" s="13"/>
      <c r="O1862" s="13"/>
      <c r="P1862" s="13"/>
      <c r="Q1862" s="7">
        <v>2</v>
      </c>
      <c r="R1862" s="6" t="s">
        <v>1737</v>
      </c>
      <c r="S1862" s="13" t="s">
        <v>20</v>
      </c>
      <c r="T1862" s="6"/>
      <c r="U1862" s="6">
        <v>0.08</v>
      </c>
      <c r="V1862" s="5"/>
      <c r="W1862" s="6" t="s">
        <v>3</v>
      </c>
      <c r="X1862" s="6" t="s">
        <v>3</v>
      </c>
      <c r="Y1862" s="5"/>
      <c r="Z1862" s="6">
        <v>0</v>
      </c>
      <c r="AA1862" s="6"/>
      <c r="AB1862" s="5"/>
      <c r="AC1862" s="6"/>
      <c r="AD1862" s="6" t="s">
        <v>3</v>
      </c>
      <c r="AE1862" s="5"/>
      <c r="AF1862" s="6">
        <v>0</v>
      </c>
      <c r="AG1862" s="6"/>
      <c r="AH1862" s="5"/>
      <c r="AI1862" s="6">
        <v>1</v>
      </c>
      <c r="AJ1862" s="6"/>
      <c r="AK1862" s="5"/>
      <c r="AL1862" s="5"/>
      <c r="AM1862" s="5"/>
      <c r="AN1862" s="5"/>
      <c r="AO1862" s="5"/>
      <c r="AP1862" s="5"/>
      <c r="AQ1862" s="5"/>
    </row>
    <row r="1863" spans="1:43" x14ac:dyDescent="0.25">
      <c r="A1863" s="161" t="str">
        <f t="shared" si="31"/>
        <v>EE_EXPLORER</v>
      </c>
      <c r="C1863" s="5"/>
      <c r="D1863" s="5"/>
      <c r="E1863" s="5" t="s">
        <v>2182</v>
      </c>
      <c r="F1863" s="5" t="s">
        <v>2182</v>
      </c>
      <c r="G1863" s="5" t="s">
        <v>2185</v>
      </c>
      <c r="H1863" s="5" t="s">
        <v>2189</v>
      </c>
      <c r="I1863" s="5" t="s">
        <v>1935</v>
      </c>
      <c r="J1863" s="6"/>
      <c r="K1863" s="7">
        <v>1</v>
      </c>
      <c r="L1863" s="13"/>
      <c r="M1863" s="8"/>
      <c r="N1863" s="13"/>
      <c r="O1863" s="13"/>
      <c r="P1863" s="13"/>
      <c r="Q1863" s="7">
        <v>1</v>
      </c>
      <c r="R1863" s="6" t="s">
        <v>1737</v>
      </c>
      <c r="S1863" s="13" t="s">
        <v>20</v>
      </c>
      <c r="T1863" s="6"/>
      <c r="U1863" s="6">
        <v>0.08</v>
      </c>
      <c r="V1863" s="5"/>
      <c r="W1863" s="6" t="s">
        <v>3</v>
      </c>
      <c r="X1863" s="6" t="s">
        <v>3</v>
      </c>
      <c r="Y1863" s="5"/>
      <c r="Z1863" s="6">
        <v>0</v>
      </c>
      <c r="AA1863" s="6"/>
      <c r="AB1863" s="5"/>
      <c r="AC1863" s="6"/>
      <c r="AD1863" s="6" t="s">
        <v>3</v>
      </c>
      <c r="AE1863" s="5"/>
      <c r="AF1863" s="6">
        <v>0</v>
      </c>
      <c r="AG1863" s="6"/>
      <c r="AH1863" s="5"/>
      <c r="AI1863" s="6">
        <v>1</v>
      </c>
      <c r="AJ1863" s="6"/>
      <c r="AK1863" s="5"/>
      <c r="AL1863" s="5"/>
      <c r="AM1863" s="5"/>
      <c r="AN1863" s="5"/>
      <c r="AO1863" s="5"/>
      <c r="AP1863" s="5"/>
      <c r="AQ1863" s="5"/>
    </row>
    <row r="1864" spans="1:43" x14ac:dyDescent="0.25">
      <c r="A1864" s="161" t="str">
        <f t="shared" si="31"/>
        <v>EE_FIELD_GUN</v>
      </c>
      <c r="C1864" s="5"/>
      <c r="D1864" s="5"/>
      <c r="E1864" s="5" t="s">
        <v>2069</v>
      </c>
      <c r="F1864" s="5" t="s">
        <v>2069</v>
      </c>
      <c r="G1864" s="5"/>
      <c r="H1864" s="5" t="s">
        <v>337</v>
      </c>
      <c r="I1864" s="5" t="s">
        <v>1059</v>
      </c>
      <c r="J1864" s="6"/>
      <c r="K1864" s="7">
        <v>1</v>
      </c>
      <c r="L1864" s="13"/>
      <c r="M1864" s="8"/>
      <c r="N1864" s="13"/>
      <c r="O1864" s="13"/>
      <c r="P1864" s="13"/>
      <c r="Q1864" s="7">
        <v>3</v>
      </c>
      <c r="R1864" s="6" t="s">
        <v>1695</v>
      </c>
      <c r="S1864" s="5" t="s">
        <v>1611</v>
      </c>
      <c r="T1864" s="7"/>
      <c r="U1864" s="7" t="s">
        <v>1737</v>
      </c>
      <c r="V1864" s="5" t="s">
        <v>1697</v>
      </c>
      <c r="W1864" s="6" t="s">
        <v>3</v>
      </c>
      <c r="X1864" s="6" t="s">
        <v>3</v>
      </c>
      <c r="Y1864" s="5"/>
      <c r="Z1864" s="6">
        <v>1</v>
      </c>
      <c r="AA1864" s="6"/>
      <c r="AB1864" s="5"/>
      <c r="AC1864" s="6"/>
      <c r="AD1864" s="6" t="s">
        <v>3</v>
      </c>
      <c r="AE1864" s="5"/>
      <c r="AF1864" s="6">
        <v>3</v>
      </c>
      <c r="AG1864" s="6"/>
      <c r="AH1864" s="5"/>
      <c r="AI1864" s="6">
        <v>7</v>
      </c>
      <c r="AJ1864" s="6"/>
      <c r="AK1864" s="5"/>
      <c r="AL1864" s="5"/>
      <c r="AM1864" s="5"/>
      <c r="AN1864" s="5"/>
      <c r="AO1864" s="5"/>
      <c r="AP1864" s="5"/>
      <c r="AQ1864" s="5"/>
    </row>
    <row r="1865" spans="1:43" x14ac:dyDescent="0.25">
      <c r="A1865" s="161" t="str">
        <f t="shared" si="31"/>
        <v>EE_FIELD_GUN_ENGLAND</v>
      </c>
      <c r="C1865" s="5" t="s">
        <v>713</v>
      </c>
      <c r="D1865" s="5"/>
      <c r="E1865" s="5" t="s">
        <v>2069</v>
      </c>
      <c r="F1865" s="5" t="s">
        <v>2069</v>
      </c>
      <c r="G1865" s="5"/>
      <c r="H1865" s="5" t="s">
        <v>2070</v>
      </c>
      <c r="I1865" s="5" t="s">
        <v>966</v>
      </c>
      <c r="J1865" s="6"/>
      <c r="K1865" s="7">
        <v>1</v>
      </c>
      <c r="L1865" s="13"/>
      <c r="M1865" s="8"/>
      <c r="N1865" s="13"/>
      <c r="O1865" s="13"/>
      <c r="P1865" s="13"/>
      <c r="Q1865" s="7"/>
      <c r="R1865" s="6"/>
      <c r="S1865" s="5"/>
      <c r="T1865" s="7"/>
      <c r="U1865" s="7"/>
      <c r="V1865" s="5"/>
      <c r="W1865" s="6"/>
      <c r="X1865" s="6"/>
      <c r="Y1865" s="5"/>
      <c r="Z1865" s="6"/>
      <c r="AA1865" s="6"/>
      <c r="AB1865" s="5"/>
      <c r="AC1865" s="6"/>
      <c r="AD1865" s="6"/>
      <c r="AE1865" s="5"/>
      <c r="AF1865" s="6"/>
      <c r="AG1865" s="6"/>
      <c r="AH1865" s="5"/>
      <c r="AI1865" s="6"/>
      <c r="AJ1865" s="6"/>
      <c r="AK1865" s="5"/>
      <c r="AL1865" s="5"/>
      <c r="AM1865" s="5"/>
      <c r="AN1865" s="5"/>
      <c r="AO1865" s="5"/>
      <c r="AP1865" s="5"/>
      <c r="AQ1865" s="5"/>
    </row>
    <row r="1866" spans="1:43" x14ac:dyDescent="0.25">
      <c r="A1866" s="161" t="str">
        <f t="shared" si="31"/>
        <v>EE_LINE_INFANTRY</v>
      </c>
      <c r="E1866" s="4" t="s">
        <v>1987</v>
      </c>
      <c r="F1866" s="4" t="s">
        <v>1987</v>
      </c>
      <c r="G1866" s="14"/>
      <c r="H1866" s="4" t="s">
        <v>1990</v>
      </c>
      <c r="I1866" s="4" t="s">
        <v>122</v>
      </c>
      <c r="K1866" s="7">
        <v>1</v>
      </c>
      <c r="Q1866" s="11">
        <v>4</v>
      </c>
      <c r="R1866" s="11" t="s">
        <v>1737</v>
      </c>
      <c r="S1866" s="4" t="s">
        <v>1619</v>
      </c>
      <c r="T1866" s="11">
        <v>5</v>
      </c>
      <c r="U1866" s="11" t="s">
        <v>1737</v>
      </c>
      <c r="W1866" s="11" t="s">
        <v>3</v>
      </c>
      <c r="X1866" s="11" t="s">
        <v>3</v>
      </c>
      <c r="Z1866" s="11">
        <v>1</v>
      </c>
      <c r="AD1866" s="11" t="s">
        <v>3</v>
      </c>
      <c r="AF1866" s="11">
        <v>1</v>
      </c>
      <c r="AI1866" s="11">
        <v>2</v>
      </c>
    </row>
    <row r="1867" spans="1:43" x14ac:dyDescent="0.25">
      <c r="A1867" s="161" t="str">
        <f t="shared" si="31"/>
        <v>EE_LINE_INFANTRY</v>
      </c>
      <c r="E1867" s="4" t="s">
        <v>1987</v>
      </c>
      <c r="F1867" s="4" t="s">
        <v>1987</v>
      </c>
      <c r="G1867" s="14" t="s">
        <v>2047</v>
      </c>
      <c r="H1867" s="4" t="s">
        <v>1988</v>
      </c>
      <c r="I1867" s="4" t="s">
        <v>122</v>
      </c>
      <c r="K1867" s="7">
        <v>1</v>
      </c>
      <c r="Q1867" s="11">
        <v>2</v>
      </c>
      <c r="R1867" s="11" t="s">
        <v>1737</v>
      </c>
      <c r="S1867" s="4" t="s">
        <v>1619</v>
      </c>
      <c r="T1867" s="11">
        <v>2</v>
      </c>
      <c r="U1867" s="11" t="s">
        <v>1737</v>
      </c>
      <c r="W1867" s="11" t="s">
        <v>3</v>
      </c>
      <c r="X1867" s="11" t="s">
        <v>3</v>
      </c>
      <c r="Z1867" s="11">
        <v>0</v>
      </c>
      <c r="AD1867" s="11" t="s">
        <v>3</v>
      </c>
      <c r="AF1867" s="11">
        <v>1</v>
      </c>
      <c r="AI1867" s="11">
        <v>1</v>
      </c>
    </row>
    <row r="1868" spans="1:43" x14ac:dyDescent="0.25">
      <c r="A1868" s="161" t="str">
        <f t="shared" si="31"/>
        <v>EE_LINE_INFANTRY</v>
      </c>
      <c r="E1868" s="4" t="s">
        <v>1987</v>
      </c>
      <c r="F1868" s="4" t="s">
        <v>1987</v>
      </c>
      <c r="G1868" s="14" t="s">
        <v>2049</v>
      </c>
      <c r="H1868" s="4" t="s">
        <v>1989</v>
      </c>
      <c r="I1868" s="4" t="s">
        <v>122</v>
      </c>
      <c r="K1868" s="7">
        <v>1</v>
      </c>
      <c r="Q1868" s="11">
        <v>1</v>
      </c>
      <c r="R1868" s="11" t="s">
        <v>1737</v>
      </c>
      <c r="S1868" s="4" t="s">
        <v>1619</v>
      </c>
      <c r="T1868" s="11">
        <v>1</v>
      </c>
      <c r="U1868" s="11" t="s">
        <v>1737</v>
      </c>
      <c r="W1868" s="11" t="s">
        <v>3</v>
      </c>
      <c r="X1868" s="11" t="s">
        <v>3</v>
      </c>
      <c r="Z1868" s="11">
        <v>0</v>
      </c>
      <c r="AD1868" s="11" t="s">
        <v>3</v>
      </c>
      <c r="AF1868" s="11">
        <v>1</v>
      </c>
      <c r="AI1868" s="11">
        <v>1</v>
      </c>
    </row>
    <row r="1869" spans="1:43" x14ac:dyDescent="0.25">
      <c r="A1869" s="161" t="str">
        <f t="shared" si="31"/>
        <v>EE_LINE_INFANTRY</v>
      </c>
      <c r="E1869" s="4" t="s">
        <v>1987</v>
      </c>
      <c r="F1869" s="4" t="s">
        <v>1987</v>
      </c>
      <c r="G1869" s="14"/>
      <c r="H1869" s="4" t="s">
        <v>1990</v>
      </c>
      <c r="I1869" s="4" t="s">
        <v>122</v>
      </c>
      <c r="K1869" s="7">
        <v>1</v>
      </c>
      <c r="Q1869" s="11">
        <v>4</v>
      </c>
      <c r="R1869" s="11" t="s">
        <v>1737</v>
      </c>
      <c r="S1869" s="4" t="s">
        <v>1619</v>
      </c>
      <c r="T1869" s="11">
        <v>6</v>
      </c>
      <c r="U1869" s="11" t="s">
        <v>1737</v>
      </c>
      <c r="W1869" s="11" t="s">
        <v>3</v>
      </c>
      <c r="X1869" s="11" t="s">
        <v>3</v>
      </c>
      <c r="Z1869" s="11">
        <v>0</v>
      </c>
      <c r="AD1869" s="11" t="s">
        <v>3</v>
      </c>
      <c r="AF1869" s="11">
        <v>0</v>
      </c>
      <c r="AI1869" s="11">
        <v>3</v>
      </c>
    </row>
    <row r="1870" spans="1:43" x14ac:dyDescent="0.25">
      <c r="A1870" s="161" t="str">
        <f t="shared" si="31"/>
        <v>EE_LINE_INFANTRY</v>
      </c>
      <c r="E1870" s="4" t="s">
        <v>1987</v>
      </c>
      <c r="F1870" s="4" t="s">
        <v>1987</v>
      </c>
      <c r="G1870" s="14" t="s">
        <v>2047</v>
      </c>
      <c r="H1870" s="4" t="s">
        <v>1988</v>
      </c>
      <c r="I1870" s="4" t="s">
        <v>122</v>
      </c>
      <c r="K1870" s="7">
        <v>1</v>
      </c>
      <c r="Q1870" s="11">
        <v>2</v>
      </c>
      <c r="R1870" s="11" t="s">
        <v>1737</v>
      </c>
      <c r="S1870" s="4" t="s">
        <v>1619</v>
      </c>
      <c r="T1870" s="11">
        <v>3</v>
      </c>
      <c r="U1870" s="11" t="s">
        <v>1737</v>
      </c>
      <c r="W1870" s="11" t="s">
        <v>3</v>
      </c>
      <c r="X1870" s="11" t="s">
        <v>3</v>
      </c>
      <c r="Z1870" s="11">
        <v>0</v>
      </c>
      <c r="AD1870" s="11" t="s">
        <v>3</v>
      </c>
      <c r="AF1870" s="11">
        <v>0</v>
      </c>
      <c r="AI1870" s="11">
        <v>0</v>
      </c>
    </row>
    <row r="1871" spans="1:43" x14ac:dyDescent="0.25">
      <c r="A1871" s="161" t="str">
        <f t="shared" si="31"/>
        <v>EE_LINE_INFANTRY</v>
      </c>
      <c r="E1871" s="4" t="s">
        <v>1987</v>
      </c>
      <c r="F1871" s="4" t="s">
        <v>1987</v>
      </c>
      <c r="G1871" s="14" t="s">
        <v>2049</v>
      </c>
      <c r="H1871" s="4" t="s">
        <v>1989</v>
      </c>
      <c r="I1871" s="4" t="s">
        <v>122</v>
      </c>
      <c r="K1871" s="7">
        <v>1</v>
      </c>
      <c r="Q1871" s="11">
        <v>1</v>
      </c>
      <c r="R1871" s="11" t="s">
        <v>1737</v>
      </c>
      <c r="S1871" s="4" t="s">
        <v>1619</v>
      </c>
      <c r="T1871" s="11">
        <v>2</v>
      </c>
      <c r="U1871" s="11" t="s">
        <v>1737</v>
      </c>
      <c r="W1871" s="11" t="s">
        <v>3</v>
      </c>
      <c r="X1871" s="11" t="s">
        <v>3</v>
      </c>
      <c r="Z1871" s="11">
        <v>0</v>
      </c>
      <c r="AD1871" s="11" t="s">
        <v>3</v>
      </c>
      <c r="AF1871" s="11">
        <v>0</v>
      </c>
      <c r="AI1871" s="11">
        <v>0</v>
      </c>
    </row>
    <row r="1872" spans="1:43" x14ac:dyDescent="0.25">
      <c r="A1872" s="161" t="str">
        <f t="shared" si="31"/>
        <v>EE_LINE_INFANTRY_AUSTRIA</v>
      </c>
      <c r="C1872" s="4" t="s">
        <v>701</v>
      </c>
      <c r="E1872" s="4" t="s">
        <v>1987</v>
      </c>
      <c r="F1872" s="4" t="s">
        <v>1987</v>
      </c>
      <c r="G1872" s="14"/>
      <c r="H1872" s="4" t="s">
        <v>1991</v>
      </c>
      <c r="I1872" s="4" t="s">
        <v>122</v>
      </c>
      <c r="K1872" s="7">
        <v>1</v>
      </c>
      <c r="Q1872" s="11">
        <v>4</v>
      </c>
      <c r="T1872" s="11">
        <v>5</v>
      </c>
      <c r="Z1872" s="11">
        <v>1</v>
      </c>
      <c r="AF1872" s="11">
        <v>1</v>
      </c>
      <c r="AI1872" s="11">
        <v>2</v>
      </c>
    </row>
    <row r="1873" spans="1:43" x14ac:dyDescent="0.25">
      <c r="A1873" s="161" t="str">
        <f t="shared" si="31"/>
        <v>EE_LINE_INFANTRY_AUSTRIA</v>
      </c>
      <c r="C1873" s="4" t="s">
        <v>701</v>
      </c>
      <c r="E1873" s="4" t="s">
        <v>1987</v>
      </c>
      <c r="F1873" s="4" t="s">
        <v>1987</v>
      </c>
      <c r="G1873" s="14" t="s">
        <v>2047</v>
      </c>
      <c r="H1873" s="4" t="s">
        <v>1993</v>
      </c>
      <c r="I1873" s="4" t="s">
        <v>122</v>
      </c>
      <c r="K1873" s="7">
        <v>1</v>
      </c>
      <c r="Q1873" s="11">
        <v>2</v>
      </c>
      <c r="T1873" s="11">
        <v>2</v>
      </c>
      <c r="Z1873" s="11">
        <v>0</v>
      </c>
      <c r="AF1873" s="11">
        <v>1</v>
      </c>
      <c r="AI1873" s="11">
        <v>1</v>
      </c>
    </row>
    <row r="1874" spans="1:43" x14ac:dyDescent="0.25">
      <c r="A1874" s="161" t="str">
        <f t="shared" si="31"/>
        <v>EE_LINE_INFANTRY_AUSTRIA</v>
      </c>
      <c r="C1874" s="4" t="s">
        <v>701</v>
      </c>
      <c r="E1874" s="4" t="s">
        <v>1987</v>
      </c>
      <c r="F1874" s="4" t="s">
        <v>1987</v>
      </c>
      <c r="G1874" s="14" t="s">
        <v>2049</v>
      </c>
      <c r="H1874" s="4" t="s">
        <v>1994</v>
      </c>
      <c r="I1874" s="4" t="s">
        <v>122</v>
      </c>
      <c r="K1874" s="7">
        <v>1</v>
      </c>
      <c r="Q1874" s="11">
        <v>1</v>
      </c>
      <c r="T1874" s="11">
        <v>1</v>
      </c>
      <c r="Z1874" s="11">
        <v>0</v>
      </c>
      <c r="AF1874" s="11">
        <v>1</v>
      </c>
      <c r="AI1874" s="11">
        <v>1</v>
      </c>
    </row>
    <row r="1875" spans="1:43" s="11" customFormat="1" x14ac:dyDescent="0.25">
      <c r="A1875" s="161" t="str">
        <f t="shared" si="31"/>
        <v>EE_LINE_INFANTRY_AUSTRIA</v>
      </c>
      <c r="B1875" s="9"/>
      <c r="C1875" s="4" t="s">
        <v>701</v>
      </c>
      <c r="D1875" s="4"/>
      <c r="E1875" s="4" t="s">
        <v>1987</v>
      </c>
      <c r="F1875" s="4" t="s">
        <v>1987</v>
      </c>
      <c r="G1875" s="14"/>
      <c r="H1875" s="4" t="s">
        <v>1991</v>
      </c>
      <c r="I1875" s="4" t="s">
        <v>122</v>
      </c>
      <c r="K1875" s="7">
        <v>1</v>
      </c>
      <c r="L1875" s="4"/>
      <c r="M1875" s="12"/>
      <c r="N1875" s="4"/>
      <c r="O1875" s="4"/>
      <c r="P1875" s="4"/>
      <c r="Q1875" s="11">
        <v>4</v>
      </c>
      <c r="S1875" s="4"/>
      <c r="T1875" s="11">
        <v>6</v>
      </c>
      <c r="V1875" s="4"/>
      <c r="Y1875" s="4"/>
      <c r="Z1875" s="11">
        <v>0</v>
      </c>
      <c r="AB1875" s="4"/>
      <c r="AE1875" s="4"/>
      <c r="AF1875" s="11">
        <v>0</v>
      </c>
      <c r="AH1875" s="4"/>
      <c r="AI1875" s="11">
        <v>3</v>
      </c>
      <c r="AK1875" s="4"/>
      <c r="AL1875" s="4"/>
      <c r="AM1875" s="4"/>
      <c r="AN1875" s="4"/>
      <c r="AO1875" s="4"/>
      <c r="AP1875" s="4"/>
      <c r="AQ1875" s="4"/>
    </row>
    <row r="1876" spans="1:43" s="11" customFormat="1" x14ac:dyDescent="0.25">
      <c r="A1876" s="161" t="str">
        <f t="shared" si="31"/>
        <v>EE_LINE_INFANTRY_AUSTRIA</v>
      </c>
      <c r="B1876" s="9"/>
      <c r="C1876" s="4" t="s">
        <v>701</v>
      </c>
      <c r="D1876" s="4"/>
      <c r="E1876" s="4" t="s">
        <v>1987</v>
      </c>
      <c r="F1876" s="4" t="s">
        <v>1987</v>
      </c>
      <c r="G1876" s="14" t="s">
        <v>2047</v>
      </c>
      <c r="H1876" s="4" t="s">
        <v>1993</v>
      </c>
      <c r="I1876" s="4" t="s">
        <v>122</v>
      </c>
      <c r="K1876" s="7">
        <v>1</v>
      </c>
      <c r="L1876" s="4"/>
      <c r="M1876" s="12"/>
      <c r="N1876" s="4"/>
      <c r="O1876" s="4"/>
      <c r="P1876" s="4"/>
      <c r="Q1876" s="11">
        <v>2</v>
      </c>
      <c r="S1876" s="4"/>
      <c r="T1876" s="11">
        <v>3</v>
      </c>
      <c r="V1876" s="4"/>
      <c r="Y1876" s="4"/>
      <c r="Z1876" s="11">
        <v>0</v>
      </c>
      <c r="AB1876" s="4"/>
      <c r="AE1876" s="4"/>
      <c r="AF1876" s="11">
        <v>0</v>
      </c>
      <c r="AH1876" s="4"/>
      <c r="AI1876" s="11">
        <v>0</v>
      </c>
      <c r="AK1876" s="4"/>
      <c r="AL1876" s="4"/>
      <c r="AM1876" s="4"/>
      <c r="AN1876" s="4"/>
      <c r="AO1876" s="4"/>
      <c r="AP1876" s="4"/>
      <c r="AQ1876" s="4"/>
    </row>
    <row r="1877" spans="1:43" s="11" customFormat="1" x14ac:dyDescent="0.25">
      <c r="A1877" s="161" t="str">
        <f t="shared" si="31"/>
        <v>EE_LINE_INFANTRY_AUSTRIA</v>
      </c>
      <c r="B1877" s="9"/>
      <c r="C1877" s="4" t="s">
        <v>701</v>
      </c>
      <c r="D1877" s="4"/>
      <c r="E1877" s="4" t="s">
        <v>1987</v>
      </c>
      <c r="F1877" s="4" t="s">
        <v>1987</v>
      </c>
      <c r="G1877" s="14" t="s">
        <v>2049</v>
      </c>
      <c r="H1877" s="4" t="s">
        <v>1994</v>
      </c>
      <c r="I1877" s="4" t="s">
        <v>122</v>
      </c>
      <c r="K1877" s="7">
        <v>1</v>
      </c>
      <c r="L1877" s="4"/>
      <c r="M1877" s="12"/>
      <c r="N1877" s="4"/>
      <c r="O1877" s="4"/>
      <c r="P1877" s="4"/>
      <c r="Q1877" s="11">
        <v>1</v>
      </c>
      <c r="S1877" s="4"/>
      <c r="T1877" s="11">
        <v>2</v>
      </c>
      <c r="V1877" s="4"/>
      <c r="Y1877" s="4"/>
      <c r="Z1877" s="11">
        <v>0</v>
      </c>
      <c r="AB1877" s="4"/>
      <c r="AE1877" s="4"/>
      <c r="AF1877" s="11">
        <v>0</v>
      </c>
      <c r="AH1877" s="4"/>
      <c r="AI1877" s="11">
        <v>0</v>
      </c>
      <c r="AK1877" s="4"/>
      <c r="AL1877" s="4"/>
      <c r="AM1877" s="4"/>
      <c r="AN1877" s="4"/>
      <c r="AO1877" s="4"/>
      <c r="AP1877" s="4"/>
      <c r="AQ1877" s="4"/>
    </row>
    <row r="1878" spans="1:43" s="11" customFormat="1" x14ac:dyDescent="0.25">
      <c r="A1878" s="161" t="str">
        <f t="shared" si="31"/>
        <v>EE_LINE_INFANTRY_DENMARK</v>
      </c>
      <c r="B1878" s="9"/>
      <c r="C1878" s="4" t="s">
        <v>711</v>
      </c>
      <c r="D1878" s="4"/>
      <c r="E1878" s="4" t="s">
        <v>1987</v>
      </c>
      <c r="F1878" s="4" t="s">
        <v>1987</v>
      </c>
      <c r="G1878" s="14"/>
      <c r="H1878" s="4" t="s">
        <v>1992</v>
      </c>
      <c r="I1878" s="4" t="s">
        <v>122</v>
      </c>
      <c r="K1878" s="7">
        <v>1</v>
      </c>
      <c r="L1878" s="4"/>
      <c r="M1878" s="12"/>
      <c r="N1878" s="4"/>
      <c r="O1878" s="4"/>
      <c r="P1878" s="4"/>
      <c r="Q1878" s="11">
        <v>14</v>
      </c>
      <c r="S1878" s="4"/>
      <c r="T1878" s="11">
        <v>19</v>
      </c>
      <c r="V1878" s="4"/>
      <c r="Y1878" s="4"/>
      <c r="Z1878" s="11">
        <v>1</v>
      </c>
      <c r="AB1878" s="4"/>
      <c r="AE1878" s="4"/>
      <c r="AF1878" s="11">
        <v>3</v>
      </c>
      <c r="AH1878" s="4"/>
      <c r="AI1878" s="11">
        <v>7</v>
      </c>
      <c r="AK1878" s="4"/>
      <c r="AL1878" s="4"/>
      <c r="AM1878" s="4"/>
      <c r="AN1878" s="4"/>
      <c r="AO1878" s="4"/>
      <c r="AP1878" s="4"/>
      <c r="AQ1878" s="4"/>
    </row>
    <row r="1879" spans="1:43" s="11" customFormat="1" x14ac:dyDescent="0.25">
      <c r="A1879" s="161" t="str">
        <f t="shared" si="31"/>
        <v>EE_LINE_INFANTRY_ENGLAND</v>
      </c>
      <c r="B1879" s="9"/>
      <c r="C1879" s="4" t="s">
        <v>713</v>
      </c>
      <c r="D1879" s="4"/>
      <c r="E1879" s="4" t="s">
        <v>1987</v>
      </c>
      <c r="F1879" s="4" t="s">
        <v>1987</v>
      </c>
      <c r="G1879" s="1"/>
      <c r="H1879" s="4" t="s">
        <v>1995</v>
      </c>
      <c r="I1879" s="4" t="s">
        <v>122</v>
      </c>
      <c r="K1879" s="7">
        <v>1</v>
      </c>
      <c r="L1879" s="4"/>
      <c r="M1879" s="12"/>
      <c r="N1879" s="4"/>
      <c r="O1879" s="4"/>
      <c r="P1879" s="4"/>
      <c r="Q1879" s="11">
        <v>4</v>
      </c>
      <c r="S1879" s="4"/>
      <c r="T1879" s="11">
        <v>5</v>
      </c>
      <c r="V1879" s="4"/>
      <c r="Y1879" s="4"/>
      <c r="Z1879" s="11">
        <v>1</v>
      </c>
      <c r="AB1879" s="4"/>
      <c r="AE1879" s="4"/>
      <c r="AF1879" s="11">
        <v>1</v>
      </c>
      <c r="AH1879" s="4"/>
      <c r="AI1879" s="11">
        <v>2</v>
      </c>
      <c r="AK1879" s="4"/>
      <c r="AL1879" s="4"/>
      <c r="AM1879" s="4"/>
      <c r="AN1879" s="4"/>
      <c r="AO1879" s="4"/>
      <c r="AP1879" s="4"/>
      <c r="AQ1879" s="4"/>
    </row>
    <row r="1880" spans="1:43" s="11" customFormat="1" x14ac:dyDescent="0.25">
      <c r="A1880" s="161" t="str">
        <f t="shared" si="31"/>
        <v>EE_LINE_INFANTRY_ENGLAND</v>
      </c>
      <c r="B1880" s="9"/>
      <c r="C1880" s="4" t="s">
        <v>713</v>
      </c>
      <c r="D1880" s="4"/>
      <c r="E1880" s="4" t="s">
        <v>1987</v>
      </c>
      <c r="F1880" s="4" t="s">
        <v>1987</v>
      </c>
      <c r="G1880" s="14" t="s">
        <v>2047</v>
      </c>
      <c r="H1880" s="4" t="s">
        <v>2009</v>
      </c>
      <c r="I1880" s="4" t="s">
        <v>122</v>
      </c>
      <c r="K1880" s="7">
        <v>1</v>
      </c>
      <c r="L1880" s="4"/>
      <c r="M1880" s="12"/>
      <c r="N1880" s="4"/>
      <c r="O1880" s="4"/>
      <c r="P1880" s="4"/>
      <c r="Q1880" s="11">
        <v>2</v>
      </c>
      <c r="S1880" s="4"/>
      <c r="T1880" s="11">
        <v>2</v>
      </c>
      <c r="V1880" s="4"/>
      <c r="Y1880" s="4"/>
      <c r="Z1880" s="11">
        <v>0</v>
      </c>
      <c r="AB1880" s="4"/>
      <c r="AE1880" s="4"/>
      <c r="AF1880" s="11">
        <v>1</v>
      </c>
      <c r="AH1880" s="4"/>
      <c r="AI1880" s="11">
        <v>1</v>
      </c>
      <c r="AK1880" s="4"/>
      <c r="AL1880" s="4"/>
      <c r="AM1880" s="4"/>
      <c r="AN1880" s="4"/>
      <c r="AO1880" s="4"/>
      <c r="AP1880" s="4"/>
      <c r="AQ1880" s="4"/>
    </row>
    <row r="1881" spans="1:43" s="11" customFormat="1" x14ac:dyDescent="0.25">
      <c r="A1881" s="161" t="str">
        <f t="shared" si="31"/>
        <v>EE_LINE_INFANTRY_ENGLAND</v>
      </c>
      <c r="B1881" s="9"/>
      <c r="C1881" s="4" t="s">
        <v>713</v>
      </c>
      <c r="D1881" s="4"/>
      <c r="E1881" s="4" t="s">
        <v>1987</v>
      </c>
      <c r="F1881" s="4" t="s">
        <v>1987</v>
      </c>
      <c r="G1881" s="14" t="s">
        <v>2049</v>
      </c>
      <c r="H1881" s="4" t="s">
        <v>2010</v>
      </c>
      <c r="I1881" s="4" t="s">
        <v>122</v>
      </c>
      <c r="K1881" s="7">
        <v>1</v>
      </c>
      <c r="L1881" s="4"/>
      <c r="M1881" s="12"/>
      <c r="N1881" s="4"/>
      <c r="O1881" s="4"/>
      <c r="P1881" s="4"/>
      <c r="Q1881" s="11">
        <v>1</v>
      </c>
      <c r="S1881" s="4"/>
      <c r="T1881" s="11">
        <v>1</v>
      </c>
      <c r="V1881" s="4"/>
      <c r="Y1881" s="4"/>
      <c r="Z1881" s="11">
        <v>0</v>
      </c>
      <c r="AB1881" s="4"/>
      <c r="AE1881" s="4"/>
      <c r="AF1881" s="11">
        <v>1</v>
      </c>
      <c r="AH1881" s="4"/>
      <c r="AI1881" s="11">
        <v>1</v>
      </c>
      <c r="AK1881" s="4"/>
      <c r="AL1881" s="4"/>
      <c r="AM1881" s="4"/>
      <c r="AN1881" s="4"/>
      <c r="AO1881" s="4"/>
      <c r="AP1881" s="4"/>
      <c r="AQ1881" s="4"/>
    </row>
    <row r="1882" spans="1:43" s="11" customFormat="1" x14ac:dyDescent="0.25">
      <c r="A1882" s="161" t="str">
        <f t="shared" si="31"/>
        <v>EE_LINE_INFANTRY_ENGLAND</v>
      </c>
      <c r="B1882" s="9"/>
      <c r="C1882" s="4" t="s">
        <v>713</v>
      </c>
      <c r="D1882" s="4"/>
      <c r="E1882" s="4" t="s">
        <v>1987</v>
      </c>
      <c r="F1882" s="4" t="s">
        <v>1987</v>
      </c>
      <c r="G1882" s="1"/>
      <c r="H1882" s="4" t="s">
        <v>1995</v>
      </c>
      <c r="I1882" s="4" t="s">
        <v>122</v>
      </c>
      <c r="K1882" s="7">
        <v>1</v>
      </c>
      <c r="L1882" s="4"/>
      <c r="M1882" s="12"/>
      <c r="N1882" s="4"/>
      <c r="O1882" s="4"/>
      <c r="P1882" s="4"/>
      <c r="Q1882" s="11">
        <v>4</v>
      </c>
      <c r="S1882" s="4"/>
      <c r="T1882" s="11">
        <v>6</v>
      </c>
      <c r="V1882" s="4"/>
      <c r="Y1882" s="4"/>
      <c r="Z1882" s="11">
        <v>0</v>
      </c>
      <c r="AB1882" s="4"/>
      <c r="AE1882" s="4"/>
      <c r="AF1882" s="11">
        <v>0</v>
      </c>
      <c r="AH1882" s="4"/>
      <c r="AI1882" s="11">
        <v>3</v>
      </c>
      <c r="AK1882" s="4"/>
      <c r="AL1882" s="4"/>
      <c r="AM1882" s="4"/>
      <c r="AN1882" s="4"/>
      <c r="AO1882" s="4"/>
      <c r="AP1882" s="4"/>
      <c r="AQ1882" s="4"/>
    </row>
    <row r="1883" spans="1:43" s="11" customFormat="1" x14ac:dyDescent="0.25">
      <c r="A1883" s="161" t="str">
        <f t="shared" ref="A1883:A1898" si="32">CONCATENATE(E1883,IF(ISBLANK(C1883),"",CONCATENATE("_",C1883)))</f>
        <v>EE_LINE_INFANTRY_ENGLAND</v>
      </c>
      <c r="B1883" s="9"/>
      <c r="C1883" s="4" t="s">
        <v>713</v>
      </c>
      <c r="D1883" s="4"/>
      <c r="E1883" s="4" t="s">
        <v>1987</v>
      </c>
      <c r="F1883" s="4" t="s">
        <v>1987</v>
      </c>
      <c r="G1883" s="14" t="s">
        <v>2047</v>
      </c>
      <c r="H1883" s="4" t="s">
        <v>2009</v>
      </c>
      <c r="I1883" s="4" t="s">
        <v>122</v>
      </c>
      <c r="K1883" s="7">
        <v>1</v>
      </c>
      <c r="L1883" s="4"/>
      <c r="M1883" s="12"/>
      <c r="N1883" s="4"/>
      <c r="O1883" s="4"/>
      <c r="P1883" s="4"/>
      <c r="Q1883" s="11">
        <v>2</v>
      </c>
      <c r="S1883" s="4"/>
      <c r="T1883" s="11">
        <v>3</v>
      </c>
      <c r="V1883" s="4"/>
      <c r="Y1883" s="4"/>
      <c r="Z1883" s="11">
        <v>0</v>
      </c>
      <c r="AB1883" s="4"/>
      <c r="AE1883" s="4"/>
      <c r="AF1883" s="11">
        <v>0</v>
      </c>
      <c r="AH1883" s="4"/>
      <c r="AI1883" s="11">
        <v>0</v>
      </c>
      <c r="AK1883" s="4"/>
      <c r="AL1883" s="4"/>
      <c r="AM1883" s="4"/>
      <c r="AN1883" s="4"/>
      <c r="AO1883" s="4"/>
      <c r="AP1883" s="4"/>
      <c r="AQ1883" s="4"/>
    </row>
    <row r="1884" spans="1:43" s="11" customFormat="1" x14ac:dyDescent="0.25">
      <c r="A1884" s="161" t="str">
        <f t="shared" si="32"/>
        <v>EE_LINE_INFANTRY_ENGLAND</v>
      </c>
      <c r="B1884" s="9"/>
      <c r="C1884" s="4" t="s">
        <v>713</v>
      </c>
      <c r="D1884" s="4"/>
      <c r="E1884" s="4" t="s">
        <v>1987</v>
      </c>
      <c r="F1884" s="4" t="s">
        <v>1987</v>
      </c>
      <c r="G1884" s="14" t="s">
        <v>2049</v>
      </c>
      <c r="H1884" s="4" t="s">
        <v>2010</v>
      </c>
      <c r="I1884" s="4" t="s">
        <v>122</v>
      </c>
      <c r="K1884" s="7">
        <v>1</v>
      </c>
      <c r="L1884" s="4"/>
      <c r="M1884" s="12"/>
      <c r="N1884" s="4"/>
      <c r="O1884" s="4"/>
      <c r="P1884" s="4"/>
      <c r="Q1884" s="11">
        <v>1</v>
      </c>
      <c r="S1884" s="4"/>
      <c r="T1884" s="11">
        <v>2</v>
      </c>
      <c r="V1884" s="4"/>
      <c r="Y1884" s="4"/>
      <c r="Z1884" s="11">
        <v>0</v>
      </c>
      <c r="AB1884" s="4"/>
      <c r="AE1884" s="4"/>
      <c r="AF1884" s="11">
        <v>0</v>
      </c>
      <c r="AH1884" s="4"/>
      <c r="AI1884" s="11">
        <v>0</v>
      </c>
      <c r="AK1884" s="4"/>
      <c r="AL1884" s="4"/>
      <c r="AM1884" s="4"/>
      <c r="AN1884" s="4"/>
      <c r="AO1884" s="4"/>
      <c r="AP1884" s="4"/>
      <c r="AQ1884" s="4"/>
    </row>
    <row r="1885" spans="1:43" s="11" customFormat="1" x14ac:dyDescent="0.25">
      <c r="A1885" s="161" t="str">
        <f t="shared" si="32"/>
        <v>EE_LINE_INFANTRY_FRANCE</v>
      </c>
      <c r="B1885" s="9"/>
      <c r="C1885" s="4" t="s">
        <v>715</v>
      </c>
      <c r="D1885" s="4"/>
      <c r="E1885" s="4" t="s">
        <v>1987</v>
      </c>
      <c r="F1885" s="4" t="s">
        <v>1987</v>
      </c>
      <c r="G1885" s="14"/>
      <c r="H1885" s="4" t="s">
        <v>1996</v>
      </c>
      <c r="I1885" s="4" t="s">
        <v>122</v>
      </c>
      <c r="K1885" s="7">
        <v>1</v>
      </c>
      <c r="L1885" s="4"/>
      <c r="M1885" s="12"/>
      <c r="N1885" s="4"/>
      <c r="O1885" s="4"/>
      <c r="P1885" s="4"/>
      <c r="Q1885" s="11">
        <v>4</v>
      </c>
      <c r="S1885" s="4"/>
      <c r="T1885" s="11">
        <v>5</v>
      </c>
      <c r="V1885" s="4"/>
      <c r="Y1885" s="4"/>
      <c r="Z1885" s="11">
        <v>1</v>
      </c>
      <c r="AB1885" s="4"/>
      <c r="AE1885" s="4"/>
      <c r="AF1885" s="11">
        <v>1</v>
      </c>
      <c r="AH1885" s="4"/>
      <c r="AI1885" s="11">
        <v>2</v>
      </c>
      <c r="AK1885" s="4"/>
      <c r="AL1885" s="4"/>
      <c r="AM1885" s="4"/>
      <c r="AN1885" s="4"/>
      <c r="AO1885" s="4"/>
      <c r="AP1885" s="4"/>
      <c r="AQ1885" s="4"/>
    </row>
    <row r="1886" spans="1:43" s="11" customFormat="1" x14ac:dyDescent="0.25">
      <c r="A1886" s="161" t="str">
        <f t="shared" si="32"/>
        <v>EE_LINE_INFANTRY_FRANCE</v>
      </c>
      <c r="B1886" s="9"/>
      <c r="C1886" s="4" t="s">
        <v>715</v>
      </c>
      <c r="D1886" s="4"/>
      <c r="E1886" s="4" t="s">
        <v>1987</v>
      </c>
      <c r="F1886" s="4" t="s">
        <v>1987</v>
      </c>
      <c r="G1886" s="14" t="s">
        <v>2047</v>
      </c>
      <c r="H1886" s="4" t="s">
        <v>2007</v>
      </c>
      <c r="I1886" s="4" t="s">
        <v>122</v>
      </c>
      <c r="K1886" s="7">
        <v>1</v>
      </c>
      <c r="L1886" s="4"/>
      <c r="M1886" s="12"/>
      <c r="N1886" s="4"/>
      <c r="O1886" s="4"/>
      <c r="P1886" s="4"/>
      <c r="Q1886" s="11">
        <v>2</v>
      </c>
      <c r="S1886" s="4"/>
      <c r="T1886" s="11">
        <v>2</v>
      </c>
      <c r="V1886" s="4"/>
      <c r="Y1886" s="4"/>
      <c r="Z1886" s="11">
        <v>0</v>
      </c>
      <c r="AB1886" s="4"/>
      <c r="AE1886" s="4"/>
      <c r="AF1886" s="11">
        <v>1</v>
      </c>
      <c r="AH1886" s="4"/>
      <c r="AI1886" s="11">
        <v>1</v>
      </c>
      <c r="AK1886" s="4"/>
      <c r="AL1886" s="4"/>
      <c r="AM1886" s="4"/>
      <c r="AN1886" s="4"/>
      <c r="AO1886" s="4"/>
      <c r="AP1886" s="4"/>
      <c r="AQ1886" s="4"/>
    </row>
    <row r="1887" spans="1:43" s="11" customFormat="1" x14ac:dyDescent="0.25">
      <c r="A1887" s="161" t="str">
        <f t="shared" si="32"/>
        <v>EE_LINE_INFANTRY_FRANCE</v>
      </c>
      <c r="B1887" s="9"/>
      <c r="C1887" s="4" t="s">
        <v>715</v>
      </c>
      <c r="D1887" s="4"/>
      <c r="E1887" s="4" t="s">
        <v>1987</v>
      </c>
      <c r="F1887" s="4" t="s">
        <v>1987</v>
      </c>
      <c r="G1887" s="14" t="s">
        <v>2049</v>
      </c>
      <c r="H1887" s="4" t="s">
        <v>2008</v>
      </c>
      <c r="I1887" s="4" t="s">
        <v>122</v>
      </c>
      <c r="K1887" s="7">
        <v>1</v>
      </c>
      <c r="L1887" s="4"/>
      <c r="M1887" s="12"/>
      <c r="N1887" s="4"/>
      <c r="O1887" s="4"/>
      <c r="P1887" s="4"/>
      <c r="Q1887" s="11">
        <v>1</v>
      </c>
      <c r="S1887" s="4"/>
      <c r="T1887" s="11">
        <v>1</v>
      </c>
      <c r="V1887" s="4"/>
      <c r="Y1887" s="4"/>
      <c r="Z1887" s="11">
        <v>0</v>
      </c>
      <c r="AB1887" s="4"/>
      <c r="AE1887" s="4"/>
      <c r="AF1887" s="11">
        <v>1</v>
      </c>
      <c r="AH1887" s="4"/>
      <c r="AI1887" s="11">
        <v>1</v>
      </c>
      <c r="AK1887" s="4"/>
      <c r="AL1887" s="4"/>
      <c r="AM1887" s="4"/>
      <c r="AN1887" s="4"/>
      <c r="AO1887" s="4"/>
      <c r="AP1887" s="4"/>
      <c r="AQ1887" s="4"/>
    </row>
    <row r="1888" spans="1:43" s="11" customFormat="1" x14ac:dyDescent="0.25">
      <c r="A1888" s="161" t="str">
        <f t="shared" si="32"/>
        <v>EE_LINE_INFANTRY_FRANCE</v>
      </c>
      <c r="B1888" s="9"/>
      <c r="C1888" s="4" t="s">
        <v>715</v>
      </c>
      <c r="D1888" s="4"/>
      <c r="E1888" s="4" t="s">
        <v>1987</v>
      </c>
      <c r="F1888" s="4" t="s">
        <v>1987</v>
      </c>
      <c r="G1888" s="14"/>
      <c r="H1888" s="4" t="s">
        <v>1996</v>
      </c>
      <c r="I1888" s="4" t="s">
        <v>122</v>
      </c>
      <c r="K1888" s="7">
        <v>1</v>
      </c>
      <c r="L1888" s="4"/>
      <c r="M1888" s="12"/>
      <c r="N1888" s="4"/>
      <c r="O1888" s="4"/>
      <c r="P1888" s="4"/>
      <c r="Q1888" s="11">
        <v>4</v>
      </c>
      <c r="S1888" s="4"/>
      <c r="T1888" s="11">
        <v>6</v>
      </c>
      <c r="V1888" s="4"/>
      <c r="Y1888" s="4"/>
      <c r="Z1888" s="11">
        <v>0</v>
      </c>
      <c r="AB1888" s="4"/>
      <c r="AE1888" s="4"/>
      <c r="AF1888" s="11">
        <v>0</v>
      </c>
      <c r="AH1888" s="4"/>
      <c r="AI1888" s="11">
        <v>3</v>
      </c>
      <c r="AK1888" s="4"/>
      <c r="AL1888" s="4"/>
      <c r="AM1888" s="4"/>
      <c r="AN1888" s="4"/>
      <c r="AO1888" s="4"/>
      <c r="AP1888" s="4"/>
      <c r="AQ1888" s="4"/>
    </row>
    <row r="1889" spans="1:43" s="11" customFormat="1" x14ac:dyDescent="0.25">
      <c r="A1889" s="161" t="str">
        <f t="shared" si="32"/>
        <v>EE_LINE_INFANTRY_FRANCE</v>
      </c>
      <c r="B1889" s="9"/>
      <c r="C1889" s="4" t="s">
        <v>715</v>
      </c>
      <c r="D1889" s="4"/>
      <c r="E1889" s="4" t="s">
        <v>1987</v>
      </c>
      <c r="F1889" s="4" t="s">
        <v>1987</v>
      </c>
      <c r="G1889" s="14" t="s">
        <v>2047</v>
      </c>
      <c r="H1889" s="4" t="s">
        <v>2007</v>
      </c>
      <c r="I1889" s="4" t="s">
        <v>122</v>
      </c>
      <c r="K1889" s="7">
        <v>1</v>
      </c>
      <c r="L1889" s="4"/>
      <c r="M1889" s="12"/>
      <c r="N1889" s="4"/>
      <c r="O1889" s="4"/>
      <c r="P1889" s="4"/>
      <c r="Q1889" s="11">
        <v>2</v>
      </c>
      <c r="S1889" s="4"/>
      <c r="T1889" s="11">
        <v>3</v>
      </c>
      <c r="V1889" s="4"/>
      <c r="Y1889" s="4"/>
      <c r="Z1889" s="11">
        <v>0</v>
      </c>
      <c r="AB1889" s="4"/>
      <c r="AE1889" s="4"/>
      <c r="AF1889" s="11">
        <v>0</v>
      </c>
      <c r="AH1889" s="4"/>
      <c r="AI1889" s="11">
        <v>0</v>
      </c>
      <c r="AK1889" s="4"/>
      <c r="AL1889" s="4"/>
      <c r="AM1889" s="4"/>
      <c r="AN1889" s="4"/>
      <c r="AO1889" s="4"/>
      <c r="AP1889" s="4"/>
      <c r="AQ1889" s="4"/>
    </row>
    <row r="1890" spans="1:43" s="11" customFormat="1" x14ac:dyDescent="0.25">
      <c r="A1890" s="161" t="str">
        <f t="shared" si="32"/>
        <v>EE_LINE_INFANTRY_FRANCE</v>
      </c>
      <c r="B1890" s="9"/>
      <c r="C1890" s="4" t="s">
        <v>715</v>
      </c>
      <c r="D1890" s="4"/>
      <c r="E1890" s="4" t="s">
        <v>1987</v>
      </c>
      <c r="F1890" s="4" t="s">
        <v>1987</v>
      </c>
      <c r="G1890" s="14" t="s">
        <v>2049</v>
      </c>
      <c r="H1890" s="4" t="s">
        <v>2008</v>
      </c>
      <c r="I1890" s="4" t="s">
        <v>122</v>
      </c>
      <c r="K1890" s="7">
        <v>1</v>
      </c>
      <c r="L1890" s="4"/>
      <c r="M1890" s="12"/>
      <c r="N1890" s="4"/>
      <c r="O1890" s="4"/>
      <c r="P1890" s="4"/>
      <c r="Q1890" s="11">
        <v>1</v>
      </c>
      <c r="S1890" s="4"/>
      <c r="T1890" s="11">
        <v>2</v>
      </c>
      <c r="V1890" s="4"/>
      <c r="Y1890" s="4"/>
      <c r="Z1890" s="11">
        <v>0</v>
      </c>
      <c r="AB1890" s="4"/>
      <c r="AE1890" s="4"/>
      <c r="AF1890" s="11">
        <v>0</v>
      </c>
      <c r="AH1890" s="4"/>
      <c r="AI1890" s="11">
        <v>0</v>
      </c>
      <c r="AK1890" s="4"/>
      <c r="AL1890" s="4"/>
      <c r="AM1890" s="4"/>
      <c r="AN1890" s="4"/>
      <c r="AO1890" s="4"/>
      <c r="AP1890" s="4"/>
      <c r="AQ1890" s="4"/>
    </row>
    <row r="1891" spans="1:43" s="11" customFormat="1" x14ac:dyDescent="0.25">
      <c r="A1891" s="161" t="str">
        <f t="shared" si="32"/>
        <v>EE_LINE_INFANTRY_GERMANY</v>
      </c>
      <c r="B1891" s="9"/>
      <c r="C1891" s="4" t="s">
        <v>717</v>
      </c>
      <c r="D1891" s="4"/>
      <c r="E1891" s="4" t="s">
        <v>1987</v>
      </c>
      <c r="F1891" s="4" t="s">
        <v>1987</v>
      </c>
      <c r="G1891" s="14"/>
      <c r="H1891" s="4" t="s">
        <v>1997</v>
      </c>
      <c r="I1891" s="4" t="s">
        <v>122</v>
      </c>
      <c r="K1891" s="7">
        <v>1</v>
      </c>
      <c r="L1891" s="4"/>
      <c r="M1891" s="12"/>
      <c r="N1891" s="4"/>
      <c r="O1891" s="4"/>
      <c r="P1891" s="4"/>
      <c r="Q1891" s="11">
        <v>4</v>
      </c>
      <c r="S1891" s="4"/>
      <c r="T1891" s="11">
        <v>5</v>
      </c>
      <c r="V1891" s="4"/>
      <c r="Y1891" s="4"/>
      <c r="Z1891" s="11">
        <v>1</v>
      </c>
      <c r="AB1891" s="4"/>
      <c r="AE1891" s="4"/>
      <c r="AF1891" s="11">
        <v>1</v>
      </c>
      <c r="AH1891" s="4"/>
      <c r="AI1891" s="11">
        <v>2</v>
      </c>
      <c r="AK1891" s="4"/>
      <c r="AL1891" s="4"/>
      <c r="AM1891" s="4"/>
      <c r="AN1891" s="4"/>
      <c r="AO1891" s="4"/>
      <c r="AP1891" s="4"/>
      <c r="AQ1891" s="4"/>
    </row>
    <row r="1892" spans="1:43" s="11" customFormat="1" x14ac:dyDescent="0.25">
      <c r="A1892" s="161" t="str">
        <f t="shared" si="32"/>
        <v>EE_LINE_INFANTRY_GERMANY</v>
      </c>
      <c r="B1892" s="9"/>
      <c r="C1892" s="4" t="s">
        <v>717</v>
      </c>
      <c r="D1892" s="4"/>
      <c r="E1892" s="4" t="s">
        <v>1987</v>
      </c>
      <c r="F1892" s="4" t="s">
        <v>1987</v>
      </c>
      <c r="G1892" s="14" t="s">
        <v>2047</v>
      </c>
      <c r="H1892" s="4" t="s">
        <v>2005</v>
      </c>
      <c r="I1892" s="4" t="s">
        <v>122</v>
      </c>
      <c r="K1892" s="7">
        <v>1</v>
      </c>
      <c r="L1892" s="4"/>
      <c r="M1892" s="12"/>
      <c r="N1892" s="4"/>
      <c r="O1892" s="4"/>
      <c r="P1892" s="4"/>
      <c r="Q1892" s="11">
        <v>2</v>
      </c>
      <c r="S1892" s="4"/>
      <c r="T1892" s="11">
        <v>2</v>
      </c>
      <c r="V1892" s="4"/>
      <c r="Y1892" s="4"/>
      <c r="Z1892" s="11">
        <v>0</v>
      </c>
      <c r="AB1892" s="4"/>
      <c r="AE1892" s="4"/>
      <c r="AF1892" s="11">
        <v>1</v>
      </c>
      <c r="AH1892" s="4"/>
      <c r="AI1892" s="11">
        <v>1</v>
      </c>
      <c r="AK1892" s="4"/>
      <c r="AL1892" s="4"/>
      <c r="AM1892" s="4"/>
      <c r="AN1892" s="4"/>
      <c r="AO1892" s="4"/>
      <c r="AP1892" s="4"/>
      <c r="AQ1892" s="4"/>
    </row>
    <row r="1893" spans="1:43" s="11" customFormat="1" x14ac:dyDescent="0.25">
      <c r="A1893" s="161" t="str">
        <f t="shared" si="32"/>
        <v>EE_LINE_INFANTRY_GERMANY</v>
      </c>
      <c r="B1893" s="9"/>
      <c r="C1893" s="4" t="s">
        <v>717</v>
      </c>
      <c r="D1893" s="4"/>
      <c r="E1893" s="4" t="s">
        <v>1987</v>
      </c>
      <c r="F1893" s="4" t="s">
        <v>1987</v>
      </c>
      <c r="G1893" s="14" t="s">
        <v>2049</v>
      </c>
      <c r="H1893" s="4" t="s">
        <v>2006</v>
      </c>
      <c r="I1893" s="4" t="s">
        <v>122</v>
      </c>
      <c r="K1893" s="7">
        <v>1</v>
      </c>
      <c r="L1893" s="4"/>
      <c r="M1893" s="12"/>
      <c r="N1893" s="4"/>
      <c r="O1893" s="4"/>
      <c r="P1893" s="4"/>
      <c r="Q1893" s="11">
        <v>1</v>
      </c>
      <c r="S1893" s="4"/>
      <c r="T1893" s="11">
        <v>1</v>
      </c>
      <c r="V1893" s="4"/>
      <c r="Y1893" s="4"/>
      <c r="Z1893" s="11">
        <v>0</v>
      </c>
      <c r="AB1893" s="4"/>
      <c r="AE1893" s="4"/>
      <c r="AF1893" s="11">
        <v>1</v>
      </c>
      <c r="AH1893" s="4"/>
      <c r="AI1893" s="11">
        <v>1</v>
      </c>
      <c r="AK1893" s="4"/>
      <c r="AL1893" s="4"/>
      <c r="AM1893" s="4"/>
      <c r="AN1893" s="4"/>
      <c r="AO1893" s="4"/>
      <c r="AP1893" s="4"/>
      <c r="AQ1893" s="4"/>
    </row>
    <row r="1894" spans="1:43" s="11" customFormat="1" x14ac:dyDescent="0.25">
      <c r="A1894" s="161" t="str">
        <f t="shared" si="32"/>
        <v>EE_LINE_INFANTRY_GERMANY</v>
      </c>
      <c r="B1894" s="9"/>
      <c r="C1894" s="4" t="s">
        <v>717</v>
      </c>
      <c r="D1894" s="4"/>
      <c r="E1894" s="4" t="s">
        <v>1987</v>
      </c>
      <c r="F1894" s="4" t="s">
        <v>1987</v>
      </c>
      <c r="G1894" s="14"/>
      <c r="H1894" s="4" t="s">
        <v>1997</v>
      </c>
      <c r="I1894" s="4" t="s">
        <v>122</v>
      </c>
      <c r="K1894" s="7">
        <v>1</v>
      </c>
      <c r="L1894" s="4"/>
      <c r="M1894" s="12"/>
      <c r="N1894" s="4"/>
      <c r="O1894" s="4"/>
      <c r="P1894" s="4"/>
      <c r="Q1894" s="11">
        <v>4</v>
      </c>
      <c r="S1894" s="4"/>
      <c r="T1894" s="11">
        <v>6</v>
      </c>
      <c r="V1894" s="4"/>
      <c r="Y1894" s="4"/>
      <c r="Z1894" s="11">
        <v>0</v>
      </c>
      <c r="AB1894" s="4"/>
      <c r="AE1894" s="4"/>
      <c r="AF1894" s="11">
        <v>0</v>
      </c>
      <c r="AH1894" s="4"/>
      <c r="AI1894" s="11">
        <v>3</v>
      </c>
      <c r="AK1894" s="4"/>
      <c r="AL1894" s="4"/>
      <c r="AM1894" s="4"/>
      <c r="AN1894" s="4"/>
      <c r="AO1894" s="4"/>
      <c r="AP1894" s="4"/>
      <c r="AQ1894" s="4"/>
    </row>
    <row r="1895" spans="1:43" s="11" customFormat="1" x14ac:dyDescent="0.25">
      <c r="A1895" s="161" t="str">
        <f t="shared" si="32"/>
        <v>EE_LINE_INFANTRY_GERMANY</v>
      </c>
      <c r="B1895" s="9"/>
      <c r="C1895" s="4" t="s">
        <v>717</v>
      </c>
      <c r="D1895" s="4"/>
      <c r="E1895" s="4" t="s">
        <v>1987</v>
      </c>
      <c r="F1895" s="4" t="s">
        <v>1987</v>
      </c>
      <c r="G1895" s="14" t="s">
        <v>2047</v>
      </c>
      <c r="H1895" s="4" t="s">
        <v>2005</v>
      </c>
      <c r="I1895" s="4" t="s">
        <v>122</v>
      </c>
      <c r="K1895" s="7">
        <v>1</v>
      </c>
      <c r="L1895" s="4"/>
      <c r="M1895" s="12"/>
      <c r="N1895" s="4"/>
      <c r="O1895" s="4"/>
      <c r="P1895" s="4"/>
      <c r="Q1895" s="11">
        <v>2</v>
      </c>
      <c r="S1895" s="4"/>
      <c r="T1895" s="11">
        <v>3</v>
      </c>
      <c r="V1895" s="4"/>
      <c r="Y1895" s="4"/>
      <c r="Z1895" s="11">
        <v>0</v>
      </c>
      <c r="AB1895" s="4"/>
      <c r="AE1895" s="4"/>
      <c r="AF1895" s="11">
        <v>0</v>
      </c>
      <c r="AH1895" s="4"/>
      <c r="AI1895" s="11">
        <v>0</v>
      </c>
      <c r="AK1895" s="4"/>
      <c r="AL1895" s="4"/>
      <c r="AM1895" s="4"/>
      <c r="AN1895" s="4"/>
      <c r="AO1895" s="4"/>
      <c r="AP1895" s="4"/>
      <c r="AQ1895" s="4"/>
    </row>
    <row r="1896" spans="1:43" s="11" customFormat="1" x14ac:dyDescent="0.25">
      <c r="A1896" s="161" t="str">
        <f t="shared" si="32"/>
        <v>EE_LINE_INFANTRY_GERMANY</v>
      </c>
      <c r="B1896" s="9"/>
      <c r="C1896" s="4" t="s">
        <v>717</v>
      </c>
      <c r="D1896" s="4"/>
      <c r="E1896" s="4" t="s">
        <v>1987</v>
      </c>
      <c r="F1896" s="4" t="s">
        <v>1987</v>
      </c>
      <c r="G1896" s="14" t="s">
        <v>2049</v>
      </c>
      <c r="H1896" s="4" t="s">
        <v>2006</v>
      </c>
      <c r="I1896" s="4" t="s">
        <v>122</v>
      </c>
      <c r="K1896" s="7">
        <v>1</v>
      </c>
      <c r="L1896" s="4"/>
      <c r="M1896" s="12"/>
      <c r="N1896" s="4"/>
      <c r="O1896" s="4"/>
      <c r="P1896" s="4"/>
      <c r="Q1896" s="11">
        <v>1</v>
      </c>
      <c r="S1896" s="4"/>
      <c r="T1896" s="11">
        <v>2</v>
      </c>
      <c r="V1896" s="4"/>
      <c r="Y1896" s="4"/>
      <c r="Z1896" s="11">
        <v>0</v>
      </c>
      <c r="AB1896" s="4"/>
      <c r="AE1896" s="4"/>
      <c r="AF1896" s="11">
        <v>0</v>
      </c>
      <c r="AH1896" s="4"/>
      <c r="AI1896" s="11">
        <v>0</v>
      </c>
      <c r="AK1896" s="4"/>
      <c r="AL1896" s="4"/>
      <c r="AM1896" s="4"/>
      <c r="AN1896" s="4"/>
      <c r="AO1896" s="4"/>
      <c r="AP1896" s="4"/>
      <c r="AQ1896" s="4"/>
    </row>
    <row r="1897" spans="1:43" s="11" customFormat="1" x14ac:dyDescent="0.25">
      <c r="A1897" s="161" t="str">
        <f t="shared" si="32"/>
        <v>EE_LINE_INFANTRY_NETHERLANDS</v>
      </c>
      <c r="B1897" s="9"/>
      <c r="C1897" s="4" t="s">
        <v>730</v>
      </c>
      <c r="D1897" s="4"/>
      <c r="E1897" s="4" t="s">
        <v>1987</v>
      </c>
      <c r="F1897" s="4" t="s">
        <v>1987</v>
      </c>
      <c r="G1897" s="14"/>
      <c r="H1897" s="4" t="s">
        <v>1998</v>
      </c>
      <c r="I1897" s="4" t="s">
        <v>122</v>
      </c>
      <c r="K1897" s="7">
        <v>1</v>
      </c>
      <c r="L1897" s="4"/>
      <c r="M1897" s="12"/>
      <c r="N1897" s="4"/>
      <c r="O1897" s="4"/>
      <c r="P1897" s="4"/>
      <c r="Q1897" s="11">
        <v>4</v>
      </c>
      <c r="S1897" s="4"/>
      <c r="T1897" s="11">
        <v>5</v>
      </c>
      <c r="V1897" s="4"/>
      <c r="Y1897" s="4"/>
      <c r="Z1897" s="11">
        <v>1</v>
      </c>
      <c r="AB1897" s="4"/>
      <c r="AE1897" s="4"/>
      <c r="AF1897" s="11">
        <v>1</v>
      </c>
      <c r="AH1897" s="4"/>
      <c r="AI1897" s="11">
        <v>2</v>
      </c>
      <c r="AK1897" s="4"/>
      <c r="AL1897" s="4"/>
      <c r="AM1897" s="4"/>
      <c r="AN1897" s="4"/>
      <c r="AO1897" s="4"/>
      <c r="AP1897" s="4"/>
      <c r="AQ1897" s="4"/>
    </row>
    <row r="1898" spans="1:43" s="11" customFormat="1" x14ac:dyDescent="0.25">
      <c r="A1898" s="161" t="str">
        <f t="shared" si="32"/>
        <v>EE_LINE_INFANTRY_NETHERLANDS</v>
      </c>
      <c r="B1898" s="9"/>
      <c r="C1898" s="4" t="s">
        <v>730</v>
      </c>
      <c r="D1898" s="4"/>
      <c r="E1898" s="4" t="s">
        <v>1987</v>
      </c>
      <c r="F1898" s="4" t="s">
        <v>1987</v>
      </c>
      <c r="G1898" s="14" t="s">
        <v>2047</v>
      </c>
      <c r="H1898" s="4" t="s">
        <v>2003</v>
      </c>
      <c r="I1898" s="4" t="s">
        <v>122</v>
      </c>
      <c r="K1898" s="7">
        <v>1</v>
      </c>
      <c r="L1898" s="4"/>
      <c r="M1898" s="12"/>
      <c r="N1898" s="4"/>
      <c r="O1898" s="4"/>
      <c r="P1898" s="4"/>
      <c r="Q1898" s="11">
        <v>2</v>
      </c>
      <c r="S1898" s="4"/>
      <c r="T1898" s="11">
        <v>2</v>
      </c>
      <c r="V1898" s="4"/>
      <c r="Y1898" s="4"/>
      <c r="Z1898" s="11">
        <v>0</v>
      </c>
      <c r="AB1898" s="4"/>
      <c r="AE1898" s="4"/>
      <c r="AF1898" s="11">
        <v>1</v>
      </c>
      <c r="AH1898" s="4"/>
      <c r="AI1898" s="11">
        <v>1</v>
      </c>
      <c r="AK1898" s="4"/>
      <c r="AL1898" s="4"/>
      <c r="AM1898" s="4"/>
      <c r="AN1898" s="4"/>
      <c r="AO1898" s="4"/>
      <c r="AP1898" s="4"/>
      <c r="AQ1898" s="4"/>
    </row>
    <row r="1899" spans="1:43" s="11" customFormat="1" x14ac:dyDescent="0.25">
      <c r="A1899" s="161" t="str">
        <f>CONCATENATE(E1899,IF(ISBLANK(C1899),"",CONCATENATE("_",C1899)))</f>
        <v>EE_LINE_INFANTRY_NETHERLANDS</v>
      </c>
      <c r="B1899" s="9"/>
      <c r="C1899" s="4" t="s">
        <v>730</v>
      </c>
      <c r="D1899" s="4"/>
      <c r="E1899" s="4" t="s">
        <v>1987</v>
      </c>
      <c r="F1899" s="4" t="s">
        <v>1987</v>
      </c>
      <c r="G1899" s="14" t="s">
        <v>2049</v>
      </c>
      <c r="H1899" s="4" t="s">
        <v>2004</v>
      </c>
      <c r="I1899" s="4" t="s">
        <v>122</v>
      </c>
      <c r="K1899" s="7">
        <v>1</v>
      </c>
      <c r="L1899" s="4"/>
      <c r="M1899" s="12"/>
      <c r="N1899" s="4"/>
      <c r="O1899" s="4"/>
      <c r="P1899" s="4"/>
      <c r="Q1899" s="11">
        <v>1</v>
      </c>
      <c r="S1899" s="4"/>
      <c r="T1899" s="11">
        <v>1</v>
      </c>
      <c r="V1899" s="4"/>
      <c r="Y1899" s="4"/>
      <c r="Z1899" s="11">
        <v>0</v>
      </c>
      <c r="AB1899" s="4"/>
      <c r="AE1899" s="4"/>
      <c r="AF1899" s="11">
        <v>1</v>
      </c>
      <c r="AH1899" s="4"/>
      <c r="AI1899" s="11">
        <v>1</v>
      </c>
      <c r="AK1899" s="4"/>
      <c r="AL1899" s="4"/>
      <c r="AM1899" s="4"/>
      <c r="AN1899" s="4"/>
      <c r="AO1899" s="4"/>
      <c r="AP1899" s="4"/>
      <c r="AQ1899" s="4"/>
    </row>
    <row r="1900" spans="1:43" s="11" customFormat="1" x14ac:dyDescent="0.25">
      <c r="A1900" s="161" t="str">
        <f t="shared" ref="A1900:A1920" si="33">CONCATENATE(E1900,IF(ISBLANK(C1900),"",CONCATENATE("_",C1900)))</f>
        <v>EE_LINE_INFANTRY_NETHERLANDS</v>
      </c>
      <c r="B1900" s="9"/>
      <c r="C1900" s="4" t="s">
        <v>730</v>
      </c>
      <c r="D1900" s="4"/>
      <c r="E1900" s="4" t="s">
        <v>1987</v>
      </c>
      <c r="F1900" s="4" t="s">
        <v>1987</v>
      </c>
      <c r="G1900" s="14"/>
      <c r="H1900" s="4" t="s">
        <v>1998</v>
      </c>
      <c r="I1900" s="4" t="s">
        <v>122</v>
      </c>
      <c r="K1900" s="7">
        <v>1</v>
      </c>
      <c r="L1900" s="4"/>
      <c r="M1900" s="12"/>
      <c r="N1900" s="4"/>
      <c r="O1900" s="4"/>
      <c r="P1900" s="4"/>
      <c r="Q1900" s="11">
        <v>4</v>
      </c>
      <c r="S1900" s="4"/>
      <c r="T1900" s="11">
        <v>6</v>
      </c>
      <c r="V1900" s="4"/>
      <c r="Y1900" s="4"/>
      <c r="Z1900" s="11">
        <v>0</v>
      </c>
      <c r="AB1900" s="4"/>
      <c r="AE1900" s="4"/>
      <c r="AF1900" s="11">
        <v>0</v>
      </c>
      <c r="AH1900" s="4"/>
      <c r="AI1900" s="11">
        <v>3</v>
      </c>
      <c r="AK1900" s="4"/>
      <c r="AL1900" s="4"/>
      <c r="AM1900" s="4"/>
      <c r="AN1900" s="4"/>
      <c r="AO1900" s="4"/>
      <c r="AP1900" s="4"/>
      <c r="AQ1900" s="4"/>
    </row>
    <row r="1901" spans="1:43" s="11" customFormat="1" x14ac:dyDescent="0.25">
      <c r="A1901" s="161" t="str">
        <f t="shared" si="33"/>
        <v>EE_LINE_INFANTRY_NETHERLANDS</v>
      </c>
      <c r="B1901" s="9"/>
      <c r="C1901" s="4" t="s">
        <v>730</v>
      </c>
      <c r="D1901" s="4"/>
      <c r="E1901" s="4" t="s">
        <v>1987</v>
      </c>
      <c r="F1901" s="4" t="s">
        <v>1987</v>
      </c>
      <c r="G1901" s="14" t="s">
        <v>2047</v>
      </c>
      <c r="H1901" s="4" t="s">
        <v>2003</v>
      </c>
      <c r="I1901" s="4" t="s">
        <v>122</v>
      </c>
      <c r="K1901" s="7">
        <v>1</v>
      </c>
      <c r="L1901" s="4"/>
      <c r="M1901" s="12"/>
      <c r="N1901" s="4"/>
      <c r="O1901" s="4"/>
      <c r="P1901" s="4"/>
      <c r="Q1901" s="11">
        <v>2</v>
      </c>
      <c r="S1901" s="4"/>
      <c r="T1901" s="11">
        <v>3</v>
      </c>
      <c r="V1901" s="4"/>
      <c r="Y1901" s="4"/>
      <c r="Z1901" s="11">
        <v>0</v>
      </c>
      <c r="AB1901" s="4"/>
      <c r="AE1901" s="4"/>
      <c r="AF1901" s="11">
        <v>0</v>
      </c>
      <c r="AH1901" s="4"/>
      <c r="AI1901" s="11">
        <v>0</v>
      </c>
      <c r="AK1901" s="4"/>
      <c r="AL1901" s="4"/>
      <c r="AM1901" s="4"/>
      <c r="AN1901" s="4"/>
      <c r="AO1901" s="4"/>
      <c r="AP1901" s="4"/>
      <c r="AQ1901" s="4"/>
    </row>
    <row r="1902" spans="1:43" s="11" customFormat="1" x14ac:dyDescent="0.25">
      <c r="A1902" s="161" t="str">
        <f t="shared" si="33"/>
        <v>EE_LINE_INFANTRY_NETHERLANDS</v>
      </c>
      <c r="B1902" s="9"/>
      <c r="C1902" s="4" t="s">
        <v>730</v>
      </c>
      <c r="D1902" s="4"/>
      <c r="E1902" s="4" t="s">
        <v>1987</v>
      </c>
      <c r="F1902" s="4" t="s">
        <v>1987</v>
      </c>
      <c r="G1902" s="14" t="s">
        <v>2049</v>
      </c>
      <c r="H1902" s="4" t="s">
        <v>2004</v>
      </c>
      <c r="I1902" s="4" t="s">
        <v>122</v>
      </c>
      <c r="K1902" s="7">
        <v>1</v>
      </c>
      <c r="L1902" s="4"/>
      <c r="M1902" s="12"/>
      <c r="N1902" s="4"/>
      <c r="O1902" s="4"/>
      <c r="P1902" s="4"/>
      <c r="Q1902" s="11">
        <v>1</v>
      </c>
      <c r="S1902" s="4"/>
      <c r="T1902" s="11">
        <v>2</v>
      </c>
      <c r="V1902" s="4"/>
      <c r="Y1902" s="4"/>
      <c r="Z1902" s="11">
        <v>0</v>
      </c>
      <c r="AB1902" s="4"/>
      <c r="AE1902" s="4"/>
      <c r="AF1902" s="11">
        <v>0</v>
      </c>
      <c r="AH1902" s="4"/>
      <c r="AI1902" s="11">
        <v>0</v>
      </c>
      <c r="AK1902" s="4"/>
      <c r="AL1902" s="4"/>
      <c r="AM1902" s="4"/>
      <c r="AN1902" s="4"/>
      <c r="AO1902" s="4"/>
      <c r="AP1902" s="4"/>
      <c r="AQ1902" s="4"/>
    </row>
    <row r="1903" spans="1:43" s="11" customFormat="1" x14ac:dyDescent="0.25">
      <c r="A1903" s="161" t="str">
        <f t="shared" si="33"/>
        <v>EE_LINE_INFANTRY_RUSSIA</v>
      </c>
      <c r="B1903" s="9"/>
      <c r="C1903" s="4" t="s">
        <v>735</v>
      </c>
      <c r="D1903" s="4"/>
      <c r="E1903" s="4" t="s">
        <v>1987</v>
      </c>
      <c r="F1903" s="4" t="s">
        <v>1987</v>
      </c>
      <c r="G1903" s="14"/>
      <c r="H1903" s="4" t="s">
        <v>1999</v>
      </c>
      <c r="I1903" s="4" t="s">
        <v>122</v>
      </c>
      <c r="K1903" s="7">
        <v>1</v>
      </c>
      <c r="L1903" s="4"/>
      <c r="M1903" s="12"/>
      <c r="N1903" s="4"/>
      <c r="O1903" s="4"/>
      <c r="P1903" s="4"/>
      <c r="Q1903" s="11">
        <v>4</v>
      </c>
      <c r="S1903" s="4"/>
      <c r="T1903" s="11">
        <v>5</v>
      </c>
      <c r="V1903" s="4"/>
      <c r="Y1903" s="4"/>
      <c r="Z1903" s="11">
        <v>1</v>
      </c>
      <c r="AB1903" s="4"/>
      <c r="AE1903" s="4"/>
      <c r="AF1903" s="11">
        <v>1</v>
      </c>
      <c r="AH1903" s="4"/>
      <c r="AI1903" s="11">
        <v>2</v>
      </c>
      <c r="AK1903" s="4"/>
      <c r="AL1903" s="4"/>
      <c r="AM1903" s="4"/>
      <c r="AN1903" s="4"/>
      <c r="AO1903" s="4"/>
      <c r="AP1903" s="4"/>
      <c r="AQ1903" s="4"/>
    </row>
    <row r="1904" spans="1:43" s="11" customFormat="1" x14ac:dyDescent="0.25">
      <c r="A1904" s="161" t="str">
        <f t="shared" si="33"/>
        <v>EE_LINE_INFANTRY_RUSSIA</v>
      </c>
      <c r="B1904" s="9"/>
      <c r="C1904" s="4" t="s">
        <v>735</v>
      </c>
      <c r="D1904" s="4"/>
      <c r="E1904" s="4" t="s">
        <v>1987</v>
      </c>
      <c r="F1904" s="4" t="s">
        <v>1987</v>
      </c>
      <c r="G1904" s="14" t="s">
        <v>2047</v>
      </c>
      <c r="H1904" s="4" t="s">
        <v>2001</v>
      </c>
      <c r="I1904" s="4" t="s">
        <v>122</v>
      </c>
      <c r="K1904" s="7">
        <v>1</v>
      </c>
      <c r="L1904" s="4"/>
      <c r="M1904" s="12"/>
      <c r="N1904" s="4"/>
      <c r="O1904" s="4"/>
      <c r="P1904" s="4"/>
      <c r="Q1904" s="11">
        <v>2</v>
      </c>
      <c r="S1904" s="4"/>
      <c r="T1904" s="11">
        <v>2</v>
      </c>
      <c r="V1904" s="4"/>
      <c r="Y1904" s="4"/>
      <c r="Z1904" s="11">
        <v>0</v>
      </c>
      <c r="AB1904" s="4"/>
      <c r="AE1904" s="4"/>
      <c r="AF1904" s="11">
        <v>1</v>
      </c>
      <c r="AH1904" s="4"/>
      <c r="AI1904" s="11">
        <v>1</v>
      </c>
      <c r="AK1904" s="4"/>
      <c r="AL1904" s="4"/>
      <c r="AM1904" s="4"/>
      <c r="AN1904" s="4"/>
      <c r="AO1904" s="4"/>
      <c r="AP1904" s="4"/>
      <c r="AQ1904" s="4"/>
    </row>
    <row r="1905" spans="1:43" s="11" customFormat="1" x14ac:dyDescent="0.25">
      <c r="A1905" s="161" t="str">
        <f t="shared" si="33"/>
        <v>EE_LINE_INFANTRY_RUSSIA</v>
      </c>
      <c r="B1905" s="9"/>
      <c r="C1905" s="4" t="s">
        <v>735</v>
      </c>
      <c r="D1905" s="4"/>
      <c r="E1905" s="4" t="s">
        <v>1987</v>
      </c>
      <c r="F1905" s="4" t="s">
        <v>1987</v>
      </c>
      <c r="G1905" s="14" t="s">
        <v>2049</v>
      </c>
      <c r="H1905" s="4" t="s">
        <v>2002</v>
      </c>
      <c r="I1905" s="4" t="s">
        <v>122</v>
      </c>
      <c r="K1905" s="7">
        <v>1</v>
      </c>
      <c r="L1905" s="4"/>
      <c r="M1905" s="12"/>
      <c r="N1905" s="4"/>
      <c r="O1905" s="4"/>
      <c r="P1905" s="4"/>
      <c r="Q1905" s="11">
        <v>1</v>
      </c>
      <c r="S1905" s="4"/>
      <c r="T1905" s="11">
        <v>1</v>
      </c>
      <c r="V1905" s="4"/>
      <c r="Y1905" s="4"/>
      <c r="Z1905" s="11">
        <v>0</v>
      </c>
      <c r="AB1905" s="4"/>
      <c r="AE1905" s="4"/>
      <c r="AF1905" s="11">
        <v>1</v>
      </c>
      <c r="AH1905" s="4"/>
      <c r="AI1905" s="11">
        <v>1</v>
      </c>
      <c r="AK1905" s="4"/>
      <c r="AL1905" s="4"/>
      <c r="AM1905" s="4"/>
      <c r="AN1905" s="4"/>
      <c r="AO1905" s="4"/>
      <c r="AP1905" s="4"/>
      <c r="AQ1905" s="4"/>
    </row>
    <row r="1906" spans="1:43" s="11" customFormat="1" x14ac:dyDescent="0.25">
      <c r="A1906" s="161" t="str">
        <f t="shared" si="33"/>
        <v>EE_LINE_INFANTRY_RUSSIA</v>
      </c>
      <c r="B1906" s="9"/>
      <c r="C1906" s="4" t="s">
        <v>735</v>
      </c>
      <c r="D1906" s="4"/>
      <c r="E1906" s="4" t="s">
        <v>1987</v>
      </c>
      <c r="F1906" s="4" t="s">
        <v>1987</v>
      </c>
      <c r="G1906" s="14"/>
      <c r="H1906" s="4" t="s">
        <v>1999</v>
      </c>
      <c r="I1906" s="4" t="s">
        <v>122</v>
      </c>
      <c r="K1906" s="7">
        <v>1</v>
      </c>
      <c r="L1906" s="4"/>
      <c r="M1906" s="12"/>
      <c r="N1906" s="4"/>
      <c r="O1906" s="4"/>
      <c r="P1906" s="4"/>
      <c r="Q1906" s="11">
        <v>4</v>
      </c>
      <c r="S1906" s="4"/>
      <c r="T1906" s="11">
        <v>6</v>
      </c>
      <c r="V1906" s="4"/>
      <c r="Y1906" s="4"/>
      <c r="Z1906" s="11">
        <v>0</v>
      </c>
      <c r="AB1906" s="4"/>
      <c r="AE1906" s="4"/>
      <c r="AF1906" s="11">
        <v>0</v>
      </c>
      <c r="AH1906" s="4"/>
      <c r="AI1906" s="11">
        <v>3</v>
      </c>
      <c r="AK1906" s="4"/>
      <c r="AL1906" s="4"/>
      <c r="AM1906" s="4"/>
      <c r="AN1906" s="4"/>
      <c r="AO1906" s="4"/>
      <c r="AP1906" s="4"/>
      <c r="AQ1906" s="4"/>
    </row>
    <row r="1907" spans="1:43" x14ac:dyDescent="0.25">
      <c r="A1907" s="161" t="str">
        <f t="shared" si="33"/>
        <v>EE_LINE_INFANTRY_RUSSIA</v>
      </c>
      <c r="C1907" s="4" t="s">
        <v>735</v>
      </c>
      <c r="E1907" s="4" t="s">
        <v>1987</v>
      </c>
      <c r="F1907" s="4" t="s">
        <v>1987</v>
      </c>
      <c r="G1907" s="14" t="s">
        <v>2047</v>
      </c>
      <c r="H1907" s="4" t="s">
        <v>2001</v>
      </c>
      <c r="I1907" s="4" t="s">
        <v>122</v>
      </c>
      <c r="K1907" s="7">
        <v>1</v>
      </c>
      <c r="Q1907" s="11">
        <v>2</v>
      </c>
      <c r="T1907" s="11">
        <v>3</v>
      </c>
      <c r="Z1907" s="11">
        <v>0</v>
      </c>
      <c r="AF1907" s="11">
        <v>0</v>
      </c>
      <c r="AI1907" s="11">
        <v>0</v>
      </c>
    </row>
    <row r="1908" spans="1:43" x14ac:dyDescent="0.25">
      <c r="A1908" s="161" t="str">
        <f t="shared" si="33"/>
        <v>EE_LINE_INFANTRY_RUSSIA</v>
      </c>
      <c r="C1908" s="4" t="s">
        <v>735</v>
      </c>
      <c r="E1908" s="4" t="s">
        <v>1987</v>
      </c>
      <c r="F1908" s="4" t="s">
        <v>1987</v>
      </c>
      <c r="G1908" s="14" t="s">
        <v>2049</v>
      </c>
      <c r="H1908" s="4" t="s">
        <v>2002</v>
      </c>
      <c r="I1908" s="4" t="s">
        <v>122</v>
      </c>
      <c r="K1908" s="7">
        <v>1</v>
      </c>
      <c r="Q1908" s="11">
        <v>1</v>
      </c>
      <c r="T1908" s="11">
        <v>2</v>
      </c>
      <c r="Z1908" s="11">
        <v>0</v>
      </c>
      <c r="AF1908" s="11">
        <v>0</v>
      </c>
      <c r="AI1908" s="11">
        <v>0</v>
      </c>
    </row>
    <row r="1909" spans="1:43" x14ac:dyDescent="0.25">
      <c r="A1909" s="161" t="str">
        <f t="shared" si="33"/>
        <v>EE_LINE_INFANTRY_SPAIN</v>
      </c>
      <c r="C1909" s="4" t="s">
        <v>738</v>
      </c>
      <c r="E1909" s="4" t="s">
        <v>1987</v>
      </c>
      <c r="F1909" s="4" t="s">
        <v>1987</v>
      </c>
      <c r="G1909" s="14"/>
      <c r="H1909" s="4" t="s">
        <v>2000</v>
      </c>
      <c r="I1909" s="4" t="s">
        <v>122</v>
      </c>
      <c r="K1909" s="7">
        <v>1</v>
      </c>
      <c r="Q1909" s="11">
        <v>14</v>
      </c>
      <c r="T1909" s="11">
        <v>19</v>
      </c>
      <c r="Z1909" s="11">
        <v>1</v>
      </c>
      <c r="AF1909" s="11">
        <v>3</v>
      </c>
      <c r="AI1909" s="11">
        <v>7</v>
      </c>
    </row>
    <row r="1910" spans="1:43" x14ac:dyDescent="0.25">
      <c r="A1910" s="161" t="str">
        <f t="shared" si="33"/>
        <v>EE_LINE_INFANTRY_WITTENBERG</v>
      </c>
      <c r="C1910" s="4" t="s">
        <v>1215</v>
      </c>
      <c r="D1910" s="4" t="s">
        <v>738</v>
      </c>
      <c r="E1910" s="4" t="s">
        <v>1987</v>
      </c>
      <c r="F1910" s="4" t="s">
        <v>1987</v>
      </c>
      <c r="G1910" s="14"/>
      <c r="K1910" s="7">
        <v>1</v>
      </c>
    </row>
    <row r="1911" spans="1:43" x14ac:dyDescent="0.25">
      <c r="A1911" s="161" t="str">
        <f t="shared" si="33"/>
        <v>EE_SHIP_OF_THE_LINE</v>
      </c>
      <c r="E1911" s="4" t="s">
        <v>2180</v>
      </c>
      <c r="F1911" s="4" t="s">
        <v>2180</v>
      </c>
      <c r="G1911" s="14"/>
      <c r="H1911" s="4" t="s">
        <v>2181</v>
      </c>
      <c r="K1911" s="7">
        <v>1</v>
      </c>
      <c r="Q1911" s="7">
        <v>1</v>
      </c>
      <c r="R1911" s="6" t="s">
        <v>1737</v>
      </c>
      <c r="S1911" s="13"/>
      <c r="T1911" s="7">
        <v>2</v>
      </c>
      <c r="U1911" s="6">
        <v>0.115</v>
      </c>
      <c r="V1911" s="5" t="s">
        <v>1700</v>
      </c>
      <c r="W1911" s="6"/>
      <c r="X1911" s="6"/>
      <c r="Y1911" s="5"/>
      <c r="Z1911" s="6"/>
      <c r="AA1911" s="6"/>
      <c r="AB1911" s="5"/>
      <c r="AC1911" s="6"/>
      <c r="AD1911" s="6"/>
      <c r="AE1911" s="5"/>
      <c r="AF1911" s="6"/>
      <c r="AG1911" s="6"/>
      <c r="AH1911" s="5"/>
      <c r="AI1911" s="6"/>
      <c r="AJ1911" s="6"/>
      <c r="AK1911" s="5"/>
      <c r="AL1911" s="5"/>
      <c r="AM1911" s="5"/>
      <c r="AN1911" s="5"/>
      <c r="AO1911" s="5"/>
      <c r="AP1911" s="5"/>
      <c r="AQ1911" s="5"/>
    </row>
    <row r="1912" spans="1:43" x14ac:dyDescent="0.25">
      <c r="A1912" s="161" t="str">
        <f t="shared" si="33"/>
        <v>EE_SKIRMISHER</v>
      </c>
      <c r="E1912" s="4" t="s">
        <v>2066</v>
      </c>
      <c r="F1912" s="4" t="s">
        <v>2066</v>
      </c>
      <c r="H1912" s="4" t="s">
        <v>2067</v>
      </c>
      <c r="I1912" s="4" t="s">
        <v>2068</v>
      </c>
      <c r="K1912" s="7">
        <v>1</v>
      </c>
      <c r="Q1912" s="11">
        <v>14</v>
      </c>
      <c r="R1912" s="11" t="s">
        <v>1737</v>
      </c>
      <c r="S1912" s="4" t="s">
        <v>1620</v>
      </c>
      <c r="T1912" s="11">
        <v>19</v>
      </c>
      <c r="Z1912" s="11">
        <v>1</v>
      </c>
      <c r="AF1912" s="11">
        <v>3</v>
      </c>
      <c r="AI1912" s="11">
        <v>7</v>
      </c>
    </row>
    <row r="1913" spans="1:43" x14ac:dyDescent="0.25">
      <c r="A1913" s="161" t="str">
        <f t="shared" si="33"/>
        <v>EE_SKIRMISHER_MED</v>
      </c>
      <c r="C1913" s="4" t="s">
        <v>692</v>
      </c>
      <c r="E1913" s="4" t="s">
        <v>2066</v>
      </c>
      <c r="F1913" s="4" t="s">
        <v>2066</v>
      </c>
      <c r="G1913" s="4" t="s">
        <v>2049</v>
      </c>
      <c r="H1913" s="4" t="s">
        <v>2076</v>
      </c>
      <c r="I1913" s="4" t="s">
        <v>2074</v>
      </c>
      <c r="K1913" s="7">
        <v>1</v>
      </c>
      <c r="Q1913" s="11">
        <v>6</v>
      </c>
      <c r="T1913" s="11">
        <v>8</v>
      </c>
      <c r="Z1913" s="11">
        <v>1</v>
      </c>
      <c r="AF1913" s="11">
        <v>1</v>
      </c>
      <c r="AI1913" s="11">
        <v>3</v>
      </c>
    </row>
    <row r="1914" spans="1:43" x14ac:dyDescent="0.25">
      <c r="A1914" s="161" t="str">
        <f t="shared" si="33"/>
        <v>EE_SKIRMISHER_MED</v>
      </c>
      <c r="C1914" s="4" t="s">
        <v>692</v>
      </c>
      <c r="E1914" s="4" t="s">
        <v>2066</v>
      </c>
      <c r="F1914" s="4" t="s">
        <v>2066</v>
      </c>
      <c r="G1914" s="4" t="s">
        <v>2047</v>
      </c>
      <c r="H1914" s="4" t="s">
        <v>2075</v>
      </c>
      <c r="I1914" s="4" t="s">
        <v>2074</v>
      </c>
      <c r="K1914" s="7">
        <v>1</v>
      </c>
      <c r="Q1914" s="11">
        <v>1</v>
      </c>
      <c r="T1914" s="11">
        <v>3</v>
      </c>
      <c r="Z1914" s="11">
        <v>0</v>
      </c>
      <c r="AF1914" s="11">
        <v>1</v>
      </c>
      <c r="AI1914" s="11">
        <v>1</v>
      </c>
    </row>
    <row r="1915" spans="1:43" x14ac:dyDescent="0.25">
      <c r="A1915" s="161" t="str">
        <f t="shared" si="33"/>
        <v>EE_SKIRMISHER_MED</v>
      </c>
      <c r="C1915" s="4" t="s">
        <v>692</v>
      </c>
      <c r="E1915" s="4" t="s">
        <v>2066</v>
      </c>
      <c r="F1915" s="4" t="s">
        <v>2066</v>
      </c>
      <c r="H1915" s="4" t="s">
        <v>2073</v>
      </c>
      <c r="I1915" s="4" t="s">
        <v>2074</v>
      </c>
      <c r="K1915" s="7">
        <v>1</v>
      </c>
      <c r="Q1915" s="11">
        <v>2</v>
      </c>
      <c r="T1915" s="11">
        <v>2</v>
      </c>
      <c r="Z1915" s="11">
        <v>0</v>
      </c>
      <c r="AF1915" s="11">
        <v>1</v>
      </c>
      <c r="AI1915" s="11">
        <v>1</v>
      </c>
    </row>
    <row r="1916" spans="1:43" x14ac:dyDescent="0.25">
      <c r="A1916" s="161" t="str">
        <f t="shared" si="33"/>
        <v>EE_SKIRMISHER_MED</v>
      </c>
      <c r="C1916" s="4" t="s">
        <v>692</v>
      </c>
      <c r="E1916" s="4" t="s">
        <v>2066</v>
      </c>
      <c r="F1916" s="4" t="s">
        <v>2066</v>
      </c>
      <c r="G1916" s="4" t="s">
        <v>2049</v>
      </c>
      <c r="H1916" s="4" t="s">
        <v>2076</v>
      </c>
      <c r="I1916" s="4" t="s">
        <v>2074</v>
      </c>
      <c r="K1916" s="7">
        <v>1</v>
      </c>
      <c r="Q1916" s="11">
        <v>4</v>
      </c>
      <c r="T1916" s="11">
        <v>5</v>
      </c>
      <c r="Z1916" s="11">
        <v>0</v>
      </c>
      <c r="AF1916" s="11">
        <v>0</v>
      </c>
      <c r="AI1916" s="11">
        <v>2</v>
      </c>
    </row>
    <row r="1917" spans="1:43" x14ac:dyDescent="0.25">
      <c r="A1917" s="161" t="str">
        <f t="shared" si="33"/>
        <v>EE_SKIRMISHER_MED</v>
      </c>
      <c r="C1917" s="4" t="s">
        <v>692</v>
      </c>
      <c r="E1917" s="4" t="s">
        <v>2066</v>
      </c>
      <c r="F1917" s="4" t="s">
        <v>2066</v>
      </c>
      <c r="H1917" s="4" t="s">
        <v>2073</v>
      </c>
      <c r="I1917" s="4" t="s">
        <v>2074</v>
      </c>
      <c r="K1917" s="7">
        <v>1</v>
      </c>
      <c r="Q1917" s="11">
        <v>0</v>
      </c>
      <c r="T1917" s="11">
        <v>1</v>
      </c>
      <c r="Z1917" s="11">
        <v>0</v>
      </c>
      <c r="AF1917" s="11">
        <v>0</v>
      </c>
      <c r="AI1917" s="11">
        <v>0</v>
      </c>
    </row>
    <row r="1918" spans="1:43" x14ac:dyDescent="0.25">
      <c r="A1918" s="161" t="str">
        <f t="shared" si="33"/>
        <v>EE_SKIRMISHER_SOUTHAM</v>
      </c>
      <c r="C1918" s="4" t="s">
        <v>691</v>
      </c>
      <c r="E1918" s="4" t="s">
        <v>2066</v>
      </c>
      <c r="F1918" s="4" t="s">
        <v>2066</v>
      </c>
      <c r="H1918" s="4" t="s">
        <v>2071</v>
      </c>
      <c r="I1918" s="4" t="s">
        <v>2072</v>
      </c>
      <c r="K1918" s="7">
        <v>1</v>
      </c>
    </row>
    <row r="1919" spans="1:43" x14ac:dyDescent="0.25">
      <c r="A1919" s="161" t="str">
        <f t="shared" si="33"/>
        <v>EE_UHLAN</v>
      </c>
      <c r="E1919" s="4" t="s">
        <v>2179</v>
      </c>
      <c r="F1919" s="4" t="s">
        <v>2179</v>
      </c>
      <c r="H1919" s="4" t="s">
        <v>380</v>
      </c>
      <c r="I1919" s="4" t="s">
        <v>122</v>
      </c>
      <c r="K1919" s="7">
        <v>1</v>
      </c>
      <c r="Q1919" s="7" t="s">
        <v>1695</v>
      </c>
      <c r="R1919" s="6" t="s">
        <v>1695</v>
      </c>
      <c r="S1919" s="13" t="s">
        <v>1695</v>
      </c>
      <c r="T1919" s="6" t="s">
        <v>1695</v>
      </c>
      <c r="U1919" s="7" t="s">
        <v>1695</v>
      </c>
      <c r="V1919" s="5" t="s">
        <v>1701</v>
      </c>
      <c r="W1919" s="6" t="s">
        <v>3</v>
      </c>
      <c r="X1919" s="6" t="s">
        <v>3</v>
      </c>
      <c r="Y1919" s="5"/>
      <c r="Z1919" s="7">
        <v>1</v>
      </c>
      <c r="AA1919" s="6"/>
      <c r="AB1919" s="5"/>
      <c r="AC1919" s="6"/>
      <c r="AD1919" s="6" t="s">
        <v>3</v>
      </c>
      <c r="AE1919" s="5"/>
      <c r="AF1919" s="7" t="s">
        <v>1695</v>
      </c>
      <c r="AG1919" s="6"/>
      <c r="AH1919" s="5"/>
      <c r="AI1919" s="6"/>
      <c r="AJ1919" s="6"/>
      <c r="AK1919" s="5"/>
      <c r="AL1919" s="5"/>
      <c r="AM1919" s="5"/>
      <c r="AN1919" s="5"/>
      <c r="AO1919" s="5"/>
      <c r="AP1919" s="5"/>
      <c r="AQ1919" s="5"/>
    </row>
    <row r="1920" spans="1:43" x14ac:dyDescent="0.25">
      <c r="A1920" s="161" t="str">
        <f t="shared" si="33"/>
        <v>SWORDSMAN_GOTHS</v>
      </c>
      <c r="B1920" s="9" t="s">
        <v>104</v>
      </c>
      <c r="C1920" s="4" t="s">
        <v>2258</v>
      </c>
      <c r="E1920" s="4" t="s">
        <v>104</v>
      </c>
      <c r="F1920" s="4" t="s">
        <v>104</v>
      </c>
      <c r="H1920" s="5" t="s">
        <v>1442</v>
      </c>
      <c r="I1920" s="5" t="s">
        <v>128</v>
      </c>
      <c r="J1920" s="6"/>
      <c r="K1920" s="6"/>
      <c r="L1920" s="13" t="s">
        <v>1708</v>
      </c>
      <c r="M1920" s="8"/>
      <c r="N1920" s="5"/>
      <c r="O1920" s="5"/>
      <c r="P1920" s="5"/>
      <c r="Q1920" s="7">
        <v>10</v>
      </c>
      <c r="R1920" s="6" t="s">
        <v>1737</v>
      </c>
      <c r="S1920" s="13" t="s">
        <v>1620</v>
      </c>
      <c r="T1920" s="7" t="s">
        <v>1737</v>
      </c>
      <c r="U1920" s="7" t="s">
        <v>1737</v>
      </c>
      <c r="V1920" s="5"/>
      <c r="W1920" s="6" t="s">
        <v>3</v>
      </c>
      <c r="X1920" s="6" t="s">
        <v>3</v>
      </c>
      <c r="Y1920" s="5"/>
      <c r="Z1920" s="6">
        <v>1</v>
      </c>
      <c r="AA1920" s="6"/>
      <c r="AB1920" s="5"/>
      <c r="AC1920" s="6"/>
      <c r="AD1920" s="6" t="s">
        <v>3</v>
      </c>
      <c r="AE1920" s="5"/>
      <c r="AF1920" s="7" t="s">
        <v>1737</v>
      </c>
      <c r="AG1920" s="6"/>
      <c r="AH1920" s="5"/>
      <c r="AI1920" s="7">
        <v>6</v>
      </c>
      <c r="AJ1920" s="6"/>
      <c r="AK1920" s="5"/>
      <c r="AL1920" s="5"/>
      <c r="AM1920" s="5"/>
      <c r="AN1920" s="5"/>
      <c r="AO1920" s="5"/>
      <c r="AP1920" s="5"/>
      <c r="AQ1920" s="5"/>
    </row>
  </sheetData>
  <sheetProtection insertRows="0" deleteRows="0" sort="0" autoFilter="0"/>
  <conditionalFormatting sqref="Q1:Q1048576 D1:D1048576 H1:H1048576">
    <cfRule type="expression" dxfId="2" priority="52" stopIfTrue="1">
      <formula>ISBLANK($H1)</formula>
    </cfRule>
  </conditionalFormatting>
  <conditionalFormatting sqref="H1:H1048576">
    <cfRule type="duplicateValues" dxfId="1" priority="2" stopIfTrue="1"/>
  </conditionalFormatting>
  <conditionalFormatting sqref="C1:C1048576">
    <cfRule type="expression" dxfId="0" priority="5" stopIfTrue="1">
      <formula>COUNTIFS(#REF!,#REF!,#REF!,#REF!)&gt;1</formula>
    </cfRule>
  </conditionalFormatting>
  <pageMargins left="0.7" right="0.7" top="0.75" bottom="0.75" header="0.3" footer="0.3"/>
  <pageSetup scale="51" fitToHeight="0" orientation="portrait" r:id="rId1"/>
  <headerFooter scaleWithDoc="0">
    <oddHeader>&amp;A</oddHeader>
  </headerFooter>
  <ignoredErrors>
    <ignoredError sqref="A14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3" r:id="rId4" name="SQLBtn">
              <controlPr defaultSize="0" print="0" autoFill="0" autoPict="0" macro="[0]!Sheet2.UnitSQLAll">
                <anchor moveWithCells="1" sizeWithCells="1">
                  <from>
                    <xdr:col>0</xdr:col>
                    <xdr:colOff>66675</xdr:colOff>
                    <xdr:row>1</xdr:row>
                    <xdr:rowOff>180975</xdr:rowOff>
                  </from>
                  <to>
                    <xdr:col>0</xdr:col>
                    <xdr:colOff>1228725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5" name="SQLBtnOneOff">
              <controlPr defaultSize="0" print="0" autoFill="0" autoPict="0" macro="[0]!Sheet2.UnitSQLOneOff">
                <anchor moveWithCells="1" sizeWithCells="1">
                  <from>
                    <xdr:col>0</xdr:col>
                    <xdr:colOff>1285875</xdr:colOff>
                    <xdr:row>1</xdr:row>
                    <xdr:rowOff>180975</xdr:rowOff>
                  </from>
                  <to>
                    <xdr:col>0</xdr:col>
                    <xdr:colOff>2209800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6" name="SQLBtnOneOffChg">
              <controlPr defaultSize="0" print="0" autoPict="0">
                <anchor moveWithCells="1">
                  <from>
                    <xdr:col>0</xdr:col>
                    <xdr:colOff>2286000</xdr:colOff>
                    <xdr:row>1</xdr:row>
                    <xdr:rowOff>57150</xdr:rowOff>
                  </from>
                  <to>
                    <xdr:col>0</xdr:col>
                    <xdr:colOff>2447925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7" name="UnitAutosave">
              <controlPr defaultSize="0" print="0" autoFill="0" autoLine="0" autoPict="0" altText="Convert &amp; autosave in .\SQL folder">
                <anchor moveWithCells="1">
                  <from>
                    <xdr:col>0</xdr:col>
                    <xdr:colOff>66675</xdr:colOff>
                    <xdr:row>3</xdr:row>
                    <xdr:rowOff>76200</xdr:rowOff>
                  </from>
                  <to>
                    <xdr:col>0</xdr:col>
                    <xdr:colOff>2200275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AD237"/>
  <sheetViews>
    <sheetView zoomScale="70" zoomScaleNormal="70" workbookViewId="0">
      <pane ySplit="1" topLeftCell="A2" activePane="bottomLeft" state="frozen"/>
      <selection pane="bottomLeft" activeCell="A6" sqref="A6"/>
    </sheetView>
  </sheetViews>
  <sheetFormatPr defaultRowHeight="15" x14ac:dyDescent="0.25"/>
  <cols>
    <col min="1" max="1" width="28.7109375" style="3" bestFit="1" customWidth="1"/>
    <col min="2" max="2" width="5" style="3" bestFit="1" customWidth="1"/>
    <col min="3" max="3" width="6.42578125" style="3" bestFit="1" customWidth="1"/>
    <col min="4" max="4" width="16.42578125" style="3" bestFit="1" customWidth="1"/>
    <col min="5" max="5" width="11.5703125" style="3" bestFit="1" customWidth="1"/>
    <col min="6" max="6" width="18.85546875" style="3" customWidth="1"/>
    <col min="7" max="7" width="18.5703125" style="3" bestFit="1" customWidth="1"/>
    <col min="8" max="8" width="48.140625" bestFit="1" customWidth="1"/>
    <col min="9" max="9" width="14" customWidth="1"/>
    <col min="21" max="21" width="9.140625" customWidth="1"/>
    <col min="24" max="24" width="9.140625" customWidth="1"/>
    <col min="27" max="27" width="9.140625" customWidth="1"/>
    <col min="29" max="30" width="9.140625" customWidth="1"/>
  </cols>
  <sheetData>
    <row r="1" spans="1:30" s="159" customFormat="1" x14ac:dyDescent="0.25">
      <c r="A1" s="158" t="s">
        <v>1250</v>
      </c>
      <c r="B1" s="158" t="s">
        <v>1749</v>
      </c>
      <c r="C1" s="158" t="s">
        <v>1920</v>
      </c>
      <c r="D1" s="158" t="s">
        <v>1733</v>
      </c>
      <c r="E1" s="158" t="s">
        <v>1734</v>
      </c>
      <c r="F1" s="158" t="s">
        <v>1835</v>
      </c>
      <c r="G1" s="158" t="s">
        <v>1834</v>
      </c>
      <c r="H1" s="159" t="s">
        <v>2267</v>
      </c>
      <c r="I1" s="159" t="s">
        <v>2270</v>
      </c>
      <c r="J1" s="160"/>
      <c r="K1" s="160"/>
      <c r="L1" s="160"/>
      <c r="M1" s="160"/>
      <c r="N1" s="160"/>
      <c r="O1" s="160"/>
      <c r="P1" s="160"/>
      <c r="Q1" s="160"/>
      <c r="R1" s="160"/>
      <c r="S1" s="160"/>
      <c r="T1" s="160"/>
      <c r="U1" s="160"/>
      <c r="V1" s="160"/>
      <c r="W1" s="160"/>
      <c r="X1" s="160"/>
      <c r="Y1" s="160"/>
      <c r="Z1" s="160"/>
      <c r="AA1" s="160"/>
      <c r="AB1" s="160"/>
      <c r="AC1" s="160"/>
      <c r="AD1" s="160"/>
    </row>
    <row r="2" spans="1:30" s="21" customFormat="1" x14ac:dyDescent="0.25">
      <c r="A2" s="20"/>
      <c r="B2" s="20"/>
      <c r="C2" s="20"/>
      <c r="D2" s="20"/>
      <c r="E2" s="20"/>
      <c r="F2" s="20"/>
      <c r="G2" s="20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</row>
    <row r="3" spans="1:30" s="21" customFormat="1" x14ac:dyDescent="0.25">
      <c r="A3" s="20"/>
      <c r="B3" s="20"/>
      <c r="C3" s="20"/>
      <c r="D3" s="20"/>
      <c r="E3" s="20"/>
      <c r="F3" s="20"/>
      <c r="G3" s="20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</row>
    <row r="4" spans="1:30" s="21" customFormat="1" x14ac:dyDescent="0.25">
      <c r="A4" s="20"/>
      <c r="B4" s="20"/>
      <c r="C4" s="20"/>
      <c r="D4" s="20"/>
      <c r="E4" s="20"/>
      <c r="F4" s="20"/>
      <c r="G4" s="20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</row>
    <row r="5" spans="1:30" s="159" customFormat="1" x14ac:dyDescent="0.25">
      <c r="A5" s="158" t="s">
        <v>1250</v>
      </c>
      <c r="B5" s="158" t="s">
        <v>1749</v>
      </c>
      <c r="C5" s="158" t="s">
        <v>1920</v>
      </c>
      <c r="D5" s="158" t="s">
        <v>1733</v>
      </c>
      <c r="E5" s="158" t="s">
        <v>1734</v>
      </c>
      <c r="F5" s="158" t="s">
        <v>1835</v>
      </c>
      <c r="G5" s="158" t="s">
        <v>1834</v>
      </c>
      <c r="H5" s="159" t="s">
        <v>2267</v>
      </c>
      <c r="I5" s="159" t="s">
        <v>2270</v>
      </c>
      <c r="J5" s="160"/>
      <c r="K5" s="160"/>
      <c r="L5" s="160"/>
      <c r="M5" s="160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  <c r="AA5" s="160"/>
      <c r="AB5" s="160"/>
      <c r="AC5" s="160"/>
      <c r="AD5" s="160"/>
    </row>
    <row r="6" spans="1:30" x14ac:dyDescent="0.25">
      <c r="A6" s="3" t="s">
        <v>699</v>
      </c>
      <c r="B6" s="3">
        <v>0</v>
      </c>
      <c r="C6" s="3">
        <v>0</v>
      </c>
      <c r="D6" s="3" t="s">
        <v>699</v>
      </c>
      <c r="E6" s="3" t="s">
        <v>689</v>
      </c>
    </row>
    <row r="7" spans="1:30" x14ac:dyDescent="0.25">
      <c r="A7" s="3" t="s">
        <v>700</v>
      </c>
      <c r="B7" s="3">
        <v>0</v>
      </c>
      <c r="C7" s="3">
        <v>0</v>
      </c>
      <c r="D7" s="3" t="s">
        <v>700</v>
      </c>
      <c r="E7" s="3" t="s">
        <v>690</v>
      </c>
    </row>
    <row r="8" spans="1:30" x14ac:dyDescent="0.25">
      <c r="A8" s="3" t="s">
        <v>1079</v>
      </c>
      <c r="B8" s="3">
        <v>0</v>
      </c>
      <c r="C8" s="3">
        <v>0</v>
      </c>
      <c r="D8" s="3" t="s">
        <v>703</v>
      </c>
      <c r="E8" s="3" t="s">
        <v>690</v>
      </c>
    </row>
    <row r="9" spans="1:30" x14ac:dyDescent="0.25">
      <c r="A9" s="3" t="s">
        <v>701</v>
      </c>
      <c r="B9" s="3">
        <v>0</v>
      </c>
      <c r="C9" s="3">
        <v>0</v>
      </c>
      <c r="D9" s="3" t="s">
        <v>701</v>
      </c>
      <c r="E9" s="3" t="s">
        <v>689</v>
      </c>
    </row>
    <row r="10" spans="1:30" x14ac:dyDescent="0.25">
      <c r="A10" s="3" t="s">
        <v>702</v>
      </c>
      <c r="B10" s="3">
        <v>0</v>
      </c>
      <c r="C10" s="3">
        <v>0</v>
      </c>
      <c r="D10" s="3" t="s">
        <v>702</v>
      </c>
      <c r="E10" s="3" t="s">
        <v>691</v>
      </c>
    </row>
    <row r="11" spans="1:30" x14ac:dyDescent="0.25">
      <c r="A11" s="3" t="s">
        <v>703</v>
      </c>
      <c r="B11" s="3">
        <v>0</v>
      </c>
      <c r="C11" s="3">
        <v>0</v>
      </c>
      <c r="D11" s="3" t="s">
        <v>703</v>
      </c>
      <c r="E11" s="3" t="s">
        <v>690</v>
      </c>
    </row>
    <row r="12" spans="1:30" x14ac:dyDescent="0.25">
      <c r="A12" s="3" t="s">
        <v>706</v>
      </c>
      <c r="B12" s="3">
        <v>0</v>
      </c>
      <c r="C12" s="3">
        <v>0</v>
      </c>
      <c r="D12" s="3" t="s">
        <v>706</v>
      </c>
      <c r="E12" s="3" t="s">
        <v>692</v>
      </c>
      <c r="F12" s="3" t="s">
        <v>1251</v>
      </c>
      <c r="G12" s="3" t="s">
        <v>1252</v>
      </c>
    </row>
    <row r="13" spans="1:30" x14ac:dyDescent="0.25">
      <c r="A13" s="3" t="s">
        <v>707</v>
      </c>
      <c r="B13" s="3">
        <v>0</v>
      </c>
      <c r="C13" s="3">
        <v>0</v>
      </c>
      <c r="D13" s="3" t="s">
        <v>718</v>
      </c>
      <c r="E13" s="3" t="s">
        <v>692</v>
      </c>
    </row>
    <row r="14" spans="1:30" x14ac:dyDescent="0.25">
      <c r="A14" s="3" t="s">
        <v>708</v>
      </c>
      <c r="B14" s="3">
        <v>0</v>
      </c>
      <c r="C14" s="3">
        <v>0</v>
      </c>
      <c r="D14" s="3" t="s">
        <v>708</v>
      </c>
      <c r="E14" s="3" t="s">
        <v>2011</v>
      </c>
    </row>
    <row r="15" spans="1:30" x14ac:dyDescent="0.25">
      <c r="A15" s="3" t="s">
        <v>709</v>
      </c>
      <c r="B15" s="3">
        <v>0</v>
      </c>
      <c r="C15" s="3">
        <v>0</v>
      </c>
      <c r="D15" s="3" t="s">
        <v>709</v>
      </c>
      <c r="E15" s="3" t="s">
        <v>689</v>
      </c>
    </row>
    <row r="16" spans="1:30" x14ac:dyDescent="0.25">
      <c r="A16" s="3" t="s">
        <v>710</v>
      </c>
      <c r="B16" s="3">
        <v>0</v>
      </c>
      <c r="C16" s="3">
        <v>0</v>
      </c>
      <c r="D16" s="3" t="s">
        <v>710</v>
      </c>
      <c r="E16" s="3" t="s">
        <v>693</v>
      </c>
    </row>
    <row r="17" spans="1:7" x14ac:dyDescent="0.25">
      <c r="A17" s="3" t="s">
        <v>711</v>
      </c>
      <c r="B17" s="3">
        <v>0</v>
      </c>
      <c r="C17" s="3">
        <v>0</v>
      </c>
      <c r="D17" s="3" t="s">
        <v>711</v>
      </c>
      <c r="E17" s="3" t="s">
        <v>962</v>
      </c>
    </row>
    <row r="18" spans="1:7" x14ac:dyDescent="0.25">
      <c r="A18" s="3" t="s">
        <v>712</v>
      </c>
      <c r="B18" s="3">
        <v>0</v>
      </c>
      <c r="C18" s="3">
        <v>0</v>
      </c>
      <c r="D18" s="3" t="s">
        <v>712</v>
      </c>
      <c r="E18" s="3" t="s">
        <v>690</v>
      </c>
    </row>
    <row r="19" spans="1:7" x14ac:dyDescent="0.25">
      <c r="A19" s="3" t="s">
        <v>713</v>
      </c>
      <c r="B19" s="3">
        <v>0</v>
      </c>
      <c r="C19" s="3">
        <v>0</v>
      </c>
      <c r="D19" s="3" t="s">
        <v>713</v>
      </c>
      <c r="E19" s="3" t="s">
        <v>689</v>
      </c>
    </row>
    <row r="20" spans="1:7" x14ac:dyDescent="0.25">
      <c r="A20" s="3" t="s">
        <v>714</v>
      </c>
      <c r="B20" s="3">
        <v>0</v>
      </c>
      <c r="C20" s="3">
        <v>0</v>
      </c>
      <c r="D20" s="3" t="s">
        <v>714</v>
      </c>
      <c r="E20" s="3" t="s">
        <v>694</v>
      </c>
    </row>
    <row r="21" spans="1:7" x14ac:dyDescent="0.25">
      <c r="A21" s="3" t="s">
        <v>715</v>
      </c>
      <c r="B21" s="3">
        <v>0</v>
      </c>
      <c r="C21" s="3">
        <v>0</v>
      </c>
      <c r="D21" s="3" t="s">
        <v>715</v>
      </c>
      <c r="E21" s="3" t="s">
        <v>689</v>
      </c>
    </row>
    <row r="22" spans="1:7" x14ac:dyDescent="0.25">
      <c r="A22" s="3" t="s">
        <v>717</v>
      </c>
      <c r="B22" s="3">
        <v>0</v>
      </c>
      <c r="C22" s="3">
        <v>0</v>
      </c>
      <c r="D22" s="3" t="s">
        <v>717</v>
      </c>
      <c r="E22" s="3" t="s">
        <v>689</v>
      </c>
    </row>
    <row r="23" spans="1:7" x14ac:dyDescent="0.25">
      <c r="A23" s="3" t="s">
        <v>718</v>
      </c>
      <c r="B23" s="3">
        <v>0</v>
      </c>
      <c r="C23" s="3">
        <v>0</v>
      </c>
      <c r="D23" s="3" t="s">
        <v>718</v>
      </c>
      <c r="E23" s="3" t="s">
        <v>692</v>
      </c>
    </row>
    <row r="24" spans="1:7" x14ac:dyDescent="0.25">
      <c r="A24" s="3" t="s">
        <v>904</v>
      </c>
      <c r="B24" s="3">
        <v>0</v>
      </c>
      <c r="C24" s="3">
        <v>0</v>
      </c>
      <c r="D24" s="3" t="s">
        <v>904</v>
      </c>
      <c r="E24" s="3" t="s">
        <v>918</v>
      </c>
      <c r="F24" s="3" t="s">
        <v>1253</v>
      </c>
      <c r="G24" s="3" t="s">
        <v>1254</v>
      </c>
    </row>
    <row r="25" spans="1:7" x14ac:dyDescent="0.25">
      <c r="A25" s="3" t="s">
        <v>719</v>
      </c>
      <c r="B25" s="3">
        <v>0</v>
      </c>
      <c r="C25" s="3">
        <v>0</v>
      </c>
      <c r="D25" s="3" t="s">
        <v>719</v>
      </c>
      <c r="E25" s="3" t="s">
        <v>691</v>
      </c>
    </row>
    <row r="26" spans="1:7" x14ac:dyDescent="0.25">
      <c r="A26" s="3" t="s">
        <v>720</v>
      </c>
      <c r="B26" s="3">
        <v>0</v>
      </c>
      <c r="C26" s="3">
        <v>0</v>
      </c>
      <c r="D26" s="3" t="s">
        <v>720</v>
      </c>
      <c r="E26" s="3" t="s">
        <v>695</v>
      </c>
      <c r="F26" s="3" t="s">
        <v>1253</v>
      </c>
      <c r="G26" s="3" t="s">
        <v>1254</v>
      </c>
    </row>
    <row r="27" spans="1:7" x14ac:dyDescent="0.25">
      <c r="A27" s="3" t="s">
        <v>1080</v>
      </c>
      <c r="B27" s="3">
        <v>0</v>
      </c>
      <c r="C27" s="3">
        <v>0</v>
      </c>
      <c r="D27" s="3" t="s">
        <v>1080</v>
      </c>
      <c r="E27" s="3" t="s">
        <v>696</v>
      </c>
      <c r="F27" s="3" t="s">
        <v>1255</v>
      </c>
    </row>
    <row r="28" spans="1:7" x14ac:dyDescent="0.25">
      <c r="A28" s="3" t="s">
        <v>721</v>
      </c>
      <c r="B28" s="3">
        <v>0</v>
      </c>
      <c r="C28" s="3">
        <v>0</v>
      </c>
      <c r="D28" s="3" t="s">
        <v>721</v>
      </c>
      <c r="E28" s="3" t="s">
        <v>697</v>
      </c>
    </row>
    <row r="29" spans="1:7" x14ac:dyDescent="0.25">
      <c r="A29" s="3" t="s">
        <v>722</v>
      </c>
      <c r="B29" s="3">
        <v>0</v>
      </c>
      <c r="C29" s="3">
        <v>0</v>
      </c>
      <c r="D29" s="3" t="s">
        <v>722</v>
      </c>
      <c r="E29" s="3" t="s">
        <v>693</v>
      </c>
    </row>
    <row r="30" spans="1:7" x14ac:dyDescent="0.25">
      <c r="A30" s="3" t="s">
        <v>723</v>
      </c>
      <c r="B30" s="3">
        <v>0</v>
      </c>
      <c r="C30" s="3">
        <v>0</v>
      </c>
      <c r="D30" s="3" t="s">
        <v>723</v>
      </c>
      <c r="E30" s="3" t="s">
        <v>693</v>
      </c>
    </row>
    <row r="31" spans="1:7" x14ac:dyDescent="0.25">
      <c r="A31" s="3" t="s">
        <v>725</v>
      </c>
      <c r="B31" s="3">
        <v>0</v>
      </c>
      <c r="C31" s="3">
        <v>0</v>
      </c>
      <c r="D31" s="3" t="s">
        <v>725</v>
      </c>
      <c r="E31" s="3" t="s">
        <v>691</v>
      </c>
    </row>
    <row r="32" spans="1:7" x14ac:dyDescent="0.25">
      <c r="A32" s="3" t="s">
        <v>728</v>
      </c>
      <c r="B32" s="3">
        <v>0</v>
      </c>
      <c r="C32" s="3">
        <v>0</v>
      </c>
      <c r="D32" s="3" t="s">
        <v>728</v>
      </c>
      <c r="E32" s="3" t="s">
        <v>693</v>
      </c>
    </row>
    <row r="33" spans="1:7" x14ac:dyDescent="0.25">
      <c r="A33" s="3" t="s">
        <v>729</v>
      </c>
      <c r="B33" s="3">
        <v>0</v>
      </c>
      <c r="C33" s="3">
        <v>0</v>
      </c>
      <c r="D33" s="3" t="s">
        <v>729</v>
      </c>
      <c r="E33" s="3" t="s">
        <v>2011</v>
      </c>
    </row>
    <row r="34" spans="1:7" x14ac:dyDescent="0.25">
      <c r="A34" s="3" t="s">
        <v>730</v>
      </c>
      <c r="B34" s="3">
        <v>0</v>
      </c>
      <c r="C34" s="3">
        <v>0</v>
      </c>
      <c r="D34" s="3" t="s">
        <v>730</v>
      </c>
      <c r="E34" s="3" t="s">
        <v>689</v>
      </c>
    </row>
    <row r="35" spans="1:7" x14ac:dyDescent="0.25">
      <c r="A35" s="3" t="s">
        <v>1037</v>
      </c>
      <c r="B35" s="3">
        <v>0</v>
      </c>
      <c r="C35" s="3">
        <v>0</v>
      </c>
      <c r="D35" s="3" t="s">
        <v>1037</v>
      </c>
      <c r="E35" s="3" t="s">
        <v>918</v>
      </c>
    </row>
    <row r="36" spans="1:7" x14ac:dyDescent="0.25">
      <c r="A36" s="3" t="s">
        <v>731</v>
      </c>
      <c r="B36" s="3">
        <v>0</v>
      </c>
      <c r="C36" s="3">
        <v>0</v>
      </c>
      <c r="D36" s="3" t="s">
        <v>731</v>
      </c>
      <c r="E36" s="3" t="s">
        <v>690</v>
      </c>
    </row>
    <row r="37" spans="1:7" x14ac:dyDescent="0.25">
      <c r="A37" s="3" t="s">
        <v>732</v>
      </c>
      <c r="B37" s="3">
        <v>0</v>
      </c>
      <c r="C37" s="3">
        <v>0</v>
      </c>
      <c r="D37" s="3" t="s">
        <v>732</v>
      </c>
      <c r="E37" s="3" t="s">
        <v>698</v>
      </c>
    </row>
    <row r="38" spans="1:7" x14ac:dyDescent="0.25">
      <c r="A38" s="3" t="s">
        <v>1081</v>
      </c>
      <c r="B38" s="3">
        <v>0</v>
      </c>
      <c r="C38" s="3">
        <v>0</v>
      </c>
      <c r="D38" s="3" t="s">
        <v>1081</v>
      </c>
      <c r="E38" s="3" t="s">
        <v>994</v>
      </c>
    </row>
    <row r="39" spans="1:7" x14ac:dyDescent="0.25">
      <c r="A39" s="3" t="s">
        <v>733</v>
      </c>
      <c r="B39" s="3">
        <v>0</v>
      </c>
      <c r="C39" s="3">
        <v>0</v>
      </c>
      <c r="D39" s="3" t="s">
        <v>733</v>
      </c>
      <c r="E39" s="3" t="s">
        <v>692</v>
      </c>
      <c r="F39" s="3" t="s">
        <v>1251</v>
      </c>
      <c r="G39" s="3" t="s">
        <v>1252</v>
      </c>
    </row>
    <row r="40" spans="1:7" x14ac:dyDescent="0.25">
      <c r="A40" s="3" t="s">
        <v>734</v>
      </c>
      <c r="B40" s="3">
        <v>0</v>
      </c>
      <c r="C40" s="3">
        <v>0</v>
      </c>
      <c r="D40" s="3" t="s">
        <v>734</v>
      </c>
      <c r="E40" s="3" t="s">
        <v>692</v>
      </c>
    </row>
    <row r="41" spans="1:7" x14ac:dyDescent="0.25">
      <c r="A41" s="3" t="s">
        <v>735</v>
      </c>
      <c r="B41" s="3">
        <v>0</v>
      </c>
      <c r="C41" s="3">
        <v>0</v>
      </c>
      <c r="D41" s="3" t="s">
        <v>735</v>
      </c>
      <c r="E41" s="3" t="s">
        <v>698</v>
      </c>
    </row>
    <row r="42" spans="1:7" x14ac:dyDescent="0.25">
      <c r="A42" s="3" t="s">
        <v>1082</v>
      </c>
      <c r="B42" s="3">
        <v>0</v>
      </c>
      <c r="C42" s="3">
        <v>0</v>
      </c>
      <c r="D42" s="3" t="s">
        <v>1082</v>
      </c>
      <c r="E42" s="3" t="s">
        <v>697</v>
      </c>
    </row>
    <row r="43" spans="1:7" x14ac:dyDescent="0.25">
      <c r="A43" s="3" t="s">
        <v>736</v>
      </c>
      <c r="B43" s="3">
        <v>0</v>
      </c>
      <c r="C43" s="3">
        <v>0</v>
      </c>
      <c r="D43" s="3" t="s">
        <v>736</v>
      </c>
      <c r="E43" s="3" t="s">
        <v>696</v>
      </c>
      <c r="F43" s="3" t="s">
        <v>1255</v>
      </c>
    </row>
    <row r="44" spans="1:7" x14ac:dyDescent="0.25">
      <c r="A44" s="3" t="s">
        <v>737</v>
      </c>
      <c r="B44" s="3">
        <v>0</v>
      </c>
      <c r="C44" s="3">
        <v>0</v>
      </c>
      <c r="D44" s="3" t="s">
        <v>737</v>
      </c>
      <c r="E44" s="3" t="s">
        <v>694</v>
      </c>
    </row>
    <row r="45" spans="1:7" x14ac:dyDescent="0.25">
      <c r="A45" s="3" t="s">
        <v>738</v>
      </c>
      <c r="B45" s="3">
        <v>0</v>
      </c>
      <c r="C45" s="3">
        <v>0</v>
      </c>
      <c r="D45" s="3" t="s">
        <v>738</v>
      </c>
      <c r="E45" s="3" t="s">
        <v>692</v>
      </c>
      <c r="F45" s="3" t="s">
        <v>1251</v>
      </c>
      <c r="G45" s="3" t="s">
        <v>1252</v>
      </c>
    </row>
    <row r="46" spans="1:7" x14ac:dyDescent="0.25">
      <c r="A46" s="3" t="s">
        <v>739</v>
      </c>
      <c r="B46" s="3">
        <v>0</v>
      </c>
      <c r="C46" s="3">
        <v>0</v>
      </c>
      <c r="D46" s="3" t="s">
        <v>739</v>
      </c>
      <c r="E46" s="3" t="s">
        <v>962</v>
      </c>
    </row>
    <row r="47" spans="1:7" x14ac:dyDescent="0.25">
      <c r="A47" s="3" t="s">
        <v>1083</v>
      </c>
      <c r="B47" s="3">
        <v>0</v>
      </c>
      <c r="C47" s="3">
        <v>0</v>
      </c>
      <c r="D47" s="3" t="s">
        <v>1083</v>
      </c>
      <c r="E47" s="3" t="s">
        <v>692</v>
      </c>
    </row>
    <row r="48" spans="1:7" x14ac:dyDescent="0.25">
      <c r="A48" s="3" t="s">
        <v>742</v>
      </c>
      <c r="B48" s="3">
        <v>0</v>
      </c>
      <c r="C48" s="3">
        <v>0</v>
      </c>
      <c r="D48" s="3" t="s">
        <v>742</v>
      </c>
      <c r="E48" s="3" t="s">
        <v>694</v>
      </c>
      <c r="F48" s="3" t="s">
        <v>1256</v>
      </c>
    </row>
    <row r="49" spans="1:7" x14ac:dyDescent="0.25">
      <c r="A49" s="3" t="s">
        <v>1219</v>
      </c>
      <c r="B49" s="3">
        <v>1</v>
      </c>
      <c r="C49" s="3">
        <v>0</v>
      </c>
      <c r="D49" s="3" t="s">
        <v>904</v>
      </c>
      <c r="E49" s="3" t="s">
        <v>918</v>
      </c>
      <c r="F49" s="3" t="s">
        <v>1253</v>
      </c>
      <c r="G49" s="3" t="s">
        <v>1254</v>
      </c>
    </row>
    <row r="50" spans="1:7" x14ac:dyDescent="0.25">
      <c r="A50" s="3" t="s">
        <v>1165</v>
      </c>
      <c r="B50" s="3">
        <v>1</v>
      </c>
      <c r="C50" s="3">
        <v>0</v>
      </c>
      <c r="D50" s="3" t="s">
        <v>694</v>
      </c>
      <c r="F50" s="3" t="s">
        <v>1256</v>
      </c>
    </row>
    <row r="51" spans="1:7" x14ac:dyDescent="0.25">
      <c r="A51" s="3" t="s">
        <v>1166</v>
      </c>
      <c r="B51" s="3">
        <v>1</v>
      </c>
      <c r="C51" s="3">
        <v>0</v>
      </c>
      <c r="D51" s="3" t="s">
        <v>704</v>
      </c>
      <c r="E51" s="3" t="s">
        <v>689</v>
      </c>
    </row>
    <row r="52" spans="1:7" x14ac:dyDescent="0.25">
      <c r="A52" s="3" t="s">
        <v>1167</v>
      </c>
      <c r="B52" s="3">
        <v>1</v>
      </c>
      <c r="C52" s="3">
        <v>0</v>
      </c>
      <c r="D52" s="3" t="s">
        <v>698</v>
      </c>
    </row>
    <row r="53" spans="1:7" x14ac:dyDescent="0.25">
      <c r="A53" s="3" t="s">
        <v>1168</v>
      </c>
      <c r="B53" s="3">
        <v>1</v>
      </c>
      <c r="C53" s="3">
        <v>0</v>
      </c>
      <c r="D53" s="3" t="s">
        <v>691</v>
      </c>
    </row>
    <row r="54" spans="1:7" x14ac:dyDescent="0.25">
      <c r="A54" s="3" t="s">
        <v>1169</v>
      </c>
      <c r="B54" s="3">
        <v>1</v>
      </c>
      <c r="C54" s="3">
        <v>0</v>
      </c>
      <c r="D54" s="3" t="s">
        <v>705</v>
      </c>
      <c r="E54" s="3" t="s">
        <v>698</v>
      </c>
    </row>
    <row r="55" spans="1:7" x14ac:dyDescent="0.25">
      <c r="A55" s="3" t="s">
        <v>1170</v>
      </c>
      <c r="B55" s="3">
        <v>1</v>
      </c>
      <c r="C55" s="3">
        <v>0</v>
      </c>
      <c r="D55" s="3" t="s">
        <v>704</v>
      </c>
      <c r="E55" s="3" t="s">
        <v>689</v>
      </c>
    </row>
    <row r="56" spans="1:7" x14ac:dyDescent="0.25">
      <c r="A56" s="3" t="s">
        <v>1171</v>
      </c>
      <c r="B56" s="3">
        <v>1</v>
      </c>
      <c r="C56" s="3">
        <v>0</v>
      </c>
      <c r="D56" s="3" t="s">
        <v>698</v>
      </c>
    </row>
    <row r="57" spans="1:7" x14ac:dyDescent="0.25">
      <c r="A57" s="3" t="s">
        <v>1172</v>
      </c>
      <c r="B57" s="3">
        <v>1</v>
      </c>
      <c r="C57" s="3">
        <v>0</v>
      </c>
      <c r="D57" s="3" t="s">
        <v>698</v>
      </c>
    </row>
    <row r="58" spans="1:7" x14ac:dyDescent="0.25">
      <c r="A58" s="3" t="s">
        <v>1173</v>
      </c>
      <c r="B58" s="3">
        <v>1</v>
      </c>
      <c r="C58" s="3">
        <v>0</v>
      </c>
      <c r="D58" s="3" t="s">
        <v>691</v>
      </c>
    </row>
    <row r="59" spans="1:7" x14ac:dyDescent="0.25">
      <c r="A59" s="3" t="s">
        <v>1174</v>
      </c>
      <c r="B59" s="3">
        <v>1</v>
      </c>
      <c r="C59" s="3">
        <v>0</v>
      </c>
      <c r="D59" s="3" t="s">
        <v>724</v>
      </c>
      <c r="E59" s="3" t="s">
        <v>690</v>
      </c>
    </row>
    <row r="60" spans="1:7" x14ac:dyDescent="0.25">
      <c r="A60" s="3" t="s">
        <v>1175</v>
      </c>
      <c r="B60" s="3">
        <v>1</v>
      </c>
      <c r="C60" s="3">
        <v>0</v>
      </c>
      <c r="D60" s="3" t="s">
        <v>697</v>
      </c>
    </row>
    <row r="61" spans="1:7" x14ac:dyDescent="0.25">
      <c r="A61" s="3" t="s">
        <v>1176</v>
      </c>
      <c r="B61" s="3">
        <v>1</v>
      </c>
      <c r="C61" s="3">
        <v>0</v>
      </c>
      <c r="D61" s="3" t="s">
        <v>694</v>
      </c>
      <c r="F61" s="3" t="s">
        <v>1256</v>
      </c>
    </row>
    <row r="62" spans="1:7" x14ac:dyDescent="0.25">
      <c r="A62" s="3" t="s">
        <v>1177</v>
      </c>
      <c r="B62" s="3">
        <v>1</v>
      </c>
      <c r="C62" s="3">
        <v>0</v>
      </c>
      <c r="D62" s="3" t="s">
        <v>695</v>
      </c>
    </row>
    <row r="63" spans="1:7" x14ac:dyDescent="0.25">
      <c r="A63" s="3" t="s">
        <v>1921</v>
      </c>
      <c r="B63" s="3">
        <v>1</v>
      </c>
      <c r="C63" s="3">
        <v>0</v>
      </c>
      <c r="D63" s="3" t="s">
        <v>711</v>
      </c>
      <c r="E63" s="3" t="s">
        <v>962</v>
      </c>
    </row>
    <row r="64" spans="1:7" x14ac:dyDescent="0.25">
      <c r="A64" s="3" t="s">
        <v>1263</v>
      </c>
      <c r="B64" s="3">
        <v>1</v>
      </c>
      <c r="C64" s="3">
        <v>0</v>
      </c>
      <c r="D64" s="3" t="s">
        <v>709</v>
      </c>
      <c r="E64" s="3" t="s">
        <v>689</v>
      </c>
    </row>
    <row r="65" spans="1:7" x14ac:dyDescent="0.25">
      <c r="A65" s="3" t="s">
        <v>1264</v>
      </c>
      <c r="B65" s="3">
        <v>1</v>
      </c>
      <c r="C65" s="3">
        <v>0</v>
      </c>
      <c r="D65" s="3" t="s">
        <v>709</v>
      </c>
      <c r="E65" s="3" t="s">
        <v>689</v>
      </c>
    </row>
    <row r="66" spans="1:7" x14ac:dyDescent="0.25">
      <c r="A66" s="3" t="s">
        <v>1178</v>
      </c>
      <c r="B66" s="3">
        <v>1</v>
      </c>
      <c r="C66" s="3">
        <v>0</v>
      </c>
      <c r="D66" s="3" t="s">
        <v>734</v>
      </c>
      <c r="E66" s="3" t="s">
        <v>692</v>
      </c>
    </row>
    <row r="67" spans="1:7" x14ac:dyDescent="0.25">
      <c r="A67" s="3" t="s">
        <v>1179</v>
      </c>
      <c r="B67" s="3">
        <v>1</v>
      </c>
      <c r="C67" s="3">
        <v>0</v>
      </c>
      <c r="D67" s="3" t="s">
        <v>740</v>
      </c>
      <c r="E67" s="3" t="s">
        <v>689</v>
      </c>
    </row>
    <row r="68" spans="1:7" x14ac:dyDescent="0.25">
      <c r="A68" s="3" t="s">
        <v>1180</v>
      </c>
      <c r="B68" s="3">
        <v>1</v>
      </c>
      <c r="C68" s="3">
        <v>0</v>
      </c>
      <c r="D68" s="3" t="s">
        <v>734</v>
      </c>
      <c r="E68" s="3" t="s">
        <v>692</v>
      </c>
    </row>
    <row r="69" spans="1:7" x14ac:dyDescent="0.25">
      <c r="A69" s="3" t="s">
        <v>1181</v>
      </c>
      <c r="B69" s="3">
        <v>1</v>
      </c>
      <c r="C69" s="3">
        <v>0</v>
      </c>
      <c r="D69" s="3" t="s">
        <v>696</v>
      </c>
      <c r="F69" s="3" t="s">
        <v>1255</v>
      </c>
    </row>
    <row r="70" spans="1:7" x14ac:dyDescent="0.25">
      <c r="A70" s="3" t="s">
        <v>1260</v>
      </c>
      <c r="B70" s="3">
        <v>1</v>
      </c>
      <c r="C70" s="3">
        <v>0</v>
      </c>
      <c r="D70" s="3" t="s">
        <v>739</v>
      </c>
      <c r="E70" s="3" t="s">
        <v>962</v>
      </c>
    </row>
    <row r="71" spans="1:7" x14ac:dyDescent="0.25">
      <c r="A71" s="3" t="s">
        <v>1182</v>
      </c>
      <c r="B71" s="3">
        <v>1</v>
      </c>
      <c r="C71" s="3">
        <v>0</v>
      </c>
      <c r="D71" s="3" t="s">
        <v>710</v>
      </c>
    </row>
    <row r="72" spans="1:7" x14ac:dyDescent="0.25">
      <c r="A72" s="3" t="s">
        <v>1183</v>
      </c>
      <c r="B72" s="3">
        <v>1</v>
      </c>
      <c r="C72" s="3">
        <v>0</v>
      </c>
      <c r="D72" s="3" t="s">
        <v>694</v>
      </c>
    </row>
    <row r="73" spans="1:7" x14ac:dyDescent="0.25">
      <c r="A73" s="3" t="s">
        <v>1265</v>
      </c>
      <c r="B73" s="3">
        <v>1</v>
      </c>
      <c r="C73" s="3">
        <v>0</v>
      </c>
      <c r="D73" s="3" t="s">
        <v>1080</v>
      </c>
      <c r="E73" s="3" t="s">
        <v>696</v>
      </c>
      <c r="F73" s="3" t="s">
        <v>1255</v>
      </c>
    </row>
    <row r="74" spans="1:7" x14ac:dyDescent="0.25">
      <c r="A74" s="3" t="s">
        <v>1184</v>
      </c>
      <c r="B74" s="3">
        <v>1</v>
      </c>
      <c r="C74" s="3">
        <v>0</v>
      </c>
      <c r="D74" s="3" t="s">
        <v>724</v>
      </c>
      <c r="E74" s="3" t="s">
        <v>690</v>
      </c>
    </row>
    <row r="75" spans="1:7" x14ac:dyDescent="0.25">
      <c r="A75" s="3" t="s">
        <v>1185</v>
      </c>
      <c r="B75" s="3">
        <v>1</v>
      </c>
      <c r="C75" s="3">
        <v>0</v>
      </c>
      <c r="D75" s="3" t="s">
        <v>690</v>
      </c>
    </row>
    <row r="76" spans="1:7" x14ac:dyDescent="0.25">
      <c r="A76" s="3" t="s">
        <v>1186</v>
      </c>
      <c r="B76" s="3">
        <v>1</v>
      </c>
      <c r="C76" s="3">
        <v>0</v>
      </c>
      <c r="D76" s="3" t="s">
        <v>695</v>
      </c>
    </row>
    <row r="77" spans="1:7" x14ac:dyDescent="0.25">
      <c r="A77" s="3" t="s">
        <v>1187</v>
      </c>
      <c r="B77" s="3">
        <v>1</v>
      </c>
      <c r="C77" s="3">
        <v>0</v>
      </c>
      <c r="D77" s="3" t="s">
        <v>1187</v>
      </c>
      <c r="E77" s="3" t="s">
        <v>698</v>
      </c>
    </row>
    <row r="78" spans="1:7" x14ac:dyDescent="0.25">
      <c r="A78" s="3" t="s">
        <v>1188</v>
      </c>
      <c r="B78" s="3">
        <v>1</v>
      </c>
      <c r="C78" s="3">
        <v>0</v>
      </c>
      <c r="D78" s="3" t="s">
        <v>696</v>
      </c>
      <c r="F78" s="3" t="s">
        <v>1255</v>
      </c>
    </row>
    <row r="79" spans="1:7" x14ac:dyDescent="0.25">
      <c r="A79" s="3" t="s">
        <v>1189</v>
      </c>
      <c r="B79" s="3">
        <v>1</v>
      </c>
      <c r="C79" s="3">
        <v>0</v>
      </c>
      <c r="D79" s="3" t="s">
        <v>904</v>
      </c>
      <c r="E79" s="3" t="s">
        <v>918</v>
      </c>
      <c r="F79" s="3" t="s">
        <v>1253</v>
      </c>
      <c r="G79" s="3" t="s">
        <v>1254</v>
      </c>
    </row>
    <row r="80" spans="1:7" x14ac:dyDescent="0.25">
      <c r="A80" s="3" t="s">
        <v>1190</v>
      </c>
      <c r="B80" s="3">
        <v>1</v>
      </c>
      <c r="C80" s="3">
        <v>0</v>
      </c>
      <c r="D80" s="3" t="s">
        <v>691</v>
      </c>
    </row>
    <row r="81" spans="1:7" x14ac:dyDescent="0.25">
      <c r="A81" s="3" t="s">
        <v>1191</v>
      </c>
      <c r="B81" s="3">
        <v>1</v>
      </c>
      <c r="C81" s="3">
        <v>0</v>
      </c>
      <c r="D81" s="3" t="s">
        <v>693</v>
      </c>
    </row>
    <row r="82" spans="1:7" x14ac:dyDescent="0.25">
      <c r="A82" s="3" t="s">
        <v>1266</v>
      </c>
      <c r="B82" s="3">
        <v>1</v>
      </c>
      <c r="C82" s="3">
        <v>0</v>
      </c>
      <c r="D82" s="3" t="s">
        <v>733</v>
      </c>
      <c r="E82" s="3" t="s">
        <v>692</v>
      </c>
    </row>
    <row r="83" spans="1:7" x14ac:dyDescent="0.25">
      <c r="A83" s="3" t="s">
        <v>1192</v>
      </c>
      <c r="B83" s="3">
        <v>1</v>
      </c>
      <c r="C83" s="3">
        <v>0</v>
      </c>
      <c r="D83" s="3" t="s">
        <v>696</v>
      </c>
      <c r="F83" s="3" t="s">
        <v>1255</v>
      </c>
    </row>
    <row r="84" spans="1:7" x14ac:dyDescent="0.25">
      <c r="A84" s="3" t="s">
        <v>1193</v>
      </c>
      <c r="B84" s="3">
        <v>1</v>
      </c>
      <c r="C84" s="3">
        <v>0</v>
      </c>
      <c r="D84" s="3" t="s">
        <v>696</v>
      </c>
      <c r="F84" s="3" t="s">
        <v>1255</v>
      </c>
    </row>
    <row r="85" spans="1:7" x14ac:dyDescent="0.25">
      <c r="A85" s="3" t="s">
        <v>1257</v>
      </c>
      <c r="B85" s="3">
        <v>1</v>
      </c>
      <c r="C85" s="3">
        <v>0</v>
      </c>
      <c r="D85" s="3" t="s">
        <v>729</v>
      </c>
      <c r="E85" s="3" t="s">
        <v>2011</v>
      </c>
      <c r="F85" s="3" t="s">
        <v>1253</v>
      </c>
      <c r="G85" s="3" t="s">
        <v>1254</v>
      </c>
    </row>
    <row r="86" spans="1:7" x14ac:dyDescent="0.25">
      <c r="A86" s="3" t="s">
        <v>1194</v>
      </c>
      <c r="B86" s="3">
        <v>1</v>
      </c>
      <c r="C86" s="3">
        <v>0</v>
      </c>
      <c r="D86" s="3" t="s">
        <v>694</v>
      </c>
    </row>
    <row r="87" spans="1:7" x14ac:dyDescent="0.25">
      <c r="A87" s="3" t="s">
        <v>1195</v>
      </c>
      <c r="B87" s="3">
        <v>1</v>
      </c>
      <c r="C87" s="3">
        <v>0</v>
      </c>
      <c r="D87" s="3" t="s">
        <v>689</v>
      </c>
    </row>
    <row r="88" spans="1:7" x14ac:dyDescent="0.25">
      <c r="A88" s="3" t="s">
        <v>1196</v>
      </c>
      <c r="B88" s="3">
        <v>1</v>
      </c>
      <c r="C88" s="3">
        <v>0</v>
      </c>
      <c r="D88" s="3" t="s">
        <v>1083</v>
      </c>
      <c r="E88" s="3" t="s">
        <v>692</v>
      </c>
    </row>
    <row r="89" spans="1:7" x14ac:dyDescent="0.25">
      <c r="A89" s="3" t="s">
        <v>726</v>
      </c>
      <c r="B89" s="3">
        <v>1</v>
      </c>
      <c r="C89" s="3">
        <v>0</v>
      </c>
      <c r="D89" s="3" t="s">
        <v>726</v>
      </c>
      <c r="E89" s="3" t="s">
        <v>694</v>
      </c>
    </row>
    <row r="90" spans="1:7" x14ac:dyDescent="0.25">
      <c r="A90" s="3" t="s">
        <v>727</v>
      </c>
      <c r="B90" s="3">
        <v>1</v>
      </c>
      <c r="C90" s="3">
        <v>0</v>
      </c>
      <c r="D90" s="3" t="s">
        <v>727</v>
      </c>
      <c r="E90" s="3" t="s">
        <v>694</v>
      </c>
    </row>
    <row r="91" spans="1:7" x14ac:dyDescent="0.25">
      <c r="A91" s="3" t="s">
        <v>1197</v>
      </c>
      <c r="B91" s="3">
        <v>1</v>
      </c>
      <c r="C91" s="3">
        <v>0</v>
      </c>
      <c r="D91" s="3" t="s">
        <v>715</v>
      </c>
      <c r="E91" s="3" t="s">
        <v>689</v>
      </c>
    </row>
    <row r="92" spans="1:7" x14ac:dyDescent="0.25">
      <c r="A92" s="3" t="s">
        <v>1198</v>
      </c>
      <c r="B92" s="3">
        <v>1</v>
      </c>
      <c r="C92" s="3">
        <v>0</v>
      </c>
      <c r="D92" s="3" t="s">
        <v>690</v>
      </c>
    </row>
    <row r="93" spans="1:7" x14ac:dyDescent="0.25">
      <c r="A93" s="3" t="s">
        <v>1267</v>
      </c>
      <c r="B93" s="3">
        <v>1</v>
      </c>
      <c r="C93" s="3">
        <v>0</v>
      </c>
      <c r="D93" s="3" t="s">
        <v>711</v>
      </c>
      <c r="E93" s="3" t="s">
        <v>962</v>
      </c>
    </row>
    <row r="94" spans="1:7" x14ac:dyDescent="0.25">
      <c r="A94" s="3" t="s">
        <v>1199</v>
      </c>
      <c r="B94" s="3">
        <v>1</v>
      </c>
      <c r="C94" s="3">
        <v>0</v>
      </c>
      <c r="D94" s="3" t="s">
        <v>691</v>
      </c>
    </row>
    <row r="95" spans="1:7" x14ac:dyDescent="0.25">
      <c r="A95" s="3" t="s">
        <v>1200</v>
      </c>
      <c r="B95" s="3">
        <v>1</v>
      </c>
      <c r="C95" s="3">
        <v>0</v>
      </c>
      <c r="D95" s="3" t="s">
        <v>705</v>
      </c>
      <c r="E95" s="3" t="s">
        <v>698</v>
      </c>
    </row>
    <row r="96" spans="1:7" x14ac:dyDescent="0.25">
      <c r="A96" s="3" t="s">
        <v>1201</v>
      </c>
      <c r="B96" s="3">
        <v>1</v>
      </c>
      <c r="C96" s="3">
        <v>0</v>
      </c>
      <c r="D96" s="3" t="s">
        <v>2223</v>
      </c>
      <c r="E96" s="3" t="s">
        <v>689</v>
      </c>
    </row>
    <row r="97" spans="1:7" x14ac:dyDescent="0.25">
      <c r="A97" s="3" t="s">
        <v>1202</v>
      </c>
      <c r="B97" s="3">
        <v>1</v>
      </c>
      <c r="C97" s="3">
        <v>0</v>
      </c>
      <c r="D97" s="3" t="s">
        <v>698</v>
      </c>
    </row>
    <row r="98" spans="1:7" x14ac:dyDescent="0.25">
      <c r="A98" s="3" t="s">
        <v>1203</v>
      </c>
      <c r="B98" s="3">
        <v>1</v>
      </c>
      <c r="C98" s="3">
        <v>0</v>
      </c>
      <c r="D98" s="3" t="s">
        <v>689</v>
      </c>
    </row>
    <row r="99" spans="1:7" x14ac:dyDescent="0.25">
      <c r="A99" s="3" t="s">
        <v>1262</v>
      </c>
      <c r="B99" s="3">
        <v>1</v>
      </c>
      <c r="C99" s="3">
        <v>0</v>
      </c>
      <c r="D99" s="3" t="s">
        <v>706</v>
      </c>
      <c r="E99" s="3" t="s">
        <v>692</v>
      </c>
    </row>
    <row r="100" spans="1:7" x14ac:dyDescent="0.25">
      <c r="A100" s="3" t="s">
        <v>1204</v>
      </c>
      <c r="B100" s="3">
        <v>1</v>
      </c>
      <c r="C100" s="3">
        <v>0</v>
      </c>
      <c r="D100" s="3" t="s">
        <v>918</v>
      </c>
    </row>
    <row r="101" spans="1:7" x14ac:dyDescent="0.25">
      <c r="A101" s="3" t="s">
        <v>1268</v>
      </c>
      <c r="B101" s="3">
        <v>1</v>
      </c>
      <c r="C101" s="3">
        <v>0</v>
      </c>
      <c r="D101" s="3" t="s">
        <v>723</v>
      </c>
      <c r="E101" s="3" t="s">
        <v>693</v>
      </c>
    </row>
    <row r="102" spans="1:7" x14ac:dyDescent="0.25">
      <c r="A102" s="3" t="s">
        <v>1205</v>
      </c>
      <c r="B102" s="3">
        <v>1</v>
      </c>
      <c r="C102" s="3">
        <v>0</v>
      </c>
      <c r="D102" s="3" t="s">
        <v>724</v>
      </c>
      <c r="E102" s="3" t="s">
        <v>690</v>
      </c>
    </row>
    <row r="103" spans="1:7" x14ac:dyDescent="0.25">
      <c r="A103" s="3" t="s">
        <v>1206</v>
      </c>
      <c r="B103" s="3">
        <v>1</v>
      </c>
      <c r="C103" s="3">
        <v>0</v>
      </c>
      <c r="D103" s="3" t="s">
        <v>696</v>
      </c>
      <c r="F103" s="3" t="s">
        <v>1255</v>
      </c>
    </row>
    <row r="104" spans="1:7" x14ac:dyDescent="0.25">
      <c r="A104" s="3" t="s">
        <v>1207</v>
      </c>
      <c r="B104" s="3">
        <v>1</v>
      </c>
      <c r="C104" s="3">
        <v>0</v>
      </c>
      <c r="D104" s="3" t="s">
        <v>698</v>
      </c>
    </row>
    <row r="105" spans="1:7" x14ac:dyDescent="0.25">
      <c r="A105" s="3" t="s">
        <v>1261</v>
      </c>
      <c r="B105" s="3">
        <v>1</v>
      </c>
      <c r="C105" s="3">
        <v>0</v>
      </c>
      <c r="D105" s="3" t="s">
        <v>739</v>
      </c>
      <c r="E105" s="3" t="s">
        <v>962</v>
      </c>
    </row>
    <row r="106" spans="1:7" x14ac:dyDescent="0.25">
      <c r="A106" s="3" t="s">
        <v>1208</v>
      </c>
      <c r="B106" s="3">
        <v>1</v>
      </c>
      <c r="C106" s="3">
        <v>0</v>
      </c>
      <c r="D106" s="3" t="s">
        <v>1302</v>
      </c>
      <c r="E106" s="3" t="s">
        <v>689</v>
      </c>
    </row>
    <row r="107" spans="1:7" x14ac:dyDescent="0.25">
      <c r="A107" s="3" t="s">
        <v>1209</v>
      </c>
      <c r="B107" s="3">
        <v>1</v>
      </c>
      <c r="C107" s="3">
        <v>0</v>
      </c>
      <c r="D107" s="3" t="s">
        <v>724</v>
      </c>
      <c r="E107" s="3" t="s">
        <v>690</v>
      </c>
    </row>
    <row r="108" spans="1:7" x14ac:dyDescent="0.25">
      <c r="A108" s="3" t="s">
        <v>1210</v>
      </c>
      <c r="B108" s="3">
        <v>1</v>
      </c>
      <c r="C108" s="3">
        <v>0</v>
      </c>
      <c r="D108" s="3" t="s">
        <v>703</v>
      </c>
      <c r="E108" s="3" t="s">
        <v>690</v>
      </c>
    </row>
    <row r="109" spans="1:7" x14ac:dyDescent="0.25">
      <c r="A109" s="3" t="s">
        <v>1211</v>
      </c>
      <c r="B109" s="3">
        <v>1</v>
      </c>
      <c r="C109" s="3">
        <v>0</v>
      </c>
      <c r="D109" s="3" t="s">
        <v>689</v>
      </c>
      <c r="F109" s="3" t="s">
        <v>1251</v>
      </c>
      <c r="G109" s="3" t="s">
        <v>1252</v>
      </c>
    </row>
    <row r="110" spans="1:7" x14ac:dyDescent="0.25">
      <c r="A110" s="3" t="s">
        <v>1212</v>
      </c>
      <c r="B110" s="3">
        <v>1</v>
      </c>
      <c r="C110" s="3">
        <v>0</v>
      </c>
      <c r="D110" s="3" t="s">
        <v>2223</v>
      </c>
      <c r="E110" s="3" t="s">
        <v>689</v>
      </c>
    </row>
    <row r="111" spans="1:7" x14ac:dyDescent="0.25">
      <c r="A111" s="3" t="s">
        <v>741</v>
      </c>
      <c r="B111" s="3">
        <v>1</v>
      </c>
      <c r="C111" s="3">
        <v>0</v>
      </c>
      <c r="D111" s="3" t="s">
        <v>741</v>
      </c>
      <c r="E111" s="3" t="s">
        <v>692</v>
      </c>
      <c r="F111" s="3" t="s">
        <v>1251</v>
      </c>
      <c r="G111" s="3" t="s">
        <v>1252</v>
      </c>
    </row>
    <row r="112" spans="1:7" x14ac:dyDescent="0.25">
      <c r="A112" s="3" t="s">
        <v>1269</v>
      </c>
      <c r="B112" s="3">
        <v>1</v>
      </c>
      <c r="C112" s="3">
        <v>0</v>
      </c>
      <c r="D112" s="3" t="s">
        <v>701</v>
      </c>
      <c r="E112" s="3" t="s">
        <v>689</v>
      </c>
    </row>
    <row r="113" spans="1:9" x14ac:dyDescent="0.25">
      <c r="A113" s="3" t="s">
        <v>1213</v>
      </c>
      <c r="B113" s="3">
        <v>1</v>
      </c>
      <c r="C113" s="3">
        <v>0</v>
      </c>
      <c r="D113" s="3" t="s">
        <v>689</v>
      </c>
    </row>
    <row r="114" spans="1:9" x14ac:dyDescent="0.25">
      <c r="A114" s="3" t="s">
        <v>1259</v>
      </c>
      <c r="B114" s="3">
        <v>1</v>
      </c>
      <c r="C114" s="3">
        <v>0</v>
      </c>
      <c r="D114" s="3" t="s">
        <v>732</v>
      </c>
      <c r="E114" s="3" t="s">
        <v>698</v>
      </c>
    </row>
    <row r="115" spans="1:9" x14ac:dyDescent="0.25">
      <c r="A115" s="3" t="s">
        <v>1214</v>
      </c>
      <c r="B115" s="3">
        <v>1</v>
      </c>
      <c r="C115" s="3">
        <v>0</v>
      </c>
      <c r="D115" s="3" t="s">
        <v>1788</v>
      </c>
      <c r="E115" s="3" t="s">
        <v>994</v>
      </c>
      <c r="F115" s="3" t="s">
        <v>1255</v>
      </c>
      <c r="G115" s="3" t="s">
        <v>1258</v>
      </c>
    </row>
    <row r="116" spans="1:9" x14ac:dyDescent="0.25">
      <c r="A116" s="3" t="s">
        <v>1215</v>
      </c>
      <c r="B116" s="3">
        <v>1</v>
      </c>
      <c r="C116" s="3">
        <v>0</v>
      </c>
      <c r="D116" s="3" t="s">
        <v>717</v>
      </c>
      <c r="E116" s="3" t="s">
        <v>689</v>
      </c>
    </row>
    <row r="117" spans="1:9" x14ac:dyDescent="0.25">
      <c r="A117" s="3" t="s">
        <v>1216</v>
      </c>
      <c r="B117" s="3">
        <v>1</v>
      </c>
      <c r="C117" s="3">
        <v>0</v>
      </c>
      <c r="D117" s="3" t="s">
        <v>690</v>
      </c>
    </row>
    <row r="118" spans="1:9" x14ac:dyDescent="0.25">
      <c r="A118" s="3" t="s">
        <v>1217</v>
      </c>
      <c r="B118" s="3">
        <v>1</v>
      </c>
      <c r="C118" s="3">
        <v>0</v>
      </c>
      <c r="D118" s="3" t="s">
        <v>694</v>
      </c>
      <c r="F118" s="3" t="s">
        <v>1253</v>
      </c>
      <c r="G118" s="3" t="s">
        <v>1254</v>
      </c>
    </row>
    <row r="119" spans="1:9" x14ac:dyDescent="0.25">
      <c r="A119" s="3" t="s">
        <v>1218</v>
      </c>
      <c r="B119" s="3">
        <v>1</v>
      </c>
      <c r="C119" s="3">
        <v>0</v>
      </c>
      <c r="D119" s="3" t="s">
        <v>740</v>
      </c>
      <c r="E119" s="3" t="s">
        <v>689</v>
      </c>
    </row>
    <row r="120" spans="1:9" x14ac:dyDescent="0.25">
      <c r="A120" s="3" t="s">
        <v>1836</v>
      </c>
      <c r="B120" s="3">
        <v>0</v>
      </c>
      <c r="C120" s="3">
        <v>1</v>
      </c>
      <c r="D120" s="3" t="s">
        <v>690</v>
      </c>
    </row>
    <row r="121" spans="1:9" x14ac:dyDescent="0.25">
      <c r="A121" s="3" t="s">
        <v>1837</v>
      </c>
      <c r="B121" s="3">
        <v>0</v>
      </c>
      <c r="C121" s="3">
        <v>1</v>
      </c>
      <c r="D121" s="3" t="s">
        <v>698</v>
      </c>
    </row>
    <row r="122" spans="1:9" x14ac:dyDescent="0.25">
      <c r="A122" s="3" t="s">
        <v>1838</v>
      </c>
      <c r="B122" s="3">
        <v>0</v>
      </c>
      <c r="C122" s="3">
        <v>1</v>
      </c>
      <c r="D122" s="3" t="s">
        <v>729</v>
      </c>
      <c r="E122" s="3" t="s">
        <v>2011</v>
      </c>
    </row>
    <row r="123" spans="1:9" x14ac:dyDescent="0.25">
      <c r="A123" s="3" t="s">
        <v>1839</v>
      </c>
      <c r="B123" s="3">
        <v>0</v>
      </c>
      <c r="C123" s="3">
        <v>1</v>
      </c>
      <c r="D123" s="3" t="s">
        <v>698</v>
      </c>
    </row>
    <row r="124" spans="1:9" x14ac:dyDescent="0.25">
      <c r="A124" s="3" t="s">
        <v>2248</v>
      </c>
      <c r="B124" s="3">
        <v>0</v>
      </c>
      <c r="C124" s="3">
        <v>1</v>
      </c>
      <c r="D124" s="3" t="s">
        <v>1788</v>
      </c>
      <c r="E124" s="3" t="s">
        <v>994</v>
      </c>
      <c r="F124" s="3" t="s">
        <v>1255</v>
      </c>
      <c r="H124" t="s">
        <v>2291</v>
      </c>
      <c r="I124" s="3" t="s">
        <v>2272</v>
      </c>
    </row>
    <row r="125" spans="1:9" x14ac:dyDescent="0.25">
      <c r="A125" s="3" t="s">
        <v>1840</v>
      </c>
      <c r="B125" s="3">
        <v>0</v>
      </c>
      <c r="C125" s="3">
        <v>1</v>
      </c>
      <c r="D125" s="3" t="s">
        <v>698</v>
      </c>
    </row>
    <row r="126" spans="1:9" x14ac:dyDescent="0.25">
      <c r="A126" s="3" t="s">
        <v>1841</v>
      </c>
      <c r="B126" s="3">
        <v>0</v>
      </c>
      <c r="C126" s="3">
        <v>1</v>
      </c>
      <c r="D126" s="3" t="s">
        <v>729</v>
      </c>
      <c r="E126" s="3" t="s">
        <v>2011</v>
      </c>
    </row>
    <row r="127" spans="1:9" x14ac:dyDescent="0.25">
      <c r="A127" s="3" t="s">
        <v>705</v>
      </c>
      <c r="B127" s="3">
        <v>0</v>
      </c>
      <c r="C127" s="3">
        <v>1</v>
      </c>
      <c r="D127" s="3" t="s">
        <v>705</v>
      </c>
      <c r="E127" s="3" t="s">
        <v>698</v>
      </c>
    </row>
    <row r="128" spans="1:9" x14ac:dyDescent="0.25">
      <c r="A128" s="3" t="s">
        <v>1842</v>
      </c>
      <c r="B128" s="3">
        <v>0</v>
      </c>
      <c r="C128" s="3">
        <v>1</v>
      </c>
      <c r="D128" s="3" t="s">
        <v>698</v>
      </c>
    </row>
    <row r="129" spans="1:30" s="3" customFormat="1" x14ac:dyDescent="0.25">
      <c r="A129" s="3" t="s">
        <v>1843</v>
      </c>
      <c r="B129" s="3">
        <v>0</v>
      </c>
      <c r="C129" s="3">
        <v>1</v>
      </c>
      <c r="D129" s="3" t="s">
        <v>698</v>
      </c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</row>
    <row r="130" spans="1:30" s="3" customFormat="1" x14ac:dyDescent="0.25">
      <c r="A130" s="3" t="s">
        <v>1844</v>
      </c>
      <c r="B130" s="3">
        <v>0</v>
      </c>
      <c r="C130" s="3">
        <v>1</v>
      </c>
      <c r="D130" s="3" t="s">
        <v>698</v>
      </c>
      <c r="H130" t="s">
        <v>2288</v>
      </c>
      <c r="I130" t="s">
        <v>2272</v>
      </c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</row>
    <row r="131" spans="1:30" s="3" customFormat="1" x14ac:dyDescent="0.25">
      <c r="A131" s="3" t="s">
        <v>1845</v>
      </c>
      <c r="B131" s="3">
        <v>0</v>
      </c>
      <c r="C131" s="3">
        <v>1</v>
      </c>
      <c r="D131" s="3" t="s">
        <v>904</v>
      </c>
      <c r="E131" s="3" t="s">
        <v>918</v>
      </c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</row>
    <row r="132" spans="1:30" s="3" customFormat="1" x14ac:dyDescent="0.25">
      <c r="A132" s="3" t="s">
        <v>1846</v>
      </c>
      <c r="B132" s="3">
        <v>0</v>
      </c>
      <c r="C132" s="3">
        <v>1</v>
      </c>
      <c r="D132" s="3" t="s">
        <v>691</v>
      </c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</row>
    <row r="133" spans="1:30" s="3" customFormat="1" x14ac:dyDescent="0.25">
      <c r="A133" s="3" t="s">
        <v>1847</v>
      </c>
      <c r="B133" s="3">
        <v>0</v>
      </c>
      <c r="C133" s="3">
        <v>1</v>
      </c>
      <c r="D133" s="3" t="s">
        <v>691</v>
      </c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</row>
    <row r="134" spans="1:30" s="3" customFormat="1" x14ac:dyDescent="0.25">
      <c r="A134" s="3" t="s">
        <v>2249</v>
      </c>
      <c r="B134" s="3">
        <v>0</v>
      </c>
      <c r="C134" s="3">
        <v>1</v>
      </c>
      <c r="D134" s="3" t="s">
        <v>1302</v>
      </c>
      <c r="H134"/>
      <c r="I134" t="s">
        <v>2271</v>
      </c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</row>
    <row r="135" spans="1:30" s="3" customFormat="1" x14ac:dyDescent="0.25">
      <c r="A135" s="3" t="s">
        <v>2244</v>
      </c>
      <c r="B135" s="3">
        <v>0</v>
      </c>
      <c r="C135" s="3">
        <v>1</v>
      </c>
      <c r="D135" s="3" t="s">
        <v>1788</v>
      </c>
      <c r="E135" s="3" t="s">
        <v>994</v>
      </c>
      <c r="F135" s="3" t="s">
        <v>1255</v>
      </c>
      <c r="H135"/>
      <c r="I135" s="3" t="s">
        <v>2271</v>
      </c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</row>
    <row r="136" spans="1:30" s="3" customFormat="1" x14ac:dyDescent="0.25">
      <c r="A136" s="3" t="s">
        <v>1848</v>
      </c>
      <c r="B136" s="3">
        <v>0</v>
      </c>
      <c r="C136" s="3">
        <v>1</v>
      </c>
      <c r="D136" s="3" t="s">
        <v>691</v>
      </c>
      <c r="H136"/>
      <c r="I136" t="s">
        <v>2271</v>
      </c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</row>
    <row r="137" spans="1:30" s="3" customFormat="1" x14ac:dyDescent="0.25">
      <c r="A137" s="3" t="s">
        <v>2250</v>
      </c>
      <c r="B137" s="3">
        <v>1</v>
      </c>
      <c r="C137" s="3">
        <v>1</v>
      </c>
      <c r="D137" s="3" t="s">
        <v>2223</v>
      </c>
      <c r="H137" t="s">
        <v>2265</v>
      </c>
      <c r="I137" t="s">
        <v>2271</v>
      </c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</row>
    <row r="138" spans="1:30" s="3" customFormat="1" x14ac:dyDescent="0.25">
      <c r="A138" s="3" t="s">
        <v>1849</v>
      </c>
      <c r="B138" s="3">
        <v>0</v>
      </c>
      <c r="C138" s="3">
        <v>1</v>
      </c>
      <c r="D138" s="3" t="s">
        <v>690</v>
      </c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</row>
    <row r="139" spans="1:30" s="3" customFormat="1" x14ac:dyDescent="0.25">
      <c r="A139" s="3" t="s">
        <v>1850</v>
      </c>
      <c r="B139" s="3">
        <v>0</v>
      </c>
      <c r="C139" s="3">
        <v>1</v>
      </c>
      <c r="D139" s="3" t="s">
        <v>698</v>
      </c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</row>
    <row r="140" spans="1:30" s="3" customFormat="1" x14ac:dyDescent="0.25">
      <c r="A140" s="3" t="s">
        <v>1240</v>
      </c>
      <c r="B140" s="3">
        <v>0</v>
      </c>
      <c r="C140" s="3">
        <v>1</v>
      </c>
      <c r="D140" s="3" t="s">
        <v>691</v>
      </c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</row>
    <row r="141" spans="1:30" s="3" customFormat="1" x14ac:dyDescent="0.25">
      <c r="A141" s="3" t="s">
        <v>1851</v>
      </c>
      <c r="B141" s="3">
        <v>0</v>
      </c>
      <c r="C141" s="3">
        <v>1</v>
      </c>
      <c r="D141" s="3" t="s">
        <v>690</v>
      </c>
      <c r="H141" t="s">
        <v>2287</v>
      </c>
      <c r="I141" t="s">
        <v>2272</v>
      </c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</row>
    <row r="142" spans="1:30" s="3" customFormat="1" x14ac:dyDescent="0.25">
      <c r="A142" s="3" t="s">
        <v>2263</v>
      </c>
      <c r="B142" s="3">
        <v>0</v>
      </c>
      <c r="C142" s="3">
        <v>1</v>
      </c>
      <c r="D142" s="3" t="s">
        <v>962</v>
      </c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</row>
    <row r="143" spans="1:30" s="3" customFormat="1" x14ac:dyDescent="0.25">
      <c r="A143" s="3" t="s">
        <v>2260</v>
      </c>
      <c r="B143" s="3">
        <v>0</v>
      </c>
      <c r="C143" s="3">
        <v>1</v>
      </c>
      <c r="D143" s="3" t="s">
        <v>704</v>
      </c>
      <c r="H143" t="s">
        <v>2282</v>
      </c>
      <c r="I143" t="s">
        <v>2272</v>
      </c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</row>
    <row r="144" spans="1:30" s="3" customFormat="1" x14ac:dyDescent="0.25">
      <c r="A144" s="3" t="s">
        <v>1852</v>
      </c>
      <c r="B144" s="3">
        <v>0</v>
      </c>
      <c r="C144" s="3">
        <v>1</v>
      </c>
      <c r="D144" s="3" t="s">
        <v>698</v>
      </c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</row>
    <row r="145" spans="1:30" s="3" customFormat="1" x14ac:dyDescent="0.25">
      <c r="A145" s="3" t="s">
        <v>2261</v>
      </c>
      <c r="B145" s="3">
        <v>0</v>
      </c>
      <c r="C145" s="3">
        <v>1</v>
      </c>
      <c r="D145" s="3" t="s">
        <v>692</v>
      </c>
      <c r="H145" t="s">
        <v>2290</v>
      </c>
      <c r="I145" t="s">
        <v>2272</v>
      </c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</row>
    <row r="146" spans="1:30" s="3" customFormat="1" x14ac:dyDescent="0.25">
      <c r="A146" s="3" t="s">
        <v>2259</v>
      </c>
      <c r="B146" s="3">
        <v>0</v>
      </c>
      <c r="C146" s="3">
        <v>1</v>
      </c>
      <c r="D146" s="3" t="s">
        <v>2258</v>
      </c>
      <c r="E146" s="3" t="s">
        <v>962</v>
      </c>
      <c r="H146" t="s">
        <v>2282</v>
      </c>
      <c r="I146" t="s">
        <v>2272</v>
      </c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</row>
    <row r="147" spans="1:30" s="3" customFormat="1" x14ac:dyDescent="0.25">
      <c r="A147" s="3" t="s">
        <v>1853</v>
      </c>
      <c r="B147" s="3">
        <v>0</v>
      </c>
      <c r="C147" s="3">
        <v>1</v>
      </c>
      <c r="D147" s="3" t="s">
        <v>724</v>
      </c>
      <c r="E147" s="3" t="s">
        <v>690</v>
      </c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</row>
    <row r="148" spans="1:30" s="3" customFormat="1" x14ac:dyDescent="0.25">
      <c r="A148" s="3" t="s">
        <v>1854</v>
      </c>
      <c r="B148" s="3">
        <v>0</v>
      </c>
      <c r="C148" s="3">
        <v>1</v>
      </c>
      <c r="D148" s="3" t="s">
        <v>695</v>
      </c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</row>
    <row r="149" spans="1:30" s="3" customFormat="1" x14ac:dyDescent="0.25">
      <c r="A149" s="3" t="s">
        <v>1855</v>
      </c>
      <c r="B149" s="3">
        <v>0</v>
      </c>
      <c r="C149" s="3">
        <v>1</v>
      </c>
      <c r="D149" s="3" t="s">
        <v>698</v>
      </c>
      <c r="H149" t="s">
        <v>2289</v>
      </c>
      <c r="I149" t="s">
        <v>2272</v>
      </c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</row>
    <row r="150" spans="1:30" s="3" customFormat="1" x14ac:dyDescent="0.25">
      <c r="A150" s="3" t="s">
        <v>1856</v>
      </c>
      <c r="B150" s="3">
        <v>0</v>
      </c>
      <c r="C150" s="3">
        <v>1</v>
      </c>
      <c r="D150" s="3" t="s">
        <v>690</v>
      </c>
      <c r="H150" t="s">
        <v>2286</v>
      </c>
      <c r="I150" t="s">
        <v>2272</v>
      </c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</row>
    <row r="151" spans="1:30" s="3" customFormat="1" x14ac:dyDescent="0.25">
      <c r="A151" s="3" t="s">
        <v>1857</v>
      </c>
      <c r="B151" s="3">
        <v>0</v>
      </c>
      <c r="C151" s="3">
        <v>1</v>
      </c>
      <c r="D151" s="3" t="s">
        <v>698</v>
      </c>
      <c r="H151" t="s">
        <v>2279</v>
      </c>
      <c r="I151" t="s">
        <v>2272</v>
      </c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</row>
    <row r="152" spans="1:30" s="3" customFormat="1" x14ac:dyDescent="0.25">
      <c r="A152" s="3" t="s">
        <v>1858</v>
      </c>
      <c r="B152" s="3">
        <v>0</v>
      </c>
      <c r="C152" s="3">
        <v>1</v>
      </c>
      <c r="D152" s="3" t="s">
        <v>691</v>
      </c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</row>
    <row r="153" spans="1:30" s="3" customFormat="1" x14ac:dyDescent="0.25">
      <c r="A153" s="3" t="s">
        <v>1859</v>
      </c>
      <c r="B153" s="3">
        <v>0</v>
      </c>
      <c r="C153" s="3">
        <v>1</v>
      </c>
      <c r="D153" s="3" t="s">
        <v>690</v>
      </c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</row>
    <row r="154" spans="1:30" s="3" customFormat="1" x14ac:dyDescent="0.25">
      <c r="A154" s="3" t="s">
        <v>1860</v>
      </c>
      <c r="B154" s="3">
        <v>0</v>
      </c>
      <c r="C154" s="3">
        <v>1</v>
      </c>
      <c r="D154" s="3" t="s">
        <v>724</v>
      </c>
      <c r="E154" s="3" t="s">
        <v>690</v>
      </c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</row>
    <row r="155" spans="1:30" s="3" customFormat="1" x14ac:dyDescent="0.25">
      <c r="A155" s="3" t="s">
        <v>1861</v>
      </c>
      <c r="B155" s="3">
        <v>0</v>
      </c>
      <c r="C155" s="3">
        <v>1</v>
      </c>
      <c r="D155" s="3" t="s">
        <v>724</v>
      </c>
      <c r="E155" s="3" t="s">
        <v>690</v>
      </c>
      <c r="H155" t="s">
        <v>2279</v>
      </c>
      <c r="I155" t="s">
        <v>2272</v>
      </c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</row>
    <row r="156" spans="1:30" s="3" customFormat="1" x14ac:dyDescent="0.25">
      <c r="A156" s="3" t="s">
        <v>2264</v>
      </c>
      <c r="B156" s="3">
        <v>0</v>
      </c>
      <c r="C156" s="3">
        <v>1</v>
      </c>
      <c r="D156" s="3" t="s">
        <v>717</v>
      </c>
      <c r="H156"/>
      <c r="I156" t="s">
        <v>2277</v>
      </c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</row>
    <row r="157" spans="1:30" s="3" customFormat="1" x14ac:dyDescent="0.25">
      <c r="A157" s="3" t="s">
        <v>2251</v>
      </c>
      <c r="B157" s="3">
        <v>0</v>
      </c>
      <c r="C157" s="3">
        <v>1</v>
      </c>
      <c r="D157" s="3" t="s">
        <v>696</v>
      </c>
      <c r="F157" s="3" t="s">
        <v>1255</v>
      </c>
      <c r="H157"/>
      <c r="I157" t="s">
        <v>2277</v>
      </c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</row>
    <row r="158" spans="1:30" s="3" customFormat="1" x14ac:dyDescent="0.25">
      <c r="A158" s="3" t="s">
        <v>2262</v>
      </c>
      <c r="B158" s="3">
        <v>0</v>
      </c>
      <c r="C158" s="3">
        <v>1</v>
      </c>
      <c r="D158" s="3" t="s">
        <v>735</v>
      </c>
      <c r="E158" s="3" t="s">
        <v>698</v>
      </c>
      <c r="H158"/>
      <c r="I158" t="s">
        <v>2277</v>
      </c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</row>
    <row r="159" spans="1:30" s="3" customFormat="1" x14ac:dyDescent="0.25">
      <c r="A159" s="3" t="s">
        <v>1862</v>
      </c>
      <c r="B159" s="3">
        <v>0</v>
      </c>
      <c r="C159" s="3">
        <v>1</v>
      </c>
      <c r="D159" s="3" t="s">
        <v>918</v>
      </c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</row>
    <row r="160" spans="1:30" s="3" customFormat="1" x14ac:dyDescent="0.25">
      <c r="A160" s="3" t="s">
        <v>1229</v>
      </c>
      <c r="B160" s="3">
        <v>0</v>
      </c>
      <c r="C160" s="3">
        <v>1</v>
      </c>
      <c r="D160" s="3" t="s">
        <v>918</v>
      </c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</row>
    <row r="161" spans="1:30" s="3" customFormat="1" x14ac:dyDescent="0.25">
      <c r="A161" s="3" t="s">
        <v>1863</v>
      </c>
      <c r="B161" s="3">
        <v>0</v>
      </c>
      <c r="C161" s="3">
        <v>1</v>
      </c>
      <c r="D161" s="3" t="s">
        <v>698</v>
      </c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</row>
    <row r="162" spans="1:30" s="3" customFormat="1" x14ac:dyDescent="0.25">
      <c r="A162" s="3" t="s">
        <v>1864</v>
      </c>
      <c r="B162" s="3">
        <v>0</v>
      </c>
      <c r="C162" s="3">
        <v>1</v>
      </c>
      <c r="D162" s="3" t="s">
        <v>918</v>
      </c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</row>
    <row r="163" spans="1:30" s="3" customFormat="1" x14ac:dyDescent="0.25">
      <c r="A163" s="3" t="s">
        <v>1237</v>
      </c>
      <c r="B163" s="3">
        <v>0</v>
      </c>
      <c r="C163" s="3">
        <v>1</v>
      </c>
      <c r="D163" s="3" t="s">
        <v>1788</v>
      </c>
      <c r="E163" s="3" t="s">
        <v>994</v>
      </c>
      <c r="F163" s="3" t="s">
        <v>1255</v>
      </c>
      <c r="H163" s="3" t="s">
        <v>2280</v>
      </c>
      <c r="I163" s="3" t="s">
        <v>2271</v>
      </c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</row>
    <row r="164" spans="1:30" s="3" customFormat="1" x14ac:dyDescent="0.25">
      <c r="A164" s="3" t="s">
        <v>1865</v>
      </c>
      <c r="B164" s="3">
        <v>0</v>
      </c>
      <c r="C164" s="3">
        <v>1</v>
      </c>
      <c r="D164" s="3" t="s">
        <v>690</v>
      </c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</row>
    <row r="165" spans="1:30" s="3" customFormat="1" x14ac:dyDescent="0.25">
      <c r="A165" s="3" t="s">
        <v>1866</v>
      </c>
      <c r="B165" s="3">
        <v>0</v>
      </c>
      <c r="C165" s="3">
        <v>1</v>
      </c>
      <c r="D165" s="3" t="s">
        <v>698</v>
      </c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</row>
    <row r="166" spans="1:30" s="3" customFormat="1" x14ac:dyDescent="0.25">
      <c r="A166" s="3" t="s">
        <v>1867</v>
      </c>
      <c r="B166" s="3">
        <v>0</v>
      </c>
      <c r="C166" s="3">
        <v>1</v>
      </c>
      <c r="D166" s="3" t="s">
        <v>724</v>
      </c>
      <c r="E166" s="3" t="s">
        <v>690</v>
      </c>
      <c r="H166"/>
      <c r="I166" t="s">
        <v>2278</v>
      </c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</row>
    <row r="167" spans="1:30" s="3" customFormat="1" x14ac:dyDescent="0.25">
      <c r="A167" s="3" t="s">
        <v>1868</v>
      </c>
      <c r="B167" s="3">
        <v>0</v>
      </c>
      <c r="C167" s="3">
        <v>1</v>
      </c>
      <c r="D167" s="3" t="s">
        <v>2011</v>
      </c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</row>
    <row r="168" spans="1:30" s="3" customFormat="1" x14ac:dyDescent="0.25">
      <c r="A168" s="3" t="s">
        <v>1869</v>
      </c>
      <c r="B168" s="3">
        <v>0</v>
      </c>
      <c r="C168" s="3">
        <v>1</v>
      </c>
      <c r="D168" s="3" t="s">
        <v>698</v>
      </c>
      <c r="H168" t="s">
        <v>2288</v>
      </c>
      <c r="I168" t="s">
        <v>2272</v>
      </c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</row>
    <row r="169" spans="1:30" s="3" customFormat="1" x14ac:dyDescent="0.25">
      <c r="A169" s="3" t="s">
        <v>1870</v>
      </c>
      <c r="B169" s="3">
        <v>0</v>
      </c>
      <c r="C169" s="3">
        <v>1</v>
      </c>
      <c r="D169" s="3" t="s">
        <v>698</v>
      </c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</row>
    <row r="170" spans="1:30" s="3" customFormat="1" x14ac:dyDescent="0.25">
      <c r="A170" s="3" t="s">
        <v>1871</v>
      </c>
      <c r="B170" s="3">
        <v>0</v>
      </c>
      <c r="C170" s="3">
        <v>1</v>
      </c>
      <c r="D170" s="3" t="s">
        <v>691</v>
      </c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</row>
    <row r="171" spans="1:30" s="3" customFormat="1" x14ac:dyDescent="0.25">
      <c r="A171" s="3" t="s">
        <v>1872</v>
      </c>
      <c r="B171" s="3">
        <v>0</v>
      </c>
      <c r="C171" s="3">
        <v>1</v>
      </c>
      <c r="D171" s="3" t="s">
        <v>695</v>
      </c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</row>
    <row r="172" spans="1:30" s="3" customFormat="1" x14ac:dyDescent="0.25">
      <c r="A172" s="3" t="s">
        <v>1873</v>
      </c>
      <c r="B172" s="3">
        <v>0</v>
      </c>
      <c r="C172" s="3">
        <v>1</v>
      </c>
      <c r="D172" s="3" t="s">
        <v>695</v>
      </c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</row>
    <row r="173" spans="1:30" s="3" customFormat="1" x14ac:dyDescent="0.25">
      <c r="A173" s="3" t="s">
        <v>1874</v>
      </c>
      <c r="B173" s="3">
        <v>0</v>
      </c>
      <c r="C173" s="3">
        <v>1</v>
      </c>
      <c r="D173" s="3" t="s">
        <v>695</v>
      </c>
      <c r="H173" t="s">
        <v>2283</v>
      </c>
      <c r="I173" t="s">
        <v>2272</v>
      </c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</row>
    <row r="174" spans="1:30" s="3" customFormat="1" x14ac:dyDescent="0.25">
      <c r="A174" s="3" t="s">
        <v>1234</v>
      </c>
      <c r="B174" s="3">
        <v>0</v>
      </c>
      <c r="C174" s="3">
        <v>1</v>
      </c>
      <c r="D174" s="3" t="s">
        <v>994</v>
      </c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</row>
    <row r="175" spans="1:30" s="3" customFormat="1" x14ac:dyDescent="0.25">
      <c r="A175" s="3" t="s">
        <v>1235</v>
      </c>
      <c r="B175" s="3">
        <v>0</v>
      </c>
      <c r="C175" s="3">
        <v>1</v>
      </c>
      <c r="D175" s="3" t="s">
        <v>994</v>
      </c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</row>
    <row r="176" spans="1:30" s="3" customFormat="1" x14ac:dyDescent="0.25">
      <c r="A176" s="3" t="s">
        <v>1236</v>
      </c>
      <c r="B176" s="3">
        <v>0</v>
      </c>
      <c r="C176" s="3">
        <v>1</v>
      </c>
      <c r="D176" s="3" t="s">
        <v>994</v>
      </c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</row>
    <row r="177" spans="1:30" s="3" customFormat="1" x14ac:dyDescent="0.25">
      <c r="A177" s="3" t="s">
        <v>1875</v>
      </c>
      <c r="B177" s="3">
        <v>0</v>
      </c>
      <c r="C177" s="3">
        <v>1</v>
      </c>
      <c r="D177" s="3" t="s">
        <v>690</v>
      </c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</row>
    <row r="178" spans="1:30" s="3" customFormat="1" x14ac:dyDescent="0.25">
      <c r="A178" s="3" t="s">
        <v>1876</v>
      </c>
      <c r="B178" s="3">
        <v>0</v>
      </c>
      <c r="C178" s="3">
        <v>1</v>
      </c>
      <c r="D178" s="3" t="s">
        <v>698</v>
      </c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</row>
    <row r="179" spans="1:30" s="3" customFormat="1" x14ac:dyDescent="0.25">
      <c r="A179" s="3" t="s">
        <v>1877</v>
      </c>
      <c r="B179" s="3">
        <v>0</v>
      </c>
      <c r="C179" s="3">
        <v>1</v>
      </c>
      <c r="D179" s="3" t="s">
        <v>698</v>
      </c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</row>
    <row r="180" spans="1:30" s="3" customFormat="1" x14ac:dyDescent="0.25">
      <c r="A180" s="3" t="s">
        <v>1878</v>
      </c>
      <c r="B180" s="3">
        <v>0</v>
      </c>
      <c r="C180" s="3">
        <v>1</v>
      </c>
      <c r="D180" s="3" t="s">
        <v>691</v>
      </c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</row>
    <row r="181" spans="1:30" s="3" customFormat="1" x14ac:dyDescent="0.25">
      <c r="A181" s="3" t="s">
        <v>1879</v>
      </c>
      <c r="B181" s="3">
        <v>0</v>
      </c>
      <c r="C181" s="3">
        <v>1</v>
      </c>
      <c r="D181" s="3" t="s">
        <v>724</v>
      </c>
      <c r="E181" s="3" t="s">
        <v>690</v>
      </c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</row>
    <row r="182" spans="1:30" s="3" customFormat="1" x14ac:dyDescent="0.25">
      <c r="A182" s="3" t="s">
        <v>1880</v>
      </c>
      <c r="B182" s="3">
        <v>0</v>
      </c>
      <c r="C182" s="3">
        <v>1</v>
      </c>
      <c r="D182" s="3" t="s">
        <v>695</v>
      </c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</row>
    <row r="183" spans="1:30" s="3" customFormat="1" x14ac:dyDescent="0.25">
      <c r="A183" s="3" t="s">
        <v>1881</v>
      </c>
      <c r="B183" s="3">
        <v>0</v>
      </c>
      <c r="C183" s="3">
        <v>1</v>
      </c>
      <c r="D183" s="3" t="s">
        <v>695</v>
      </c>
      <c r="H183" t="s">
        <v>2287</v>
      </c>
      <c r="I183" t="s">
        <v>2272</v>
      </c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</row>
    <row r="184" spans="1:30" s="3" customFormat="1" x14ac:dyDescent="0.25">
      <c r="A184" s="3" t="s">
        <v>2247</v>
      </c>
      <c r="B184" s="3">
        <v>0</v>
      </c>
      <c r="C184" s="3">
        <v>1</v>
      </c>
      <c r="D184" s="3" t="s">
        <v>1788</v>
      </c>
      <c r="E184" s="3" t="s">
        <v>994</v>
      </c>
      <c r="F184" s="3" t="s">
        <v>1255</v>
      </c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</row>
    <row r="185" spans="1:30" s="3" customFormat="1" x14ac:dyDescent="0.25">
      <c r="A185" s="3" t="s">
        <v>1882</v>
      </c>
      <c r="B185" s="3">
        <v>0</v>
      </c>
      <c r="C185" s="3">
        <v>1</v>
      </c>
      <c r="D185" s="3" t="s">
        <v>714</v>
      </c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</row>
    <row r="186" spans="1:30" s="3" customFormat="1" x14ac:dyDescent="0.25">
      <c r="A186" s="3" t="s">
        <v>1883</v>
      </c>
      <c r="B186" s="3">
        <v>0</v>
      </c>
      <c r="C186" s="3">
        <v>1</v>
      </c>
      <c r="D186" s="3" t="s">
        <v>2011</v>
      </c>
      <c r="H186" t="s">
        <v>2286</v>
      </c>
      <c r="I186" t="s">
        <v>2272</v>
      </c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</row>
    <row r="187" spans="1:30" s="3" customFormat="1" x14ac:dyDescent="0.25">
      <c r="A187" s="3" t="s">
        <v>1884</v>
      </c>
      <c r="B187" s="3">
        <v>0</v>
      </c>
      <c r="C187" s="3">
        <v>1</v>
      </c>
      <c r="D187" s="3" t="s">
        <v>691</v>
      </c>
      <c r="H187" t="s">
        <v>2285</v>
      </c>
      <c r="I187" t="s">
        <v>2272</v>
      </c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</row>
    <row r="188" spans="1:30" s="3" customFormat="1" x14ac:dyDescent="0.25">
      <c r="A188" s="3" t="s">
        <v>1885</v>
      </c>
      <c r="B188" s="3">
        <v>0</v>
      </c>
      <c r="C188" s="3">
        <v>1</v>
      </c>
      <c r="D188" s="3" t="s">
        <v>695</v>
      </c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</row>
    <row r="189" spans="1:30" s="3" customFormat="1" x14ac:dyDescent="0.25">
      <c r="A189" s="3" t="s">
        <v>1886</v>
      </c>
      <c r="B189" s="3">
        <v>0</v>
      </c>
      <c r="C189" s="3">
        <v>1</v>
      </c>
      <c r="D189" s="3" t="s">
        <v>1788</v>
      </c>
      <c r="E189" s="3" t="s">
        <v>994</v>
      </c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</row>
    <row r="190" spans="1:30" s="3" customFormat="1" x14ac:dyDescent="0.25">
      <c r="A190" s="3" t="s">
        <v>1887</v>
      </c>
      <c r="B190" s="3">
        <v>0</v>
      </c>
      <c r="C190" s="3">
        <v>1</v>
      </c>
      <c r="D190" s="3" t="s">
        <v>690</v>
      </c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</row>
    <row r="191" spans="1:30" s="3" customFormat="1" x14ac:dyDescent="0.25">
      <c r="A191" s="3" t="s">
        <v>1888</v>
      </c>
      <c r="B191" s="3">
        <v>0</v>
      </c>
      <c r="C191" s="3">
        <v>1</v>
      </c>
      <c r="D191" s="3" t="s">
        <v>724</v>
      </c>
      <c r="E191" s="3" t="s">
        <v>690</v>
      </c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</row>
    <row r="192" spans="1:30" s="3" customFormat="1" x14ac:dyDescent="0.25">
      <c r="A192" s="3" t="s">
        <v>1889</v>
      </c>
      <c r="B192" s="3">
        <v>0</v>
      </c>
      <c r="C192" s="3">
        <v>1</v>
      </c>
      <c r="D192" s="3" t="s">
        <v>724</v>
      </c>
      <c r="E192" s="3" t="s">
        <v>690</v>
      </c>
      <c r="H192" t="s">
        <v>2273</v>
      </c>
      <c r="I192" t="s">
        <v>2272</v>
      </c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</row>
    <row r="193" spans="1:30" s="3" customFormat="1" x14ac:dyDescent="0.25">
      <c r="A193" s="3" t="s">
        <v>1890</v>
      </c>
      <c r="B193" s="3">
        <v>0</v>
      </c>
      <c r="C193" s="3">
        <v>1</v>
      </c>
      <c r="D193" s="3" t="s">
        <v>698</v>
      </c>
      <c r="H193" t="s">
        <v>2284</v>
      </c>
      <c r="I193" t="s">
        <v>2272</v>
      </c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</row>
    <row r="194" spans="1:30" s="3" customFormat="1" x14ac:dyDescent="0.25">
      <c r="A194" s="3" t="s">
        <v>1891</v>
      </c>
      <c r="B194" s="3">
        <v>0</v>
      </c>
      <c r="C194" s="3">
        <v>1</v>
      </c>
      <c r="D194" s="3" t="s">
        <v>918</v>
      </c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</row>
    <row r="195" spans="1:30" s="3" customFormat="1" x14ac:dyDescent="0.25">
      <c r="A195" s="3" t="s">
        <v>1892</v>
      </c>
      <c r="B195" s="3">
        <v>0</v>
      </c>
      <c r="C195" s="3">
        <v>1</v>
      </c>
      <c r="D195" s="3" t="s">
        <v>698</v>
      </c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</row>
    <row r="196" spans="1:30" s="3" customFormat="1" x14ac:dyDescent="0.25">
      <c r="A196" s="3" t="s">
        <v>1893</v>
      </c>
      <c r="B196" s="3">
        <v>0</v>
      </c>
      <c r="C196" s="3">
        <v>1</v>
      </c>
      <c r="D196" s="3" t="s">
        <v>698</v>
      </c>
      <c r="H196" t="s">
        <v>2266</v>
      </c>
      <c r="I196" t="s">
        <v>2272</v>
      </c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</row>
    <row r="197" spans="1:30" s="3" customFormat="1" x14ac:dyDescent="0.25">
      <c r="A197" s="3" t="s">
        <v>1242</v>
      </c>
      <c r="B197" s="3">
        <v>0</v>
      </c>
      <c r="C197" s="3">
        <v>1</v>
      </c>
      <c r="D197" s="3" t="s">
        <v>724</v>
      </c>
      <c r="E197" s="3" t="s">
        <v>690</v>
      </c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</row>
    <row r="198" spans="1:30" s="3" customFormat="1" x14ac:dyDescent="0.25">
      <c r="A198" s="3" t="s">
        <v>1894</v>
      </c>
      <c r="B198" s="3">
        <v>0</v>
      </c>
      <c r="C198" s="3">
        <v>1</v>
      </c>
      <c r="D198" s="3" t="s">
        <v>690</v>
      </c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</row>
    <row r="199" spans="1:30" s="3" customFormat="1" x14ac:dyDescent="0.25">
      <c r="A199" s="3" t="s">
        <v>1895</v>
      </c>
      <c r="B199" s="3">
        <v>0</v>
      </c>
      <c r="C199" s="3">
        <v>1</v>
      </c>
      <c r="D199" s="3" t="s">
        <v>691</v>
      </c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</row>
    <row r="200" spans="1:30" s="3" customFormat="1" x14ac:dyDescent="0.25">
      <c r="A200" s="3" t="s">
        <v>1896</v>
      </c>
      <c r="B200" s="3">
        <v>0</v>
      </c>
      <c r="C200" s="3">
        <v>1</v>
      </c>
      <c r="D200" s="3" t="s">
        <v>690</v>
      </c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</row>
    <row r="201" spans="1:30" s="3" customFormat="1" x14ac:dyDescent="0.25">
      <c r="A201" s="3" t="s">
        <v>1897</v>
      </c>
      <c r="B201" s="3">
        <v>0</v>
      </c>
      <c r="C201" s="3">
        <v>1</v>
      </c>
      <c r="D201" s="3" t="s">
        <v>1037</v>
      </c>
      <c r="E201" s="3" t="s">
        <v>690</v>
      </c>
      <c r="H201" t="s">
        <v>2266</v>
      </c>
      <c r="I201" s="3" t="s">
        <v>2272</v>
      </c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</row>
    <row r="202" spans="1:30" s="3" customFormat="1" x14ac:dyDescent="0.25">
      <c r="A202" s="3" t="s">
        <v>1898</v>
      </c>
      <c r="B202" s="3">
        <v>0</v>
      </c>
      <c r="C202" s="3">
        <v>1</v>
      </c>
      <c r="D202" s="3" t="s">
        <v>918</v>
      </c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</row>
    <row r="203" spans="1:30" s="3" customFormat="1" x14ac:dyDescent="0.25">
      <c r="A203" s="3" t="s">
        <v>1899</v>
      </c>
      <c r="B203" s="3">
        <v>0</v>
      </c>
      <c r="C203" s="3">
        <v>1</v>
      </c>
      <c r="D203" s="3" t="s">
        <v>695</v>
      </c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</row>
    <row r="204" spans="1:30" s="3" customFormat="1" x14ac:dyDescent="0.25">
      <c r="A204" s="3" t="s">
        <v>1900</v>
      </c>
      <c r="B204" s="3">
        <v>0</v>
      </c>
      <c r="C204" s="3">
        <v>1</v>
      </c>
      <c r="D204" s="3" t="s">
        <v>695</v>
      </c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</row>
    <row r="205" spans="1:30" s="3" customFormat="1" x14ac:dyDescent="0.25">
      <c r="A205" s="3" t="s">
        <v>1233</v>
      </c>
      <c r="B205" s="3">
        <v>0</v>
      </c>
      <c r="C205" s="3">
        <v>1</v>
      </c>
      <c r="D205" s="3" t="s">
        <v>703</v>
      </c>
      <c r="E205" s="3" t="s">
        <v>690</v>
      </c>
      <c r="H205" t="s">
        <v>2283</v>
      </c>
      <c r="I205" t="s">
        <v>2272</v>
      </c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</row>
    <row r="206" spans="1:30" s="3" customFormat="1" x14ac:dyDescent="0.25">
      <c r="A206" s="3" t="s">
        <v>1901</v>
      </c>
      <c r="B206" s="3">
        <v>0</v>
      </c>
      <c r="C206" s="3">
        <v>1</v>
      </c>
      <c r="D206" s="3" t="s">
        <v>740</v>
      </c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</row>
    <row r="207" spans="1:30" s="3" customFormat="1" x14ac:dyDescent="0.25">
      <c r="A207" s="3" t="s">
        <v>1241</v>
      </c>
      <c r="B207" s="3">
        <v>0</v>
      </c>
      <c r="C207" s="3">
        <v>1</v>
      </c>
      <c r="D207" s="3" t="s">
        <v>740</v>
      </c>
      <c r="H207" t="s">
        <v>2282</v>
      </c>
      <c r="I207" t="s">
        <v>2272</v>
      </c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</row>
    <row r="208" spans="1:30" s="3" customFormat="1" x14ac:dyDescent="0.25">
      <c r="A208" s="3" t="s">
        <v>1902</v>
      </c>
      <c r="B208" s="3">
        <v>0</v>
      </c>
      <c r="C208" s="3">
        <v>1</v>
      </c>
      <c r="D208" s="3" t="s">
        <v>994</v>
      </c>
      <c r="H208" t="s">
        <v>2268</v>
      </c>
      <c r="I208" t="s">
        <v>2272</v>
      </c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</row>
    <row r="209" spans="1:30" s="3" customFormat="1" x14ac:dyDescent="0.25">
      <c r="A209" s="3" t="s">
        <v>1903</v>
      </c>
      <c r="B209" s="3">
        <v>0</v>
      </c>
      <c r="C209" s="3">
        <v>1</v>
      </c>
      <c r="D209" s="3" t="s">
        <v>918</v>
      </c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</row>
    <row r="210" spans="1:30" s="3" customFormat="1" x14ac:dyDescent="0.25">
      <c r="A210" s="3" t="s">
        <v>2256</v>
      </c>
      <c r="B210" s="3">
        <v>0</v>
      </c>
      <c r="C210" s="3">
        <v>1</v>
      </c>
      <c r="D210" s="3" t="s">
        <v>2258</v>
      </c>
      <c r="E210" s="3" t="s">
        <v>962</v>
      </c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</row>
    <row r="211" spans="1:30" s="3" customFormat="1" x14ac:dyDescent="0.25">
      <c r="A211" s="3" t="s">
        <v>2255</v>
      </c>
      <c r="B211" s="3">
        <v>0</v>
      </c>
      <c r="C211" s="3">
        <v>1</v>
      </c>
      <c r="D211" s="3" t="s">
        <v>2258</v>
      </c>
      <c r="E211" s="3" t="s">
        <v>962</v>
      </c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</row>
    <row r="212" spans="1:30" s="3" customFormat="1" x14ac:dyDescent="0.25">
      <c r="A212" s="3" t="s">
        <v>1904</v>
      </c>
      <c r="B212" s="3">
        <v>0</v>
      </c>
      <c r="C212" s="3">
        <v>1</v>
      </c>
      <c r="D212" s="3" t="s">
        <v>918</v>
      </c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</row>
    <row r="213" spans="1:30" s="3" customFormat="1" x14ac:dyDescent="0.25">
      <c r="A213" s="3" t="s">
        <v>1905</v>
      </c>
      <c r="B213" s="3">
        <v>0</v>
      </c>
      <c r="C213" s="3">
        <v>1</v>
      </c>
      <c r="D213" s="3" t="s">
        <v>918</v>
      </c>
      <c r="H213" t="s">
        <v>2273</v>
      </c>
      <c r="I213" t="s">
        <v>2272</v>
      </c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</row>
    <row r="214" spans="1:30" s="3" customFormat="1" x14ac:dyDescent="0.25">
      <c r="A214" s="3" t="s">
        <v>2274</v>
      </c>
      <c r="B214" s="3">
        <v>0</v>
      </c>
      <c r="C214" s="3">
        <v>1</v>
      </c>
      <c r="D214" s="3" t="s">
        <v>918</v>
      </c>
      <c r="H214" t="s">
        <v>2275</v>
      </c>
      <c r="I214" t="s">
        <v>2276</v>
      </c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</row>
    <row r="215" spans="1:30" s="3" customFormat="1" x14ac:dyDescent="0.25">
      <c r="A215" s="3" t="s">
        <v>1238</v>
      </c>
      <c r="B215" s="3">
        <v>0</v>
      </c>
      <c r="C215" s="3">
        <v>1</v>
      </c>
      <c r="D215" s="3" t="s">
        <v>691</v>
      </c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</row>
    <row r="216" spans="1:30" s="3" customFormat="1" x14ac:dyDescent="0.25">
      <c r="A216" s="3" t="s">
        <v>1232</v>
      </c>
      <c r="B216" s="3">
        <v>0</v>
      </c>
      <c r="C216" s="3">
        <v>1</v>
      </c>
      <c r="D216" s="3" t="s">
        <v>690</v>
      </c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</row>
    <row r="217" spans="1:30" s="3" customFormat="1" x14ac:dyDescent="0.25">
      <c r="A217" s="3" t="s">
        <v>1231</v>
      </c>
      <c r="B217" s="3">
        <v>0</v>
      </c>
      <c r="C217" s="3">
        <v>1</v>
      </c>
      <c r="D217" s="3" t="s">
        <v>735</v>
      </c>
      <c r="E217" s="3" t="s">
        <v>698</v>
      </c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</row>
    <row r="218" spans="1:30" s="3" customFormat="1" x14ac:dyDescent="0.25">
      <c r="A218" s="3" t="s">
        <v>1906</v>
      </c>
      <c r="B218" s="3">
        <v>0</v>
      </c>
      <c r="C218" s="3">
        <v>1</v>
      </c>
      <c r="D218" s="3" t="s">
        <v>918</v>
      </c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</row>
    <row r="219" spans="1:30" s="3" customFormat="1" x14ac:dyDescent="0.25">
      <c r="A219" s="3" t="s">
        <v>2245</v>
      </c>
      <c r="B219" s="3">
        <v>0</v>
      </c>
      <c r="C219" s="3">
        <v>1</v>
      </c>
      <c r="D219" s="3" t="s">
        <v>696</v>
      </c>
      <c r="F219" s="3" t="s">
        <v>1255</v>
      </c>
      <c r="H219" t="s">
        <v>2281</v>
      </c>
      <c r="I219" s="3" t="s">
        <v>2271</v>
      </c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</row>
    <row r="220" spans="1:30" s="3" customFormat="1" x14ac:dyDescent="0.25">
      <c r="A220" s="3" t="s">
        <v>2246</v>
      </c>
      <c r="B220" s="3">
        <v>0</v>
      </c>
      <c r="C220" s="3">
        <v>1</v>
      </c>
      <c r="D220" s="3" t="s">
        <v>696</v>
      </c>
      <c r="F220" s="3" t="s">
        <v>1255</v>
      </c>
      <c r="H220" t="s">
        <v>2269</v>
      </c>
      <c r="I220" s="3" t="s">
        <v>2272</v>
      </c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</row>
    <row r="221" spans="1:30" s="3" customFormat="1" x14ac:dyDescent="0.25">
      <c r="A221" s="3" t="s">
        <v>1907</v>
      </c>
      <c r="B221" s="3">
        <v>0</v>
      </c>
      <c r="C221" s="3">
        <v>1</v>
      </c>
      <c r="D221" s="3" t="s">
        <v>695</v>
      </c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</row>
    <row r="222" spans="1:30" s="3" customFormat="1" x14ac:dyDescent="0.25">
      <c r="A222" s="3" t="s">
        <v>2257</v>
      </c>
      <c r="B222" s="3">
        <v>0</v>
      </c>
      <c r="C222" s="3">
        <v>1</v>
      </c>
      <c r="D222" s="3" t="s">
        <v>2258</v>
      </c>
      <c r="E222" s="3" t="s">
        <v>962</v>
      </c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</row>
    <row r="223" spans="1:30" s="3" customFormat="1" x14ac:dyDescent="0.25">
      <c r="A223" s="3" t="s">
        <v>1908</v>
      </c>
      <c r="B223" s="3">
        <v>0</v>
      </c>
      <c r="C223" s="3">
        <v>1</v>
      </c>
      <c r="D223" s="3" t="s">
        <v>698</v>
      </c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</row>
    <row r="224" spans="1:30" s="3" customFormat="1" x14ac:dyDescent="0.25">
      <c r="A224" s="3" t="s">
        <v>1909</v>
      </c>
      <c r="B224" s="3">
        <v>0</v>
      </c>
      <c r="C224" s="3">
        <v>1</v>
      </c>
      <c r="D224" s="3" t="s">
        <v>918</v>
      </c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</row>
    <row r="225" spans="1:30" s="3" customFormat="1" x14ac:dyDescent="0.25">
      <c r="A225" s="3" t="s">
        <v>1230</v>
      </c>
      <c r="B225" s="3">
        <v>0</v>
      </c>
      <c r="C225" s="3">
        <v>1</v>
      </c>
      <c r="D225" s="3" t="s">
        <v>698</v>
      </c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</row>
    <row r="226" spans="1:30" s="3" customFormat="1" x14ac:dyDescent="0.25">
      <c r="A226" s="3" t="s">
        <v>1910</v>
      </c>
      <c r="B226" s="3">
        <v>0</v>
      </c>
      <c r="C226" s="3">
        <v>1</v>
      </c>
      <c r="D226" s="3" t="s">
        <v>691</v>
      </c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</row>
    <row r="227" spans="1:30" s="3" customFormat="1" x14ac:dyDescent="0.25">
      <c r="A227" s="3" t="s">
        <v>1239</v>
      </c>
      <c r="B227" s="3">
        <v>0</v>
      </c>
      <c r="C227" s="3">
        <v>1</v>
      </c>
      <c r="D227" s="3" t="s">
        <v>691</v>
      </c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</row>
    <row r="228" spans="1:30" s="3" customFormat="1" x14ac:dyDescent="0.25">
      <c r="A228" s="3" t="s">
        <v>1228</v>
      </c>
      <c r="B228" s="3">
        <v>1</v>
      </c>
      <c r="C228" s="3">
        <v>1</v>
      </c>
      <c r="D228" s="3" t="s">
        <v>1788</v>
      </c>
      <c r="E228" s="3" t="s">
        <v>994</v>
      </c>
      <c r="F228" s="3" t="s">
        <v>1255</v>
      </c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</row>
    <row r="229" spans="1:30" s="3" customFormat="1" x14ac:dyDescent="0.25">
      <c r="A229" s="3" t="s">
        <v>716</v>
      </c>
      <c r="B229" s="3">
        <v>1</v>
      </c>
      <c r="C229" s="3">
        <v>1</v>
      </c>
      <c r="D229" s="3" t="s">
        <v>716</v>
      </c>
      <c r="E229" s="3" t="s">
        <v>2011</v>
      </c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</row>
    <row r="230" spans="1:30" s="3" customFormat="1" x14ac:dyDescent="0.25">
      <c r="A230" s="3" t="s">
        <v>1220</v>
      </c>
      <c r="B230" s="3">
        <v>1</v>
      </c>
      <c r="C230" s="3">
        <v>1</v>
      </c>
      <c r="D230" s="3" t="s">
        <v>1788</v>
      </c>
      <c r="E230" s="3" t="s">
        <v>994</v>
      </c>
      <c r="F230" s="3" t="s">
        <v>1255</v>
      </c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</row>
    <row r="231" spans="1:30" s="3" customFormat="1" x14ac:dyDescent="0.25">
      <c r="A231" s="3" t="s">
        <v>1221</v>
      </c>
      <c r="B231" s="3">
        <v>1</v>
      </c>
      <c r="C231" s="3">
        <v>1</v>
      </c>
      <c r="D231" s="3" t="s">
        <v>1788</v>
      </c>
      <c r="E231" s="3" t="s">
        <v>994</v>
      </c>
      <c r="F231" s="3" t="s">
        <v>1255</v>
      </c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</row>
    <row r="232" spans="1:30" s="3" customFormat="1" x14ac:dyDescent="0.25">
      <c r="A232" s="3" t="s">
        <v>1222</v>
      </c>
      <c r="B232" s="3">
        <v>1</v>
      </c>
      <c r="C232" s="3">
        <v>1</v>
      </c>
      <c r="D232" s="3" t="s">
        <v>1788</v>
      </c>
      <c r="E232" s="3" t="s">
        <v>994</v>
      </c>
      <c r="F232" s="3" t="s">
        <v>1255</v>
      </c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</row>
    <row r="233" spans="1:30" s="3" customFormat="1" x14ac:dyDescent="0.25">
      <c r="A233" s="3" t="s">
        <v>1227</v>
      </c>
      <c r="B233" s="3">
        <v>1</v>
      </c>
      <c r="C233" s="3">
        <v>1</v>
      </c>
      <c r="D233" s="3" t="s">
        <v>1788</v>
      </c>
      <c r="E233" s="3" t="s">
        <v>994</v>
      </c>
      <c r="F233" s="3" t="s">
        <v>1255</v>
      </c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</row>
    <row r="234" spans="1:30" s="3" customFormat="1" x14ac:dyDescent="0.25">
      <c r="A234" s="3" t="s">
        <v>1223</v>
      </c>
      <c r="B234" s="3">
        <v>1</v>
      </c>
      <c r="C234" s="3">
        <v>1</v>
      </c>
      <c r="D234" s="3" t="s">
        <v>1788</v>
      </c>
      <c r="E234" s="3" t="s">
        <v>994</v>
      </c>
      <c r="F234" s="3" t="s">
        <v>1255</v>
      </c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</row>
    <row r="235" spans="1:30" s="3" customFormat="1" x14ac:dyDescent="0.25">
      <c r="A235" s="3" t="s">
        <v>1224</v>
      </c>
      <c r="B235" s="3">
        <v>1</v>
      </c>
      <c r="C235" s="3">
        <v>1</v>
      </c>
      <c r="D235" s="3" t="s">
        <v>1788</v>
      </c>
      <c r="E235" s="3" t="s">
        <v>994</v>
      </c>
      <c r="F235" s="3" t="s">
        <v>1255</v>
      </c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</row>
    <row r="236" spans="1:30" s="3" customFormat="1" x14ac:dyDescent="0.25">
      <c r="A236" s="3" t="s">
        <v>1226</v>
      </c>
      <c r="B236" s="3">
        <v>1</v>
      </c>
      <c r="C236" s="3">
        <v>1</v>
      </c>
      <c r="D236" s="3" t="s">
        <v>1788</v>
      </c>
      <c r="E236" s="3" t="s">
        <v>994</v>
      </c>
      <c r="F236" s="3" t="s">
        <v>1255</v>
      </c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</row>
    <row r="237" spans="1:30" s="3" customFormat="1" x14ac:dyDescent="0.25">
      <c r="A237" s="3" t="s">
        <v>1225</v>
      </c>
      <c r="B237" s="3">
        <v>1</v>
      </c>
      <c r="C237" s="3">
        <v>1</v>
      </c>
      <c r="D237" s="3" t="s">
        <v>1788</v>
      </c>
      <c r="E237" s="3" t="s">
        <v>994</v>
      </c>
      <c r="F237" s="3" t="s">
        <v>1255</v>
      </c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</row>
  </sheetData>
  <sheetProtection insertRows="0" deleteRows="0" selectLockedCells="1" sort="0" autoFilter="0"/>
  <pageMargins left="0.7" right="0.7" top="0.75" bottom="0.75" header="0.3" footer="0.3"/>
  <pageSetup scale="62" fitToHeight="0" orientation="portrait" horizontalDpi="1200" verticalDpi="1200" r:id="rId1"/>
  <headerFooter>
    <oddHeader>&amp;A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StyleBtn">
              <controlPr defaultSize="0" print="0" autoFill="0" autoPict="0" macro="[0]!Sheet4.StyleSQL">
                <anchor moveWithCells="1" sizeWithCells="1">
                  <from>
                    <xdr:col>0</xdr:col>
                    <xdr:colOff>57150</xdr:colOff>
                    <xdr:row>1</xdr:row>
                    <xdr:rowOff>57150</xdr:rowOff>
                  </from>
                  <to>
                    <xdr:col>0</xdr:col>
                    <xdr:colOff>1562100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tyleAutosave">
              <controlPr defaultSize="0" print="0" autoFill="0" autoLine="0" autoPict="0">
                <anchor moveWithCells="1">
                  <from>
                    <xdr:col>0</xdr:col>
                    <xdr:colOff>28575</xdr:colOff>
                    <xdr:row>2</xdr:row>
                    <xdr:rowOff>152400</xdr:rowOff>
                  </from>
                  <to>
                    <xdr:col>1</xdr:col>
                    <xdr:colOff>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25"/>
  <sheetViews>
    <sheetView zoomScale="70" zoomScaleNormal="70" workbookViewId="0">
      <selection activeCell="A2" sqref="A2"/>
    </sheetView>
  </sheetViews>
  <sheetFormatPr defaultRowHeight="15" x14ac:dyDescent="0.25"/>
  <cols>
    <col min="1" max="1" width="32.85546875" style="153" bestFit="1" customWidth="1"/>
    <col min="2" max="4" width="11" style="153" customWidth="1"/>
    <col min="5" max="5" width="11" style="153" bestFit="1" customWidth="1"/>
    <col min="6" max="6" width="18.5703125" style="153" bestFit="1" customWidth="1"/>
    <col min="7" max="7" width="14" style="153" bestFit="1" customWidth="1"/>
    <col min="8" max="16384" width="9.140625" style="153"/>
  </cols>
  <sheetData>
    <row r="1" spans="1:7" s="159" customFormat="1" x14ac:dyDescent="0.25">
      <c r="A1" s="159" t="s">
        <v>2022</v>
      </c>
      <c r="B1" s="159" t="s">
        <v>1920</v>
      </c>
      <c r="C1" s="159" t="s">
        <v>2024</v>
      </c>
      <c r="D1" s="159" t="s">
        <v>1969</v>
      </c>
      <c r="E1" s="159" t="s">
        <v>2023</v>
      </c>
      <c r="F1" s="159" t="s">
        <v>2267</v>
      </c>
      <c r="G1" s="159" t="s">
        <v>2270</v>
      </c>
    </row>
    <row r="2" spans="1:7" x14ac:dyDescent="0.25">
      <c r="A2" s="154" t="s">
        <v>1153</v>
      </c>
      <c r="B2" s="153">
        <v>0</v>
      </c>
      <c r="C2" s="153">
        <v>0</v>
      </c>
      <c r="D2" s="153">
        <v>0</v>
      </c>
      <c r="E2" s="153">
        <v>0</v>
      </c>
    </row>
    <row r="3" spans="1:7" x14ac:dyDescent="0.25">
      <c r="A3" s="155" t="s">
        <v>2034</v>
      </c>
      <c r="B3" s="153">
        <v>0</v>
      </c>
      <c r="C3" s="153">
        <v>0</v>
      </c>
      <c r="D3" s="153">
        <v>0</v>
      </c>
      <c r="E3" s="153">
        <v>0</v>
      </c>
    </row>
    <row r="4" spans="1:7" x14ac:dyDescent="0.25">
      <c r="A4" s="155" t="s">
        <v>2035</v>
      </c>
      <c r="B4" s="153">
        <v>0</v>
      </c>
      <c r="C4" s="153">
        <v>0</v>
      </c>
      <c r="D4" s="153">
        <v>0</v>
      </c>
      <c r="E4" s="153">
        <v>0</v>
      </c>
    </row>
    <row r="5" spans="1:7" x14ac:dyDescent="0.25">
      <c r="A5" s="155" t="s">
        <v>2036</v>
      </c>
      <c r="B5" s="153">
        <v>0</v>
      </c>
      <c r="C5" s="153">
        <v>0</v>
      </c>
      <c r="D5" s="156">
        <v>0</v>
      </c>
      <c r="E5" s="153">
        <v>0</v>
      </c>
    </row>
    <row r="6" spans="1:7" x14ac:dyDescent="0.25">
      <c r="A6" s="154" t="s">
        <v>1152</v>
      </c>
      <c r="B6" s="153">
        <v>0</v>
      </c>
      <c r="C6" s="153">
        <v>0</v>
      </c>
      <c r="D6" s="156">
        <v>0</v>
      </c>
      <c r="E6" s="153">
        <v>0</v>
      </c>
    </row>
    <row r="7" spans="1:7" x14ac:dyDescent="0.25">
      <c r="A7" s="155" t="s">
        <v>1154</v>
      </c>
      <c r="B7" s="153">
        <v>0</v>
      </c>
      <c r="C7" s="153">
        <v>0</v>
      </c>
      <c r="D7" s="153">
        <v>1</v>
      </c>
      <c r="E7" s="153">
        <v>0</v>
      </c>
    </row>
    <row r="8" spans="1:7" x14ac:dyDescent="0.25">
      <c r="A8" s="155" t="s">
        <v>2026</v>
      </c>
      <c r="B8" s="153">
        <v>0</v>
      </c>
      <c r="C8" s="153">
        <v>0</v>
      </c>
      <c r="D8" s="153">
        <v>1</v>
      </c>
      <c r="E8" s="153">
        <v>4</v>
      </c>
    </row>
    <row r="9" spans="1:7" x14ac:dyDescent="0.25">
      <c r="A9" s="154" t="s">
        <v>1103</v>
      </c>
      <c r="B9" s="153">
        <v>0</v>
      </c>
      <c r="C9" s="153">
        <v>0</v>
      </c>
      <c r="D9" s="156">
        <v>0</v>
      </c>
      <c r="E9" s="156">
        <v>0</v>
      </c>
    </row>
    <row r="10" spans="1:7" x14ac:dyDescent="0.25">
      <c r="A10" s="154" t="s">
        <v>1104</v>
      </c>
      <c r="B10" s="153">
        <v>0</v>
      </c>
      <c r="C10" s="153">
        <v>0</v>
      </c>
      <c r="D10" s="156">
        <v>0</v>
      </c>
      <c r="E10" s="156">
        <v>0</v>
      </c>
    </row>
    <row r="11" spans="1:7" x14ac:dyDescent="0.25">
      <c r="A11" s="154" t="s">
        <v>6</v>
      </c>
      <c r="B11" s="153">
        <v>0</v>
      </c>
      <c r="C11" s="153">
        <v>0</v>
      </c>
      <c r="D11" s="156">
        <v>0</v>
      </c>
      <c r="E11" s="156">
        <v>0</v>
      </c>
    </row>
    <row r="12" spans="1:7" x14ac:dyDescent="0.25">
      <c r="A12" s="154" t="s">
        <v>44</v>
      </c>
      <c r="B12" s="153">
        <v>0</v>
      </c>
      <c r="C12" s="153">
        <v>0</v>
      </c>
      <c r="D12" s="156">
        <v>0</v>
      </c>
      <c r="E12" s="156">
        <v>0</v>
      </c>
    </row>
    <row r="13" spans="1:7" x14ac:dyDescent="0.25">
      <c r="A13" s="154" t="s">
        <v>43</v>
      </c>
      <c r="B13" s="153">
        <v>0</v>
      </c>
      <c r="C13" s="153">
        <v>0</v>
      </c>
      <c r="D13" s="156">
        <v>0</v>
      </c>
      <c r="E13" s="156">
        <v>0</v>
      </c>
    </row>
    <row r="14" spans="1:7" x14ac:dyDescent="0.25">
      <c r="A14" s="155" t="s">
        <v>1124</v>
      </c>
      <c r="B14" s="153">
        <v>0</v>
      </c>
      <c r="C14" s="153">
        <v>0</v>
      </c>
      <c r="D14" s="153">
        <v>1</v>
      </c>
      <c r="E14" s="156">
        <v>0</v>
      </c>
    </row>
    <row r="15" spans="1:7" x14ac:dyDescent="0.25">
      <c r="A15" s="155" t="s">
        <v>2027</v>
      </c>
      <c r="B15" s="153">
        <v>0</v>
      </c>
      <c r="C15" s="153">
        <v>0</v>
      </c>
      <c r="D15" s="153">
        <v>1</v>
      </c>
      <c r="E15" s="153">
        <v>4</v>
      </c>
    </row>
    <row r="16" spans="1:7" x14ac:dyDescent="0.25">
      <c r="A16" s="154" t="s">
        <v>1105</v>
      </c>
      <c r="B16" s="153">
        <v>0</v>
      </c>
      <c r="C16" s="153">
        <v>0</v>
      </c>
      <c r="D16" s="156">
        <v>0</v>
      </c>
      <c r="E16" s="156">
        <v>0</v>
      </c>
    </row>
    <row r="17" spans="1:5" x14ac:dyDescent="0.25">
      <c r="A17" s="154" t="s">
        <v>41</v>
      </c>
      <c r="B17" s="153">
        <v>0</v>
      </c>
      <c r="C17" s="153">
        <v>0</v>
      </c>
      <c r="D17" s="156">
        <v>0</v>
      </c>
      <c r="E17" s="156">
        <v>0</v>
      </c>
    </row>
    <row r="18" spans="1:5" x14ac:dyDescent="0.25">
      <c r="A18" s="154" t="s">
        <v>1112</v>
      </c>
      <c r="B18" s="153">
        <v>0</v>
      </c>
      <c r="C18" s="153">
        <v>0</v>
      </c>
      <c r="D18" s="156">
        <v>0</v>
      </c>
      <c r="E18" s="156">
        <v>0</v>
      </c>
    </row>
    <row r="19" spans="1:5" x14ac:dyDescent="0.25">
      <c r="A19" s="154" t="s">
        <v>40</v>
      </c>
      <c r="B19" s="153">
        <v>0</v>
      </c>
      <c r="C19" s="153">
        <v>0</v>
      </c>
      <c r="D19" s="156">
        <v>0</v>
      </c>
      <c r="E19" s="156">
        <v>0</v>
      </c>
    </row>
    <row r="20" spans="1:5" x14ac:dyDescent="0.25">
      <c r="A20" s="154" t="s">
        <v>39</v>
      </c>
      <c r="B20" s="153">
        <v>0</v>
      </c>
      <c r="C20" s="153">
        <v>0</v>
      </c>
      <c r="D20" s="156">
        <v>0</v>
      </c>
      <c r="E20" s="156">
        <v>0</v>
      </c>
    </row>
    <row r="21" spans="1:5" x14ac:dyDescent="0.25">
      <c r="A21" s="155" t="s">
        <v>2</v>
      </c>
      <c r="B21" s="153">
        <v>0</v>
      </c>
      <c r="C21" s="153">
        <v>0</v>
      </c>
      <c r="D21" s="153">
        <v>1</v>
      </c>
      <c r="E21" s="156">
        <v>0</v>
      </c>
    </row>
    <row r="22" spans="1:5" x14ac:dyDescent="0.25">
      <c r="A22" s="155" t="s">
        <v>2414</v>
      </c>
      <c r="B22" s="153">
        <v>0</v>
      </c>
      <c r="C22" s="153">
        <v>0</v>
      </c>
      <c r="D22" s="153">
        <v>1</v>
      </c>
      <c r="E22" s="153">
        <v>6</v>
      </c>
    </row>
    <row r="23" spans="1:5" x14ac:dyDescent="0.25">
      <c r="A23" s="154" t="s">
        <v>38</v>
      </c>
      <c r="B23" s="153">
        <v>0</v>
      </c>
      <c r="C23" s="153">
        <v>0</v>
      </c>
      <c r="D23" s="156">
        <v>0</v>
      </c>
      <c r="E23" s="156">
        <v>0</v>
      </c>
    </row>
    <row r="24" spans="1:5" x14ac:dyDescent="0.25">
      <c r="A24" s="155" t="s">
        <v>1127</v>
      </c>
      <c r="B24" s="153">
        <v>0</v>
      </c>
      <c r="C24" s="153">
        <v>0</v>
      </c>
      <c r="D24" s="153">
        <v>1</v>
      </c>
      <c r="E24" s="156">
        <v>0</v>
      </c>
    </row>
    <row r="25" spans="1:5" x14ac:dyDescent="0.25">
      <c r="A25" s="155" t="s">
        <v>2413</v>
      </c>
      <c r="B25" s="153">
        <v>0</v>
      </c>
      <c r="C25" s="153">
        <v>0</v>
      </c>
      <c r="D25" s="156">
        <v>1</v>
      </c>
      <c r="E25" s="153">
        <v>6</v>
      </c>
    </row>
    <row r="26" spans="1:5" x14ac:dyDescent="0.25">
      <c r="A26" s="155" t="s">
        <v>2025</v>
      </c>
      <c r="B26" s="153">
        <v>0</v>
      </c>
      <c r="C26" s="153">
        <v>0</v>
      </c>
      <c r="D26" s="156">
        <v>1</v>
      </c>
      <c r="E26" s="153">
        <v>3</v>
      </c>
    </row>
    <row r="27" spans="1:5" x14ac:dyDescent="0.25">
      <c r="A27" s="154" t="s">
        <v>37</v>
      </c>
      <c r="B27" s="153">
        <v>0</v>
      </c>
      <c r="C27" s="153">
        <v>0</v>
      </c>
      <c r="D27" s="156">
        <v>0</v>
      </c>
      <c r="E27" s="156">
        <v>0</v>
      </c>
    </row>
    <row r="28" spans="1:5" x14ac:dyDescent="0.25">
      <c r="A28" s="154" t="s">
        <v>36</v>
      </c>
      <c r="B28" s="153">
        <v>0</v>
      </c>
      <c r="C28" s="153">
        <v>0</v>
      </c>
      <c r="D28" s="156">
        <v>0</v>
      </c>
      <c r="E28" s="156">
        <v>0</v>
      </c>
    </row>
    <row r="29" spans="1:5" x14ac:dyDescent="0.25">
      <c r="A29" s="154" t="s">
        <v>35</v>
      </c>
      <c r="B29" s="153">
        <v>0</v>
      </c>
      <c r="C29" s="153">
        <v>0</v>
      </c>
      <c r="D29" s="156">
        <v>0</v>
      </c>
      <c r="E29" s="156">
        <v>0</v>
      </c>
    </row>
    <row r="30" spans="1:5" x14ac:dyDescent="0.25">
      <c r="A30" s="154" t="s">
        <v>1106</v>
      </c>
      <c r="B30" s="153">
        <v>0</v>
      </c>
      <c r="C30" s="153">
        <v>0</v>
      </c>
      <c r="D30" s="156">
        <v>0</v>
      </c>
      <c r="E30" s="156">
        <v>0</v>
      </c>
    </row>
    <row r="31" spans="1:5" x14ac:dyDescent="0.25">
      <c r="A31" s="154" t="s">
        <v>1273</v>
      </c>
      <c r="B31" s="153">
        <v>0</v>
      </c>
      <c r="C31" s="153">
        <v>0</v>
      </c>
      <c r="D31" s="156">
        <v>0</v>
      </c>
      <c r="E31" s="156">
        <v>0</v>
      </c>
    </row>
    <row r="32" spans="1:5" x14ac:dyDescent="0.25">
      <c r="A32" s="154" t="s">
        <v>34</v>
      </c>
      <c r="B32" s="153">
        <v>0</v>
      </c>
      <c r="C32" s="153">
        <v>0</v>
      </c>
      <c r="D32" s="156">
        <v>0</v>
      </c>
      <c r="E32" s="156">
        <v>0</v>
      </c>
    </row>
    <row r="33" spans="1:5" x14ac:dyDescent="0.25">
      <c r="A33" s="154" t="s">
        <v>33</v>
      </c>
      <c r="B33" s="153">
        <v>0</v>
      </c>
      <c r="C33" s="153">
        <v>0</v>
      </c>
      <c r="D33" s="156">
        <v>0</v>
      </c>
      <c r="E33" s="156">
        <v>0</v>
      </c>
    </row>
    <row r="34" spans="1:5" x14ac:dyDescent="0.25">
      <c r="A34" s="155" t="s">
        <v>1133</v>
      </c>
      <c r="B34" s="153">
        <v>0</v>
      </c>
      <c r="C34" s="153">
        <v>0</v>
      </c>
      <c r="D34" s="153">
        <v>1</v>
      </c>
      <c r="E34" s="156">
        <v>0</v>
      </c>
    </row>
    <row r="35" spans="1:5" x14ac:dyDescent="0.25">
      <c r="A35" s="155" t="s">
        <v>2028</v>
      </c>
      <c r="B35" s="153">
        <v>0</v>
      </c>
      <c r="C35" s="153">
        <v>0</v>
      </c>
      <c r="D35" s="153">
        <v>1</v>
      </c>
      <c r="E35" s="153">
        <v>4</v>
      </c>
    </row>
    <row r="36" spans="1:5" x14ac:dyDescent="0.25">
      <c r="A36" s="154" t="s">
        <v>32</v>
      </c>
      <c r="B36" s="153">
        <v>0</v>
      </c>
      <c r="C36" s="153">
        <v>0</v>
      </c>
      <c r="D36" s="156">
        <v>0</v>
      </c>
      <c r="E36" s="156">
        <v>0</v>
      </c>
    </row>
    <row r="37" spans="1:5" x14ac:dyDescent="0.25">
      <c r="A37" s="154" t="s">
        <v>31</v>
      </c>
      <c r="B37" s="153">
        <v>0</v>
      </c>
      <c r="C37" s="153">
        <v>0</v>
      </c>
      <c r="D37" s="156">
        <v>0</v>
      </c>
      <c r="E37" s="156">
        <v>0</v>
      </c>
    </row>
    <row r="38" spans="1:5" x14ac:dyDescent="0.25">
      <c r="A38" s="154" t="s">
        <v>1278</v>
      </c>
      <c r="B38" s="153">
        <v>0</v>
      </c>
      <c r="C38" s="153">
        <v>0</v>
      </c>
      <c r="D38" s="156">
        <v>0</v>
      </c>
      <c r="E38" s="156">
        <v>0</v>
      </c>
    </row>
    <row r="39" spans="1:5" x14ac:dyDescent="0.25">
      <c r="A39" s="154" t="s">
        <v>1276</v>
      </c>
      <c r="B39" s="153">
        <v>0</v>
      </c>
      <c r="C39" s="153">
        <v>0</v>
      </c>
      <c r="D39" s="156">
        <v>0</v>
      </c>
      <c r="E39" s="156">
        <v>0</v>
      </c>
    </row>
    <row r="40" spans="1:5" x14ac:dyDescent="0.25">
      <c r="A40" s="155" t="s">
        <v>1135</v>
      </c>
      <c r="B40" s="153">
        <v>0</v>
      </c>
      <c r="C40" s="153">
        <v>0</v>
      </c>
      <c r="D40" s="153">
        <v>1</v>
      </c>
      <c r="E40" s="156">
        <v>0</v>
      </c>
    </row>
    <row r="41" spans="1:5" x14ac:dyDescent="0.25">
      <c r="A41" s="155" t="s">
        <v>2029</v>
      </c>
      <c r="B41" s="153">
        <v>0</v>
      </c>
      <c r="C41" s="153">
        <v>0</v>
      </c>
      <c r="D41" s="153">
        <v>1</v>
      </c>
      <c r="E41" s="153">
        <v>4</v>
      </c>
    </row>
    <row r="42" spans="1:5" x14ac:dyDescent="0.25">
      <c r="A42" s="155" t="s">
        <v>1122</v>
      </c>
      <c r="B42" s="153">
        <v>0</v>
      </c>
      <c r="C42" s="153">
        <v>0</v>
      </c>
      <c r="D42" s="153">
        <v>1</v>
      </c>
      <c r="E42" s="156">
        <v>0</v>
      </c>
    </row>
    <row r="43" spans="1:5" x14ac:dyDescent="0.25">
      <c r="A43" s="155" t="s">
        <v>2030</v>
      </c>
      <c r="B43" s="153">
        <v>0</v>
      </c>
      <c r="C43" s="153">
        <v>0</v>
      </c>
      <c r="D43" s="156">
        <v>1</v>
      </c>
      <c r="E43" s="153">
        <v>4</v>
      </c>
    </row>
    <row r="44" spans="1:5" x14ac:dyDescent="0.25">
      <c r="A44" s="155" t="s">
        <v>1132</v>
      </c>
      <c r="B44" s="153">
        <v>0</v>
      </c>
      <c r="C44" s="153">
        <v>0</v>
      </c>
      <c r="D44" s="156">
        <v>1</v>
      </c>
      <c r="E44" s="156">
        <v>0</v>
      </c>
    </row>
    <row r="45" spans="1:5" x14ac:dyDescent="0.25">
      <c r="A45" s="155" t="s">
        <v>2415</v>
      </c>
      <c r="B45" s="153">
        <v>0</v>
      </c>
      <c r="C45" s="153">
        <v>0</v>
      </c>
      <c r="D45" s="156">
        <v>1</v>
      </c>
      <c r="E45" s="153">
        <v>6</v>
      </c>
    </row>
    <row r="46" spans="1:5" x14ac:dyDescent="0.25">
      <c r="A46" s="155" t="s">
        <v>1138</v>
      </c>
      <c r="B46" s="153">
        <v>0</v>
      </c>
      <c r="C46" s="153">
        <v>0</v>
      </c>
      <c r="D46" s="156">
        <v>1</v>
      </c>
      <c r="E46" s="156">
        <v>0</v>
      </c>
    </row>
    <row r="47" spans="1:5" x14ac:dyDescent="0.25">
      <c r="A47" s="155" t="s">
        <v>2416</v>
      </c>
      <c r="B47" s="153">
        <v>0</v>
      </c>
      <c r="C47" s="153">
        <v>0</v>
      </c>
      <c r="D47" s="156">
        <v>1</v>
      </c>
      <c r="E47" s="153">
        <v>6</v>
      </c>
    </row>
    <row r="48" spans="1:5" x14ac:dyDescent="0.25">
      <c r="A48" s="154" t="s">
        <v>1113</v>
      </c>
      <c r="B48" s="153">
        <v>0</v>
      </c>
      <c r="C48" s="153">
        <v>0</v>
      </c>
      <c r="D48" s="156">
        <v>0</v>
      </c>
      <c r="E48" s="156">
        <v>0</v>
      </c>
    </row>
    <row r="49" spans="1:5" x14ac:dyDescent="0.25">
      <c r="A49" s="155" t="s">
        <v>1130</v>
      </c>
      <c r="B49" s="153">
        <v>0</v>
      </c>
      <c r="C49" s="153">
        <v>0</v>
      </c>
      <c r="D49" s="156">
        <v>1</v>
      </c>
      <c r="E49" s="156">
        <v>0</v>
      </c>
    </row>
    <row r="50" spans="1:5" x14ac:dyDescent="0.25">
      <c r="A50" s="155" t="s">
        <v>2417</v>
      </c>
      <c r="B50" s="153">
        <v>0</v>
      </c>
      <c r="C50" s="153">
        <v>0</v>
      </c>
      <c r="D50" s="156">
        <v>1</v>
      </c>
      <c r="E50" s="153">
        <v>6</v>
      </c>
    </row>
    <row r="51" spans="1:5" x14ac:dyDescent="0.25">
      <c r="A51" s="154" t="s">
        <v>1156</v>
      </c>
      <c r="B51" s="153">
        <v>0</v>
      </c>
      <c r="C51" s="153">
        <v>0</v>
      </c>
      <c r="D51" s="156">
        <v>0</v>
      </c>
      <c r="E51" s="156">
        <v>0</v>
      </c>
    </row>
    <row r="52" spans="1:5" x14ac:dyDescent="0.25">
      <c r="A52" s="154" t="s">
        <v>1107</v>
      </c>
      <c r="B52" s="153">
        <v>0</v>
      </c>
      <c r="C52" s="153">
        <v>0</v>
      </c>
      <c r="D52" s="156">
        <v>0</v>
      </c>
      <c r="E52" s="156">
        <v>0</v>
      </c>
    </row>
    <row r="53" spans="1:5" x14ac:dyDescent="0.25">
      <c r="A53" s="154" t="s">
        <v>30</v>
      </c>
      <c r="B53" s="153">
        <v>0</v>
      </c>
      <c r="C53" s="153">
        <v>0</v>
      </c>
      <c r="D53" s="156">
        <v>0</v>
      </c>
      <c r="E53" s="156">
        <v>0</v>
      </c>
    </row>
    <row r="54" spans="1:5" x14ac:dyDescent="0.25">
      <c r="A54" s="154" t="s">
        <v>1108</v>
      </c>
      <c r="B54" s="153">
        <v>0</v>
      </c>
      <c r="C54" s="153">
        <v>0</v>
      </c>
      <c r="D54" s="156">
        <v>0</v>
      </c>
      <c r="E54" s="156">
        <v>0</v>
      </c>
    </row>
    <row r="55" spans="1:5" x14ac:dyDescent="0.25">
      <c r="A55" s="154" t="s">
        <v>7</v>
      </c>
      <c r="B55" s="153">
        <v>0</v>
      </c>
      <c r="C55" s="153">
        <v>0</v>
      </c>
      <c r="D55" s="156">
        <v>0</v>
      </c>
      <c r="E55" s="156">
        <v>0</v>
      </c>
    </row>
    <row r="56" spans="1:5" x14ac:dyDescent="0.25">
      <c r="A56" s="154" t="s">
        <v>29</v>
      </c>
      <c r="B56" s="153">
        <v>0</v>
      </c>
      <c r="C56" s="153">
        <v>0</v>
      </c>
      <c r="D56" s="156">
        <v>0</v>
      </c>
      <c r="E56" s="156">
        <v>0</v>
      </c>
    </row>
    <row r="57" spans="1:5" x14ac:dyDescent="0.25">
      <c r="A57" s="154" t="s">
        <v>1109</v>
      </c>
      <c r="B57" s="153">
        <v>0</v>
      </c>
      <c r="C57" s="153">
        <v>0</v>
      </c>
      <c r="D57" s="156">
        <v>0</v>
      </c>
      <c r="E57" s="156">
        <v>0</v>
      </c>
    </row>
    <row r="58" spans="1:5" x14ac:dyDescent="0.25">
      <c r="A58" s="154" t="s">
        <v>28</v>
      </c>
      <c r="B58" s="153">
        <v>0</v>
      </c>
      <c r="C58" s="153">
        <v>0</v>
      </c>
      <c r="D58" s="156">
        <v>0</v>
      </c>
      <c r="E58" s="156">
        <v>0</v>
      </c>
    </row>
    <row r="59" spans="1:5" x14ac:dyDescent="0.25">
      <c r="A59" s="154" t="s">
        <v>27</v>
      </c>
      <c r="B59" s="153">
        <v>0</v>
      </c>
      <c r="C59" s="153">
        <v>0</v>
      </c>
      <c r="D59" s="156">
        <v>0</v>
      </c>
      <c r="E59" s="156">
        <v>0</v>
      </c>
    </row>
    <row r="60" spans="1:5" x14ac:dyDescent="0.25">
      <c r="A60" s="154" t="s">
        <v>26</v>
      </c>
      <c r="B60" s="153">
        <v>0</v>
      </c>
      <c r="C60" s="153">
        <v>0</v>
      </c>
      <c r="D60" s="156">
        <v>0</v>
      </c>
      <c r="E60" s="156">
        <v>0</v>
      </c>
    </row>
    <row r="61" spans="1:5" x14ac:dyDescent="0.25">
      <c r="A61" s="154" t="s">
        <v>1277</v>
      </c>
      <c r="B61" s="153">
        <v>0</v>
      </c>
      <c r="C61" s="153">
        <v>0</v>
      </c>
      <c r="D61" s="156">
        <v>0</v>
      </c>
      <c r="E61" s="156">
        <v>0</v>
      </c>
    </row>
    <row r="62" spans="1:5" x14ac:dyDescent="0.25">
      <c r="A62" s="154" t="s">
        <v>11</v>
      </c>
      <c r="B62" s="153">
        <v>0</v>
      </c>
      <c r="C62" s="153">
        <v>0</v>
      </c>
      <c r="D62" s="156">
        <v>0</v>
      </c>
      <c r="E62" s="156">
        <v>0</v>
      </c>
    </row>
    <row r="63" spans="1:5" x14ac:dyDescent="0.25">
      <c r="A63" s="154" t="s">
        <v>1144</v>
      </c>
      <c r="B63" s="153">
        <v>0</v>
      </c>
      <c r="C63" s="153">
        <v>0</v>
      </c>
      <c r="D63" s="156">
        <v>0</v>
      </c>
      <c r="E63" s="156">
        <v>0</v>
      </c>
    </row>
    <row r="64" spans="1:5" x14ac:dyDescent="0.25">
      <c r="A64" s="154" t="s">
        <v>1145</v>
      </c>
      <c r="B64" s="153">
        <v>0</v>
      </c>
      <c r="C64" s="153">
        <v>0</v>
      </c>
      <c r="D64" s="156">
        <v>0</v>
      </c>
      <c r="E64" s="156">
        <v>0</v>
      </c>
    </row>
    <row r="65" spans="1:5" x14ac:dyDescent="0.25">
      <c r="A65" s="155" t="s">
        <v>1140</v>
      </c>
      <c r="B65" s="153">
        <v>0</v>
      </c>
      <c r="C65" s="153">
        <v>0</v>
      </c>
      <c r="D65" s="153">
        <v>1</v>
      </c>
      <c r="E65" s="156">
        <v>0</v>
      </c>
    </row>
    <row r="66" spans="1:5" x14ac:dyDescent="0.25">
      <c r="A66" s="155" t="s">
        <v>2031</v>
      </c>
      <c r="B66" s="153">
        <v>0</v>
      </c>
      <c r="C66" s="153">
        <v>0</v>
      </c>
      <c r="D66" s="153">
        <v>1</v>
      </c>
      <c r="E66" s="153">
        <v>4</v>
      </c>
    </row>
    <row r="67" spans="1:5" x14ac:dyDescent="0.25">
      <c r="A67" s="154" t="s">
        <v>1146</v>
      </c>
      <c r="B67" s="153">
        <v>0</v>
      </c>
      <c r="C67" s="153">
        <v>0</v>
      </c>
      <c r="D67" s="153">
        <v>0</v>
      </c>
      <c r="E67" s="156">
        <v>0</v>
      </c>
    </row>
    <row r="68" spans="1:5" x14ac:dyDescent="0.25">
      <c r="A68" s="154" t="s">
        <v>8</v>
      </c>
      <c r="B68" s="153">
        <v>0</v>
      </c>
      <c r="C68" s="153">
        <v>0</v>
      </c>
      <c r="D68" s="153">
        <v>0</v>
      </c>
      <c r="E68" s="156">
        <v>0</v>
      </c>
    </row>
    <row r="69" spans="1:5" x14ac:dyDescent="0.25">
      <c r="A69" s="154" t="s">
        <v>1147</v>
      </c>
      <c r="B69" s="153">
        <v>0</v>
      </c>
      <c r="C69" s="153">
        <v>0</v>
      </c>
      <c r="D69" s="153">
        <v>0</v>
      </c>
      <c r="E69" s="156">
        <v>0</v>
      </c>
    </row>
    <row r="70" spans="1:5" x14ac:dyDescent="0.25">
      <c r="A70" s="154" t="s">
        <v>1148</v>
      </c>
      <c r="B70" s="153">
        <v>0</v>
      </c>
      <c r="C70" s="153">
        <v>0</v>
      </c>
      <c r="D70" s="153">
        <v>0</v>
      </c>
      <c r="E70" s="156">
        <v>0</v>
      </c>
    </row>
    <row r="71" spans="1:5" x14ac:dyDescent="0.25">
      <c r="A71" s="154" t="s">
        <v>25</v>
      </c>
      <c r="B71" s="153">
        <v>0</v>
      </c>
      <c r="C71" s="153">
        <v>0</v>
      </c>
      <c r="D71" s="153">
        <v>0</v>
      </c>
      <c r="E71" s="156">
        <v>0</v>
      </c>
    </row>
    <row r="72" spans="1:5" x14ac:dyDescent="0.25">
      <c r="A72" s="154" t="s">
        <v>1275</v>
      </c>
      <c r="B72" s="153">
        <v>0</v>
      </c>
      <c r="C72" s="153">
        <v>0</v>
      </c>
      <c r="D72" s="153">
        <v>0</v>
      </c>
      <c r="E72" s="156">
        <v>0</v>
      </c>
    </row>
    <row r="73" spans="1:5" x14ac:dyDescent="0.25">
      <c r="A73" s="154" t="s">
        <v>1149</v>
      </c>
      <c r="B73" s="153">
        <v>0</v>
      </c>
      <c r="C73" s="153">
        <v>0</v>
      </c>
      <c r="D73" s="153">
        <v>0</v>
      </c>
      <c r="E73" s="156">
        <v>0</v>
      </c>
    </row>
    <row r="74" spans="1:5" x14ac:dyDescent="0.25">
      <c r="A74" s="154" t="s">
        <v>23</v>
      </c>
      <c r="B74" s="153">
        <v>0</v>
      </c>
      <c r="C74" s="153">
        <v>0</v>
      </c>
      <c r="D74" s="153">
        <v>0</v>
      </c>
      <c r="E74" s="156">
        <v>0</v>
      </c>
    </row>
    <row r="75" spans="1:5" x14ac:dyDescent="0.25">
      <c r="A75" s="154" t="s">
        <v>22</v>
      </c>
      <c r="B75" s="153">
        <v>0</v>
      </c>
      <c r="C75" s="153">
        <v>0</v>
      </c>
      <c r="D75" s="153">
        <v>0</v>
      </c>
      <c r="E75" s="156">
        <v>0</v>
      </c>
    </row>
    <row r="76" spans="1:5" x14ac:dyDescent="0.25">
      <c r="A76" s="154" t="s">
        <v>21</v>
      </c>
      <c r="B76" s="153">
        <v>0</v>
      </c>
      <c r="C76" s="153">
        <v>0</v>
      </c>
      <c r="D76" s="153">
        <v>0</v>
      </c>
      <c r="E76" s="156">
        <v>0</v>
      </c>
    </row>
    <row r="77" spans="1:5" x14ac:dyDescent="0.25">
      <c r="A77" s="154" t="s">
        <v>1150</v>
      </c>
      <c r="B77" s="153">
        <v>0</v>
      </c>
      <c r="C77" s="153">
        <v>0</v>
      </c>
      <c r="D77" s="153">
        <v>0</v>
      </c>
      <c r="E77" s="156">
        <v>0</v>
      </c>
    </row>
    <row r="78" spans="1:5" x14ac:dyDescent="0.25">
      <c r="A78" s="155" t="s">
        <v>1142</v>
      </c>
      <c r="B78" s="153">
        <v>0</v>
      </c>
      <c r="C78" s="153">
        <v>0</v>
      </c>
      <c r="D78" s="153">
        <v>1</v>
      </c>
      <c r="E78" s="156">
        <v>0</v>
      </c>
    </row>
    <row r="79" spans="1:5" x14ac:dyDescent="0.25">
      <c r="A79" s="155" t="s">
        <v>2032</v>
      </c>
      <c r="B79" s="153">
        <v>0</v>
      </c>
      <c r="C79" s="153">
        <v>0</v>
      </c>
      <c r="D79" s="153">
        <v>1</v>
      </c>
      <c r="E79" s="153">
        <v>4</v>
      </c>
    </row>
    <row r="80" spans="1:5" x14ac:dyDescent="0.25">
      <c r="A80" s="154" t="s">
        <v>20</v>
      </c>
      <c r="B80" s="153">
        <v>0</v>
      </c>
      <c r="C80" s="153">
        <v>0</v>
      </c>
      <c r="D80" s="153">
        <v>0</v>
      </c>
      <c r="E80" s="156">
        <v>0</v>
      </c>
    </row>
    <row r="81" spans="1:5" x14ac:dyDescent="0.25">
      <c r="A81" s="154" t="s">
        <v>19</v>
      </c>
      <c r="B81" s="153">
        <v>0</v>
      </c>
      <c r="C81" s="153">
        <v>0</v>
      </c>
      <c r="D81" s="153">
        <v>0</v>
      </c>
      <c r="E81" s="156">
        <v>0</v>
      </c>
    </row>
    <row r="82" spans="1:5" x14ac:dyDescent="0.25">
      <c r="A82" s="154" t="s">
        <v>1114</v>
      </c>
      <c r="B82" s="153">
        <v>0</v>
      </c>
      <c r="C82" s="153">
        <v>0</v>
      </c>
      <c r="D82" s="153">
        <v>0</v>
      </c>
      <c r="E82" s="156">
        <v>0</v>
      </c>
    </row>
    <row r="83" spans="1:5" x14ac:dyDescent="0.25">
      <c r="A83" s="154" t="s">
        <v>1115</v>
      </c>
      <c r="B83" s="153">
        <v>0</v>
      </c>
      <c r="C83" s="153">
        <v>0</v>
      </c>
      <c r="D83" s="153">
        <v>0</v>
      </c>
      <c r="E83" s="156">
        <v>0</v>
      </c>
    </row>
    <row r="84" spans="1:5" x14ac:dyDescent="0.25">
      <c r="A84" s="154" t="s">
        <v>1116</v>
      </c>
      <c r="B84" s="153">
        <v>0</v>
      </c>
      <c r="C84" s="153">
        <v>0</v>
      </c>
      <c r="D84" s="153">
        <v>0</v>
      </c>
      <c r="E84" s="156">
        <v>0</v>
      </c>
    </row>
    <row r="85" spans="1:5" x14ac:dyDescent="0.25">
      <c r="A85" s="154" t="s">
        <v>1117</v>
      </c>
      <c r="B85" s="153">
        <v>0</v>
      </c>
      <c r="C85" s="153">
        <v>0</v>
      </c>
      <c r="D85" s="153">
        <v>0</v>
      </c>
      <c r="E85" s="156">
        <v>0</v>
      </c>
    </row>
    <row r="86" spans="1:5" x14ac:dyDescent="0.25">
      <c r="A86" s="154" t="s">
        <v>1151</v>
      </c>
      <c r="B86" s="153">
        <v>0</v>
      </c>
      <c r="C86" s="153">
        <v>0</v>
      </c>
      <c r="D86" s="153">
        <v>0</v>
      </c>
      <c r="E86" s="156">
        <v>0</v>
      </c>
    </row>
    <row r="87" spans="1:5" x14ac:dyDescent="0.25">
      <c r="A87" s="154" t="s">
        <v>17</v>
      </c>
      <c r="B87" s="153">
        <v>0</v>
      </c>
      <c r="C87" s="153">
        <v>0</v>
      </c>
      <c r="D87" s="153">
        <v>0</v>
      </c>
      <c r="E87" s="156">
        <v>0</v>
      </c>
    </row>
    <row r="88" spans="1:5" x14ac:dyDescent="0.25">
      <c r="A88" s="154" t="s">
        <v>16</v>
      </c>
      <c r="B88" s="153">
        <v>0</v>
      </c>
      <c r="C88" s="153">
        <v>0</v>
      </c>
      <c r="D88" s="153">
        <v>0</v>
      </c>
      <c r="E88" s="156">
        <v>0</v>
      </c>
    </row>
    <row r="89" spans="1:5" x14ac:dyDescent="0.25">
      <c r="A89" s="154" t="s">
        <v>15</v>
      </c>
      <c r="B89" s="153">
        <v>0</v>
      </c>
      <c r="C89" s="153">
        <v>0</v>
      </c>
      <c r="D89" s="153">
        <v>0</v>
      </c>
      <c r="E89" s="156">
        <v>0</v>
      </c>
    </row>
    <row r="90" spans="1:5" x14ac:dyDescent="0.25">
      <c r="A90" s="154" t="s">
        <v>14</v>
      </c>
      <c r="B90" s="153">
        <v>0</v>
      </c>
      <c r="C90" s="153">
        <v>0</v>
      </c>
      <c r="D90" s="153">
        <v>0</v>
      </c>
      <c r="E90" s="156">
        <v>0</v>
      </c>
    </row>
    <row r="91" spans="1:5" x14ac:dyDescent="0.25">
      <c r="A91" s="154" t="s">
        <v>13</v>
      </c>
      <c r="B91" s="153">
        <v>0</v>
      </c>
      <c r="C91" s="153">
        <v>0</v>
      </c>
      <c r="D91" s="153">
        <v>0</v>
      </c>
      <c r="E91" s="156">
        <v>0</v>
      </c>
    </row>
    <row r="92" spans="1:5" x14ac:dyDescent="0.25">
      <c r="A92" s="155" t="s">
        <v>4</v>
      </c>
      <c r="B92" s="153">
        <v>0</v>
      </c>
      <c r="C92" s="153">
        <v>0</v>
      </c>
      <c r="D92" s="153">
        <v>1</v>
      </c>
      <c r="E92" s="156">
        <v>0</v>
      </c>
    </row>
    <row r="93" spans="1:5" x14ac:dyDescent="0.25">
      <c r="A93" s="155" t="s">
        <v>2033</v>
      </c>
      <c r="B93" s="153">
        <v>0</v>
      </c>
      <c r="C93" s="153">
        <v>0</v>
      </c>
      <c r="D93" s="153">
        <v>1</v>
      </c>
      <c r="E93" s="153">
        <v>4</v>
      </c>
    </row>
    <row r="94" spans="1:5" x14ac:dyDescent="0.25">
      <c r="A94" s="154" t="s">
        <v>1160</v>
      </c>
      <c r="B94" s="153">
        <v>0</v>
      </c>
      <c r="C94" s="153">
        <v>0</v>
      </c>
      <c r="D94" s="153">
        <v>0</v>
      </c>
      <c r="E94" s="156">
        <v>0</v>
      </c>
    </row>
    <row r="95" spans="1:5" x14ac:dyDescent="0.25">
      <c r="A95" s="154" t="s">
        <v>1159</v>
      </c>
      <c r="B95" s="153">
        <v>0</v>
      </c>
      <c r="C95" s="153">
        <v>0</v>
      </c>
      <c r="D95" s="153">
        <v>0</v>
      </c>
      <c r="E95" s="156">
        <v>0</v>
      </c>
    </row>
    <row r="96" spans="1:5" x14ac:dyDescent="0.25">
      <c r="A96" s="154" t="s">
        <v>1158</v>
      </c>
      <c r="B96" s="153">
        <v>0</v>
      </c>
      <c r="C96" s="153">
        <v>0</v>
      </c>
      <c r="D96" s="153">
        <v>0</v>
      </c>
      <c r="E96" s="156">
        <v>0</v>
      </c>
    </row>
    <row r="97" spans="1:7" x14ac:dyDescent="0.25">
      <c r="A97" s="154" t="s">
        <v>1157</v>
      </c>
      <c r="B97" s="153">
        <v>0</v>
      </c>
      <c r="C97" s="153">
        <v>0</v>
      </c>
      <c r="D97" s="153">
        <v>0</v>
      </c>
      <c r="E97" s="156">
        <v>0</v>
      </c>
    </row>
    <row r="98" spans="1:7" x14ac:dyDescent="0.25">
      <c r="A98" s="154" t="s">
        <v>2408</v>
      </c>
      <c r="B98" s="156">
        <v>0</v>
      </c>
      <c r="C98" s="156">
        <v>0</v>
      </c>
      <c r="D98" s="156">
        <v>0</v>
      </c>
      <c r="E98" s="156">
        <v>0</v>
      </c>
    </row>
    <row r="99" spans="1:7" x14ac:dyDescent="0.25">
      <c r="A99" s="154" t="s">
        <v>1274</v>
      </c>
      <c r="B99" s="153">
        <v>0</v>
      </c>
      <c r="C99" s="153">
        <v>0</v>
      </c>
      <c r="D99" s="153">
        <v>0</v>
      </c>
      <c r="E99" s="156">
        <v>0</v>
      </c>
    </row>
    <row r="100" spans="1:7" x14ac:dyDescent="0.25">
      <c r="A100" s="154" t="s">
        <v>1161</v>
      </c>
      <c r="B100" s="153">
        <v>0</v>
      </c>
      <c r="C100" s="153">
        <v>0</v>
      </c>
      <c r="D100" s="153">
        <v>0</v>
      </c>
      <c r="E100" s="156">
        <v>0</v>
      </c>
    </row>
    <row r="101" spans="1:7" x14ac:dyDescent="0.25">
      <c r="A101" s="154" t="s">
        <v>1118</v>
      </c>
      <c r="B101" s="153">
        <v>0</v>
      </c>
      <c r="C101" s="153">
        <v>1</v>
      </c>
      <c r="D101" s="156">
        <v>1</v>
      </c>
      <c r="E101" s="156">
        <v>0</v>
      </c>
    </row>
    <row r="102" spans="1:7" x14ac:dyDescent="0.25">
      <c r="A102" s="154" t="s">
        <v>1119</v>
      </c>
      <c r="B102" s="153">
        <v>0</v>
      </c>
      <c r="C102" s="153">
        <v>1</v>
      </c>
      <c r="D102" s="156">
        <v>1</v>
      </c>
      <c r="E102" s="156">
        <v>2</v>
      </c>
    </row>
    <row r="103" spans="1:7" x14ac:dyDescent="0.25">
      <c r="A103" s="154" t="s">
        <v>1120</v>
      </c>
      <c r="B103" s="153">
        <v>0</v>
      </c>
      <c r="C103" s="153">
        <v>1</v>
      </c>
      <c r="D103" s="153">
        <v>1</v>
      </c>
      <c r="E103" s="156">
        <v>5</v>
      </c>
    </row>
    <row r="104" spans="1:7" x14ac:dyDescent="0.25">
      <c r="A104" s="154" t="s">
        <v>2091</v>
      </c>
      <c r="B104" s="156">
        <v>1</v>
      </c>
      <c r="C104" s="156">
        <v>0</v>
      </c>
      <c r="D104" s="156">
        <v>0</v>
      </c>
      <c r="E104" s="156">
        <v>0</v>
      </c>
      <c r="F104" s="156" t="s">
        <v>2301</v>
      </c>
      <c r="G104" s="156" t="s">
        <v>2300</v>
      </c>
    </row>
    <row r="105" spans="1:7" x14ac:dyDescent="0.25">
      <c r="A105" s="154" t="s">
        <v>2092</v>
      </c>
      <c r="B105" s="156">
        <v>1</v>
      </c>
      <c r="C105" s="156">
        <v>0</v>
      </c>
      <c r="D105" s="156">
        <v>0</v>
      </c>
      <c r="E105" s="156">
        <v>0</v>
      </c>
      <c r="F105" s="156" t="s">
        <v>2301</v>
      </c>
      <c r="G105" s="156" t="s">
        <v>2300</v>
      </c>
    </row>
    <row r="106" spans="1:7" x14ac:dyDescent="0.25">
      <c r="A106" s="154" t="s">
        <v>2093</v>
      </c>
      <c r="B106" s="156">
        <v>1</v>
      </c>
      <c r="C106" s="156">
        <v>0</v>
      </c>
      <c r="D106" s="156">
        <v>0</v>
      </c>
      <c r="E106" s="156">
        <v>0</v>
      </c>
      <c r="F106" s="156" t="s">
        <v>2301</v>
      </c>
      <c r="G106" s="156" t="s">
        <v>2300</v>
      </c>
    </row>
    <row r="107" spans="1:7" x14ac:dyDescent="0.25">
      <c r="A107" s="154" t="s">
        <v>2110</v>
      </c>
      <c r="B107" s="156">
        <v>1</v>
      </c>
      <c r="C107" s="156">
        <v>0</v>
      </c>
      <c r="D107" s="156">
        <v>0</v>
      </c>
      <c r="E107" s="156">
        <v>0</v>
      </c>
      <c r="F107" s="156" t="s">
        <v>2301</v>
      </c>
      <c r="G107" s="156" t="s">
        <v>2300</v>
      </c>
    </row>
    <row r="108" spans="1:7" x14ac:dyDescent="0.25">
      <c r="A108" s="154" t="s">
        <v>2094</v>
      </c>
      <c r="B108" s="156">
        <v>1</v>
      </c>
      <c r="C108" s="156">
        <v>0</v>
      </c>
      <c r="D108" s="156">
        <v>0</v>
      </c>
      <c r="E108" s="156">
        <v>0</v>
      </c>
      <c r="F108" s="156" t="s">
        <v>2301</v>
      </c>
      <c r="G108" s="156" t="s">
        <v>2300</v>
      </c>
    </row>
    <row r="109" spans="1:7" x14ac:dyDescent="0.25">
      <c r="A109" s="154" t="s">
        <v>2096</v>
      </c>
      <c r="B109" s="156">
        <v>1</v>
      </c>
      <c r="C109" s="156">
        <v>0</v>
      </c>
      <c r="D109" s="156">
        <v>0</v>
      </c>
      <c r="E109" s="156">
        <v>0</v>
      </c>
      <c r="F109" s="156" t="s">
        <v>2301</v>
      </c>
      <c r="G109" s="156" t="s">
        <v>2300</v>
      </c>
    </row>
    <row r="110" spans="1:7" x14ac:dyDescent="0.25">
      <c r="A110" s="154" t="s">
        <v>2412</v>
      </c>
      <c r="B110" s="156"/>
      <c r="C110" s="156"/>
      <c r="D110" s="156"/>
      <c r="E110" s="156"/>
      <c r="F110" s="156"/>
      <c r="G110" s="156"/>
    </row>
    <row r="111" spans="1:7" x14ac:dyDescent="0.25">
      <c r="A111" s="154" t="s">
        <v>2411</v>
      </c>
      <c r="B111" s="156"/>
      <c r="C111" s="156"/>
      <c r="D111" s="156"/>
      <c r="E111" s="156"/>
      <c r="F111" s="156"/>
      <c r="G111" s="156"/>
    </row>
    <row r="112" spans="1:7" x14ac:dyDescent="0.25">
      <c r="A112" s="154" t="s">
        <v>2176</v>
      </c>
      <c r="B112" s="156"/>
      <c r="C112" s="156"/>
      <c r="D112" s="156"/>
      <c r="E112" s="156"/>
      <c r="F112" s="156"/>
      <c r="G112" s="156"/>
    </row>
    <row r="113" spans="1:7" x14ac:dyDescent="0.25">
      <c r="A113" s="154" t="s">
        <v>2410</v>
      </c>
      <c r="B113" s="156"/>
      <c r="C113" s="156"/>
      <c r="D113" s="156"/>
      <c r="E113" s="156"/>
      <c r="F113" s="156"/>
      <c r="G113" s="156"/>
    </row>
    <row r="114" spans="1:7" x14ac:dyDescent="0.25">
      <c r="A114" s="154" t="s">
        <v>2109</v>
      </c>
      <c r="B114" s="156">
        <v>1</v>
      </c>
      <c r="C114" s="156">
        <v>0</v>
      </c>
      <c r="D114" s="156">
        <v>0</v>
      </c>
      <c r="E114" s="156">
        <v>0</v>
      </c>
      <c r="F114" s="156" t="s">
        <v>2111</v>
      </c>
      <c r="G114" s="156" t="s">
        <v>2299</v>
      </c>
    </row>
    <row r="115" spans="1:7" x14ac:dyDescent="0.25">
      <c r="A115" s="154" t="s">
        <v>2112</v>
      </c>
      <c r="B115" s="156">
        <v>1</v>
      </c>
      <c r="C115" s="156">
        <v>0</v>
      </c>
      <c r="D115" s="156">
        <v>0</v>
      </c>
      <c r="E115" s="156">
        <v>0</v>
      </c>
      <c r="F115" s="156" t="s">
        <v>2111</v>
      </c>
      <c r="G115" s="156" t="s">
        <v>2299</v>
      </c>
    </row>
    <row r="116" spans="1:7" x14ac:dyDescent="0.25">
      <c r="A116" s="154" t="s">
        <v>2108</v>
      </c>
      <c r="B116" s="156">
        <v>1</v>
      </c>
      <c r="C116" s="156">
        <v>0</v>
      </c>
      <c r="D116" s="156">
        <v>0</v>
      </c>
      <c r="E116" s="156">
        <v>0</v>
      </c>
      <c r="F116" s="156" t="s">
        <v>2111</v>
      </c>
      <c r="G116" s="156" t="s">
        <v>2299</v>
      </c>
    </row>
    <row r="117" spans="1:7" x14ac:dyDescent="0.25">
      <c r="A117" s="154" t="s">
        <v>2113</v>
      </c>
      <c r="B117" s="156">
        <v>1</v>
      </c>
      <c r="C117" s="156">
        <v>0</v>
      </c>
      <c r="D117" s="156">
        <v>0</v>
      </c>
      <c r="E117" s="156">
        <v>0</v>
      </c>
      <c r="F117" s="156" t="s">
        <v>2111</v>
      </c>
      <c r="G117" s="156" t="s">
        <v>2299</v>
      </c>
    </row>
    <row r="118" spans="1:7" x14ac:dyDescent="0.25">
      <c r="A118" s="154" t="s">
        <v>2107</v>
      </c>
      <c r="B118" s="156">
        <v>1</v>
      </c>
      <c r="C118" s="156">
        <v>0</v>
      </c>
      <c r="D118" s="156">
        <v>0</v>
      </c>
      <c r="E118" s="156">
        <v>0</v>
      </c>
      <c r="F118" s="156" t="s">
        <v>2111</v>
      </c>
      <c r="G118" s="156" t="s">
        <v>2299</v>
      </c>
    </row>
    <row r="119" spans="1:7" x14ac:dyDescent="0.25">
      <c r="A119" s="154" t="s">
        <v>2114</v>
      </c>
      <c r="B119" s="156">
        <v>1</v>
      </c>
      <c r="C119" s="156">
        <v>0</v>
      </c>
      <c r="D119" s="156">
        <v>0</v>
      </c>
      <c r="E119" s="156">
        <v>0</v>
      </c>
      <c r="F119" s="156" t="s">
        <v>2111</v>
      </c>
      <c r="G119" s="156" t="s">
        <v>2299</v>
      </c>
    </row>
    <row r="120" spans="1:7" x14ac:dyDescent="0.25">
      <c r="A120" s="154" t="s">
        <v>2115</v>
      </c>
      <c r="B120" s="156">
        <v>1</v>
      </c>
      <c r="C120" s="156">
        <v>0</v>
      </c>
      <c r="D120" s="156">
        <v>0</v>
      </c>
      <c r="E120" s="156">
        <v>0</v>
      </c>
      <c r="F120" s="156" t="s">
        <v>2111</v>
      </c>
      <c r="G120" s="156" t="s">
        <v>2299</v>
      </c>
    </row>
    <row r="121" spans="1:7" x14ac:dyDescent="0.25">
      <c r="A121" s="154" t="s">
        <v>2021</v>
      </c>
      <c r="B121" s="153">
        <v>1</v>
      </c>
      <c r="C121" s="156">
        <v>0</v>
      </c>
      <c r="D121" s="156">
        <v>0</v>
      </c>
      <c r="E121" s="156">
        <v>0</v>
      </c>
      <c r="F121" s="156" t="s">
        <v>2111</v>
      </c>
      <c r="G121" s="156" t="s">
        <v>2299</v>
      </c>
    </row>
    <row r="122" spans="1:7" x14ac:dyDescent="0.25">
      <c r="A122" s="154" t="s">
        <v>2116</v>
      </c>
      <c r="B122" s="156">
        <v>1</v>
      </c>
      <c r="C122" s="156">
        <v>0</v>
      </c>
      <c r="D122" s="156">
        <v>0</v>
      </c>
      <c r="E122" s="156">
        <v>0</v>
      </c>
      <c r="F122" s="156" t="s">
        <v>2111</v>
      </c>
      <c r="G122" s="156" t="s">
        <v>2299</v>
      </c>
    </row>
    <row r="123" spans="1:7" x14ac:dyDescent="0.25">
      <c r="A123" s="154" t="s">
        <v>2106</v>
      </c>
      <c r="B123" s="156">
        <v>1</v>
      </c>
      <c r="C123" s="156">
        <v>0</v>
      </c>
      <c r="D123" s="156">
        <v>0</v>
      </c>
      <c r="E123" s="156">
        <v>0</v>
      </c>
      <c r="F123" s="156" t="s">
        <v>2111</v>
      </c>
      <c r="G123" s="156" t="s">
        <v>2299</v>
      </c>
    </row>
    <row r="124" spans="1:7" x14ac:dyDescent="0.25">
      <c r="A124" s="154" t="s">
        <v>2117</v>
      </c>
      <c r="B124" s="156">
        <v>1</v>
      </c>
      <c r="C124" s="156">
        <v>0</v>
      </c>
      <c r="D124" s="156">
        <v>0</v>
      </c>
      <c r="E124" s="156">
        <v>0</v>
      </c>
      <c r="F124" s="156" t="s">
        <v>2111</v>
      </c>
      <c r="G124" s="156" t="s">
        <v>2299</v>
      </c>
    </row>
    <row r="125" spans="1:7" x14ac:dyDescent="0.25">
      <c r="A125" s="154" t="s">
        <v>2118</v>
      </c>
      <c r="B125" s="156">
        <v>1</v>
      </c>
      <c r="C125" s="156">
        <v>0</v>
      </c>
      <c r="D125" s="156">
        <v>0</v>
      </c>
      <c r="E125" s="156">
        <v>0</v>
      </c>
      <c r="F125" s="156" t="s">
        <v>2111</v>
      </c>
      <c r="G125" s="156" t="s">
        <v>2299</v>
      </c>
    </row>
  </sheetData>
  <sortState ref="A1:A101">
    <sortCondition ref="A1"/>
  </sortState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91"/>
  <sheetViews>
    <sheetView workbookViewId="0">
      <selection activeCell="A12" sqref="A12"/>
    </sheetView>
  </sheetViews>
  <sheetFormatPr defaultRowHeight="15" x14ac:dyDescent="0.25"/>
  <cols>
    <col min="1" max="1" width="9" bestFit="1" customWidth="1"/>
    <col min="2" max="2" width="32.140625" bestFit="1" customWidth="1"/>
    <col min="3" max="3" width="24" bestFit="1" customWidth="1"/>
    <col min="4" max="4" width="57.140625" bestFit="1" customWidth="1"/>
    <col min="5" max="6" width="10" bestFit="1" customWidth="1"/>
    <col min="9" max="9" width="9.85546875" bestFit="1" customWidth="1"/>
  </cols>
  <sheetData>
    <row r="1" spans="1:4" x14ac:dyDescent="0.25">
      <c r="A1" s="162" t="s">
        <v>2305</v>
      </c>
      <c r="B1" s="162" t="s">
        <v>2312</v>
      </c>
      <c r="C1" s="162" t="s">
        <v>1102</v>
      </c>
      <c r="D1" s="162" t="s">
        <v>2311</v>
      </c>
    </row>
    <row r="2" spans="1:4" x14ac:dyDescent="0.25">
      <c r="B2" s="162"/>
      <c r="C2" s="162"/>
      <c r="D2" s="162"/>
    </row>
    <row r="3" spans="1:4" x14ac:dyDescent="0.25">
      <c r="B3" s="162" t="s">
        <v>2306</v>
      </c>
    </row>
    <row r="4" spans="1:4" x14ac:dyDescent="0.25">
      <c r="B4" t="s">
        <v>2307</v>
      </c>
    </row>
    <row r="5" spans="1:4" x14ac:dyDescent="0.25">
      <c r="B5" s="163" t="s">
        <v>2406</v>
      </c>
    </row>
    <row r="6" spans="1:4" x14ac:dyDescent="0.25">
      <c r="B6" s="162"/>
    </row>
    <row r="7" spans="1:4" x14ac:dyDescent="0.25">
      <c r="B7" s="162" t="s">
        <v>2205</v>
      </c>
    </row>
    <row r="8" spans="1:4" x14ac:dyDescent="0.25">
      <c r="A8" t="s">
        <v>2325</v>
      </c>
      <c r="B8" t="s">
        <v>2202</v>
      </c>
      <c r="C8" t="s">
        <v>2220</v>
      </c>
      <c r="D8" t="s">
        <v>2310</v>
      </c>
    </row>
    <row r="10" spans="1:4" x14ac:dyDescent="0.25">
      <c r="B10" s="162" t="s">
        <v>2302</v>
      </c>
    </row>
    <row r="11" spans="1:4" x14ac:dyDescent="0.25">
      <c r="A11" t="s">
        <v>2324</v>
      </c>
      <c r="B11" t="s">
        <v>2321</v>
      </c>
      <c r="C11" t="s">
        <v>1790</v>
      </c>
      <c r="D11" s="168" t="s">
        <v>2326</v>
      </c>
    </row>
    <row r="12" spans="1:4" x14ac:dyDescent="0.25">
      <c r="B12" t="s">
        <v>2298</v>
      </c>
      <c r="C12" t="s">
        <v>666</v>
      </c>
      <c r="D12" s="168" t="s">
        <v>2315</v>
      </c>
    </row>
    <row r="14" spans="1:4" x14ac:dyDescent="0.25">
      <c r="B14" s="162" t="s">
        <v>2201</v>
      </c>
    </row>
    <row r="15" spans="1:4" x14ac:dyDescent="0.25">
      <c r="A15" t="s">
        <v>1828</v>
      </c>
      <c r="B15" t="s">
        <v>2316</v>
      </c>
    </row>
    <row r="16" spans="1:4" x14ac:dyDescent="0.25">
      <c r="A16" t="s">
        <v>1828</v>
      </c>
      <c r="B16" t="s">
        <v>2317</v>
      </c>
    </row>
    <row r="17" spans="1:4" x14ac:dyDescent="0.25">
      <c r="A17" t="s">
        <v>1828</v>
      </c>
      <c r="B17" t="s">
        <v>2318</v>
      </c>
    </row>
    <row r="18" spans="1:4" x14ac:dyDescent="0.25">
      <c r="A18" t="s">
        <v>1828</v>
      </c>
      <c r="B18" t="s">
        <v>2319</v>
      </c>
    </row>
    <row r="19" spans="1:4" x14ac:dyDescent="0.25">
      <c r="A19" t="s">
        <v>1828</v>
      </c>
      <c r="B19" t="s">
        <v>2320</v>
      </c>
    </row>
    <row r="20" spans="1:4" x14ac:dyDescent="0.25">
      <c r="A20" t="s">
        <v>1828</v>
      </c>
      <c r="B20" t="s">
        <v>2253</v>
      </c>
    </row>
    <row r="21" spans="1:4" x14ac:dyDescent="0.25">
      <c r="A21" t="s">
        <v>1828</v>
      </c>
      <c r="B21" t="s">
        <v>2294</v>
      </c>
    </row>
    <row r="22" spans="1:4" x14ac:dyDescent="0.25">
      <c r="D22" s="168"/>
    </row>
    <row r="23" spans="1:4" x14ac:dyDescent="0.25">
      <c r="B23" s="162" t="s">
        <v>2204</v>
      </c>
    </row>
    <row r="24" spans="1:4" x14ac:dyDescent="0.25">
      <c r="B24" t="s">
        <v>2219</v>
      </c>
    </row>
    <row r="26" spans="1:4" x14ac:dyDescent="0.25">
      <c r="B26" s="162" t="s">
        <v>2203</v>
      </c>
    </row>
    <row r="27" spans="1:4" x14ac:dyDescent="0.25">
      <c r="B27" t="s">
        <v>2297</v>
      </c>
    </row>
    <row r="29" spans="1:4" x14ac:dyDescent="0.25">
      <c r="B29" s="162" t="s">
        <v>2194</v>
      </c>
    </row>
    <row r="30" spans="1:4" x14ac:dyDescent="0.25">
      <c r="B30" t="s">
        <v>2297</v>
      </c>
    </row>
    <row r="32" spans="1:4" x14ac:dyDescent="0.25">
      <c r="B32" s="162" t="s">
        <v>2309</v>
      </c>
    </row>
    <row r="33" spans="1:4" x14ac:dyDescent="0.25">
      <c r="A33" t="s">
        <v>2323</v>
      </c>
      <c r="B33" s="163" t="s">
        <v>2292</v>
      </c>
      <c r="D33" t="s">
        <v>2199</v>
      </c>
    </row>
    <row r="34" spans="1:4" x14ac:dyDescent="0.25">
      <c r="A34" t="s">
        <v>2323</v>
      </c>
      <c r="B34" s="163" t="s">
        <v>2331</v>
      </c>
      <c r="D34" t="s">
        <v>2199</v>
      </c>
    </row>
    <row r="35" spans="1:4" x14ac:dyDescent="0.25">
      <c r="A35" t="s">
        <v>2323</v>
      </c>
      <c r="B35" s="163" t="s">
        <v>2295</v>
      </c>
      <c r="D35" t="s">
        <v>2199</v>
      </c>
    </row>
    <row r="36" spans="1:4" x14ac:dyDescent="0.25">
      <c r="A36" t="s">
        <v>2323</v>
      </c>
      <c r="B36" s="163" t="s">
        <v>2296</v>
      </c>
      <c r="D36" t="s">
        <v>2199</v>
      </c>
    </row>
    <row r="37" spans="1:4" x14ac:dyDescent="0.25">
      <c r="A37" t="s">
        <v>2323</v>
      </c>
      <c r="B37" t="s">
        <v>2198</v>
      </c>
      <c r="C37" t="s">
        <v>501</v>
      </c>
      <c r="D37" t="s">
        <v>2200</v>
      </c>
    </row>
    <row r="38" spans="1:4" x14ac:dyDescent="0.25">
      <c r="A38" t="s">
        <v>2323</v>
      </c>
      <c r="B38" t="s">
        <v>2206</v>
      </c>
      <c r="C38" t="s">
        <v>283</v>
      </c>
      <c r="D38" t="s">
        <v>2199</v>
      </c>
    </row>
    <row r="39" spans="1:4" x14ac:dyDescent="0.25">
      <c r="A39" t="s">
        <v>2323</v>
      </c>
      <c r="B39" t="s">
        <v>2207</v>
      </c>
      <c r="C39" t="s">
        <v>593</v>
      </c>
      <c r="D39" t="s">
        <v>2199</v>
      </c>
    </row>
    <row r="40" spans="1:4" x14ac:dyDescent="0.25">
      <c r="A40" t="s">
        <v>2323</v>
      </c>
      <c r="B40" t="s">
        <v>2209</v>
      </c>
      <c r="C40" t="s">
        <v>164</v>
      </c>
      <c r="D40" t="s">
        <v>2199</v>
      </c>
    </row>
    <row r="41" spans="1:4" x14ac:dyDescent="0.25">
      <c r="A41" t="s">
        <v>2323</v>
      </c>
      <c r="B41" t="s">
        <v>2293</v>
      </c>
      <c r="D41" t="s">
        <v>2199</v>
      </c>
    </row>
    <row r="42" spans="1:4" x14ac:dyDescent="0.25">
      <c r="A42" t="s">
        <v>2323</v>
      </c>
      <c r="B42" t="s">
        <v>2208</v>
      </c>
      <c r="C42" t="s">
        <v>864</v>
      </c>
      <c r="D42" t="s">
        <v>2199</v>
      </c>
    </row>
    <row r="43" spans="1:4" x14ac:dyDescent="0.25">
      <c r="A43" t="s">
        <v>2323</v>
      </c>
      <c r="B43" t="s">
        <v>2210</v>
      </c>
      <c r="C43" t="s">
        <v>450</v>
      </c>
      <c r="D43" t="s">
        <v>2199</v>
      </c>
    </row>
    <row r="44" spans="1:4" x14ac:dyDescent="0.25">
      <c r="A44" t="s">
        <v>2323</v>
      </c>
      <c r="B44" t="s">
        <v>2211</v>
      </c>
      <c r="C44" t="s">
        <v>407</v>
      </c>
      <c r="D44" t="s">
        <v>2199</v>
      </c>
    </row>
    <row r="45" spans="1:4" x14ac:dyDescent="0.25">
      <c r="A45" t="s">
        <v>2323</v>
      </c>
      <c r="B45" t="s">
        <v>2213</v>
      </c>
      <c r="C45" t="s">
        <v>2214</v>
      </c>
      <c r="D45" t="s">
        <v>2199</v>
      </c>
    </row>
    <row r="46" spans="1:4" x14ac:dyDescent="0.25">
      <c r="A46" t="s">
        <v>2323</v>
      </c>
      <c r="B46" t="s">
        <v>2308</v>
      </c>
    </row>
    <row r="47" spans="1:4" x14ac:dyDescent="0.25">
      <c r="A47" t="s">
        <v>1828</v>
      </c>
      <c r="B47" t="s">
        <v>2322</v>
      </c>
    </row>
    <row r="49" spans="1:3" x14ac:dyDescent="0.25">
      <c r="B49" s="162" t="s">
        <v>2304</v>
      </c>
    </row>
    <row r="50" spans="1:3" x14ac:dyDescent="0.25">
      <c r="A50" t="s">
        <v>0</v>
      </c>
      <c r="B50" s="163" t="s">
        <v>2212</v>
      </c>
      <c r="C50" t="s">
        <v>2016</v>
      </c>
    </row>
    <row r="51" spans="1:3" x14ac:dyDescent="0.25">
      <c r="A51" t="s">
        <v>0</v>
      </c>
      <c r="B51" s="163" t="s">
        <v>2215</v>
      </c>
      <c r="C51" t="s">
        <v>2084</v>
      </c>
    </row>
    <row r="52" spans="1:3" x14ac:dyDescent="0.25">
      <c r="A52" t="s">
        <v>0</v>
      </c>
      <c r="B52" s="163" t="s">
        <v>2216</v>
      </c>
      <c r="C52" t="s">
        <v>2102</v>
      </c>
    </row>
    <row r="53" spans="1:3" x14ac:dyDescent="0.25">
      <c r="A53" t="s">
        <v>0</v>
      </c>
      <c r="B53" s="163" t="s">
        <v>2217</v>
      </c>
      <c r="C53" t="s">
        <v>2083</v>
      </c>
    </row>
    <row r="54" spans="1:3" x14ac:dyDescent="0.25">
      <c r="A54" t="s">
        <v>0</v>
      </c>
      <c r="B54" s="163" t="s">
        <v>2218</v>
      </c>
      <c r="C54" t="s">
        <v>2119</v>
      </c>
    </row>
    <row r="55" spans="1:3" x14ac:dyDescent="0.25">
      <c r="A55" t="s">
        <v>0</v>
      </c>
      <c r="B55" s="163" t="s">
        <v>1324</v>
      </c>
      <c r="C55" t="s">
        <v>2221</v>
      </c>
    </row>
    <row r="56" spans="1:3" x14ac:dyDescent="0.25">
      <c r="A56" t="s">
        <v>0</v>
      </c>
      <c r="B56" s="163" t="s">
        <v>1972</v>
      </c>
      <c r="C56" t="s">
        <v>1974</v>
      </c>
    </row>
    <row r="57" spans="1:3" x14ac:dyDescent="0.25">
      <c r="A57" t="s">
        <v>2313</v>
      </c>
      <c r="B57" s="163" t="s">
        <v>2314</v>
      </c>
    </row>
    <row r="58" spans="1:3" x14ac:dyDescent="0.25">
      <c r="B58" s="163"/>
    </row>
    <row r="59" spans="1:3" x14ac:dyDescent="0.25">
      <c r="B59" s="162" t="s">
        <v>2303</v>
      </c>
    </row>
    <row r="60" spans="1:3" x14ac:dyDescent="0.25">
      <c r="A60" t="s">
        <v>0</v>
      </c>
      <c r="B60" t="s">
        <v>2134</v>
      </c>
      <c r="C60" t="s">
        <v>2097</v>
      </c>
    </row>
    <row r="61" spans="1:3" x14ac:dyDescent="0.25">
      <c r="A61" t="s">
        <v>0</v>
      </c>
      <c r="B61" t="s">
        <v>2193</v>
      </c>
      <c r="C61" t="s">
        <v>1792</v>
      </c>
    </row>
    <row r="62" spans="1:3" x14ac:dyDescent="0.25">
      <c r="A62" t="s">
        <v>0</v>
      </c>
      <c r="B62" t="s">
        <v>2135</v>
      </c>
      <c r="C62" t="s">
        <v>2099</v>
      </c>
    </row>
    <row r="63" spans="1:3" x14ac:dyDescent="0.25">
      <c r="A63" t="s">
        <v>0</v>
      </c>
      <c r="B63" t="s">
        <v>2136</v>
      </c>
      <c r="C63" t="s">
        <v>2160</v>
      </c>
    </row>
    <row r="64" spans="1:3" x14ac:dyDescent="0.25">
      <c r="A64" t="s">
        <v>0</v>
      </c>
      <c r="B64" t="s">
        <v>2089</v>
      </c>
      <c r="C64" t="s">
        <v>2130</v>
      </c>
    </row>
    <row r="65" spans="1:3" x14ac:dyDescent="0.25">
      <c r="A65" t="s">
        <v>0</v>
      </c>
      <c r="B65" t="s">
        <v>2137</v>
      </c>
      <c r="C65" t="s">
        <v>2098</v>
      </c>
    </row>
    <row r="66" spans="1:3" x14ac:dyDescent="0.25">
      <c r="A66" t="s">
        <v>0</v>
      </c>
      <c r="B66" t="s">
        <v>2138</v>
      </c>
      <c r="C66" t="s">
        <v>2094</v>
      </c>
    </row>
    <row r="67" spans="1:3" x14ac:dyDescent="0.25">
      <c r="A67" t="s">
        <v>0</v>
      </c>
      <c r="B67" t="s">
        <v>2139</v>
      </c>
      <c r="C67" t="s">
        <v>2094</v>
      </c>
    </row>
    <row r="68" spans="1:3" x14ac:dyDescent="0.25">
      <c r="A68" t="s">
        <v>0</v>
      </c>
      <c r="B68" t="s">
        <v>2140</v>
      </c>
      <c r="C68" t="s">
        <v>2161</v>
      </c>
    </row>
    <row r="69" spans="1:3" x14ac:dyDescent="0.25">
      <c r="A69" t="s">
        <v>0</v>
      </c>
      <c r="B69" t="s">
        <v>2141</v>
      </c>
      <c r="C69" t="s">
        <v>1981</v>
      </c>
    </row>
    <row r="70" spans="1:3" x14ac:dyDescent="0.25">
      <c r="A70" t="s">
        <v>0</v>
      </c>
      <c r="B70" t="s">
        <v>2142</v>
      </c>
      <c r="C70" t="s">
        <v>1977</v>
      </c>
    </row>
    <row r="71" spans="1:3" x14ac:dyDescent="0.25">
      <c r="A71" t="s">
        <v>0</v>
      </c>
      <c r="B71" t="s">
        <v>2143</v>
      </c>
      <c r="C71" t="s">
        <v>1978</v>
      </c>
    </row>
    <row r="72" spans="1:3" x14ac:dyDescent="0.25">
      <c r="A72" t="s">
        <v>0</v>
      </c>
      <c r="B72" t="s">
        <v>2144</v>
      </c>
      <c r="C72" t="s">
        <v>1979</v>
      </c>
    </row>
    <row r="73" spans="1:3" x14ac:dyDescent="0.25">
      <c r="A73" t="s">
        <v>0</v>
      </c>
      <c r="B73" t="s">
        <v>2145</v>
      </c>
      <c r="C73" t="s">
        <v>1983</v>
      </c>
    </row>
    <row r="74" spans="1:3" x14ac:dyDescent="0.25">
      <c r="A74" t="s">
        <v>0</v>
      </c>
      <c r="B74" t="s">
        <v>2146</v>
      </c>
      <c r="C74" t="s">
        <v>1980</v>
      </c>
    </row>
    <row r="75" spans="1:3" x14ac:dyDescent="0.25">
      <c r="A75" t="s">
        <v>0</v>
      </c>
      <c r="B75" t="s">
        <v>2147</v>
      </c>
      <c r="C75" t="s">
        <v>1982</v>
      </c>
    </row>
    <row r="76" spans="1:3" x14ac:dyDescent="0.25">
      <c r="A76" t="s">
        <v>0</v>
      </c>
      <c r="B76" t="s">
        <v>2077</v>
      </c>
      <c r="C76" t="s">
        <v>2079</v>
      </c>
    </row>
    <row r="77" spans="1:3" x14ac:dyDescent="0.25">
      <c r="A77" t="s">
        <v>0</v>
      </c>
      <c r="B77" t="s">
        <v>2069</v>
      </c>
      <c r="C77" t="s">
        <v>337</v>
      </c>
    </row>
    <row r="78" spans="1:3" x14ac:dyDescent="0.25">
      <c r="A78" t="s">
        <v>0</v>
      </c>
      <c r="B78" t="s">
        <v>2148</v>
      </c>
      <c r="C78" t="s">
        <v>2070</v>
      </c>
    </row>
    <row r="79" spans="1:3" x14ac:dyDescent="0.25">
      <c r="A79" t="s">
        <v>0</v>
      </c>
      <c r="B79" t="s">
        <v>1987</v>
      </c>
      <c r="C79" t="s">
        <v>2162</v>
      </c>
    </row>
    <row r="80" spans="1:3" x14ac:dyDescent="0.25">
      <c r="A80" t="s">
        <v>0</v>
      </c>
      <c r="B80" t="s">
        <v>2149</v>
      </c>
      <c r="C80" t="s">
        <v>2163</v>
      </c>
    </row>
    <row r="81" spans="1:3" x14ac:dyDescent="0.25">
      <c r="A81" t="s">
        <v>0</v>
      </c>
      <c r="B81" t="s">
        <v>2150</v>
      </c>
      <c r="C81" t="s">
        <v>1992</v>
      </c>
    </row>
    <row r="82" spans="1:3" x14ac:dyDescent="0.25">
      <c r="A82" t="s">
        <v>0</v>
      </c>
      <c r="B82" t="s">
        <v>2151</v>
      </c>
      <c r="C82" t="s">
        <v>2164</v>
      </c>
    </row>
    <row r="83" spans="1:3" x14ac:dyDescent="0.25">
      <c r="A83" t="s">
        <v>0</v>
      </c>
      <c r="B83" t="s">
        <v>2152</v>
      </c>
      <c r="C83" t="s">
        <v>2165</v>
      </c>
    </row>
    <row r="84" spans="1:3" x14ac:dyDescent="0.25">
      <c r="A84" t="s">
        <v>0</v>
      </c>
      <c r="B84" t="s">
        <v>2153</v>
      </c>
      <c r="C84" t="s">
        <v>2166</v>
      </c>
    </row>
    <row r="85" spans="1:3" x14ac:dyDescent="0.25">
      <c r="A85" t="s">
        <v>0</v>
      </c>
      <c r="B85" t="s">
        <v>2154</v>
      </c>
      <c r="C85" t="s">
        <v>2167</v>
      </c>
    </row>
    <row r="86" spans="1:3" x14ac:dyDescent="0.25">
      <c r="A86" t="s">
        <v>0</v>
      </c>
      <c r="B86" t="s">
        <v>2155</v>
      </c>
      <c r="C86" t="s">
        <v>2168</v>
      </c>
    </row>
    <row r="87" spans="1:3" x14ac:dyDescent="0.25">
      <c r="A87" t="s">
        <v>0</v>
      </c>
      <c r="B87" t="s">
        <v>2156</v>
      </c>
      <c r="C87" t="s">
        <v>2000</v>
      </c>
    </row>
    <row r="88" spans="1:3" x14ac:dyDescent="0.25">
      <c r="A88" t="s">
        <v>0</v>
      </c>
      <c r="B88" t="s">
        <v>2157</v>
      </c>
      <c r="C88" t="s">
        <v>2000</v>
      </c>
    </row>
    <row r="89" spans="1:3" x14ac:dyDescent="0.25">
      <c r="A89" t="s">
        <v>0</v>
      </c>
      <c r="B89" t="s">
        <v>2066</v>
      </c>
      <c r="C89" t="s">
        <v>2067</v>
      </c>
    </row>
    <row r="90" spans="1:3" x14ac:dyDescent="0.25">
      <c r="A90" t="s">
        <v>0</v>
      </c>
      <c r="B90" t="s">
        <v>2158</v>
      </c>
      <c r="C90" t="s">
        <v>2169</v>
      </c>
    </row>
    <row r="91" spans="1:3" x14ac:dyDescent="0.25">
      <c r="A91" t="s">
        <v>0</v>
      </c>
      <c r="B91" t="s">
        <v>2159</v>
      </c>
      <c r="C91" t="s">
        <v>2071</v>
      </c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Road to 100%</vt:lpstr>
      <vt:lpstr>Unit List</vt:lpstr>
      <vt:lpstr>Style List</vt:lpstr>
      <vt:lpstr>Unit Types</vt:lpstr>
      <vt:lpstr>Notes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Nussbaum</dc:creator>
  <cp:lastModifiedBy>Nutty</cp:lastModifiedBy>
  <cp:lastPrinted>2015-12-03T04:40:50Z</cp:lastPrinted>
  <dcterms:created xsi:type="dcterms:W3CDTF">2015-11-04T07:24:06Z</dcterms:created>
  <dcterms:modified xsi:type="dcterms:W3CDTF">2016-11-20T10:07:56Z</dcterms:modified>
</cp:coreProperties>
</file>