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0" yWindow="0" windowWidth="20490" windowHeight="8235" tabRatio="437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304" i="2" l="1"/>
  <c r="A138" i="2" l="1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7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5" i="2"/>
  <c r="A992" i="2"/>
  <c r="A159" i="2"/>
  <c r="A1516" i="2"/>
  <c r="A1515" i="2"/>
  <c r="A156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8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M72" i="3" l="1"/>
  <c r="M68" i="3"/>
  <c r="M64" i="3"/>
  <c r="M69" i="3"/>
  <c r="M76" i="3"/>
  <c r="M71" i="3"/>
  <c r="M67" i="3"/>
  <c r="M63" i="3"/>
  <c r="M74" i="3"/>
  <c r="M70" i="3"/>
  <c r="M66" i="3"/>
  <c r="M73" i="3"/>
  <c r="M65" i="3"/>
  <c r="AD56" i="3"/>
  <c r="AF56" i="3" s="1"/>
  <c r="AF75" i="3"/>
  <c r="AD57" i="3"/>
  <c r="AF57" i="3" s="1"/>
  <c r="AD41" i="3"/>
  <c r="AF41" i="3" s="1"/>
  <c r="AD25" i="3"/>
  <c r="AF25" i="3" s="1"/>
  <c r="AD9" i="3"/>
  <c r="AF9" i="3" s="1"/>
  <c r="AD60" i="3"/>
  <c r="AE60" i="3" s="1"/>
  <c r="AD40" i="3"/>
  <c r="AE40" i="3" s="1"/>
  <c r="AD24" i="3"/>
  <c r="AF24" i="3" s="1"/>
  <c r="AD8" i="3"/>
  <c r="AF8" i="3" s="1"/>
  <c r="AD59" i="3"/>
  <c r="AE59" i="3" s="1"/>
  <c r="AD43" i="3"/>
  <c r="AF43" i="3" s="1"/>
  <c r="AD27" i="3"/>
  <c r="AF27" i="3" s="1"/>
  <c r="AD11" i="3"/>
  <c r="AE11" i="3" s="1"/>
  <c r="AD71" i="3"/>
  <c r="AE71" i="3" s="1"/>
  <c r="AD54" i="3"/>
  <c r="AF54" i="3" s="1"/>
  <c r="AD38" i="3"/>
  <c r="AF38" i="3" s="1"/>
  <c r="AD22" i="3"/>
  <c r="AE22" i="3" s="1"/>
  <c r="AD6" i="3"/>
  <c r="AE6" i="3" s="1"/>
  <c r="AD31" i="3"/>
  <c r="AF31" i="3" s="1"/>
  <c r="AD76" i="3"/>
  <c r="AE76" i="3" s="1"/>
  <c r="AD26" i="3"/>
  <c r="AF26" i="3" s="1"/>
  <c r="AD70" i="3"/>
  <c r="AF70" i="3" s="1"/>
  <c r="AD53" i="3"/>
  <c r="AF53" i="3" s="1"/>
  <c r="AD37" i="3"/>
  <c r="AF37" i="3" s="1"/>
  <c r="AD21" i="3"/>
  <c r="AF21" i="3" s="1"/>
  <c r="AD5" i="3"/>
  <c r="AF5" i="3" s="1"/>
  <c r="AE74" i="3"/>
  <c r="AD52" i="3"/>
  <c r="AF52" i="3" s="1"/>
  <c r="AD36" i="3"/>
  <c r="AE36" i="3" s="1"/>
  <c r="AD20" i="3"/>
  <c r="AE20" i="3" s="1"/>
  <c r="AD4" i="3"/>
  <c r="AF4" i="3" s="1"/>
  <c r="AD72" i="3"/>
  <c r="AE72" i="3" s="1"/>
  <c r="AD55" i="3"/>
  <c r="AF55" i="3" s="1"/>
  <c r="AD39" i="3"/>
  <c r="AF39" i="3" s="1"/>
  <c r="AD23" i="3"/>
  <c r="AF23" i="3" s="1"/>
  <c r="AD7" i="3"/>
  <c r="AE7" i="3" s="1"/>
  <c r="AF36" i="3"/>
  <c r="AD67" i="3"/>
  <c r="AE67" i="3" s="1"/>
  <c r="AD50" i="3"/>
  <c r="AF50" i="3" s="1"/>
  <c r="AD34" i="3"/>
  <c r="AF34" i="3" s="1"/>
  <c r="AD18" i="3"/>
  <c r="AF18" i="3" s="1"/>
  <c r="AD47" i="3"/>
  <c r="AF47" i="3" s="1"/>
  <c r="AD58" i="3"/>
  <c r="AF58" i="3" s="1"/>
  <c r="AD10" i="3"/>
  <c r="AE10" i="3" s="1"/>
  <c r="AF66" i="3"/>
  <c r="AD49" i="3"/>
  <c r="AF49" i="3" s="1"/>
  <c r="AD33" i="3"/>
  <c r="AE33" i="3" s="1"/>
  <c r="AD17" i="3"/>
  <c r="AE17" i="3" s="1"/>
  <c r="AD69" i="3"/>
  <c r="AF69" i="3" s="1"/>
  <c r="AD48" i="3"/>
  <c r="AE48" i="3" s="1"/>
  <c r="AD32" i="3"/>
  <c r="AE32" i="3" s="1"/>
  <c r="AD16" i="3"/>
  <c r="AE16" i="3" s="1"/>
  <c r="AD68" i="3"/>
  <c r="AF68" i="3" s="1"/>
  <c r="AD51" i="3"/>
  <c r="AF51" i="3" s="1"/>
  <c r="AD35" i="3"/>
  <c r="AF35" i="3" s="1"/>
  <c r="AD19" i="3"/>
  <c r="AE19" i="3" s="1"/>
  <c r="AD62" i="3"/>
  <c r="AF62" i="3" s="1"/>
  <c r="AD46" i="3"/>
  <c r="AF46" i="3" s="1"/>
  <c r="AD30" i="3"/>
  <c r="AF30" i="3" s="1"/>
  <c r="AD14" i="3"/>
  <c r="AE14" i="3" s="1"/>
  <c r="AD61" i="3"/>
  <c r="AF61" i="3" s="1"/>
  <c r="AD45" i="3"/>
  <c r="AF45" i="3" s="1"/>
  <c r="AD29" i="3"/>
  <c r="AF29" i="3" s="1"/>
  <c r="AD13" i="3"/>
  <c r="AF13" i="3" s="1"/>
  <c r="AD65" i="3"/>
  <c r="AE65" i="3" s="1"/>
  <c r="AD44" i="3"/>
  <c r="AE44" i="3" s="1"/>
  <c r="AD28" i="3"/>
  <c r="AF28" i="3" s="1"/>
  <c r="AD12" i="3"/>
  <c r="AF12" i="3" s="1"/>
  <c r="AD64" i="3"/>
  <c r="AE64" i="3" s="1"/>
  <c r="AD15" i="3"/>
  <c r="AE15" i="3" s="1"/>
  <c r="AD42" i="3"/>
  <c r="AF42" i="3" s="1"/>
  <c r="M5" i="3"/>
  <c r="M9" i="3"/>
  <c r="M13" i="3"/>
  <c r="M17" i="3"/>
  <c r="M21" i="3"/>
  <c r="M25" i="3"/>
  <c r="J6" i="3"/>
  <c r="J10" i="3"/>
  <c r="J14" i="3"/>
  <c r="J18" i="3"/>
  <c r="M6" i="3"/>
  <c r="M10" i="3"/>
  <c r="M14" i="3"/>
  <c r="M18" i="3"/>
  <c r="M22" i="3"/>
  <c r="M26" i="3"/>
  <c r="J7" i="3"/>
  <c r="J11" i="3"/>
  <c r="J15" i="3"/>
  <c r="M7" i="3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76" i="3"/>
  <c r="AP76" i="3"/>
  <c r="X76" i="3"/>
  <c r="BE75" i="3"/>
  <c r="BE74" i="3"/>
  <c r="AP74" i="3"/>
  <c r="BE72" i="3"/>
  <c r="AP72" i="3"/>
  <c r="X72" i="3"/>
  <c r="BE71" i="3"/>
  <c r="AP71" i="3"/>
  <c r="X71" i="3"/>
  <c r="BE70" i="3"/>
  <c r="AP70" i="3"/>
  <c r="X70" i="3"/>
  <c r="BE69" i="3"/>
  <c r="AP69" i="3"/>
  <c r="X69" i="3"/>
  <c r="BE68" i="3"/>
  <c r="AP68" i="3"/>
  <c r="X68" i="3"/>
  <c r="BE67" i="3"/>
  <c r="AP67" i="3"/>
  <c r="X67" i="3"/>
  <c r="BE66" i="3"/>
  <c r="AP66" i="3"/>
  <c r="X66" i="3"/>
  <c r="BE65" i="3"/>
  <c r="AP65" i="3"/>
  <c r="X65" i="3"/>
  <c r="BE64" i="3"/>
  <c r="AP64" i="3"/>
  <c r="X64" i="3"/>
  <c r="BE62" i="3"/>
  <c r="AP62" i="3"/>
  <c r="X62" i="3"/>
  <c r="B62" i="3"/>
  <c r="AU61" i="3"/>
  <c r="AG61" i="3"/>
  <c r="J61" i="3"/>
  <c r="AX60" i="3"/>
  <c r="AK60" i="3"/>
  <c r="M60" i="3"/>
  <c r="BA59" i="3"/>
  <c r="AN59" i="3"/>
  <c r="AO59" i="3" s="1"/>
  <c r="P59" i="3"/>
  <c r="BE58" i="3"/>
  <c r="BF58" i="3" s="1"/>
  <c r="AP58" i="3"/>
  <c r="X58" i="3"/>
  <c r="B58" i="3"/>
  <c r="AU57" i="3"/>
  <c r="AG57" i="3"/>
  <c r="J57" i="3"/>
  <c r="AX56" i="3"/>
  <c r="AK56" i="3"/>
  <c r="AM56" i="3" s="1"/>
  <c r="M56" i="3"/>
  <c r="BA55" i="3"/>
  <c r="AN55" i="3"/>
  <c r="P55" i="3"/>
  <c r="BE54" i="3"/>
  <c r="AP54" i="3"/>
  <c r="X54" i="3"/>
  <c r="B54" i="3"/>
  <c r="AU53" i="3"/>
  <c r="AG53" i="3"/>
  <c r="J53" i="3"/>
  <c r="AX52" i="3"/>
  <c r="AK52" i="3"/>
  <c r="M52" i="3"/>
  <c r="BA51" i="3"/>
  <c r="AN51" i="3"/>
  <c r="P51" i="3"/>
  <c r="BE50" i="3"/>
  <c r="AP50" i="3"/>
  <c r="X50" i="3"/>
  <c r="B50" i="3"/>
  <c r="AU49" i="3"/>
  <c r="AG49" i="3"/>
  <c r="J49" i="3"/>
  <c r="AX48" i="3"/>
  <c r="AK48" i="3"/>
  <c r="M48" i="3"/>
  <c r="BA76" i="3"/>
  <c r="AN76" i="3"/>
  <c r="P76" i="3"/>
  <c r="BA75" i="3"/>
  <c r="AN74" i="3"/>
  <c r="P74" i="3"/>
  <c r="BA72" i="3"/>
  <c r="AN72" i="3"/>
  <c r="P72" i="3"/>
  <c r="BA71" i="3"/>
  <c r="AN71" i="3"/>
  <c r="P71" i="3"/>
  <c r="BA70" i="3"/>
  <c r="AN70" i="3"/>
  <c r="P70" i="3"/>
  <c r="BA69" i="3"/>
  <c r="AN69" i="3"/>
  <c r="P69" i="3"/>
  <c r="BA68" i="3"/>
  <c r="AN68" i="3"/>
  <c r="P68" i="3"/>
  <c r="BA67" i="3"/>
  <c r="AN67" i="3"/>
  <c r="P67" i="3"/>
  <c r="BA66" i="3"/>
  <c r="AN66" i="3"/>
  <c r="P66" i="3"/>
  <c r="BA65" i="3"/>
  <c r="AN65" i="3"/>
  <c r="P65" i="3"/>
  <c r="BA64" i="3"/>
  <c r="AN64" i="3"/>
  <c r="P64" i="3"/>
  <c r="BA62" i="3"/>
  <c r="AN62" i="3"/>
  <c r="P62" i="3"/>
  <c r="BE61" i="3"/>
  <c r="AP61" i="3"/>
  <c r="X61" i="3"/>
  <c r="B61" i="3"/>
  <c r="AU60" i="3"/>
  <c r="AG60" i="3"/>
  <c r="J60" i="3"/>
  <c r="AX59" i="3"/>
  <c r="AK59" i="3"/>
  <c r="AL59" i="3" s="1"/>
  <c r="M59" i="3"/>
  <c r="BA58" i="3"/>
  <c r="AN58" i="3"/>
  <c r="P58" i="3"/>
  <c r="BE57" i="3"/>
  <c r="AP57" i="3"/>
  <c r="X57" i="3"/>
  <c r="B57" i="3"/>
  <c r="AU56" i="3"/>
  <c r="AG56" i="3"/>
  <c r="J56" i="3"/>
  <c r="AX55" i="3"/>
  <c r="AK55" i="3"/>
  <c r="AX76" i="3"/>
  <c r="J76" i="3"/>
  <c r="AK75" i="3"/>
  <c r="AK72" i="3"/>
  <c r="AX71" i="3"/>
  <c r="J71" i="3"/>
  <c r="AK70" i="3"/>
  <c r="AX69" i="3"/>
  <c r="J69" i="3"/>
  <c r="AK68" i="3"/>
  <c r="AX67" i="3"/>
  <c r="J67" i="3"/>
  <c r="AK66" i="3"/>
  <c r="AX65" i="3"/>
  <c r="J65" i="3"/>
  <c r="AK64" i="3"/>
  <c r="AX62" i="3"/>
  <c r="M62" i="3"/>
  <c r="AN61" i="3"/>
  <c r="BE60" i="3"/>
  <c r="BF60" i="3" s="1"/>
  <c r="X60" i="3"/>
  <c r="AU59" i="3"/>
  <c r="J59" i="3"/>
  <c r="AK58" i="3"/>
  <c r="BA57" i="3"/>
  <c r="P57" i="3"/>
  <c r="AP56" i="3"/>
  <c r="B56" i="3"/>
  <c r="AG55" i="3"/>
  <c r="B55" i="3"/>
  <c r="AN54" i="3"/>
  <c r="M54" i="3"/>
  <c r="AX53" i="3"/>
  <c r="X53" i="3"/>
  <c r="BE52" i="3"/>
  <c r="AN52" i="3"/>
  <c r="J52" i="3"/>
  <c r="K52" i="3" s="1"/>
  <c r="AU51" i="3"/>
  <c r="X51" i="3"/>
  <c r="BA50" i="3"/>
  <c r="AK50" i="3"/>
  <c r="J50" i="3"/>
  <c r="AP49" i="3"/>
  <c r="P49" i="3"/>
  <c r="BA48" i="3"/>
  <c r="AG48" i="3"/>
  <c r="B48" i="3"/>
  <c r="AU47" i="3"/>
  <c r="AG47" i="3"/>
  <c r="J47" i="3"/>
  <c r="AX46" i="3"/>
  <c r="AK46" i="3"/>
  <c r="M46" i="3"/>
  <c r="BA45" i="3"/>
  <c r="AN45" i="3"/>
  <c r="P45" i="3"/>
  <c r="BE44" i="3"/>
  <c r="BF44" i="3" s="1"/>
  <c r="AP44" i="3"/>
  <c r="X44" i="3"/>
  <c r="B44" i="3"/>
  <c r="AU43" i="3"/>
  <c r="AG43" i="3"/>
  <c r="J43" i="3"/>
  <c r="AX42" i="3"/>
  <c r="AK42" i="3"/>
  <c r="M42" i="3"/>
  <c r="BA41" i="3"/>
  <c r="AN41" i="3"/>
  <c r="P41" i="3"/>
  <c r="BE40" i="3"/>
  <c r="BF40" i="3" s="1"/>
  <c r="AP40" i="3"/>
  <c r="X40" i="3"/>
  <c r="AC40" i="3" s="1"/>
  <c r="B40" i="3"/>
  <c r="AU39" i="3"/>
  <c r="AG39" i="3"/>
  <c r="J39" i="3"/>
  <c r="AX38" i="3"/>
  <c r="AK38" i="3"/>
  <c r="M38" i="3"/>
  <c r="BA37" i="3"/>
  <c r="AN37" i="3"/>
  <c r="P37" i="3"/>
  <c r="BE36" i="3"/>
  <c r="AP36" i="3"/>
  <c r="X36" i="3"/>
  <c r="B36" i="3"/>
  <c r="AU35" i="3"/>
  <c r="AG35" i="3"/>
  <c r="J35" i="3"/>
  <c r="AX34" i="3"/>
  <c r="AK34" i="3"/>
  <c r="M34" i="3"/>
  <c r="BA33" i="3"/>
  <c r="AN33" i="3"/>
  <c r="P33" i="3"/>
  <c r="BE32" i="3"/>
  <c r="AP32" i="3"/>
  <c r="X32" i="3"/>
  <c r="B32" i="3"/>
  <c r="AU31" i="3"/>
  <c r="AG31" i="3"/>
  <c r="J31" i="3"/>
  <c r="AX30" i="3"/>
  <c r="AK30" i="3"/>
  <c r="M30" i="3"/>
  <c r="BA29" i="3"/>
  <c r="AN29" i="3"/>
  <c r="P29" i="3"/>
  <c r="BE28" i="3"/>
  <c r="AP28" i="3"/>
  <c r="X28" i="3"/>
  <c r="B28" i="3"/>
  <c r="AU27" i="3"/>
  <c r="AG27" i="3"/>
  <c r="J27" i="3"/>
  <c r="AX26" i="3"/>
  <c r="AK26" i="3"/>
  <c r="BA25" i="3"/>
  <c r="AN25" i="3"/>
  <c r="P25" i="3"/>
  <c r="BE24" i="3"/>
  <c r="AP24" i="3"/>
  <c r="X24" i="3"/>
  <c r="B24" i="3"/>
  <c r="AU23" i="3"/>
  <c r="AG23" i="3"/>
  <c r="J23" i="3"/>
  <c r="AX22" i="3"/>
  <c r="AK22" i="3"/>
  <c r="BA21" i="3"/>
  <c r="AN21" i="3"/>
  <c r="P21" i="3"/>
  <c r="BE20" i="3"/>
  <c r="BF20" i="3" s="1"/>
  <c r="AP20" i="3"/>
  <c r="X20" i="3"/>
  <c r="B20" i="3"/>
  <c r="AU19" i="3"/>
  <c r="AV19" i="3" s="1"/>
  <c r="AG19" i="3"/>
  <c r="J19" i="3"/>
  <c r="AX18" i="3"/>
  <c r="AK18" i="3"/>
  <c r="B18" i="3"/>
  <c r="AU17" i="3"/>
  <c r="AG17" i="3"/>
  <c r="BE16" i="3"/>
  <c r="AP16" i="3"/>
  <c r="X16" i="3"/>
  <c r="AC16" i="3" s="1"/>
  <c r="BA15" i="3"/>
  <c r="AN15" i="3"/>
  <c r="P15" i="3"/>
  <c r="AX14" i="3"/>
  <c r="AK14" i="3"/>
  <c r="B14" i="3"/>
  <c r="AU13" i="3"/>
  <c r="AG13" i="3"/>
  <c r="BE12" i="3"/>
  <c r="AP12" i="3"/>
  <c r="X12" i="3"/>
  <c r="BA11" i="3"/>
  <c r="AN11" i="3"/>
  <c r="P11" i="3"/>
  <c r="AX10" i="3"/>
  <c r="AK10" i="3"/>
  <c r="B10" i="3"/>
  <c r="AU9" i="3"/>
  <c r="AG9" i="3"/>
  <c r="AU76" i="3"/>
  <c r="B76" i="3"/>
  <c r="AU74" i="3"/>
  <c r="B74" i="3"/>
  <c r="AG72" i="3"/>
  <c r="AU71" i="3"/>
  <c r="B71" i="3"/>
  <c r="AG70" i="3"/>
  <c r="AU69" i="3"/>
  <c r="B69" i="3"/>
  <c r="AG68" i="3"/>
  <c r="AU67" i="3"/>
  <c r="B67" i="3"/>
  <c r="AG66" i="3"/>
  <c r="AU65" i="3"/>
  <c r="B65" i="3"/>
  <c r="AG64" i="3"/>
  <c r="AU62" i="3"/>
  <c r="J62" i="3"/>
  <c r="AK61" i="3"/>
  <c r="BA60" i="3"/>
  <c r="P60" i="3"/>
  <c r="AP59" i="3"/>
  <c r="B59" i="3"/>
  <c r="AG58" i="3"/>
  <c r="AX57" i="3"/>
  <c r="M57" i="3"/>
  <c r="AN56" i="3"/>
  <c r="BE55" i="3"/>
  <c r="X55" i="3"/>
  <c r="BA54" i="3"/>
  <c r="AK54" i="3"/>
  <c r="J54" i="3"/>
  <c r="AP53" i="3"/>
  <c r="P53" i="3"/>
  <c r="BA52" i="3"/>
  <c r="AG52" i="3"/>
  <c r="B52" i="3"/>
  <c r="AP51" i="3"/>
  <c r="M51" i="3"/>
  <c r="AX50" i="3"/>
  <c r="AG50" i="3"/>
  <c r="BE49" i="3"/>
  <c r="BF49" i="3" s="1"/>
  <c r="AN49" i="3"/>
  <c r="M49" i="3"/>
  <c r="AU48" i="3"/>
  <c r="X48" i="3"/>
  <c r="AC48" i="3" s="1"/>
  <c r="BE47" i="3"/>
  <c r="AP47" i="3"/>
  <c r="X47" i="3"/>
  <c r="B47" i="3"/>
  <c r="AU46" i="3"/>
  <c r="AG46" i="3"/>
  <c r="J46" i="3"/>
  <c r="AX45" i="3"/>
  <c r="AK45" i="3"/>
  <c r="M45" i="3"/>
  <c r="N45" i="3" s="1"/>
  <c r="BA44" i="3"/>
  <c r="AN44" i="3"/>
  <c r="P44" i="3"/>
  <c r="BE43" i="3"/>
  <c r="BF43" i="3" s="1"/>
  <c r="AP43" i="3"/>
  <c r="X43" i="3"/>
  <c r="B43" i="3"/>
  <c r="AU42" i="3"/>
  <c r="AG42" i="3"/>
  <c r="J42" i="3"/>
  <c r="AX41" i="3"/>
  <c r="AK76" i="3"/>
  <c r="AX72" i="3"/>
  <c r="AK71" i="3"/>
  <c r="J70" i="3"/>
  <c r="AX68" i="3"/>
  <c r="AK67" i="3"/>
  <c r="J66" i="3"/>
  <c r="AX64" i="3"/>
  <c r="AK62" i="3"/>
  <c r="P61" i="3"/>
  <c r="B60" i="3"/>
  <c r="AX58" i="3"/>
  <c r="AN57" i="3"/>
  <c r="X56" i="3"/>
  <c r="AC56" i="3" s="1"/>
  <c r="M55" i="3"/>
  <c r="AG54" i="3"/>
  <c r="AN53" i="3"/>
  <c r="AU52" i="3"/>
  <c r="BE51" i="3"/>
  <c r="BF51" i="3" s="1"/>
  <c r="J51" i="3"/>
  <c r="P50" i="3"/>
  <c r="AK49" i="3"/>
  <c r="AP48" i="3"/>
  <c r="BA47" i="3"/>
  <c r="P47" i="3"/>
  <c r="AP46" i="3"/>
  <c r="B46" i="3"/>
  <c r="AG45" i="3"/>
  <c r="AX44" i="3"/>
  <c r="M44" i="3"/>
  <c r="AN43" i="3"/>
  <c r="BE42" i="3"/>
  <c r="X42" i="3"/>
  <c r="AU41" i="3"/>
  <c r="X41" i="3"/>
  <c r="BA40" i="3"/>
  <c r="AK40" i="3"/>
  <c r="J40" i="3"/>
  <c r="AP39" i="3"/>
  <c r="P39" i="3"/>
  <c r="BA38" i="3"/>
  <c r="AG38" i="3"/>
  <c r="B38" i="3"/>
  <c r="AP37" i="3"/>
  <c r="M37" i="3"/>
  <c r="AX36" i="3"/>
  <c r="AG36" i="3"/>
  <c r="BE35" i="3"/>
  <c r="BF35" i="3" s="1"/>
  <c r="AN35" i="3"/>
  <c r="M35" i="3"/>
  <c r="AU34" i="3"/>
  <c r="X34" i="3"/>
  <c r="BE33" i="3"/>
  <c r="BF33" i="3" s="1"/>
  <c r="AK33" i="3"/>
  <c r="J33" i="3"/>
  <c r="AU32" i="3"/>
  <c r="P32" i="3"/>
  <c r="BA31" i="3"/>
  <c r="AK31" i="3"/>
  <c r="B31" i="3"/>
  <c r="AP30" i="3"/>
  <c r="P30" i="3"/>
  <c r="AX29" i="3"/>
  <c r="AG29" i="3"/>
  <c r="B29" i="3"/>
  <c r="AN28" i="3"/>
  <c r="M28" i="3"/>
  <c r="AX27" i="3"/>
  <c r="X27" i="3"/>
  <c r="AC27" i="3" s="1"/>
  <c r="BE26" i="3"/>
  <c r="BF26" i="3" s="1"/>
  <c r="AN26" i="3"/>
  <c r="J26" i="3"/>
  <c r="AU25" i="3"/>
  <c r="X25" i="3"/>
  <c r="BA24" i="3"/>
  <c r="AK24" i="3"/>
  <c r="J24" i="3"/>
  <c r="AP23" i="3"/>
  <c r="P23" i="3"/>
  <c r="BA22" i="3"/>
  <c r="AG22" i="3"/>
  <c r="B22" i="3"/>
  <c r="AP21" i="3"/>
  <c r="AX20" i="3"/>
  <c r="AG20" i="3"/>
  <c r="BE19" i="3"/>
  <c r="BF19" i="3" s="1"/>
  <c r="AN19" i="3"/>
  <c r="AU18" i="3"/>
  <c r="AW18" i="3" s="1"/>
  <c r="X18" i="3"/>
  <c r="AC18" i="3" s="1"/>
  <c r="AX17" i="3"/>
  <c r="X17" i="3"/>
  <c r="AX16" i="3"/>
  <c r="AG16" i="3"/>
  <c r="AX15" i="3"/>
  <c r="AG15" i="3"/>
  <c r="BA14" i="3"/>
  <c r="AG14" i="3"/>
  <c r="BA13" i="3"/>
  <c r="AK13" i="3"/>
  <c r="BA12" i="3"/>
  <c r="AK12" i="3"/>
  <c r="BE11" i="3"/>
  <c r="BF11" i="3" s="1"/>
  <c r="AK11" i="3"/>
  <c r="BE10" i="3"/>
  <c r="AN10" i="3"/>
  <c r="BE9" i="3"/>
  <c r="BF9" i="3" s="1"/>
  <c r="AN9" i="3"/>
  <c r="B9" i="3"/>
  <c r="AU8" i="3"/>
  <c r="AG8" i="3"/>
  <c r="BE7" i="3"/>
  <c r="AP7" i="3"/>
  <c r="X7" i="3"/>
  <c r="BA6" i="3"/>
  <c r="AN6" i="3"/>
  <c r="P6" i="3"/>
  <c r="AX5" i="3"/>
  <c r="AK5" i="3"/>
  <c r="AL5" i="3" s="1"/>
  <c r="B5" i="3"/>
  <c r="G5" i="3" s="1"/>
  <c r="AU4" i="3"/>
  <c r="X4" i="3"/>
  <c r="B70" i="3"/>
  <c r="AG67" i="3"/>
  <c r="AU64" i="3"/>
  <c r="M61" i="3"/>
  <c r="BE59" i="3"/>
  <c r="AK57" i="3"/>
  <c r="J55" i="3"/>
  <c r="AK53" i="3"/>
  <c r="AX51" i="3"/>
  <c r="M50" i="3"/>
  <c r="X49" i="3"/>
  <c r="AX47" i="3"/>
  <c r="AN46" i="3"/>
  <c r="X45" i="3"/>
  <c r="AC45" i="3" s="1"/>
  <c r="J44" i="3"/>
  <c r="BA42" i="3"/>
  <c r="AP41" i="3"/>
  <c r="AX40" i="3"/>
  <c r="BE39" i="3"/>
  <c r="M39" i="3"/>
  <c r="AU38" i="3"/>
  <c r="X38" i="3"/>
  <c r="AK37" i="3"/>
  <c r="AU36" i="3"/>
  <c r="BA35" i="3"/>
  <c r="B35" i="3"/>
  <c r="AP34" i="3"/>
  <c r="AX33" i="3"/>
  <c r="B33" i="3"/>
  <c r="M32" i="3"/>
  <c r="X31" i="3"/>
  <c r="AC31" i="3" s="1"/>
  <c r="AN30" i="3"/>
  <c r="AU29" i="3"/>
  <c r="X29" i="3"/>
  <c r="AK28" i="3"/>
  <c r="AP27" i="3"/>
  <c r="BA26" i="3"/>
  <c r="B26" i="3"/>
  <c r="AG24" i="3"/>
  <c r="AN23" i="3"/>
  <c r="AU22" i="3"/>
  <c r="BE21" i="3"/>
  <c r="BF21" i="3" s="1"/>
  <c r="AK21" i="3"/>
  <c r="AU20" i="3"/>
  <c r="BA19" i="3"/>
  <c r="B19" i="3"/>
  <c r="P18" i="3"/>
  <c r="P17" i="3"/>
  <c r="P16" i="3"/>
  <c r="X15" i="3"/>
  <c r="AU14" i="3"/>
  <c r="AX13" i="3"/>
  <c r="AX12" i="3"/>
  <c r="AX11" i="3"/>
  <c r="BA10" i="3"/>
  <c r="BA9" i="3"/>
  <c r="AK9" i="3"/>
  <c r="AP8" i="3"/>
  <c r="BA7" i="3"/>
  <c r="P7" i="3"/>
  <c r="AK6" i="3"/>
  <c r="AU5" i="3"/>
  <c r="BE4" i="3"/>
  <c r="P4" i="3"/>
  <c r="AK74" i="3"/>
  <c r="AX70" i="3"/>
  <c r="J68" i="3"/>
  <c r="AX66" i="3"/>
  <c r="J64" i="3"/>
  <c r="AP60" i="3"/>
  <c r="M58" i="3"/>
  <c r="AU55" i="3"/>
  <c r="BE53" i="3"/>
  <c r="BF53" i="3" s="1"/>
  <c r="X52" i="3"/>
  <c r="AC52" i="3" s="1"/>
  <c r="AK51" i="3"/>
  <c r="BA49" i="3"/>
  <c r="P48" i="3"/>
  <c r="BE46" i="3"/>
  <c r="BF46" i="3" s="1"/>
  <c r="AU45" i="3"/>
  <c r="AK44" i="3"/>
  <c r="P43" i="3"/>
  <c r="B42" i="3"/>
  <c r="J41" i="3"/>
  <c r="P40" i="3"/>
  <c r="AK39" i="3"/>
  <c r="B39" i="3"/>
  <c r="P38" i="3"/>
  <c r="AG37" i="3"/>
  <c r="AN36" i="3"/>
  <c r="AX35" i="3"/>
  <c r="BE34" i="3"/>
  <c r="J34" i="3"/>
  <c r="X33" i="3"/>
  <c r="AC33" i="3" s="1"/>
  <c r="AK32" i="3"/>
  <c r="AG76" i="3"/>
  <c r="AU72" i="3"/>
  <c r="AG71" i="3"/>
  <c r="AU68" i="3"/>
  <c r="B66" i="3"/>
  <c r="AG62" i="3"/>
  <c r="AU58" i="3"/>
  <c r="P56" i="3"/>
  <c r="P54" i="3"/>
  <c r="AP52" i="3"/>
  <c r="B51" i="3"/>
  <c r="AN48" i="3"/>
  <c r="M47" i="3"/>
  <c r="BE45" i="3"/>
  <c r="BF45" i="3" s="1"/>
  <c r="AU44" i="3"/>
  <c r="AK43" i="3"/>
  <c r="P42" i="3"/>
  <c r="M41" i="3"/>
  <c r="AG40" i="3"/>
  <c r="AN39" i="3"/>
  <c r="BE37" i="3"/>
  <c r="BF37" i="3" s="1"/>
  <c r="J37" i="3"/>
  <c r="P36" i="3"/>
  <c r="AK35" i="3"/>
  <c r="P34" i="3"/>
  <c r="AG33" i="3"/>
  <c r="AN32" i="3"/>
  <c r="AX31" i="3"/>
  <c r="BE30" i="3"/>
  <c r="BF30" i="3" s="1"/>
  <c r="J30" i="3"/>
  <c r="BA28" i="3"/>
  <c r="J28" i="3"/>
  <c r="P27" i="3"/>
  <c r="AG26" i="3"/>
  <c r="AP25" i="3"/>
  <c r="AX24" i="3"/>
  <c r="BE23" i="3"/>
  <c r="X22" i="3"/>
  <c r="J21" i="3"/>
  <c r="P20" i="3"/>
  <c r="AK19" i="3"/>
  <c r="AP18" i="3"/>
  <c r="AP17" i="3"/>
  <c r="AU16" i="3"/>
  <c r="AU15" i="3"/>
  <c r="X14" i="3"/>
  <c r="X13" i="3"/>
  <c r="AG12" i="3"/>
  <c r="AG11" i="3"/>
  <c r="AG10" i="3"/>
  <c r="BE8" i="3"/>
  <c r="X8" i="3"/>
  <c r="AN7" i="3"/>
  <c r="AX6" i="3"/>
  <c r="B6" i="3"/>
  <c r="AG5" i="3"/>
  <c r="AP4" i="3"/>
  <c r="AX75" i="3"/>
  <c r="J72" i="3"/>
  <c r="AK69" i="3"/>
  <c r="AK65" i="3"/>
  <c r="BA61" i="3"/>
  <c r="AG59" i="3"/>
  <c r="BE56" i="3"/>
  <c r="AX54" i="3"/>
  <c r="M53" i="3"/>
  <c r="AU50" i="3"/>
  <c r="B49" i="3"/>
  <c r="AN47" i="3"/>
  <c r="X46" i="3"/>
  <c r="AC46" i="3" s="1"/>
  <c r="J45" i="3"/>
  <c r="BA43" i="3"/>
  <c r="AP42" i="3"/>
  <c r="AK41" i="3"/>
  <c r="AU40" i="3"/>
  <c r="BA39" i="3"/>
  <c r="AP38" i="3"/>
  <c r="AX37" i="3"/>
  <c r="B37" i="3"/>
  <c r="M36" i="3"/>
  <c r="X35" i="3"/>
  <c r="AN34" i="3"/>
  <c r="AU33" i="3"/>
  <c r="BA32" i="3"/>
  <c r="AG69" i="3"/>
  <c r="B64" i="3"/>
  <c r="J58" i="3"/>
  <c r="BA53" i="3"/>
  <c r="AN50" i="3"/>
  <c r="AK47" i="3"/>
  <c r="B45" i="3"/>
  <c r="AN42" i="3"/>
  <c r="AN40" i="3"/>
  <c r="BE38" i="3"/>
  <c r="X37" i="3"/>
  <c r="AC37" i="3" s="1"/>
  <c r="AP35" i="3"/>
  <c r="B34" i="3"/>
  <c r="AG32" i="3"/>
  <c r="AN31" i="3"/>
  <c r="AU30" i="3"/>
  <c r="BE29" i="3"/>
  <c r="J29" i="3"/>
  <c r="P28" i="3"/>
  <c r="AK27" i="3"/>
  <c r="AP26" i="3"/>
  <c r="AX25" i="3"/>
  <c r="B25" i="3"/>
  <c r="D25" i="3" s="1"/>
  <c r="X23" i="3"/>
  <c r="AN22" i="3"/>
  <c r="AU21" i="3"/>
  <c r="BA20" i="3"/>
  <c r="J20" i="3"/>
  <c r="P19" i="3"/>
  <c r="AG18" i="3"/>
  <c r="AK17" i="3"/>
  <c r="AK16" i="3"/>
  <c r="AK15" i="3"/>
  <c r="AN14" i="3"/>
  <c r="AN13" i="3"/>
  <c r="AN12" i="3"/>
  <c r="AP11" i="3"/>
  <c r="AP10" i="3"/>
  <c r="AP9" i="3"/>
  <c r="AX8" i="3"/>
  <c r="B8" i="3"/>
  <c r="AG7" i="3"/>
  <c r="AP6" i="3"/>
  <c r="BA5" i="3"/>
  <c r="P5" i="3"/>
  <c r="AG4" i="3"/>
  <c r="AX23" i="3"/>
  <c r="AK20" i="3"/>
  <c r="BA17" i="3"/>
  <c r="BE14" i="3"/>
  <c r="BF14" i="3" s="1"/>
  <c r="B12" i="3"/>
  <c r="P9" i="3"/>
  <c r="BE6" i="3"/>
  <c r="BF6" i="3" s="1"/>
  <c r="AX4" i="3"/>
  <c r="AG65" i="3"/>
  <c r="AP45" i="3"/>
  <c r="X39" i="3"/>
  <c r="AG34" i="3"/>
  <c r="BA30" i="3"/>
  <c r="AG28" i="3"/>
  <c r="BE25" i="3"/>
  <c r="AK23" i="3"/>
  <c r="B21" i="3"/>
  <c r="AN18" i="3"/>
  <c r="AP15" i="3"/>
  <c r="AU12" i="3"/>
  <c r="BA8" i="3"/>
  <c r="AU6" i="3"/>
  <c r="B68" i="3"/>
  <c r="AX61" i="3"/>
  <c r="BA56" i="3"/>
  <c r="B53" i="3"/>
  <c r="AX49" i="3"/>
  <c r="BA46" i="3"/>
  <c r="AG44" i="3"/>
  <c r="BE41" i="3"/>
  <c r="M40" i="3"/>
  <c r="AN38" i="3"/>
  <c r="BA36" i="3"/>
  <c r="P35" i="3"/>
  <c r="AP33" i="3"/>
  <c r="J32" i="3"/>
  <c r="P31" i="3"/>
  <c r="AG30" i="3"/>
  <c r="AP29" i="3"/>
  <c r="AX28" i="3"/>
  <c r="BE27" i="3"/>
  <c r="BF27" i="3" s="1"/>
  <c r="M27" i="3"/>
  <c r="X26" i="3"/>
  <c r="AK25" i="3"/>
  <c r="AU24" i="3"/>
  <c r="BA23" i="3"/>
  <c r="B23" i="3"/>
  <c r="P22" i="3"/>
  <c r="AG21" i="3"/>
  <c r="AN20" i="3"/>
  <c r="AX19" i="3"/>
  <c r="BE18" i="3"/>
  <c r="BF18" i="3" s="1"/>
  <c r="BE17" i="3"/>
  <c r="B17" i="3"/>
  <c r="B16" i="3"/>
  <c r="B15" i="3"/>
  <c r="P14" i="3"/>
  <c r="P13" i="3"/>
  <c r="P12" i="3"/>
  <c r="X11" i="3"/>
  <c r="X10" i="3"/>
  <c r="X9" i="3"/>
  <c r="AN8" i="3"/>
  <c r="AX7" i="3"/>
  <c r="B7" i="3"/>
  <c r="AG6" i="3"/>
  <c r="AP5" i="3"/>
  <c r="AQ5" i="3" s="1"/>
  <c r="BA4" i="3"/>
  <c r="BC4" i="3" s="1"/>
  <c r="B4" i="3"/>
  <c r="AK29" i="3"/>
  <c r="BA27" i="3"/>
  <c r="P26" i="3"/>
  <c r="AN24" i="3"/>
  <c r="J22" i="3"/>
  <c r="AP19" i="3"/>
  <c r="BA16" i="3"/>
  <c r="BE13" i="3"/>
  <c r="B11" i="3"/>
  <c r="C11" i="3" s="1"/>
  <c r="AK8" i="3"/>
  <c r="X6" i="3"/>
  <c r="AK4" i="3"/>
  <c r="X59" i="3"/>
  <c r="AG51" i="3"/>
  <c r="M43" i="3"/>
  <c r="J36" i="3"/>
  <c r="AP31" i="3"/>
  <c r="M29" i="3"/>
  <c r="AN27" i="3"/>
  <c r="J25" i="3"/>
  <c r="AP22" i="3"/>
  <c r="AN17" i="3"/>
  <c r="AP14" i="3"/>
  <c r="AU11" i="3"/>
  <c r="P8" i="3"/>
  <c r="BE5" i="3"/>
  <c r="AN4" i="3"/>
  <c r="B72" i="3"/>
  <c r="AU66" i="3"/>
  <c r="AN60" i="3"/>
  <c r="AP55" i="3"/>
  <c r="P52" i="3"/>
  <c r="BE48" i="3"/>
  <c r="BF48" i="3" s="1"/>
  <c r="P46" i="3"/>
  <c r="AX43" i="3"/>
  <c r="AG41" i="3"/>
  <c r="AX39" i="3"/>
  <c r="J38" i="3"/>
  <c r="AK36" i="3"/>
  <c r="BA34" i="3"/>
  <c r="M33" i="3"/>
  <c r="BE31" i="3"/>
  <c r="BF31" i="3" s="1"/>
  <c r="M31" i="3"/>
  <c r="X30" i="3"/>
  <c r="AC30" i="3" s="1"/>
  <c r="AU28" i="3"/>
  <c r="B27" i="3"/>
  <c r="AG25" i="3"/>
  <c r="BE22" i="3"/>
  <c r="X21" i="3"/>
  <c r="BA18" i="3"/>
  <c r="BE15" i="3"/>
  <c r="B13" i="3"/>
  <c r="P10" i="3"/>
  <c r="AU7" i="3"/>
  <c r="AN5" i="3"/>
  <c r="AU70" i="3"/>
  <c r="AU54" i="3"/>
  <c r="J48" i="3"/>
  <c r="B41" i="3"/>
  <c r="AU37" i="3"/>
  <c r="AX32" i="3"/>
  <c r="B30" i="3"/>
  <c r="AU26" i="3"/>
  <c r="P24" i="3"/>
  <c r="AX21" i="3"/>
  <c r="X19" i="3"/>
  <c r="AC19" i="3" s="1"/>
  <c r="AN16" i="3"/>
  <c r="AP13" i="3"/>
  <c r="AU10" i="3"/>
  <c r="AX9" i="3"/>
  <c r="AK7" i="3"/>
  <c r="X5" i="3"/>
  <c r="S49" i="3"/>
  <c r="BK2" i="3"/>
  <c r="AF11" i="3" l="1"/>
  <c r="AE49" i="3"/>
  <c r="D11" i="3"/>
  <c r="AE45" i="3"/>
  <c r="AC6" i="3"/>
  <c r="AE56" i="3"/>
  <c r="AE52" i="3"/>
  <c r="AF60" i="3"/>
  <c r="AF59" i="3"/>
  <c r="AE57" i="3"/>
  <c r="AF40" i="3"/>
  <c r="AE9" i="3"/>
  <c r="AE54" i="3"/>
  <c r="AF71" i="3"/>
  <c r="AF72" i="3"/>
  <c r="AE75" i="3"/>
  <c r="AE24" i="3"/>
  <c r="AE25" i="3"/>
  <c r="AE8" i="3"/>
  <c r="AF22" i="3"/>
  <c r="AE38" i="3"/>
  <c r="AF7" i="3"/>
  <c r="AE26" i="3"/>
  <c r="AF6" i="3"/>
  <c r="AE68" i="3"/>
  <c r="AF76" i="3"/>
  <c r="AE18" i="3"/>
  <c r="AE58" i="3"/>
  <c r="AF67" i="3"/>
  <c r="AE39" i="3"/>
  <c r="AE13" i="3"/>
  <c r="AE23" i="3"/>
  <c r="AE37" i="3"/>
  <c r="AE21" i="3"/>
  <c r="AE62" i="3"/>
  <c r="AF74" i="3"/>
  <c r="AE51" i="3"/>
  <c r="AE70" i="3"/>
  <c r="AE5" i="3"/>
  <c r="AE31" i="3"/>
  <c r="AE34" i="3"/>
  <c r="AE53" i="3"/>
  <c r="AF10" i="3"/>
  <c r="AE50" i="3"/>
  <c r="AF20" i="3"/>
  <c r="AF14" i="3"/>
  <c r="AF15" i="3"/>
  <c r="AE46" i="3"/>
  <c r="AE42" i="3"/>
  <c r="AF33" i="3"/>
  <c r="AE41" i="3"/>
  <c r="AE30" i="3"/>
  <c r="AE43" i="3"/>
  <c r="AF19" i="3"/>
  <c r="AE66" i="3"/>
  <c r="AF65" i="3"/>
  <c r="AF48" i="3"/>
  <c r="AE12" i="3"/>
  <c r="AE35" i="3"/>
  <c r="AE28" i="3"/>
  <c r="AE69" i="3"/>
  <c r="AF32" i="3"/>
  <c r="AF17" i="3"/>
  <c r="AE47" i="3"/>
  <c r="AE29" i="3"/>
  <c r="AE61" i="3"/>
  <c r="AF44" i="3"/>
  <c r="AF64" i="3"/>
  <c r="AE4" i="3"/>
  <c r="V5" i="3"/>
  <c r="AC26" i="3"/>
  <c r="AC13" i="3"/>
  <c r="AC51" i="3"/>
  <c r="AC61" i="3"/>
  <c r="AC62" i="3"/>
  <c r="AC67" i="3"/>
  <c r="AC71" i="3"/>
  <c r="AC76" i="3"/>
  <c r="AC41" i="3"/>
  <c r="AC28" i="3"/>
  <c r="AC21" i="3"/>
  <c r="AC59" i="3"/>
  <c r="AC9" i="3"/>
  <c r="AC39" i="3"/>
  <c r="AC14" i="3"/>
  <c r="AC22" i="3"/>
  <c r="AC25" i="3"/>
  <c r="AC43" i="3"/>
  <c r="AC12" i="3"/>
  <c r="AC32" i="3"/>
  <c r="AC50" i="3"/>
  <c r="AC66" i="3"/>
  <c r="AC70" i="3"/>
  <c r="AC75" i="3"/>
  <c r="AC17" i="3"/>
  <c r="AC20" i="3"/>
  <c r="AC24" i="3"/>
  <c r="AC44" i="3"/>
  <c r="AC5" i="3"/>
  <c r="AC10" i="3"/>
  <c r="AC23" i="3"/>
  <c r="AC35" i="3"/>
  <c r="AC4" i="3"/>
  <c r="AC7" i="3"/>
  <c r="AC42" i="3"/>
  <c r="AC47" i="3"/>
  <c r="AC55" i="3"/>
  <c r="AC36" i="3"/>
  <c r="AC60" i="3"/>
  <c r="AC54" i="3"/>
  <c r="AC65" i="3"/>
  <c r="AC69" i="3"/>
  <c r="AC74" i="3"/>
  <c r="AC11" i="3"/>
  <c r="AC8" i="3"/>
  <c r="AC15" i="3"/>
  <c r="AC29" i="3"/>
  <c r="AC38" i="3"/>
  <c r="AC34" i="3"/>
  <c r="AC57" i="3"/>
  <c r="AC58" i="3"/>
  <c r="AC64" i="3"/>
  <c r="AC68" i="3"/>
  <c r="AC72" i="3"/>
  <c r="AC53" i="3"/>
  <c r="H5" i="3"/>
  <c r="AV18" i="3"/>
  <c r="L52" i="3"/>
  <c r="O45" i="3"/>
  <c r="F5" i="3"/>
  <c r="O5" i="3"/>
  <c r="U5" i="3"/>
  <c r="AR5" i="3"/>
  <c r="S31" i="3"/>
  <c r="O53" i="3"/>
  <c r="N37" i="3"/>
  <c r="N21" i="3"/>
  <c r="U59" i="3"/>
  <c r="S55" i="3"/>
  <c r="V39" i="3"/>
  <c r="R31" i="3"/>
  <c r="U27" i="3"/>
  <c r="U11" i="3"/>
  <c r="AA45" i="3"/>
  <c r="AB21" i="3"/>
  <c r="AH27" i="3"/>
  <c r="K26" i="3"/>
  <c r="N60" i="3"/>
  <c r="N56" i="3"/>
  <c r="N44" i="3"/>
  <c r="N40" i="3"/>
  <c r="O32" i="3"/>
  <c r="U58" i="3"/>
  <c r="U14" i="3"/>
  <c r="AH26" i="3"/>
  <c r="L33" i="3"/>
  <c r="K21" i="3"/>
  <c r="N51" i="3"/>
  <c r="N31" i="3"/>
  <c r="U75" i="3"/>
  <c r="V49" i="3"/>
  <c r="Q41" i="3"/>
  <c r="U9" i="3"/>
  <c r="AB11" i="3"/>
  <c r="AH45" i="3"/>
  <c r="AH41" i="3"/>
  <c r="AH33" i="3"/>
  <c r="K60" i="3"/>
  <c r="K56" i="3"/>
  <c r="K44" i="3"/>
  <c r="K32" i="3"/>
  <c r="O58" i="3"/>
  <c r="N30" i="3"/>
  <c r="Y26" i="3"/>
  <c r="AH6" i="3"/>
  <c r="AL52" i="3"/>
  <c r="AL32" i="3"/>
  <c r="AM16" i="3"/>
  <c r="AO76" i="3"/>
  <c r="AO71" i="3"/>
  <c r="AO67" i="3"/>
  <c r="AO62" i="3"/>
  <c r="AO58" i="3"/>
  <c r="AO54" i="3"/>
  <c r="AO50" i="3"/>
  <c r="AO46" i="3"/>
  <c r="AO42" i="3"/>
  <c r="AO38" i="3"/>
  <c r="AO34" i="3"/>
  <c r="AO30" i="3"/>
  <c r="AO26" i="3"/>
  <c r="AO22" i="3"/>
  <c r="AO18" i="3"/>
  <c r="AO14" i="3"/>
  <c r="AO10" i="3"/>
  <c r="AO6" i="3"/>
  <c r="AQ60" i="3"/>
  <c r="AT52" i="3"/>
  <c r="AQ44" i="3"/>
  <c r="AQ40" i="3"/>
  <c r="AR32" i="3"/>
  <c r="AR20" i="3"/>
  <c r="AZ52" i="3"/>
  <c r="AY48" i="3"/>
  <c r="AO75" i="3"/>
  <c r="AO70" i="3"/>
  <c r="AO66" i="3"/>
  <c r="AO61" i="3"/>
  <c r="AO57" i="3"/>
  <c r="AO53" i="3"/>
  <c r="AO49" i="3"/>
  <c r="AO45" i="3"/>
  <c r="AO41" i="3"/>
  <c r="AO37" i="3"/>
  <c r="AO33" i="3"/>
  <c r="AO29" i="3"/>
  <c r="AO25" i="3"/>
  <c r="AO21" i="3"/>
  <c r="AO13" i="3"/>
  <c r="AO9" i="3"/>
  <c r="AO5" i="3"/>
  <c r="AR59" i="3"/>
  <c r="AR51" i="3"/>
  <c r="AR27" i="3"/>
  <c r="AO74" i="3"/>
  <c r="AO69" i="3"/>
  <c r="AO65" i="3"/>
  <c r="AO60" i="3"/>
  <c r="AO56" i="3"/>
  <c r="AO52" i="3"/>
  <c r="AO48" i="3"/>
  <c r="AO44" i="3"/>
  <c r="AO40" i="3"/>
  <c r="AO36" i="3"/>
  <c r="AO32" i="3"/>
  <c r="AO28" i="3"/>
  <c r="AO24" i="3"/>
  <c r="AO20" i="3"/>
  <c r="AO16" i="3"/>
  <c r="AO12" i="3"/>
  <c r="AO8" i="3"/>
  <c r="AQ46" i="3"/>
  <c r="AS30" i="3"/>
  <c r="AR26" i="3"/>
  <c r="AR14" i="3"/>
  <c r="AW52" i="3"/>
  <c r="AM49" i="3"/>
  <c r="AL41" i="3"/>
  <c r="AM17" i="3"/>
  <c r="AO72" i="3"/>
  <c r="AO68" i="3"/>
  <c r="AO64" i="3"/>
  <c r="AO55" i="3"/>
  <c r="AO51" i="3"/>
  <c r="AO47" i="3"/>
  <c r="AO43" i="3"/>
  <c r="AO39" i="3"/>
  <c r="AO35" i="3"/>
  <c r="AO31" i="3"/>
  <c r="AO27" i="3"/>
  <c r="AO23" i="3"/>
  <c r="AO19" i="3"/>
  <c r="AO15" i="3"/>
  <c r="AO11" i="3"/>
  <c r="AO7" i="3"/>
  <c r="AQ21" i="3"/>
  <c r="AR9" i="3"/>
  <c r="AV31" i="3"/>
  <c r="AZ33" i="3"/>
  <c r="BC30" i="3"/>
  <c r="BB26" i="3"/>
  <c r="BB6" i="3"/>
  <c r="BF69" i="3"/>
  <c r="BF65" i="3"/>
  <c r="BF52" i="3"/>
  <c r="BF36" i="3"/>
  <c r="BF32" i="3"/>
  <c r="BF28" i="3"/>
  <c r="BF24" i="3"/>
  <c r="BF16" i="3"/>
  <c r="BF12" i="3"/>
  <c r="BF8" i="3"/>
  <c r="BF4" i="3"/>
  <c r="E67" i="3"/>
  <c r="H50" i="3"/>
  <c r="F18" i="3"/>
  <c r="K6" i="3"/>
  <c r="BC45" i="3"/>
  <c r="BF72" i="3"/>
  <c r="BF68" i="3"/>
  <c r="BF64" i="3"/>
  <c r="BF59" i="3"/>
  <c r="BF55" i="3"/>
  <c r="BF47" i="3"/>
  <c r="BF39" i="3"/>
  <c r="BF23" i="3"/>
  <c r="BF15" i="3"/>
  <c r="BF7" i="3"/>
  <c r="AO4" i="3"/>
  <c r="E66" i="3"/>
  <c r="I53" i="3"/>
  <c r="H37" i="3"/>
  <c r="H25" i="3"/>
  <c r="G21" i="3"/>
  <c r="F9" i="3"/>
  <c r="AY16" i="3"/>
  <c r="BC52" i="3"/>
  <c r="BC48" i="3"/>
  <c r="BC40" i="3"/>
  <c r="BF76" i="3"/>
  <c r="BF71" i="3"/>
  <c r="BF67" i="3"/>
  <c r="BF62" i="3"/>
  <c r="BF54" i="3"/>
  <c r="BF50" i="3"/>
  <c r="BF42" i="3"/>
  <c r="BF38" i="3"/>
  <c r="BF34" i="3"/>
  <c r="BF22" i="3"/>
  <c r="BF10" i="3"/>
  <c r="H60" i="3"/>
  <c r="C52" i="3"/>
  <c r="F48" i="3"/>
  <c r="F40" i="3"/>
  <c r="H16" i="3"/>
  <c r="G12" i="3"/>
  <c r="BF75" i="3"/>
  <c r="BF70" i="3"/>
  <c r="BF66" i="3"/>
  <c r="BF61" i="3"/>
  <c r="BF57" i="3"/>
  <c r="BF41" i="3"/>
  <c r="BF29" i="3"/>
  <c r="BF25" i="3"/>
  <c r="BF17" i="3"/>
  <c r="BF13" i="3"/>
  <c r="BF5" i="3"/>
  <c r="C51" i="3"/>
  <c r="C43" i="3"/>
  <c r="G39" i="3"/>
  <c r="F35" i="3"/>
  <c r="N5" i="3" l="1"/>
  <c r="G19" i="3"/>
  <c r="H19" i="3"/>
  <c r="AZ27" i="3"/>
  <c r="AY27" i="3"/>
  <c r="AM46" i="3"/>
  <c r="AL46" i="3"/>
  <c r="H11" i="3"/>
  <c r="I11" i="3"/>
  <c r="G27" i="3"/>
  <c r="H27" i="3"/>
  <c r="F27" i="3"/>
  <c r="F59" i="3"/>
  <c r="G59" i="3"/>
  <c r="D59" i="3"/>
  <c r="E44" i="3"/>
  <c r="H44" i="3"/>
  <c r="I44" i="3"/>
  <c r="D44" i="3"/>
  <c r="F44" i="3"/>
  <c r="C44" i="3"/>
  <c r="G44" i="3"/>
  <c r="C45" i="3"/>
  <c r="G45" i="3"/>
  <c r="H45" i="3"/>
  <c r="F45" i="3"/>
  <c r="E26" i="3"/>
  <c r="G26" i="3"/>
  <c r="F26" i="3"/>
  <c r="H58" i="3"/>
  <c r="G58" i="3"/>
  <c r="D58" i="3"/>
  <c r="F58" i="3"/>
  <c r="C58" i="3"/>
  <c r="BB18" i="3"/>
  <c r="BC18" i="3"/>
  <c r="BD18" i="3"/>
  <c r="AZ41" i="3"/>
  <c r="AY41" i="3"/>
  <c r="AS45" i="3"/>
  <c r="AQ45" i="3"/>
  <c r="AT45" i="3"/>
  <c r="AR45" i="3"/>
  <c r="AL33" i="3"/>
  <c r="AM33" i="3"/>
  <c r="AZ46" i="3"/>
  <c r="AY46" i="3"/>
  <c r="AV40" i="3"/>
  <c r="AW40" i="3"/>
  <c r="AR18" i="3"/>
  <c r="AS18" i="3"/>
  <c r="AT18" i="3"/>
  <c r="AQ18" i="3"/>
  <c r="AQ31" i="3"/>
  <c r="AR31" i="3"/>
  <c r="AS31" i="3"/>
  <c r="AV30" i="3"/>
  <c r="AW30" i="3"/>
  <c r="AM44" i="3"/>
  <c r="AL44" i="3"/>
  <c r="AJ52" i="3"/>
  <c r="AH52" i="3"/>
  <c r="AA30" i="3"/>
  <c r="AB30" i="3"/>
  <c r="AA46" i="3"/>
  <c r="Y46" i="3"/>
  <c r="AB46" i="3"/>
  <c r="R40" i="3"/>
  <c r="U40" i="3"/>
  <c r="V56" i="3"/>
  <c r="R56" i="3"/>
  <c r="S56" i="3"/>
  <c r="U56" i="3"/>
  <c r="T56" i="3"/>
  <c r="K20" i="3"/>
  <c r="L20" i="3"/>
  <c r="AA19" i="3"/>
  <c r="R45" i="3"/>
  <c r="U45" i="3"/>
  <c r="N19" i="3"/>
  <c r="O19" i="3"/>
  <c r="L75" i="3"/>
  <c r="K75" i="3"/>
  <c r="R6" i="3"/>
  <c r="U6" i="3"/>
  <c r="N28" i="3"/>
  <c r="O28" i="3"/>
  <c r="AA37" i="3"/>
  <c r="N41" i="3"/>
  <c r="O41" i="3"/>
  <c r="L21" i="3"/>
  <c r="G40" i="3"/>
  <c r="AT40" i="3"/>
  <c r="I18" i="3"/>
  <c r="H40" i="3"/>
  <c r="O60" i="3"/>
  <c r="T75" i="3"/>
  <c r="AB19" i="3"/>
  <c r="C53" i="3"/>
  <c r="L56" i="3"/>
  <c r="F11" i="3"/>
  <c r="AI52" i="3"/>
  <c r="AM52" i="3"/>
  <c r="H26" i="3"/>
  <c r="AB6" i="3"/>
  <c r="L60" i="3"/>
  <c r="G11" i="3"/>
  <c r="H9" i="3"/>
  <c r="V27" i="3"/>
  <c r="H20" i="3"/>
  <c r="I20" i="3"/>
  <c r="F52" i="3"/>
  <c r="H52" i="3"/>
  <c r="G52" i="3"/>
  <c r="E21" i="3"/>
  <c r="F21" i="3"/>
  <c r="I21" i="3"/>
  <c r="H21" i="3"/>
  <c r="D21" i="3"/>
  <c r="C21" i="3"/>
  <c r="H18" i="3"/>
  <c r="G18" i="3"/>
  <c r="AL30" i="3"/>
  <c r="AM30" i="3"/>
  <c r="AM11" i="3"/>
  <c r="AL11" i="3"/>
  <c r="E28" i="3"/>
  <c r="F28" i="3"/>
  <c r="D28" i="3"/>
  <c r="H28" i="3"/>
  <c r="F60" i="3"/>
  <c r="D60" i="3"/>
  <c r="C60" i="3"/>
  <c r="G60" i="3"/>
  <c r="BD56" i="3"/>
  <c r="BC56" i="3"/>
  <c r="H31" i="3"/>
  <c r="F31" i="3"/>
  <c r="BD27" i="3"/>
  <c r="BC27" i="3"/>
  <c r="BB27" i="3"/>
  <c r="G32" i="3"/>
  <c r="H32" i="3"/>
  <c r="I33" i="3"/>
  <c r="F33" i="3"/>
  <c r="D33" i="3"/>
  <c r="H33" i="3"/>
  <c r="G33" i="3"/>
  <c r="D49" i="3"/>
  <c r="I49" i="3"/>
  <c r="F49" i="3"/>
  <c r="G49" i="3"/>
  <c r="H49" i="3"/>
  <c r="AZ19" i="3"/>
  <c r="AY19" i="3"/>
  <c r="F14" i="3"/>
  <c r="C14" i="3"/>
  <c r="G14" i="3"/>
  <c r="C30" i="3"/>
  <c r="H30" i="3"/>
  <c r="I46" i="3"/>
  <c r="E46" i="3"/>
  <c r="C46" i="3"/>
  <c r="G46" i="3"/>
  <c r="AQ33" i="3"/>
  <c r="AT33" i="3"/>
  <c r="AQ49" i="3"/>
  <c r="AR49" i="3"/>
  <c r="AS49" i="3"/>
  <c r="AL21" i="3"/>
  <c r="AM21" i="3"/>
  <c r="AM53" i="3"/>
  <c r="AL53" i="3"/>
  <c r="AV28" i="3"/>
  <c r="AW28" i="3"/>
  <c r="AR6" i="3"/>
  <c r="AT6" i="3"/>
  <c r="AM58" i="3"/>
  <c r="AL58" i="3"/>
  <c r="AZ31" i="3"/>
  <c r="AY31" i="3"/>
  <c r="AS19" i="3"/>
  <c r="AT19" i="3"/>
  <c r="AR19" i="3"/>
  <c r="AQ28" i="3"/>
  <c r="AR28" i="3"/>
  <c r="AJ40" i="3"/>
  <c r="AI40" i="3"/>
  <c r="AH40" i="3"/>
  <c r="AJ56" i="3"/>
  <c r="AH56" i="3"/>
  <c r="AI56" i="3"/>
  <c r="AB18" i="3"/>
  <c r="R28" i="3"/>
  <c r="S28" i="3"/>
  <c r="U28" i="3"/>
  <c r="V28" i="3"/>
  <c r="R44" i="3"/>
  <c r="V44" i="3"/>
  <c r="S44" i="3"/>
  <c r="R60" i="3"/>
  <c r="V60" i="3"/>
  <c r="S60" i="3"/>
  <c r="Q60" i="3"/>
  <c r="U60" i="3"/>
  <c r="U33" i="3"/>
  <c r="S33" i="3"/>
  <c r="T33" i="3"/>
  <c r="R49" i="3"/>
  <c r="T49" i="3"/>
  <c r="U49" i="3"/>
  <c r="R26" i="3"/>
  <c r="V26" i="3"/>
  <c r="U26" i="3"/>
  <c r="S26" i="3"/>
  <c r="R19" i="3"/>
  <c r="S19" i="3"/>
  <c r="R51" i="3"/>
  <c r="S51" i="3"/>
  <c r="U51" i="3"/>
  <c r="H14" i="3"/>
  <c r="C20" i="3"/>
  <c r="C19" i="3"/>
  <c r="S45" i="3"/>
  <c r="G31" i="3"/>
  <c r="O40" i="3"/>
  <c r="C33" i="3"/>
  <c r="AR46" i="3"/>
  <c r="O56" i="3"/>
  <c r="I40" i="3"/>
  <c r="U31" i="3"/>
  <c r="F46" i="3"/>
  <c r="G20" i="3"/>
  <c r="O37" i="3"/>
  <c r="S40" i="3"/>
  <c r="AT49" i="3"/>
  <c r="C37" i="3"/>
  <c r="N58" i="3"/>
  <c r="U19" i="3"/>
  <c r="AI45" i="3"/>
  <c r="C49" i="3"/>
  <c r="L44" i="3"/>
  <c r="E53" i="3"/>
  <c r="D53" i="3"/>
  <c r="F53" i="3"/>
  <c r="G53" i="3"/>
  <c r="AZ49" i="3"/>
  <c r="AY49" i="3"/>
  <c r="AQ58" i="3"/>
  <c r="AR58" i="3"/>
  <c r="AL27" i="3"/>
  <c r="AM27" i="3"/>
  <c r="O26" i="3"/>
  <c r="N26" i="3"/>
  <c r="K28" i="3"/>
  <c r="L28" i="3"/>
  <c r="AJ49" i="3"/>
  <c r="AI49" i="3"/>
  <c r="AH49" i="3"/>
  <c r="AB27" i="3"/>
  <c r="AA27" i="3"/>
  <c r="R21" i="3"/>
  <c r="V21" i="3"/>
  <c r="Q21" i="3"/>
  <c r="S21" i="3"/>
  <c r="U37" i="3"/>
  <c r="V53" i="3"/>
  <c r="U53" i="3"/>
  <c r="N27" i="3"/>
  <c r="O27" i="3"/>
  <c r="N43" i="3"/>
  <c r="O43" i="3"/>
  <c r="N59" i="3"/>
  <c r="O59" i="3"/>
  <c r="AA52" i="3"/>
  <c r="Y52" i="3"/>
  <c r="R30" i="3"/>
  <c r="V30" i="3"/>
  <c r="S30" i="3"/>
  <c r="U30" i="3"/>
  <c r="T30" i="3"/>
  <c r="R46" i="3"/>
  <c r="S46" i="3"/>
  <c r="V46" i="3"/>
  <c r="O20" i="3"/>
  <c r="N20" i="3"/>
  <c r="N52" i="3"/>
  <c r="O52" i="3"/>
  <c r="AB45" i="3"/>
  <c r="O33" i="3"/>
  <c r="N33" i="3"/>
  <c r="K51" i="3"/>
  <c r="L51" i="3"/>
  <c r="F12" i="3"/>
  <c r="AL56" i="3"/>
  <c r="I26" i="3"/>
  <c r="L26" i="3"/>
  <c r="D30" i="3"/>
  <c r="O30" i="3"/>
  <c r="D46" i="3"/>
  <c r="U21" i="3"/>
  <c r="C28" i="3"/>
  <c r="AR60" i="3"/>
  <c r="C40" i="3"/>
  <c r="AB52" i="3"/>
  <c r="F30" i="3"/>
  <c r="O31" i="3"/>
  <c r="I28" i="3"/>
  <c r="AR30" i="3"/>
  <c r="E33" i="3"/>
  <c r="O51" i="3"/>
  <c r="F43" i="3"/>
  <c r="AQ6" i="3"/>
  <c r="E51" i="3"/>
  <c r="F51" i="3"/>
  <c r="I51" i="3"/>
  <c r="D51" i="3"/>
  <c r="H51" i="3"/>
  <c r="BD31" i="3"/>
  <c r="BB31" i="3"/>
  <c r="BC31" i="3"/>
  <c r="BD45" i="3"/>
  <c r="BB45" i="3"/>
  <c r="AZ17" i="3"/>
  <c r="AY17" i="3"/>
  <c r="AR53" i="3"/>
  <c r="AQ53" i="3"/>
  <c r="AM59" i="3"/>
  <c r="BB19" i="3"/>
  <c r="BD19" i="3"/>
  <c r="BC19" i="3"/>
  <c r="C56" i="3"/>
  <c r="G56" i="3"/>
  <c r="F56" i="3"/>
  <c r="I56" i="3"/>
  <c r="E56" i="3"/>
  <c r="D56" i="3"/>
  <c r="BD52" i="3"/>
  <c r="BB52" i="3"/>
  <c r="G9" i="3"/>
  <c r="C9" i="3"/>
  <c r="F41" i="3"/>
  <c r="H41" i="3"/>
  <c r="F75" i="3"/>
  <c r="H75" i="3"/>
  <c r="G75" i="3"/>
  <c r="BD33" i="3"/>
  <c r="BC33" i="3"/>
  <c r="BB33" i="3"/>
  <c r="BC49" i="3"/>
  <c r="BD49" i="3"/>
  <c r="BB49" i="3"/>
  <c r="H6" i="3"/>
  <c r="F6" i="3"/>
  <c r="G6" i="3"/>
  <c r="BB46" i="3"/>
  <c r="BC46" i="3"/>
  <c r="BD46" i="3"/>
  <c r="AR11" i="3"/>
  <c r="AQ11" i="3"/>
  <c r="AQ27" i="3"/>
  <c r="AT27" i="3"/>
  <c r="AS27" i="3"/>
  <c r="AL31" i="3"/>
  <c r="AM31" i="3"/>
  <c r="AR52" i="3"/>
  <c r="AS52" i="3"/>
  <c r="AQ52" i="3"/>
  <c r="AL40" i="3"/>
  <c r="AM40" i="3"/>
  <c r="AJ48" i="3"/>
  <c r="AH48" i="3"/>
  <c r="AI48" i="3"/>
  <c r="AB26" i="3"/>
  <c r="AA26" i="3"/>
  <c r="R20" i="3"/>
  <c r="S20" i="3"/>
  <c r="U20" i="3"/>
  <c r="R52" i="3"/>
  <c r="V52" i="3"/>
  <c r="N46" i="3"/>
  <c r="O46" i="3"/>
  <c r="AB31" i="3"/>
  <c r="AA31" i="3"/>
  <c r="R75" i="3"/>
  <c r="V75" i="3"/>
  <c r="S75" i="3"/>
  <c r="K53" i="3"/>
  <c r="L53" i="3"/>
  <c r="Y40" i="3"/>
  <c r="AA40" i="3"/>
  <c r="AB40" i="3"/>
  <c r="R18" i="3"/>
  <c r="S18" i="3"/>
  <c r="U18" i="3"/>
  <c r="AA33" i="3"/>
  <c r="AB33" i="3"/>
  <c r="AA49" i="3"/>
  <c r="AB49" i="3"/>
  <c r="R11" i="3"/>
  <c r="V11" i="3"/>
  <c r="S11" i="3"/>
  <c r="R59" i="3"/>
  <c r="S59" i="3"/>
  <c r="I32" i="3"/>
  <c r="AY33" i="3"/>
  <c r="G51" i="3"/>
  <c r="S6" i="3"/>
  <c r="Y37" i="3"/>
  <c r="H59" i="3"/>
  <c r="F20" i="3"/>
  <c r="G16" i="3"/>
  <c r="U44" i="3"/>
  <c r="C26" i="3"/>
  <c r="K18" i="3"/>
  <c r="H56" i="3"/>
  <c r="AS33" i="3"/>
  <c r="S52" i="3"/>
  <c r="AA18" i="3"/>
  <c r="G30" i="3"/>
  <c r="O44" i="3"/>
  <c r="C59" i="3"/>
  <c r="V33" i="3"/>
  <c r="AS6" i="3"/>
  <c r="D26" i="3"/>
  <c r="N18" i="3"/>
  <c r="N53" i="3"/>
  <c r="R33" i="3"/>
  <c r="G28" i="3"/>
  <c r="O21" i="3"/>
  <c r="H46" i="3"/>
  <c r="AL16" i="3"/>
  <c r="L6" i="3"/>
  <c r="O18" i="3"/>
  <c r="BD47" i="3"/>
  <c r="BC47" i="3"/>
  <c r="BB47" i="3"/>
  <c r="AI4" i="3"/>
  <c r="AJ4" i="3"/>
  <c r="AV4" i="3"/>
  <c r="AW4" i="3"/>
  <c r="BB11" i="3"/>
  <c r="BD11" i="3"/>
  <c r="BC11" i="3"/>
  <c r="BD43" i="3"/>
  <c r="BC43" i="3"/>
  <c r="BB43" i="3"/>
  <c r="BC61" i="3"/>
  <c r="BB61" i="3"/>
  <c r="BD61" i="3"/>
  <c r="AY23" i="3"/>
  <c r="AZ23" i="3"/>
  <c r="AZ4" i="3"/>
  <c r="AY4" i="3"/>
  <c r="BC12" i="3"/>
  <c r="BB12" i="3"/>
  <c r="BD12" i="3"/>
  <c r="BD28" i="3"/>
  <c r="BC28" i="3"/>
  <c r="BB28" i="3"/>
  <c r="BD44" i="3"/>
  <c r="BC44" i="3"/>
  <c r="BB44" i="3"/>
  <c r="BD62" i="3"/>
  <c r="BC62" i="3"/>
  <c r="BB62" i="3"/>
  <c r="AZ24" i="3"/>
  <c r="AY24" i="3"/>
  <c r="BD9" i="3"/>
  <c r="BC9" i="3"/>
  <c r="BB9" i="3"/>
  <c r="BB25" i="3"/>
  <c r="BD25" i="3"/>
  <c r="BC25" i="3"/>
  <c r="BB41" i="3"/>
  <c r="BD41" i="3"/>
  <c r="BC41" i="3"/>
  <c r="BC57" i="3"/>
  <c r="BB57" i="3"/>
  <c r="BD57" i="3"/>
  <c r="AB4" i="3"/>
  <c r="AA4" i="3"/>
  <c r="Z4" i="3"/>
  <c r="BC22" i="3"/>
  <c r="BD22" i="3"/>
  <c r="BB22" i="3"/>
  <c r="BC38" i="3"/>
  <c r="BB38" i="3"/>
  <c r="BD38" i="3"/>
  <c r="BC54" i="3"/>
  <c r="BB54" i="3"/>
  <c r="BD54" i="3"/>
  <c r="AZ12" i="3"/>
  <c r="AY12" i="3"/>
  <c r="BD68" i="3"/>
  <c r="BC68" i="3"/>
  <c r="BB68" i="3"/>
  <c r="AZ13" i="3"/>
  <c r="AY13" i="3"/>
  <c r="AY29" i="3"/>
  <c r="AZ29" i="3"/>
  <c r="AY45" i="3"/>
  <c r="AZ45" i="3"/>
  <c r="AZ61" i="3"/>
  <c r="AY61" i="3"/>
  <c r="AW7" i="3"/>
  <c r="AV7" i="3"/>
  <c r="AW23" i="3"/>
  <c r="AV23" i="3"/>
  <c r="AW39" i="3"/>
  <c r="AV39" i="3"/>
  <c r="AV55" i="3"/>
  <c r="AW55" i="3"/>
  <c r="AV72" i="3"/>
  <c r="AW72" i="3"/>
  <c r="AT17" i="3"/>
  <c r="AS17" i="3"/>
  <c r="AR17" i="3"/>
  <c r="AQ17" i="3"/>
  <c r="AQ66" i="3"/>
  <c r="AT66" i="3"/>
  <c r="AS66" i="3"/>
  <c r="AR66" i="3"/>
  <c r="AM5" i="3"/>
  <c r="AM37" i="3"/>
  <c r="AL37" i="3"/>
  <c r="AL70" i="3"/>
  <c r="AM70" i="3"/>
  <c r="AH15" i="3"/>
  <c r="AJ15" i="3"/>
  <c r="AI15" i="3"/>
  <c r="BB74" i="3"/>
  <c r="BD74" i="3"/>
  <c r="BC74" i="3"/>
  <c r="AZ18" i="3"/>
  <c r="AY18" i="3"/>
  <c r="AZ34" i="3"/>
  <c r="AY34" i="3"/>
  <c r="AZ50" i="3"/>
  <c r="AY50" i="3"/>
  <c r="AY67" i="3"/>
  <c r="AZ67" i="3"/>
  <c r="AV12" i="3"/>
  <c r="AW12" i="3"/>
  <c r="AW44" i="3"/>
  <c r="AV44" i="3"/>
  <c r="AW60" i="3"/>
  <c r="AV60" i="3"/>
  <c r="AR22" i="3"/>
  <c r="AQ22" i="3"/>
  <c r="AT22" i="3"/>
  <c r="AS22" i="3"/>
  <c r="AT38" i="3"/>
  <c r="AS38" i="3"/>
  <c r="AR38" i="3"/>
  <c r="AQ38" i="3"/>
  <c r="AR54" i="3"/>
  <c r="AQ54" i="3"/>
  <c r="AT54" i="3"/>
  <c r="AQ71" i="3"/>
  <c r="AT71" i="3"/>
  <c r="AS71" i="3"/>
  <c r="AR71" i="3"/>
  <c r="AL10" i="3"/>
  <c r="AM10" i="3"/>
  <c r="AM26" i="3"/>
  <c r="AL26" i="3"/>
  <c r="AM42" i="3"/>
  <c r="AL42" i="3"/>
  <c r="AM76" i="3"/>
  <c r="AL76" i="3"/>
  <c r="AY47" i="3"/>
  <c r="AZ47" i="3"/>
  <c r="AZ64" i="3"/>
  <c r="AY64" i="3"/>
  <c r="AW9" i="3"/>
  <c r="AV9" i="3"/>
  <c r="AW25" i="3"/>
  <c r="AV25" i="3"/>
  <c r="AW41" i="3"/>
  <c r="AV41" i="3"/>
  <c r="AV57" i="3"/>
  <c r="AW57" i="3"/>
  <c r="AW75" i="3"/>
  <c r="AV75" i="3"/>
  <c r="AT35" i="3"/>
  <c r="AS35" i="3"/>
  <c r="AR35" i="3"/>
  <c r="AQ35" i="3"/>
  <c r="AT51" i="3"/>
  <c r="AS51" i="3"/>
  <c r="AQ51" i="3"/>
  <c r="AQ68" i="3"/>
  <c r="AT68" i="3"/>
  <c r="AS68" i="3"/>
  <c r="AR68" i="3"/>
  <c r="AM7" i="3"/>
  <c r="AL7" i="3"/>
  <c r="AM23" i="3"/>
  <c r="AL23" i="3"/>
  <c r="AM39" i="3"/>
  <c r="AL39" i="3"/>
  <c r="AL55" i="3"/>
  <c r="AM55" i="3"/>
  <c r="AL72" i="3"/>
  <c r="AM72" i="3"/>
  <c r="AH19" i="3"/>
  <c r="AJ19" i="3"/>
  <c r="AI19" i="3"/>
  <c r="AZ40" i="3"/>
  <c r="AY40" i="3"/>
  <c r="AY56" i="3"/>
  <c r="AZ56" i="3"/>
  <c r="AY74" i="3"/>
  <c r="AZ74" i="3"/>
  <c r="AW34" i="3"/>
  <c r="AV34" i="3"/>
  <c r="AW50" i="3"/>
  <c r="AV50" i="3"/>
  <c r="AW67" i="3"/>
  <c r="AV67" i="3"/>
  <c r="AS12" i="3"/>
  <c r="AR12" i="3"/>
  <c r="AQ12" i="3"/>
  <c r="AT12" i="3"/>
  <c r="AT28" i="3"/>
  <c r="AS28" i="3"/>
  <c r="AT44" i="3"/>
  <c r="AS44" i="3"/>
  <c r="AR44" i="3"/>
  <c r="AT60" i="3"/>
  <c r="AS60" i="3"/>
  <c r="AM48" i="3"/>
  <c r="AL48" i="3"/>
  <c r="AM65" i="3"/>
  <c r="AL65" i="3"/>
  <c r="AJ10" i="3"/>
  <c r="AI10" i="3"/>
  <c r="AH10" i="3"/>
  <c r="AI24" i="3"/>
  <c r="AH24" i="3"/>
  <c r="AJ24" i="3"/>
  <c r="AH74" i="3"/>
  <c r="AJ74" i="3"/>
  <c r="AI74" i="3"/>
  <c r="Z18" i="3"/>
  <c r="Y18" i="3"/>
  <c r="Y34" i="3"/>
  <c r="AA34" i="3"/>
  <c r="Z34" i="3"/>
  <c r="AB34" i="3"/>
  <c r="Z50" i="3"/>
  <c r="Y50" i="3"/>
  <c r="AB50" i="3"/>
  <c r="AA50" i="3"/>
  <c r="Z67" i="3"/>
  <c r="Y67" i="3"/>
  <c r="AB67" i="3"/>
  <c r="AA67" i="3"/>
  <c r="R12" i="3"/>
  <c r="S12" i="3"/>
  <c r="AJ29" i="3"/>
  <c r="AI29" i="3"/>
  <c r="AH29" i="3"/>
  <c r="AI61" i="3"/>
  <c r="AH61" i="3"/>
  <c r="AJ61" i="3"/>
  <c r="AB7" i="3"/>
  <c r="AA7" i="3"/>
  <c r="Z7" i="3"/>
  <c r="Y7" i="3"/>
  <c r="Z23" i="3"/>
  <c r="AB23" i="3"/>
  <c r="AA23" i="3"/>
  <c r="Y23" i="3"/>
  <c r="AA39" i="3"/>
  <c r="Z39" i="3"/>
  <c r="Y39" i="3"/>
  <c r="AB39" i="3"/>
  <c r="AB55" i="3"/>
  <c r="AA55" i="3"/>
  <c r="Z55" i="3"/>
  <c r="Y55" i="3"/>
  <c r="AB72" i="3"/>
  <c r="AA72" i="3"/>
  <c r="Z72" i="3"/>
  <c r="Y72" i="3"/>
  <c r="R17" i="3"/>
  <c r="S17" i="3"/>
  <c r="R66" i="3"/>
  <c r="S66" i="3"/>
  <c r="AJ22" i="3"/>
  <c r="AI22" i="3"/>
  <c r="AH22" i="3"/>
  <c r="AH38" i="3"/>
  <c r="AJ38" i="3"/>
  <c r="AI38" i="3"/>
  <c r="AJ54" i="3"/>
  <c r="AI54" i="3"/>
  <c r="AH54" i="3"/>
  <c r="AJ71" i="3"/>
  <c r="AI71" i="3"/>
  <c r="AH71" i="3"/>
  <c r="Y16" i="3"/>
  <c r="AA16" i="3"/>
  <c r="AB16" i="3"/>
  <c r="Z16" i="3"/>
  <c r="Y32" i="3"/>
  <c r="AA32" i="3"/>
  <c r="Z32" i="3"/>
  <c r="AB32" i="3"/>
  <c r="Y48" i="3"/>
  <c r="AB48" i="3"/>
  <c r="AA48" i="3"/>
  <c r="Z48" i="3"/>
  <c r="Z65" i="3"/>
  <c r="Y65" i="3"/>
  <c r="AB65" i="3"/>
  <c r="AA65" i="3"/>
  <c r="R10" i="3"/>
  <c r="S10" i="3"/>
  <c r="R42" i="3"/>
  <c r="S42" i="3"/>
  <c r="R58" i="3"/>
  <c r="S58" i="3"/>
  <c r="R76" i="3"/>
  <c r="S76" i="3"/>
  <c r="AH31" i="3"/>
  <c r="AJ31" i="3"/>
  <c r="AJ47" i="3"/>
  <c r="AI47" i="3"/>
  <c r="AH47" i="3"/>
  <c r="AJ64" i="3"/>
  <c r="AI64" i="3"/>
  <c r="AH64" i="3"/>
  <c r="AB9" i="3"/>
  <c r="AA9" i="3"/>
  <c r="Z9" i="3"/>
  <c r="Y9" i="3"/>
  <c r="Z25" i="3"/>
  <c r="AB25" i="3"/>
  <c r="AA25" i="3"/>
  <c r="Y25" i="3"/>
  <c r="AA41" i="3"/>
  <c r="Z41" i="3"/>
  <c r="Y41" i="3"/>
  <c r="AB41" i="3"/>
  <c r="AB57" i="3"/>
  <c r="AA57" i="3"/>
  <c r="Z57" i="3"/>
  <c r="Y57" i="3"/>
  <c r="AB75" i="3"/>
  <c r="AA75" i="3"/>
  <c r="Z75" i="3"/>
  <c r="Y75" i="3"/>
  <c r="R35" i="3"/>
  <c r="S35" i="3"/>
  <c r="R68" i="3"/>
  <c r="S68" i="3"/>
  <c r="BB16" i="3"/>
  <c r="BD16" i="3"/>
  <c r="BC16" i="3"/>
  <c r="BD32" i="3"/>
  <c r="BC32" i="3"/>
  <c r="BB32" i="3"/>
  <c r="BD48" i="3"/>
  <c r="BB48" i="3"/>
  <c r="BD71" i="3"/>
  <c r="BC71" i="3"/>
  <c r="BB71" i="3"/>
  <c r="BD4" i="3"/>
  <c r="BB4" i="3"/>
  <c r="BB13" i="3"/>
  <c r="BD13" i="3"/>
  <c r="BC13" i="3"/>
  <c r="BB29" i="3"/>
  <c r="BD29" i="3"/>
  <c r="BC29" i="3"/>
  <c r="BC66" i="3"/>
  <c r="BB66" i="3"/>
  <c r="BD66" i="3"/>
  <c r="AQ4" i="3"/>
  <c r="AT4" i="3"/>
  <c r="AS4" i="3"/>
  <c r="AR4" i="3"/>
  <c r="BD10" i="3"/>
  <c r="BC10" i="3"/>
  <c r="BB10" i="3"/>
  <c r="BC26" i="3"/>
  <c r="BD26" i="3"/>
  <c r="BC42" i="3"/>
  <c r="BB42" i="3"/>
  <c r="BD42" i="3"/>
  <c r="BD58" i="3"/>
  <c r="BC58" i="3"/>
  <c r="BB58" i="3"/>
  <c r="AZ20" i="3"/>
  <c r="AY20" i="3"/>
  <c r="BD72" i="3"/>
  <c r="BC72" i="3"/>
  <c r="BB72" i="3"/>
  <c r="AZ66" i="3"/>
  <c r="AY66" i="3"/>
  <c r="AW11" i="3"/>
  <c r="AV11" i="3"/>
  <c r="AW27" i="3"/>
  <c r="AV27" i="3"/>
  <c r="AW43" i="3"/>
  <c r="AV43" i="3"/>
  <c r="AV59" i="3"/>
  <c r="AW59" i="3"/>
  <c r="AS5" i="3"/>
  <c r="AT5" i="3"/>
  <c r="AT21" i="3"/>
  <c r="AS21" i="3"/>
  <c r="AT37" i="3"/>
  <c r="AS37" i="3"/>
  <c r="AR37" i="3"/>
  <c r="AQ37" i="3"/>
  <c r="AT53" i="3"/>
  <c r="AS53" i="3"/>
  <c r="AQ70" i="3"/>
  <c r="AT70" i="3"/>
  <c r="AS70" i="3"/>
  <c r="AR70" i="3"/>
  <c r="AM9" i="3"/>
  <c r="AL9" i="3"/>
  <c r="AM25" i="3"/>
  <c r="AL25" i="3"/>
  <c r="AL57" i="3"/>
  <c r="AM57" i="3"/>
  <c r="AL75" i="3"/>
  <c r="AM75" i="3"/>
  <c r="BB60" i="3"/>
  <c r="BD60" i="3"/>
  <c r="BC60" i="3"/>
  <c r="AZ6" i="3"/>
  <c r="AY6" i="3"/>
  <c r="AZ22" i="3"/>
  <c r="AY22" i="3"/>
  <c r="AZ38" i="3"/>
  <c r="AY38" i="3"/>
  <c r="AY54" i="3"/>
  <c r="AZ54" i="3"/>
  <c r="AY71" i="3"/>
  <c r="AZ71" i="3"/>
  <c r="AV16" i="3"/>
  <c r="AW16" i="3"/>
  <c r="AW32" i="3"/>
  <c r="AV32" i="3"/>
  <c r="AW48" i="3"/>
  <c r="AV48" i="3"/>
  <c r="AW65" i="3"/>
  <c r="AV65" i="3"/>
  <c r="AS10" i="3"/>
  <c r="AR10" i="3"/>
  <c r="AQ10" i="3"/>
  <c r="AT10" i="3"/>
  <c r="AQ26" i="3"/>
  <c r="AT26" i="3"/>
  <c r="AS26" i="3"/>
  <c r="AT42" i="3"/>
  <c r="AS42" i="3"/>
  <c r="AR42" i="3"/>
  <c r="AQ42" i="3"/>
  <c r="AT58" i="3"/>
  <c r="AS58" i="3"/>
  <c r="AQ76" i="3"/>
  <c r="AT76" i="3"/>
  <c r="AS76" i="3"/>
  <c r="AR76" i="3"/>
  <c r="AL14" i="3"/>
  <c r="AM14" i="3"/>
  <c r="AM62" i="3"/>
  <c r="AL62" i="3"/>
  <c r="AI8" i="3"/>
  <c r="AH8" i="3"/>
  <c r="AJ8" i="3"/>
  <c r="AY35" i="3"/>
  <c r="AZ35" i="3"/>
  <c r="AZ51" i="3"/>
  <c r="AY51" i="3"/>
  <c r="AZ68" i="3"/>
  <c r="AY68" i="3"/>
  <c r="AW13" i="3"/>
  <c r="AV13" i="3"/>
  <c r="AW29" i="3"/>
  <c r="AV29" i="3"/>
  <c r="AW45" i="3"/>
  <c r="AV45" i="3"/>
  <c r="AV61" i="3"/>
  <c r="AW61" i="3"/>
  <c r="AS7" i="3"/>
  <c r="AR7" i="3"/>
  <c r="AQ7" i="3"/>
  <c r="AT7" i="3"/>
  <c r="AR23" i="3"/>
  <c r="AQ23" i="3"/>
  <c r="AT23" i="3"/>
  <c r="AS23" i="3"/>
  <c r="AT39" i="3"/>
  <c r="AS39" i="3"/>
  <c r="AR39" i="3"/>
  <c r="AQ39" i="3"/>
  <c r="AQ55" i="3"/>
  <c r="AT55" i="3"/>
  <c r="AS55" i="3"/>
  <c r="AR55" i="3"/>
  <c r="AQ72" i="3"/>
  <c r="AT72" i="3"/>
  <c r="AS72" i="3"/>
  <c r="AR72" i="3"/>
  <c r="AM43" i="3"/>
  <c r="AL43" i="3"/>
  <c r="AJ5" i="3"/>
  <c r="AI5" i="3"/>
  <c r="AH5" i="3"/>
  <c r="AZ28" i="3"/>
  <c r="AY28" i="3"/>
  <c r="AZ44" i="3"/>
  <c r="AY44" i="3"/>
  <c r="AY60" i="3"/>
  <c r="AZ60" i="3"/>
  <c r="AV6" i="3"/>
  <c r="AW6" i="3"/>
  <c r="AV22" i="3"/>
  <c r="AW22" i="3"/>
  <c r="AW38" i="3"/>
  <c r="AV38" i="3"/>
  <c r="AW54" i="3"/>
  <c r="AV54" i="3"/>
  <c r="AW71" i="3"/>
  <c r="AV71" i="3"/>
  <c r="AT16" i="3"/>
  <c r="AS16" i="3"/>
  <c r="AR16" i="3"/>
  <c r="AQ16" i="3"/>
  <c r="AS32" i="3"/>
  <c r="AQ32" i="3"/>
  <c r="AT32" i="3"/>
  <c r="AT48" i="3"/>
  <c r="AS48" i="3"/>
  <c r="AR48" i="3"/>
  <c r="AQ48" i="3"/>
  <c r="AQ65" i="3"/>
  <c r="AT65" i="3"/>
  <c r="AS65" i="3"/>
  <c r="AR65" i="3"/>
  <c r="AM20" i="3"/>
  <c r="AL20" i="3"/>
  <c r="AM36" i="3"/>
  <c r="AL36" i="3"/>
  <c r="AM69" i="3"/>
  <c r="AL69" i="3"/>
  <c r="AJ14" i="3"/>
  <c r="AI14" i="3"/>
  <c r="AH14" i="3"/>
  <c r="AI28" i="3"/>
  <c r="AH28" i="3"/>
  <c r="AJ28" i="3"/>
  <c r="AJ44" i="3"/>
  <c r="AI44" i="3"/>
  <c r="AH44" i="3"/>
  <c r="AH60" i="3"/>
  <c r="AJ60" i="3"/>
  <c r="AI60" i="3"/>
  <c r="Y6" i="3"/>
  <c r="Z6" i="3"/>
  <c r="AB22" i="3"/>
  <c r="Z22" i="3"/>
  <c r="Y22" i="3"/>
  <c r="AA22" i="3"/>
  <c r="Y38" i="3"/>
  <c r="AB38" i="3"/>
  <c r="AA38" i="3"/>
  <c r="Z38" i="3"/>
  <c r="Z54" i="3"/>
  <c r="Y54" i="3"/>
  <c r="AB54" i="3"/>
  <c r="AA54" i="3"/>
  <c r="Z71" i="3"/>
  <c r="Y71" i="3"/>
  <c r="AB71" i="3"/>
  <c r="AA71" i="3"/>
  <c r="R16" i="3"/>
  <c r="S16" i="3"/>
  <c r="R32" i="3"/>
  <c r="S32" i="3"/>
  <c r="R48" i="3"/>
  <c r="S48" i="3"/>
  <c r="R65" i="3"/>
  <c r="S65" i="3"/>
  <c r="AJ17" i="3"/>
  <c r="AI17" i="3"/>
  <c r="AH17" i="3"/>
  <c r="AJ33" i="3"/>
  <c r="AI33" i="3"/>
  <c r="AI66" i="3"/>
  <c r="AH66" i="3"/>
  <c r="AJ66" i="3"/>
  <c r="AA11" i="3"/>
  <c r="Y11" i="3"/>
  <c r="Z11" i="3"/>
  <c r="Z27" i="3"/>
  <c r="Y27" i="3"/>
  <c r="AA43" i="3"/>
  <c r="Z43" i="3"/>
  <c r="Y43" i="3"/>
  <c r="AB43" i="3"/>
  <c r="AB59" i="3"/>
  <c r="AA59" i="3"/>
  <c r="Z59" i="3"/>
  <c r="Y59" i="3"/>
  <c r="R5" i="3"/>
  <c r="S5" i="3"/>
  <c r="R37" i="3"/>
  <c r="S37" i="3"/>
  <c r="S53" i="3"/>
  <c r="R53" i="3"/>
  <c r="R70" i="3"/>
  <c r="S70" i="3"/>
  <c r="AJ26" i="3"/>
  <c r="AI26" i="3"/>
  <c r="AH42" i="3"/>
  <c r="AJ42" i="3"/>
  <c r="AI42" i="3"/>
  <c r="AJ58" i="3"/>
  <c r="AI58" i="3"/>
  <c r="AH58" i="3"/>
  <c r="AJ76" i="3"/>
  <c r="AI76" i="3"/>
  <c r="AH76" i="3"/>
  <c r="AB20" i="3"/>
  <c r="Z20" i="3"/>
  <c r="Y20" i="3"/>
  <c r="AA20" i="3"/>
  <c r="Y36" i="3"/>
  <c r="AA36" i="3"/>
  <c r="Z36" i="3"/>
  <c r="AB36" i="3"/>
  <c r="Z52" i="3"/>
  <c r="Z69" i="3"/>
  <c r="Y69" i="3"/>
  <c r="AB69" i="3"/>
  <c r="AA69" i="3"/>
  <c r="R14" i="3"/>
  <c r="S14" i="3"/>
  <c r="R62" i="3"/>
  <c r="S62" i="3"/>
  <c r="AI35" i="3"/>
  <c r="AH35" i="3"/>
  <c r="AJ35" i="3"/>
  <c r="AJ51" i="3"/>
  <c r="AI51" i="3"/>
  <c r="AH51" i="3"/>
  <c r="AJ68" i="3"/>
  <c r="AI68" i="3"/>
  <c r="AH68" i="3"/>
  <c r="AA13" i="3"/>
  <c r="Y13" i="3"/>
  <c r="AB13" i="3"/>
  <c r="Z13" i="3"/>
  <c r="Z29" i="3"/>
  <c r="AB29" i="3"/>
  <c r="AA29" i="3"/>
  <c r="Y29" i="3"/>
  <c r="Z45" i="3"/>
  <c r="Y45" i="3"/>
  <c r="AB61" i="3"/>
  <c r="AA61" i="3"/>
  <c r="Z61" i="3"/>
  <c r="Y61" i="3"/>
  <c r="R7" i="3"/>
  <c r="S7" i="3"/>
  <c r="R23" i="3"/>
  <c r="S23" i="3"/>
  <c r="R39" i="3"/>
  <c r="S39" i="3"/>
  <c r="R72" i="3"/>
  <c r="S72" i="3"/>
  <c r="BD15" i="3"/>
  <c r="BC15" i="3"/>
  <c r="BB15" i="3"/>
  <c r="BD35" i="3"/>
  <c r="BC35" i="3"/>
  <c r="BB35" i="3"/>
  <c r="BD51" i="3"/>
  <c r="BC51" i="3"/>
  <c r="BB51" i="3"/>
  <c r="AZ7" i="3"/>
  <c r="AY7" i="3"/>
  <c r="BC20" i="3"/>
  <c r="BD20" i="3"/>
  <c r="BB20" i="3"/>
  <c r="BD36" i="3"/>
  <c r="BC36" i="3"/>
  <c r="BB36" i="3"/>
  <c r="AZ8" i="3"/>
  <c r="AY8" i="3"/>
  <c r="BB17" i="3"/>
  <c r="BD17" i="3"/>
  <c r="BC17" i="3"/>
  <c r="BC75" i="3"/>
  <c r="BB75" i="3"/>
  <c r="BD75" i="3"/>
  <c r="BC14" i="3"/>
  <c r="BB14" i="3"/>
  <c r="BD14" i="3"/>
  <c r="BB30" i="3"/>
  <c r="BD30" i="3"/>
  <c r="BD67" i="3"/>
  <c r="BC67" i="3"/>
  <c r="BB67" i="3"/>
  <c r="BD59" i="3"/>
  <c r="BC59" i="3"/>
  <c r="BB59" i="3"/>
  <c r="AZ5" i="3"/>
  <c r="AY5" i="3"/>
  <c r="AY21" i="3"/>
  <c r="AZ21" i="3"/>
  <c r="AY37" i="3"/>
  <c r="AZ37" i="3"/>
  <c r="AZ53" i="3"/>
  <c r="AY53" i="3"/>
  <c r="AZ70" i="3"/>
  <c r="AY70" i="3"/>
  <c r="AW15" i="3"/>
  <c r="AV15" i="3"/>
  <c r="AW47" i="3"/>
  <c r="AV47" i="3"/>
  <c r="AV64" i="3"/>
  <c r="AW64" i="3"/>
  <c r="AS9" i="3"/>
  <c r="AQ9" i="3"/>
  <c r="AT9" i="3"/>
  <c r="AR25" i="3"/>
  <c r="AQ25" i="3"/>
  <c r="AT25" i="3"/>
  <c r="AS25" i="3"/>
  <c r="AT41" i="3"/>
  <c r="AS41" i="3"/>
  <c r="AR41" i="3"/>
  <c r="AQ41" i="3"/>
  <c r="AQ57" i="3"/>
  <c r="AT57" i="3"/>
  <c r="AS57" i="3"/>
  <c r="AR57" i="3"/>
  <c r="AQ75" i="3"/>
  <c r="AT75" i="3"/>
  <c r="AS75" i="3"/>
  <c r="AR75" i="3"/>
  <c r="AM13" i="3"/>
  <c r="AL13" i="3"/>
  <c r="AM29" i="3"/>
  <c r="AL29" i="3"/>
  <c r="AM45" i="3"/>
  <c r="AL45" i="3"/>
  <c r="AL61" i="3"/>
  <c r="AM61" i="3"/>
  <c r="AH7" i="3"/>
  <c r="AJ7" i="3"/>
  <c r="AI7" i="3"/>
  <c r="BB65" i="3"/>
  <c r="BD65" i="3"/>
  <c r="BC65" i="3"/>
  <c r="AZ10" i="3"/>
  <c r="AY10" i="3"/>
  <c r="AZ26" i="3"/>
  <c r="AY26" i="3"/>
  <c r="AZ42" i="3"/>
  <c r="AY42" i="3"/>
  <c r="AY58" i="3"/>
  <c r="AZ58" i="3"/>
  <c r="AY76" i="3"/>
  <c r="AZ76" i="3"/>
  <c r="AV20" i="3"/>
  <c r="AW20" i="3"/>
  <c r="AW36" i="3"/>
  <c r="AV36" i="3"/>
  <c r="AW69" i="3"/>
  <c r="AV69" i="3"/>
  <c r="AT14" i="3"/>
  <c r="AS14" i="3"/>
  <c r="AQ14" i="3"/>
  <c r="AQ30" i="3"/>
  <c r="AT30" i="3"/>
  <c r="AT46" i="3"/>
  <c r="AS46" i="3"/>
  <c r="AQ62" i="3"/>
  <c r="AT62" i="3"/>
  <c r="AS62" i="3"/>
  <c r="AR62" i="3"/>
  <c r="AM18" i="3"/>
  <c r="AL18" i="3"/>
  <c r="AM34" i="3"/>
  <c r="AL34" i="3"/>
  <c r="AM50" i="3"/>
  <c r="AL50" i="3"/>
  <c r="AM67" i="3"/>
  <c r="AL67" i="3"/>
  <c r="AI12" i="3"/>
  <c r="AH12" i="3"/>
  <c r="AJ12" i="3"/>
  <c r="AY39" i="3"/>
  <c r="AZ39" i="3"/>
  <c r="AZ55" i="3"/>
  <c r="AY55" i="3"/>
  <c r="AZ72" i="3"/>
  <c r="AY72" i="3"/>
  <c r="AW17" i="3"/>
  <c r="AV17" i="3"/>
  <c r="AW33" i="3"/>
  <c r="AV33" i="3"/>
  <c r="AW49" i="3"/>
  <c r="AV49" i="3"/>
  <c r="AV66" i="3"/>
  <c r="AW66" i="3"/>
  <c r="AS11" i="3"/>
  <c r="AT11" i="3"/>
  <c r="AT43" i="3"/>
  <c r="AS43" i="3"/>
  <c r="AR43" i="3"/>
  <c r="AQ43" i="3"/>
  <c r="AQ59" i="3"/>
  <c r="AT59" i="3"/>
  <c r="AS59" i="3"/>
  <c r="AM15" i="3"/>
  <c r="AL15" i="3"/>
  <c r="AM47" i="3"/>
  <c r="AL47" i="3"/>
  <c r="AL64" i="3"/>
  <c r="AM64" i="3"/>
  <c r="AJ9" i="3"/>
  <c r="AI9" i="3"/>
  <c r="AH9" i="3"/>
  <c r="AZ32" i="3"/>
  <c r="AY32" i="3"/>
  <c r="AY65" i="3"/>
  <c r="AZ65" i="3"/>
  <c r="AV10" i="3"/>
  <c r="AW10" i="3"/>
  <c r="AV26" i="3"/>
  <c r="AW26" i="3"/>
  <c r="AW42" i="3"/>
  <c r="AV42" i="3"/>
  <c r="AW58" i="3"/>
  <c r="AV58" i="3"/>
  <c r="AV76" i="3"/>
  <c r="AW76" i="3"/>
  <c r="AQ20" i="3"/>
  <c r="AT20" i="3"/>
  <c r="AS20" i="3"/>
  <c r="AT36" i="3"/>
  <c r="AS36" i="3"/>
  <c r="AR36" i="3"/>
  <c r="AQ36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2" i="3"/>
  <c r="AI32" i="3"/>
  <c r="AH32" i="3"/>
  <c r="AH65" i="3"/>
  <c r="AJ65" i="3"/>
  <c r="AI65" i="3"/>
  <c r="Y10" i="3"/>
  <c r="AA10" i="3"/>
  <c r="Z10" i="3"/>
  <c r="AB10" i="3"/>
  <c r="Z26" i="3"/>
  <c r="Y42" i="3"/>
  <c r="AB42" i="3"/>
  <c r="AA42" i="3"/>
  <c r="Z42" i="3"/>
  <c r="Z58" i="3"/>
  <c r="Y58" i="3"/>
  <c r="AB58" i="3"/>
  <c r="AA58" i="3"/>
  <c r="Z76" i="3"/>
  <c r="Y76" i="3"/>
  <c r="AB76" i="3"/>
  <c r="AA76" i="3"/>
  <c r="R36" i="3"/>
  <c r="S36" i="3"/>
  <c r="R69" i="3"/>
  <c r="S69" i="3"/>
  <c r="AJ21" i="3"/>
  <c r="AI21" i="3"/>
  <c r="AH21" i="3"/>
  <c r="AJ37" i="3"/>
  <c r="AI37" i="3"/>
  <c r="AH37" i="3"/>
  <c r="AI53" i="3"/>
  <c r="AH53" i="3"/>
  <c r="AJ53" i="3"/>
  <c r="AI70" i="3"/>
  <c r="AH70" i="3"/>
  <c r="AJ70" i="3"/>
  <c r="AB15" i="3"/>
  <c r="Y15" i="3"/>
  <c r="AA15" i="3"/>
  <c r="Z31" i="3"/>
  <c r="AA47" i="3"/>
  <c r="Z47" i="3"/>
  <c r="Y47" i="3"/>
  <c r="AB47" i="3"/>
  <c r="AB64" i="3"/>
  <c r="AA64" i="3"/>
  <c r="Z64" i="3"/>
  <c r="Y64" i="3"/>
  <c r="R9" i="3"/>
  <c r="S9" i="3"/>
  <c r="R25" i="3"/>
  <c r="S25" i="3"/>
  <c r="R41" i="3"/>
  <c r="S41" i="3"/>
  <c r="R57" i="3"/>
  <c r="S57" i="3"/>
  <c r="AJ30" i="3"/>
  <c r="AI30" i="3"/>
  <c r="AH30" i="3"/>
  <c r="AJ46" i="3"/>
  <c r="AI46" i="3"/>
  <c r="AJ62" i="3"/>
  <c r="AI62" i="3"/>
  <c r="AH62" i="3"/>
  <c r="Z8" i="3"/>
  <c r="Y8" i="3"/>
  <c r="AB8" i="3"/>
  <c r="AA8" i="3"/>
  <c r="AB24" i="3"/>
  <c r="Z24" i="3"/>
  <c r="Y24" i="3"/>
  <c r="AA24" i="3"/>
  <c r="Z40" i="3"/>
  <c r="Z56" i="3"/>
  <c r="Y56" i="3"/>
  <c r="AB56" i="3"/>
  <c r="AA56" i="3"/>
  <c r="Z74" i="3"/>
  <c r="Y74" i="3"/>
  <c r="AB74" i="3"/>
  <c r="AA74" i="3"/>
  <c r="R34" i="3"/>
  <c r="S34" i="3"/>
  <c r="R50" i="3"/>
  <c r="S50" i="3"/>
  <c r="R67" i="3"/>
  <c r="S67" i="3"/>
  <c r="AH23" i="3"/>
  <c r="AJ23" i="3"/>
  <c r="AI23" i="3"/>
  <c r="AI39" i="3"/>
  <c r="AH39" i="3"/>
  <c r="AJ39" i="3"/>
  <c r="AJ55" i="3"/>
  <c r="AI55" i="3"/>
  <c r="AH55" i="3"/>
  <c r="AJ72" i="3"/>
  <c r="AI72" i="3"/>
  <c r="AH72" i="3"/>
  <c r="Y17" i="3"/>
  <c r="AA17" i="3"/>
  <c r="Z17" i="3"/>
  <c r="Y33" i="3"/>
  <c r="Z33" i="3"/>
  <c r="Z49" i="3"/>
  <c r="Y49" i="3"/>
  <c r="AB66" i="3"/>
  <c r="AA66" i="3"/>
  <c r="Z66" i="3"/>
  <c r="Y66" i="3"/>
  <c r="R43" i="3"/>
  <c r="S43" i="3"/>
  <c r="BC70" i="3"/>
  <c r="BB70" i="3"/>
  <c r="BD70" i="3"/>
  <c r="BB7" i="3"/>
  <c r="BD7" i="3"/>
  <c r="BC7" i="3"/>
  <c r="BD23" i="3"/>
  <c r="BB23" i="3"/>
  <c r="BC23" i="3"/>
  <c r="BD39" i="3"/>
  <c r="BC39" i="3"/>
  <c r="BB39" i="3"/>
  <c r="BD55" i="3"/>
  <c r="BC55" i="3"/>
  <c r="BB55" i="3"/>
  <c r="AZ15" i="3"/>
  <c r="AY15" i="3"/>
  <c r="AM4" i="3"/>
  <c r="AL4" i="3"/>
  <c r="BC8" i="3"/>
  <c r="BB8" i="3"/>
  <c r="BD8" i="3"/>
  <c r="BC24" i="3"/>
  <c r="BD24" i="3"/>
  <c r="BB24" i="3"/>
  <c r="BD40" i="3"/>
  <c r="BB40" i="3"/>
  <c r="R4" i="3"/>
  <c r="S4" i="3"/>
  <c r="BB5" i="3"/>
  <c r="BD5" i="3"/>
  <c r="BC5" i="3"/>
  <c r="BB21" i="3"/>
  <c r="BD21" i="3"/>
  <c r="BC21" i="3"/>
  <c r="BB37" i="3"/>
  <c r="BD37" i="3"/>
  <c r="BC37" i="3"/>
  <c r="BB53" i="3"/>
  <c r="BD53" i="3"/>
  <c r="BC53" i="3"/>
  <c r="AZ11" i="3"/>
  <c r="AY11" i="3"/>
  <c r="BC34" i="3"/>
  <c r="BB34" i="3"/>
  <c r="BD34" i="3"/>
  <c r="BC50" i="3"/>
  <c r="BB50" i="3"/>
  <c r="BD50" i="3"/>
  <c r="BD76" i="3"/>
  <c r="BC76" i="3"/>
  <c r="BB76" i="3"/>
  <c r="BD64" i="3"/>
  <c r="BC64" i="3"/>
  <c r="BB64" i="3"/>
  <c r="AZ9" i="3"/>
  <c r="AY9" i="3"/>
  <c r="AY25" i="3"/>
  <c r="AZ25" i="3"/>
  <c r="AZ57" i="3"/>
  <c r="AY57" i="3"/>
  <c r="AZ75" i="3"/>
  <c r="AY75" i="3"/>
  <c r="AW19" i="3"/>
  <c r="AW35" i="3"/>
  <c r="AV35" i="3"/>
  <c r="AW51" i="3"/>
  <c r="AV51" i="3"/>
  <c r="AV68" i="3"/>
  <c r="AW68" i="3"/>
  <c r="AT13" i="3"/>
  <c r="AR13" i="3"/>
  <c r="AQ13" i="3"/>
  <c r="AR29" i="3"/>
  <c r="AQ29" i="3"/>
  <c r="AT29" i="3"/>
  <c r="AS29" i="3"/>
  <c r="AQ61" i="3"/>
  <c r="AT61" i="3"/>
  <c r="AS61" i="3"/>
  <c r="AR61" i="3"/>
  <c r="AL66" i="3"/>
  <c r="AM66" i="3"/>
  <c r="AH11" i="3"/>
  <c r="AJ11" i="3"/>
  <c r="AI11" i="3"/>
  <c r="BB69" i="3"/>
  <c r="BD69" i="3"/>
  <c r="BC69" i="3"/>
  <c r="AZ14" i="3"/>
  <c r="AY14" i="3"/>
  <c r="AZ30" i="3"/>
  <c r="AY30" i="3"/>
  <c r="AY62" i="3"/>
  <c r="AZ62" i="3"/>
  <c r="AV8" i="3"/>
  <c r="AW8" i="3"/>
  <c r="AV24" i="3"/>
  <c r="AW24" i="3"/>
  <c r="AW56" i="3"/>
  <c r="AV56" i="3"/>
  <c r="AV74" i="3"/>
  <c r="AW74" i="3"/>
  <c r="AT34" i="3"/>
  <c r="AS34" i="3"/>
  <c r="AR34" i="3"/>
  <c r="AQ34" i="3"/>
  <c r="AT50" i="3"/>
  <c r="AS50" i="3"/>
  <c r="AR50" i="3"/>
  <c r="AQ50" i="3"/>
  <c r="AQ67" i="3"/>
  <c r="AT67" i="3"/>
  <c r="AS67" i="3"/>
  <c r="AR67" i="3"/>
  <c r="AL6" i="3"/>
  <c r="AM6" i="3"/>
  <c r="AM22" i="3"/>
  <c r="AL22" i="3"/>
  <c r="AM38" i="3"/>
  <c r="AL38" i="3"/>
  <c r="AM54" i="3"/>
  <c r="AL54" i="3"/>
  <c r="AM71" i="3"/>
  <c r="AL71" i="3"/>
  <c r="AJ18" i="3"/>
  <c r="AI18" i="3"/>
  <c r="AH18" i="3"/>
  <c r="AY43" i="3"/>
  <c r="AZ43" i="3"/>
  <c r="AZ59" i="3"/>
  <c r="AY59" i="3"/>
  <c r="AW5" i="3"/>
  <c r="AV5" i="3"/>
  <c r="AW21" i="3"/>
  <c r="AV21" i="3"/>
  <c r="AW37" i="3"/>
  <c r="AV37" i="3"/>
  <c r="AV53" i="3"/>
  <c r="AW53" i="3"/>
  <c r="AV70" i="3"/>
  <c r="AW70" i="3"/>
  <c r="AT15" i="3"/>
  <c r="AS15" i="3"/>
  <c r="AR15" i="3"/>
  <c r="AQ15" i="3"/>
  <c r="AT47" i="3"/>
  <c r="AS47" i="3"/>
  <c r="AR47" i="3"/>
  <c r="AQ47" i="3"/>
  <c r="AQ64" i="3"/>
  <c r="AT64" i="3"/>
  <c r="AS64" i="3"/>
  <c r="AR64" i="3"/>
  <c r="AM19" i="3"/>
  <c r="AL19" i="3"/>
  <c r="AL35" i="3"/>
  <c r="AM35" i="3"/>
  <c r="AL51" i="3"/>
  <c r="AM51" i="3"/>
  <c r="AL68" i="3"/>
  <c r="AM68" i="3"/>
  <c r="AJ13" i="3"/>
  <c r="AI13" i="3"/>
  <c r="AH13" i="3"/>
  <c r="AZ36" i="3"/>
  <c r="AY36" i="3"/>
  <c r="AY69" i="3"/>
  <c r="AZ69" i="3"/>
  <c r="AV14" i="3"/>
  <c r="AW14" i="3"/>
  <c r="AW46" i="3"/>
  <c r="AV46" i="3"/>
  <c r="AW62" i="3"/>
  <c r="AV62" i="3"/>
  <c r="AS8" i="3"/>
  <c r="AR8" i="3"/>
  <c r="AQ8" i="3"/>
  <c r="AT8" i="3"/>
  <c r="AR24" i="3"/>
  <c r="AQ24" i="3"/>
  <c r="AT24" i="3"/>
  <c r="AS24" i="3"/>
  <c r="AS40" i="3"/>
  <c r="AR40" i="3"/>
  <c r="AQ56" i="3"/>
  <c r="AT56" i="3"/>
  <c r="AS56" i="3"/>
  <c r="AR56" i="3"/>
  <c r="AQ74" i="3"/>
  <c r="AT74" i="3"/>
  <c r="AS74" i="3"/>
  <c r="AR74" i="3"/>
  <c r="AL12" i="3"/>
  <c r="AM12" i="3"/>
  <c r="AM28" i="3"/>
  <c r="AL28" i="3"/>
  <c r="AM60" i="3"/>
  <c r="AL60" i="3"/>
  <c r="AJ6" i="3"/>
  <c r="AI6" i="3"/>
  <c r="AI20" i="3"/>
  <c r="AH20" i="3"/>
  <c r="AJ20" i="3"/>
  <c r="AJ36" i="3"/>
  <c r="AI36" i="3"/>
  <c r="AH36" i="3"/>
  <c r="AH69" i="3"/>
  <c r="AJ69" i="3"/>
  <c r="AI69" i="3"/>
  <c r="Y14" i="3"/>
  <c r="AA14" i="3"/>
  <c r="Z14" i="3"/>
  <c r="AB14" i="3"/>
  <c r="Z30" i="3"/>
  <c r="Y30" i="3"/>
  <c r="Z46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J41" i="3"/>
  <c r="AI41" i="3"/>
  <c r="AI57" i="3"/>
  <c r="AH57" i="3"/>
  <c r="AJ57" i="3"/>
  <c r="AI75" i="3"/>
  <c r="AH75" i="3"/>
  <c r="AJ75" i="3"/>
  <c r="Z19" i="3"/>
  <c r="Y19" i="3"/>
  <c r="AA35" i="3"/>
  <c r="Y35" i="3"/>
  <c r="AB35" i="3"/>
  <c r="Z35" i="3"/>
  <c r="AB51" i="3"/>
  <c r="AA51" i="3"/>
  <c r="Z51" i="3"/>
  <c r="Y51" i="3"/>
  <c r="AB68" i="3"/>
  <c r="AA68" i="3"/>
  <c r="Z68" i="3"/>
  <c r="Y68" i="3"/>
  <c r="R13" i="3"/>
  <c r="S13" i="3"/>
  <c r="R29" i="3"/>
  <c r="S29" i="3"/>
  <c r="R61" i="3"/>
  <c r="S61" i="3"/>
  <c r="AH34" i="3"/>
  <c r="AJ34" i="3"/>
  <c r="AI34" i="3"/>
  <c r="AJ50" i="3"/>
  <c r="AI50" i="3"/>
  <c r="AH50" i="3"/>
  <c r="AJ67" i="3"/>
  <c r="AI67" i="3"/>
  <c r="AH67" i="3"/>
  <c r="Y12" i="3"/>
  <c r="AA12" i="3"/>
  <c r="AB12" i="3"/>
  <c r="Z12" i="3"/>
  <c r="AB28" i="3"/>
  <c r="Z28" i="3"/>
  <c r="Y28" i="3"/>
  <c r="AA28" i="3"/>
  <c r="Y44" i="3"/>
  <c r="AB44" i="3"/>
  <c r="AA44" i="3"/>
  <c r="Z44" i="3"/>
  <c r="Z60" i="3"/>
  <c r="Y60" i="3"/>
  <c r="AB60" i="3"/>
  <c r="AA60" i="3"/>
  <c r="R22" i="3"/>
  <c r="S22" i="3"/>
  <c r="R38" i="3"/>
  <c r="S38" i="3"/>
  <c r="R54" i="3"/>
  <c r="S54" i="3"/>
  <c r="R71" i="3"/>
  <c r="S71" i="3"/>
  <c r="AJ27" i="3"/>
  <c r="AI27" i="3"/>
  <c r="AI43" i="3"/>
  <c r="AH43" i="3"/>
  <c r="AJ43" i="3"/>
  <c r="AJ59" i="3"/>
  <c r="AI59" i="3"/>
  <c r="AH59" i="3"/>
  <c r="AA5" i="3"/>
  <c r="Z5" i="3"/>
  <c r="Y5" i="3"/>
  <c r="AB5" i="3"/>
  <c r="Z21" i="3"/>
  <c r="AA21" i="3"/>
  <c r="Y21" i="3"/>
  <c r="Z37" i="3"/>
  <c r="AB37" i="3"/>
  <c r="AB53" i="3"/>
  <c r="AA53" i="3"/>
  <c r="Z53" i="3"/>
  <c r="Y53" i="3"/>
  <c r="AB70" i="3"/>
  <c r="AA70" i="3"/>
  <c r="Z70" i="3"/>
  <c r="Y70" i="3"/>
  <c r="R15" i="3"/>
  <c r="S15" i="3"/>
  <c r="R47" i="3"/>
  <c r="S47" i="3"/>
  <c r="R64" i="3"/>
  <c r="S64" i="3"/>
  <c r="I19" i="3"/>
  <c r="E19" i="3"/>
  <c r="D19" i="3"/>
  <c r="I35" i="3"/>
  <c r="E35" i="3"/>
  <c r="H35" i="3"/>
  <c r="D35" i="3"/>
  <c r="G35" i="3"/>
  <c r="C35" i="3"/>
  <c r="G68" i="3"/>
  <c r="C68" i="3"/>
  <c r="F68" i="3"/>
  <c r="I68" i="3"/>
  <c r="E68" i="3"/>
  <c r="D68" i="3"/>
  <c r="H68" i="3"/>
  <c r="I12" i="3"/>
  <c r="E12" i="3"/>
  <c r="H12" i="3"/>
  <c r="D12" i="3"/>
  <c r="C12" i="3"/>
  <c r="I60" i="3"/>
  <c r="E60" i="3"/>
  <c r="D9" i="3"/>
  <c r="I9" i="3"/>
  <c r="E9" i="3"/>
  <c r="G25" i="3"/>
  <c r="C25" i="3"/>
  <c r="F25" i="3"/>
  <c r="I25" i="3"/>
  <c r="E25" i="3"/>
  <c r="E41" i="3"/>
  <c r="D41" i="3"/>
  <c r="I41" i="3"/>
  <c r="H57" i="3"/>
  <c r="D57" i="3"/>
  <c r="F57" i="3"/>
  <c r="I57" i="3"/>
  <c r="G57" i="3"/>
  <c r="E57" i="3"/>
  <c r="C57" i="3"/>
  <c r="I75" i="3"/>
  <c r="E75" i="3"/>
  <c r="D75" i="3"/>
  <c r="C75" i="3"/>
  <c r="D14" i="3"/>
  <c r="I14" i="3"/>
  <c r="E14" i="3"/>
  <c r="I30" i="3"/>
  <c r="E30" i="3"/>
  <c r="E62" i="3"/>
  <c r="H62" i="3"/>
  <c r="D62" i="3"/>
  <c r="G62" i="3"/>
  <c r="C62" i="3"/>
  <c r="F62" i="3"/>
  <c r="Y4" i="3"/>
  <c r="T12" i="3"/>
  <c r="W12" i="3"/>
  <c r="Q12" i="3"/>
  <c r="V12" i="3"/>
  <c r="U12" i="3"/>
  <c r="T28" i="3"/>
  <c r="W28" i="3"/>
  <c r="T44" i="3"/>
  <c r="W44" i="3"/>
  <c r="Q44" i="3"/>
  <c r="T60" i="3"/>
  <c r="W60" i="3"/>
  <c r="N22" i="3"/>
  <c r="O22" i="3"/>
  <c r="O38" i="3"/>
  <c r="N38" i="3"/>
  <c r="O54" i="3"/>
  <c r="N54" i="3"/>
  <c r="K24" i="3"/>
  <c r="L24" i="3"/>
  <c r="L40" i="3"/>
  <c r="K40" i="3"/>
  <c r="L74" i="3"/>
  <c r="T17" i="3"/>
  <c r="V17" i="3"/>
  <c r="U17" i="3"/>
  <c r="W17" i="3"/>
  <c r="Q17" i="3"/>
  <c r="W33" i="3"/>
  <c r="Q33" i="3"/>
  <c r="Q49" i="3"/>
  <c r="W49" i="3"/>
  <c r="T66" i="3"/>
  <c r="W66" i="3"/>
  <c r="V66" i="3"/>
  <c r="Q66" i="3"/>
  <c r="U66" i="3"/>
  <c r="O23" i="3"/>
  <c r="N23" i="3"/>
  <c r="O39" i="3"/>
  <c r="N39" i="3"/>
  <c r="O55" i="3"/>
  <c r="N55" i="3"/>
  <c r="L29" i="3"/>
  <c r="K29" i="3"/>
  <c r="K45" i="3"/>
  <c r="L45" i="3"/>
  <c r="L61" i="3"/>
  <c r="K61" i="3"/>
  <c r="T10" i="3"/>
  <c r="V10" i="3"/>
  <c r="U10" i="3"/>
  <c r="W10" i="3"/>
  <c r="Q10" i="3"/>
  <c r="W26" i="3"/>
  <c r="Q26" i="3"/>
  <c r="T26" i="3"/>
  <c r="T42" i="3"/>
  <c r="W42" i="3"/>
  <c r="V42" i="3"/>
  <c r="Q42" i="3"/>
  <c r="U42" i="3"/>
  <c r="V58" i="3"/>
  <c r="Q58" i="3"/>
  <c r="T58" i="3"/>
  <c r="W58" i="3"/>
  <c r="V76" i="3"/>
  <c r="Q76" i="3"/>
  <c r="U76" i="3"/>
  <c r="T76" i="3"/>
  <c r="W76" i="3"/>
  <c r="O48" i="3"/>
  <c r="N48" i="3"/>
  <c r="K22" i="3"/>
  <c r="L22" i="3"/>
  <c r="L38" i="3"/>
  <c r="K38" i="3"/>
  <c r="K54" i="3"/>
  <c r="L54" i="3"/>
  <c r="L71" i="3"/>
  <c r="K71" i="3"/>
  <c r="T19" i="3"/>
  <c r="W19" i="3"/>
  <c r="Q19" i="3"/>
  <c r="V19" i="3"/>
  <c r="T35" i="3"/>
  <c r="W35" i="3"/>
  <c r="V35" i="3"/>
  <c r="U35" i="3"/>
  <c r="Q35" i="3"/>
  <c r="V51" i="3"/>
  <c r="Q51" i="3"/>
  <c r="T51" i="3"/>
  <c r="W51" i="3"/>
  <c r="T68" i="3"/>
  <c r="W68" i="3"/>
  <c r="V68" i="3"/>
  <c r="Q68" i="3"/>
  <c r="U68" i="3"/>
  <c r="O29" i="3"/>
  <c r="N29" i="3"/>
  <c r="O61" i="3"/>
  <c r="N61" i="3"/>
  <c r="L31" i="3"/>
  <c r="K31" i="3"/>
  <c r="L47" i="3"/>
  <c r="K47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9" i="3"/>
  <c r="I39" i="3"/>
  <c r="E39" i="3"/>
  <c r="H39" i="3"/>
  <c r="D39" i="3"/>
  <c r="C39" i="3"/>
  <c r="F55" i="3"/>
  <c r="H55" i="3"/>
  <c r="D55" i="3"/>
  <c r="E55" i="3"/>
  <c r="C55" i="3"/>
  <c r="I55" i="3"/>
  <c r="G55" i="3"/>
  <c r="G72" i="3"/>
  <c r="C72" i="3"/>
  <c r="F72" i="3"/>
  <c r="I72" i="3"/>
  <c r="E72" i="3"/>
  <c r="H72" i="3"/>
  <c r="D72" i="3"/>
  <c r="I16" i="3"/>
  <c r="E16" i="3"/>
  <c r="C16" i="3"/>
  <c r="F16" i="3"/>
  <c r="N16" i="3"/>
  <c r="C32" i="3"/>
  <c r="F32" i="3"/>
  <c r="E32" i="3"/>
  <c r="D32" i="3"/>
  <c r="I48" i="3"/>
  <c r="E48" i="3"/>
  <c r="G48" i="3"/>
  <c r="C48" i="3"/>
  <c r="H48" i="3"/>
  <c r="D48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9" i="3"/>
  <c r="D29" i="3"/>
  <c r="G29" i="3"/>
  <c r="C29" i="3"/>
  <c r="F29" i="3"/>
  <c r="I29" i="3"/>
  <c r="E29" i="3"/>
  <c r="D45" i="3"/>
  <c r="I45" i="3"/>
  <c r="E45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4" i="3"/>
  <c r="E34" i="3"/>
  <c r="H34" i="3"/>
  <c r="D34" i="3"/>
  <c r="G34" i="3"/>
  <c r="C34" i="3"/>
  <c r="F34" i="3"/>
  <c r="D50" i="3"/>
  <c r="F50" i="3"/>
  <c r="G50" i="3"/>
  <c r="E50" i="3"/>
  <c r="I50" i="3"/>
  <c r="C50" i="3"/>
  <c r="F67" i="3"/>
  <c r="I67" i="3"/>
  <c r="H67" i="3"/>
  <c r="D67" i="3"/>
  <c r="G67" i="3"/>
  <c r="C67" i="3"/>
  <c r="V16" i="3"/>
  <c r="Q16" i="3"/>
  <c r="W16" i="3"/>
  <c r="U16" i="3"/>
  <c r="T16" i="3"/>
  <c r="V32" i="3"/>
  <c r="Q32" i="3"/>
  <c r="U32" i="3"/>
  <c r="W32" i="3"/>
  <c r="T32" i="3"/>
  <c r="T48" i="3"/>
  <c r="W48" i="3"/>
  <c r="V48" i="3"/>
  <c r="Q48" i="3"/>
  <c r="U48" i="3"/>
  <c r="V65" i="3"/>
  <c r="Q65" i="3"/>
  <c r="U65" i="3"/>
  <c r="T65" i="3"/>
  <c r="W65" i="3"/>
  <c r="O42" i="3"/>
  <c r="N42" i="3"/>
  <c r="T5" i="3"/>
  <c r="W5" i="3"/>
  <c r="Q5" i="3"/>
  <c r="T21" i="3"/>
  <c r="W21" i="3"/>
  <c r="T37" i="3"/>
  <c r="W37" i="3"/>
  <c r="Q37" i="3"/>
  <c r="V37" i="3"/>
  <c r="W53" i="3"/>
  <c r="Q53" i="3"/>
  <c r="T53" i="3"/>
  <c r="T70" i="3"/>
  <c r="W70" i="3"/>
  <c r="V70" i="3"/>
  <c r="Q70" i="3"/>
  <c r="U70" i="3"/>
  <c r="L49" i="3"/>
  <c r="K49" i="3"/>
  <c r="L66" i="3"/>
  <c r="K66" i="3"/>
  <c r="W14" i="3"/>
  <c r="V14" i="3"/>
  <c r="Q14" i="3"/>
  <c r="T14" i="3"/>
  <c r="Q30" i="3"/>
  <c r="W30" i="3"/>
  <c r="T46" i="3"/>
  <c r="W46" i="3"/>
  <c r="Q46" i="3"/>
  <c r="U46" i="3"/>
  <c r="V62" i="3"/>
  <c r="Q62" i="3"/>
  <c r="U62" i="3"/>
  <c r="T62" i="3"/>
  <c r="W62" i="3"/>
  <c r="O36" i="3"/>
  <c r="N36" i="3"/>
  <c r="L42" i="3"/>
  <c r="K42" i="3"/>
  <c r="K58" i="3"/>
  <c r="L58" i="3"/>
  <c r="L76" i="3"/>
  <c r="K76" i="3"/>
  <c r="U7" i="3"/>
  <c r="T7" i="3"/>
  <c r="W7" i="3"/>
  <c r="V7" i="3"/>
  <c r="Q7" i="3"/>
  <c r="T23" i="3"/>
  <c r="V23" i="3"/>
  <c r="U23" i="3"/>
  <c r="Q23" i="3"/>
  <c r="U39" i="3"/>
  <c r="T39" i="3"/>
  <c r="W39" i="3"/>
  <c r="Q39" i="3"/>
  <c r="T55" i="3"/>
  <c r="W55" i="3"/>
  <c r="Q55" i="3"/>
  <c r="V55" i="3"/>
  <c r="U55" i="3"/>
  <c r="T72" i="3"/>
  <c r="W72" i="3"/>
  <c r="V72" i="3"/>
  <c r="Q72" i="3"/>
  <c r="U72" i="3"/>
  <c r="O49" i="3"/>
  <c r="N49" i="3"/>
  <c r="L19" i="3"/>
  <c r="K19" i="3"/>
  <c r="K35" i="3"/>
  <c r="L35" i="3"/>
  <c r="K68" i="3"/>
  <c r="L68" i="3"/>
  <c r="E11" i="3"/>
  <c r="I27" i="3"/>
  <c r="E27" i="3"/>
  <c r="D27" i="3"/>
  <c r="C27" i="3"/>
  <c r="H43" i="3"/>
  <c r="D43" i="3"/>
  <c r="E43" i="3"/>
  <c r="I43" i="3"/>
  <c r="G43" i="3"/>
  <c r="I59" i="3"/>
  <c r="E59" i="3"/>
  <c r="AH4" i="3"/>
  <c r="I4" i="3"/>
  <c r="E4" i="3"/>
  <c r="D4" i="3"/>
  <c r="G4" i="3"/>
  <c r="C4" i="3"/>
  <c r="F4" i="3"/>
  <c r="H4" i="3"/>
  <c r="E20" i="3"/>
  <c r="D20" i="3"/>
  <c r="G36" i="3"/>
  <c r="C36" i="3"/>
  <c r="F36" i="3"/>
  <c r="I36" i="3"/>
  <c r="E36" i="3"/>
  <c r="H36" i="3"/>
  <c r="D36" i="3"/>
  <c r="D52" i="3"/>
  <c r="I52" i="3"/>
  <c r="E52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D6" i="3"/>
  <c r="I22" i="3"/>
  <c r="D22" i="3"/>
  <c r="H22" i="3"/>
  <c r="C22" i="3"/>
  <c r="G22" i="3"/>
  <c r="E22" i="3"/>
  <c r="I38" i="3"/>
  <c r="E38" i="3"/>
  <c r="H38" i="3"/>
  <c r="D38" i="3"/>
  <c r="G38" i="3"/>
  <c r="C38" i="3"/>
  <c r="F38" i="3"/>
  <c r="I54" i="3"/>
  <c r="E54" i="3"/>
  <c r="G54" i="3"/>
  <c r="C54" i="3"/>
  <c r="D54" i="3"/>
  <c r="H54" i="3"/>
  <c r="F54" i="3"/>
  <c r="F71" i="3"/>
  <c r="I71" i="3"/>
  <c r="E71" i="3"/>
  <c r="H71" i="3"/>
  <c r="D71" i="3"/>
  <c r="G71" i="3"/>
  <c r="C71" i="3"/>
  <c r="V20" i="3"/>
  <c r="Q20" i="3"/>
  <c r="T20" i="3"/>
  <c r="W20" i="3"/>
  <c r="V36" i="3"/>
  <c r="Q36" i="3"/>
  <c r="U36" i="3"/>
  <c r="W36" i="3"/>
  <c r="T36" i="3"/>
  <c r="T52" i="3"/>
  <c r="W52" i="3"/>
  <c r="Q52" i="3"/>
  <c r="V69" i="3"/>
  <c r="Q69" i="3"/>
  <c r="U69" i="3"/>
  <c r="T69" i="3"/>
  <c r="W69" i="3"/>
  <c r="O62" i="3"/>
  <c r="N62" i="3"/>
  <c r="K48" i="3"/>
  <c r="L48" i="3"/>
  <c r="L65" i="3"/>
  <c r="K65" i="3"/>
  <c r="V9" i="3"/>
  <c r="Q9" i="3"/>
  <c r="W9" i="3"/>
  <c r="T9" i="3"/>
  <c r="U25" i="3"/>
  <c r="T25" i="3"/>
  <c r="V25" i="3"/>
  <c r="Q25" i="3"/>
  <c r="W25" i="3"/>
  <c r="U41" i="3"/>
  <c r="T41" i="3"/>
  <c r="W41" i="3"/>
  <c r="T57" i="3"/>
  <c r="W57" i="3"/>
  <c r="V57" i="3"/>
  <c r="Q57" i="3"/>
  <c r="U57" i="3"/>
  <c r="W75" i="3"/>
  <c r="Q75" i="3"/>
  <c r="O47" i="3"/>
  <c r="N47" i="3"/>
  <c r="K37" i="3"/>
  <c r="L37" i="3"/>
  <c r="L70" i="3"/>
  <c r="K70" i="3"/>
  <c r="V18" i="3"/>
  <c r="Q18" i="3"/>
  <c r="T18" i="3"/>
  <c r="W18" i="3"/>
  <c r="V34" i="3"/>
  <c r="Q34" i="3"/>
  <c r="U34" i="3"/>
  <c r="T34" i="3"/>
  <c r="W34" i="3"/>
  <c r="T50" i="3"/>
  <c r="W50" i="3"/>
  <c r="V50" i="3"/>
  <c r="Q50" i="3"/>
  <c r="U50" i="3"/>
  <c r="V67" i="3"/>
  <c r="Q67" i="3"/>
  <c r="U67" i="3"/>
  <c r="T67" i="3"/>
  <c r="W67" i="3"/>
  <c r="N24" i="3"/>
  <c r="O24" i="3"/>
  <c r="K30" i="3"/>
  <c r="L30" i="3"/>
  <c r="K62" i="3"/>
  <c r="L62" i="3"/>
  <c r="Q11" i="3"/>
  <c r="T11" i="3"/>
  <c r="W11" i="3"/>
  <c r="T27" i="3"/>
  <c r="W27" i="3"/>
  <c r="Q27" i="3"/>
  <c r="V43" i="3"/>
  <c r="Q43" i="3"/>
  <c r="U43" i="3"/>
  <c r="T43" i="3"/>
  <c r="W43" i="3"/>
  <c r="T59" i="3"/>
  <c r="W59" i="3"/>
  <c r="V59" i="3"/>
  <c r="Q59" i="3"/>
  <c r="L23" i="3"/>
  <c r="K23" i="3"/>
  <c r="K39" i="3"/>
  <c r="L39" i="3"/>
  <c r="L55" i="3"/>
  <c r="K55" i="3"/>
  <c r="K72" i="3"/>
  <c r="L72" i="3"/>
  <c r="I15" i="3"/>
  <c r="E15" i="3"/>
  <c r="H15" i="3"/>
  <c r="D15" i="3"/>
  <c r="C15" i="3"/>
  <c r="G15" i="3"/>
  <c r="F15" i="3"/>
  <c r="I31" i="3"/>
  <c r="E31" i="3"/>
  <c r="D31" i="3"/>
  <c r="C31" i="3"/>
  <c r="H47" i="3"/>
  <c r="D47" i="3"/>
  <c r="F47" i="3"/>
  <c r="G47" i="3"/>
  <c r="E47" i="3"/>
  <c r="C47" i="3"/>
  <c r="I47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E40" i="3"/>
  <c r="D40" i="3"/>
  <c r="H74" i="3"/>
  <c r="D74" i="3"/>
  <c r="G74" i="3"/>
  <c r="C74" i="3"/>
  <c r="F74" i="3"/>
  <c r="I74" i="3"/>
  <c r="E74" i="3"/>
  <c r="D5" i="3"/>
  <c r="C5" i="3"/>
  <c r="L5" i="3"/>
  <c r="I5" i="3"/>
  <c r="E5" i="3"/>
  <c r="D37" i="3"/>
  <c r="G37" i="3"/>
  <c r="F37" i="3"/>
  <c r="I37" i="3"/>
  <c r="E37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2" i="3"/>
  <c r="C42" i="3"/>
  <c r="I42" i="3"/>
  <c r="E42" i="3"/>
  <c r="F42" i="3"/>
  <c r="D42" i="3"/>
  <c r="H42" i="3"/>
  <c r="I58" i="3"/>
  <c r="E58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40" i="3"/>
  <c r="V40" i="3"/>
  <c r="Q40" i="3"/>
  <c r="T40" i="3"/>
  <c r="Q56" i="3"/>
  <c r="W56" i="3"/>
  <c r="V74" i="3"/>
  <c r="Q74" i="3"/>
  <c r="U74" i="3"/>
  <c r="T74" i="3"/>
  <c r="W74" i="3"/>
  <c r="O34" i="3"/>
  <c r="N34" i="3"/>
  <c r="O50" i="3"/>
  <c r="N50" i="3"/>
  <c r="L36" i="3"/>
  <c r="K36" i="3"/>
  <c r="L69" i="3"/>
  <c r="K69" i="3"/>
  <c r="W13" i="3"/>
  <c r="Q13" i="3"/>
  <c r="V13" i="3"/>
  <c r="U13" i="3"/>
  <c r="W29" i="3"/>
  <c r="V29" i="3"/>
  <c r="Q29" i="3"/>
  <c r="U29" i="3"/>
  <c r="T29" i="3"/>
  <c r="V45" i="3"/>
  <c r="Q45" i="3"/>
  <c r="T45" i="3"/>
  <c r="W45" i="3"/>
  <c r="T61" i="3"/>
  <c r="W61" i="3"/>
  <c r="V61" i="3"/>
  <c r="Q61" i="3"/>
  <c r="U61" i="3"/>
  <c r="O35" i="3"/>
  <c r="N35" i="3"/>
  <c r="L25" i="3"/>
  <c r="K25" i="3"/>
  <c r="K41" i="3"/>
  <c r="L41" i="3"/>
  <c r="L57" i="3"/>
  <c r="K57" i="3"/>
  <c r="W6" i="3"/>
  <c r="V6" i="3"/>
  <c r="Q6" i="3"/>
  <c r="T6" i="3"/>
  <c r="V22" i="3"/>
  <c r="Q22" i="3"/>
  <c r="U22" i="3"/>
  <c r="W22" i="3"/>
  <c r="T22" i="3"/>
  <c r="W38" i="3"/>
  <c r="V38" i="3"/>
  <c r="Q38" i="3"/>
  <c r="U38" i="3"/>
  <c r="T38" i="3"/>
  <c r="U54" i="3"/>
  <c r="T54" i="3"/>
  <c r="W54" i="3"/>
  <c r="V54" i="3"/>
  <c r="Q54" i="3"/>
  <c r="V71" i="3"/>
  <c r="Q71" i="3"/>
  <c r="U71" i="3"/>
  <c r="T71" i="3"/>
  <c r="W71" i="3"/>
  <c r="L34" i="3"/>
  <c r="K34" i="3"/>
  <c r="K50" i="3"/>
  <c r="L50" i="3"/>
  <c r="L67" i="3"/>
  <c r="K67" i="3"/>
  <c r="W15" i="3"/>
  <c r="V15" i="3"/>
  <c r="T15" i="3"/>
  <c r="Q15" i="3"/>
  <c r="W31" i="3"/>
  <c r="Q31" i="3"/>
  <c r="T31" i="3"/>
  <c r="V47" i="3"/>
  <c r="Q47" i="3"/>
  <c r="U47" i="3"/>
  <c r="T47" i="3"/>
  <c r="W47" i="3"/>
  <c r="T64" i="3"/>
  <c r="W64" i="3"/>
  <c r="V64" i="3"/>
  <c r="Q64" i="3"/>
  <c r="U64" i="3"/>
  <c r="O25" i="3"/>
  <c r="N25" i="3"/>
  <c r="O57" i="3"/>
  <c r="N57" i="3"/>
  <c r="L27" i="3"/>
  <c r="K27" i="3"/>
  <c r="K43" i="3"/>
  <c r="L43" i="3"/>
  <c r="L59" i="3"/>
  <c r="K59" i="3"/>
  <c r="L18" i="3" l="1"/>
  <c r="N11" i="3"/>
  <c r="O11" i="3"/>
  <c r="N7" i="3"/>
  <c r="O7" i="3"/>
  <c r="K14" i="3"/>
  <c r="L14" i="3"/>
  <c r="O6" i="3"/>
  <c r="N6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8" i="3"/>
  <c r="N68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Q2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B29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9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9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9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30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30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1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1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1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1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1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1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1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1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1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1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1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1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1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1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1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1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1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1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1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1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1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1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1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2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3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3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3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3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3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3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3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3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3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3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3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3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3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3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3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3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3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3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3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3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3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3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3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3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3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3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3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3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3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3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3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3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3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3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3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5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5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5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5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5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5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5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5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7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7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7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7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7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7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7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7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7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8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9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40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40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40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40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40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40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40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40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40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40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40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40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40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40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40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1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1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1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1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1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1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1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1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1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1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1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1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1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3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4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4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4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4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4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4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4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5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5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5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5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5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5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5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6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6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6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6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6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6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6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6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6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6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6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6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6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6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6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6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6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6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6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6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6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6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6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6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6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6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6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6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6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6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6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8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8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8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9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9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9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9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9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9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9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9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9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9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9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9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9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9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9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9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9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9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9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9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9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9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9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9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9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9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9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9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9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9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9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9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9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9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1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1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1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1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1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2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2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2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2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2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2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2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2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2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2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2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2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2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2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2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2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2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2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2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2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2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2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2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2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3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3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3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3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3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3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3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3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3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3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3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3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3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3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3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3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3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6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6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6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6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6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6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6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6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6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6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6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6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6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6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6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6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6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6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6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6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6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6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6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6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6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6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6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6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6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6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8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8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8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8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8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9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9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9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9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60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60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1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X74" authorId="1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D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1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1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J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M75" authorId="2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1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X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D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G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N75" authorId="2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AP75" authorId="1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AU75" authorId="2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<sst xmlns="http://schemas.openxmlformats.org/spreadsheetml/2006/main" count="17303" uniqueCount="2416">
  <si>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</si>
  <si>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</si>
  <si>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</si>
  <si>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</si>
  <si>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</si>
  <si>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</si>
  <si>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</si>
  <si>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</si>
  <si>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</si>
  <si>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</si>
  <si>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</si>
  <si>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</si>
  <si>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</si>
  <si>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</si>
  <si>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</si>
  <si>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</si>
  <si>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</si>
  <si>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</si>
  <si>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</si>
  <si>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</si>
  <si>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</si>
  <si>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</si>
  <si>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</si>
  <si>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</si>
  <si>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</si>
  <si>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</si>
  <si>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</si>
  <si>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</si>
  <si>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</si>
  <si>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</si>
  <si>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</si>
  <si>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</si>
  <si>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</si>
  <si>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</si>
  <si>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</si>
  <si>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</si>
  <si>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</si>
  <si>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</si>
  <si>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</si>
  <si>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</si>
  <si>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</si>
  <si>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</si>
  <si>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</si>
  <si>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</si>
  <si>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</si>
  <si>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</si>
  <si>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</si>
  <si>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</si>
  <si>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</si>
  <si>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</si>
  <si>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</si>
  <si>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</si>
  <si>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</si>
  <si>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</si>
  <si>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</si>
  <si>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</si>
  <si>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</si>
  <si>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</si>
  <si>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</si>
  <si>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</si>
  <si>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</si>
  <si>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</si>
  <si>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</si>
  <si>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</si>
  <si>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</si>
  <si>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</si>
  <si>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</si>
  <si>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</si>
  <si>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</si>
  <si>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</si>
  <si>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</si>
  <si>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</si>
  <si>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</si>
  <si>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</si>
  <si>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</si>
  <si>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</si>
  <si>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</si>
  <si>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</si>
  <si>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</si>
  <si>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</si>
  <si>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</si>
  <si>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</si>
  <si>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</si>
  <si>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</si>
  <si>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</si>
  <si>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</si>
  <si>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</si>
  <si>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</si>
  <si>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</si>
  <si>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</si>
  <si>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</si>
  <si>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</si>
  <si>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</si>
  <si>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</si>
  <si>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</si>
  <si>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</si>
  <si>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</si>
  <si>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</si>
  <si>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</si>
  <si>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</si>
  <si>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</si>
  <si>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</si>
  <si>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</si>
  <si>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</si>
  <si>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</si>
  <si>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</si>
  <si>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</si>
  <si>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</si>
  <si>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</si>
  <si>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</si>
  <si>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</si>
  <si>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</si>
  <si>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</si>
  <si>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</si>
  <si>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</si>
  <si>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</si>
  <si>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</si>
  <si>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</si>
  <si>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</si>
  <si>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</si>
  <si>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</si>
  <si>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</si>
  <si>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</si>
  <si>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</si>
  <si>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</si>
  <si>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</si>
  <si>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</si>
  <si>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</si>
  <si>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</si>
  <si>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</si>
  <si>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</si>
  <si>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</si>
  <si>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</si>
  <si>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</si>
  <si>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</si>
  <si>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</si>
  <si>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</si>
  <si>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</si>
  <si>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</si>
  <si>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</si>
  <si>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</si>
  <si>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</si>
  <si>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</si>
  <si>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</si>
  <si>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</si>
  <si>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</si>
  <si>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</si>
  <si>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</si>
  <si>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</si>
  <si>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</si>
  <si>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</si>
  <si>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</si>
  <si>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</si>
  <si>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</si>
  <si>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</si>
  <si>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</si>
  <si>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</si>
  <si>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</si>
  <si>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</si>
  <si>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</si>
  <si>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</si>
  <si>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</si>
  <si>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</si>
  <si>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</si>
  <si>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</si>
  <si>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</si>
  <si>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</si>
  <si>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</si>
  <si>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</si>
  <si>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</si>
  <si>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</si>
  <si>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</si>
  <si>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</si>
  <si>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</si>
  <si>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</si>
  <si>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</si>
  <si>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</si>
  <si>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</si>
  <si>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</si>
  <si>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</si>
  <si>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</si>
  <si>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</si>
  <si>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</si>
  <si>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</si>
  <si>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</si>
  <si>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</si>
  <si>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</si>
  <si>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</si>
  <si>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</si>
  <si>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</si>
  <si>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</si>
  <si>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</si>
  <si>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</si>
  <si>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</si>
  <si>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</si>
  <si>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</si>
  <si>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</si>
  <si>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</si>
  <si>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</si>
  <si>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</si>
  <si>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</si>
  <si>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</si>
  <si>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</si>
  <si>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</si>
  <si>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</si>
  <si>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</si>
  <si>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</si>
  <si>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</si>
  <si>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</si>
  <si>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</si>
  <si>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</si>
  <si>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</si>
  <si>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</si>
  <si>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</si>
  <si>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</si>
  <si>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</si>
  <si>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</si>
  <si>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</si>
  <si>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</si>
  <si>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</si>
  <si>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</si>
  <si>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</si>
  <si>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</si>
  <si>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</si>
  <si>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</si>
  <si>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</si>
  <si>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</si>
  <si>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</si>
  <si>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</si>
  <si>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</si>
  <si>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</si>
  <si>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</si>
  <si>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</si>
  <si>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</si>
  <si>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</si>
  <si>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</si>
  <si>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</si>
  <si>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</si>
  <si>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</si>
  <si>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</si>
  <si>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</si>
  <si>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</si>
  <si>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</si>
  <si>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</si>
  <si>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</si>
  <si>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</si>
  <si>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</si>
  <si>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</si>
  <si>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</si>
  <si>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</si>
  <si>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</si>
  <si>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</si>
  <si>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</si>
  <si>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</si>
  <si>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</si>
  <si>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</si>
  <si>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</si>
  <si>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</si>
  <si>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</si>
  <si>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</si>
  <si>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</si>
  <si>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</si>
  <si>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</si>
  <si>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</si>
  <si>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</si>
  <si>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</si>
  <si>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</si>
  <si>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</si>
  <si>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</si>
  <si>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</si>
  <si>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</si>
  <si>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</si>
  <si>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</si>
  <si>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</si>
  <si>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</si>
  <si>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</si>
  <si>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</si>
  <si>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</si>
  <si>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</si>
  <si>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</si>
  <si>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</si>
  <si>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</si>
  <si>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</si>
  <si>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</si>
  <si>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</si>
  <si>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</si>
  <si>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</si>
  <si>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</si>
  <si>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</si>
  <si>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</si>
  <si>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</si>
  <si>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</si>
  <si>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</si>
  <si>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</si>
  <si>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</si>
  <si>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</si>
  <si>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</si>
  <si>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</si>
  <si>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</si>
  <si>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</si>
  <si>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</si>
  <si>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</si>
  <si>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</si>
  <si>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</si>
  <si>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</si>
  <si>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</si>
  <si>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</si>
  <si>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</si>
  <si>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</si>
  <si>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</si>
  <si>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</si>
  <si>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</si>
  <si>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</si>
  <si>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</si>
  <si>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</si>
  <si>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</si>
  <si>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</si>
  <si>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</si>
  <si>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</si>
  <si>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</si>
  <si>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</si>
  <si>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</si>
  <si>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</si>
  <si>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</si>
  <si>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</si>
  <si>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</si>
  <si>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</si>
  <si>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</si>
  <si>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</si>
  <si>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</si>
  <si>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</si>
  <si>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</si>
  <si>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</si>
  <si>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</si>
  <si>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</si>
  <si>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</si>
  <si>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</si>
  <si>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</si>
  <si>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</si>
  <si>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</si>
  <si>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</si>
  <si>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</si>
  <si>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</si>
  <si>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</si>
  <si>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</si>
  <si>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</si>
  <si>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</si>
  <si>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</si>
  <si>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</si>
  <si>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</si>
  <si>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</si>
  <si>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</si>
  <si>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</si>
  <si>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</si>
  <si>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</si>
  <si>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</si>
  <si>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</si>
  <si>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</si>
  <si>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</si>
  <si>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</si>
  <si>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</si>
  <si>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</si>
  <si>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</si>
  <si>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</si>
  <si>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</si>
  <si>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</si>
  <si>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</si>
  <si>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</si>
  <si>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</si>
  <si>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</si>
  <si>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</si>
  <si>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</si>
  <si>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</si>
  <si>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</si>
  <si>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</si>
  <si>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</si>
  <si>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</si>
  <si>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</si>
  <si>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</si>
  <si>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</si>
  <si>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</si>
  <si>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</si>
  <si>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</si>
  <si>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</si>
  <si>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</si>
  <si>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</si>
  <si>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</si>
  <si>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</si>
  <si>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</si>
  <si>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</si>
  <si>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</si>
  <si>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</si>
  <si>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</si>
  <si>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</si>
  <si>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</si>
  <si>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</si>
  <si>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</si>
  <si>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</si>
  <si>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</si>
  <si>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</si>
  <si>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</si>
  <si>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</si>
  <si>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</si>
  <si>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</si>
  <si>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</si>
  <si>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</si>
  <si>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</si>
  <si>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</si>
  <si>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</si>
  <si>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</si>
  <si>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</si>
  <si>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</si>
  <si>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</si>
  <si>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</si>
  <si>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</si>
  <si>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</si>
  <si>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</si>
  <si>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</si>
  <si>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</si>
  <si>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</si>
  <si>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</si>
  <si>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</si>
  <si>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</si>
  <si>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</si>
  <si>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</si>
  <si>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</si>
  <si>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</si>
  <si>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</si>
  <si>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</si>
  <si>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</si>
  <si>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</si>
  <si>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</si>
  <si>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</si>
  <si>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</si>
  <si>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</si>
  <si>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</si>
  <si>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</si>
  <si>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</si>
  <si>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</si>
  <si>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</si>
  <si>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</si>
  <si>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</si>
  <si>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</si>
  <si>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</si>
  <si>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</si>
  <si>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</si>
  <si>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</si>
  <si>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</si>
  <si>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</si>
  <si>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</si>
  <si>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</si>
  <si>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</si>
  <si>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</si>
  <si>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</si>
  <si>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</si>
  <si>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</si>
  <si>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</si>
  <si>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</si>
  <si>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</si>
  <si>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</si>
  <si>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</si>
  <si>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</si>
  <si>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</si>
  <si>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</si>
  <si>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</si>
  <si>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</si>
  <si>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</si>
  <si>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</si>
  <si>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</si>
  <si>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</si>
  <si>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</si>
  <si>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</si>
  <si>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</si>
  <si>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</si>
  <si>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</si>
  <si>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</si>
  <si>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</si>
  <si>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</si>
  <si>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</si>
  <si>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</si>
  <si>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</si>
  <si>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</si>
  <si>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</si>
  <si>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</si>
  <si>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</si>
  <si>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</si>
  <si>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</si>
  <si>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</si>
  <si>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</si>
  <si>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</si>
  <si>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</si>
  <si>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</si>
  <si>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</si>
  <si>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</si>
  <si>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</si>
  <si>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</si>
  <si>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</si>
  <si>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</si>
  <si>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</si>
  <si>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</si>
  <si>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</si>
  <si>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</si>
  <si>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</si>
  <si>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</si>
  <si>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</si>
  <si>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</si>
  <si>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</si>
  <si>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</si>
  <si>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</si>
  <si>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</si>
  <si>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</si>
  <si>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</si>
  <si>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</si>
  <si>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</si>
  <si>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</si>
  <si>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</si>
  <si>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</si>
  <si>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</si>
  <si>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</si>
  <si>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</si>
  <si>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</si>
  <si>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</si>
  <si>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</si>
  <si>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</si>
  <si>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</si>
  <si>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</si>
  <si>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</si>
  <si>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</si>
  <si>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</si>
  <si>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</si>
  <si>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</si>
  <si>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</si>
  <si>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</si>
  <si>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</si>
  <si>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</si>
  <si>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</si>
  <si>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</si>
  <si>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</si>
  <si>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</si>
  <si>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</si>
  <si>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</si>
  <si>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</si>
  <si>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</si>
  <si>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</si>
  <si>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</si>
  <si>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</si>
  <si>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</si>
  <si>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</si>
  <si>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</si>
  <si>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</si>
  <si>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</si>
  <si>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</si>
  <si>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</si>
  <si>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</si>
  <si>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</si>
  <si>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</si>
  <si>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</si>
  <si>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</si>
  <si>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</si>
  <si>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</si>
  <si>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</si>
  <si>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</si>
  <si>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</si>
  <si>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</si>
  <si>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</si>
  <si>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</si>
  <si>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</si>
  <si>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</si>
  <si>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</si>
  <si>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</si>
  <si>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</si>
  <si>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</si>
  <si>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</si>
  <si>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</si>
  <si>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</si>
  <si>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</si>
  <si>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</si>
  <si>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</si>
  <si>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</si>
  <si>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</si>
  <si>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</si>
  <si>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</si>
  <si>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</si>
  <si>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</si>
  <si>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</si>
  <si>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</si>
  <si>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</si>
  <si>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</si>
  <si>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</si>
  <si>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</si>
  <si>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</si>
  <si>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</si>
  <si>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</si>
  <si>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</si>
  <si>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</si>
  <si>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</si>
  <si>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</si>
  <si>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</si>
  <si>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</si>
  <si>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</si>
  <si>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</si>
  <si>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</si>
  <si>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</si>
  <si>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</si>
  <si>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</si>
  <si>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</si>
  <si>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</si>
  <si>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</si>
  <si>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</si>
  <si>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</si>
  <si>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</si>
  <si>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</si>
  <si>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</si>
  <si>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</si>
  <si>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</si>
  <si>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</si>
  <si>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</si>
  <si>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</si>
  <si>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</si>
  <si>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</si>
  <si>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</si>
  <si>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</si>
  <si>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</si>
  <si>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</si>
  <si>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</si>
  <si>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</si>
  <si>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</si>
  <si>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</si>
  <si>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</si>
  <si>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</si>
  <si>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</si>
  <si>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</si>
  <si>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</si>
  <si>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</si>
  <si>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</si>
  <si>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</si>
  <si>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</si>
  <si>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</si>
  <si>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</si>
  <si>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</si>
  <si>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</si>
  <si>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</si>
  <si>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</si>
  <si>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</si>
  <si>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</si>
  <si>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</si>
  <si>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</si>
  <si>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</si>
  <si>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</si>
  <si>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</si>
  <si>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</si>
  <si>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</si>
  <si>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</si>
  <si>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</si>
  <si>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</si>
  <si>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</si>
  <si>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</si>
  <si>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</si>
  <si>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</si>
  <si>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</si>
  <si>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</si>
  <si>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</si>
  <si>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</si>
  <si>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</si>
  <si>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</si>
  <si>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</si>
  <si>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</si>
  <si>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</si>
  <si>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</si>
  <si>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</si>
  <si>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</si>
  <si>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</si>
  <si>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</si>
  <si>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</si>
  <si>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</si>
  <si>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</si>
  <si>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</si>
  <si>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</si>
  <si>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</si>
  <si>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</si>
  <si>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</si>
  <si>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</si>
  <si>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</si>
  <si>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</si>
  <si>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</si>
  <si>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</si>
  <si>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</si>
  <si>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</si>
  <si>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</si>
  <si>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</si>
  <si>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</si>
  <si>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</si>
  <si>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</si>
  <si>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</si>
  <si>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</si>
  <si>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</si>
  <si>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</si>
  <si>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</si>
  <si>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</si>
  <si>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</si>
  <si>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</si>
  <si>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</si>
  <si>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</si>
  <si>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</si>
  <si>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</si>
  <si>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</si>
  <si>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</si>
  <si>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</si>
  <si>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</si>
  <si>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</si>
  <si>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</si>
  <si>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</si>
  <si>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</si>
  <si>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</si>
  <si>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</si>
  <si>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</si>
  <si>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</si>
  <si>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</si>
  <si>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</si>
  <si>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</si>
  <si>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</si>
  <si>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</si>
  <si>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</si>
  <si>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</si>
  <si>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</si>
  <si>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</si>
  <si>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</si>
  <si>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</si>
  <si>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</si>
  <si>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</si>
  <si>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</si>
  <si>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</si>
  <si>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</si>
  <si>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</si>
  <si>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</si>
  <si>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</si>
  <si>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</si>
  <si>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</si>
  <si>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</si>
  <si>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</si>
  <si>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</si>
  <si>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</si>
  <si>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</si>
  <si>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</si>
  <si>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</si>
  <si>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</si>
  <si>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</si>
  <si>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</si>
  <si>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</si>
  <si>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</si>
  <si>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</si>
  <si>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</si>
  <si>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</si>
  <si>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</si>
  <si>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</si>
  <si>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</si>
  <si>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</si>
  <si>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</si>
  <si>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</si>
  <si>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</si>
  <si>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</si>
  <si>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</si>
  <si>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</si>
  <si>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</si>
  <si>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</si>
  <si>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</si>
  <si>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</si>
  <si>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</si>
  <si>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</si>
  <si>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</si>
  <si>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</si>
  <si>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</si>
  <si>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</si>
  <si>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</si>
  <si>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</si>
  <si>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</si>
  <si>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</si>
  <si>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</si>
  <si>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</si>
  <si>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</si>
  <si>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</si>
  <si>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</si>
  <si>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</si>
  <si>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</si>
  <si>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</si>
  <si>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</si>
  <si>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</si>
  <si>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</si>
  <si>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</si>
  <si>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</si>
  <si>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</si>
  <si>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</si>
  <si>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</si>
  <si>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</si>
  <si>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</si>
  <si>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</si>
  <si>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</si>
  <si>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</si>
  <si>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</si>
  <si>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</si>
  <si>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</si>
  <si>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</si>
  <si>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</si>
  <si>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</si>
  <si>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</si>
  <si>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</si>
  <si>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</si>
  <si>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</si>
  <si>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</si>
  <si>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</si>
  <si>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</si>
  <si>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</si>
  <si>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</si>
  <si>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</si>
  <si>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</si>
  <si>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</si>
  <si>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</si>
  <si>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</si>
  <si>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</si>
  <si>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</si>
  <si>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</si>
  <si>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</si>
  <si>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</si>
  <si>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</si>
  <si>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</si>
  <si>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</si>
  <si>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</si>
  <si>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</si>
  <si>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</si>
  <si>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</si>
  <si>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</si>
  <si>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</si>
  <si>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</si>
  <si>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</si>
  <si>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</si>
  <si>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</si>
  <si>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</si>
  <si>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</si>
  <si>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</si>
  <si>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</si>
  <si>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</si>
  <si>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</si>
  <si>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</si>
  <si>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</si>
  <si>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</si>
  <si>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</si>
  <si>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</si>
  <si>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</si>
  <si>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</si>
  <si>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</si>
  <si>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</si>
  <si>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</si>
  <si>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</si>
  <si>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</si>
  <si>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</si>
  <si>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</si>
  <si>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</si>
  <si>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</si>
  <si>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</si>
  <si>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</si>
  <si>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</si>
  <si>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</si>
  <si>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</si>
  <si>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</si>
  <si>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</si>
  <si>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</si>
  <si>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</si>
  <si>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</si>
  <si>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</si>
  <si>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</si>
  <si>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</si>
  <si>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</si>
  <si>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</si>
  <si>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</si>
  <si>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</si>
  <si>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</si>
  <si>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</si>
  <si>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</si>
  <si>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</si>
  <si>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</si>
  <si>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</si>
  <si>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</si>
  <si>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</si>
  <si>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</si>
  <si>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</si>
  <si>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</si>
  <si>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</si>
  <si>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</si>
  <si>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</si>
  <si>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</si>
  <si>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</si>
  <si>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</si>
  <si>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</si>
  <si>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</si>
  <si>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</si>
  <si>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</si>
  <si>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</si>
  <si>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</si>
  <si>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</si>
  <si>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</si>
  <si>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</si>
  <si>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</si>
  <si>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</si>
  <si>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</si>
  <si>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</si>
  <si>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</si>
  <si>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</si>
  <si>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</si>
  <si>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</si>
  <si>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</si>
  <si>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</si>
  <si>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</si>
  <si>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</si>
  <si>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</si>
  <si>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</si>
  <si>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</si>
  <si>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</si>
  <si>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</si>
  <si>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</si>
  <si>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</si>
  <si>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</si>
  <si>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</si>
  <si>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</si>
  <si>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</si>
  <si>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</si>
  <si>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</si>
  <si>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</si>
  <si>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</si>
  <si>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</si>
  <si>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</si>
  <si>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</si>
  <si>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</si>
  <si>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</si>
  <si>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</si>
  <si>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</si>
  <si>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</si>
  <si>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</si>
  <si>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</si>
  <si>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</si>
  <si>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</si>
  <si>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</si>
  <si>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</si>
  <si>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</si>
  <si>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</si>
  <si>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</si>
  <si>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</si>
  <si>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</si>
  <si>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</si>
  <si>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</si>
  <si>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</si>
  <si>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</si>
  <si>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</si>
  <si>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</si>
  <si>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</si>
  <si>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</si>
  <si>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</si>
  <si>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</si>
  <si>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</si>
  <si>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</si>
  <si>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</si>
  <si>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</si>
  <si>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</si>
  <si>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</si>
  <si>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</si>
  <si>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</si>
  <si>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</si>
  <si>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</si>
  <si>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</si>
  <si>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</si>
  <si>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</si>
  <si>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</si>
  <si>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</si>
  <si>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</si>
  <si>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</si>
  <si>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</si>
  <si>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</si>
  <si>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</si>
  <si>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</si>
  <si>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</si>
  <si>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</si>
  <si>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</si>
  <si>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</si>
  <si>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</si>
  <si>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</si>
  <si>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</si>
  <si>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</si>
  <si>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</si>
  <si>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</si>
  <si>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</si>
  <si>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</si>
  <si>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</si>
  <si>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</si>
  <si>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</si>
  <si>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</si>
  <si>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</si>
  <si>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</si>
  <si>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</si>
  <si>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</si>
  <si>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</si>
  <si>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</si>
  <si>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</si>
  <si>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</si>
  <si>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</si>
  <si>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</si>
  <si>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</si>
  <si>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</si>
  <si>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</si>
  <si>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</si>
  <si>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</si>
  <si>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</si>
  <si>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</si>
  <si>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</si>
  <si>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</si>
  <si>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</si>
  <si>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</si>
  <si>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</si>
  <si>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</si>
  <si>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</si>
  <si>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</si>
  <si>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</si>
  <si>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</si>
  <si>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</si>
  <si>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</si>
  <si>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</si>
  <si>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</si>
  <si>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</si>
  <si>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</si>
  <si>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</si>
  <si>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</si>
  <si>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</si>
  <si>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</si>
  <si>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</si>
  <si>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</si>
  <si>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</si>
  <si>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</si>
  <si>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</si>
  <si>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</si>
  <si>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</si>
  <si>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</si>
  <si>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</si>
  <si>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</si>
  <si>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</si>
  <si>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</si>
  <si>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</si>
  <si>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</si>
  <si>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</si>
  <si>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</si>
  <si>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</si>
  <si>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</si>
  <si>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</si>
  <si>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</si>
  <si>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</si>
  <si>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</si>
  <si>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</si>
  <si>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</si>
  <si>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</si>
  <si>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</si>
  <si>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</si>
  <si>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</si>
  <si>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</si>
  <si>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</si>
  <si>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</si>
  <si>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</si>
  <si>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</si>
  <si>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</si>
  <si>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</si>
  <si>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</si>
  <si>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</si>
  <si>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</si>
  <si>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</si>
  <si>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</si>
  <si>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</si>
  <si>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</si>
  <si>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</si>
  <si>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</si>
  <si>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</si>
  <si>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</si>
  <si>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</si>
  <si>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</si>
  <si>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</si>
  <si>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</si>
  <si>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</si>
  <si>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</si>
  <si>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</si>
  <si>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</si>
  <si>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</si>
  <si>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</si>
  <si>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</si>
  <si>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</si>
  <si>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</si>
  <si>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</si>
  <si>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</si>
  <si>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</si>
  <si>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</si>
  <si>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</si>
  <si>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</si>
  <si>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</si>
  <si>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</si>
  <si>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</si>
  <si>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</si>
  <si>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</si>
  <si>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</si>
  <si>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</si>
  <si>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</si>
  <si>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</si>
  <si>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</si>
  <si>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</si>
  <si>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</si>
  <si>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</si>
  <si>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</si>
  <si>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</si>
  <si>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</si>
  <si>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</si>
  <si>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</si>
  <si>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</si>
  <si>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</si>
  <si>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</si>
  <si>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</si>
  <si>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</si>
  <si>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</si>
  <si>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</si>
  <si>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</si>
  <si>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</si>
  <si>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</si>
  <si>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</si>
  <si>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</si>
  <si>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</si>
  <si>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</si>
  <si>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</si>
  <si>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</si>
  <si>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</si>
  <si>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</si>
  <si>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</si>
  <si>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</si>
  <si>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</si>
  <si>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</si>
  <si>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</si>
  <si>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</si>
  <si>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</si>
  <si>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</si>
  <si>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</si>
  <si>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</si>
  <si>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</si>
  <si>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</si>
  <si>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</si>
  <si>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</si>
  <si>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</si>
  <si>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</si>
  <si>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</si>
  <si>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</si>
  <si>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</si>
  <si>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</si>
  <si>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</si>
  <si>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</si>
  <si>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</si>
  <si>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</si>
  <si>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</si>
  <si>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</si>
  <si>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</si>
  <si>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</si>
  <si>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</si>
  <si>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</si>
  <si>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</si>
  <si>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</si>
  <si>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</si>
  <si>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</si>
  <si>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</si>
  <si>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</si>
  <si>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</si>
  <si>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</si>
  <si>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</si>
  <si>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</si>
  <si>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</si>
  <si>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</si>
  <si>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</si>
  <si>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</si>
  <si>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</si>
  <si>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</si>
  <si>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</si>
  <si>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</si>
  <si>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</si>
  <si>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</si>
  <si>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</si>
  <si>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</si>
  <si>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</si>
  <si>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</si>
  <si>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</si>
  <si>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</si>
  <si>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</si>
  <si>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</si>
  <si>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</si>
  <si>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</si>
  <si>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</si>
  <si>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</si>
  <si>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</si>
  <si>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</si>
  <si>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</si>
  <si>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</si>
  <si>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</si>
  <si>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</si>
  <si>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</si>
  <si>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</si>
  <si>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</si>
  <si>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</si>
  <si>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</si>
  <si>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</si>
  <si>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</si>
  <si>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</si>
  <si>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</si>
  <si>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</si>
  <si>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</si>
  <si>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</si>
  <si>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</si>
  <si>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</si>
  <si>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</si>
  <si>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</si>
  <si>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</si>
  <si>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</si>
  <si>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</si>
  <si>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</si>
  <si>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</si>
  <si>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</si>
  <si>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</si>
  <si>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</si>
  <si>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</si>
  <si>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</si>
  <si>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</si>
  <si>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</si>
  <si>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</si>
  <si>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</si>
  <si>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</si>
  <si>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</si>
  <si>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</si>
  <si>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</si>
  <si>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</si>
  <si>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</si>
  <si>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</si>
  <si>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</si>
  <si>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</si>
  <si>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</si>
  <si>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</si>
  <si>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</si>
  <si>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</si>
  <si>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</si>
  <si>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</si>
  <si>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</si>
  <si>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</si>
  <si>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</si>
  <si>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</si>
  <si>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</si>
  <si>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</si>
  <si>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</si>
  <si>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</si>
  <si>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</si>
  <si>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</si>
  <si>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</si>
  <si>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</si>
  <si>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</si>
  <si>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</si>
  <si>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</si>
  <si>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</si>
  <si>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</si>
  <si>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</si>
  <si>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</si>
  <si>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</si>
  <si>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</si>
  <si>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</si>
  <si>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</si>
  <si>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</si>
  <si>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</si>
  <si>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</si>
  <si>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</si>
  <si>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</si>
  <si>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</si>
  <si>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</si>
  <si>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</si>
  <si>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</si>
  <si>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</si>
  <si>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</si>
  <si>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</si>
  <si>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</si>
  <si>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</si>
  <si>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</si>
  <si>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</si>
  <si>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</si>
  <si>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</si>
  <si>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</si>
  <si>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</si>
  <si>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</si>
  <si>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</si>
  <si>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</si>
  <si>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</si>
  <si>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</si>
  <si>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</si>
  <si>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</si>
  <si>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</si>
  <si>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</si>
  <si>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</si>
  <si>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</si>
  <si>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</si>
  <si>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</si>
  <si>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</si>
  <si>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</si>
  <si>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</si>
  <si>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</si>
  <si>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</si>
  <si>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</si>
  <si>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</si>
  <si>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</si>
  <si>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</si>
  <si>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</si>
  <si>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</si>
  <si>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</si>
  <si>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</si>
  <si>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</si>
  <si>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</si>
  <si>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</si>
  <si>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</si>
  <si>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</si>
  <si>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</si>
  <si>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</si>
  <si>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</si>
  <si>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</si>
  <si>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</si>
  <si>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</si>
  <si>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</si>
  <si>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</si>
  <si>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</si>
  <si>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</si>
  <si>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</si>
  <si>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</si>
  <si>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</si>
  <si>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</si>
  <si>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</si>
  <si>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</si>
  <si>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</si>
  <si>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</si>
  <si>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</si>
  <si>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</si>
  <si>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</si>
  <si>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</si>
  <si>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</si>
  <si>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</si>
  <si>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</si>
  <si>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</si>
  <si>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</si>
  <si>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</si>
  <si>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</si>
  <si>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</si>
  <si>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</si>
  <si>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</si>
  <si>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</si>
  <si>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</si>
  <si>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</si>
  <si>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</si>
  <si>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</si>
  <si>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</si>
  <si>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</si>
  <si>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</si>
  <si>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</si>
  <si>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</si>
  <si>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</si>
  <si>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</si>
  <si>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</si>
  <si>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</si>
  <si>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</si>
  <si>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</si>
  <si>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</si>
  <si>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</si>
  <si>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</si>
  <si>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</si>
  <si>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</si>
  <si>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</si>
  <si>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</si>
  <si>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</si>
  <si>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</si>
  <si>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</si>
  <si>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</si>
  <si>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</si>
  <si>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</si>
  <si>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</si>
  <si>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</si>
  <si>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</si>
  <si>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</si>
  <si>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</si>
  <si>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</si>
  <si>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</si>
  <si>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</si>
  <si>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</si>
  <si>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</si>
  <si>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</si>
  <si>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</si>
  <si>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</si>
  <si>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</si>
  <si>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</si>
  <si>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</si>
  <si>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</si>
  <si>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</si>
  <si>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</si>
  <si>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</si>
  <si>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</si>
  <si>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</si>
  <si>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</si>
  <si>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</si>
  <si>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</si>
  <si>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</si>
  <si>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</si>
  <si>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</si>
  <si>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</si>
  <si>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</si>
  <si>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</si>
  <si>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</si>
  <si>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</si>
  <si>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</si>
  <si>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</si>
  <si>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</si>
  <si>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</si>
  <si>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</si>
  <si>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</si>
  <si>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</si>
  <si>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</si>
  <si>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</si>
  <si>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</si>
  <si>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</si>
  <si>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</si>
  <si>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</si>
  <si>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</si>
  <si>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</si>
  <si>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</si>
  <si>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</si>
  <si>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</si>
  <si>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</si>
  <si>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</si>
  <si>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</si>
  <si>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</si>
  <si>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</si>
  <si>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</si>
  <si>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</si>
  <si>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</si>
  <si>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</si>
  <si>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</si>
  <si>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</si>
  <si>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</si>
  <si>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</si>
  <si>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</si>
  <si>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</si>
  <si>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</si>
  <si>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</si>
  <si>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</si>
  <si>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</si>
  <si>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</si>
  <si>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</si>
  <si>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</si>
  <si>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</si>
  <si>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</si>
  <si>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</si>
  <si>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</si>
  <si>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</si>
  <si>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</si>
  <si>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</si>
  <si>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</si>
  <si>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</si>
  <si>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</si>
  <si>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</si>
  <si>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</si>
  <si>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</si>
  <si>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</si>
  <si>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</si>
  <si>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</si>
  <si>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</si>
  <si>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</si>
  <si>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</si>
  <si>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</si>
  <si>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</si>
  <si>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</si>
  <si>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</si>
  <si>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</si>
  <si>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</si>
  <si>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</si>
  <si>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</si>
  <si>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</si>
  <si>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</si>
  <si>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</si>
  <si>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</si>
  <si>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</si>
  <si>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</si>
  <si>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</si>
  <si>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</si>
  <si>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</si>
  <si>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</si>
  <si>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</si>
  <si>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</si>
  <si>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</si>
  <si>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</si>
  <si>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</si>
  <si>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</si>
  <si>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</si>
  <si>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</si>
  <si>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</si>
  <si>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</si>
  <si>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</si>
  <si>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</si>
  <si>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</si>
  <si>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</si>
  <si>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</si>
  <si>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</si>
  <si>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</si>
  <si>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</si>
  <si>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</si>
  <si>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</si>
  <si>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</si>
  <si>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</si>
  <si>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</si>
  <si>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</si>
  <si>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</si>
  <si>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</si>
  <si>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</si>
  <si>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</si>
  <si>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</si>
  <si>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</si>
  <si>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</si>
  <si>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</si>
  <si>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</si>
  <si>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</si>
  <si>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</si>
  <si>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</si>
  <si>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</si>
  <si>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</si>
  <si>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</si>
  <si>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</si>
  <si>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</si>
  <si>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</si>
  <si>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</si>
  <si>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</si>
  <si>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</si>
  <si>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</si>
  <si>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</si>
  <si>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</si>
  <si>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</si>
  <si>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</si>
  <si>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</si>
  <si>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</si>
  <si>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</si>
  <si>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</si>
  <si>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</si>
  <si>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</si>
  <si>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</si>
  <si>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</si>
  <si>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</si>
  <si>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</si>
  <si>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</si>
  <si>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</si>
  <si>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</si>
  <si>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</si>
  <si>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</si>
  <si>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</si>
  <si>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</si>
  <si>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</si>
  <si>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</si>
  <si>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</si>
  <si>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</si>
  <si>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</si>
  <si>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</si>
  <si>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</si>
  <si>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</si>
  <si>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</si>
  <si>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</si>
  <si>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</si>
  <si>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</si>
  <si>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</si>
  <si>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</si>
  <si>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</si>
  <si>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</si>
  <si>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</si>
  <si>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</si>
  <si>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</si>
  <si>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</si>
  <si>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</si>
  <si>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</si>
  <si>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</si>
  <si>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</si>
  <si>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</si>
  <si>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</si>
  <si>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</si>
  <si>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</si>
  <si>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</si>
  <si>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</si>
  <si>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</si>
  <si>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</si>
  <si>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</si>
  <si>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</si>
  <si>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</si>
  <si>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</si>
  <si>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</si>
  <si>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</si>
  <si>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</si>
  <si>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</si>
  <si>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</si>
  <si>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</si>
  <si>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</si>
  <si>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</si>
  <si>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</si>
  <si>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</si>
  <si>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</si>
  <si>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</si>
  <si>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</si>
  <si>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</si>
  <si>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</si>
  <si>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</si>
  <si>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</si>
  <si>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</si>
  <si>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</si>
  <si>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</si>
  <si>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</si>
  <si>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</si>
  <si>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</si>
  <si>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</si>
  <si>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</si>
  <si>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</si>
  <si>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</si>
  <si>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</si>
  <si>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</si>
  <si>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</si>
  <si>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</si>
  <si>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</si>
  <si>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</si>
  <si>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</si>
  <si>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</si>
  <si>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</si>
  <si>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</si>
  <si>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</si>
  <si>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</si>
  <si>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</si>
  <si>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</si>
  <si>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</si>
  <si>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</si>
  <si>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</si>
  <si>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</si>
  <si>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</si>
  <si>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</si>
  <si>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</si>
  <si>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</si>
  <si>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</si>
  <si>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</si>
  <si>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</si>
  <si>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</si>
  <si>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</si>
  <si>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</si>
  <si>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</si>
  <si>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</si>
  <si>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</si>
  <si>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</si>
  <si>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</si>
  <si>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</si>
  <si>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</si>
  <si>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</si>
  <si>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</si>
  <si>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</si>
  <si>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</si>
  <si>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</si>
  <si>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</si>
  <si>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</si>
  <si>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</si>
  <si>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</si>
  <si>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</si>
  <si>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</si>
  <si>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</si>
  <si>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</si>
  <si>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</si>
  <si>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</si>
  <si>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</si>
  <si>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</si>
  <si>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</si>
  <si>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</si>
  <si>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</si>
  <si>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</si>
  <si>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</si>
  <si>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</si>
  <si>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</si>
  <si>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</si>
  <si>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</si>
  <si>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</si>
  <si>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</si>
  <si>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</si>
  <si>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</si>
  <si>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</si>
  <si>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</si>
  <si>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</si>
  <si>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</si>
  <si>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</si>
  <si>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</si>
  <si>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</si>
  <si>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</si>
  <si>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</si>
  <si>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</si>
  <si>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</si>
  <si>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</si>
  <si>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</si>
  <si>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</si>
  <si>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</si>
  <si>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</si>
  <si>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</si>
  <si>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</si>
  <si>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</si>
  <si>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</si>
  <si>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</si>
  <si>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</si>
  <si>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</si>
  <si>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</si>
  <si>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</si>
  <si>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</si>
  <si>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</si>
  <si>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</si>
  <si>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</si>
  <si>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</si>
  <si>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</si>
  <si>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</si>
  <si>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</si>
  <si>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</si>
  <si>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</si>
  <si>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</si>
  <si>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</si>
  <si>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</si>
  <si>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</si>
  <si>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</si>
  <si>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</si>
  <si>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</si>
  <si>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</si>
  <si>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</si>
  <si>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</si>
  <si>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</si>
  <si>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</si>
  <si>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</si>
  <si>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</si>
  <si>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</si>
  <si>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</si>
  <si>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</si>
  <si>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</si>
  <si>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</si>
  <si>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</si>
  <si>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</si>
  <si>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</si>
  <si>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</si>
  <si>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</si>
  <si>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</si>
  <si>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</si>
  <si>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</si>
  <si>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</si>
  <si>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</si>
  <si>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</si>
  <si>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</si>
  <si>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</si>
  <si>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</si>
  <si>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</si>
  <si>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</si>
  <si>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</si>
  <si>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</si>
  <si>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</si>
  <si>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</si>
  <si>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</si>
  <si>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</si>
  <si>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</si>
  <si>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</si>
  <si>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</si>
  <si>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</si>
  <si>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</si>
  <si>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</si>
  <si>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</si>
  <si>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</si>
  <si>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</si>
  <si>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</si>
  <si>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</si>
  <si>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</si>
  <si>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</si>
  <si>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</si>
  <si>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</si>
  <si>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</si>
  <si>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</si>
  <si>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</si>
  <si>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</si>
  <si>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</si>
  <si>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</si>
  <si>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</si>
  <si>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</si>
  <si>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</si>
  <si>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</si>
  <si>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</si>
  <si>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</si>
  <si>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</si>
  <si>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</si>
  <si>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</si>
  <si>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</si>
  <si>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</si>
  <si>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</si>
  <si>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</si>
  <si>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</si>
  <si>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</si>
  <si>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</si>
  <si>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</si>
  <si>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</si>
  <si>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</si>
  <si>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</si>
  <si>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</si>
  <si>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</si>
  <si>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</si>
  <si>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</si>
  <si>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</si>
  <si>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</si>
  <si>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</si>
  <si>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</si>
  <si>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</si>
  <si>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</si>
  <si>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</si>
  <si>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</si>
  <si>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</si>
  <si>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</si>
  <si>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</si>
  <si>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</si>
  <si>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</si>
  <si>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</si>
  <si>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</si>
  <si>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</si>
  <si>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</si>
  <si>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</si>
  <si>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</si>
  <si>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</si>
  <si>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</si>
  <si>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</si>
  <si>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</si>
  <si>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</si>
  <si>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</si>
  <si>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</si>
  <si>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</si>
  <si>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</si>
  <si>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</si>
  <si>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</si>
  <si>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</si>
  <si>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</si>
  <si>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</si>
  <si>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</si>
  <si>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</si>
  <si>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</si>
  <si>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</si>
  <si>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</si>
  <si>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</si>
  <si>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</si>
  <si>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</si>
  <si>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</si>
  <si>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</si>
  <si>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</si>
  <si>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</si>
  <si>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</si>
  <si>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</si>
  <si>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</si>
  <si>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</si>
  <si>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</si>
  <si>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</si>
  <si>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</si>
  <si>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</si>
  <si>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</si>
  <si>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</si>
  <si>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</si>
  <si>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</si>
  <si>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</si>
  <si>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</si>
  <si>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</si>
  <si>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</si>
  <si>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</si>
  <si>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</si>
  <si>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</si>
  <si>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</si>
  <si>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</si>
  <si>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</si>
  <si>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</si>
  <si>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</si>
  <si>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</si>
  <si>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</si>
  <si>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</si>
  <si>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</si>
  <si>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</si>
  <si>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</si>
  <si>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</si>
  <si>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</si>
  <si>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</si>
  <si>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</si>
  <si>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</si>
  <si>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</si>
  <si>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</si>
  <si>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</si>
  <si>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</si>
  <si>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</si>
  <si>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</si>
  <si>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</si>
  <si>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</si>
  <si>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</si>
  <si>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</si>
  <si>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</si>
  <si>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</si>
  <si>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</si>
  <si>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</si>
  <si>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</si>
  <si>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</si>
  <si>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</si>
  <si>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</si>
  <si>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</si>
  <si>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</si>
  <si>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</si>
  <si>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</si>
  <si>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</si>
  <si>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</si>
  <si>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</si>
  <si>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</si>
  <si>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</si>
  <si>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</si>
  <si>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</si>
  <si>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</si>
  <si>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</si>
  <si>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</si>
  <si>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1"/>
        <color theme="1"/>
        <rFont val="Calibri"/>
        <family val="2"/>
        <scheme val="minor"/>
      </rPr>
      <t>= ethnic unit
= new unit for v.28+
= unique unit
= regional ethnic unit
= not applicable
= can't do both era+cultural</t>
    </r>
  </si>
  <si>
    <r>
      <t xml:space="preserve">Levant CS's, Prague, Vatican City, </t>
    </r>
    <r>
      <rPr>
        <sz val="10"/>
        <rFont val="Calibri"/>
        <family val="2"/>
        <scheme val="minor"/>
      </rPr>
      <t>[NB: scenario unit Huscarl]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</si>
  <si>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</si>
  <si>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</si>
  <si>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</si>
  <si>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</si>
  <si>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</si>
  <si>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r>
      <t xml:space="preserve">X
</t>
    </r>
    <r>
      <rPr>
        <b/>
        <sz val="10"/>
        <color theme="9" tint="-0.249977111117893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</t>
    </r>
    <r>
      <rPr>
        <b/>
        <sz val="10"/>
        <color rgb="FF00B0F0"/>
        <rFont val="Calibri"/>
        <family val="2"/>
        <scheme val="minor"/>
      </rPr>
      <t xml:space="preserve">+
</t>
    </r>
    <r>
      <rPr>
        <b/>
        <sz val="10"/>
        <color theme="0" tint="-0.249977111117893"/>
        <rFont val="Calibri"/>
        <family val="2"/>
        <scheme val="minor"/>
      </rPr>
      <t xml:space="preserve">x
-
</t>
    </r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</si>
  <si>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</si>
  <si>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</si>
  <si>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</si>
  <si>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</si>
  <si>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</si>
  <si>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</si>
  <si>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</si>
  <si>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</si>
  <si>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</si>
  <si>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</si>
  <si>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</si>
  <si>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</si>
  <si>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</si>
  <si>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</si>
  <si>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</si>
  <si>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</si>
  <si>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</si>
  <si>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</si>
  <si>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</si>
  <si>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</si>
  <si>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</si>
  <si>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</si>
  <si>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</si>
  <si>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</si>
  <si>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</si>
  <si>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</si>
  <si>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</si>
  <si>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</si>
  <si>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</si>
  <si>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</si>
  <si>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</si>
  <si>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</si>
  <si>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</si>
  <si>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</si>
  <si>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</si>
  <si>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</si>
  <si>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</si>
  <si>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</si>
  <si>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</si>
  <si>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</si>
  <si>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</si>
  <si>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</si>
  <si>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</si>
  <si>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</si>
  <si>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</si>
  <si>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</si>
  <si>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</si>
  <si>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</si>
  <si>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</si>
  <si>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</si>
  <si>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</si>
  <si>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</si>
  <si>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</si>
  <si>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</si>
  <si>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</si>
  <si>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</si>
  <si>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</si>
  <si>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</si>
  <si>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</si>
  <si>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</si>
  <si>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</si>
  <si>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</si>
  <si>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</si>
  <si>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</si>
  <si>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</si>
  <si>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</si>
  <si>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</si>
  <si>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</si>
  <si>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</si>
  <si>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</si>
  <si>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</si>
  <si>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</si>
  <si>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</si>
  <si>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</si>
  <si>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</si>
  <si>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</si>
  <si>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</si>
  <si>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</si>
  <si>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</si>
  <si>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</si>
  <si>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</si>
  <si>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</si>
  <si>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</si>
  <si>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</si>
  <si>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</si>
  <si>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</si>
  <si>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</si>
  <si>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</si>
  <si>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</si>
  <si>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</si>
  <si>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</si>
  <si>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</si>
  <si>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</si>
  <si>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</si>
  <si>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</si>
  <si>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</si>
  <si>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</si>
  <si>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</si>
  <si>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</si>
  <si>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</si>
  <si>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</si>
  <si>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</si>
  <si>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Caravan_POSTMODEN</t>
  </si>
  <si>
    <t>Cargo_Ship_POSTMODEN</t>
  </si>
  <si>
    <t>Great_Artist_POSTMODEN</t>
  </si>
  <si>
    <t>Great_Musician_POSTMODEN</t>
  </si>
  <si>
    <t>Great_Writer_POSTMODEN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</si>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</sst>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5B9BD5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hair">
        <color rgb="FF008080"/>
      </top>
      <bottom/>
      <diagonal/>
    </border>
    <border>
      <left style="thin">
        <color auto="1"/>
      </left>
      <right/>
      <top style="hair">
        <color rgb="FF008080"/>
      </top>
      <bottom/>
      <diagonal/>
    </border>
    <border>
      <left style="thin">
        <color auto="1"/>
      </left>
      <right style="thin">
        <color auto="1"/>
      </right>
      <top style="hair">
        <color indexed="21"/>
      </top>
      <bottom/>
      <diagonal/>
    </border>
    <border>
      <left/>
      <right style="thin">
        <color auto="1"/>
      </right>
      <top style="hair">
        <color indexed="21"/>
      </top>
      <bottom/>
      <diagonal/>
    </border>
    <border>
      <left style="thin">
        <color auto="1"/>
      </left>
      <right style="hair">
        <color auto="1"/>
      </right>
      <top style="hair">
        <color indexed="21"/>
      </top>
      <bottom/>
      <diagonal/>
    </border>
    <border>
      <left style="hair">
        <color auto="1"/>
      </left>
      <right style="thin">
        <color auto="1"/>
      </right>
      <top style="hair">
        <color indexed="21"/>
      </top>
      <bottom/>
      <diagonal/>
    </border>
    <border>
      <left style="hair">
        <color auto="1"/>
      </left>
      <right style="hair">
        <color auto="1"/>
      </right>
      <top style="hair">
        <color indexed="21"/>
      </top>
      <bottom/>
      <diagonal/>
    </border>
    <border>
      <left/>
      <right style="hair">
        <color auto="1"/>
      </right>
      <top style="hair">
        <color indexed="21"/>
      </top>
      <bottom/>
      <diagonal/>
    </border>
    <border>
      <left style="hair">
        <color indexed="21"/>
      </left>
      <right/>
      <top style="hair">
        <color indexed="21"/>
      </top>
      <bottom/>
      <diagonal/>
    </border>
    <border>
      <left style="thin">
        <color auto="1"/>
      </left>
      <right/>
      <top style="hair">
        <color indexed="21"/>
      </top>
      <bottom/>
      <diagonal/>
    </border>
    <border>
      <left/>
      <right style="thin">
        <color auto="1"/>
      </right>
      <top/>
      <bottom style="hair">
        <color rgb="FF00808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hair">
        <color auto="1"/>
      </right>
      <top/>
      <bottom style="hair">
        <color indexed="21"/>
      </bottom>
      <diagonal/>
    </border>
    <border>
      <left/>
      <right style="thin">
        <color auto="1"/>
      </right>
      <top/>
      <bottom style="hair">
        <color indexed="21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/>
      <bottom style="hair">
        <color rgb="FF008080"/>
      </bottom>
      <diagonal/>
    </border>
    <border>
      <left/>
      <right/>
      <top style="hair">
        <color rgb="FF008080"/>
      </top>
      <bottom/>
      <diagonal/>
    </border>
    <border>
      <left/>
      <right/>
      <top style="thin">
        <color theme="4" tint="0.39994506668294322"/>
      </top>
      <bottom style="hair">
        <color rgb="FF008080"/>
      </bottom>
      <diagonal/>
    </border>
    <border>
      <left/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hair">
        <color rgb="FF008080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30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44" xfId="42" applyFont="1" applyFill="1" applyBorder="1" applyAlignment="1">
      <alignment horizontal="right"/>
    </xf>
    <xf numFmtId="0" fontId="27" fillId="34" borderId="43" xfId="42" applyFont="1" applyFill="1" applyBorder="1" applyAlignment="1">
      <alignment horizontal="center"/>
    </xf>
    <xf numFmtId="0" fontId="27" fillId="34" borderId="45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55" xfId="42" applyFont="1" applyFill="1" applyBorder="1" applyAlignment="1"/>
    <xf numFmtId="0" fontId="27" fillId="34" borderId="47" xfId="42" applyFont="1" applyFill="1" applyBorder="1" applyAlignment="1"/>
    <xf numFmtId="10" fontId="29" fillId="0" borderId="10" xfId="42" applyNumberFormat="1" applyFont="1" applyBorder="1" applyAlignment="1">
      <alignment horizontal="center"/>
    </xf>
    <xf numFmtId="164" fontId="31" fillId="34" borderId="56" xfId="43" applyNumberFormat="1" applyFont="1" applyFill="1" applyBorder="1" applyAlignment="1">
      <alignment horizontal="center" vertical="center"/>
    </xf>
    <xf numFmtId="164" fontId="27" fillId="34" borderId="53" xfId="43" applyNumberFormat="1" applyFont="1" applyFill="1" applyBorder="1" applyAlignment="1">
      <alignment horizontal="center" vertical="center" wrapText="1"/>
    </xf>
    <xf numFmtId="0" fontId="31" fillId="34" borderId="54" xfId="43" applyNumberFormat="1" applyFont="1" applyFill="1" applyBorder="1" applyAlignment="1">
      <alignment horizontal="center" vertical="center"/>
    </xf>
    <xf numFmtId="10" fontId="27" fillId="0" borderId="51" xfId="42" applyNumberFormat="1" applyFont="1" applyFill="1" applyBorder="1" applyAlignment="1">
      <alignment vertical="center" wrapText="1"/>
    </xf>
    <xf numFmtId="0" fontId="35" fillId="0" borderId="42" xfId="42" quotePrefix="1" applyFont="1" applyFill="1" applyBorder="1" applyAlignment="1">
      <alignment vertical="center" wrapText="1"/>
    </xf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41" xfId="42" applyFont="1" applyFill="1" applyBorder="1"/>
    <xf numFmtId="0" fontId="34" fillId="33" borderId="30" xfId="42" applyFont="1" applyFill="1" applyBorder="1" applyAlignment="1">
      <alignment horizontal="center" vertical="center"/>
    </xf>
    <xf numFmtId="0" fontId="27" fillId="0" borderId="40" xfId="42" applyFont="1" applyFill="1" applyBorder="1" applyAlignment="1">
      <alignment horizontal="center" vertical="center"/>
    </xf>
    <xf numFmtId="0" fontId="27" fillId="35" borderId="38" xfId="42" applyFont="1" applyFill="1" applyBorder="1" applyAlignment="1">
      <alignment horizontal="center" vertical="center"/>
    </xf>
    <xf numFmtId="0" fontId="27" fillId="0" borderId="38" xfId="42" applyFont="1" applyFill="1" applyBorder="1" applyAlignment="1">
      <alignment horizontal="center" vertical="center"/>
    </xf>
    <xf numFmtId="0" fontId="27" fillId="0" borderId="37" xfId="42" applyFont="1" applyFill="1" applyBorder="1" applyAlignment="1">
      <alignment horizontal="center" vertical="center"/>
    </xf>
    <xf numFmtId="0" fontId="32" fillId="33" borderId="27" xfId="42" applyFont="1" applyFill="1" applyBorder="1" applyAlignment="1">
      <alignment horizontal="center" vertical="center"/>
    </xf>
    <xf numFmtId="0" fontId="27" fillId="37" borderId="35" xfId="42" applyFont="1" applyFill="1" applyBorder="1" applyAlignment="1">
      <alignment horizontal="center" vertical="center"/>
    </xf>
    <xf numFmtId="0" fontId="27" fillId="0" borderId="26" xfId="42" applyFont="1" applyFill="1" applyBorder="1" applyAlignment="1">
      <alignment horizontal="center" vertical="center"/>
    </xf>
    <xf numFmtId="0" fontId="27" fillId="37" borderId="37" xfId="42" applyFont="1" applyFill="1" applyBorder="1" applyAlignment="1">
      <alignment horizontal="center" vertical="center"/>
    </xf>
    <xf numFmtId="0" fontId="34" fillId="33" borderId="27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37" borderId="38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27" fillId="0" borderId="35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7" fillId="37" borderId="39" xfId="42" applyFont="1" applyFill="1" applyBorder="1" applyAlignment="1">
      <alignment horizontal="center" vertical="center"/>
    </xf>
    <xf numFmtId="0" fontId="34" fillId="33" borderId="36" xfId="42" applyFont="1" applyFill="1" applyBorder="1" applyAlignment="1">
      <alignment horizontal="center" vertical="center"/>
    </xf>
    <xf numFmtId="0" fontId="34" fillId="33" borderId="0" xfId="42" applyFont="1" applyFill="1" applyBorder="1" applyAlignment="1">
      <alignment horizontal="center" vertical="center"/>
    </xf>
    <xf numFmtId="0" fontId="34" fillId="33" borderId="10" xfId="42" applyFont="1" applyFill="1" applyBorder="1" applyAlignment="1">
      <alignment horizontal="center" vertical="center"/>
    </xf>
    <xf numFmtId="0" fontId="36" fillId="33" borderId="35" xfId="42" applyFont="1" applyFill="1" applyBorder="1" applyAlignment="1">
      <alignment horizontal="center" vertical="center"/>
    </xf>
    <xf numFmtId="0" fontId="36" fillId="33" borderId="34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4" fillId="33" borderId="25" xfId="42" applyFont="1" applyFill="1" applyBorder="1" applyAlignment="1">
      <alignment horizontal="center" vertical="center"/>
    </xf>
    <xf numFmtId="0" fontId="36" fillId="33" borderId="24" xfId="42" applyFont="1" applyFill="1" applyBorder="1" applyAlignment="1">
      <alignment horizontal="center" vertical="center"/>
    </xf>
    <xf numFmtId="0" fontId="36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34" fillId="38" borderId="26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32" fillId="33" borderId="27" xfId="42" quotePrefix="1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34" fillId="33" borderId="27" xfId="42" quotePrefix="1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7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4" fillId="33" borderId="0" xfId="42" quotePrefix="1" applyFont="1" applyFill="1" applyBorder="1" applyAlignment="1">
      <alignment horizontal="center" vertical="center"/>
    </xf>
    <xf numFmtId="0" fontId="34" fillId="0" borderId="26" xfId="42" quotePrefix="1" applyFont="1" applyFill="1" applyBorder="1" applyAlignment="1">
      <alignment horizontal="center" vertical="center"/>
    </xf>
    <xf numFmtId="0" fontId="34" fillId="0" borderId="23" xfId="42" quotePrefix="1" applyFont="1" applyFill="1" applyBorder="1" applyAlignment="1">
      <alignment horizontal="center" vertical="center"/>
    </xf>
    <xf numFmtId="0" fontId="34" fillId="33" borderId="10" xfId="42" quotePrefix="1" applyFont="1" applyFill="1" applyBorder="1" applyAlignment="1">
      <alignment horizontal="center" vertical="center"/>
    </xf>
    <xf numFmtId="0" fontId="37" fillId="0" borderId="23" xfId="42" applyFont="1" applyFill="1" applyBorder="1" applyAlignment="1">
      <alignment horizontal="center" vertical="center"/>
    </xf>
    <xf numFmtId="0" fontId="34" fillId="0" borderId="24" xfId="42" quotePrefix="1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3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32" fillId="38" borderId="23" xfId="42" applyFont="1" applyFill="1" applyBorder="1" applyAlignment="1">
      <alignment horizontal="center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9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7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38" borderId="26" xfId="42" applyFont="1" applyFill="1" applyBorder="1" applyAlignment="1">
      <alignment horizontal="center" vertical="center"/>
    </xf>
    <xf numFmtId="0" fontId="33" fillId="0" borderId="28" xfId="42" applyFont="1" applyFill="1" applyBorder="1" applyAlignment="1">
      <alignment horizontal="center" vertical="center"/>
    </xf>
    <xf numFmtId="0" fontId="37" fillId="0" borderId="26" xfId="42" applyFont="1" applyFill="1" applyBorder="1" applyAlignment="1">
      <alignment horizontal="center" vertical="center"/>
    </xf>
    <xf numFmtId="0" fontId="33" fillId="0" borderId="26" xfId="42" applyFont="1" applyFill="1" applyBorder="1" applyAlignment="1">
      <alignment horizontal="center" vertical="center"/>
    </xf>
    <xf numFmtId="0" fontId="33" fillId="0" borderId="23" xfId="42" applyFont="1" applyFill="1" applyBorder="1" applyAlignment="1">
      <alignment horizontal="center" vertical="center"/>
    </xf>
    <xf numFmtId="0" fontId="37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34" fillId="0" borderId="26" xfId="42" applyFont="1" applyFill="1" applyBorder="1" applyAlignment="1">
      <alignment horizontal="center" vertical="center"/>
    </xf>
    <xf numFmtId="0" fontId="34" fillId="0" borderId="23" xfId="42" applyFont="1" applyFill="1" applyBorder="1" applyAlignment="1">
      <alignment horizontal="center" vertical="center"/>
    </xf>
    <xf numFmtId="0" fontId="34" fillId="0" borderId="24" xfId="42" applyFont="1" applyFill="1" applyBorder="1" applyAlignment="1">
      <alignment horizontal="center" vertical="center"/>
    </xf>
    <xf numFmtId="0" fontId="32" fillId="38" borderId="29" xfId="42" applyFont="1" applyFill="1" applyBorder="1" applyAlignment="1">
      <alignment horizontal="center" vertical="center"/>
    </xf>
    <xf numFmtId="0" fontId="34" fillId="33" borderId="25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6" fillId="33" borderId="24" xfId="42" quotePrefix="1" applyFont="1" applyFill="1" applyBorder="1" applyAlignment="1">
      <alignment horizontal="center" vertical="center"/>
    </xf>
    <xf numFmtId="0" fontId="36" fillId="33" borderId="22" xfId="42" quotePrefix="1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40" fillId="38" borderId="26" xfId="42" applyFont="1" applyFill="1" applyBorder="1" applyAlignment="1">
      <alignment horizontal="center" vertical="center"/>
    </xf>
    <xf numFmtId="0" fontId="34" fillId="38" borderId="24" xfId="42" quotePrefix="1" applyFont="1" applyFill="1" applyBorder="1" applyAlignment="1">
      <alignment horizontal="center" vertical="center"/>
    </xf>
    <xf numFmtId="0" fontId="32" fillId="38" borderId="28" xfId="42" applyFont="1" applyFill="1" applyBorder="1" applyAlignment="1">
      <alignment horizontal="center" vertical="center"/>
    </xf>
    <xf numFmtId="0" fontId="37" fillId="36" borderId="23" xfId="42" applyFont="1" applyFill="1" applyBorder="1" applyAlignment="1">
      <alignment horizontal="center" vertical="center"/>
    </xf>
    <xf numFmtId="0" fontId="37" fillId="0" borderId="24" xfId="42" applyFont="1" applyFill="1" applyBorder="1" applyAlignment="1">
      <alignment horizontal="center" vertical="center"/>
    </xf>
    <xf numFmtId="0" fontId="34" fillId="38" borderId="24" xfId="42" applyFont="1" applyFill="1" applyBorder="1" applyAlignment="1">
      <alignment horizontal="center" vertical="center"/>
    </xf>
    <xf numFmtId="0" fontId="32" fillId="33" borderId="0" xfId="42" applyFont="1" applyFill="1" applyBorder="1" applyAlignment="1">
      <alignment horizontal="center" vertical="center"/>
    </xf>
    <xf numFmtId="0" fontId="34" fillId="0" borderId="28" xfId="42" applyFont="1" applyFill="1" applyBorder="1" applyAlignment="1">
      <alignment horizontal="center" vertical="center"/>
    </xf>
    <xf numFmtId="0" fontId="37" fillId="36" borderId="29" xfId="42" applyFont="1" applyFill="1" applyBorder="1" applyAlignment="1">
      <alignment horizontal="center" vertical="center"/>
    </xf>
    <xf numFmtId="0" fontId="32" fillId="0" borderId="29" xfId="42" applyFont="1" applyFill="1" applyBorder="1" applyAlignment="1">
      <alignment horizontal="center" vertical="center"/>
    </xf>
    <xf numFmtId="0" fontId="39" fillId="38" borderId="26" xfId="42" quotePrefix="1" applyFont="1" applyFill="1" applyBorder="1" applyAlignment="1">
      <alignment horizontal="center" vertical="center"/>
    </xf>
    <xf numFmtId="0" fontId="39" fillId="38" borderId="24" xfId="42" quotePrefix="1" applyFont="1" applyFill="1" applyBorder="1" applyAlignment="1">
      <alignment horizontal="center" vertical="center"/>
    </xf>
    <xf numFmtId="0" fontId="37" fillId="36" borderId="24" xfId="42" applyFont="1" applyFill="1" applyBorder="1" applyAlignment="1">
      <alignment horizontal="center" vertical="center"/>
    </xf>
    <xf numFmtId="0" fontId="34" fillId="0" borderId="29" xfId="42" applyFont="1" applyFill="1" applyBorder="1" applyAlignment="1">
      <alignment horizontal="center" vertical="center"/>
    </xf>
    <xf numFmtId="0" fontId="33" fillId="36" borderId="23" xfId="42" applyFont="1" applyFill="1" applyBorder="1" applyAlignment="1">
      <alignment horizontal="center" vertical="center"/>
    </xf>
    <xf numFmtId="0" fontId="37" fillId="36" borderId="28" xfId="42" applyFont="1" applyFill="1" applyBorder="1" applyAlignment="1">
      <alignment horizontal="center" vertical="center"/>
    </xf>
    <xf numFmtId="0" fontId="32" fillId="35" borderId="26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34" fillId="33" borderId="21" xfId="42" applyFont="1" applyFill="1" applyBorder="1" applyAlignment="1">
      <alignment horizontal="center" vertical="center"/>
    </xf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3" fillId="0" borderId="12" xfId="42" applyFont="1" applyFill="1" applyBorder="1" applyAlignment="1">
      <alignment horizontal="center" vertical="center"/>
    </xf>
    <xf numFmtId="0" fontId="32" fillId="33" borderId="17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34" fillId="33" borderId="17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34" fillId="33" borderId="14" xfId="42" applyFont="1" applyFill="1" applyBorder="1" applyAlignment="1">
      <alignment horizontal="center" vertical="center"/>
    </xf>
    <xf numFmtId="0" fontId="34" fillId="33" borderId="18" xfId="42" applyFont="1" applyFill="1" applyBorder="1" applyAlignment="1">
      <alignment horizontal="center" vertical="center"/>
    </xf>
    <xf numFmtId="0" fontId="34" fillId="33" borderId="16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1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39" fillId="33" borderId="26" xfId="42" applyFont="1" applyFill="1" applyBorder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37" fillId="33" borderId="26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32" fillId="33" borderId="26" xfId="42" applyFont="1" applyFill="1" applyBorder="1" applyAlignment="1">
      <alignment horizontal="center" vertical="center"/>
    </xf>
    <xf numFmtId="0" fontId="32" fillId="33" borderId="23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2" fillId="33" borderId="28" xfId="42" applyFont="1" applyFill="1" applyBorder="1" applyAlignment="1">
      <alignment horizontal="center" vertical="center"/>
    </xf>
    <xf numFmtId="0" fontId="32" fillId="33" borderId="25" xfId="42" applyFont="1" applyFill="1" applyBorder="1" applyAlignment="1">
      <alignment horizontal="center" vertical="center"/>
    </xf>
    <xf numFmtId="0" fontId="32" fillId="33" borderId="10" xfId="42" quotePrefix="1" applyFont="1" applyFill="1" applyBorder="1" applyAlignment="1">
      <alignment horizontal="center" vertical="center"/>
    </xf>
    <xf numFmtId="0" fontId="32" fillId="33" borderId="25" xfId="42" quotePrefix="1" applyFont="1" applyFill="1" applyBorder="1" applyAlignment="1">
      <alignment horizontal="center" vertical="center"/>
    </xf>
    <xf numFmtId="0" fontId="32" fillId="33" borderId="28" xfId="42" quotePrefix="1" applyFont="1" applyFill="1" applyBorder="1" applyAlignment="1">
      <alignment horizontal="center" vertical="center"/>
    </xf>
    <xf numFmtId="0" fontId="32" fillId="33" borderId="26" xfId="42" quotePrefix="1" applyFont="1" applyFill="1" applyBorder="1" applyAlignment="1">
      <alignment horizontal="center" vertical="center"/>
    </xf>
    <xf numFmtId="0" fontId="32" fillId="33" borderId="0" xfId="42" quotePrefix="1" applyFont="1" applyFill="1" applyBorder="1" applyAlignment="1">
      <alignment horizontal="center" vertical="center"/>
    </xf>
    <xf numFmtId="0" fontId="34" fillId="33" borderId="30" xfId="42" quotePrefix="1" applyFont="1" applyFill="1" applyBorder="1" applyAlignment="1">
      <alignment horizontal="center" vertical="center"/>
    </xf>
    <xf numFmtId="0" fontId="34" fillId="33" borderId="29" xfId="42" quotePrefix="1" applyFont="1" applyFill="1" applyBorder="1" applyAlignment="1">
      <alignment horizontal="center" vertical="center"/>
    </xf>
    <xf numFmtId="0" fontId="34" fillId="33" borderId="26" xfId="42" quotePrefix="1" applyFont="1" applyFill="1" applyBorder="1" applyAlignment="1">
      <alignment horizontal="center" vertical="center"/>
    </xf>
    <xf numFmtId="0" fontId="34" fillId="33" borderId="23" xfId="42" quotePrefix="1" applyFont="1" applyFill="1" applyBorder="1" applyAlignment="1">
      <alignment horizontal="center" vertical="center"/>
    </xf>
    <xf numFmtId="0" fontId="42" fillId="33" borderId="27" xfId="42" quotePrefix="1" applyFont="1" applyFill="1" applyBorder="1" applyAlignment="1">
      <alignment horizontal="center" vertical="center"/>
    </xf>
    <xf numFmtId="0" fontId="34" fillId="33" borderId="24" xfId="42" quotePrefix="1" applyFont="1" applyFill="1" applyBorder="1" applyAlignment="1">
      <alignment horizontal="center" vertical="center"/>
    </xf>
    <xf numFmtId="0" fontId="34" fillId="33" borderId="28" xfId="42" quotePrefix="1" applyFont="1" applyFill="1" applyBorder="1" applyAlignment="1">
      <alignment horizontal="center" vertical="center"/>
    </xf>
    <xf numFmtId="0" fontId="42" fillId="33" borderId="23" xfId="42" quotePrefix="1" applyFont="1" applyFill="1" applyBorder="1" applyAlignment="1">
      <alignment horizontal="center" vertical="center"/>
    </xf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3" fillId="33" borderId="26" xfId="42" applyFont="1" applyFill="1" applyBorder="1" applyAlignment="1">
      <alignment horizontal="center" vertical="center"/>
    </xf>
    <xf numFmtId="0" fontId="34" fillId="33" borderId="23" xfId="42" applyFont="1" applyFill="1" applyBorder="1" applyAlignment="1">
      <alignment horizontal="center" vertical="center"/>
    </xf>
    <xf numFmtId="0" fontId="33" fillId="33" borderId="24" xfId="42" applyFont="1" applyFill="1" applyBorder="1" applyAlignment="1">
      <alignment horizontal="center" vertical="center"/>
    </xf>
    <xf numFmtId="0" fontId="32" fillId="33" borderId="30" xfId="42" quotePrefix="1" applyFont="1" applyFill="1" applyBorder="1" applyAlignment="1">
      <alignment horizontal="center" vertical="center"/>
    </xf>
    <xf numFmtId="0" fontId="32" fillId="33" borderId="29" xfId="42" quotePrefix="1" applyFont="1" applyFill="1" applyBorder="1" applyAlignment="1">
      <alignment horizontal="center" vertical="center"/>
    </xf>
    <xf numFmtId="0" fontId="36" fillId="33" borderId="13" xfId="42" applyFont="1" applyFill="1" applyBorder="1" applyAlignment="1">
      <alignment horizontal="center" vertical="center"/>
    </xf>
    <xf numFmtId="0" fontId="36" fillId="33" borderId="11" xfId="42" applyFont="1" applyFill="1" applyBorder="1" applyAlignment="1">
      <alignment horizontal="center" vertical="center"/>
    </xf>
    <xf numFmtId="0" fontId="38" fillId="0" borderId="44" xfId="42" applyFont="1" applyBorder="1" applyAlignment="1">
      <alignment vertical="center"/>
    </xf>
    <xf numFmtId="0" fontId="38" fillId="0" borderId="46" xfId="42" applyFont="1" applyBorder="1" applyAlignment="1">
      <alignment vertical="center"/>
    </xf>
    <xf numFmtId="0" fontId="36" fillId="33" borderId="10" xfId="42" applyFont="1" applyFill="1" applyBorder="1"/>
    <xf numFmtId="0" fontId="43" fillId="0" borderId="10" xfId="42" applyFont="1" applyBorder="1" applyAlignment="1">
      <alignment vertical="center"/>
    </xf>
    <xf numFmtId="0" fontId="43" fillId="0" borderId="0" xfId="42" applyFont="1" applyBorder="1" applyAlignment="1">
      <alignment vertical="center"/>
    </xf>
    <xf numFmtId="0" fontId="34" fillId="33" borderId="31" xfId="42" applyFont="1" applyFill="1" applyBorder="1" applyAlignment="1">
      <alignment horizontal="center" vertical="center"/>
    </xf>
    <xf numFmtId="0" fontId="36" fillId="33" borderId="27" xfId="42" applyFont="1" applyFill="1" applyBorder="1"/>
    <xf numFmtId="0" fontId="36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3" fillId="33" borderId="23" xfId="42" applyFont="1" applyFill="1" applyBorder="1" applyAlignment="1">
      <alignment horizontal="center" vertical="center"/>
    </xf>
    <xf numFmtId="0" fontId="36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4" fillId="0" borderId="0" xfId="42" applyNumberFormat="1" applyFont="1" applyFill="1" applyBorder="1" applyAlignment="1"/>
    <xf numFmtId="0" fontId="34" fillId="38" borderId="23" xfId="42" applyFont="1" applyFill="1" applyBorder="1" applyAlignment="1">
      <alignment horizontal="center" vertical="center"/>
    </xf>
    <xf numFmtId="0" fontId="34" fillId="0" borderId="28" xfId="42" quotePrefix="1" applyFont="1" applyFill="1" applyBorder="1" applyAlignment="1">
      <alignment horizontal="center" vertical="center"/>
    </xf>
    <xf numFmtId="0" fontId="34" fillId="38" borderId="23" xfId="42" quotePrefix="1" applyFont="1" applyFill="1" applyBorder="1" applyAlignment="1">
      <alignment horizontal="center" vertical="center"/>
    </xf>
    <xf numFmtId="0" fontId="34" fillId="33" borderId="24" xfId="42" applyFont="1" applyFill="1" applyBorder="1" applyAlignment="1">
      <alignment horizontal="center" vertical="center"/>
    </xf>
    <xf numFmtId="0" fontId="34" fillId="33" borderId="26" xfId="42" applyFont="1" applyFill="1" applyBorder="1" applyAlignment="1">
      <alignment horizontal="center" vertical="center"/>
    </xf>
    <xf numFmtId="0" fontId="34" fillId="38" borderId="26" xfId="42" quotePrefix="1" applyFont="1" applyFill="1" applyBorder="1" applyAlignment="1">
      <alignment horizontal="center" vertical="center"/>
    </xf>
    <xf numFmtId="0" fontId="34" fillId="33" borderId="28" xfId="42" applyFont="1" applyFill="1" applyBorder="1" applyAlignment="1">
      <alignment horizontal="center" vertical="center"/>
    </xf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38" fillId="0" borderId="10" xfId="42" applyFont="1" applyBorder="1" applyAlignment="1">
      <alignment vertical="center"/>
    </xf>
    <xf numFmtId="0" fontId="38" fillId="0" borderId="0" xfId="42" applyFont="1" applyBorder="1" applyAlignment="1">
      <alignment vertical="center"/>
    </xf>
    <xf numFmtId="0" fontId="38" fillId="0" borderId="24" xfId="42" applyFont="1" applyBorder="1" applyAlignment="1">
      <alignment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44" xfId="42" applyFont="1" applyBorder="1" applyAlignment="1">
      <alignment vertical="center"/>
    </xf>
    <xf numFmtId="0" fontId="29" fillId="0" borderId="46" xfId="42" applyFont="1" applyBorder="1" applyAlignment="1">
      <alignment vertical="center"/>
    </xf>
    <xf numFmtId="0" fontId="29" fillId="0" borderId="43" xfId="42" applyFont="1" applyBorder="1" applyAlignment="1">
      <alignment vertical="center"/>
    </xf>
    <xf numFmtId="0" fontId="27" fillId="34" borderId="44" xfId="42" applyFont="1" applyFill="1" applyBorder="1" applyAlignment="1">
      <alignment horizontal="center"/>
    </xf>
    <xf numFmtId="0" fontId="27" fillId="34" borderId="46" xfId="42" applyFont="1" applyFill="1" applyBorder="1" applyAlignment="1">
      <alignment horizontal="center"/>
    </xf>
    <xf numFmtId="0" fontId="27" fillId="34" borderId="43" xfId="42" applyFont="1" applyFill="1" applyBorder="1" applyAlignment="1">
      <alignment horizontal="center"/>
    </xf>
    <xf numFmtId="0" fontId="38" fillId="0" borderId="16" xfId="42" applyFont="1" applyBorder="1" applyAlignment="1">
      <alignment vertical="center"/>
    </xf>
    <xf numFmtId="0" fontId="38" fillId="0" borderId="18" xfId="42" applyFont="1" applyBorder="1" applyAlignment="1">
      <alignment vertical="center"/>
    </xf>
    <xf numFmtId="0" fontId="38" fillId="0" borderId="13" xfId="42" applyFont="1" applyBorder="1" applyAlignment="1">
      <alignment vertical="center"/>
    </xf>
    <xf numFmtId="0" fontId="28" fillId="34" borderId="44" xfId="42" applyFont="1" applyFill="1" applyBorder="1" applyAlignment="1">
      <alignment horizontal="center"/>
    </xf>
    <xf numFmtId="0" fontId="28" fillId="34" borderId="46" xfId="42" applyFont="1" applyFill="1" applyBorder="1" applyAlignment="1">
      <alignment horizontal="center"/>
    </xf>
    <xf numFmtId="0" fontId="28" fillId="34" borderId="43" xfId="42" applyFont="1" applyFill="1" applyBorder="1" applyAlignment="1">
      <alignment horizontal="center"/>
    </xf>
    <xf numFmtId="0" fontId="29" fillId="0" borderId="33" xfId="42" applyFont="1" applyBorder="1" applyAlignment="1">
      <alignment horizontal="center" vertical="center"/>
    </xf>
    <xf numFmtId="0" fontId="29" fillId="0" borderId="52" xfId="42" applyFont="1" applyBorder="1" applyAlignment="1">
      <alignment horizontal="center" vertical="center"/>
    </xf>
    <xf numFmtId="0" fontId="27" fillId="34" borderId="50" xfId="42" applyFont="1" applyFill="1" applyBorder="1" applyAlignment="1">
      <alignment horizontal="center"/>
    </xf>
    <xf numFmtId="0" fontId="27" fillId="34" borderId="47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57" xfId="42" applyFont="1" applyFill="1" applyBorder="1" applyAlignment="1">
      <alignment horizontal="center"/>
    </xf>
    <xf numFmtId="0" fontId="27" fillId="34" borderId="58" xfId="42" applyFont="1" applyFill="1" applyBorder="1" applyAlignment="1">
      <alignment horizontal="center"/>
    </xf>
    <xf numFmtId="0" fontId="27" fillId="34" borderId="33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0" fillId="0" borderId="30" xfId="42" applyFont="1" applyBorder="1" applyAlignment="1">
      <alignment horizontal="left" vertical="center" textRotation="90"/>
    </xf>
    <xf numFmtId="0" fontId="27" fillId="0" borderId="29" xfId="42" applyFont="1" applyFill="1" applyBorder="1" applyAlignment="1">
      <alignment horizontal="left" vertical="center" textRotation="90"/>
    </xf>
    <xf numFmtId="0" fontId="27" fillId="0" borderId="26" xfId="42" applyFont="1" applyBorder="1" applyAlignment="1">
      <alignment horizontal="left" vertical="center" textRotation="90"/>
    </xf>
    <xf numFmtId="0" fontId="27" fillId="0" borderId="23" xfId="42" applyFont="1" applyBorder="1" applyAlignment="1">
      <alignment horizontal="left" vertical="center" textRotation="90"/>
    </xf>
    <xf numFmtId="0" fontId="30" fillId="0" borderId="27" xfId="42" applyFont="1" applyBorder="1" applyAlignment="1">
      <alignment horizontal="left" vertical="center" textRotation="90"/>
    </xf>
    <xf numFmtId="0" fontId="27" fillId="0" borderId="28" xfId="42" applyFont="1" applyBorder="1" applyAlignment="1">
      <alignment horizontal="left" vertical="center" textRotation="90"/>
    </xf>
    <xf numFmtId="0" fontId="27" fillId="0" borderId="24" xfId="42" applyFont="1" applyBorder="1" applyAlignment="1">
      <alignment horizontal="left" vertical="center" textRotation="90"/>
    </xf>
    <xf numFmtId="0" fontId="30" fillId="0" borderId="48" xfId="42" applyFont="1" applyBorder="1" applyAlignment="1">
      <alignment horizontal="left" vertical="center" textRotation="90"/>
    </xf>
    <xf numFmtId="0" fontId="27" fillId="0" borderId="49" xfId="42" applyFont="1" applyBorder="1" applyAlignment="1">
      <alignment horizontal="left" vertical="center" textRotation="90"/>
    </xf>
    <xf numFmtId="0" fontId="30" fillId="0" borderId="0" xfId="42" applyFont="1" applyBorder="1" applyAlignment="1">
      <alignment horizontal="left" vertical="center" textRotation="90"/>
    </xf>
    <xf numFmtId="0" fontId="30" fillId="0" borderId="10" xfId="42" applyFont="1" applyBorder="1" applyAlignment="1">
      <alignment horizontal="left" vertical="center" textRotation="90"/>
    </xf>
    <xf numFmtId="0" fontId="30" fillId="0" borderId="25" xfId="42" applyFont="1" applyBorder="1" applyAlignment="1">
      <alignment horizontal="left" vertical="center" textRotation="90"/>
    </xf>
    <xf numFmtId="0" fontId="27" fillId="0" borderId="22" xfId="42" applyFont="1" applyBorder="1" applyAlignment="1">
      <alignment horizontal="left" vertical="center" textRotation="90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302079</xdr:colOff>
          <xdr:row>2</xdr:row>
          <xdr:rowOff>208189</xdr:rowOff>
        </xdr:from>
        <xdr:to>
          <xdr:col>0</xdr:col>
          <xdr:colOff>1442357</xdr:colOff>
          <xdr:row>2</xdr:row>
          <xdr:rowOff>707571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F4C2514B-7784-4B93-A0B3-24CAB7FF1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5" dataDxfId="64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82" bestFit="1" customWidth="1"/>
    <col min="2" max="2" width="3.7109375" style="82" customWidth="1"/>
    <col min="3" max="3" width="3.7109375" style="236" customWidth="1"/>
    <col min="4" max="18" width="3.7109375" style="82" customWidth="1"/>
    <col min="19" max="19" width="3.7109375" style="235" customWidth="1"/>
    <col min="20" max="20" width="3.7109375" style="234" customWidth="1"/>
    <col min="21" max="23" width="3.7109375" style="82" customWidth="1"/>
    <col min="24" max="24" width="3.7109375" style="234" customWidth="1"/>
    <col min="25" max="30" width="3.7109375" style="82" customWidth="1"/>
    <col min="31" max="32" width="3.7109375" style="234" customWidth="1"/>
    <col min="33" max="60" width="3.7109375" style="82" customWidth="1"/>
    <col min="61" max="61" width="21.5703125" style="82" bestFit="1" customWidth="1"/>
    <col min="62" max="62" width="11.28515625" style="82" bestFit="1" customWidth="1"/>
    <col min="63" max="63" width="17.28515625" style="82" bestFit="1" customWidth="1"/>
    <col min="64" max="64" width="2.28515625" style="82" bestFit="1" customWidth="1"/>
    <col min="65" max="65" width="25.140625" style="82" bestFit="1" customWidth="1"/>
    <col min="66" max="126" width="3.7109375" style="82" customWidth="1"/>
    <col min="127" max="127" width="33.28515625" style="82" bestFit="1" customWidth="1"/>
    <col min="128" max="128" width="3.7109375" style="82" customWidth="1"/>
    <col min="129" max="129" width="25.140625" style="82" bestFit="1" customWidth="1"/>
    <col min="130" max="130" width="33.28515625" style="237" bestFit="1" customWidth="1"/>
    <col min="131" max="131" width="14.5703125" style="237" bestFit="1" customWidth="1"/>
    <col min="132" max="16384" width="11.5703125" style="82"/>
  </cols>
  <sheetData>
    <row r="1" spans="1:131" s="39" customFormat="1" ht="15" customHeight="1" x14ac:dyDescent="0.2">
      <c r="A1" s="36" t="s">
        <v>101</v>
      </c>
      <c r="B1" s="274" t="s">
        <v>100</v>
      </c>
      <c r="C1" s="274"/>
      <c r="D1" s="274"/>
      <c r="E1" s="274"/>
      <c r="F1" s="274"/>
      <c r="G1" s="274"/>
      <c r="H1" s="274"/>
      <c r="I1" s="275"/>
      <c r="J1" s="279" t="s">
        <v>1294</v>
      </c>
      <c r="K1" s="280"/>
      <c r="L1" s="281"/>
      <c r="M1" s="279" t="s">
        <v>1295</v>
      </c>
      <c r="N1" s="280"/>
      <c r="O1" s="281"/>
      <c r="P1" s="273" t="s">
        <v>99</v>
      </c>
      <c r="Q1" s="274"/>
      <c r="R1" s="274"/>
      <c r="S1" s="274"/>
      <c r="T1" s="274"/>
      <c r="U1" s="274"/>
      <c r="V1" s="274"/>
      <c r="W1" s="275"/>
      <c r="X1" s="273" t="s">
        <v>98</v>
      </c>
      <c r="Y1" s="274"/>
      <c r="Z1" s="274"/>
      <c r="AA1" s="274"/>
      <c r="AB1" s="274"/>
      <c r="AC1" s="275"/>
      <c r="AD1" s="273" t="s">
        <v>2016</v>
      </c>
      <c r="AE1" s="274"/>
      <c r="AF1" s="275"/>
      <c r="AG1" s="273" t="s">
        <v>97</v>
      </c>
      <c r="AH1" s="274"/>
      <c r="AI1" s="274"/>
      <c r="AJ1" s="275"/>
      <c r="AK1" s="279" t="s">
        <v>1292</v>
      </c>
      <c r="AL1" s="280"/>
      <c r="AM1" s="281"/>
      <c r="AN1" s="279" t="s">
        <v>1293</v>
      </c>
      <c r="AO1" s="281"/>
      <c r="AP1" s="273" t="s">
        <v>96</v>
      </c>
      <c r="AQ1" s="274"/>
      <c r="AR1" s="274"/>
      <c r="AS1" s="274"/>
      <c r="AT1" s="275"/>
      <c r="AU1" s="280" t="s">
        <v>95</v>
      </c>
      <c r="AV1" s="280"/>
      <c r="AW1" s="281"/>
      <c r="AX1" s="273" t="s">
        <v>1296</v>
      </c>
      <c r="AY1" s="274"/>
      <c r="AZ1" s="275"/>
      <c r="BA1" s="273" t="s">
        <v>1297</v>
      </c>
      <c r="BB1" s="274"/>
      <c r="BC1" s="274"/>
      <c r="BD1" s="275"/>
      <c r="BE1" s="279" t="s">
        <v>94</v>
      </c>
      <c r="BF1" s="281"/>
      <c r="BG1" s="37" t="s">
        <v>1</v>
      </c>
      <c r="BH1" s="38" t="s">
        <v>1</v>
      </c>
      <c r="BI1" s="38" t="s">
        <v>1299</v>
      </c>
      <c r="BJ1" s="38" t="s">
        <v>1298</v>
      </c>
      <c r="BK1" s="37" t="s">
        <v>1300</v>
      </c>
      <c r="BL1" s="274" t="s">
        <v>93</v>
      </c>
      <c r="BM1" s="275"/>
    </row>
    <row r="2" spans="1:131" s="39" customFormat="1" ht="12.75" customHeight="1" x14ac:dyDescent="0.2">
      <c r="A2" s="40" t="s">
        <v>1917</v>
      </c>
      <c r="B2" s="41" t="s">
        <v>1</v>
      </c>
      <c r="C2" s="42"/>
      <c r="D2" s="43" t="s">
        <v>91</v>
      </c>
      <c r="E2" s="43" t="s">
        <v>91</v>
      </c>
      <c r="F2" s="43"/>
      <c r="G2" s="43"/>
      <c r="H2" s="43"/>
      <c r="I2" s="44" t="s">
        <v>91</v>
      </c>
      <c r="J2" s="40"/>
      <c r="K2" s="42" t="s">
        <v>90</v>
      </c>
      <c r="L2" s="45" t="s">
        <v>91</v>
      </c>
      <c r="M2" s="46" t="s">
        <v>1</v>
      </c>
      <c r="N2" s="43" t="s">
        <v>92</v>
      </c>
      <c r="O2" s="44"/>
      <c r="P2" s="46" t="s">
        <v>1</v>
      </c>
      <c r="Q2" s="43" t="s">
        <v>92</v>
      </c>
      <c r="R2" s="43" t="s">
        <v>91</v>
      </c>
      <c r="S2" s="43"/>
      <c r="T2" s="42" t="s">
        <v>92</v>
      </c>
      <c r="U2" s="43"/>
      <c r="V2" s="43" t="s">
        <v>90</v>
      </c>
      <c r="W2" s="44" t="s">
        <v>92</v>
      </c>
      <c r="X2" s="46" t="s">
        <v>1</v>
      </c>
      <c r="Y2" s="43"/>
      <c r="Z2" s="43" t="s">
        <v>92</v>
      </c>
      <c r="AA2" s="43" t="s">
        <v>90</v>
      </c>
      <c r="AB2" s="43"/>
      <c r="AC2" s="45"/>
      <c r="AD2" s="46" t="s">
        <v>1</v>
      </c>
      <c r="AE2" s="43" t="s">
        <v>91</v>
      </c>
      <c r="AF2" s="43" t="s">
        <v>92</v>
      </c>
      <c r="AG2" s="46" t="s">
        <v>1</v>
      </c>
      <c r="AH2" s="43" t="s">
        <v>91</v>
      </c>
      <c r="AI2" s="43"/>
      <c r="AJ2" s="44" t="s">
        <v>92</v>
      </c>
      <c r="AK2" s="40" t="s">
        <v>1</v>
      </c>
      <c r="AL2" s="42" t="s">
        <v>91</v>
      </c>
      <c r="AM2" s="44"/>
      <c r="AN2" s="46" t="s">
        <v>1</v>
      </c>
      <c r="AO2" s="44"/>
      <c r="AP2" s="46" t="s">
        <v>1</v>
      </c>
      <c r="AQ2" s="43"/>
      <c r="AR2" s="43"/>
      <c r="AS2" s="43" t="s">
        <v>90</v>
      </c>
      <c r="AT2" s="44" t="s">
        <v>90</v>
      </c>
      <c r="AU2" s="46" t="s">
        <v>1</v>
      </c>
      <c r="AV2" s="43" t="s">
        <v>92</v>
      </c>
      <c r="AW2" s="44"/>
      <c r="AX2" s="46" t="s">
        <v>1</v>
      </c>
      <c r="AY2" s="43"/>
      <c r="AZ2" s="44" t="s">
        <v>92</v>
      </c>
      <c r="BA2" s="46" t="s">
        <v>1</v>
      </c>
      <c r="BB2" s="43"/>
      <c r="BC2" s="43" t="s">
        <v>90</v>
      </c>
      <c r="BD2" s="44" t="s">
        <v>91</v>
      </c>
      <c r="BE2" s="46" t="s">
        <v>1</v>
      </c>
      <c r="BF2" s="44" t="s">
        <v>90</v>
      </c>
      <c r="BG2" s="47"/>
      <c r="BH2" s="47"/>
      <c r="BI2" s="48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559</v>
      </c>
      <c r="BJ2" s="48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452</v>
      </c>
      <c r="BK2" s="49">
        <f>(9+2+8+6+3+2+1+4+2+2+3+1)*59</f>
        <v>2537</v>
      </c>
      <c r="BL2" s="284"/>
      <c r="BM2" s="285"/>
    </row>
    <row r="3" spans="1:131" s="57" customFormat="1" ht="112.5" customHeight="1" x14ac:dyDescent="0.2">
      <c r="A3" s="50" t="s">
        <v>89</v>
      </c>
      <c r="B3" s="292" t="s">
        <v>1279</v>
      </c>
      <c r="C3" s="293" t="s">
        <v>88</v>
      </c>
      <c r="D3" s="294" t="s">
        <v>87</v>
      </c>
      <c r="E3" s="294" t="s">
        <v>86</v>
      </c>
      <c r="F3" s="294" t="s">
        <v>84</v>
      </c>
      <c r="G3" s="294" t="s">
        <v>83</v>
      </c>
      <c r="H3" s="294" t="s">
        <v>82</v>
      </c>
      <c r="I3" s="295" t="s">
        <v>81</v>
      </c>
      <c r="J3" s="296" t="s">
        <v>1280</v>
      </c>
      <c r="K3" s="297" t="s">
        <v>85</v>
      </c>
      <c r="L3" s="298" t="s">
        <v>80</v>
      </c>
      <c r="M3" s="296" t="s">
        <v>1281</v>
      </c>
      <c r="N3" s="294" t="s">
        <v>79</v>
      </c>
      <c r="O3" s="295" t="s">
        <v>78</v>
      </c>
      <c r="P3" s="296" t="s">
        <v>1282</v>
      </c>
      <c r="Q3" s="294" t="s">
        <v>77</v>
      </c>
      <c r="R3" s="294" t="s">
        <v>76</v>
      </c>
      <c r="S3" s="294" t="s">
        <v>74</v>
      </c>
      <c r="T3" s="297" t="s">
        <v>73</v>
      </c>
      <c r="U3" s="294" t="s">
        <v>72</v>
      </c>
      <c r="V3" s="294" t="s">
        <v>71</v>
      </c>
      <c r="W3" s="295" t="s">
        <v>70</v>
      </c>
      <c r="X3" s="296" t="s">
        <v>1283</v>
      </c>
      <c r="Y3" s="294" t="s">
        <v>69</v>
      </c>
      <c r="Z3" s="294" t="s">
        <v>65</v>
      </c>
      <c r="AA3" s="294" t="s">
        <v>66</v>
      </c>
      <c r="AB3" s="294" t="s">
        <v>68</v>
      </c>
      <c r="AC3" s="298" t="s">
        <v>67</v>
      </c>
      <c r="AD3" s="296" t="s">
        <v>2015</v>
      </c>
      <c r="AE3" s="294" t="s">
        <v>75</v>
      </c>
      <c r="AF3" s="294" t="s">
        <v>64</v>
      </c>
      <c r="AG3" s="296" t="s">
        <v>1284</v>
      </c>
      <c r="AH3" s="294" t="s">
        <v>63</v>
      </c>
      <c r="AI3" s="294" t="s">
        <v>62</v>
      </c>
      <c r="AJ3" s="295" t="s">
        <v>1291</v>
      </c>
      <c r="AK3" s="296" t="s">
        <v>1285</v>
      </c>
      <c r="AL3" s="297" t="s">
        <v>61</v>
      </c>
      <c r="AM3" s="295" t="s">
        <v>60</v>
      </c>
      <c r="AN3" s="299" t="s">
        <v>1286</v>
      </c>
      <c r="AO3" s="300" t="s">
        <v>59</v>
      </c>
      <c r="AP3" s="296" t="s">
        <v>96</v>
      </c>
      <c r="AQ3" s="294" t="s">
        <v>58</v>
      </c>
      <c r="AR3" s="294" t="s">
        <v>57</v>
      </c>
      <c r="AS3" s="294" t="s">
        <v>56</v>
      </c>
      <c r="AT3" s="295" t="s">
        <v>1722</v>
      </c>
      <c r="AU3" s="301" t="s">
        <v>1287</v>
      </c>
      <c r="AV3" s="294" t="s">
        <v>55</v>
      </c>
      <c r="AW3" s="295" t="s">
        <v>54</v>
      </c>
      <c r="AX3" s="296" t="s">
        <v>1288</v>
      </c>
      <c r="AY3" s="294" t="s">
        <v>53</v>
      </c>
      <c r="AZ3" s="295" t="s">
        <v>52</v>
      </c>
      <c r="BA3" s="302" t="s">
        <v>1289</v>
      </c>
      <c r="BB3" s="294" t="s">
        <v>51</v>
      </c>
      <c r="BC3" s="294" t="s">
        <v>50</v>
      </c>
      <c r="BD3" s="295" t="s">
        <v>49</v>
      </c>
      <c r="BE3" s="303" t="s">
        <v>1290</v>
      </c>
      <c r="BF3" s="298" t="s">
        <v>48</v>
      </c>
      <c r="BG3" s="298" t="s">
        <v>47</v>
      </c>
      <c r="BH3" s="304" t="s">
        <v>46</v>
      </c>
      <c r="BI3" s="51">
        <f>$BI$2/$BK$2</f>
        <v>0.22033898305084745</v>
      </c>
      <c r="BJ3" s="52" t="s">
        <v>1745</v>
      </c>
      <c r="BK3" s="53" t="str">
        <f>CONCATENATE(ROUND(($BI$2+$BJ$2)/$BK$2,3)*100,"%*")</f>
        <v>39.9%*</v>
      </c>
      <c r="BL3" s="54" t="s">
        <v>1925</v>
      </c>
      <c r="BM3" s="55" t="s">
        <v>1918</v>
      </c>
      <c r="BN3" s="56"/>
      <c r="BO3" s="56"/>
      <c r="BP3" s="56"/>
      <c r="BQ3" s="56"/>
      <c r="BR3" s="56"/>
      <c r="BS3" s="56"/>
      <c r="BT3" s="56"/>
      <c r="BU3" s="56"/>
      <c r="BV3" s="56"/>
      <c r="BW3" s="56"/>
    </row>
    <row r="4" spans="1:131" ht="12.75" customHeight="1" x14ac:dyDescent="0.2">
      <c r="A4" s="58" t="s">
        <v>1103</v>
      </c>
      <c r="B4" s="59" t="str">
        <f>IF(ISTEXT(VLOOKUP(CONCATENATE($A4,"_",B$3),'Unit List'!$A$14:$H$2838,2,FALSE)),"+","")</f>
        <v/>
      </c>
      <c r="C4" s="60" t="str">
        <f>IF(ISTEXT(VLOOKUP(CONCATENATE($A4,"_",C$3),'Unit List'!$A$14:$H$2838,2,FALSE)),"X",$B4)</f>
        <v/>
      </c>
      <c r="D4" s="61" t="str">
        <f>IF(ISTEXT(VLOOKUP(CONCATENATE($A4,"_",D$3),'Unit List'!$A$14:$H$2838,2,FALSE)),"X",$B4)</f>
        <v/>
      </c>
      <c r="E4" s="62" t="str">
        <f>IF(ISTEXT(VLOOKUP(CONCATENATE($A4,"_",E$3),'Unit List'!$A$14:$H$2838,2,FALSE)),"X",$B4)</f>
        <v/>
      </c>
      <c r="F4" s="61" t="str">
        <f>IF(ISTEXT(VLOOKUP(CONCATENATE($A4,"_",F$3),'Unit List'!$A$14:$H$2838,2,FALSE)),"X",$B4)</f>
        <v/>
      </c>
      <c r="G4" s="61" t="str">
        <f>IF(ISTEXT(VLOOKUP(CONCATENATE($A4,"_",G$3),'Unit List'!$A$14:$H$2838,2,FALSE)),"X",$B4)</f>
        <v/>
      </c>
      <c r="H4" s="61" t="str">
        <f>IF(ISTEXT(VLOOKUP(CONCATENATE($A4,"_",H$3),'Unit List'!$A$14:$H$2838,2,FALSE)),"X",$B4)</f>
        <v/>
      </c>
      <c r="I4" s="63" t="str">
        <f>IF(ISTEXT(VLOOKUP(CONCATENATE($A4,"_",I$3),'Unit List'!$A$14:$H$2838,2,FALSE)),"X",$B4)</f>
        <v/>
      </c>
      <c r="J4" s="64" t="str">
        <f>IF(ISTEXT(VLOOKUP(CONCATENATE($A4,"_",J$3),'Unit List'!$A$14:$H$2838,2,FALSE)),"+","")</f>
        <v/>
      </c>
      <c r="K4" s="62" t="str">
        <f>IF(ISTEXT(VLOOKUP(CONCATENATE($A4,"_",K$3),'Unit List'!$A$14:$H$2838,2,FALSE)),"X",$J4)</f>
        <v/>
      </c>
      <c r="L4" s="65" t="str">
        <f>IF(ISTEXT(VLOOKUP(CONCATENATE($A4,"_",L$3),'Unit List'!$A$14:$H$2838,2,FALSE)),"X",$J4)</f>
        <v/>
      </c>
      <c r="M4" s="64" t="str">
        <f>IF(ISTEXT(VLOOKUP(CONCATENATE($A4,"_",M$3),'Unit List'!$A$14:$H$2838,2,FALSE)),"+","")</f>
        <v/>
      </c>
      <c r="N4" s="66" t="str">
        <f>IF(ISTEXT(VLOOKUP(CONCATENATE($A4,"_",N$3),'Unit List'!$A$14:$H$2838,2,FALSE)),"X",$M4)</f>
        <v/>
      </c>
      <c r="O4" s="67" t="str">
        <f>IF(ISTEXT(VLOOKUP(CONCATENATE($A4,"_",O$3),'Unit List'!$A$14:$H$2838,2,FALSE)),"X",$M4)</f>
        <v/>
      </c>
      <c r="P4" s="68" t="str">
        <f>IF(ISTEXT(VLOOKUP(CONCATENATE($A4,"_",P$3),'Unit List'!$A$14:$H$2838,2,FALSE)),"+","")</f>
        <v/>
      </c>
      <c r="Q4" s="66" t="str">
        <f>IF(ISTEXT(VLOOKUP(CONCATENATE($A4,"_",Q$3),'Unit List'!$A$14:$H$2838,2,FALSE)),"X",$P4)</f>
        <v/>
      </c>
      <c r="R4" s="62" t="str">
        <f>IF(ISTEXT(VLOOKUP(CONCATENATE($A4,"_",R$3),'Unit List'!$A$14:$H$2838,2,FALSE)),"X",$P4)</f>
        <v/>
      </c>
      <c r="S4" s="62" t="str">
        <f>IF(ISTEXT(VLOOKUP(CONCATENATE($A4,"_",S$3),'Unit List'!$A$14:$H$2838,2,FALSE)),"X",$P4)</f>
        <v/>
      </c>
      <c r="T4" s="69" t="str">
        <f>IF(ISTEXT(VLOOKUP(CONCATENATE($A4,"_",T$3),'Unit List'!$A$14:$H$2838,2,FALSE)),"X",$P4)</f>
        <v/>
      </c>
      <c r="U4" s="70" t="str">
        <f>IF(ISTEXT(VLOOKUP(CONCATENATE($A4,"_",U$3),'Unit List'!$A$14:$H$2838,2,FALSE)),"X",$P4)</f>
        <v/>
      </c>
      <c r="V4" s="62" t="str">
        <f>IF(ISTEXT(VLOOKUP(CONCATENATE($A4,"_",V$3),'Unit List'!$A$14:$H$2838,2,FALSE)),"X",$P4)</f>
        <v/>
      </c>
      <c r="W4" s="71" t="str">
        <f>IF(ISTEXT(VLOOKUP(CONCATENATE($A4,"_",W$3),'Unit List'!$A$14:$H$2838,2,FALSE)),"X",$P4)</f>
        <v/>
      </c>
      <c r="X4" s="68" t="str">
        <f>IF(ISTEXT(VLOOKUP(CONCATENATE($A4,"_",X$3),'Unit List'!$A$14:$H$2838,2,FALSE)),"+","")</f>
        <v/>
      </c>
      <c r="Y4" s="62" t="str">
        <f>IF(ISTEXT(VLOOKUP(CONCATENATE($A4,"_",Y$3),'Unit List'!$A$14:$H$2838,2,FALSE)),"X",$X4)</f>
        <v/>
      </c>
      <c r="Z4" s="66" t="str">
        <f>IF(ISTEXT(VLOOKUP(CONCATENATE($A4,"_",Z$3),'Unit List'!$A$14:$H$2838,2,FALSE)),"X",$X4)</f>
        <v/>
      </c>
      <c r="AA4" s="62" t="str">
        <f>IF(ISTEXT(VLOOKUP(CONCATENATE($A4,"_",AA$3),'Unit List'!$A$14:$H$2838,2,FALSE)),"X",$X4)</f>
        <v/>
      </c>
      <c r="AB4" s="62" t="str">
        <f>IF(ISTEXT(VLOOKUP(CONCATENATE($A4,"_",AB$3),'Unit List'!$A$14:$H$2838,2,FALSE)),"X",$X4)</f>
        <v/>
      </c>
      <c r="AC4" s="73" t="str">
        <f>IF(ISTEXT(VLOOKUP(CONCATENATE($A4,"_",AC$3),'Unit List'!$A$14:$H$2838,2,FALSE)),"X",$X4)</f>
        <v/>
      </c>
      <c r="AD4" s="68" t="str">
        <f>IF(ISTEXT(VLOOKUP(CONCATENATE($A4,"_",AD$3),'Unit List'!$A$14:$H$2838,2,FALSE)),"+","")</f>
        <v/>
      </c>
      <c r="AE4" s="62" t="str">
        <f>IF(ISTEXT(VLOOKUP(CONCATENATE($A4,"_",AE$3),'Unit List'!$A$14:$H$2838,2,FALSE)),"X",$AD4)</f>
        <v/>
      </c>
      <c r="AF4" s="72" t="str">
        <f>IF(ISTEXT(VLOOKUP(CONCATENATE($A4,"_",AF$3),'Unit List'!$A$14:$H$2838,2,FALSE)),"X",$AD4)</f>
        <v/>
      </c>
      <c r="AG4" s="68" t="str">
        <f>IF(ISTEXT(VLOOKUP(CONCATENATE($A4,"_",AG$3),'Unit List'!$A$14:$H$2838,2,FALSE)),"+","")</f>
        <v/>
      </c>
      <c r="AH4" s="62" t="str">
        <f>IF(ISTEXT(VLOOKUP(CONCATENATE($A4,"_",AH$3),'Unit List'!$A$14:$H$2838,2,FALSE)),"X",$AG4)</f>
        <v/>
      </c>
      <c r="AI4" s="62" t="str">
        <f>IF(ISTEXT(VLOOKUP(CONCATENATE($A4,"_",AI$3),'Unit List'!$A$14:$H$2838,2,FALSE)),"X",$AG4)</f>
        <v/>
      </c>
      <c r="AJ4" s="74" t="str">
        <f>IF(ISTEXT(VLOOKUP(CONCATENATE($A4,"_",AJ$3),'Unit List'!$A$14:$H$2838,2,FALSE)),"X",$AG4)</f>
        <v/>
      </c>
      <c r="AK4" s="64" t="str">
        <f>IF(ISTEXT(VLOOKUP(CONCATENATE($A4,"_",AK$3),'Unit List'!$A$14:$H$2838,2,FALSE)),"+","")</f>
        <v/>
      </c>
      <c r="AL4" s="75" t="str">
        <f>IF(ISTEXT(VLOOKUP(CONCATENATE($A4,"_",AL$3),'Unit List'!$A$14:$H$2838,2,FALSE)),"X",$AK4)</f>
        <v/>
      </c>
      <c r="AM4" s="63" t="str">
        <f>IF(ISTEXT(VLOOKUP(CONCATENATE($A4,"_",AM$3),'Unit List'!$A$14:$H$2838,2,FALSE)),"X",$AK4)</f>
        <v/>
      </c>
      <c r="AN4" s="76" t="str">
        <f>IF(ISTEXT(VLOOKUP(CONCATENATE($A4,"_",AN$3),'Unit List'!$A$14:$H$2838,2,FALSE)),"+","")</f>
        <v/>
      </c>
      <c r="AO4" s="63" t="str">
        <f>IF(ISTEXT(VLOOKUP(CONCATENATE($A4,"_",AO$3),'Unit List'!$A$14:$H$2838,2,FALSE)),"X",$AN4)</f>
        <v/>
      </c>
      <c r="AP4" s="68" t="str">
        <f>IF(ISTEXT(VLOOKUP(CONCATENATE($A4,"_",AP$3),'Unit List'!$A$14:$H$2838,2,FALSE)),"+","")</f>
        <v/>
      </c>
      <c r="AQ4" s="62" t="str">
        <f>IF(ISTEXT(VLOOKUP(CONCATENATE($A4,"_",AQ$3),'Unit List'!$A$14:$H$2838,2,FALSE)),"X",$AP4)</f>
        <v/>
      </c>
      <c r="AR4" s="70" t="str">
        <f>IF(ISTEXT(VLOOKUP(CONCATENATE($A4,"_",AR$3),'Unit List'!$A$14:$H$2838,2,FALSE)),"X",$AP4)</f>
        <v/>
      </c>
      <c r="AS4" s="62" t="str">
        <f>IF(ISTEXT(VLOOKUP(CONCATENATE($A4,"_",AS$3),'Unit List'!$A$14:$H$2838,2,FALSE)),"X",$AP4)</f>
        <v/>
      </c>
      <c r="AT4" s="63" t="str">
        <f>IF(ISTEXT(VLOOKUP(CONCATENATE($A4,"_",AT$3),'Unit List'!$A$14:$H$2838,2,FALSE)),"X",$AP4)</f>
        <v/>
      </c>
      <c r="AU4" s="77" t="str">
        <f>IF(ISTEXT(VLOOKUP(CONCATENATE($A4,"_",AU$3),'Unit List'!$A$14:$H$2838,2,FALSE)),"+","")</f>
        <v/>
      </c>
      <c r="AV4" s="66" t="str">
        <f>IF(ISTEXT(VLOOKUP(CONCATENATE($A4,"_",AV$3),'Unit List'!$A$14:$H$2838,2,FALSE)),"X",$AU4)</f>
        <v/>
      </c>
      <c r="AW4" s="63" t="str">
        <f>IF(ISTEXT(VLOOKUP(CONCATENATE($A4,"_",AW$3),'Unit List'!$A$14:$H$2838,2,FALSE)),"X",$AU4)</f>
        <v/>
      </c>
      <c r="AX4" s="68" t="str">
        <f>IF(ISTEXT(VLOOKUP(CONCATENATE($A4,"_",AX$3),'Unit List'!$A$14:$H$2838,2,FALSE)),"+","")</f>
        <v/>
      </c>
      <c r="AY4" s="62" t="str">
        <f>IF(ISTEXT(VLOOKUP(CONCATENATE($A4,"_",AY$3),'Unit List'!$A$14:$H$2838,2,FALSE)),"X",$AX4)</f>
        <v/>
      </c>
      <c r="AZ4" s="71" t="str">
        <f>IF(ISTEXT(VLOOKUP(CONCATENATE($A4,"_",AZ$3),'Unit List'!$A$14:$H$2838,2,FALSE)),"X",$AX4)</f>
        <v/>
      </c>
      <c r="BA4" s="78" t="str">
        <f>IF(ISTEXT(VLOOKUP(CONCATENATE($A4,"_",BA$3),'Unit List'!$A$14:$H$2838,2,FALSE)),"+","")</f>
        <v/>
      </c>
      <c r="BB4" s="62" t="str">
        <f>IF(ISTEXT(VLOOKUP(CONCATENATE($A4,"_",BB$3),'Unit List'!$A$14:$H$2838,2,FALSE)),"X",$BA4)</f>
        <v/>
      </c>
      <c r="BC4" s="62" t="str">
        <f>IF(ISTEXT(VLOOKUP(CONCATENATE($A4,"_",BC$3),'Unit List'!$A$14:$H$2838,2,FALSE)),"X",$BA4)</f>
        <v/>
      </c>
      <c r="BD4" s="63" t="str">
        <f>IF(ISTEXT(VLOOKUP(CONCATENATE($A4,"_",BD$3),'Unit List'!$A$14:$H$2838,2,FALSE)),"X",$BA4)</f>
        <v/>
      </c>
      <c r="BE4" s="76" t="str">
        <f>IF(ISTEXT(VLOOKUP(CONCATENATE($A4,"_",BE$3),'Unit List'!$A$14:$H$2838,2,FALSE)),"+","")</f>
        <v/>
      </c>
      <c r="BF4" s="73" t="str">
        <f>IF(ISTEXT(VLOOKUP(CONCATENATE($A4,"_",BF$3),'Unit List'!$A$14:$H$2838,2,FALSE)),"X",$BE4)</f>
        <v/>
      </c>
      <c r="BG4" s="79"/>
      <c r="BH4" s="80" t="s">
        <v>0</v>
      </c>
      <c r="BI4" s="282"/>
      <c r="BJ4" s="283"/>
      <c r="BK4" s="283"/>
      <c r="BL4" s="290" t="s">
        <v>1747</v>
      </c>
      <c r="BM4" s="291"/>
      <c r="BN4" s="81"/>
      <c r="BO4" s="81"/>
      <c r="BP4" s="81"/>
      <c r="BQ4" s="81"/>
      <c r="BR4" s="81"/>
      <c r="BS4" s="81"/>
      <c r="DZ4" s="82"/>
      <c r="EA4" s="82"/>
    </row>
    <row r="5" spans="1:131" ht="12.75" customHeight="1" x14ac:dyDescent="0.2">
      <c r="A5" s="83" t="s">
        <v>1104</v>
      </c>
      <c r="B5" s="59" t="str">
        <f>IF(ISTEXT(VLOOKUP(CONCATENATE($A5,"_",B$3),'Unit List'!$A$14:$H$2838,2,FALSE)),"+","")</f>
        <v/>
      </c>
      <c r="C5" s="84" t="str">
        <f>IF(ISTEXT(VLOOKUP(CONCATENATE($A5,"_",C$3),'Unit List'!$A$14:$H$2838,2,FALSE)),"X",$B5)</f>
        <v/>
      </c>
      <c r="D5" s="85" t="str">
        <f>IF(ISTEXT(VLOOKUP(CONCATENATE($A5,"_",D$3),'Unit List'!$A$14:$H$2838,2,FALSE)),"X",$B5)</f>
        <v/>
      </c>
      <c r="E5" s="66" t="str">
        <f>IF(ISTEXT(VLOOKUP(CONCATENATE($A5,"_",E$3),'Unit List'!$A$14:$H$2838,2,FALSE)),"X",$B5)</f>
        <v/>
      </c>
      <c r="F5" s="85" t="str">
        <f>IF(ISTEXT(VLOOKUP(CONCATENATE($A5,"_",F$3),'Unit List'!$A$14:$H$2838,2,FALSE)),"X",$B5)</f>
        <v/>
      </c>
      <c r="G5" s="85" t="str">
        <f>IF(ISTEXT(VLOOKUP(CONCATENATE($A5,"_",G$3),'Unit List'!$A$14:$H$2838,2,FALSE)),"X",$B5)</f>
        <v/>
      </c>
      <c r="H5" s="85" t="str">
        <f>IF(ISTEXT(VLOOKUP(CONCATENATE($A5,"_",H$3),'Unit List'!$A$14:$H$2838,2,FALSE)),"X",$B5)</f>
        <v/>
      </c>
      <c r="I5" s="74" t="str">
        <f>IF(ISTEXT(VLOOKUP(CONCATENATE($A5,"_",I$3),'Unit List'!$A$14:$H$2838,2,FALSE)),"X",$B5)</f>
        <v/>
      </c>
      <c r="J5" s="64" t="str">
        <f>IF(ISTEXT(VLOOKUP(CONCATENATE($A5,"_",J$3),'Unit List'!$A$14:$H$2838,2,FALSE)),"+","")</f>
        <v/>
      </c>
      <c r="K5" s="66" t="str">
        <f>IF(ISTEXT(VLOOKUP(CONCATENATE($A5,"_",K$3),'Unit List'!$A$14:$H$2838,2,FALSE)),"X",$J5)</f>
        <v/>
      </c>
      <c r="L5" s="86" t="str">
        <f>IF(ISTEXT(VLOOKUP(CONCATENATE($A5,"_",L$3),'Unit List'!$A$14:$H$2838,2,FALSE)),"X",$J5)</f>
        <v/>
      </c>
      <c r="M5" s="64" t="str">
        <f>IF(ISTEXT(VLOOKUP(CONCATENATE($A5,"_",M$3),'Unit List'!$A$14:$H$2838,2,FALSE)),"+","")</f>
        <v/>
      </c>
      <c r="N5" s="87" t="str">
        <f>IF(ISTEXT(VLOOKUP(CONCATENATE($A5,"_",N$3),'Unit List'!$A$14:$H$2838,2,FALSE)),"X",$M5)</f>
        <v/>
      </c>
      <c r="O5" s="88" t="str">
        <f>IF(ISTEXT(VLOOKUP(CONCATENATE($A5,"_",O$3),'Unit List'!$A$14:$H$2838,2,FALSE)),"X",$M5)</f>
        <v/>
      </c>
      <c r="P5" s="68" t="str">
        <f>IF(ISTEXT(VLOOKUP(CONCATENATE($A5,"_",P$3),'Unit List'!$A$14:$H$2838,2,FALSE)),"+","")</f>
        <v/>
      </c>
      <c r="Q5" s="66" t="str">
        <f>IF(ISTEXT(VLOOKUP(CONCATENATE($A5,"_",Q$3),'Unit List'!$A$14:$H$2838,2,FALSE)),"X",$P5)</f>
        <v/>
      </c>
      <c r="R5" s="66" t="str">
        <f>IF(ISTEXT(VLOOKUP(CONCATENATE($A5,"_",R$3),'Unit List'!$A$14:$H$2838,2,FALSE)),"X",$P5)</f>
        <v/>
      </c>
      <c r="S5" s="66" t="str">
        <f>IF(ISTEXT(VLOOKUP(CONCATENATE($A5,"_",S$3),'Unit List'!$A$14:$H$2838,2,FALSE)),"X",$P5)</f>
        <v/>
      </c>
      <c r="T5" s="69" t="str">
        <f>IF(ISTEXT(VLOOKUP(CONCATENATE($A5,"_",T$3),'Unit List'!$A$14:$H$2838,2,FALSE)),"X",$P5)</f>
        <v/>
      </c>
      <c r="U5" s="87" t="str">
        <f>IF(ISTEXT(VLOOKUP(CONCATENATE($A5,"_",U$3),'Unit List'!$A$14:$H$2838,2,FALSE)),"X",$P5)</f>
        <v/>
      </c>
      <c r="V5" s="87" t="str">
        <f>IF(ISTEXT(VLOOKUP(CONCATENATE($A5,"_",V$3),'Unit List'!$A$14:$H$2838,2,FALSE)),"X",$P5)</f>
        <v/>
      </c>
      <c r="W5" s="71" t="str">
        <f>IF(ISTEXT(VLOOKUP(CONCATENATE($A5,"_",W$3),'Unit List'!$A$14:$H$2838,2,FALSE)),"X",$P5)</f>
        <v/>
      </c>
      <c r="X5" s="68" t="str">
        <f>IF(ISTEXT(VLOOKUP(CONCATENATE($A5,"_",X$3),'Unit List'!$A$14:$H$2838,2,FALSE)),"+","")</f>
        <v/>
      </c>
      <c r="Y5" s="66" t="str">
        <f>IF(ISTEXT(VLOOKUP(CONCATENATE($A5,"_",Y$3),'Unit List'!$A$14:$H$2838,2,FALSE)),"X",$X5)</f>
        <v/>
      </c>
      <c r="Z5" s="66" t="str">
        <f>IF(ISTEXT(VLOOKUP(CONCATENATE($A5,"_",Z$3),'Unit List'!$A$14:$H$2838,2,FALSE)),"X",$X5)</f>
        <v/>
      </c>
      <c r="AA5" s="66" t="str">
        <f>IF(ISTEXT(VLOOKUP(CONCATENATE($A5,"_",AA$3),'Unit List'!$A$14:$H$2838,2,FALSE)),"X",$X5)</f>
        <v/>
      </c>
      <c r="AB5" s="66" t="str">
        <f>IF(ISTEXT(VLOOKUP(CONCATENATE($A5,"_",AB$3),'Unit List'!$A$14:$H$2838,2,FALSE)),"X",$X5)</f>
        <v/>
      </c>
      <c r="AC5" s="89" t="str">
        <f>IF(ISTEXT(VLOOKUP(CONCATENATE($A5,"_",AC$3),'Unit List'!$A$14:$H$2838,2,FALSE)),"X",$X5)</f>
        <v/>
      </c>
      <c r="AD5" s="68" t="str">
        <f>IF(ISTEXT(VLOOKUP(CONCATENATE($A5,"_",AD$3),'Unit List'!$A$14:$H$2838,2,FALSE)),"+","")</f>
        <v/>
      </c>
      <c r="AE5" s="62" t="str">
        <f>IF(ISTEXT(VLOOKUP(CONCATENATE($A5,"_",AE$3),'Unit List'!$A$14:$H$2838,2,FALSE)),"X",$AD5)</f>
        <v/>
      </c>
      <c r="AF5" s="72" t="str">
        <f>IF(ISTEXT(VLOOKUP(CONCATENATE($A5,"_",AF$3),'Unit List'!$A$14:$H$2838,2,FALSE)),"X",$AD5)</f>
        <v/>
      </c>
      <c r="AG5" s="68" t="str">
        <f>IF(ISTEXT(VLOOKUP(CONCATENATE($A5,"_",AG$3),'Unit List'!$A$14:$H$2838,2,FALSE)),"+","")</f>
        <v/>
      </c>
      <c r="AH5" s="66" t="str">
        <f>IF(ISTEXT(VLOOKUP(CONCATENATE($A5,"_",AH$3),'Unit List'!$A$14:$H$2838,2,FALSE)),"X",$AG5)</f>
        <v/>
      </c>
      <c r="AI5" s="66" t="str">
        <f>IF(ISTEXT(VLOOKUP(CONCATENATE($A5,"_",AI$3),'Unit List'!$A$14:$H$2838,2,FALSE)),"X",$AG5)</f>
        <v/>
      </c>
      <c r="AJ5" s="74" t="str">
        <f>IF(ISTEXT(VLOOKUP(CONCATENATE($A5,"_",AJ$3),'Unit List'!$A$14:$H$2838,2,FALSE)),"X",$AG5)</f>
        <v/>
      </c>
      <c r="AK5" s="64" t="str">
        <f>IF(ISTEXT(VLOOKUP(CONCATENATE($A5,"_",AK$3),'Unit List'!$A$14:$H$2838,2,FALSE)),"+","")</f>
        <v/>
      </c>
      <c r="AL5" s="90" t="str">
        <f>IF(ISTEXT(VLOOKUP(CONCATENATE($A5,"_",AL$3),'Unit List'!$A$14:$H$2838,2,FALSE)),"X",$AK5)</f>
        <v/>
      </c>
      <c r="AM5" s="74" t="str">
        <f>IF(ISTEXT(VLOOKUP(CONCATENATE($A5,"_",AM$3),'Unit List'!$A$14:$H$2838,2,FALSE)),"X",$AK5)</f>
        <v/>
      </c>
      <c r="AN5" s="91" t="str">
        <f>IF(ISTEXT(VLOOKUP(CONCATENATE($A5,"_",AN$3),'Unit List'!$A$14:$H$2838,2,FALSE)),"+","")</f>
        <v/>
      </c>
      <c r="AO5" s="74" t="str">
        <f>IF(ISTEXT(VLOOKUP(CONCATENATE($A5,"_",AO$3),'Unit List'!$A$14:$H$2838,2,FALSE)),"X",$AN5)</f>
        <v/>
      </c>
      <c r="AP5" s="68" t="str">
        <f>IF(ISTEXT(VLOOKUP(CONCATENATE($A5,"_",AP$3),'Unit List'!$A$14:$H$2838,2,FALSE)),"+","")</f>
        <v/>
      </c>
      <c r="AQ5" s="87" t="str">
        <f>IF(ISTEXT(VLOOKUP(CONCATENATE($A5,"_",AQ$3),'Unit List'!$A$14:$H$2838,2,FALSE)),"X",$AP5)</f>
        <v/>
      </c>
      <c r="AR5" s="87" t="str">
        <f>IF(ISTEXT(VLOOKUP(CONCATENATE($A5,"_",AR$3),'Unit List'!$A$14:$H$2838,2,FALSE)),"X",$AP5)</f>
        <v/>
      </c>
      <c r="AS5" s="66" t="str">
        <f>IF(ISTEXT(VLOOKUP(CONCATENATE($A5,"_",AS$3),'Unit List'!$A$14:$H$2838,2,FALSE)),"X",$AP5)</f>
        <v/>
      </c>
      <c r="AT5" s="74" t="str">
        <f>IF(ISTEXT(VLOOKUP(CONCATENATE($A5,"_",AT$3),'Unit List'!$A$14:$H$2838,2,FALSE)),"X",$AP5)</f>
        <v/>
      </c>
      <c r="AU5" s="77" t="str">
        <f>IF(ISTEXT(VLOOKUP(CONCATENATE($A5,"_",AU$3),'Unit List'!$A$14:$H$2838,2,FALSE)),"+","")</f>
        <v/>
      </c>
      <c r="AV5" s="66" t="str">
        <f>IF(ISTEXT(VLOOKUP(CONCATENATE($A5,"_",AV$3),'Unit List'!$A$14:$H$2838,2,FALSE)),"X",$AU5)</f>
        <v/>
      </c>
      <c r="AW5" s="74" t="str">
        <f>IF(ISTEXT(VLOOKUP(CONCATENATE($A5,"_",AW$3),'Unit List'!$A$14:$H$2838,2,FALSE)),"X",$AU5)</f>
        <v/>
      </c>
      <c r="AX5" s="68" t="str">
        <f>IF(ISTEXT(VLOOKUP(CONCATENATE($A5,"_",AX$3),'Unit List'!$A$14:$H$2838,2,FALSE)),"+","")</f>
        <v/>
      </c>
      <c r="AY5" s="66" t="str">
        <f>IF(ISTEXT(VLOOKUP(CONCATENATE($A5,"_",AY$3),'Unit List'!$A$14:$H$2838,2,FALSE)),"X",$AX5)</f>
        <v/>
      </c>
      <c r="AZ5" s="71" t="str">
        <f>IF(ISTEXT(VLOOKUP(CONCATENATE($A5,"_",AZ$3),'Unit List'!$A$14:$H$2838,2,FALSE)),"X",$AX5)</f>
        <v/>
      </c>
      <c r="BA5" s="78" t="str">
        <f>IF(ISTEXT(VLOOKUP(CONCATENATE($A5,"_",BA$3),'Unit List'!$A$14:$H$2838,2,FALSE)),"+","")</f>
        <v/>
      </c>
      <c r="BB5" s="66" t="str">
        <f>IF(ISTEXT(VLOOKUP(CONCATENATE($A5,"_",BB$3),'Unit List'!$A$14:$H$2838,2,FALSE)),"X",$BA5)</f>
        <v/>
      </c>
      <c r="BC5" s="66" t="str">
        <f>IF(ISTEXT(VLOOKUP(CONCATENATE($A5,"_",BC$3),'Unit List'!$A$14:$H$2838,2,FALSE)),"X",$BA5)</f>
        <v/>
      </c>
      <c r="BD5" s="74" t="str">
        <f>IF(ISTEXT(VLOOKUP(CONCATENATE($A5,"_",BD$3),'Unit List'!$A$14:$H$2838,2,FALSE)),"X",$BA5)</f>
        <v/>
      </c>
      <c r="BE5" s="91" t="str">
        <f>IF(ISTEXT(VLOOKUP(CONCATENATE($A5,"_",BE$3),'Unit List'!$A$14:$H$2838,2,FALSE)),"+","")</f>
        <v/>
      </c>
      <c r="BF5" s="89" t="str">
        <f>IF(ISTEXT(VLOOKUP(CONCATENATE($A5,"_",BF$3),'Unit List'!$A$14:$H$2838,2,FALSE)),"X",$BE5)</f>
        <v/>
      </c>
      <c r="BG5" s="92"/>
      <c r="BH5" s="93" t="s">
        <v>0</v>
      </c>
      <c r="BI5" s="264"/>
      <c r="BJ5" s="265"/>
      <c r="BK5" s="265"/>
      <c r="BL5" s="288" t="s">
        <v>1748</v>
      </c>
      <c r="BM5" s="289"/>
      <c r="BN5" s="81"/>
      <c r="BO5" s="81"/>
      <c r="BP5" s="81"/>
      <c r="BQ5" s="81"/>
      <c r="BR5" s="81"/>
      <c r="BS5" s="81"/>
      <c r="DZ5" s="82"/>
      <c r="EA5" s="82"/>
    </row>
    <row r="6" spans="1:131" ht="12.75" customHeight="1" x14ac:dyDescent="0.2">
      <c r="A6" s="83" t="s">
        <v>44</v>
      </c>
      <c r="B6" s="59" t="str">
        <f>IF(ISTEXT(VLOOKUP(CONCATENATE($A6,"_",B$3),'Unit List'!$A$14:$H$2838,2,FALSE)),"+","")</f>
        <v/>
      </c>
      <c r="C6" s="94" t="str">
        <f>IF(ISTEXT(VLOOKUP(CONCATENATE($A6,"_",C$3),'Unit List'!$A$14:$H$2838,2,FALSE)),"X",$B6)</f>
        <v/>
      </c>
      <c r="D6" s="95" t="str">
        <f>IF(ISTEXT(VLOOKUP(CONCATENATE($A6,"_",D$3),'Unit List'!$A$14:$H$2838,2,FALSE)),"X",$B6)</f>
        <v>X</v>
      </c>
      <c r="E6" s="66" t="str">
        <f>IF(ISTEXT(VLOOKUP(CONCATENATE($A6,"_",E$3),'Unit List'!$A$14:$H$2838,2,FALSE)),"X",$B6)</f>
        <v/>
      </c>
      <c r="F6" s="96" t="str">
        <f>IF(ISTEXT(VLOOKUP(CONCATENATE($A6,"_",F$3),'Unit List'!$A$14:$H$2838,2,FALSE)),"X",$B6)</f>
        <v>X</v>
      </c>
      <c r="G6" s="96" t="str">
        <f>IF(ISTEXT(VLOOKUP(CONCATENATE($A6,"_",G$3),'Unit List'!$A$14:$H$2838,2,FALSE)),"X",$B6)</f>
        <v>X</v>
      </c>
      <c r="H6" s="96" t="str">
        <f>IF(ISTEXT(VLOOKUP(CONCATENATE($A6,"_",H$3),'Unit List'!$A$14:$H$2838,2,FALSE)),"X",$B6)</f>
        <v>X</v>
      </c>
      <c r="I6" s="88" t="str">
        <f>IF(ISTEXT(VLOOKUP(CONCATENATE($A6,"_",I$3),'Unit List'!$A$14:$H$2838,2,FALSE)),"X",$B6)</f>
        <v/>
      </c>
      <c r="J6" s="64" t="str">
        <f>IF(ISTEXT(VLOOKUP(CONCATENATE($A6,"_",J$3),'Unit List'!$A$14:$H$2838,2,FALSE)),"+","")</f>
        <v>+</v>
      </c>
      <c r="K6" s="95" t="str">
        <f>IF(ISTEXT(VLOOKUP(CONCATENATE($A6,"_",K$3),'Unit List'!$A$14:$H$2838,2,FALSE)),"X",$J6)</f>
        <v>+</v>
      </c>
      <c r="L6" s="144" t="str">
        <f>IF(ISTEXT(VLOOKUP(CONCATENATE($A6,"_",L$3),'Unit List'!$A$14:$H$2838,2,FALSE)),"X",$J6)</f>
        <v>+</v>
      </c>
      <c r="M6" s="64" t="str">
        <f>IF(ISTEXT(VLOOKUP(CONCATENATE($A6,"_",M$3),'Unit List'!$A$14:$H$2838,2,FALSE)),"+","")</f>
        <v>+</v>
      </c>
      <c r="N6" s="106" t="str">
        <f>IF(ISTEXT(VLOOKUP(CONCATENATE($A6,"_",N$3),'Unit List'!$A$14:$H$2838,2,FALSE)),"X",$M6)</f>
        <v>+</v>
      </c>
      <c r="O6" s="241" t="str">
        <f>IF(ISTEXT(VLOOKUP(CONCATENATE($A6,"_",O$3),'Unit List'!$A$14:$H$2838,2,FALSE)),"X",$M6)</f>
        <v>+</v>
      </c>
      <c r="P6" s="101" t="str">
        <f>IF(ISTEXT(VLOOKUP(CONCATENATE($A6,"_",P$3),'Unit List'!$A$14:$H$2838,2,FALSE)),"+","")</f>
        <v>+</v>
      </c>
      <c r="Q6" s="106" t="str">
        <f>IF(ISTEXT(VLOOKUP(CONCATENATE($A6,"_",Q$3),'Unit List'!$A$14:$H$2838,2,FALSE)),"X",$P6)</f>
        <v>+</v>
      </c>
      <c r="R6" s="106" t="str">
        <f>IF(ISTEXT(VLOOKUP(CONCATENATE($A6,"_",R$3),'Unit List'!$A$14:$H$2838,2,FALSE)),"X",$P6)</f>
        <v>+</v>
      </c>
      <c r="S6" s="96" t="str">
        <f>IF(ISTEXT(VLOOKUP(CONCATENATE($A6,"_",S$3),'Unit List'!$A$14:$H$2838,2,FALSE)),"X",$P6)</f>
        <v>X</v>
      </c>
      <c r="T6" s="242" t="str">
        <f>IF(ISTEXT(VLOOKUP(CONCATENATE($A6,"_",T$3),'Unit List'!$A$14:$H$2838,2,FALSE)),"X",$P6)</f>
        <v>+</v>
      </c>
      <c r="U6" s="96" t="str">
        <f>IF(ISTEXT(VLOOKUP(CONCATENATE($A6,"_",U$3),'Unit List'!$A$14:$H$2838,2,FALSE)),"X",$P6)</f>
        <v>X</v>
      </c>
      <c r="V6" s="95" t="str">
        <f>IF(ISTEXT(VLOOKUP(CONCATENATE($A6,"_",V$3),'Unit List'!$A$14:$H$2838,2,FALSE)),"X",$P6)</f>
        <v>X</v>
      </c>
      <c r="W6" s="107" t="str">
        <f>IF(ISTEXT(VLOOKUP(CONCATENATE($A6,"_",W$3),'Unit List'!$A$14:$H$2838,2,FALSE)),"X",$P6)</f>
        <v>+</v>
      </c>
      <c r="X6" s="101" t="str">
        <f>IF(ISTEXT(VLOOKUP(CONCATENATE($A6,"_",X$3),'Unit List'!$A$14:$H$2838,2,FALSE)),"+","")</f>
        <v>+</v>
      </c>
      <c r="Y6" s="96" t="str">
        <f>IF(ISTEXT(VLOOKUP(CONCATENATE($A6,"_",Y$3),'Unit List'!$A$14:$H$2838,2,FALSE)),"X",$X6)</f>
        <v>X</v>
      </c>
      <c r="Z6" s="106" t="str">
        <f>IF(ISTEXT(VLOOKUP(CONCATENATE($A6,"_",Z$3),'Unit List'!$A$14:$H$2838,2,FALSE)),"X",$X6)</f>
        <v>+</v>
      </c>
      <c r="AA6" s="103" t="s">
        <v>0</v>
      </c>
      <c r="AB6" s="96" t="str">
        <f>IF(ISTEXT(VLOOKUP(CONCATENATE($A6,"_",AB$3),'Unit List'!$A$14:$H$2838,2,FALSE)),"X",$X6)</f>
        <v>X</v>
      </c>
      <c r="AC6" s="98" t="str">
        <f>IF(ISTEXT(VLOOKUP(CONCATENATE($A6,"_",AC$3),'Unit List'!$A$14:$H$2838,2,FALSE)),"X",$X6)</f>
        <v>X</v>
      </c>
      <c r="AD6" s="101" t="str">
        <f>IF(ISTEXT(VLOOKUP(CONCATENATE($A6,"_",AD$3),'Unit List'!$A$14:$H$2838,2,FALSE)),"+","")</f>
        <v/>
      </c>
      <c r="AE6" s="62" t="str">
        <f>IF(ISTEXT(VLOOKUP(CONCATENATE($A6,"_",AE$3),'Unit List'!$A$14:$H$2838,2,FALSE)),"X",$AD6)</f>
        <v/>
      </c>
      <c r="AF6" s="72" t="str">
        <f>IF(ISTEXT(VLOOKUP(CONCATENATE($A6,"_",AF$3),'Unit List'!$A$14:$H$2838,2,FALSE)),"X",$AD6)</f>
        <v/>
      </c>
      <c r="AG6" s="101" t="str">
        <f>IF(ISTEXT(VLOOKUP(CONCATENATE($A6,"_",AG$3),'Unit List'!$A$14:$H$2838,2,FALSE)),"+","")</f>
        <v>+</v>
      </c>
      <c r="AH6" s="96" t="str">
        <f>IF(ISTEXT(VLOOKUP(CONCATENATE($A6,"_",AH$3),'Unit List'!$A$14:$H$2838,2,FALSE)),"X",$AG6)</f>
        <v>X</v>
      </c>
      <c r="AI6" s="106" t="str">
        <f>IF(ISTEXT(VLOOKUP(CONCATENATE($A6,"_",AI$3),'Unit List'!$A$14:$H$2838,2,FALSE)),"X",$AG6)</f>
        <v>X</v>
      </c>
      <c r="AJ6" s="243" t="str">
        <f>IF(ISTEXT(VLOOKUP(CONCATENATE($A6,"_",AJ$3),'Unit List'!$A$14:$H$2838,2,FALSE)),"X",$AG6)</f>
        <v>+</v>
      </c>
      <c r="AK6" s="97" t="str">
        <f>IF(ISTEXT(VLOOKUP(CONCATENATE($A6,"_",AK$3),'Unit List'!$A$14:$H$2838,2,FALSE)),"+","")</f>
        <v>+</v>
      </c>
      <c r="AL6" s="242" t="str">
        <f>IF(ISTEXT(VLOOKUP(CONCATENATE($A6,"_",AL$3),'Unit List'!$A$14:$H$2838,2,FALSE)),"X",$AK6)</f>
        <v>+</v>
      </c>
      <c r="AM6" s="243" t="str">
        <f>IF(ISTEXT(VLOOKUP(CONCATENATE($A6,"_",AM$3),'Unit List'!$A$14:$H$2838,2,FALSE)),"X",$AK6)</f>
        <v>+</v>
      </c>
      <c r="AN6" s="91" t="str">
        <f>IF(ISTEXT(VLOOKUP(CONCATENATE($A6,"_",AN$3),'Unit List'!$A$14:$H$2838,2,FALSE)),"+","")</f>
        <v>+</v>
      </c>
      <c r="AO6" s="100" t="str">
        <f>IF(ISTEXT(VLOOKUP(CONCATENATE($A6,"_",AO$3),'Unit List'!$A$14:$H$2838,2,FALSE)),"X",$AN6)</f>
        <v>X</v>
      </c>
      <c r="AP6" s="101" t="str">
        <f>IF(ISTEXT(VLOOKUP(CONCATENATE($A6,"_",AP$3),'Unit List'!$A$14:$H$2838,2,FALSE)),"+","")</f>
        <v>+</v>
      </c>
      <c r="AQ6" s="96" t="str">
        <f>IF(ISTEXT(VLOOKUP(CONCATENATE($A6,"_",AQ$3),'Unit List'!$A$14:$H$2838,2,FALSE)),"X",$AP6)</f>
        <v>X</v>
      </c>
      <c r="AR6" s="96" t="str">
        <f>IF(ISTEXT(VLOOKUP(CONCATENATE($A6,"_",AR$3),'Unit List'!$A$14:$H$2838,2,FALSE)),"X",$AP6)</f>
        <v>X</v>
      </c>
      <c r="AS6" s="96" t="str">
        <f>IF(ISTEXT(VLOOKUP(CONCATENATE($A6,"_",AS$3),'Unit List'!$A$14:$H$2838,2,FALSE)),"X",$AP6)</f>
        <v>X</v>
      </c>
      <c r="AT6" s="104" t="str">
        <f>IF(ISTEXT(VLOOKUP(CONCATENATE($A6,"_",AT$3),'Unit List'!$A$14:$H$2838,2,FALSE)),"X",$AP6)</f>
        <v>X</v>
      </c>
      <c r="AU6" s="105" t="str">
        <f>IF(ISTEXT(VLOOKUP(CONCATENATE($A6,"_",AU$3),'Unit List'!$A$14:$H$2838,2,FALSE)),"+","")</f>
        <v>+</v>
      </c>
      <c r="AV6" s="106" t="str">
        <f>IF(ISTEXT(VLOOKUP(CONCATENATE($A6,"_",AV$3),'Unit List'!$A$14:$H$2838,2,FALSE)),"X",$AU6)</f>
        <v>+</v>
      </c>
      <c r="AW6" s="107" t="str">
        <f>IF(ISTEXT(VLOOKUP(CONCATENATE($A6,"_",AW$3),'Unit List'!$A$14:$H$2838,2,FALSE)),"X",$AU6)</f>
        <v>+</v>
      </c>
      <c r="AX6" s="101" t="str">
        <f>IF(ISTEXT(VLOOKUP(CONCATENATE($A6,"_",AX$3),'Unit List'!$A$14:$H$2838,2,FALSE)),"+","")</f>
        <v>+</v>
      </c>
      <c r="AY6" s="95" t="str">
        <f>IF(ISTEXT(VLOOKUP(CONCATENATE($A6,"_",AY$3),'Unit List'!$A$14:$H$2838,2,FALSE)),"X",$AX6)</f>
        <v>+</v>
      </c>
      <c r="AZ6" s="241" t="str">
        <f>IF(ISTEXT(VLOOKUP(CONCATENATE($A6,"_",AZ$3),'Unit List'!$A$14:$H$2838,2,FALSE)),"X",$AX6)</f>
        <v>+</v>
      </c>
      <c r="BA6" s="108" t="str">
        <f>IF(ISTEXT(VLOOKUP(CONCATENATE($A6,"_",BA$3),'Unit List'!$A$14:$H$2838,2,FALSE)),"+","")</f>
        <v>+</v>
      </c>
      <c r="BB6" s="96" t="str">
        <f>IF(ISTEXT(VLOOKUP(CONCATENATE($A6,"_",BB$3),'Unit List'!$A$14:$H$2838,2,FALSE)),"X",$BA6)</f>
        <v>X</v>
      </c>
      <c r="BC6" s="103" t="s">
        <v>0</v>
      </c>
      <c r="BD6" s="109" t="s">
        <v>0</v>
      </c>
      <c r="BE6" s="91" t="str">
        <f>IF(ISTEXT(VLOOKUP(CONCATENATE($A6,"_",BE$3),'Unit List'!$A$14:$H$2838,2,FALSE)),"+","")</f>
        <v>+</v>
      </c>
      <c r="BF6" s="110" t="str">
        <f>IF(ISTEXT(VLOOKUP(CONCATENATE($A6,"_",BF$3),'Unit List'!$A$14:$H$2838,2,FALSE)),"X",$BE6)</f>
        <v>+</v>
      </c>
      <c r="BG6" s="111"/>
      <c r="BH6" s="112" t="s">
        <v>0</v>
      </c>
      <c r="BI6" s="261" t="s">
        <v>12</v>
      </c>
      <c r="BJ6" s="262"/>
      <c r="BK6" s="262"/>
      <c r="BL6" s="113"/>
      <c r="BM6" s="114" t="s">
        <v>45</v>
      </c>
      <c r="BN6" s="81"/>
      <c r="BO6" s="81"/>
      <c r="BP6" s="81"/>
      <c r="BQ6" s="81"/>
      <c r="BR6" s="81"/>
      <c r="BS6" s="81"/>
      <c r="DZ6" s="82"/>
      <c r="EA6" s="82"/>
    </row>
    <row r="7" spans="1:131" ht="12.75" customHeight="1" x14ac:dyDescent="0.2">
      <c r="A7" s="83" t="s">
        <v>43</v>
      </c>
      <c r="B7" s="59" t="str">
        <f>IF(ISTEXT(VLOOKUP(CONCATENATE($A7,"_",B$3),'Unit List'!$A$14:$H$2838,2,FALSE)),"+","")</f>
        <v/>
      </c>
      <c r="C7" s="84" t="str">
        <f>IF(ISTEXT(VLOOKUP(CONCATENATE($A7,"_",C$3),'Unit List'!$A$14:$H$2838,2,FALSE)),"X",$B7)</f>
        <v/>
      </c>
      <c r="D7" s="66" t="str">
        <f>IF(ISTEXT(VLOOKUP(CONCATENATE($A7,"_",D$3),'Unit List'!$A$14:$H$2838,2,FALSE)),"X",$B7)</f>
        <v/>
      </c>
      <c r="E7" s="66" t="str">
        <f>IF(ISTEXT(VLOOKUP(CONCATENATE($A7,"_",E$3),'Unit List'!$A$14:$H$2838,2,FALSE)),"X",$B7)</f>
        <v/>
      </c>
      <c r="F7" s="66" t="str">
        <f>IF(ISTEXT(VLOOKUP(CONCATENATE($A7,"_",F$3),'Unit List'!$A$14:$H$2838,2,FALSE)),"X",$B7)</f>
        <v/>
      </c>
      <c r="G7" s="66" t="str">
        <f>IF(ISTEXT(VLOOKUP(CONCATENATE($A7,"_",G$3),'Unit List'!$A$14:$H$2838,2,FALSE)),"X",$B7)</f>
        <v>X</v>
      </c>
      <c r="H7" s="66" t="str">
        <f>IF(ISTEXT(VLOOKUP(CONCATENATE($A7,"_",H$3),'Unit List'!$A$14:$H$2838,2,FALSE)),"X",$B7)</f>
        <v/>
      </c>
      <c r="I7" s="74" t="str">
        <f>IF(ISTEXT(VLOOKUP(CONCATENATE($A7,"_",I$3),'Unit List'!$A$14:$H$2838,2,FALSE)),"X",$B7)</f>
        <v/>
      </c>
      <c r="J7" s="64" t="str">
        <f>IF(ISTEXT(VLOOKUP(CONCATENATE($A7,"_",J$3),'Unit List'!$A$14:$H$2838,2,FALSE)),"+","")</f>
        <v/>
      </c>
      <c r="K7" s="66" t="str">
        <f>IF(ISTEXT(VLOOKUP(CONCATENATE($A7,"_",K$3),'Unit List'!$A$14:$H$2838,2,FALSE)),"X",$J7)</f>
        <v/>
      </c>
      <c r="L7" s="89" t="str">
        <f>IF(ISTEXT(VLOOKUP(CONCATENATE($A7,"_",L$3),'Unit List'!$A$14:$H$2838,2,FALSE)),"X",$J7)</f>
        <v/>
      </c>
      <c r="M7" s="64" t="str">
        <f>IF(ISTEXT(VLOOKUP(CONCATENATE($A7,"_",M$3),'Unit List'!$A$14:$H$2838,2,FALSE)),"+","")</f>
        <v>+</v>
      </c>
      <c r="N7" s="133" t="str">
        <f>IF(ISTEXT(VLOOKUP(CONCATENATE($A7,"_",N$3),'Unit List'!$A$14:$H$2838,2,FALSE)),"X",$M7)</f>
        <v>+</v>
      </c>
      <c r="O7" s="115" t="str">
        <f>IF(ISTEXT(VLOOKUP(CONCATENATE($A7,"_",O$3),'Unit List'!$A$14:$H$2838,2,FALSE)),"X",$M7)</f>
        <v>+</v>
      </c>
      <c r="P7" s="101" t="str">
        <f>IF(ISTEXT(VLOOKUP(CONCATENATE($A7,"_",P$3),'Unit List'!$A$14:$H$2838,2,FALSE)),"+","")</f>
        <v/>
      </c>
      <c r="Q7" s="66" t="str">
        <f>IF(ISTEXT(VLOOKUP(CONCATENATE($A7,"_",Q$3),'Unit List'!$A$14:$H$2838,2,FALSE)),"X",$P7)</f>
        <v/>
      </c>
      <c r="R7" s="66" t="str">
        <f>IF(ISTEXT(VLOOKUP(CONCATENATE($A7,"_",R$3),'Unit List'!$A$14:$H$2838,2,FALSE)),"X",$P7)</f>
        <v/>
      </c>
      <c r="S7" s="66" t="str">
        <f>IF(ISTEXT(VLOOKUP(CONCATENATE($A7,"_",S$3),'Unit List'!$A$14:$H$2838,2,FALSE)),"X",$P7)</f>
        <v/>
      </c>
      <c r="T7" s="69" t="str">
        <f>IF(ISTEXT(VLOOKUP(CONCATENATE($A7,"_",T$3),'Unit List'!$A$14:$H$2838,2,FALSE)),"X",$P7)</f>
        <v/>
      </c>
      <c r="U7" s="66" t="str">
        <f>IF(ISTEXT(VLOOKUP(CONCATENATE($A7,"_",U$3),'Unit List'!$A$14:$H$2838,2,FALSE)),"X",$P7)</f>
        <v/>
      </c>
      <c r="V7" s="66" t="str">
        <f>IF(ISTEXT(VLOOKUP(CONCATENATE($A7,"_",V$3),'Unit List'!$A$14:$H$2838,2,FALSE)),"X",$P7)</f>
        <v/>
      </c>
      <c r="W7" s="71" t="str">
        <f>IF(ISTEXT(VLOOKUP(CONCATENATE($A7,"_",W$3),'Unit List'!$A$14:$H$2838,2,FALSE)),"X",$P7)</f>
        <v/>
      </c>
      <c r="X7" s="68" t="str">
        <f>IF(ISTEXT(VLOOKUP(CONCATENATE($A7,"_",X$3),'Unit List'!$A$14:$H$2838,2,FALSE)),"+","")</f>
        <v/>
      </c>
      <c r="Y7" s="66" t="str">
        <f>IF(ISTEXT(VLOOKUP(CONCATENATE($A7,"_",Y$3),'Unit List'!$A$14:$H$2838,2,FALSE)),"X",$X7)</f>
        <v/>
      </c>
      <c r="Z7" s="66" t="str">
        <f>IF(ISTEXT(VLOOKUP(CONCATENATE($A7,"_",Z$3),'Unit List'!$A$14:$H$2838,2,FALSE)),"X",$X7)</f>
        <v/>
      </c>
      <c r="AA7" s="66" t="str">
        <f>IF(ISTEXT(VLOOKUP(CONCATENATE($A7,"_",AA$3),'Unit List'!$A$14:$H$2838,2,FALSE)),"X",$X7)</f>
        <v/>
      </c>
      <c r="AB7" s="66" t="str">
        <f>IF(ISTEXT(VLOOKUP(CONCATENATE($A7,"_",AB$3),'Unit List'!$A$14:$H$2838,2,FALSE)),"X",$X7)</f>
        <v/>
      </c>
      <c r="AC7" s="89" t="str">
        <f>IF(ISTEXT(VLOOKUP(CONCATENATE($A7,"_",AC$3),'Unit List'!$A$14:$H$2838,2,FALSE)),"X",$X7)</f>
        <v/>
      </c>
      <c r="AD7" s="68" t="str">
        <f>IF(ISTEXT(VLOOKUP(CONCATENATE($A7,"_",AD$3),'Unit List'!$A$14:$H$2838,2,FALSE)),"+","")</f>
        <v/>
      </c>
      <c r="AE7" s="62" t="str">
        <f>IF(ISTEXT(VLOOKUP(CONCATENATE($A7,"_",AE$3),'Unit List'!$A$14:$H$2838,2,FALSE)),"X",$AD7)</f>
        <v/>
      </c>
      <c r="AF7" s="72" t="str">
        <f>IF(ISTEXT(VLOOKUP(CONCATENATE($A7,"_",AF$3),'Unit List'!$A$14:$H$2838,2,FALSE)),"X",$AD7)</f>
        <v/>
      </c>
      <c r="AG7" s="68" t="str">
        <f>IF(ISTEXT(VLOOKUP(CONCATENATE($A7,"_",AG$3),'Unit List'!$A$14:$H$2838,2,FALSE)),"+","")</f>
        <v/>
      </c>
      <c r="AH7" s="66" t="str">
        <f>IF(ISTEXT(VLOOKUP(CONCATENATE($A7,"_",AH$3),'Unit List'!$A$14:$H$2838,2,FALSE)),"X",$AG7)</f>
        <v/>
      </c>
      <c r="AI7" s="66" t="str">
        <f>IF(ISTEXT(VLOOKUP(CONCATENATE($A7,"_",AI$3),'Unit List'!$A$14:$H$2838,2,FALSE)),"X",$AG7)</f>
        <v/>
      </c>
      <c r="AJ7" s="74" t="str">
        <f>IF(ISTEXT(VLOOKUP(CONCATENATE($A7,"_",AJ$3),'Unit List'!$A$14:$H$2838,2,FALSE)),"X",$AG7)</f>
        <v/>
      </c>
      <c r="AK7" s="64" t="str">
        <f>IF(ISTEXT(VLOOKUP(CONCATENATE($A7,"_",AK$3),'Unit List'!$A$14:$H$2838,2,FALSE)),"+","")</f>
        <v/>
      </c>
      <c r="AL7" s="69" t="str">
        <f>IF(ISTEXT(VLOOKUP(CONCATENATE($A7,"_",AL$3),'Unit List'!$A$14:$H$2838,2,FALSE)),"X",$AK7)</f>
        <v/>
      </c>
      <c r="AM7" s="74" t="str">
        <f>IF(ISTEXT(VLOOKUP(CONCATENATE($A7,"_",AM$3),'Unit List'!$A$14:$H$2838,2,FALSE)),"X",$AK7)</f>
        <v/>
      </c>
      <c r="AN7" s="91" t="str">
        <f>IF(ISTEXT(VLOOKUP(CONCATENATE($A7,"_",AN$3),'Unit List'!$A$14:$H$2838,2,FALSE)),"+","")</f>
        <v/>
      </c>
      <c r="AO7" s="74" t="str">
        <f>IF(ISTEXT(VLOOKUP(CONCATENATE($A7,"_",AO$3),'Unit List'!$A$14:$H$2838,2,FALSE)),"X",$AN7)</f>
        <v/>
      </c>
      <c r="AP7" s="68" t="str">
        <f>IF(ISTEXT(VLOOKUP(CONCATENATE($A7,"_",AP$3),'Unit List'!$A$14:$H$2838,2,FALSE)),"+","")</f>
        <v/>
      </c>
      <c r="AQ7" s="66" t="str">
        <f>IF(ISTEXT(VLOOKUP(CONCATENATE($A7,"_",AQ$3),'Unit List'!$A$14:$H$2838,2,FALSE)),"X",$AP7)</f>
        <v/>
      </c>
      <c r="AR7" s="66" t="str">
        <f>IF(ISTEXT(VLOOKUP(CONCATENATE($A7,"_",AR$3),'Unit List'!$A$14:$H$2838,2,FALSE)),"X",$AP7)</f>
        <v/>
      </c>
      <c r="AS7" s="66" t="str">
        <f>IF(ISTEXT(VLOOKUP(CONCATENATE($A7,"_",AS$3),'Unit List'!$A$14:$H$2838,2,FALSE)),"X",$AP7)</f>
        <v/>
      </c>
      <c r="AT7" s="74" t="str">
        <f>IF(ISTEXT(VLOOKUP(CONCATENATE($A7,"_",AT$3),'Unit List'!$A$14:$H$2838,2,FALSE)),"X",$AP7)</f>
        <v/>
      </c>
      <c r="AU7" s="77" t="str">
        <f>IF(ISTEXT(VLOOKUP(CONCATENATE($A7,"_",AU$3),'Unit List'!$A$14:$H$2838,2,FALSE)),"+","")</f>
        <v/>
      </c>
      <c r="AV7" s="66" t="str">
        <f>IF(ISTEXT(VLOOKUP(CONCATENATE($A7,"_",AV$3),'Unit List'!$A$14:$H$2838,2,FALSE)),"X",$AU7)</f>
        <v/>
      </c>
      <c r="AW7" s="74" t="str">
        <f>IF(ISTEXT(VLOOKUP(CONCATENATE($A7,"_",AW$3),'Unit List'!$A$14:$H$2838,2,FALSE)),"X",$AU7)</f>
        <v/>
      </c>
      <c r="AX7" s="68" t="str">
        <f>IF(ISTEXT(VLOOKUP(CONCATENATE($A7,"_",AX$3),'Unit List'!$A$14:$H$2838,2,FALSE)),"+","")</f>
        <v/>
      </c>
      <c r="AY7" s="66" t="str">
        <f>IF(ISTEXT(VLOOKUP(CONCATENATE($A7,"_",AY$3),'Unit List'!$A$14:$H$2838,2,FALSE)),"X",$AX7)</f>
        <v/>
      </c>
      <c r="AZ7" s="71" t="str">
        <f>IF(ISTEXT(VLOOKUP(CONCATENATE($A7,"_",AZ$3),'Unit List'!$A$14:$H$2838,2,FALSE)),"X",$AX7)</f>
        <v/>
      </c>
      <c r="BA7" s="78" t="str">
        <f>IF(ISTEXT(VLOOKUP(CONCATENATE($A7,"_",BA$3),'Unit List'!$A$14:$H$2838,2,FALSE)),"+","")</f>
        <v/>
      </c>
      <c r="BB7" s="66" t="str">
        <f>IF(ISTEXT(VLOOKUP(CONCATENATE($A7,"_",BB$3),'Unit List'!$A$14:$H$2838,2,FALSE)),"X",$BA7)</f>
        <v/>
      </c>
      <c r="BC7" s="66" t="str">
        <f>IF(ISTEXT(VLOOKUP(CONCATENATE($A7,"_",BC$3),'Unit List'!$A$14:$H$2838,2,FALSE)),"X",$BA7)</f>
        <v/>
      </c>
      <c r="BD7" s="74" t="str">
        <f>IF(ISTEXT(VLOOKUP(CONCATENATE($A7,"_",BD$3),'Unit List'!$A$14:$H$2838,2,FALSE)),"X",$BA7)</f>
        <v/>
      </c>
      <c r="BE7" s="91" t="str">
        <f>IF(ISTEXT(VLOOKUP(CONCATENATE($A7,"_",BE$3),'Unit List'!$A$14:$H$2838,2,FALSE)),"+","")</f>
        <v/>
      </c>
      <c r="BF7" s="89" t="str">
        <f>IF(ISTEXT(VLOOKUP(CONCATENATE($A7,"_",BF$3),'Unit List'!$A$14:$H$2838,2,FALSE)),"X",$BE7)</f>
        <v/>
      </c>
      <c r="BG7" s="92"/>
      <c r="BH7" s="93" t="s">
        <v>0</v>
      </c>
      <c r="BI7" s="264"/>
      <c r="BJ7" s="265"/>
      <c r="BK7" s="265"/>
      <c r="BL7" s="116"/>
      <c r="BM7" s="114" t="s">
        <v>1746</v>
      </c>
      <c r="BN7" s="81"/>
      <c r="BO7" s="81"/>
      <c r="BP7" s="81"/>
      <c r="BQ7" s="81"/>
      <c r="BR7" s="81"/>
      <c r="BS7" s="81"/>
      <c r="DZ7" s="82"/>
      <c r="EA7" s="82"/>
    </row>
    <row r="8" spans="1:131" ht="12.75" customHeight="1" x14ac:dyDescent="0.2">
      <c r="A8" s="83" t="s">
        <v>1105</v>
      </c>
      <c r="B8" s="59" t="str">
        <f>IF(ISTEXT(VLOOKUP(CONCATENATE($A8,"_",B$3),'Unit List'!$A$14:$H$2838,2,FALSE)),"+","")</f>
        <v/>
      </c>
      <c r="C8" s="84" t="str">
        <f>IF(ISTEXT(VLOOKUP(CONCATENATE($A8,"_",C$3),'Unit List'!$A$14:$H$2838,2,FALSE)),"X",$B8)</f>
        <v/>
      </c>
      <c r="D8" s="66" t="str">
        <f>IF(ISTEXT(VLOOKUP(CONCATENATE($A8,"_",D$3),'Unit List'!$A$14:$H$2838,2,FALSE)),"X",$B8)</f>
        <v/>
      </c>
      <c r="E8" s="66" t="str">
        <f>IF(ISTEXT(VLOOKUP(CONCATENATE($A8,"_",E$3),'Unit List'!$A$14:$H$2838,2,FALSE)),"X",$B8)</f>
        <v/>
      </c>
      <c r="F8" s="66" t="str">
        <f>IF(ISTEXT(VLOOKUP(CONCATENATE($A8,"_",F$3),'Unit List'!$A$14:$H$2838,2,FALSE)),"X",$B8)</f>
        <v/>
      </c>
      <c r="G8" s="66" t="str">
        <f>IF(ISTEXT(VLOOKUP(CONCATENATE($A8,"_",G$3),'Unit List'!$A$14:$H$2838,2,FALSE)),"X",$B8)</f>
        <v/>
      </c>
      <c r="H8" s="66" t="str">
        <f>IF(ISTEXT(VLOOKUP(CONCATENATE($A8,"_",H$3),'Unit List'!$A$14:$H$2838,2,FALSE)),"X",$B8)</f>
        <v/>
      </c>
      <c r="I8" s="74" t="str">
        <f>IF(ISTEXT(VLOOKUP(CONCATENATE($A8,"_",I$3),'Unit List'!$A$14:$H$2838,2,FALSE)),"X",$B8)</f>
        <v/>
      </c>
      <c r="J8" s="64" t="str">
        <f>IF(ISTEXT(VLOOKUP(CONCATENATE($A8,"_",J$3),'Unit List'!$A$14:$H$2838,2,FALSE)),"+","")</f>
        <v/>
      </c>
      <c r="K8" s="66" t="str">
        <f>IF(ISTEXT(VLOOKUP(CONCATENATE($A8,"_",K$3),'Unit List'!$A$14:$H$2838,2,FALSE)),"X",$J8)</f>
        <v/>
      </c>
      <c r="L8" s="89" t="str">
        <f>IF(ISTEXT(VLOOKUP(CONCATENATE($A8,"_",L$3),'Unit List'!$A$14:$H$2838,2,FALSE)),"X",$J8)</f>
        <v/>
      </c>
      <c r="M8" s="64" t="str">
        <f>IF(ISTEXT(VLOOKUP(CONCATENATE($A8,"_",M$3),'Unit List'!$A$14:$H$2838,2,FALSE)),"+","")</f>
        <v/>
      </c>
      <c r="N8" s="66" t="str">
        <f>IF(ISTEXT(VLOOKUP(CONCATENATE($A8,"_",N$3),'Unit List'!$A$14:$H$2838,2,FALSE)),"X",$M8)</f>
        <v/>
      </c>
      <c r="O8" s="74" t="str">
        <f>IF(ISTEXT(VLOOKUP(CONCATENATE($A8,"_",O$3),'Unit List'!$A$14:$H$2838,2,FALSE)),"X",$M8)</f>
        <v/>
      </c>
      <c r="P8" s="68" t="str">
        <f>IF(ISTEXT(VLOOKUP(CONCATENATE($A8,"_",P$3),'Unit List'!$A$14:$H$2838,2,FALSE)),"+","")</f>
        <v/>
      </c>
      <c r="Q8" s="66" t="str">
        <f>IF(ISTEXT(VLOOKUP(CONCATENATE($A8,"_",Q$3),'Unit List'!$A$14:$H$2838,2,FALSE)),"X",$P8)</f>
        <v/>
      </c>
      <c r="R8" s="66" t="str">
        <f>IF(ISTEXT(VLOOKUP(CONCATENATE($A8,"_",R$3),'Unit List'!$A$14:$H$2838,2,FALSE)),"X",$P8)</f>
        <v/>
      </c>
      <c r="S8" s="66" t="str">
        <f>IF(ISTEXT(VLOOKUP(CONCATENATE($A8,"_",S$3),'Unit List'!$A$14:$H$2838,2,FALSE)),"X",$P8)</f>
        <v/>
      </c>
      <c r="T8" s="69" t="str">
        <f>IF(ISTEXT(VLOOKUP(CONCATENATE($A8,"_",T$3),'Unit List'!$A$14:$H$2838,2,FALSE)),"X",$P8)</f>
        <v/>
      </c>
      <c r="U8" s="66" t="str">
        <f>IF(ISTEXT(VLOOKUP(CONCATENATE($A8,"_",U$3),'Unit List'!$A$14:$H$2838,2,FALSE)),"X",$P8)</f>
        <v/>
      </c>
      <c r="V8" s="66" t="str">
        <f>IF(ISTEXT(VLOOKUP(CONCATENATE($A8,"_",V$3),'Unit List'!$A$14:$H$2838,2,FALSE)),"X",$P8)</f>
        <v/>
      </c>
      <c r="W8" s="71" t="str">
        <f>IF(ISTEXT(VLOOKUP(CONCATENATE($A8,"_",W$3),'Unit List'!$A$14:$H$2838,2,FALSE)),"X",$P8)</f>
        <v/>
      </c>
      <c r="X8" s="68" t="str">
        <f>IF(ISTEXT(VLOOKUP(CONCATENATE($A8,"_",X$3),'Unit List'!$A$14:$H$2838,2,FALSE)),"+","")</f>
        <v/>
      </c>
      <c r="Y8" s="66" t="str">
        <f>IF(ISTEXT(VLOOKUP(CONCATENATE($A8,"_",Y$3),'Unit List'!$A$14:$H$2838,2,FALSE)),"X",$X8)</f>
        <v/>
      </c>
      <c r="Z8" s="66" t="str">
        <f>IF(ISTEXT(VLOOKUP(CONCATENATE($A8,"_",Z$3),'Unit List'!$A$14:$H$2838,2,FALSE)),"X",$X8)</f>
        <v/>
      </c>
      <c r="AA8" s="66" t="str">
        <f>IF(ISTEXT(VLOOKUP(CONCATENATE($A8,"_",AA$3),'Unit List'!$A$14:$H$2838,2,FALSE)),"X",$X8)</f>
        <v/>
      </c>
      <c r="AB8" s="66" t="str">
        <f>IF(ISTEXT(VLOOKUP(CONCATENATE($A8,"_",AB$3),'Unit List'!$A$14:$H$2838,2,FALSE)),"X",$X8)</f>
        <v/>
      </c>
      <c r="AC8" s="89" t="str">
        <f>IF(ISTEXT(VLOOKUP(CONCATENATE($A8,"_",AC$3),'Unit List'!$A$14:$H$2838,2,FALSE)),"X",$X8)</f>
        <v/>
      </c>
      <c r="AD8" s="68" t="str">
        <f>IF(ISTEXT(VLOOKUP(CONCATENATE($A8,"_",AD$3),'Unit List'!$A$14:$H$2838,2,FALSE)),"+","")</f>
        <v/>
      </c>
      <c r="AE8" s="62" t="str">
        <f>IF(ISTEXT(VLOOKUP(CONCATENATE($A8,"_",AE$3),'Unit List'!$A$14:$H$2838,2,FALSE)),"X",$AD8)</f>
        <v/>
      </c>
      <c r="AF8" s="72" t="str">
        <f>IF(ISTEXT(VLOOKUP(CONCATENATE($A8,"_",AF$3),'Unit List'!$A$14:$H$2838,2,FALSE)),"X",$AD8)</f>
        <v/>
      </c>
      <c r="AG8" s="68" t="str">
        <f>IF(ISTEXT(VLOOKUP(CONCATENATE($A8,"_",AG$3),'Unit List'!$A$14:$H$2838,2,FALSE)),"+","")</f>
        <v/>
      </c>
      <c r="AH8" s="66" t="str">
        <f>IF(ISTEXT(VLOOKUP(CONCATENATE($A8,"_",AH$3),'Unit List'!$A$14:$H$2838,2,FALSE)),"X",$AG8)</f>
        <v/>
      </c>
      <c r="AI8" s="66" t="str">
        <f>IF(ISTEXT(VLOOKUP(CONCATENATE($A8,"_",AI$3),'Unit List'!$A$14:$H$2838,2,FALSE)),"X",$AG8)</f>
        <v/>
      </c>
      <c r="AJ8" s="74" t="str">
        <f>IF(ISTEXT(VLOOKUP(CONCATENATE($A8,"_",AJ$3),'Unit List'!$A$14:$H$2838,2,FALSE)),"X",$AG8)</f>
        <v/>
      </c>
      <c r="AK8" s="64" t="str">
        <f>IF(ISTEXT(VLOOKUP(CONCATENATE($A8,"_",AK$3),'Unit List'!$A$14:$H$2838,2,FALSE)),"+","")</f>
        <v/>
      </c>
      <c r="AL8" s="69" t="str">
        <f>IF(ISTEXT(VLOOKUP(CONCATENATE($A8,"_",AL$3),'Unit List'!$A$14:$H$2838,2,FALSE)),"X",$AK8)</f>
        <v/>
      </c>
      <c r="AM8" s="74" t="str">
        <f>IF(ISTEXT(VLOOKUP(CONCATENATE($A8,"_",AM$3),'Unit List'!$A$14:$H$2838,2,FALSE)),"X",$AK8)</f>
        <v/>
      </c>
      <c r="AN8" s="91" t="str">
        <f>IF(ISTEXT(VLOOKUP(CONCATENATE($A8,"_",AN$3),'Unit List'!$A$14:$H$2838,2,FALSE)),"+","")</f>
        <v/>
      </c>
      <c r="AO8" s="74" t="str">
        <f>IF(ISTEXT(VLOOKUP(CONCATENATE($A8,"_",AO$3),'Unit List'!$A$14:$H$2838,2,FALSE)),"X",$AN8)</f>
        <v/>
      </c>
      <c r="AP8" s="68" t="str">
        <f>IF(ISTEXT(VLOOKUP(CONCATENATE($A8,"_",AP$3),'Unit List'!$A$14:$H$2838,2,FALSE)),"+","")</f>
        <v/>
      </c>
      <c r="AQ8" s="66" t="str">
        <f>IF(ISTEXT(VLOOKUP(CONCATENATE($A8,"_",AQ$3),'Unit List'!$A$14:$H$2838,2,FALSE)),"X",$AP8)</f>
        <v/>
      </c>
      <c r="AR8" s="66" t="str">
        <f>IF(ISTEXT(VLOOKUP(CONCATENATE($A8,"_",AR$3),'Unit List'!$A$14:$H$2838,2,FALSE)),"X",$AP8)</f>
        <v/>
      </c>
      <c r="AS8" s="66" t="str">
        <f>IF(ISTEXT(VLOOKUP(CONCATENATE($A8,"_",AS$3),'Unit List'!$A$14:$H$2838,2,FALSE)),"X",$AP8)</f>
        <v/>
      </c>
      <c r="AT8" s="74" t="str">
        <f>IF(ISTEXT(VLOOKUP(CONCATENATE($A8,"_",AT$3),'Unit List'!$A$14:$H$2838,2,FALSE)),"X",$AP8)</f>
        <v/>
      </c>
      <c r="AU8" s="77" t="str">
        <f>IF(ISTEXT(VLOOKUP(CONCATENATE($A8,"_",AU$3),'Unit List'!$A$14:$H$2838,2,FALSE)),"+","")</f>
        <v/>
      </c>
      <c r="AV8" s="66" t="str">
        <f>IF(ISTEXT(VLOOKUP(CONCATENATE($A8,"_",AV$3),'Unit List'!$A$14:$H$2838,2,FALSE)),"X",$AU8)</f>
        <v/>
      </c>
      <c r="AW8" s="74" t="str">
        <f>IF(ISTEXT(VLOOKUP(CONCATENATE($A8,"_",AW$3),'Unit List'!$A$14:$H$2838,2,FALSE)),"X",$AU8)</f>
        <v/>
      </c>
      <c r="AX8" s="68" t="str">
        <f>IF(ISTEXT(VLOOKUP(CONCATENATE($A8,"_",AX$3),'Unit List'!$A$14:$H$2838,2,FALSE)),"+","")</f>
        <v/>
      </c>
      <c r="AY8" s="66" t="str">
        <f>IF(ISTEXT(VLOOKUP(CONCATENATE($A8,"_",AY$3),'Unit List'!$A$14:$H$2838,2,FALSE)),"X",$AX8)</f>
        <v/>
      </c>
      <c r="AZ8" s="71" t="str">
        <f>IF(ISTEXT(VLOOKUP(CONCATENATE($A8,"_",AZ$3),'Unit List'!$A$14:$H$2838,2,FALSE)),"X",$AX8)</f>
        <v/>
      </c>
      <c r="BA8" s="78" t="str">
        <f>IF(ISTEXT(VLOOKUP(CONCATENATE($A8,"_",BA$3),'Unit List'!$A$14:$H$2838,2,FALSE)),"+","")</f>
        <v/>
      </c>
      <c r="BB8" s="66" t="str">
        <f>IF(ISTEXT(VLOOKUP(CONCATENATE($A8,"_",BB$3),'Unit List'!$A$14:$H$2838,2,FALSE)),"X",$BA8)</f>
        <v/>
      </c>
      <c r="BC8" s="66" t="str">
        <f>IF(ISTEXT(VLOOKUP(CONCATENATE($A8,"_",BC$3),'Unit List'!$A$14:$H$2838,2,FALSE)),"X",$BA8)</f>
        <v/>
      </c>
      <c r="BD8" s="74" t="str">
        <f>IF(ISTEXT(VLOOKUP(CONCATENATE($A8,"_",BD$3),'Unit List'!$A$14:$H$2838,2,FALSE)),"X",$BA8)</f>
        <v/>
      </c>
      <c r="BE8" s="91" t="str">
        <f>IF(ISTEXT(VLOOKUP(CONCATENATE($A8,"_",BE$3),'Unit List'!$A$14:$H$2838,2,FALSE)),"+","")</f>
        <v/>
      </c>
      <c r="BF8" s="89" t="str">
        <f>IF(ISTEXT(VLOOKUP(CONCATENATE($A8,"_",BF$3),'Unit List'!$A$14:$H$2838,2,FALSE)),"X",$BE8)</f>
        <v/>
      </c>
      <c r="BG8" s="92" t="s">
        <v>0</v>
      </c>
      <c r="BH8" s="93" t="s">
        <v>0</v>
      </c>
      <c r="BI8" s="286"/>
      <c r="BJ8" s="287"/>
      <c r="BK8" s="287"/>
      <c r="BL8" s="117"/>
      <c r="BM8" s="118" t="s">
        <v>42</v>
      </c>
      <c r="BN8" s="81"/>
      <c r="BO8" s="81"/>
      <c r="BP8" s="81"/>
      <c r="BQ8" s="81"/>
      <c r="BR8" s="81"/>
      <c r="BS8" s="81"/>
      <c r="DZ8" s="82"/>
      <c r="EA8" s="82"/>
    </row>
    <row r="9" spans="1:131" ht="12.75" customHeight="1" x14ac:dyDescent="0.2">
      <c r="A9" s="83" t="s">
        <v>41</v>
      </c>
      <c r="B9" s="59" t="str">
        <f>IF(ISTEXT(VLOOKUP(CONCATENATE($A9,"_",B$3),'Unit List'!$A$14:$H$2838,2,FALSE)),"+","")</f>
        <v/>
      </c>
      <c r="C9" s="119" t="str">
        <f>IF(ISTEXT(VLOOKUP(CONCATENATE($A9,"_",C$3),'Unit List'!$A$14:$H$2838,2,FALSE)),"X",$B9)</f>
        <v>X</v>
      </c>
      <c r="D9" s="66" t="str">
        <f>IF(ISTEXT(VLOOKUP(CONCATENATE($A9,"_",D$3),'Unit List'!$A$14:$H$2838,2,FALSE)),"X",$B9)</f>
        <v/>
      </c>
      <c r="E9" s="133" t="str">
        <f>IF(ISTEXT(VLOOKUP(CONCATENATE($A9,"_",E$3),'Unit List'!$A$14:$H$2838,2,FALSE)),"X",$B9)</f>
        <v>X</v>
      </c>
      <c r="F9" s="96" t="str">
        <f>IF(ISTEXT(VLOOKUP(CONCATENATE($A9,"_",F$3),'Unit List'!$A$14:$H$2838,2,FALSE)),"X",$B9)</f>
        <v>X</v>
      </c>
      <c r="G9" s="96" t="str">
        <f>IF(ISTEXT(VLOOKUP(CONCATENATE($A9,"_",G$3),'Unit List'!$A$14:$H$2838,2,FALSE)),"X",$B9)</f>
        <v>X</v>
      </c>
      <c r="H9" s="96" t="str">
        <f>IF(ISTEXT(VLOOKUP(CONCATENATE($A9,"_",H$3),'Unit List'!$A$14:$H$2838,2,FALSE)),"X",$B9)</f>
        <v>X</v>
      </c>
      <c r="I9" s="74" t="str">
        <f>IF(ISTEXT(VLOOKUP(CONCATENATE($A9,"_",I$3),'Unit List'!$A$14:$H$2838,2,FALSE)),"X",$B9)</f>
        <v/>
      </c>
      <c r="J9" s="64" t="str">
        <f>IF(ISTEXT(VLOOKUP(CONCATENATE($A9,"_",J$3),'Unit List'!$A$14:$H$2838,2,FALSE)),"+","")</f>
        <v/>
      </c>
      <c r="K9" s="66" t="str">
        <f>IF(ISTEXT(VLOOKUP(CONCATENATE($A9,"_",K$3),'Unit List'!$A$14:$H$2838,2,FALSE)),"X",$J9)</f>
        <v/>
      </c>
      <c r="L9" s="89" t="str">
        <f>IF(ISTEXT(VLOOKUP(CONCATENATE($A9,"_",L$3),'Unit List'!$A$14:$H$2838,2,FALSE)),"X",$J9)</f>
        <v/>
      </c>
      <c r="M9" s="64" t="str">
        <f>IF(ISTEXT(VLOOKUP(CONCATENATE($A9,"_",M$3),'Unit List'!$A$14:$H$2838,2,FALSE)),"+","")</f>
        <v>+</v>
      </c>
      <c r="N9" s="87" t="str">
        <f>IF(ISTEXT(VLOOKUP(CONCATENATE($A9,"_",N$3),'Unit List'!$A$14:$H$2838,2,FALSE)),"X",$M9)</f>
        <v>+</v>
      </c>
      <c r="O9" s="100" t="str">
        <f>IF(ISTEXT(VLOOKUP(CONCATENATE($A9,"_",O$3),'Unit List'!$A$14:$H$2838,2,FALSE)),"X",$M9)</f>
        <v>X</v>
      </c>
      <c r="P9" s="68" t="str">
        <f>IF(ISTEXT(VLOOKUP(CONCATENATE($A9,"_",P$3),'Unit List'!$A$14:$H$2838,2,FALSE)),"+","")</f>
        <v/>
      </c>
      <c r="Q9" s="66" t="str">
        <f>IF(ISTEXT(VLOOKUP(CONCATENATE($A9,"_",Q$3),'Unit List'!$A$14:$H$2838,2,FALSE)),"X",$P9)</f>
        <v/>
      </c>
      <c r="R9" s="66" t="str">
        <f>IF(ISTEXT(VLOOKUP(CONCATENATE($A9,"_",R$3),'Unit List'!$A$14:$H$2838,2,FALSE)),"X",$P9)</f>
        <v/>
      </c>
      <c r="S9" s="66" t="str">
        <f>IF(ISTEXT(VLOOKUP(CONCATENATE($A9,"_",S$3),'Unit List'!$A$14:$H$2838,2,FALSE)),"X",$P9)</f>
        <v/>
      </c>
      <c r="T9" s="69" t="str">
        <f>IF(ISTEXT(VLOOKUP(CONCATENATE($A9,"_",T$3),'Unit List'!$A$14:$H$2838,2,FALSE)),"X",$P9)</f>
        <v/>
      </c>
      <c r="U9" s="96" t="str">
        <f>IF(ISTEXT(VLOOKUP(CONCATENATE($A9,"_",U$3),'Unit List'!$A$14:$H$2838,2,FALSE)),"X",$P9)</f>
        <v>X</v>
      </c>
      <c r="V9" s="66" t="str">
        <f>IF(ISTEXT(VLOOKUP(CONCATENATE($A9,"_",V$3),'Unit List'!$A$14:$H$2838,2,FALSE)),"X",$P9)</f>
        <v/>
      </c>
      <c r="W9" s="71" t="str">
        <f>IF(ISTEXT(VLOOKUP(CONCATENATE($A9,"_",W$3),'Unit List'!$A$14:$H$2838,2,FALSE)),"X",$P9)</f>
        <v/>
      </c>
      <c r="X9" s="68" t="str">
        <f>IF(ISTEXT(VLOOKUP(CONCATENATE($A9,"_",X$3),'Unit List'!$A$14:$H$2838,2,FALSE)),"+","")</f>
        <v/>
      </c>
      <c r="Y9" s="66" t="str">
        <f>IF(ISTEXT(VLOOKUP(CONCATENATE($A9,"_",Y$3),'Unit List'!$A$14:$H$2838,2,FALSE)),"X",$X9)</f>
        <v/>
      </c>
      <c r="Z9" s="66" t="str">
        <f>IF(ISTEXT(VLOOKUP(CONCATENATE($A9,"_",Z$3),'Unit List'!$A$14:$H$2838,2,FALSE)),"X",$X9)</f>
        <v/>
      </c>
      <c r="AA9" s="66" t="str">
        <f>IF(ISTEXT(VLOOKUP(CONCATENATE($A9,"_",AA$3),'Unit List'!$A$14:$H$2838,2,FALSE)),"X",$X9)</f>
        <v/>
      </c>
      <c r="AB9" s="66" t="str">
        <f>IF(ISTEXT(VLOOKUP(CONCATENATE($A9,"_",AB$3),'Unit List'!$A$14:$H$2838,2,FALSE)),"X",$X9)</f>
        <v/>
      </c>
      <c r="AC9" s="89" t="str">
        <f>IF(ISTEXT(VLOOKUP(CONCATENATE($A9,"_",AC$3),'Unit List'!$A$14:$H$2838,2,FALSE)),"X",$X9)</f>
        <v/>
      </c>
      <c r="AD9" s="68" t="str">
        <f>IF(ISTEXT(VLOOKUP(CONCATENATE($A9,"_",AD$3),'Unit List'!$A$14:$H$2838,2,FALSE)),"+","")</f>
        <v/>
      </c>
      <c r="AE9" s="62" t="str">
        <f>IF(ISTEXT(VLOOKUP(CONCATENATE($A9,"_",AE$3),'Unit List'!$A$14:$H$2838,2,FALSE)),"X",$AD9)</f>
        <v/>
      </c>
      <c r="AF9" s="72" t="str">
        <f>IF(ISTEXT(VLOOKUP(CONCATENATE($A9,"_",AF$3),'Unit List'!$A$14:$H$2838,2,FALSE)),"X",$AD9)</f>
        <v/>
      </c>
      <c r="AG9" s="68" t="str">
        <f>IF(ISTEXT(VLOOKUP(CONCATENATE($A9,"_",AG$3),'Unit List'!$A$14:$H$2838,2,FALSE)),"+","")</f>
        <v/>
      </c>
      <c r="AH9" s="66" t="str">
        <f>IF(ISTEXT(VLOOKUP(CONCATENATE($A9,"_",AH$3),'Unit List'!$A$14:$H$2838,2,FALSE)),"X",$AG9)</f>
        <v/>
      </c>
      <c r="AI9" s="66" t="str">
        <f>IF(ISTEXT(VLOOKUP(CONCATENATE($A9,"_",AI$3),'Unit List'!$A$14:$H$2838,2,FALSE)),"X",$AG9)</f>
        <v/>
      </c>
      <c r="AJ9" s="74" t="str">
        <f>IF(ISTEXT(VLOOKUP(CONCATENATE($A9,"_",AJ$3),'Unit List'!$A$14:$H$2838,2,FALSE)),"X",$AG9)</f>
        <v/>
      </c>
      <c r="AK9" s="64" t="str">
        <f>IF(ISTEXT(VLOOKUP(CONCATENATE($A9,"_",AK$3),'Unit List'!$A$14:$H$2838,2,FALSE)),"+","")</f>
        <v/>
      </c>
      <c r="AL9" s="69" t="str">
        <f>IF(ISTEXT(VLOOKUP(CONCATENATE($A9,"_",AL$3),'Unit List'!$A$14:$H$2838,2,FALSE)),"X",$AK9)</f>
        <v/>
      </c>
      <c r="AM9" s="74" t="str">
        <f>IF(ISTEXT(VLOOKUP(CONCATENATE($A9,"_",AM$3),'Unit List'!$A$14:$H$2838,2,FALSE)),"X",$AK9)</f>
        <v/>
      </c>
      <c r="AN9" s="91" t="str">
        <f>IF(ISTEXT(VLOOKUP(CONCATENATE($A9,"_",AN$3),'Unit List'!$A$14:$H$2838,2,FALSE)),"+","")</f>
        <v/>
      </c>
      <c r="AO9" s="74" t="str">
        <f>IF(ISTEXT(VLOOKUP(CONCATENATE($A9,"_",AO$3),'Unit List'!$A$14:$H$2838,2,FALSE)),"X",$AN9)</f>
        <v/>
      </c>
      <c r="AP9" s="68" t="str">
        <f>IF(ISTEXT(VLOOKUP(CONCATENATE($A9,"_",AP$3),'Unit List'!$A$14:$H$2838,2,FALSE)),"+","")</f>
        <v>+</v>
      </c>
      <c r="AQ9" s="66" t="str">
        <f>IF(ISTEXT(VLOOKUP(CONCATENATE($A9,"_",AQ$3),'Unit List'!$A$14:$H$2838,2,FALSE)),"X",$AP9)</f>
        <v>+</v>
      </c>
      <c r="AR9" s="96" t="str">
        <f>IF(ISTEXT(VLOOKUP(CONCATENATE($A9,"_",AR$3),'Unit List'!$A$14:$H$2838,2,FALSE)),"X",$AP9)</f>
        <v>X</v>
      </c>
      <c r="AS9" s="66" t="str">
        <f>IF(ISTEXT(VLOOKUP(CONCATENATE($A9,"_",AS$3),'Unit List'!$A$14:$H$2838,2,FALSE)),"X",$AP9)</f>
        <v>+</v>
      </c>
      <c r="AT9" s="74" t="str">
        <f>IF(ISTEXT(VLOOKUP(CONCATENATE($A9,"_",AT$3),'Unit List'!$A$14:$H$2838,2,FALSE)),"X",$AP9)</f>
        <v>+</v>
      </c>
      <c r="AU9" s="77" t="str">
        <f>IF(ISTEXT(VLOOKUP(CONCATENATE($A9,"_",AU$3),'Unit List'!$A$14:$H$2838,2,FALSE)),"+","")</f>
        <v/>
      </c>
      <c r="AV9" s="66" t="str">
        <f>IF(ISTEXT(VLOOKUP(CONCATENATE($A9,"_",AV$3),'Unit List'!$A$14:$H$2838,2,FALSE)),"X",$AU9)</f>
        <v/>
      </c>
      <c r="AW9" s="74" t="str">
        <f>IF(ISTEXT(VLOOKUP(CONCATENATE($A9,"_",AW$3),'Unit List'!$A$14:$H$2838,2,FALSE)),"X",$AU9)</f>
        <v/>
      </c>
      <c r="AX9" s="68" t="str">
        <f>IF(ISTEXT(VLOOKUP(CONCATENATE($A9,"_",AX$3),'Unit List'!$A$14:$H$2838,2,FALSE)),"+","")</f>
        <v>+</v>
      </c>
      <c r="AY9" s="133" t="str">
        <f>IF(ISTEXT(VLOOKUP(CONCATENATE($A9,"_",AY$3),'Unit List'!$A$14:$H$2838,2,FALSE)),"X",$AX9)</f>
        <v>+</v>
      </c>
      <c r="AZ9" s="134" t="str">
        <f>IF(ISTEXT(VLOOKUP(CONCATENATE($A9,"_",AZ$3),'Unit List'!$A$14:$H$2838,2,FALSE)),"X",$AX9)</f>
        <v>+</v>
      </c>
      <c r="BA9" s="78" t="str">
        <f>IF(ISTEXT(VLOOKUP(CONCATENATE($A9,"_",BA$3),'Unit List'!$A$14:$H$2838,2,FALSE)),"+","")</f>
        <v/>
      </c>
      <c r="BB9" s="66" t="str">
        <f>IF(ISTEXT(VLOOKUP(CONCATENATE($A9,"_",BB$3),'Unit List'!$A$14:$H$2838,2,FALSE)),"X",$BA9)</f>
        <v/>
      </c>
      <c r="BC9" s="66" t="str">
        <f>IF(ISTEXT(VLOOKUP(CONCATENATE($A9,"_",BC$3),'Unit List'!$A$14:$H$2838,2,FALSE)),"X",$BA9)</f>
        <v/>
      </c>
      <c r="BD9" s="74" t="str">
        <f>IF(ISTEXT(VLOOKUP(CONCATENATE($A9,"_",BD$3),'Unit List'!$A$14:$H$2838,2,FALSE)),"X",$BA9)</f>
        <v/>
      </c>
      <c r="BE9" s="91" t="str">
        <f>IF(ISTEXT(VLOOKUP(CONCATENATE($A9,"_",BE$3),'Unit List'!$A$14:$H$2838,2,FALSE)),"+","")</f>
        <v>+</v>
      </c>
      <c r="BF9" s="135" t="str">
        <f>IF(ISTEXT(VLOOKUP(CONCATENATE($A9,"_",BF$3),'Unit List'!$A$14:$H$2838,2,FALSE)),"X",$BE9)</f>
        <v>+</v>
      </c>
      <c r="BG9" s="92"/>
      <c r="BH9" s="93" t="s">
        <v>0</v>
      </c>
      <c r="BI9" s="264"/>
      <c r="BJ9" s="265"/>
      <c r="BK9" s="265"/>
      <c r="BL9" s="265"/>
      <c r="BM9" s="266"/>
      <c r="BN9" s="81"/>
      <c r="BO9" s="81"/>
      <c r="BP9" s="81"/>
      <c r="BQ9" s="81"/>
      <c r="BR9" s="81"/>
      <c r="BS9" s="81"/>
      <c r="DZ9" s="82"/>
      <c r="EA9" s="82"/>
    </row>
    <row r="10" spans="1:131" ht="12.75" customHeight="1" x14ac:dyDescent="0.2">
      <c r="A10" s="83" t="s">
        <v>1112</v>
      </c>
      <c r="B10" s="59" t="str">
        <f>IF(ISTEXT(VLOOKUP(CONCATENATE($A10,"_",B$3),'Unit List'!$A$14:$H$2838,2,FALSE)),"+","")</f>
        <v/>
      </c>
      <c r="C10" s="84" t="str">
        <f>IF(ISTEXT(VLOOKUP(CONCATENATE($A10,"_",C$3),'Unit List'!$A$14:$H$2838,2,FALSE)),"X",$B10)</f>
        <v/>
      </c>
      <c r="D10" s="66" t="str">
        <f>IF(ISTEXT(VLOOKUP(CONCATENATE($A10,"_",D$3),'Unit List'!$A$14:$H$2838,2,FALSE)),"X",$B10)</f>
        <v/>
      </c>
      <c r="E10" s="66" t="str">
        <f>IF(ISTEXT(VLOOKUP(CONCATENATE($A10,"_",E$3),'Unit List'!$A$14:$H$2838,2,FALSE)),"X",$B10)</f>
        <v/>
      </c>
      <c r="F10" s="66" t="str">
        <f>IF(ISTEXT(VLOOKUP(CONCATENATE($A10,"_",F$3),'Unit List'!$A$14:$H$2838,2,FALSE)),"X",$B10)</f>
        <v/>
      </c>
      <c r="G10" s="66" t="str">
        <f>IF(ISTEXT(VLOOKUP(CONCATENATE($A10,"_",G$3),'Unit List'!$A$14:$H$2838,2,FALSE)),"X",$B10)</f>
        <v/>
      </c>
      <c r="H10" s="66" t="str">
        <f>IF(ISTEXT(VLOOKUP(CONCATENATE($A10,"_",H$3),'Unit List'!$A$14:$H$2838,2,FALSE)),"X",$B10)</f>
        <v/>
      </c>
      <c r="I10" s="74" t="str">
        <f>IF(ISTEXT(VLOOKUP(CONCATENATE($A10,"_",I$3),'Unit List'!$A$14:$H$2838,2,FALSE)),"X",$B10)</f>
        <v/>
      </c>
      <c r="J10" s="64" t="str">
        <f>IF(ISTEXT(VLOOKUP(CONCATENATE($A10,"_",J$3),'Unit List'!$A$14:$H$2838,2,FALSE)),"+","")</f>
        <v/>
      </c>
      <c r="K10" s="66" t="str">
        <f>IF(ISTEXT(VLOOKUP(CONCATENATE($A10,"_",K$3),'Unit List'!$A$14:$H$2838,2,FALSE)),"X",$J10)</f>
        <v/>
      </c>
      <c r="L10" s="89" t="str">
        <f>IF(ISTEXT(VLOOKUP(CONCATENATE($A10,"_",L$3),'Unit List'!$A$14:$H$2838,2,FALSE)),"X",$J10)</f>
        <v/>
      </c>
      <c r="M10" s="64" t="str">
        <f>IF(ISTEXT(VLOOKUP(CONCATENATE($A10,"_",M$3),'Unit List'!$A$14:$H$2838,2,FALSE)),"+","")</f>
        <v/>
      </c>
      <c r="N10" s="66" t="str">
        <f>IF(ISTEXT(VLOOKUP(CONCATENATE($A10,"_",N$3),'Unit List'!$A$14:$H$2838,2,FALSE)),"X",$M10)</f>
        <v/>
      </c>
      <c r="O10" s="74" t="str">
        <f>IF(ISTEXT(VLOOKUP(CONCATENATE($A10,"_",O$3),'Unit List'!$A$14:$H$2838,2,FALSE)),"X",$M10)</f>
        <v/>
      </c>
      <c r="P10" s="68" t="str">
        <f>IF(ISTEXT(VLOOKUP(CONCATENATE($A10,"_",P$3),'Unit List'!$A$14:$H$2838,2,FALSE)),"+","")</f>
        <v/>
      </c>
      <c r="Q10" s="66" t="str">
        <f>IF(ISTEXT(VLOOKUP(CONCATENATE($A10,"_",Q$3),'Unit List'!$A$14:$H$2838,2,FALSE)),"X",$P10)</f>
        <v/>
      </c>
      <c r="R10" s="66" t="str">
        <f>IF(ISTEXT(VLOOKUP(CONCATENATE($A10,"_",R$3),'Unit List'!$A$14:$H$2838,2,FALSE)),"X",$P10)</f>
        <v/>
      </c>
      <c r="S10" s="66" t="str">
        <f>IF(ISTEXT(VLOOKUP(CONCATENATE($A10,"_",S$3),'Unit List'!$A$14:$H$2838,2,FALSE)),"X",$P10)</f>
        <v/>
      </c>
      <c r="T10" s="69" t="str">
        <f>IF(ISTEXT(VLOOKUP(CONCATENATE($A10,"_",T$3),'Unit List'!$A$14:$H$2838,2,FALSE)),"X",$P10)</f>
        <v/>
      </c>
      <c r="U10" s="66" t="str">
        <f>IF(ISTEXT(VLOOKUP(CONCATENATE($A10,"_",U$3),'Unit List'!$A$14:$H$2838,2,FALSE)),"X",$P10)</f>
        <v/>
      </c>
      <c r="V10" s="66" t="str">
        <f>IF(ISTEXT(VLOOKUP(CONCATENATE($A10,"_",V$3),'Unit List'!$A$14:$H$2838,2,FALSE)),"X",$P10)</f>
        <v/>
      </c>
      <c r="W10" s="71" t="str">
        <f>IF(ISTEXT(VLOOKUP(CONCATENATE($A10,"_",W$3),'Unit List'!$A$14:$H$2838,2,FALSE)),"X",$P10)</f>
        <v/>
      </c>
      <c r="X10" s="68" t="str">
        <f>IF(ISTEXT(VLOOKUP(CONCATENATE($A10,"_",X$3),'Unit List'!$A$14:$H$2838,2,FALSE)),"+","")</f>
        <v/>
      </c>
      <c r="Y10" s="66" t="str">
        <f>IF(ISTEXT(VLOOKUP(CONCATENATE($A10,"_",Y$3),'Unit List'!$A$14:$H$2838,2,FALSE)),"X",$X10)</f>
        <v/>
      </c>
      <c r="Z10" s="66" t="str">
        <f>IF(ISTEXT(VLOOKUP(CONCATENATE($A10,"_",Z$3),'Unit List'!$A$14:$H$2838,2,FALSE)),"X",$X10)</f>
        <v/>
      </c>
      <c r="AA10" s="66" t="str">
        <f>IF(ISTEXT(VLOOKUP(CONCATENATE($A10,"_",AA$3),'Unit List'!$A$14:$H$2838,2,FALSE)),"X",$X10)</f>
        <v/>
      </c>
      <c r="AB10" s="66" t="str">
        <f>IF(ISTEXT(VLOOKUP(CONCATENATE($A10,"_",AB$3),'Unit List'!$A$14:$H$2838,2,FALSE)),"X",$X10)</f>
        <v/>
      </c>
      <c r="AC10" s="89" t="str">
        <f>IF(ISTEXT(VLOOKUP(CONCATENATE($A10,"_",AC$3),'Unit List'!$A$14:$H$2838,2,FALSE)),"X",$X10)</f>
        <v/>
      </c>
      <c r="AD10" s="68" t="str">
        <f>IF(ISTEXT(VLOOKUP(CONCATENATE($A10,"_",AD$3),'Unit List'!$A$14:$H$2838,2,FALSE)),"+","")</f>
        <v/>
      </c>
      <c r="AE10" s="62" t="str">
        <f>IF(ISTEXT(VLOOKUP(CONCATENATE($A10,"_",AE$3),'Unit List'!$A$14:$H$2838,2,FALSE)),"X",$AD10)</f>
        <v/>
      </c>
      <c r="AF10" s="72" t="str">
        <f>IF(ISTEXT(VLOOKUP(CONCATENATE($A10,"_",AF$3),'Unit List'!$A$14:$H$2838,2,FALSE)),"X",$AD10)</f>
        <v/>
      </c>
      <c r="AG10" s="68" t="str">
        <f>IF(ISTEXT(VLOOKUP(CONCATENATE($A10,"_",AG$3),'Unit List'!$A$14:$H$2838,2,FALSE)),"+","")</f>
        <v/>
      </c>
      <c r="AH10" s="120" t="str">
        <f>IF(ISTEXT(VLOOKUP(CONCATENATE($A10,"_",AH$3),'Unit List'!$A$14:$H$2838,2,FALSE)),"X",$AG10)</f>
        <v/>
      </c>
      <c r="AI10" s="120" t="str">
        <f>IF(ISTEXT(VLOOKUP(CONCATENATE($A10,"_",AI$3),'Unit List'!$A$14:$H$2838,2,FALSE)),"X",$AG10)</f>
        <v/>
      </c>
      <c r="AJ10" s="74" t="str">
        <f>IF(ISTEXT(VLOOKUP(CONCATENATE($A10,"_",AJ$3),'Unit List'!$A$14:$H$2838,2,FALSE)),"X",$AG10)</f>
        <v/>
      </c>
      <c r="AK10" s="64" t="str">
        <f>IF(ISTEXT(VLOOKUP(CONCATENATE($A10,"_",AK$3),'Unit List'!$A$14:$H$2838,2,FALSE)),"+","")</f>
        <v/>
      </c>
      <c r="AL10" s="69" t="str">
        <f>IF(ISTEXT(VLOOKUP(CONCATENATE($A10,"_",AL$3),'Unit List'!$A$14:$H$2838,2,FALSE)),"X",$AK10)</f>
        <v/>
      </c>
      <c r="AM10" s="74" t="str">
        <f>IF(ISTEXT(VLOOKUP(CONCATENATE($A10,"_",AM$3),'Unit List'!$A$14:$H$2838,2,FALSE)),"X",$AK10)</f>
        <v/>
      </c>
      <c r="AN10" s="91" t="str">
        <f>IF(ISTEXT(VLOOKUP(CONCATENATE($A10,"_",AN$3),'Unit List'!$A$14:$H$2838,2,FALSE)),"+","")</f>
        <v/>
      </c>
      <c r="AO10" s="74" t="str">
        <f>IF(ISTEXT(VLOOKUP(CONCATENATE($A10,"_",AO$3),'Unit List'!$A$14:$H$2838,2,FALSE)),"X",$AN10)</f>
        <v/>
      </c>
      <c r="AP10" s="68" t="str">
        <f>IF(ISTEXT(VLOOKUP(CONCATENATE($A10,"_",AP$3),'Unit List'!$A$14:$H$2838,2,FALSE)),"+","")</f>
        <v/>
      </c>
      <c r="AQ10" s="66" t="str">
        <f>IF(ISTEXT(VLOOKUP(CONCATENATE($A10,"_",AQ$3),'Unit List'!$A$14:$H$2838,2,FALSE)),"X",$AP10)</f>
        <v/>
      </c>
      <c r="AR10" s="66" t="str">
        <f>IF(ISTEXT(VLOOKUP(CONCATENATE($A10,"_",AR$3),'Unit List'!$A$14:$H$2838,2,FALSE)),"X",$AP10)</f>
        <v/>
      </c>
      <c r="AS10" s="66" t="str">
        <f>IF(ISTEXT(VLOOKUP(CONCATENATE($A10,"_",AS$3),'Unit List'!$A$14:$H$2838,2,FALSE)),"X",$AP10)</f>
        <v/>
      </c>
      <c r="AT10" s="74" t="str">
        <f>IF(ISTEXT(VLOOKUP(CONCATENATE($A10,"_",AT$3),'Unit List'!$A$14:$H$2838,2,FALSE)),"X",$AP10)</f>
        <v/>
      </c>
      <c r="AU10" s="77" t="str">
        <f>IF(ISTEXT(VLOOKUP(CONCATENATE($A10,"_",AU$3),'Unit List'!$A$14:$H$2838,2,FALSE)),"+","")</f>
        <v/>
      </c>
      <c r="AV10" s="66" t="str">
        <f>IF(ISTEXT(VLOOKUP(CONCATENATE($A10,"_",AV$3),'Unit List'!$A$14:$H$2838,2,FALSE)),"X",$AU10)</f>
        <v/>
      </c>
      <c r="AW10" s="74" t="str">
        <f>IF(ISTEXT(VLOOKUP(CONCATENATE($A10,"_",AW$3),'Unit List'!$A$14:$H$2838,2,FALSE)),"X",$AU10)</f>
        <v/>
      </c>
      <c r="AX10" s="68" t="str">
        <f>IF(ISTEXT(VLOOKUP(CONCATENATE($A10,"_",AX$3),'Unit List'!$A$14:$H$2838,2,FALSE)),"+","")</f>
        <v/>
      </c>
      <c r="AY10" s="66" t="str">
        <f>IF(ISTEXT(VLOOKUP(CONCATENATE($A10,"_",AY$3),'Unit List'!$A$14:$H$2838,2,FALSE)),"X",$AX10)</f>
        <v/>
      </c>
      <c r="AZ10" s="71" t="str">
        <f>IF(ISTEXT(VLOOKUP(CONCATENATE($A10,"_",AZ$3),'Unit List'!$A$14:$H$2838,2,FALSE)),"X",$AX10)</f>
        <v/>
      </c>
      <c r="BA10" s="78" t="str">
        <f>IF(ISTEXT(VLOOKUP(CONCATENATE($A10,"_",BA$3),'Unit List'!$A$14:$H$2838,2,FALSE)),"+","")</f>
        <v/>
      </c>
      <c r="BB10" s="66" t="str">
        <f>IF(ISTEXT(VLOOKUP(CONCATENATE($A10,"_",BB$3),'Unit List'!$A$14:$H$2838,2,FALSE)),"X",$BA10)</f>
        <v/>
      </c>
      <c r="BC10" s="66" t="str">
        <f>IF(ISTEXT(VLOOKUP(CONCATENATE($A10,"_",BC$3),'Unit List'!$A$14:$H$2838,2,FALSE)),"X",$BA10)</f>
        <v/>
      </c>
      <c r="BD10" s="74" t="str">
        <f>IF(ISTEXT(VLOOKUP(CONCATENATE($A10,"_",BD$3),'Unit List'!$A$14:$H$2838,2,FALSE)),"X",$BA10)</f>
        <v/>
      </c>
      <c r="BE10" s="91" t="str">
        <f>IF(ISTEXT(VLOOKUP(CONCATENATE($A10,"_",BE$3),'Unit List'!$A$14:$H$2838,2,FALSE)),"+","")</f>
        <v/>
      </c>
      <c r="BF10" s="89" t="str">
        <f>IF(ISTEXT(VLOOKUP(CONCATENATE($A10,"_",BF$3),'Unit List'!$A$14:$H$2838,2,FALSE)),"X",$BE10)</f>
        <v/>
      </c>
      <c r="BG10" s="111"/>
      <c r="BH10" s="121"/>
      <c r="BI10" s="264"/>
      <c r="BJ10" s="265"/>
      <c r="BK10" s="265"/>
      <c r="BL10" s="265"/>
      <c r="BM10" s="266"/>
      <c r="BN10" s="81"/>
      <c r="BO10" s="81"/>
      <c r="BP10" s="81"/>
      <c r="BQ10" s="81"/>
      <c r="BR10" s="81"/>
      <c r="BS10" s="81"/>
      <c r="DZ10" s="82"/>
      <c r="EA10" s="82"/>
    </row>
    <row r="11" spans="1:131" ht="12.75" customHeight="1" x14ac:dyDescent="0.2">
      <c r="A11" s="83" t="s">
        <v>40</v>
      </c>
      <c r="B11" s="59" t="str">
        <f>IF(ISTEXT(VLOOKUP(CONCATENATE($A11,"_",B$3),'Unit List'!$A$14:$H$2838,2,FALSE)),"+","")</f>
        <v/>
      </c>
      <c r="C11" s="122" t="str">
        <f>IF(ISTEXT(VLOOKUP(CONCATENATE($A11,"_",C$3),'Unit List'!$A$14:$H$2838,2,FALSE)),"X",$B11)</f>
        <v>X</v>
      </c>
      <c r="D11" s="96" t="str">
        <f>IF(ISTEXT(VLOOKUP(CONCATENATE($A11,"_",D$3),'Unit List'!$A$14:$H$2838,2,FALSE)),"X",$B11)</f>
        <v>X</v>
      </c>
      <c r="E11" s="133" t="str">
        <f>IF(ISTEXT(VLOOKUP(CONCATENATE($A11,"_",E$3),'Unit List'!$A$14:$H$2838,2,FALSE)),"X",$B11)</f>
        <v>X</v>
      </c>
      <c r="F11" s="96" t="str">
        <f>IF(ISTEXT(VLOOKUP(CONCATENATE($A11,"_",F$3),'Unit List'!$A$14:$H$2838,2,FALSE)),"X",$B11)</f>
        <v>X</v>
      </c>
      <c r="G11" s="96" t="str">
        <f>IF(ISTEXT(VLOOKUP(CONCATENATE($A11,"_",G$3),'Unit List'!$A$14:$H$2838,2,FALSE)),"X",$B11)</f>
        <v>X</v>
      </c>
      <c r="H11" s="66" t="str">
        <f>IF(ISTEXT(VLOOKUP(CONCATENATE($A11,"_",H$3),'Unit List'!$A$14:$H$2838,2,FALSE)),"X",$B11)</f>
        <v>X</v>
      </c>
      <c r="I11" s="100" t="str">
        <f>IF(ISTEXT(VLOOKUP(CONCATENATE($A11,"_",I$3),'Unit List'!$A$14:$H$2838,2,FALSE)),"X",$B11)</f>
        <v>X</v>
      </c>
      <c r="J11" s="64" t="str">
        <f>IF(ISTEXT(VLOOKUP(CONCATENATE($A11,"_",J$3),'Unit List'!$A$14:$H$2838,2,FALSE)),"+","")</f>
        <v/>
      </c>
      <c r="K11" s="66" t="str">
        <f>IF(ISTEXT(VLOOKUP(CONCATENATE($A11,"_",K$3),'Unit List'!$A$14:$H$2838,2,FALSE)),"X",$J11)</f>
        <v/>
      </c>
      <c r="L11" s="123" t="str">
        <f>IF(ISTEXT(VLOOKUP(CONCATENATE($A11,"_",L$3),'Unit List'!$A$14:$H$2838,2,FALSE)),"X",$J11)</f>
        <v>X</v>
      </c>
      <c r="M11" s="64" t="str">
        <f>IF(ISTEXT(VLOOKUP(CONCATENATE($A11,"_",M$3),'Unit List'!$A$14:$H$2838,2,FALSE)),"+","")</f>
        <v>+</v>
      </c>
      <c r="N11" s="96" t="str">
        <f>IF(ISTEXT(VLOOKUP(CONCATENATE($A11,"_",N$3),'Unit List'!$A$14:$H$2838,2,FALSE)),"X",$M11)</f>
        <v>X</v>
      </c>
      <c r="O11" s="100" t="str">
        <f>IF(ISTEXT(VLOOKUP(CONCATENATE($A11,"_",O$3),'Unit List'!$A$14:$H$2838,2,FALSE)),"X",$M11)</f>
        <v>X</v>
      </c>
      <c r="P11" s="68" t="str">
        <f>IF(ISTEXT(VLOOKUP(CONCATENATE($A11,"_",P$3),'Unit List'!$A$14:$H$2838,2,FALSE)),"+","")</f>
        <v/>
      </c>
      <c r="Q11" s="66" t="str">
        <f>IF(ISTEXT(VLOOKUP(CONCATENATE($A11,"_",Q$3),'Unit List'!$A$14:$H$2838,2,FALSE)),"X",$P11)</f>
        <v/>
      </c>
      <c r="R11" s="66" t="str">
        <f>IF(ISTEXT(VLOOKUP(CONCATENATE($A11,"_",R$3),'Unit List'!$A$14:$H$2838,2,FALSE)),"X",$P11)</f>
        <v/>
      </c>
      <c r="S11" s="96" t="str">
        <f>IF(ISTEXT(VLOOKUP(CONCATENATE($A11,"_",S$3),'Unit List'!$A$14:$H$2838,2,FALSE)),"X",$P11)</f>
        <v>X</v>
      </c>
      <c r="T11" s="69" t="str">
        <f>IF(ISTEXT(VLOOKUP(CONCATENATE($A11,"_",T$3),'Unit List'!$A$14:$H$2838,2,FALSE)),"X",$P11)</f>
        <v/>
      </c>
      <c r="U11" s="96" t="str">
        <f>IF(ISTEXT(VLOOKUP(CONCATENATE($A11,"_",U$3),'Unit List'!$A$14:$H$2838,2,FALSE)),"X",$P11)</f>
        <v>X</v>
      </c>
      <c r="V11" s="96" t="str">
        <f>IF(ISTEXT(VLOOKUP(CONCATENATE($A11,"_",V$3),'Unit List'!$A$14:$H$2838,2,FALSE)),"X",$P11)</f>
        <v>X</v>
      </c>
      <c r="W11" s="71" t="str">
        <f>IF(ISTEXT(VLOOKUP(CONCATENATE($A11,"_",W$3),'Unit List'!$A$14:$H$2838,2,FALSE)),"X",$P11)</f>
        <v/>
      </c>
      <c r="X11" s="68" t="str">
        <f>IF(ISTEXT(VLOOKUP(CONCATENATE($A11,"_",X$3),'Unit List'!$A$14:$H$2838,2,FALSE)),"+","")</f>
        <v/>
      </c>
      <c r="Y11" s="66" t="str">
        <f>IF(ISTEXT(VLOOKUP(CONCATENATE($A11,"_",Y$3),'Unit List'!$A$14:$H$2838,2,FALSE)),"X",$X11)</f>
        <v/>
      </c>
      <c r="Z11" s="66" t="str">
        <f>IF(ISTEXT(VLOOKUP(CONCATENATE($A11,"_",Z$3),'Unit List'!$A$14:$H$2838,2,FALSE)),"X",$X11)</f>
        <v/>
      </c>
      <c r="AA11" s="66" t="str">
        <f>IF(ISTEXT(VLOOKUP(CONCATENATE($A11,"_",AA$3),'Unit List'!$A$14:$H$2838,2,FALSE)),"X",$X11)</f>
        <v/>
      </c>
      <c r="AB11" s="96" t="str">
        <f>IF(ISTEXT(VLOOKUP(CONCATENATE($A11,"_",AB$3),'Unit List'!$A$14:$H$2838,2,FALSE)),"X",$X11)</f>
        <v>X</v>
      </c>
      <c r="AC11" s="89" t="str">
        <f>IF(ISTEXT(VLOOKUP(CONCATENATE($A11,"_",AC$3),'Unit List'!$A$14:$H$2838,2,FALSE)),"X",$X11)</f>
        <v/>
      </c>
      <c r="AD11" s="68" t="str">
        <f>IF(ISTEXT(VLOOKUP(CONCATENATE($A11,"_",AD$3),'Unit List'!$A$14:$H$2838,2,FALSE)),"+","")</f>
        <v/>
      </c>
      <c r="AE11" s="62" t="str">
        <f>IF(ISTEXT(VLOOKUP(CONCATENATE($A11,"_",AE$3),'Unit List'!$A$14:$H$2838,2,FALSE)),"X",$AD11)</f>
        <v/>
      </c>
      <c r="AF11" s="72" t="str">
        <f>IF(ISTEXT(VLOOKUP(CONCATENATE($A11,"_",AF$3),'Unit List'!$A$14:$H$2838,2,FALSE)),"X",$AD11)</f>
        <v/>
      </c>
      <c r="AG11" s="68" t="str">
        <f>IF(ISTEXT(VLOOKUP(CONCATENATE($A11,"_",AG$3),'Unit List'!$A$14:$H$2838,2,FALSE)),"+","")</f>
        <v/>
      </c>
      <c r="AH11" s="66" t="str">
        <f>IF(ISTEXT(VLOOKUP(CONCATENATE($A11,"_",AH$3),'Unit List'!$A$14:$H$2838,2,FALSE)),"X",$AG11)</f>
        <v/>
      </c>
      <c r="AI11" s="66" t="str">
        <f>IF(ISTEXT(VLOOKUP(CONCATENATE($A11,"_",AI$3),'Unit List'!$A$14:$H$2838,2,FALSE)),"X",$AG11)</f>
        <v/>
      </c>
      <c r="AJ11" s="74" t="str">
        <f>IF(ISTEXT(VLOOKUP(CONCATENATE($A11,"_",AJ$3),'Unit List'!$A$14:$H$2838,2,FALSE)),"X",$AG11)</f>
        <v/>
      </c>
      <c r="AK11" s="64" t="str">
        <f>IF(ISTEXT(VLOOKUP(CONCATENATE($A11,"_",AK$3),'Unit List'!$A$14:$H$2838,2,FALSE)),"+","")</f>
        <v/>
      </c>
      <c r="AL11" s="124" t="str">
        <f>IF(ISTEXT(VLOOKUP(CONCATENATE($A11,"_",AL$3),'Unit List'!$A$14:$H$2838,2,FALSE)),"X",$AK11)</f>
        <v>X</v>
      </c>
      <c r="AM11" s="74" t="str">
        <f>IF(ISTEXT(VLOOKUP(CONCATENATE($A11,"_",AM$3),'Unit List'!$A$14:$H$2838,2,FALSE)),"X",$AK11)</f>
        <v/>
      </c>
      <c r="AN11" s="91" t="str">
        <f>IF(ISTEXT(VLOOKUP(CONCATENATE($A11,"_",AN$3),'Unit List'!$A$14:$H$2838,2,FALSE)),"+","")</f>
        <v/>
      </c>
      <c r="AO11" s="74" t="str">
        <f>IF(ISTEXT(VLOOKUP(CONCATENATE($A11,"_",AO$3),'Unit List'!$A$14:$H$2838,2,FALSE)),"X",$AN11)</f>
        <v/>
      </c>
      <c r="AP11" s="68" t="str">
        <f>IF(ISTEXT(VLOOKUP(CONCATENATE($A11,"_",AP$3),'Unit List'!$A$14:$H$2838,2,FALSE)),"+","")</f>
        <v>+</v>
      </c>
      <c r="AQ11" s="96" t="str">
        <f>IF(ISTEXT(VLOOKUP(CONCATENATE($A11,"_",AQ$3),'Unit List'!$A$14:$H$2838,2,FALSE)),"X",$AP11)</f>
        <v>X</v>
      </c>
      <c r="AR11" s="96" t="str">
        <f>IF(ISTEXT(VLOOKUP(CONCATENATE($A11,"_",AR$3),'Unit List'!$A$14:$H$2838,2,FALSE)),"X",$AP11)</f>
        <v>X</v>
      </c>
      <c r="AS11" s="66" t="str">
        <f>IF(ISTEXT(VLOOKUP(CONCATENATE($A11,"_",AS$3),'Unit List'!$A$14:$H$2838,2,FALSE)),"X",$AP11)</f>
        <v>+</v>
      </c>
      <c r="AT11" s="74" t="str">
        <f>IF(ISTEXT(VLOOKUP(CONCATENATE($A11,"_",AT$3),'Unit List'!$A$14:$H$2838,2,FALSE)),"X",$AP11)</f>
        <v>+</v>
      </c>
      <c r="AU11" s="77" t="str">
        <f>IF(ISTEXT(VLOOKUP(CONCATENATE($A11,"_",AU$3),'Unit List'!$A$14:$H$2838,2,FALSE)),"+","")</f>
        <v/>
      </c>
      <c r="AV11" s="66" t="str">
        <f>IF(ISTEXT(VLOOKUP(CONCATENATE($A11,"_",AV$3),'Unit List'!$A$14:$H$2838,2,FALSE)),"X",$AU11)</f>
        <v/>
      </c>
      <c r="AW11" s="74" t="str">
        <f>IF(ISTEXT(VLOOKUP(CONCATENATE($A11,"_",AW$3),'Unit List'!$A$14:$H$2838,2,FALSE)),"X",$AU11)</f>
        <v/>
      </c>
      <c r="AX11" s="68" t="str">
        <f>IF(ISTEXT(VLOOKUP(CONCATENATE($A11,"_",AX$3),'Unit List'!$A$14:$H$2838,2,FALSE)),"+","")</f>
        <v>+</v>
      </c>
      <c r="AY11" s="133" t="str">
        <f>IF(ISTEXT(VLOOKUP(CONCATENATE($A11,"_",AY$3),'Unit List'!$A$14:$H$2838,2,FALSE)),"X",$AX11)</f>
        <v>+</v>
      </c>
      <c r="AZ11" s="134" t="str">
        <f>IF(ISTEXT(VLOOKUP(CONCATENATE($A11,"_",AZ$3),'Unit List'!$A$14:$H$2838,2,FALSE)),"X",$AX11)</f>
        <v>+</v>
      </c>
      <c r="BA11" s="78" t="str">
        <f>IF(ISTEXT(VLOOKUP(CONCATENATE($A11,"_",BA$3),'Unit List'!$A$14:$H$2838,2,FALSE)),"+","")</f>
        <v/>
      </c>
      <c r="BB11" s="66" t="str">
        <f>IF(ISTEXT(VLOOKUP(CONCATENATE($A11,"_",BB$3),'Unit List'!$A$14:$H$2838,2,FALSE)),"X",$BA11)</f>
        <v/>
      </c>
      <c r="BC11" s="66" t="str">
        <f>IF(ISTEXT(VLOOKUP(CONCATENATE($A11,"_",BC$3),'Unit List'!$A$14:$H$2838,2,FALSE)),"X",$BA11)</f>
        <v/>
      </c>
      <c r="BD11" s="74" t="str">
        <f>IF(ISTEXT(VLOOKUP(CONCATENATE($A11,"_",BD$3),'Unit List'!$A$14:$H$2838,2,FALSE)),"X",$BA11)</f>
        <v/>
      </c>
      <c r="BE11" s="91" t="str">
        <f>IF(ISTEXT(VLOOKUP(CONCATENATE($A11,"_",BE$3),'Unit List'!$A$14:$H$2838,2,FALSE)),"+","")</f>
        <v>+</v>
      </c>
      <c r="BF11" s="135" t="str">
        <f>IF(ISTEXT(VLOOKUP(CONCATENATE($A11,"_",BF$3),'Unit List'!$A$14:$H$2838,2,FALSE)),"X",$BE11)</f>
        <v>+</v>
      </c>
      <c r="BG11" s="92"/>
      <c r="BH11" s="93" t="s">
        <v>0</v>
      </c>
      <c r="BI11" s="264"/>
      <c r="BJ11" s="265"/>
      <c r="BK11" s="265"/>
      <c r="BL11" s="265"/>
      <c r="BM11" s="266"/>
      <c r="BN11" s="81"/>
      <c r="BO11" s="81"/>
      <c r="BP11" s="81"/>
      <c r="BQ11" s="81"/>
      <c r="BR11" s="81"/>
      <c r="BS11" s="81"/>
      <c r="DZ11" s="82"/>
      <c r="EA11" s="82"/>
    </row>
    <row r="12" spans="1:131" ht="12.75" customHeight="1" x14ac:dyDescent="0.2">
      <c r="A12" s="83" t="s">
        <v>39</v>
      </c>
      <c r="B12" s="59" t="str">
        <f>IF(ISTEXT(VLOOKUP(CONCATENATE($A12,"_",B$3),'Unit List'!$A$14:$H$2838,2,FALSE)),"+","")</f>
        <v/>
      </c>
      <c r="C12" s="84" t="str">
        <f>IF(ISTEXT(VLOOKUP(CONCATENATE($A12,"_",C$3),'Unit List'!$A$14:$H$2838,2,FALSE)),"X",$B12)</f>
        <v/>
      </c>
      <c r="D12" s="66" t="str">
        <f>IF(ISTEXT(VLOOKUP(CONCATENATE($A12,"_",D$3),'Unit List'!$A$14:$H$2838,2,FALSE)),"X",$B12)</f>
        <v/>
      </c>
      <c r="E12" s="66" t="str">
        <f>IF(ISTEXT(VLOOKUP(CONCATENATE($A12,"_",E$3),'Unit List'!$A$14:$H$2838,2,FALSE)),"X",$B12)</f>
        <v/>
      </c>
      <c r="F12" s="72" t="str">
        <f>IF(ISTEXT(VLOOKUP(CONCATENATE($A12,"_",F$3),'Unit List'!$A$14:$H$2838,2,FALSE)),"X",$B12)</f>
        <v>X</v>
      </c>
      <c r="G12" s="125" t="str">
        <f>IF(ISTEXT(VLOOKUP(CONCATENATE($A12,"_",G$3),'Unit List'!$A$14:$H$2838,2,FALSE)),"X",$B12)</f>
        <v>X</v>
      </c>
      <c r="H12" s="66" t="str">
        <f>IF(ISTEXT(VLOOKUP(CONCATENATE($A12,"_",H$3),'Unit List'!$A$14:$H$2838,2,FALSE)),"X",$B12)</f>
        <v/>
      </c>
      <c r="I12" s="74" t="str">
        <f>IF(ISTEXT(VLOOKUP(CONCATENATE($A12,"_",I$3),'Unit List'!$A$14:$H$2838,2,FALSE)),"X",$B12)</f>
        <v/>
      </c>
      <c r="J12" s="64" t="str">
        <f>IF(ISTEXT(VLOOKUP(CONCATENATE($A12,"_",J$3),'Unit List'!$A$14:$H$2838,2,FALSE)),"+","")</f>
        <v/>
      </c>
      <c r="K12" s="66" t="str">
        <f>IF(ISTEXT(VLOOKUP(CONCATENATE($A12,"_",K$3),'Unit List'!$A$14:$H$2838,2,FALSE)),"X",$J12)</f>
        <v/>
      </c>
      <c r="L12" s="89" t="str">
        <f>IF(ISTEXT(VLOOKUP(CONCATENATE($A12,"_",L$3),'Unit List'!$A$14:$H$2838,2,FALSE)),"X",$J12)</f>
        <v/>
      </c>
      <c r="M12" s="64" t="str">
        <f>IF(ISTEXT(VLOOKUP(CONCATENATE($A12,"_",M$3),'Unit List'!$A$14:$H$2838,2,FALSE)),"+","")</f>
        <v/>
      </c>
      <c r="N12" s="66" t="str">
        <f>IF(ISTEXT(VLOOKUP(CONCATENATE($A12,"_",N$3),'Unit List'!$A$14:$H$2838,2,FALSE)),"X",$M12)</f>
        <v/>
      </c>
      <c r="O12" s="74" t="str">
        <f>IF(ISTEXT(VLOOKUP(CONCATENATE($A12,"_",O$3),'Unit List'!$A$14:$H$2838,2,FALSE)),"X",$M12)</f>
        <v/>
      </c>
      <c r="P12" s="68" t="str">
        <f>IF(ISTEXT(VLOOKUP(CONCATENATE($A12,"_",P$3),'Unit List'!$A$14:$H$2838,2,FALSE)),"+","")</f>
        <v/>
      </c>
      <c r="Q12" s="66" t="str">
        <f>IF(ISTEXT(VLOOKUP(CONCATENATE($A12,"_",Q$3),'Unit List'!$A$14:$H$2838,2,FALSE)),"X",$P12)</f>
        <v/>
      </c>
      <c r="R12" s="66" t="str">
        <f>IF(ISTEXT(VLOOKUP(CONCATENATE($A12,"_",R$3),'Unit List'!$A$14:$H$2838,2,FALSE)),"X",$P12)</f>
        <v/>
      </c>
      <c r="S12" s="66" t="str">
        <f>IF(ISTEXT(VLOOKUP(CONCATENATE($A12,"_",S$3),'Unit List'!$A$14:$H$2838,2,FALSE)),"X",$P12)</f>
        <v/>
      </c>
      <c r="T12" s="69" t="str">
        <f>IF(ISTEXT(VLOOKUP(CONCATENATE($A12,"_",T$3),'Unit List'!$A$14:$H$2838,2,FALSE)),"X",$P12)</f>
        <v/>
      </c>
      <c r="U12" s="66" t="str">
        <f>IF(ISTEXT(VLOOKUP(CONCATENATE($A12,"_",U$3),'Unit List'!$A$14:$H$2838,2,FALSE)),"X",$P12)</f>
        <v/>
      </c>
      <c r="V12" s="66" t="str">
        <f>IF(ISTEXT(VLOOKUP(CONCATENATE($A12,"_",V$3),'Unit List'!$A$14:$H$2838,2,FALSE)),"X",$P12)</f>
        <v/>
      </c>
      <c r="W12" s="71" t="str">
        <f>IF(ISTEXT(VLOOKUP(CONCATENATE($A12,"_",W$3),'Unit List'!$A$14:$H$2838,2,FALSE)),"X",$P12)</f>
        <v/>
      </c>
      <c r="X12" s="68" t="str">
        <f>IF(ISTEXT(VLOOKUP(CONCATENATE($A12,"_",X$3),'Unit List'!$A$14:$H$2838,2,FALSE)),"+","")</f>
        <v/>
      </c>
      <c r="Y12" s="66" t="str">
        <f>IF(ISTEXT(VLOOKUP(CONCATENATE($A12,"_",Y$3),'Unit List'!$A$14:$H$2838,2,FALSE)),"X",$X12)</f>
        <v/>
      </c>
      <c r="Z12" s="66" t="str">
        <f>IF(ISTEXT(VLOOKUP(CONCATENATE($A12,"_",Z$3),'Unit List'!$A$14:$H$2838,2,FALSE)),"X",$X12)</f>
        <v/>
      </c>
      <c r="AA12" s="66" t="str">
        <f>IF(ISTEXT(VLOOKUP(CONCATENATE($A12,"_",AA$3),'Unit List'!$A$14:$H$2838,2,FALSE)),"X",$X12)</f>
        <v/>
      </c>
      <c r="AB12" s="66" t="str">
        <f>IF(ISTEXT(VLOOKUP(CONCATENATE($A12,"_",AB$3),'Unit List'!$A$14:$H$2838,2,FALSE)),"X",$X12)</f>
        <v/>
      </c>
      <c r="AC12" s="89" t="str">
        <f>IF(ISTEXT(VLOOKUP(CONCATENATE($A12,"_",AC$3),'Unit List'!$A$14:$H$2838,2,FALSE)),"X",$X12)</f>
        <v/>
      </c>
      <c r="AD12" s="68" t="str">
        <f>IF(ISTEXT(VLOOKUP(CONCATENATE($A12,"_",AD$3),'Unit List'!$A$14:$H$2838,2,FALSE)),"+","")</f>
        <v/>
      </c>
      <c r="AE12" s="62" t="str">
        <f>IF(ISTEXT(VLOOKUP(CONCATENATE($A12,"_",AE$3),'Unit List'!$A$14:$H$2838,2,FALSE)),"X",$AD12)</f>
        <v/>
      </c>
      <c r="AF12" s="72" t="str">
        <f>IF(ISTEXT(VLOOKUP(CONCATENATE($A12,"_",AF$3),'Unit List'!$A$14:$H$2838,2,FALSE)),"X",$AD12)</f>
        <v/>
      </c>
      <c r="AG12" s="68" t="str">
        <f>IF(ISTEXT(VLOOKUP(CONCATENATE($A12,"_",AG$3),'Unit List'!$A$14:$H$2838,2,FALSE)),"+","")</f>
        <v/>
      </c>
      <c r="AH12" s="66" t="str">
        <f>IF(ISTEXT(VLOOKUP(CONCATENATE($A12,"_",AH$3),'Unit List'!$A$14:$H$2838,2,FALSE)),"X",$AG12)</f>
        <v/>
      </c>
      <c r="AI12" s="66" t="str">
        <f>IF(ISTEXT(VLOOKUP(CONCATENATE($A12,"_",AI$3),'Unit List'!$A$14:$H$2838,2,FALSE)),"X",$AG12)</f>
        <v/>
      </c>
      <c r="AJ12" s="74" t="str">
        <f>IF(ISTEXT(VLOOKUP(CONCATENATE($A12,"_",AJ$3),'Unit List'!$A$14:$H$2838,2,FALSE)),"X",$AG12)</f>
        <v/>
      </c>
      <c r="AK12" s="64" t="str">
        <f>IF(ISTEXT(VLOOKUP(CONCATENATE($A12,"_",AK$3),'Unit List'!$A$14:$H$2838,2,FALSE)),"+","")</f>
        <v/>
      </c>
      <c r="AL12" s="69" t="str">
        <f>IF(ISTEXT(VLOOKUP(CONCATENATE($A12,"_",AL$3),'Unit List'!$A$14:$H$2838,2,FALSE)),"X",$AK12)</f>
        <v/>
      </c>
      <c r="AM12" s="88" t="str">
        <f>IF(ISTEXT(VLOOKUP(CONCATENATE($A12,"_",AM$3),'Unit List'!$A$14:$H$2838,2,FALSE)),"X",$AK12)</f>
        <v/>
      </c>
      <c r="AN12" s="91" t="str">
        <f>IF(ISTEXT(VLOOKUP(CONCATENATE($A12,"_",AN$3),'Unit List'!$A$14:$H$2838,2,FALSE)),"+","")</f>
        <v/>
      </c>
      <c r="AO12" s="74" t="str">
        <f>IF(ISTEXT(VLOOKUP(CONCATENATE($A12,"_",AO$3),'Unit List'!$A$14:$H$2838,2,FALSE)),"X",$AN12)</f>
        <v/>
      </c>
      <c r="AP12" s="68" t="str">
        <f>IF(ISTEXT(VLOOKUP(CONCATENATE($A12,"_",AP$3),'Unit List'!$A$14:$H$2838,2,FALSE)),"+","")</f>
        <v/>
      </c>
      <c r="AQ12" s="66" t="str">
        <f>IF(ISTEXT(VLOOKUP(CONCATENATE($A12,"_",AQ$3),'Unit List'!$A$14:$H$2838,2,FALSE)),"X",$AP12)</f>
        <v/>
      </c>
      <c r="AR12" s="66" t="str">
        <f>IF(ISTEXT(VLOOKUP(CONCATENATE($A12,"_",AR$3),'Unit List'!$A$14:$H$2838,2,FALSE)),"X",$AP12)</f>
        <v/>
      </c>
      <c r="AS12" s="66" t="str">
        <f>IF(ISTEXT(VLOOKUP(CONCATENATE($A12,"_",AS$3),'Unit List'!$A$14:$H$2838,2,FALSE)),"X",$AP12)</f>
        <v/>
      </c>
      <c r="AT12" s="74" t="str">
        <f>IF(ISTEXT(VLOOKUP(CONCATENATE($A12,"_",AT$3),'Unit List'!$A$14:$H$2838,2,FALSE)),"X",$AP12)</f>
        <v/>
      </c>
      <c r="AU12" s="77" t="str">
        <f>IF(ISTEXT(VLOOKUP(CONCATENATE($A12,"_",AU$3),'Unit List'!$A$14:$H$2838,2,FALSE)),"+","")</f>
        <v/>
      </c>
      <c r="AV12" s="66" t="str">
        <f>IF(ISTEXT(VLOOKUP(CONCATENATE($A12,"_",AV$3),'Unit List'!$A$14:$H$2838,2,FALSE)),"X",$AU12)</f>
        <v/>
      </c>
      <c r="AW12" s="74" t="str">
        <f>IF(ISTEXT(VLOOKUP(CONCATENATE($A12,"_",AW$3),'Unit List'!$A$14:$H$2838,2,FALSE)),"X",$AU12)</f>
        <v/>
      </c>
      <c r="AX12" s="68" t="str">
        <f>IF(ISTEXT(VLOOKUP(CONCATENATE($A12,"_",AX$3),'Unit List'!$A$14:$H$2838,2,FALSE)),"+","")</f>
        <v/>
      </c>
      <c r="AY12" s="66" t="str">
        <f>IF(ISTEXT(VLOOKUP(CONCATENATE($A12,"_",AY$3),'Unit List'!$A$14:$H$2838,2,FALSE)),"X",$AX12)</f>
        <v/>
      </c>
      <c r="AZ12" s="71" t="str">
        <f>IF(ISTEXT(VLOOKUP(CONCATENATE($A12,"_",AZ$3),'Unit List'!$A$14:$H$2838,2,FALSE)),"X",$AX12)</f>
        <v/>
      </c>
      <c r="BA12" s="78" t="str">
        <f>IF(ISTEXT(VLOOKUP(CONCATENATE($A12,"_",BA$3),'Unit List'!$A$14:$H$2838,2,FALSE)),"+","")</f>
        <v/>
      </c>
      <c r="BB12" s="66" t="str">
        <f>IF(ISTEXT(VLOOKUP(CONCATENATE($A12,"_",BB$3),'Unit List'!$A$14:$H$2838,2,FALSE)),"X",$BA12)</f>
        <v/>
      </c>
      <c r="BC12" s="66" t="str">
        <f>IF(ISTEXT(VLOOKUP(CONCATENATE($A12,"_",BC$3),'Unit List'!$A$14:$H$2838,2,FALSE)),"X",$BA12)</f>
        <v/>
      </c>
      <c r="BD12" s="74" t="str">
        <f>IF(ISTEXT(VLOOKUP(CONCATENATE($A12,"_",BD$3),'Unit List'!$A$14:$H$2838,2,FALSE)),"X",$BA12)</f>
        <v/>
      </c>
      <c r="BE12" s="91" t="str">
        <f>IF(ISTEXT(VLOOKUP(CONCATENATE($A12,"_",BE$3),'Unit List'!$A$14:$H$2838,2,FALSE)),"+","")</f>
        <v/>
      </c>
      <c r="BF12" s="89" t="str">
        <f>IF(ISTEXT(VLOOKUP(CONCATENATE($A12,"_",BF$3),'Unit List'!$A$14:$H$2838,2,FALSE)),"X",$BE12)</f>
        <v/>
      </c>
      <c r="BG12" s="92"/>
      <c r="BH12" s="93" t="s">
        <v>0</v>
      </c>
      <c r="BI12" s="264"/>
      <c r="BJ12" s="265"/>
      <c r="BK12" s="265"/>
      <c r="BL12" s="265"/>
      <c r="BM12" s="266"/>
      <c r="BN12" s="81"/>
      <c r="BO12" s="81"/>
      <c r="BP12" s="81"/>
      <c r="BQ12" s="81"/>
      <c r="BR12" s="81"/>
      <c r="BS12" s="81"/>
      <c r="DZ12" s="82"/>
      <c r="EA12" s="82"/>
    </row>
    <row r="13" spans="1:131" ht="12.75" customHeight="1" x14ac:dyDescent="0.2">
      <c r="A13" s="83" t="s">
        <v>38</v>
      </c>
      <c r="B13" s="59" t="str">
        <f>IF(ISTEXT(VLOOKUP(CONCATENATE($A13,"_",B$3),'Unit List'!$A$14:$H$2838,2,FALSE)),"+","")</f>
        <v/>
      </c>
      <c r="C13" s="84" t="str">
        <f>IF(ISTEXT(VLOOKUP(CONCATENATE($A13,"_",C$3),'Unit List'!$A$14:$H$2838,2,FALSE)),"X",$B13)</f>
        <v/>
      </c>
      <c r="D13" s="66" t="str">
        <f>IF(ISTEXT(VLOOKUP(CONCATENATE($A13,"_",D$3),'Unit List'!$A$14:$H$2838,2,FALSE)),"X",$B13)</f>
        <v/>
      </c>
      <c r="E13" s="66" t="str">
        <f>IF(ISTEXT(VLOOKUP(CONCATENATE($A13,"_",E$3),'Unit List'!$A$14:$H$2838,2,FALSE)),"X",$B13)</f>
        <v/>
      </c>
      <c r="F13" s="66" t="str">
        <f>IF(ISTEXT(VLOOKUP(CONCATENATE($A13,"_",F$3),'Unit List'!$A$14:$H$2838,2,FALSE)),"X",$B13)</f>
        <v/>
      </c>
      <c r="G13" s="66" t="str">
        <f>IF(ISTEXT(VLOOKUP(CONCATENATE($A13,"_",G$3),'Unit List'!$A$14:$H$2838,2,FALSE)),"X",$B13)</f>
        <v/>
      </c>
      <c r="H13" s="66" t="str">
        <f>IF(ISTEXT(VLOOKUP(CONCATENATE($A13,"_",H$3),'Unit List'!$A$14:$H$2838,2,FALSE)),"X",$B13)</f>
        <v/>
      </c>
      <c r="I13" s="74" t="str">
        <f>IF(ISTEXT(VLOOKUP(CONCATENATE($A13,"_",I$3),'Unit List'!$A$14:$H$2838,2,FALSE)),"X",$B13)</f>
        <v/>
      </c>
      <c r="J13" s="64" t="str">
        <f>IF(ISTEXT(VLOOKUP(CONCATENATE($A13,"_",J$3),'Unit List'!$A$14:$H$2838,2,FALSE)),"+","")</f>
        <v/>
      </c>
      <c r="K13" s="66" t="str">
        <f>IF(ISTEXT(VLOOKUP(CONCATENATE($A13,"_",K$3),'Unit List'!$A$14:$H$2838,2,FALSE)),"X",$J13)</f>
        <v/>
      </c>
      <c r="L13" s="89" t="str">
        <f>IF(ISTEXT(VLOOKUP(CONCATENATE($A13,"_",L$3),'Unit List'!$A$14:$H$2838,2,FALSE)),"X",$J13)</f>
        <v/>
      </c>
      <c r="M13" s="64" t="str">
        <f>IF(ISTEXT(VLOOKUP(CONCATENATE($A13,"_",M$3),'Unit List'!$A$14:$H$2838,2,FALSE)),"+","")</f>
        <v/>
      </c>
      <c r="N13" s="66" t="str">
        <f>IF(ISTEXT(VLOOKUP(CONCATENATE($A13,"_",N$3),'Unit List'!$A$14:$H$2838,2,FALSE)),"X",$M13)</f>
        <v/>
      </c>
      <c r="O13" s="74" t="str">
        <f>IF(ISTEXT(VLOOKUP(CONCATENATE($A13,"_",O$3),'Unit List'!$A$14:$H$2838,2,FALSE)),"X",$M13)</f>
        <v/>
      </c>
      <c r="P13" s="68" t="str">
        <f>IF(ISTEXT(VLOOKUP(CONCATENATE($A13,"_",P$3),'Unit List'!$A$14:$H$2838,2,FALSE)),"+","")</f>
        <v/>
      </c>
      <c r="Q13" s="66" t="str">
        <f>IF(ISTEXT(VLOOKUP(CONCATENATE($A13,"_",Q$3),'Unit List'!$A$14:$H$2838,2,FALSE)),"X",$P13)</f>
        <v/>
      </c>
      <c r="R13" s="66" t="str">
        <f>IF(ISTEXT(VLOOKUP(CONCATENATE($A13,"_",R$3),'Unit List'!$A$14:$H$2838,2,FALSE)),"X",$P13)</f>
        <v/>
      </c>
      <c r="S13" s="66" t="str">
        <f>IF(ISTEXT(VLOOKUP(CONCATENATE($A13,"_",S$3),'Unit List'!$A$14:$H$2838,2,FALSE)),"X",$P13)</f>
        <v/>
      </c>
      <c r="T13" s="126" t="s">
        <v>0</v>
      </c>
      <c r="U13" s="66" t="str">
        <f>IF(ISTEXT(VLOOKUP(CONCATENATE($A13,"_",U$3),'Unit List'!$A$14:$H$2838,2,FALSE)),"X",$P13)</f>
        <v/>
      </c>
      <c r="V13" s="66" t="str">
        <f>IF(ISTEXT(VLOOKUP(CONCATENATE($A13,"_",V$3),'Unit List'!$A$14:$H$2838,2,FALSE)),"X",$P13)</f>
        <v/>
      </c>
      <c r="W13" s="71" t="str">
        <f>IF(ISTEXT(VLOOKUP(CONCATENATE($A13,"_",W$3),'Unit List'!$A$14:$H$2838,2,FALSE)),"X",$P13)</f>
        <v/>
      </c>
      <c r="X13" s="68" t="str">
        <f>IF(ISTEXT(VLOOKUP(CONCATENATE($A13,"_",X$3),'Unit List'!$A$14:$H$2838,2,FALSE)),"+","")</f>
        <v/>
      </c>
      <c r="Y13" s="66" t="str">
        <f>IF(ISTEXT(VLOOKUP(CONCATENATE($A13,"_",Y$3),'Unit List'!$A$14:$H$2838,2,FALSE)),"X",$X13)</f>
        <v/>
      </c>
      <c r="Z13" s="66" t="str">
        <f>IF(ISTEXT(VLOOKUP(CONCATENATE($A13,"_",Z$3),'Unit List'!$A$14:$H$2838,2,FALSE)),"X",$X13)</f>
        <v/>
      </c>
      <c r="AA13" s="66" t="str">
        <f>IF(ISTEXT(VLOOKUP(CONCATENATE($A13,"_",AA$3),'Unit List'!$A$14:$H$2838,2,FALSE)),"X",$X13)</f>
        <v/>
      </c>
      <c r="AB13" s="66" t="str">
        <f>IF(ISTEXT(VLOOKUP(CONCATENATE($A13,"_",AB$3),'Unit List'!$A$14:$H$2838,2,FALSE)),"X",$X13)</f>
        <v/>
      </c>
      <c r="AC13" s="89" t="str">
        <f>IF(ISTEXT(VLOOKUP(CONCATENATE($A13,"_",AC$3),'Unit List'!$A$14:$H$2838,2,FALSE)),"X",$X13)</f>
        <v/>
      </c>
      <c r="AD13" s="68" t="str">
        <f>IF(ISTEXT(VLOOKUP(CONCATENATE($A13,"_",AD$3),'Unit List'!$A$14:$H$2838,2,FALSE)),"+","")</f>
        <v/>
      </c>
      <c r="AE13" s="62" t="str">
        <f>IF(ISTEXT(VLOOKUP(CONCATENATE($A13,"_",AE$3),'Unit List'!$A$14:$H$2838,2,FALSE)),"X",$AD13)</f>
        <v/>
      </c>
      <c r="AF13" s="72" t="str">
        <f>IF(ISTEXT(VLOOKUP(CONCATENATE($A13,"_",AF$3),'Unit List'!$A$14:$H$2838,2,FALSE)),"X",$AD13)</f>
        <v/>
      </c>
      <c r="AG13" s="68" t="str">
        <f>IF(ISTEXT(VLOOKUP(CONCATENATE($A13,"_",AG$3),'Unit List'!$A$14:$H$2838,2,FALSE)),"+","")</f>
        <v/>
      </c>
      <c r="AH13" s="66" t="str">
        <f>IF(ISTEXT(VLOOKUP(CONCATENATE($A13,"_",AH$3),'Unit List'!$A$14:$H$2838,2,FALSE)),"X",$AG13)</f>
        <v/>
      </c>
      <c r="AI13" s="66" t="str">
        <f>IF(ISTEXT(VLOOKUP(CONCATENATE($A13,"_",AI$3),'Unit List'!$A$14:$H$2838,2,FALSE)),"X",$AG13)</f>
        <v/>
      </c>
      <c r="AJ13" s="74" t="str">
        <f>IF(ISTEXT(VLOOKUP(CONCATENATE($A13,"_",AJ$3),'Unit List'!$A$14:$H$2838,2,FALSE)),"X",$AG13)</f>
        <v/>
      </c>
      <c r="AK13" s="64" t="str">
        <f>IF(ISTEXT(VLOOKUP(CONCATENATE($A13,"_",AK$3),'Unit List'!$A$14:$H$2838,2,FALSE)),"+","")</f>
        <v/>
      </c>
      <c r="AL13" s="69" t="str">
        <f>IF(ISTEXT(VLOOKUP(CONCATENATE($A13,"_",AL$3),'Unit List'!$A$14:$H$2838,2,FALSE)),"X",$AK13)</f>
        <v/>
      </c>
      <c r="AM13" s="74" t="str">
        <f>IF(ISTEXT(VLOOKUP(CONCATENATE($A13,"_",AM$3),'Unit List'!$A$14:$H$2838,2,FALSE)),"X",$AK13)</f>
        <v/>
      </c>
      <c r="AN13" s="91" t="str">
        <f>IF(ISTEXT(VLOOKUP(CONCATENATE($A13,"_",AN$3),'Unit List'!$A$14:$H$2838,2,FALSE)),"+","")</f>
        <v/>
      </c>
      <c r="AO13" s="74" t="str">
        <f>IF(ISTEXT(VLOOKUP(CONCATENATE($A13,"_",AO$3),'Unit List'!$A$14:$H$2838,2,FALSE)),"X",$AN13)</f>
        <v/>
      </c>
      <c r="AP13" s="68" t="str">
        <f>IF(ISTEXT(VLOOKUP(CONCATENATE($A13,"_",AP$3),'Unit List'!$A$14:$H$2838,2,FALSE)),"+","")</f>
        <v/>
      </c>
      <c r="AQ13" s="66" t="str">
        <f>IF(ISTEXT(VLOOKUP(CONCATENATE($A13,"_",AQ$3),'Unit List'!$A$14:$H$2838,2,FALSE)),"X",$AP13)</f>
        <v/>
      </c>
      <c r="AR13" s="66" t="str">
        <f>IF(ISTEXT(VLOOKUP(CONCATENATE($A13,"_",AR$3),'Unit List'!$A$14:$H$2838,2,FALSE)),"X",$AP13)</f>
        <v/>
      </c>
      <c r="AS13" s="127" t="s">
        <v>0</v>
      </c>
      <c r="AT13" s="74" t="str">
        <f>IF(ISTEXT(VLOOKUP(CONCATENATE($A13,"_",AT$3),'Unit List'!$A$14:$H$2838,2,FALSE)),"X",$AP13)</f>
        <v/>
      </c>
      <c r="AU13" s="77" t="str">
        <f>IF(ISTEXT(VLOOKUP(CONCATENATE($A13,"_",AU$3),'Unit List'!$A$14:$H$2838,2,FALSE)),"+","")</f>
        <v/>
      </c>
      <c r="AV13" s="66" t="str">
        <f>IF(ISTEXT(VLOOKUP(CONCATENATE($A13,"_",AV$3),'Unit List'!$A$14:$H$2838,2,FALSE)),"X",$AU13)</f>
        <v/>
      </c>
      <c r="AW13" s="74" t="str">
        <f>IF(ISTEXT(VLOOKUP(CONCATENATE($A13,"_",AW$3),'Unit List'!$A$14:$H$2838,2,FALSE)),"X",$AU13)</f>
        <v/>
      </c>
      <c r="AX13" s="68" t="str">
        <f>IF(ISTEXT(VLOOKUP(CONCATENATE($A13,"_",AX$3),'Unit List'!$A$14:$H$2838,2,FALSE)),"+","")</f>
        <v/>
      </c>
      <c r="AY13" s="66" t="str">
        <f>IF(ISTEXT(VLOOKUP(CONCATENATE($A13,"_",AY$3),'Unit List'!$A$14:$H$2838,2,FALSE)),"X",$AX13)</f>
        <v/>
      </c>
      <c r="AZ13" s="71" t="str">
        <f>IF(ISTEXT(VLOOKUP(CONCATENATE($A13,"_",AZ$3),'Unit List'!$A$14:$H$2838,2,FALSE)),"X",$AX13)</f>
        <v/>
      </c>
      <c r="BA13" s="78" t="str">
        <f>IF(ISTEXT(VLOOKUP(CONCATENATE($A13,"_",BA$3),'Unit List'!$A$14:$H$2838,2,FALSE)),"+","")</f>
        <v/>
      </c>
      <c r="BB13" s="66" t="str">
        <f>IF(ISTEXT(VLOOKUP(CONCATENATE($A13,"_",BB$3),'Unit List'!$A$14:$H$2838,2,FALSE)),"X",$BA13)</f>
        <v/>
      </c>
      <c r="BC13" s="66" t="str">
        <f>IF(ISTEXT(VLOOKUP(CONCATENATE($A13,"_",BC$3),'Unit List'!$A$14:$H$2838,2,FALSE)),"X",$BA13)</f>
        <v/>
      </c>
      <c r="BD13" s="74" t="str">
        <f>IF(ISTEXT(VLOOKUP(CONCATENATE($A13,"_",BD$3),'Unit List'!$A$14:$H$2838,2,FALSE)),"X",$BA13)</f>
        <v/>
      </c>
      <c r="BE13" s="91" t="str">
        <f>IF(ISTEXT(VLOOKUP(CONCATENATE($A13,"_",BE$3),'Unit List'!$A$14:$H$2838,2,FALSE)),"+","")</f>
        <v/>
      </c>
      <c r="BF13" s="89" t="str">
        <f>IF(ISTEXT(VLOOKUP(CONCATENATE($A13,"_",BF$3),'Unit List'!$A$14:$H$2838,2,FALSE)),"X",$BE13)</f>
        <v/>
      </c>
      <c r="BG13" s="111"/>
      <c r="BH13" s="121"/>
      <c r="BI13" s="264"/>
      <c r="BJ13" s="265"/>
      <c r="BK13" s="265"/>
      <c r="BL13" s="265"/>
      <c r="BM13" s="266"/>
      <c r="BN13" s="81"/>
      <c r="BO13" s="81"/>
      <c r="BP13" s="81"/>
      <c r="BQ13" s="81"/>
      <c r="BR13" s="81"/>
      <c r="BS13" s="81"/>
      <c r="DZ13" s="82"/>
      <c r="EA13" s="82"/>
    </row>
    <row r="14" spans="1:131" ht="12.75" customHeight="1" x14ac:dyDescent="0.2">
      <c r="A14" s="83" t="s">
        <v>37</v>
      </c>
      <c r="B14" s="59" t="str">
        <f>IF(ISTEXT(VLOOKUP(CONCATENATE($A14,"_",B$3),'Unit List'!$A$14:$H$2838,2,FALSE)),"+","")</f>
        <v/>
      </c>
      <c r="C14" s="119" t="str">
        <f>IF(ISTEXT(VLOOKUP(CONCATENATE($A14,"_",C$3),'Unit List'!$A$14:$H$2838,2,FALSE)),"X",$B14)</f>
        <v>X</v>
      </c>
      <c r="D14" s="66" t="str">
        <f>IF(ISTEXT(VLOOKUP(CONCATENATE($A14,"_",D$3),'Unit List'!$A$14:$H$2838,2,FALSE)),"X",$B14)</f>
        <v>X</v>
      </c>
      <c r="E14" s="133" t="str">
        <f>IF(ISTEXT(VLOOKUP(CONCATENATE($A14,"_",E$3),'Unit List'!$A$14:$H$2838,2,FALSE)),"X",$B14)</f>
        <v>X</v>
      </c>
      <c r="F14" s="96" t="str">
        <f>IF(ISTEXT(VLOOKUP(CONCATENATE($A14,"_",F$3),'Unit List'!$A$14:$H$2838,2,FALSE)),"X",$B14)</f>
        <v>X</v>
      </c>
      <c r="G14" s="96" t="str">
        <f>IF(ISTEXT(VLOOKUP(CONCATENATE($A14,"_",G$3),'Unit List'!$A$14:$H$2838,2,FALSE)),"X",$B14)</f>
        <v>X</v>
      </c>
      <c r="H14" s="96" t="str">
        <f>IF(ISTEXT(VLOOKUP(CONCATENATE($A14,"_",H$3),'Unit List'!$A$14:$H$2838,2,FALSE)),"X",$B14)</f>
        <v>X</v>
      </c>
      <c r="I14" s="74" t="str">
        <f>IF(ISTEXT(VLOOKUP(CONCATENATE($A14,"_",I$3),'Unit List'!$A$14:$H$2838,2,FALSE)),"X",$B14)</f>
        <v/>
      </c>
      <c r="J14" s="64" t="str">
        <f>IF(ISTEXT(VLOOKUP(CONCATENATE($A14,"_",J$3),'Unit List'!$A$14:$H$2838,2,FALSE)),"+","")</f>
        <v/>
      </c>
      <c r="K14" s="66" t="str">
        <f>IF(ISTEXT(VLOOKUP(CONCATENATE($A14,"_",K$3),'Unit List'!$A$14:$H$2838,2,FALSE)),"X",$J14)</f>
        <v/>
      </c>
      <c r="L14" s="123" t="str">
        <f>IF(ISTEXT(VLOOKUP(CONCATENATE($A14,"_",L$3),'Unit List'!$A$14:$H$2838,2,FALSE)),"X",$J14)</f>
        <v>X</v>
      </c>
      <c r="M14" s="64" t="str">
        <f>IF(ISTEXT(VLOOKUP(CONCATENATE($A14,"_",M$3),'Unit List'!$A$14:$H$2838,2,FALSE)),"+","")</f>
        <v>+</v>
      </c>
      <c r="N14" s="66" t="str">
        <f>IF(ISTEXT(VLOOKUP(CONCATENATE($A14,"_",N$3),'Unit List'!$A$14:$H$2838,2,FALSE)),"X",$M14)</f>
        <v>+</v>
      </c>
      <c r="O14" s="100" t="str">
        <f>IF(ISTEXT(VLOOKUP(CONCATENATE($A14,"_",O$3),'Unit List'!$A$14:$H$2838,2,FALSE)),"X",$M14)</f>
        <v>X</v>
      </c>
      <c r="P14" s="68" t="str">
        <f>IF(ISTEXT(VLOOKUP(CONCATENATE($A14,"_",P$3),'Unit List'!$A$14:$H$2838,2,FALSE)),"+","")</f>
        <v/>
      </c>
      <c r="Q14" s="66" t="str">
        <f>IF(ISTEXT(VLOOKUP(CONCATENATE($A14,"_",Q$3),'Unit List'!$A$14:$H$2838,2,FALSE)),"X",$P14)</f>
        <v/>
      </c>
      <c r="R14" s="66" t="str">
        <f>IF(ISTEXT(VLOOKUP(CONCATENATE($A14,"_",R$3),'Unit List'!$A$14:$H$2838,2,FALSE)),"X",$P14)</f>
        <v/>
      </c>
      <c r="S14" s="66" t="str">
        <f>IF(ISTEXT(VLOOKUP(CONCATENATE($A14,"_",S$3),'Unit List'!$A$14:$H$2838,2,FALSE)),"X",$P14)</f>
        <v/>
      </c>
      <c r="T14" s="69" t="str">
        <f>IF(ISTEXT(VLOOKUP(CONCATENATE($A14,"_",T$3),'Unit List'!$A$14:$H$2838,2,FALSE)),"X",$P14)</f>
        <v/>
      </c>
      <c r="U14" s="96" t="str">
        <f>IF(ISTEXT(VLOOKUP(CONCATENATE($A14,"_",U$3),'Unit List'!$A$14:$H$2838,2,FALSE)),"X",$P14)</f>
        <v>X</v>
      </c>
      <c r="V14" s="66" t="str">
        <f>IF(ISTEXT(VLOOKUP(CONCATENATE($A14,"_",V$3),'Unit List'!$A$14:$H$2838,2,FALSE)),"X",$P14)</f>
        <v/>
      </c>
      <c r="W14" s="71" t="str">
        <f>IF(ISTEXT(VLOOKUP(CONCATENATE($A14,"_",W$3),'Unit List'!$A$14:$H$2838,2,FALSE)),"X",$P14)</f>
        <v/>
      </c>
      <c r="X14" s="68" t="str">
        <f>IF(ISTEXT(VLOOKUP(CONCATENATE($A14,"_",X$3),'Unit List'!$A$14:$H$2838,2,FALSE)),"+","")</f>
        <v/>
      </c>
      <c r="Y14" s="66" t="str">
        <f>IF(ISTEXT(VLOOKUP(CONCATENATE($A14,"_",Y$3),'Unit List'!$A$14:$H$2838,2,FALSE)),"X",$X14)</f>
        <v/>
      </c>
      <c r="Z14" s="66" t="str">
        <f>IF(ISTEXT(VLOOKUP(CONCATENATE($A14,"_",Z$3),'Unit List'!$A$14:$H$2838,2,FALSE)),"X",$X14)</f>
        <v/>
      </c>
      <c r="AA14" s="66" t="str">
        <f>IF(ISTEXT(VLOOKUP(CONCATENATE($A14,"_",AA$3),'Unit List'!$A$14:$H$2838,2,FALSE)),"X",$X14)</f>
        <v/>
      </c>
      <c r="AB14" s="66" t="str">
        <f>IF(ISTEXT(VLOOKUP(CONCATENATE($A14,"_",AB$3),'Unit List'!$A$14:$H$2838,2,FALSE)),"X",$X14)</f>
        <v/>
      </c>
      <c r="AC14" s="89" t="str">
        <f>IF(ISTEXT(VLOOKUP(CONCATENATE($A14,"_",AC$3),'Unit List'!$A$14:$H$2838,2,FALSE)),"X",$X14)</f>
        <v/>
      </c>
      <c r="AD14" s="68" t="str">
        <f>IF(ISTEXT(VLOOKUP(CONCATENATE($A14,"_",AD$3),'Unit List'!$A$14:$H$2838,2,FALSE)),"+","")</f>
        <v/>
      </c>
      <c r="AE14" s="62" t="str">
        <f>IF(ISTEXT(VLOOKUP(CONCATENATE($A14,"_",AE$3),'Unit List'!$A$14:$H$2838,2,FALSE)),"X",$AD14)</f>
        <v/>
      </c>
      <c r="AF14" s="72" t="str">
        <f>IF(ISTEXT(VLOOKUP(CONCATENATE($A14,"_",AF$3),'Unit List'!$A$14:$H$2838,2,FALSE)),"X",$AD14)</f>
        <v/>
      </c>
      <c r="AG14" s="68" t="str">
        <f>IF(ISTEXT(VLOOKUP(CONCATENATE($A14,"_",AG$3),'Unit List'!$A$14:$H$2838,2,FALSE)),"+","")</f>
        <v/>
      </c>
      <c r="AH14" s="66" t="str">
        <f>IF(ISTEXT(VLOOKUP(CONCATENATE($A14,"_",AH$3),'Unit List'!$A$14:$H$2838,2,FALSE)),"X",$AG14)</f>
        <v/>
      </c>
      <c r="AI14" s="66" t="str">
        <f>IF(ISTEXT(VLOOKUP(CONCATENATE($A14,"_",AI$3),'Unit List'!$A$14:$H$2838,2,FALSE)),"X",$AG14)</f>
        <v/>
      </c>
      <c r="AJ14" s="74" t="str">
        <f>IF(ISTEXT(VLOOKUP(CONCATENATE($A14,"_",AJ$3),'Unit List'!$A$14:$H$2838,2,FALSE)),"X",$AG14)</f>
        <v/>
      </c>
      <c r="AK14" s="64" t="str">
        <f>IF(ISTEXT(VLOOKUP(CONCATENATE($A14,"_",AK$3),'Unit List'!$A$14:$H$2838,2,FALSE)),"+","")</f>
        <v/>
      </c>
      <c r="AL14" s="69" t="str">
        <f>IF(ISTEXT(VLOOKUP(CONCATENATE($A14,"_",AL$3),'Unit List'!$A$14:$H$2838,2,FALSE)),"X",$AK14)</f>
        <v/>
      </c>
      <c r="AM14" s="74" t="str">
        <f>IF(ISTEXT(VLOOKUP(CONCATENATE($A14,"_",AM$3),'Unit List'!$A$14:$H$2838,2,FALSE)),"X",$AK14)</f>
        <v/>
      </c>
      <c r="AN14" s="91" t="str">
        <f>IF(ISTEXT(VLOOKUP(CONCATENATE($A14,"_",AN$3),'Unit List'!$A$14:$H$2838,2,FALSE)),"+","")</f>
        <v/>
      </c>
      <c r="AO14" s="74" t="str">
        <f>IF(ISTEXT(VLOOKUP(CONCATENATE($A14,"_",AO$3),'Unit List'!$A$14:$H$2838,2,FALSE)),"X",$AN14)</f>
        <v/>
      </c>
      <c r="AP14" s="68" t="str">
        <f>IF(ISTEXT(VLOOKUP(CONCATENATE($A14,"_",AP$3),'Unit List'!$A$14:$H$2838,2,FALSE)),"+","")</f>
        <v>+</v>
      </c>
      <c r="AQ14" s="66" t="str">
        <f>IF(ISTEXT(VLOOKUP(CONCATENATE($A14,"_",AQ$3),'Unit List'!$A$14:$H$2838,2,FALSE)),"X",$AP14)</f>
        <v>+</v>
      </c>
      <c r="AR14" s="96" t="str">
        <f>IF(ISTEXT(VLOOKUP(CONCATENATE($A14,"_",AR$3),'Unit List'!$A$14:$H$2838,2,FALSE)),"X",$AP14)</f>
        <v>X</v>
      </c>
      <c r="AS14" s="66" t="str">
        <f>IF(ISTEXT(VLOOKUP(CONCATENATE($A14,"_",AS$3),'Unit List'!$A$14:$H$2838,2,FALSE)),"X",$AP14)</f>
        <v>+</v>
      </c>
      <c r="AT14" s="74" t="str">
        <f>IF(ISTEXT(VLOOKUP(CONCATENATE($A14,"_",AT$3),'Unit List'!$A$14:$H$2838,2,FALSE)),"X",$AP14)</f>
        <v>+</v>
      </c>
      <c r="AU14" s="77" t="str">
        <f>IF(ISTEXT(VLOOKUP(CONCATENATE($A14,"_",AU$3),'Unit List'!$A$14:$H$2838,2,FALSE)),"+","")</f>
        <v/>
      </c>
      <c r="AV14" s="66" t="str">
        <f>IF(ISTEXT(VLOOKUP(CONCATENATE($A14,"_",AV$3),'Unit List'!$A$14:$H$2838,2,FALSE)),"X",$AU14)</f>
        <v/>
      </c>
      <c r="AW14" s="74" t="str">
        <f>IF(ISTEXT(VLOOKUP(CONCATENATE($A14,"_",AW$3),'Unit List'!$A$14:$H$2838,2,FALSE)),"X",$AU14)</f>
        <v/>
      </c>
      <c r="AX14" s="68" t="str">
        <f>IF(ISTEXT(VLOOKUP(CONCATENATE($A14,"_",AX$3),'Unit List'!$A$14:$H$2838,2,FALSE)),"+","")</f>
        <v>+</v>
      </c>
      <c r="AY14" s="133" t="str">
        <f>IF(ISTEXT(VLOOKUP(CONCATENATE($A14,"_",AY$3),'Unit List'!$A$14:$H$2838,2,FALSE)),"X",$AX14)</f>
        <v>+</v>
      </c>
      <c r="AZ14" s="134" t="str">
        <f>IF(ISTEXT(VLOOKUP(CONCATENATE($A14,"_",AZ$3),'Unit List'!$A$14:$H$2838,2,FALSE)),"X",$AX14)</f>
        <v>+</v>
      </c>
      <c r="BA14" s="78" t="str">
        <f>IF(ISTEXT(VLOOKUP(CONCATENATE($A14,"_",BA$3),'Unit List'!$A$14:$H$2838,2,FALSE)),"+","")</f>
        <v/>
      </c>
      <c r="BB14" s="66" t="str">
        <f>IF(ISTEXT(VLOOKUP(CONCATENATE($A14,"_",BB$3),'Unit List'!$A$14:$H$2838,2,FALSE)),"X",$BA14)</f>
        <v/>
      </c>
      <c r="BC14" s="66" t="str">
        <f>IF(ISTEXT(VLOOKUP(CONCATENATE($A14,"_",BC$3),'Unit List'!$A$14:$H$2838,2,FALSE)),"X",$BA14)</f>
        <v/>
      </c>
      <c r="BD14" s="74" t="str">
        <f>IF(ISTEXT(VLOOKUP(CONCATENATE($A14,"_",BD$3),'Unit List'!$A$14:$H$2838,2,FALSE)),"X",$BA14)</f>
        <v/>
      </c>
      <c r="BE14" s="91" t="str">
        <f>IF(ISTEXT(VLOOKUP(CONCATENATE($A14,"_",BE$3),'Unit List'!$A$14:$H$2838,2,FALSE)),"+","")</f>
        <v>+</v>
      </c>
      <c r="BF14" s="135" t="str">
        <f>IF(ISTEXT(VLOOKUP(CONCATENATE($A14,"_",BF$3),'Unit List'!$A$14:$H$2838,2,FALSE)),"X",$BE14)</f>
        <v>+</v>
      </c>
      <c r="BG14" s="92" t="s">
        <v>0</v>
      </c>
      <c r="BH14" s="93" t="s">
        <v>0</v>
      </c>
      <c r="BI14" s="264"/>
      <c r="BJ14" s="265"/>
      <c r="BK14" s="265"/>
      <c r="BL14" s="265"/>
      <c r="BM14" s="266"/>
      <c r="BN14" s="81"/>
      <c r="BO14" s="81"/>
      <c r="BP14" s="81"/>
      <c r="BQ14" s="81"/>
      <c r="BR14" s="81"/>
      <c r="BS14" s="81"/>
      <c r="DZ14" s="82"/>
      <c r="EA14" s="82"/>
    </row>
    <row r="15" spans="1:131" ht="12.75" customHeight="1" x14ac:dyDescent="0.2">
      <c r="A15" s="83" t="s">
        <v>36</v>
      </c>
      <c r="B15" s="59" t="str">
        <f>IF(ISTEXT(VLOOKUP(CONCATENATE($A15,"_",B$3),'Unit List'!$A$14:$H$2838,2,FALSE)),"+","")</f>
        <v/>
      </c>
      <c r="C15" s="84" t="str">
        <f>IF(ISTEXT(VLOOKUP(CONCATENATE($A15,"_",C$3),'Unit List'!$A$14:$H$2838,2,FALSE)),"X",$B15)</f>
        <v/>
      </c>
      <c r="D15" s="66" t="str">
        <f>IF(ISTEXT(VLOOKUP(CONCATENATE($A15,"_",D$3),'Unit List'!$A$14:$H$2838,2,FALSE)),"X",$B15)</f>
        <v/>
      </c>
      <c r="E15" s="66" t="str">
        <f>IF(ISTEXT(VLOOKUP(CONCATENATE($A15,"_",E$3),'Unit List'!$A$14:$H$2838,2,FALSE)),"X",$B15)</f>
        <v/>
      </c>
      <c r="F15" s="66" t="str">
        <f>IF(ISTEXT(VLOOKUP(CONCATENATE($A15,"_",F$3),'Unit List'!$A$14:$H$2838,2,FALSE)),"X",$B15)</f>
        <v/>
      </c>
      <c r="G15" s="66" t="str">
        <f>IF(ISTEXT(VLOOKUP(CONCATENATE($A15,"_",G$3),'Unit List'!$A$14:$H$2838,2,FALSE)),"X",$B15)</f>
        <v/>
      </c>
      <c r="H15" s="66" t="str">
        <f>IF(ISTEXT(VLOOKUP(CONCATENATE($A15,"_",H$3),'Unit List'!$A$14:$H$2838,2,FALSE)),"X",$B15)</f>
        <v/>
      </c>
      <c r="I15" s="74" t="str">
        <f>IF(ISTEXT(VLOOKUP(CONCATENATE($A15,"_",I$3),'Unit List'!$A$14:$H$2838,2,FALSE)),"X",$B15)</f>
        <v/>
      </c>
      <c r="J15" s="64" t="str">
        <f>IF(ISTEXT(VLOOKUP(CONCATENATE($A15,"_",J$3),'Unit List'!$A$14:$H$2838,2,FALSE)),"+","")</f>
        <v/>
      </c>
      <c r="K15" s="66" t="str">
        <f>IF(ISTEXT(VLOOKUP(CONCATENATE($A15,"_",K$3),'Unit List'!$A$14:$H$2838,2,FALSE)),"X",$J15)</f>
        <v/>
      </c>
      <c r="L15" s="89" t="str">
        <f>IF(ISTEXT(VLOOKUP(CONCATENATE($A15,"_",L$3),'Unit List'!$A$14:$H$2838,2,FALSE)),"X",$J15)</f>
        <v/>
      </c>
      <c r="M15" s="64" t="str">
        <f>IF(ISTEXT(VLOOKUP(CONCATENATE($A15,"_",M$3),'Unit List'!$A$14:$H$2838,2,FALSE)),"+","")</f>
        <v/>
      </c>
      <c r="N15" s="66" t="str">
        <f>IF(ISTEXT(VLOOKUP(CONCATENATE($A15,"_",N$3),'Unit List'!$A$14:$H$2838,2,FALSE)),"X",$M15)</f>
        <v/>
      </c>
      <c r="O15" s="74" t="str">
        <f>IF(ISTEXT(VLOOKUP(CONCATENATE($A15,"_",O$3),'Unit List'!$A$14:$H$2838,2,FALSE)),"X",$M15)</f>
        <v/>
      </c>
      <c r="P15" s="68" t="str">
        <f>IF(ISTEXT(VLOOKUP(CONCATENATE($A15,"_",P$3),'Unit List'!$A$14:$H$2838,2,FALSE)),"+","")</f>
        <v/>
      </c>
      <c r="Q15" s="66" t="str">
        <f>IF(ISTEXT(VLOOKUP(CONCATENATE($A15,"_",Q$3),'Unit List'!$A$14:$H$2838,2,FALSE)),"X",$P15)</f>
        <v/>
      </c>
      <c r="R15" s="66" t="str">
        <f>IF(ISTEXT(VLOOKUP(CONCATENATE($A15,"_",R$3),'Unit List'!$A$14:$H$2838,2,FALSE)),"X",$P15)</f>
        <v/>
      </c>
      <c r="S15" s="66" t="str">
        <f>IF(ISTEXT(VLOOKUP(CONCATENATE($A15,"_",S$3),'Unit List'!$A$14:$H$2838,2,FALSE)),"X",$P15)</f>
        <v/>
      </c>
      <c r="T15" s="69" t="str">
        <f>IF(ISTEXT(VLOOKUP(CONCATENATE($A15,"_",T$3),'Unit List'!$A$14:$H$2838,2,FALSE)),"X",$P15)</f>
        <v/>
      </c>
      <c r="U15" s="127" t="s">
        <v>0</v>
      </c>
      <c r="V15" s="66" t="str">
        <f>IF(ISTEXT(VLOOKUP(CONCATENATE($A15,"_",V$3),'Unit List'!$A$14:$H$2838,2,FALSE)),"X",$P15)</f>
        <v/>
      </c>
      <c r="W15" s="71" t="str">
        <f>IF(ISTEXT(VLOOKUP(CONCATENATE($A15,"_",W$3),'Unit List'!$A$14:$H$2838,2,FALSE)),"X",$P15)</f>
        <v/>
      </c>
      <c r="X15" s="68" t="str">
        <f>IF(ISTEXT(VLOOKUP(CONCATENATE($A15,"_",X$3),'Unit List'!$A$14:$H$2838,2,FALSE)),"+","")</f>
        <v/>
      </c>
      <c r="Y15" s="66" t="str">
        <f>IF(ISTEXT(VLOOKUP(CONCATENATE($A15,"_",Y$3),'Unit List'!$A$14:$H$2838,2,FALSE)),"X",$X15)</f>
        <v/>
      </c>
      <c r="Z15" s="128" t="s">
        <v>0</v>
      </c>
      <c r="AA15" s="66" t="str">
        <f>IF(ISTEXT(VLOOKUP(CONCATENATE($A15,"_",AA$3),'Unit List'!$A$14:$H$2838,2,FALSE)),"X",$X15)</f>
        <v/>
      </c>
      <c r="AB15" s="66" t="str">
        <f>IF(ISTEXT(VLOOKUP(CONCATENATE($A15,"_",AB$3),'Unit List'!$A$14:$H$2838,2,FALSE)),"X",$X15)</f>
        <v/>
      </c>
      <c r="AC15" s="89" t="str">
        <f>IF(ISTEXT(VLOOKUP(CONCATENATE($A15,"_",AC$3),'Unit List'!$A$14:$H$2838,2,FALSE)),"X",$X15)</f>
        <v/>
      </c>
      <c r="AD15" s="68" t="str">
        <f>IF(ISTEXT(VLOOKUP(CONCATENATE($A15,"_",AD$3),'Unit List'!$A$14:$H$2838,2,FALSE)),"+","")</f>
        <v/>
      </c>
      <c r="AE15" s="62" t="str">
        <f>IF(ISTEXT(VLOOKUP(CONCATENATE($A15,"_",AE$3),'Unit List'!$A$14:$H$2838,2,FALSE)),"X",$AD15)</f>
        <v/>
      </c>
      <c r="AF15" s="72" t="str">
        <f>IF(ISTEXT(VLOOKUP(CONCATENATE($A15,"_",AF$3),'Unit List'!$A$14:$H$2838,2,FALSE)),"X",$AD15)</f>
        <v/>
      </c>
      <c r="AG15" s="68" t="str">
        <f>IF(ISTEXT(VLOOKUP(CONCATENATE($A15,"_",AG$3),'Unit List'!$A$14:$H$2838,2,FALSE)),"+","")</f>
        <v/>
      </c>
      <c r="AH15" s="66" t="str">
        <f>IF(ISTEXT(VLOOKUP(CONCATENATE($A15,"_",AH$3),'Unit List'!$A$14:$H$2838,2,FALSE)),"X",$AG15)</f>
        <v/>
      </c>
      <c r="AI15" s="66" t="str">
        <f>IF(ISTEXT(VLOOKUP(CONCATENATE($A15,"_",AI$3),'Unit List'!$A$14:$H$2838,2,FALSE)),"X",$AG15)</f>
        <v/>
      </c>
      <c r="AJ15" s="74" t="str">
        <f>IF(ISTEXT(VLOOKUP(CONCATENATE($A15,"_",AJ$3),'Unit List'!$A$14:$H$2838,2,FALSE)),"X",$AG15)</f>
        <v/>
      </c>
      <c r="AK15" s="64" t="str">
        <f>IF(ISTEXT(VLOOKUP(CONCATENATE($A15,"_",AK$3),'Unit List'!$A$14:$H$2838,2,FALSE)),"+","")</f>
        <v/>
      </c>
      <c r="AL15" s="69" t="str">
        <f>IF(ISTEXT(VLOOKUP(CONCATENATE($A15,"_",AL$3),'Unit List'!$A$14:$H$2838,2,FALSE)),"X",$AK15)</f>
        <v/>
      </c>
      <c r="AM15" s="74" t="str">
        <f>IF(ISTEXT(VLOOKUP(CONCATENATE($A15,"_",AM$3),'Unit List'!$A$14:$H$2838,2,FALSE)),"X",$AK15)</f>
        <v/>
      </c>
      <c r="AN15" s="91" t="str">
        <f>IF(ISTEXT(VLOOKUP(CONCATENATE($A15,"_",AN$3),'Unit List'!$A$14:$H$2838,2,FALSE)),"+","")</f>
        <v/>
      </c>
      <c r="AO15" s="74" t="str">
        <f>IF(ISTEXT(VLOOKUP(CONCATENATE($A15,"_",AO$3),'Unit List'!$A$14:$H$2838,2,FALSE)),"X",$AN15)</f>
        <v/>
      </c>
      <c r="AP15" s="68" t="str">
        <f>IF(ISTEXT(VLOOKUP(CONCATENATE($A15,"_",AP$3),'Unit List'!$A$14:$H$2838,2,FALSE)),"+","")</f>
        <v/>
      </c>
      <c r="AQ15" s="66" t="str">
        <f>IF(ISTEXT(VLOOKUP(CONCATENATE($A15,"_",AQ$3),'Unit List'!$A$14:$H$2838,2,FALSE)),"X",$AP15)</f>
        <v/>
      </c>
      <c r="AR15" s="66" t="str">
        <f>IF(ISTEXT(VLOOKUP(CONCATENATE($A15,"_",AR$3),'Unit List'!$A$14:$H$2838,2,FALSE)),"X",$AP15)</f>
        <v/>
      </c>
      <c r="AS15" s="66" t="str">
        <f>IF(ISTEXT(VLOOKUP(CONCATENATE($A15,"_",AS$3),'Unit List'!$A$14:$H$2838,2,FALSE)),"X",$AP15)</f>
        <v/>
      </c>
      <c r="AT15" s="74" t="str">
        <f>IF(ISTEXT(VLOOKUP(CONCATENATE($A15,"_",AT$3),'Unit List'!$A$14:$H$2838,2,FALSE)),"X",$AP15)</f>
        <v/>
      </c>
      <c r="AU15" s="77" t="str">
        <f>IF(ISTEXT(VLOOKUP(CONCATENATE($A15,"_",AU$3),'Unit List'!$A$14:$H$2838,2,FALSE)),"+","")</f>
        <v/>
      </c>
      <c r="AV15" s="66" t="str">
        <f>IF(ISTEXT(VLOOKUP(CONCATENATE($A15,"_",AV$3),'Unit List'!$A$14:$H$2838,2,FALSE)),"X",$AU15)</f>
        <v/>
      </c>
      <c r="AW15" s="74" t="str">
        <f>IF(ISTEXT(VLOOKUP(CONCATENATE($A15,"_",AW$3),'Unit List'!$A$14:$H$2838,2,FALSE)),"X",$AU15)</f>
        <v/>
      </c>
      <c r="AX15" s="68" t="str">
        <f>IF(ISTEXT(VLOOKUP(CONCATENATE($A15,"_",AX$3),'Unit List'!$A$14:$H$2838,2,FALSE)),"+","")</f>
        <v/>
      </c>
      <c r="AY15" s="66" t="str">
        <f>IF(ISTEXT(VLOOKUP(CONCATENATE($A15,"_",AY$3),'Unit List'!$A$14:$H$2838,2,FALSE)),"X",$AX15)</f>
        <v/>
      </c>
      <c r="AZ15" s="71" t="str">
        <f>IF(ISTEXT(VLOOKUP(CONCATENATE($A15,"_",AZ$3),'Unit List'!$A$14:$H$2838,2,FALSE)),"X",$AX15)</f>
        <v/>
      </c>
      <c r="BA15" s="78" t="str">
        <f>IF(ISTEXT(VLOOKUP(CONCATENATE($A15,"_",BA$3),'Unit List'!$A$14:$H$2838,2,FALSE)),"+","")</f>
        <v/>
      </c>
      <c r="BB15" s="66" t="str">
        <f>IF(ISTEXT(VLOOKUP(CONCATENATE($A15,"_",BB$3),'Unit List'!$A$14:$H$2838,2,FALSE)),"X",$BA15)</f>
        <v/>
      </c>
      <c r="BC15" s="66" t="str">
        <f>IF(ISTEXT(VLOOKUP(CONCATENATE($A15,"_",BC$3),'Unit List'!$A$14:$H$2838,2,FALSE)),"X",$BA15)</f>
        <v/>
      </c>
      <c r="BD15" s="74" t="str">
        <f>IF(ISTEXT(VLOOKUP(CONCATENATE($A15,"_",BD$3),'Unit List'!$A$14:$H$2838,2,FALSE)),"X",$BA15)</f>
        <v/>
      </c>
      <c r="BE15" s="91" t="str">
        <f>IF(ISTEXT(VLOOKUP(CONCATENATE($A15,"_",BE$3),'Unit List'!$A$14:$H$2838,2,FALSE)),"+","")</f>
        <v/>
      </c>
      <c r="BF15" s="89" t="str">
        <f>IF(ISTEXT(VLOOKUP(CONCATENATE($A15,"_",BF$3),'Unit List'!$A$14:$H$2838,2,FALSE)),"X",$BE15)</f>
        <v/>
      </c>
      <c r="BG15" s="92"/>
      <c r="BH15" s="93" t="s">
        <v>0</v>
      </c>
      <c r="BI15" s="264"/>
      <c r="BJ15" s="265"/>
      <c r="BK15" s="265"/>
      <c r="BL15" s="265"/>
      <c r="BM15" s="266"/>
      <c r="BN15" s="81"/>
      <c r="BO15" s="81"/>
      <c r="BP15" s="81"/>
      <c r="BQ15" s="81"/>
      <c r="BR15" s="81"/>
      <c r="BS15" s="81"/>
      <c r="DZ15" s="82"/>
      <c r="EA15" s="82"/>
    </row>
    <row r="16" spans="1:131" ht="12.75" customHeight="1" x14ac:dyDescent="0.2">
      <c r="A16" s="83" t="s">
        <v>35</v>
      </c>
      <c r="B16" s="59" t="str">
        <f>IF(ISTEXT(VLOOKUP(CONCATENATE($A16,"_",B$3),'Unit List'!$A$14:$H$2838,2,FALSE)),"+","")</f>
        <v/>
      </c>
      <c r="C16" s="84" t="str">
        <f>IF(ISTEXT(VLOOKUP(CONCATENATE($A16,"_",C$3),'Unit List'!$A$14:$H$2838,2,FALSE)),"X",$B16)</f>
        <v/>
      </c>
      <c r="D16" s="127" t="s">
        <v>0</v>
      </c>
      <c r="E16" s="66" t="str">
        <f>IF(ISTEXT(VLOOKUP(CONCATENATE($A16,"_",E$3),'Unit List'!$A$14:$H$2838,2,FALSE)),"X",$B16)</f>
        <v/>
      </c>
      <c r="F16" s="66" t="str">
        <f>IF(ISTEXT(VLOOKUP(CONCATENATE($A16,"_",F$3),'Unit List'!$A$14:$H$2838,2,FALSE)),"X",$B16)</f>
        <v/>
      </c>
      <c r="G16" s="96" t="str">
        <f>IF(ISTEXT(VLOOKUP(CONCATENATE($A16,"_",G$3),'Unit List'!$A$14:$H$2838,2,FALSE)),"X",$B16)</f>
        <v>X</v>
      </c>
      <c r="H16" s="96" t="str">
        <f>IF(ISTEXT(VLOOKUP(CONCATENATE($A16,"_",H$3),'Unit List'!$A$14:$H$2838,2,FALSE)),"X",$B16)</f>
        <v>X</v>
      </c>
      <c r="I16" s="74" t="str">
        <f>IF(ISTEXT(VLOOKUP(CONCATENATE($A16,"_",I$3),'Unit List'!$A$14:$H$2838,2,FALSE)),"X",$B16)</f>
        <v/>
      </c>
      <c r="J16" s="64" t="str">
        <f>IF(ISTEXT(VLOOKUP(CONCATENATE($A16,"_",J$3),'Unit List'!$A$14:$H$2838,2,FALSE)),"+","")</f>
        <v/>
      </c>
      <c r="K16" s="66" t="str">
        <f>IF(ISTEXT(VLOOKUP(CONCATENATE($A16,"_",K$3),'Unit List'!$A$14:$H$2838,2,FALSE)),"X",$J16)</f>
        <v/>
      </c>
      <c r="L16" s="89" t="str">
        <f>IF(ISTEXT(VLOOKUP(CONCATENATE($A16,"_",L$3),'Unit List'!$A$14:$H$2838,2,FALSE)),"X",$J16)</f>
        <v/>
      </c>
      <c r="M16" s="64" t="str">
        <f>IF(ISTEXT(VLOOKUP(CONCATENATE($A16,"_",M$3),'Unit List'!$A$14:$H$2838,2,FALSE)),"+","")</f>
        <v/>
      </c>
      <c r="N16" s="66" t="str">
        <f>IF(ISTEXT(VLOOKUP(CONCATENATE($A16,"_",N$3),'Unit List'!$A$14:$H$2838,2,FALSE)),"X",$M16)</f>
        <v/>
      </c>
      <c r="O16" s="109" t="s">
        <v>0</v>
      </c>
      <c r="P16" s="68" t="str">
        <f>IF(ISTEXT(VLOOKUP(CONCATENATE($A16,"_",P$3),'Unit List'!$A$14:$H$2838,2,FALSE)),"+","")</f>
        <v/>
      </c>
      <c r="Q16" s="66" t="str">
        <f>IF(ISTEXT(VLOOKUP(CONCATENATE($A16,"_",Q$3),'Unit List'!$A$14:$H$2838,2,FALSE)),"X",$P16)</f>
        <v/>
      </c>
      <c r="R16" s="66" t="str">
        <f>IF(ISTEXT(VLOOKUP(CONCATENATE($A16,"_",R$3),'Unit List'!$A$14:$H$2838,2,FALSE)),"X",$P16)</f>
        <v/>
      </c>
      <c r="S16" s="66" t="str">
        <f>IF(ISTEXT(VLOOKUP(CONCATENATE($A16,"_",S$3),'Unit List'!$A$14:$H$2838,2,FALSE)),"X",$P16)</f>
        <v/>
      </c>
      <c r="T16" s="69" t="str">
        <f>IF(ISTEXT(VLOOKUP(CONCATENATE($A16,"_",T$3),'Unit List'!$A$14:$H$2838,2,FALSE)),"X",$P16)</f>
        <v/>
      </c>
      <c r="U16" s="66" t="str">
        <f>IF(ISTEXT(VLOOKUP(CONCATENATE($A16,"_",U$3),'Unit List'!$A$14:$H$2838,2,FALSE)),"X",$P16)</f>
        <v/>
      </c>
      <c r="V16" s="66" t="str">
        <f>IF(ISTEXT(VLOOKUP(CONCATENATE($A16,"_",V$3),'Unit List'!$A$14:$H$2838,2,FALSE)),"X",$P16)</f>
        <v/>
      </c>
      <c r="W16" s="71" t="str">
        <f>IF(ISTEXT(VLOOKUP(CONCATENATE($A16,"_",W$3),'Unit List'!$A$14:$H$2838,2,FALSE)),"X",$P16)</f>
        <v/>
      </c>
      <c r="X16" s="64" t="str">
        <f>IF(ISTEXT(VLOOKUP(CONCATENATE($A16,"_",X$3),'Unit List'!$A$14:$H$2838,2,FALSE)),"+","")</f>
        <v>+</v>
      </c>
      <c r="Y16" s="133" t="str">
        <f>IF(ISTEXT(VLOOKUP(CONCATENATE($A16,"_",Y$3),'Unit List'!$A$14:$H$2838,2,FALSE)),"X",$X16)</f>
        <v>+</v>
      </c>
      <c r="Z16" s="133" t="str">
        <f>IF(ISTEXT(VLOOKUP(CONCATENATE($A16,"_",Z$3),'Unit List'!$A$14:$H$2838,2,FALSE)),"X",$X16)</f>
        <v>+</v>
      </c>
      <c r="AA16" s="133" t="str">
        <f>IF(ISTEXT(VLOOKUP(CONCATENATE($A16,"_",AA$3),'Unit List'!$A$14:$H$2838,2,FALSE)),"X",$X16)</f>
        <v>+</v>
      </c>
      <c r="AB16" s="133" t="str">
        <f>IF(ISTEXT(VLOOKUP(CONCATENATE($A16,"_",AB$3),'Unit List'!$A$14:$H$2838,2,FALSE)),"X",$X16)</f>
        <v>+</v>
      </c>
      <c r="AC16" s="135" t="str">
        <f>IF(ISTEXT(VLOOKUP(CONCATENATE($A16,"_",AC$3),'Unit List'!$A$14:$H$2838,2,FALSE)),"X",$X16)</f>
        <v>+</v>
      </c>
      <c r="AD16" s="68" t="str">
        <f>IF(ISTEXT(VLOOKUP(CONCATENATE($A16,"_",AD$3),'Unit List'!$A$14:$H$2838,2,FALSE)),"+","")</f>
        <v>+</v>
      </c>
      <c r="AE16" s="62" t="str">
        <f>IF(ISTEXT(VLOOKUP(CONCATENATE($A16,"_",AE$3),'Unit List'!$A$14:$H$2838,2,FALSE)),"X",$AD16)</f>
        <v>+</v>
      </c>
      <c r="AF16" s="128" t="s">
        <v>0</v>
      </c>
      <c r="AG16" s="68" t="str">
        <f>IF(ISTEXT(VLOOKUP(CONCATENATE($A16,"_",AG$3),'Unit List'!$A$14:$H$2838,2,FALSE)),"+","")</f>
        <v/>
      </c>
      <c r="AH16" s="66" t="str">
        <f>IF(ISTEXT(VLOOKUP(CONCATENATE($A16,"_",AH$3),'Unit List'!$A$14:$H$2838,2,FALSE)),"X",$AG16)</f>
        <v/>
      </c>
      <c r="AI16" s="66" t="str">
        <f>IF(ISTEXT(VLOOKUP(CONCATENATE($A16,"_",AI$3),'Unit List'!$A$14:$H$2838,2,FALSE)),"X",$AG16)</f>
        <v/>
      </c>
      <c r="AJ16" s="74" t="str">
        <f>IF(ISTEXT(VLOOKUP(CONCATENATE($A16,"_",AJ$3),'Unit List'!$A$14:$H$2838,2,FALSE)),"X",$AG16)</f>
        <v/>
      </c>
      <c r="AK16" s="64" t="str">
        <f>IF(ISTEXT(VLOOKUP(CONCATENATE($A16,"_",AK$3),'Unit List'!$A$14:$H$2838,2,FALSE)),"+","")</f>
        <v/>
      </c>
      <c r="AL16" s="69" t="str">
        <f>IF(ISTEXT(VLOOKUP(CONCATENATE($A16,"_",AL$3),'Unit List'!$A$14:$H$2838,2,FALSE)),"X",$AK16)</f>
        <v>X</v>
      </c>
      <c r="AM16" s="74" t="str">
        <f>IF(ISTEXT(VLOOKUP(CONCATENATE($A16,"_",AM$3),'Unit List'!$A$14:$H$2838,2,FALSE)),"X",$AK16)</f>
        <v/>
      </c>
      <c r="AN16" s="91" t="str">
        <f>IF(ISTEXT(VLOOKUP(CONCATENATE($A16,"_",AN$3),'Unit List'!$A$14:$H$2838,2,FALSE)),"+","")</f>
        <v/>
      </c>
      <c r="AO16" s="74" t="str">
        <f>IF(ISTEXT(VLOOKUP(CONCATENATE($A16,"_",AO$3),'Unit List'!$A$14:$H$2838,2,FALSE)),"X",$AN16)</f>
        <v/>
      </c>
      <c r="AP16" s="68" t="str">
        <f>IF(ISTEXT(VLOOKUP(CONCATENATE($A16,"_",AP$3),'Unit List'!$A$14:$H$2838,2,FALSE)),"+","")</f>
        <v/>
      </c>
      <c r="AQ16" s="66" t="str">
        <f>IF(ISTEXT(VLOOKUP(CONCATENATE($A16,"_",AQ$3),'Unit List'!$A$14:$H$2838,2,FALSE)),"X",$AP16)</f>
        <v/>
      </c>
      <c r="AR16" s="66" t="str">
        <f>IF(ISTEXT(VLOOKUP(CONCATENATE($A16,"_",AR$3),'Unit List'!$A$14:$H$2838,2,FALSE)),"X",$AP16)</f>
        <v/>
      </c>
      <c r="AS16" s="66" t="str">
        <f>IF(ISTEXT(VLOOKUP(CONCATENATE($A16,"_",AS$3),'Unit List'!$A$14:$H$2838,2,FALSE)),"X",$AP16)</f>
        <v/>
      </c>
      <c r="AT16" s="74" t="str">
        <f>IF(ISTEXT(VLOOKUP(CONCATENATE($A16,"_",AT$3),'Unit List'!$A$14:$H$2838,2,FALSE)),"X",$AP16)</f>
        <v/>
      </c>
      <c r="AU16" s="77" t="str">
        <f>IF(ISTEXT(VLOOKUP(CONCATENATE($A16,"_",AU$3),'Unit List'!$A$14:$H$2838,2,FALSE)),"+","")</f>
        <v/>
      </c>
      <c r="AV16" s="66" t="str">
        <f>IF(ISTEXT(VLOOKUP(CONCATENATE($A16,"_",AV$3),'Unit List'!$A$14:$H$2838,2,FALSE)),"X",$AU16)</f>
        <v/>
      </c>
      <c r="AW16" s="74" t="str">
        <f>IF(ISTEXT(VLOOKUP(CONCATENATE($A16,"_",AW$3),'Unit List'!$A$14:$H$2838,2,FALSE)),"X",$AU16)</f>
        <v/>
      </c>
      <c r="AX16" s="68" t="str">
        <f>IF(ISTEXT(VLOOKUP(CONCATENATE($A16,"_",AX$3),'Unit List'!$A$14:$H$2838,2,FALSE)),"+","")</f>
        <v/>
      </c>
      <c r="AY16" s="66" t="str">
        <f>IF(ISTEXT(VLOOKUP(CONCATENATE($A16,"_",AY$3),'Unit List'!$A$14:$H$2838,2,FALSE)),"X",$AX16)</f>
        <v/>
      </c>
      <c r="AZ16" s="129" t="s">
        <v>0</v>
      </c>
      <c r="BA16" s="78" t="str">
        <f>IF(ISTEXT(VLOOKUP(CONCATENATE($A16,"_",BA$3),'Unit List'!$A$14:$H$2838,2,FALSE)),"+","")</f>
        <v/>
      </c>
      <c r="BB16" s="66" t="str">
        <f>IF(ISTEXT(VLOOKUP(CONCATENATE($A16,"_",BB$3),'Unit List'!$A$14:$H$2838,2,FALSE)),"X",$BA16)</f>
        <v/>
      </c>
      <c r="BC16" s="66" t="str">
        <f>IF(ISTEXT(VLOOKUP(CONCATENATE($A16,"_",BC$3),'Unit List'!$A$14:$H$2838,2,FALSE)),"X",$BA16)</f>
        <v/>
      </c>
      <c r="BD16" s="74" t="str">
        <f>IF(ISTEXT(VLOOKUP(CONCATENATE($A16,"_",BD$3),'Unit List'!$A$14:$H$2838,2,FALSE)),"X",$BA16)</f>
        <v/>
      </c>
      <c r="BE16" s="91" t="str">
        <f>IF(ISTEXT(VLOOKUP(CONCATENATE($A16,"_",BE$3),'Unit List'!$A$14:$H$2838,2,FALSE)),"+","")</f>
        <v/>
      </c>
      <c r="BF16" s="89" t="str">
        <f>IF(ISTEXT(VLOOKUP(CONCATENATE($A16,"_",BF$3),'Unit List'!$A$14:$H$2838,2,FALSE)),"X",$BE16)</f>
        <v/>
      </c>
      <c r="BG16" s="92"/>
      <c r="BH16" s="93" t="s">
        <v>0</v>
      </c>
      <c r="BI16" s="264"/>
      <c r="BJ16" s="265"/>
      <c r="BK16" s="265"/>
      <c r="BL16" s="265"/>
      <c r="BM16" s="266"/>
      <c r="BN16" s="81"/>
      <c r="BO16" s="81"/>
      <c r="BP16" s="81"/>
      <c r="BQ16" s="81"/>
      <c r="BR16" s="81"/>
      <c r="BS16" s="81"/>
      <c r="DZ16" s="82"/>
      <c r="EA16" s="82"/>
    </row>
    <row r="17" spans="1:131" ht="12.75" customHeight="1" x14ac:dyDescent="0.2">
      <c r="A17" s="83" t="s">
        <v>1106</v>
      </c>
      <c r="B17" s="59" t="str">
        <f>IF(ISTEXT(VLOOKUP(CONCATENATE($A17,"_",B$3),'Unit List'!$A$14:$H$2838,2,FALSE)),"+","")</f>
        <v/>
      </c>
      <c r="C17" s="84" t="str">
        <f>IF(ISTEXT(VLOOKUP(CONCATENATE($A17,"_",C$3),'Unit List'!$A$14:$H$2838,2,FALSE)),"X",$B17)</f>
        <v/>
      </c>
      <c r="D17" s="66" t="str">
        <f>IF(ISTEXT(VLOOKUP(CONCATENATE($A17,"_",D$3),'Unit List'!$A$14:$H$2838,2,FALSE)),"X",$B17)</f>
        <v/>
      </c>
      <c r="E17" s="66" t="str">
        <f>IF(ISTEXT(VLOOKUP(CONCATENATE($A17,"_",E$3),'Unit List'!$A$14:$H$2838,2,FALSE)),"X",$B17)</f>
        <v/>
      </c>
      <c r="F17" s="66" t="str">
        <f>IF(ISTEXT(VLOOKUP(CONCATENATE($A17,"_",F$3),'Unit List'!$A$14:$H$2838,2,FALSE)),"X",$B17)</f>
        <v/>
      </c>
      <c r="G17" s="66" t="str">
        <f>IF(ISTEXT(VLOOKUP(CONCATENATE($A17,"_",G$3),'Unit List'!$A$14:$H$2838,2,FALSE)),"X",$B17)</f>
        <v/>
      </c>
      <c r="H17" s="66" t="str">
        <f>IF(ISTEXT(VLOOKUP(CONCATENATE($A17,"_",H$3),'Unit List'!$A$14:$H$2838,2,FALSE)),"X",$B17)</f>
        <v/>
      </c>
      <c r="I17" s="74" t="str">
        <f>IF(ISTEXT(VLOOKUP(CONCATENATE($A17,"_",I$3),'Unit List'!$A$14:$H$2838,2,FALSE)),"X",$B17)</f>
        <v/>
      </c>
      <c r="J17" s="64" t="str">
        <f>IF(ISTEXT(VLOOKUP(CONCATENATE($A17,"_",J$3),'Unit List'!$A$14:$H$2838,2,FALSE)),"+","")</f>
        <v/>
      </c>
      <c r="K17" s="66" t="str">
        <f>IF(ISTEXT(VLOOKUP(CONCATENATE($A17,"_",K$3),'Unit List'!$A$14:$H$2838,2,FALSE)),"X",$J17)</f>
        <v/>
      </c>
      <c r="L17" s="89" t="str">
        <f>IF(ISTEXT(VLOOKUP(CONCATENATE($A17,"_",L$3),'Unit List'!$A$14:$H$2838,2,FALSE)),"X",$J17)</f>
        <v/>
      </c>
      <c r="M17" s="64" t="str">
        <f>IF(ISTEXT(VLOOKUP(CONCATENATE($A17,"_",M$3),'Unit List'!$A$14:$H$2838,2,FALSE)),"+","")</f>
        <v/>
      </c>
      <c r="N17" s="66" t="str">
        <f>IF(ISTEXT(VLOOKUP(CONCATENATE($A17,"_",N$3),'Unit List'!$A$14:$H$2838,2,FALSE)),"X",$M17)</f>
        <v/>
      </c>
      <c r="O17" s="74" t="str">
        <f>IF(ISTEXT(VLOOKUP(CONCATENATE($A17,"_",O$3),'Unit List'!$A$14:$H$2838,2,FALSE)),"X",$M17)</f>
        <v/>
      </c>
      <c r="P17" s="68" t="str">
        <f>IF(ISTEXT(VLOOKUP(CONCATENATE($A17,"_",P$3),'Unit List'!$A$14:$H$2838,2,FALSE)),"+","")</f>
        <v/>
      </c>
      <c r="Q17" s="66" t="str">
        <f>IF(ISTEXT(VLOOKUP(CONCATENATE($A17,"_",Q$3),'Unit List'!$A$14:$H$2838,2,FALSE)),"X",$P17)</f>
        <v/>
      </c>
      <c r="R17" s="66" t="str">
        <f>IF(ISTEXT(VLOOKUP(CONCATENATE($A17,"_",R$3),'Unit List'!$A$14:$H$2838,2,FALSE)),"X",$P17)</f>
        <v/>
      </c>
      <c r="S17" s="66" t="str">
        <f>IF(ISTEXT(VLOOKUP(CONCATENATE($A17,"_",S$3),'Unit List'!$A$14:$H$2838,2,FALSE)),"X",$P17)</f>
        <v/>
      </c>
      <c r="T17" s="69" t="str">
        <f>IF(ISTEXT(VLOOKUP(CONCATENATE($A17,"_",T$3),'Unit List'!$A$14:$H$2838,2,FALSE)),"X",$P17)</f>
        <v/>
      </c>
      <c r="U17" s="66" t="str">
        <f>IF(ISTEXT(VLOOKUP(CONCATENATE($A17,"_",U$3),'Unit List'!$A$14:$H$2838,2,FALSE)),"X",$P17)</f>
        <v/>
      </c>
      <c r="V17" s="66" t="str">
        <f>IF(ISTEXT(VLOOKUP(CONCATENATE($A17,"_",V$3),'Unit List'!$A$14:$H$2838,2,FALSE)),"X",$P17)</f>
        <v/>
      </c>
      <c r="W17" s="71" t="str">
        <f>IF(ISTEXT(VLOOKUP(CONCATENATE($A17,"_",W$3),'Unit List'!$A$14:$H$2838,2,FALSE)),"X",$P17)</f>
        <v/>
      </c>
      <c r="X17" s="68" t="str">
        <f>IF(ISTEXT(VLOOKUP(CONCATENATE($A17,"_",X$3),'Unit List'!$A$14:$H$2838,2,FALSE)),"+","")</f>
        <v/>
      </c>
      <c r="Y17" s="66" t="str">
        <f>IF(ISTEXT(VLOOKUP(CONCATENATE($A17,"_",Y$3),'Unit List'!$A$14:$H$2838,2,FALSE)),"X",$X17)</f>
        <v/>
      </c>
      <c r="Z17" s="66" t="str">
        <f>IF(ISTEXT(VLOOKUP(CONCATENATE($A17,"_",Z$3),'Unit List'!$A$14:$H$2838,2,FALSE)),"X",$X17)</f>
        <v/>
      </c>
      <c r="AA17" s="66" t="str">
        <f>IF(ISTEXT(VLOOKUP(CONCATENATE($A17,"_",AA$3),'Unit List'!$A$14:$H$2838,2,FALSE)),"X",$X17)</f>
        <v/>
      </c>
      <c r="AB17" s="127" t="s">
        <v>0</v>
      </c>
      <c r="AC17" s="89" t="str">
        <f>IF(ISTEXT(VLOOKUP(CONCATENATE($A17,"_",AC$3),'Unit List'!$A$14:$H$2838,2,FALSE)),"X",$X17)</f>
        <v/>
      </c>
      <c r="AD17" s="68" t="str">
        <f>IF(ISTEXT(VLOOKUP(CONCATENATE($A17,"_",AD$3),'Unit List'!$A$14:$H$2838,2,FALSE)),"+","")</f>
        <v>+</v>
      </c>
      <c r="AE17" s="62" t="str">
        <f>IF(ISTEXT(VLOOKUP(CONCATENATE($A17,"_",AE$3),'Unit List'!$A$14:$H$2838,2,FALSE)),"X",$AD17)</f>
        <v>+</v>
      </c>
      <c r="AF17" s="72" t="str">
        <f>IF(ISTEXT(VLOOKUP(CONCATENATE($A17,"_",AF$3),'Unit List'!$A$14:$H$2838,2,FALSE)),"X",$AD17)</f>
        <v>+</v>
      </c>
      <c r="AG17" s="68" t="str">
        <f>IF(ISTEXT(VLOOKUP(CONCATENATE($A17,"_",AG$3),'Unit List'!$A$14:$H$2838,2,FALSE)),"+","")</f>
        <v>+</v>
      </c>
      <c r="AH17" s="66" t="str">
        <f>IF(ISTEXT(VLOOKUP(CONCATENATE($A17,"_",AH$3),'Unit List'!$A$14:$H$2838,2,FALSE)),"X",$AG17)</f>
        <v>+</v>
      </c>
      <c r="AI17" s="66" t="str">
        <f>IF(ISTEXT(VLOOKUP(CONCATENATE($A17,"_",AI$3),'Unit List'!$A$14:$H$2838,2,FALSE)),"X",$AG17)</f>
        <v>+</v>
      </c>
      <c r="AJ17" s="74" t="str">
        <f>IF(ISTEXT(VLOOKUP(CONCATENATE($A17,"_",AJ$3),'Unit List'!$A$14:$H$2838,2,FALSE)),"X",$AG17)</f>
        <v>+</v>
      </c>
      <c r="AK17" s="64" t="str">
        <f>IF(ISTEXT(VLOOKUP(CONCATENATE($A17,"_",AK$3),'Unit List'!$A$14:$H$2838,2,FALSE)),"+","")</f>
        <v/>
      </c>
      <c r="AL17" s="130" t="s">
        <v>0</v>
      </c>
      <c r="AM17" s="74" t="str">
        <f>IF(ISTEXT(VLOOKUP(CONCATENATE($A17,"_",AM$3),'Unit List'!$A$14:$H$2838,2,FALSE)),"X",$AK17)</f>
        <v/>
      </c>
      <c r="AN17" s="91" t="str">
        <f>IF(ISTEXT(VLOOKUP(CONCATENATE($A17,"_",AN$3),'Unit List'!$A$14:$H$2838,2,FALSE)),"+","")</f>
        <v/>
      </c>
      <c r="AO17" s="109" t="s">
        <v>0</v>
      </c>
      <c r="AP17" s="68" t="str">
        <f>IF(ISTEXT(VLOOKUP(CONCATENATE($A17,"_",AP$3),'Unit List'!$A$14:$H$2838,2,FALSE)),"+","")</f>
        <v>+</v>
      </c>
      <c r="AQ17" s="66" t="str">
        <f>IF(ISTEXT(VLOOKUP(CONCATENATE($A17,"_",AQ$3),'Unit List'!$A$14:$H$2838,2,FALSE)),"X",$AP17)</f>
        <v>+</v>
      </c>
      <c r="AR17" s="66" t="str">
        <f>IF(ISTEXT(VLOOKUP(CONCATENATE($A17,"_",AR$3),'Unit List'!$A$14:$H$2838,2,FALSE)),"X",$AP17)</f>
        <v>+</v>
      </c>
      <c r="AS17" s="66" t="str">
        <f>IF(ISTEXT(VLOOKUP(CONCATENATE($A17,"_",AS$3),'Unit List'!$A$14:$H$2838,2,FALSE)),"X",$AP17)</f>
        <v>+</v>
      </c>
      <c r="AT17" s="74" t="str">
        <f>IF(ISTEXT(VLOOKUP(CONCATENATE($A17,"_",AT$3),'Unit List'!$A$14:$H$2838,2,FALSE)),"X",$AP17)</f>
        <v>+</v>
      </c>
      <c r="AU17" s="77" t="str">
        <f>IF(ISTEXT(VLOOKUP(CONCATENATE($A17,"_",AU$3),'Unit List'!$A$14:$H$2838,2,FALSE)),"+","")</f>
        <v/>
      </c>
      <c r="AV17" s="66" t="str">
        <f>IF(ISTEXT(VLOOKUP(CONCATENATE($A17,"_",AV$3),'Unit List'!$A$14:$H$2838,2,FALSE)),"X",$AU17)</f>
        <v/>
      </c>
      <c r="AW17" s="74" t="str">
        <f>IF(ISTEXT(VLOOKUP(CONCATENATE($A17,"_",AW$3),'Unit List'!$A$14:$H$2838,2,FALSE)),"X",$AU17)</f>
        <v/>
      </c>
      <c r="AX17" s="101" t="str">
        <f>IF(ISTEXT(VLOOKUP(CONCATENATE($A17,"_",AX$3),'Unit List'!$A$14:$H$2838,2,FALSE)),"+","")</f>
        <v>+</v>
      </c>
      <c r="AY17" s="96" t="str">
        <f>IF(ISTEXT(VLOOKUP(CONCATENATE($A17,"_",AY$3),'Unit List'!$A$14:$H$2838,2,FALSE)),"X",$AX17)</f>
        <v>+</v>
      </c>
      <c r="AZ17" s="241" t="str">
        <f>IF(ISTEXT(VLOOKUP(CONCATENATE($A17,"_",AZ$3),'Unit List'!$A$14:$H$2838,2,FALSE)),"X",$AX17)</f>
        <v>+</v>
      </c>
      <c r="BA17" s="78" t="str">
        <f>IF(ISTEXT(VLOOKUP(CONCATENATE($A17,"_",BA$3),'Unit List'!$A$14:$H$2838,2,FALSE)),"+","")</f>
        <v/>
      </c>
      <c r="BB17" s="66" t="str">
        <f>IF(ISTEXT(VLOOKUP(CONCATENATE($A17,"_",BB$3),'Unit List'!$A$14:$H$2838,2,FALSE)),"X",$BA17)</f>
        <v/>
      </c>
      <c r="BC17" s="66" t="str">
        <f>IF(ISTEXT(VLOOKUP(CONCATENATE($A17,"_",BC$3),'Unit List'!$A$14:$H$2838,2,FALSE)),"X",$BA17)</f>
        <v/>
      </c>
      <c r="BD17" s="74" t="str">
        <f>IF(ISTEXT(VLOOKUP(CONCATENATE($A17,"_",BD$3),'Unit List'!$A$14:$H$2838,2,FALSE)),"X",$BA17)</f>
        <v/>
      </c>
      <c r="BE17" s="91" t="str">
        <f>IF(ISTEXT(VLOOKUP(CONCATENATE($A17,"_",BE$3),'Unit List'!$A$14:$H$2838,2,FALSE)),"+","")</f>
        <v/>
      </c>
      <c r="BF17" s="89" t="str">
        <f>IF(ISTEXT(VLOOKUP(CONCATENATE($A17,"_",BF$3),'Unit List'!$A$14:$H$2838,2,FALSE)),"X",$BE17)</f>
        <v/>
      </c>
      <c r="BG17" s="111"/>
      <c r="BH17" s="112" t="s">
        <v>0</v>
      </c>
      <c r="BI17" s="264" t="s">
        <v>1301</v>
      </c>
      <c r="BJ17" s="265"/>
      <c r="BK17" s="265"/>
      <c r="BL17" s="265"/>
      <c r="BM17" s="266"/>
      <c r="BN17" s="81"/>
      <c r="BO17" s="81"/>
      <c r="BP17" s="81"/>
      <c r="BQ17" s="81"/>
      <c r="BR17" s="81"/>
      <c r="BS17" s="81"/>
      <c r="DZ17" s="82"/>
      <c r="EA17" s="82"/>
    </row>
    <row r="18" spans="1:131" ht="12.75" customHeight="1" x14ac:dyDescent="0.2">
      <c r="A18" s="83" t="s">
        <v>1273</v>
      </c>
      <c r="B18" s="59" t="str">
        <f>IF(ISTEXT(VLOOKUP(CONCATENATE($A18,"_",B$3),'Unit List'!$A$14:$H$2838,2,FALSE)),"+","")</f>
        <v/>
      </c>
      <c r="C18" s="131" t="str">
        <f>IF(ISTEXT(VLOOKUP(CONCATENATE($A18,"_",C$3),'Unit List'!$A$14:$H$2838,2,FALSE)),"X",$B18)</f>
        <v/>
      </c>
      <c r="D18" s="87" t="str">
        <f>IF(ISTEXT(VLOOKUP(CONCATENATE($A18,"_",D$3),'Unit List'!$A$14:$H$2838,2,FALSE)),"X",$B18)</f>
        <v/>
      </c>
      <c r="E18" s="66" t="str">
        <f>IF(ISTEXT(VLOOKUP(CONCATENATE($A18,"_",E$3),'Unit List'!$A$14:$H$2838,2,FALSE)),"X",$B18)</f>
        <v/>
      </c>
      <c r="F18" s="96" t="str">
        <f>IF(ISTEXT(VLOOKUP(CONCATENATE($A18,"_",F$3),'Unit List'!$A$14:$H$2838,2,FALSE)),"X",$B18)</f>
        <v>X</v>
      </c>
      <c r="G18" s="96" t="str">
        <f>IF(ISTEXT(VLOOKUP(CONCATENATE($A18,"_",G$3),'Unit List'!$A$14:$H$2838,2,FALSE)),"X",$B18)</f>
        <v>X</v>
      </c>
      <c r="H18" s="96" t="str">
        <f>IF(ISTEXT(VLOOKUP(CONCATENATE($A18,"_",H$3),'Unit List'!$A$14:$H$2838,2,FALSE)),"X",$B18)</f>
        <v>X</v>
      </c>
      <c r="I18" s="71" t="str">
        <f>IF(ISTEXT(VLOOKUP(CONCATENATE($A18,"_",I$3),'Unit List'!$A$14:$H$2838,2,FALSE)),"X",$B18)</f>
        <v>X</v>
      </c>
      <c r="J18" s="64" t="str">
        <f>IF(ISTEXT(VLOOKUP(CONCATENATE($A18,"_",J$3),'Unit List'!$A$14:$H$2838,2,FALSE)),"+","")</f>
        <v>+</v>
      </c>
      <c r="K18" s="246" t="str">
        <f>IF(ISTEXT(VLOOKUP(CONCATENATE($A18,"_",K$3),'Unit List'!$A$14:$H$2838,2,FALSE)),"X",$J18)</f>
        <v>+</v>
      </c>
      <c r="L18" s="144" t="str">
        <f>IF(ISTEXT(VLOOKUP(CONCATENATE($A18,"_",L$3),'Unit List'!$A$14:$H$2838,2,FALSE)),"X",$J18)</f>
        <v>+</v>
      </c>
      <c r="M18" s="64" t="str">
        <f>IF(ISTEXT(VLOOKUP(CONCATENATE($A18,"_",M$3),'Unit List'!$A$14:$H$2838,2,FALSE)),"+","")</f>
        <v>+</v>
      </c>
      <c r="N18" s="133" t="str">
        <f>IF(ISTEXT(VLOOKUP(CONCATENATE($A18,"_",N$3),'Unit List'!$A$14:$H$2838,2,FALSE)),"X",$M18)</f>
        <v>+</v>
      </c>
      <c r="O18" s="241" t="str">
        <f>IF(ISTEXT(VLOOKUP(CONCATENATE($A18,"_",O$3),'Unit List'!$A$14:$H$2838,2,FALSE)),"X",$M18)</f>
        <v>X</v>
      </c>
      <c r="P18" s="68" t="str">
        <f>IF(ISTEXT(VLOOKUP(CONCATENATE($A18,"_",P$3),'Unit List'!$A$14:$H$2838,2,FALSE)),"+","")</f>
        <v>+</v>
      </c>
      <c r="Q18" s="133" t="str">
        <f>IF(ISTEXT(VLOOKUP(CONCATENATE($A18,"_",Q$3),'Unit List'!$A$14:$H$2838,2,FALSE)),"X",$P18)</f>
        <v>+</v>
      </c>
      <c r="R18" s="133" t="str">
        <f>IF(ISTEXT(VLOOKUP(CONCATENATE($A18,"_",R$3),'Unit List'!$A$14:$H$2838,2,FALSE)),"X",$P18)</f>
        <v>+</v>
      </c>
      <c r="S18" s="96" t="str">
        <f>IF(ISTEXT(VLOOKUP(CONCATENATE($A18,"_",S$3),'Unit List'!$A$14:$H$2838,2,FALSE)),"X",$P18)</f>
        <v>X</v>
      </c>
      <c r="T18" s="150" t="str">
        <f>IF(ISTEXT(VLOOKUP(CONCATENATE($A18,"_",T$3),'Unit List'!$A$14:$H$2838,2,FALSE)),"X",$P18)</f>
        <v>+</v>
      </c>
      <c r="U18" s="96" t="str">
        <f>IF(ISTEXT(VLOOKUP(CONCATENATE($A18,"_",U$3),'Unit List'!$A$14:$H$2838,2,FALSE)),"X",$P18)</f>
        <v>X</v>
      </c>
      <c r="V18" s="95" t="str">
        <f>IF(ISTEXT(VLOOKUP(CONCATENATE($A18,"_",V$3),'Unit List'!$A$14:$H$2838,2,FALSE)),"X",$P18)</f>
        <v>X</v>
      </c>
      <c r="W18" s="134" t="str">
        <f>IF(ISTEXT(VLOOKUP(CONCATENATE($A18,"_",W$3),'Unit List'!$A$14:$H$2838,2,FALSE)),"X",$P18)</f>
        <v>+</v>
      </c>
      <c r="X18" s="101" t="str">
        <f>IF(ISTEXT(VLOOKUP(CONCATENATE($A18,"_",X$3),'Unit List'!$A$14:$H$2838,2,FALSE)),"+","")</f>
        <v>+</v>
      </c>
      <c r="Y18" s="95" t="str">
        <f>IF(ISTEXT(VLOOKUP(CONCATENATE($A18,"_",Y$3),'Unit List'!$A$14:$H$2838,2,FALSE)),"X",$X18)</f>
        <v>+</v>
      </c>
      <c r="Z18" s="133" t="str">
        <f>IF(ISTEXT(VLOOKUP(CONCATENATE($A18,"_",Z$3),'Unit List'!$A$14:$H$2838,2,FALSE)),"X",$X18)</f>
        <v>+</v>
      </c>
      <c r="AA18" s="96" t="str">
        <f>IF(ISTEXT(VLOOKUP(CONCATENATE($A18,"_",AA$3),'Unit List'!$A$14:$H$2838,2,FALSE)),"X",$X18)</f>
        <v>X</v>
      </c>
      <c r="AB18" s="96" t="str">
        <f>IF(ISTEXT(VLOOKUP(CONCATENATE($A18,"_",AB$3),'Unit List'!$A$14:$H$2838,2,FALSE)),"X",$X18)</f>
        <v>X</v>
      </c>
      <c r="AC18" s="123" t="str">
        <f>IF(ISTEXT(VLOOKUP(CONCATENATE($A18,"_",AC$3),'Unit List'!$A$14:$H$2838,2,FALSE)),"X",$X18)</f>
        <v>X</v>
      </c>
      <c r="AD18" s="101" t="str">
        <f>IF(ISTEXT(VLOOKUP(CONCATENATE($A18,"_",AD$3),'Unit List'!$A$14:$H$2838,2,FALSE)),"+","")</f>
        <v/>
      </c>
      <c r="AE18" s="62" t="str">
        <f>IF(ISTEXT(VLOOKUP(CONCATENATE($A18,"_",AE$3),'Unit List'!$A$14:$H$2838,2,FALSE)),"X",$AD18)</f>
        <v/>
      </c>
      <c r="AF18" s="72" t="str">
        <f>IF(ISTEXT(VLOOKUP(CONCATENATE($A18,"_",AF$3),'Unit List'!$A$14:$H$2838,2,FALSE)),"X",$AD18)</f>
        <v/>
      </c>
      <c r="AG18" s="101" t="str">
        <f>IF(ISTEXT(VLOOKUP(CONCATENATE($A18,"_",AG$3),'Unit List'!$A$14:$H$2838,2,FALSE)),"+","")</f>
        <v>+</v>
      </c>
      <c r="AH18" s="95" t="str">
        <f>IF(ISTEXT(VLOOKUP(CONCATENATE($A18,"_",AH$3),'Unit List'!$A$14:$H$2838,2,FALSE)),"X",$AG18)</f>
        <v>+</v>
      </c>
      <c r="AI18" s="133" t="str">
        <f>IF(ISTEXT(VLOOKUP(CONCATENATE($A18,"_",AI$3),'Unit List'!$A$14:$H$2838,2,FALSE)),"X",$AG18)</f>
        <v>X</v>
      </c>
      <c r="AJ18" s="134" t="str">
        <f>IF(ISTEXT(VLOOKUP(CONCATENATE($A18,"_",AJ$3),'Unit List'!$A$14:$H$2838,2,FALSE)),"X",$AG18)</f>
        <v>+</v>
      </c>
      <c r="AK18" s="97" t="str">
        <f>IF(ISTEXT(VLOOKUP(CONCATENATE($A18,"_",AK$3),'Unit List'!$A$14:$H$2838,2,FALSE)),"+","")</f>
        <v>+</v>
      </c>
      <c r="AL18" s="150" t="str">
        <f>IF(ISTEXT(VLOOKUP(CONCATENATE($A18,"_",AL$3),'Unit List'!$A$14:$H$2838,2,FALSE)),"X",$AK18)</f>
        <v>+</v>
      </c>
      <c r="AM18" s="241" t="str">
        <f>IF(ISTEXT(VLOOKUP(CONCATENATE($A18,"_",AM$3),'Unit List'!$A$14:$H$2838,2,FALSE)),"X",$AK18)</f>
        <v>+</v>
      </c>
      <c r="AN18" s="91" t="str">
        <f>IF(ISTEXT(VLOOKUP(CONCATENATE($A18,"_",AN$3),'Unit List'!$A$14:$H$2838,2,FALSE)),"+","")</f>
        <v>+</v>
      </c>
      <c r="AO18" s="100" t="str">
        <f>IF(ISTEXT(VLOOKUP(CONCATENATE($A18,"_",AO$3),'Unit List'!$A$14:$H$2838,2,FALSE)),"X",$AN18)</f>
        <v>X</v>
      </c>
      <c r="AP18" s="101" t="str">
        <f>IF(ISTEXT(VLOOKUP(CONCATENATE($A18,"_",AP$3),'Unit List'!$A$14:$H$2838,2,FALSE)),"+","")</f>
        <v>+</v>
      </c>
      <c r="AQ18" s="96" t="str">
        <f>IF(ISTEXT(VLOOKUP(CONCATENATE($A18,"_",AQ$3),'Unit List'!$A$14:$H$2838,2,FALSE)),"X",$AP18)</f>
        <v>X</v>
      </c>
      <c r="AR18" s="96" t="str">
        <f>IF(ISTEXT(VLOOKUP(CONCATENATE($A18,"_",AR$3),'Unit List'!$A$14:$H$2838,2,FALSE)),"X",$AP18)</f>
        <v>X</v>
      </c>
      <c r="AS18" s="96" t="str">
        <f>IF(ISTEXT(VLOOKUP(CONCATENATE($A18,"_",AS$3),'Unit List'!$A$14:$H$2838,2,FALSE)),"X",$AP18)</f>
        <v>X</v>
      </c>
      <c r="AT18" s="100" t="str">
        <f>IF(ISTEXT(VLOOKUP(CONCATENATE($A18,"_",AT$3),'Unit List'!$A$14:$H$2838,2,FALSE)),"X",$AP18)</f>
        <v>X</v>
      </c>
      <c r="AU18" s="77" t="str">
        <f>IF(ISTEXT(VLOOKUP(CONCATENATE($A18,"_",AU$3),'Unit List'!$A$14:$H$2838,2,FALSE)),"+","")</f>
        <v>+</v>
      </c>
      <c r="AV18" s="133" t="str">
        <f>IF(ISTEXT(VLOOKUP(CONCATENATE($A18,"_",AV$3),'Unit List'!$A$14:$H$2838,2,FALSE)),"X",$AU18)</f>
        <v>+</v>
      </c>
      <c r="AW18" s="134" t="str">
        <f>IF(ISTEXT(VLOOKUP(CONCATENATE($A18,"_",AW$3),'Unit List'!$A$14:$H$2838,2,FALSE)),"X",$AU18)</f>
        <v>+</v>
      </c>
      <c r="AX18" s="101" t="str">
        <f>IF(ISTEXT(VLOOKUP(CONCATENATE($A18,"_",AX$3),'Unit List'!$A$14:$H$2838,2,FALSE)),"+","")</f>
        <v>+</v>
      </c>
      <c r="AY18" s="95" t="str">
        <f>IF(ISTEXT(VLOOKUP(CONCATENATE($A18,"_",AY$3),'Unit List'!$A$14:$H$2838,2,FALSE)),"X",$AX18)</f>
        <v>+</v>
      </c>
      <c r="AZ18" s="241" t="str">
        <f>IF(ISTEXT(VLOOKUP(CONCATENATE($A18,"_",AZ$3),'Unit List'!$A$14:$H$2838,2,FALSE)),"X",$AX18)</f>
        <v>+</v>
      </c>
      <c r="BA18" s="101" t="str">
        <f>IF(ISTEXT(VLOOKUP(CONCATENATE($A18,"_",BA$3),'Unit List'!$A$14:$H$2838,2,FALSE)),"+","")</f>
        <v>+</v>
      </c>
      <c r="BB18" s="96" t="str">
        <f>IF(ISTEXT(VLOOKUP(CONCATENATE($A18,"_",BB$3),'Unit List'!$A$14:$H$2838,2,FALSE)),"X",$BA18)</f>
        <v>X</v>
      </c>
      <c r="BC18" s="96" t="str">
        <f>IF(ISTEXT(VLOOKUP(CONCATENATE($A18,"_",BC$3),'Unit List'!$A$14:$H$2838,2,FALSE)),"X",$BA18)</f>
        <v>X</v>
      </c>
      <c r="BD18" s="100" t="str">
        <f>IF(ISTEXT(VLOOKUP(CONCATENATE($A18,"_",BD$3),'Unit List'!$A$14:$H$2838,2,FALSE)),"X",$BA18)</f>
        <v>X</v>
      </c>
      <c r="BE18" s="91" t="str">
        <f>IF(ISTEXT(VLOOKUP(CONCATENATE($A18,"_",BE$3),'Unit List'!$A$14:$H$2838,2,FALSE)),"+","")</f>
        <v>+</v>
      </c>
      <c r="BF18" s="135" t="str">
        <f>IF(ISTEXT(VLOOKUP(CONCATENATE($A18,"_",BF$3),'Unit List'!$A$14:$H$2838,2,FALSE)),"X",$BE18)</f>
        <v>+</v>
      </c>
      <c r="BG18" s="111"/>
      <c r="BH18" s="121"/>
      <c r="BI18" s="261" t="s">
        <v>12</v>
      </c>
      <c r="BJ18" s="262"/>
      <c r="BK18" s="262"/>
      <c r="BL18" s="262"/>
      <c r="BM18" s="263"/>
      <c r="BN18" s="81"/>
      <c r="BO18" s="81"/>
      <c r="BP18" s="81"/>
      <c r="BQ18" s="81"/>
      <c r="BR18" s="81"/>
      <c r="BS18" s="81"/>
      <c r="DZ18" s="82"/>
      <c r="EA18" s="82"/>
    </row>
    <row r="19" spans="1:131" ht="12.75" customHeight="1" x14ac:dyDescent="0.2">
      <c r="A19" s="83" t="s">
        <v>34</v>
      </c>
      <c r="B19" s="59" t="str">
        <f>IF(ISTEXT(VLOOKUP(CONCATENATE($A19,"_",B$3),'Unit List'!$A$14:$H$2838,2,FALSE)),"+","")</f>
        <v/>
      </c>
      <c r="C19" s="136" t="str">
        <f>IF(ISTEXT(VLOOKUP(CONCATENATE($A19,"_",C$3),'Unit List'!$A$14:$H$2838,2,FALSE)),"X",$B19)</f>
        <v>X</v>
      </c>
      <c r="D19" s="87" t="str">
        <f>IF(ISTEXT(VLOOKUP(CONCATENATE($A19,"_",D$3),'Unit List'!$A$14:$H$2838,2,FALSE)),"X",$B19)</f>
        <v/>
      </c>
      <c r="E19" s="66" t="str">
        <f>IF(ISTEXT(VLOOKUP(CONCATENATE($A19,"_",E$3),'Unit List'!$A$14:$H$2838,2,FALSE)),"X",$B19)</f>
        <v/>
      </c>
      <c r="F19" s="103" t="s">
        <v>0</v>
      </c>
      <c r="G19" s="96" t="str">
        <f>IF(ISTEXT(VLOOKUP(CONCATENATE($A19,"_",G$3),'Unit List'!$A$14:$H$2838,2,FALSE)),"X",$B19)</f>
        <v>X</v>
      </c>
      <c r="H19" s="96" t="str">
        <f>IF(ISTEXT(VLOOKUP(CONCATENATE($A19,"_",H$3),'Unit List'!$A$14:$H$2838,2,FALSE)),"X",$B19)</f>
        <v>X</v>
      </c>
      <c r="I19" s="74" t="str">
        <f>IF(ISTEXT(VLOOKUP(CONCATENATE($A19,"_",I$3),'Unit List'!$A$14:$H$2838,2,FALSE)),"X",$B19)</f>
        <v/>
      </c>
      <c r="J19" s="64" t="str">
        <f>IF(ISTEXT(VLOOKUP(CONCATENATE($A19,"_",J$3),'Unit List'!$A$14:$H$2838,2,FALSE)),"+","")</f>
        <v>+</v>
      </c>
      <c r="K19" s="246" t="str">
        <f>IF(ISTEXT(VLOOKUP(CONCATENATE($A19,"_",K$3),'Unit List'!$A$14:$H$2838,2,FALSE)),"X",$J19)</f>
        <v>+</v>
      </c>
      <c r="L19" s="144" t="str">
        <f>IF(ISTEXT(VLOOKUP(CONCATENATE($A19,"_",L$3),'Unit List'!$A$14:$H$2838,2,FALSE)),"X",$J19)</f>
        <v>+</v>
      </c>
      <c r="M19" s="64" t="str">
        <f>IF(ISTEXT(VLOOKUP(CONCATENATE($A19,"_",M$3),'Unit List'!$A$14:$H$2838,2,FALSE)),"+","")</f>
        <v/>
      </c>
      <c r="N19" s="66" t="str">
        <f>IF(ISTEXT(VLOOKUP(CONCATENATE($A19,"_",N$3),'Unit List'!$A$14:$H$2838,2,FALSE)),"X",$M19)</f>
        <v/>
      </c>
      <c r="O19" s="100" t="str">
        <f>IF(ISTEXT(VLOOKUP(CONCATENATE($A19,"_",O$3),'Unit List'!$A$14:$H$2838,2,FALSE)),"X",$M19)</f>
        <v>X</v>
      </c>
      <c r="P19" s="68" t="str">
        <f>IF(ISTEXT(VLOOKUP(CONCATENATE($A19,"_",P$3),'Unit List'!$A$14:$H$2838,2,FALSE)),"+","")</f>
        <v>+</v>
      </c>
      <c r="Q19" s="106" t="str">
        <f>IF(ISTEXT(VLOOKUP(CONCATENATE($A19,"_",Q$3),'Unit List'!$A$14:$H$2838,2,FALSE)),"X",$P19)</f>
        <v>+</v>
      </c>
      <c r="R19" s="106" t="str">
        <f>IF(ISTEXT(VLOOKUP(CONCATENATE($A19,"_",R$3),'Unit List'!$A$14:$H$2838,2,FALSE)),"X",$P19)</f>
        <v>+</v>
      </c>
      <c r="S19" s="66" t="str">
        <f>IF(ISTEXT(VLOOKUP(CONCATENATE($A19,"_",S$3),'Unit List'!$A$14:$H$2838,2,FALSE)),"X",$P19)</f>
        <v>X</v>
      </c>
      <c r="T19" s="242" t="str">
        <f>IF(ISTEXT(VLOOKUP(CONCATENATE($A19,"_",T$3),'Unit List'!$A$14:$H$2838,2,FALSE)),"X",$P19)</f>
        <v>+</v>
      </c>
      <c r="U19" s="96" t="str">
        <f>IF(ISTEXT(VLOOKUP(CONCATENATE($A19,"_",U$3),'Unit List'!$A$14:$H$2838,2,FALSE)),"X",$P19)</f>
        <v>X</v>
      </c>
      <c r="V19" s="95" t="str">
        <f>IF(ISTEXT(VLOOKUP(CONCATENATE($A19,"_",V$3),'Unit List'!$A$14:$H$2838,2,FALSE)),"X",$P19)</f>
        <v>X</v>
      </c>
      <c r="W19" s="107" t="str">
        <f>IF(ISTEXT(VLOOKUP(CONCATENATE($A19,"_",W$3),'Unit List'!$A$14:$H$2838,2,FALSE)),"X",$P19)</f>
        <v>+</v>
      </c>
      <c r="X19" s="101" t="str">
        <f>IF(ISTEXT(VLOOKUP(CONCATENATE($A19,"_",X$3),'Unit List'!$A$14:$H$2838,2,FALSE)),"+","")</f>
        <v>+</v>
      </c>
      <c r="Y19" s="95" t="str">
        <f>IF(ISTEXT(VLOOKUP(CONCATENATE($A19,"_",Y$3),'Unit List'!$A$14:$H$2838,2,FALSE)),"X",$X19)</f>
        <v>X</v>
      </c>
      <c r="Z19" s="106" t="str">
        <f>IF(ISTEXT(VLOOKUP(CONCATENATE($A19,"_",Z$3),'Unit List'!$A$14:$H$2838,2,FALSE)),"X",$X19)</f>
        <v>+</v>
      </c>
      <c r="AA19" s="96" t="str">
        <f>IF(ISTEXT(VLOOKUP(CONCATENATE($A19,"_",AA$3),'Unit List'!$A$14:$H$2838,2,FALSE)),"X",$X19)</f>
        <v>X</v>
      </c>
      <c r="AB19" s="96" t="str">
        <f>IF(ISTEXT(VLOOKUP(CONCATENATE($A19,"_",AB$3),'Unit List'!$A$14:$H$2838,2,FALSE)),"X",$X19)</f>
        <v>X</v>
      </c>
      <c r="AC19" s="98" t="str">
        <f>IF(ISTEXT(VLOOKUP(CONCATENATE($A19,"_",AC$3),'Unit List'!$A$14:$H$2838,2,FALSE)),"X",$X19)</f>
        <v>X</v>
      </c>
      <c r="AD19" s="101" t="str">
        <f>IF(ISTEXT(VLOOKUP(CONCATENATE($A19,"_",AD$3),'Unit List'!$A$14:$H$2838,2,FALSE)),"+","")</f>
        <v>+</v>
      </c>
      <c r="AE19" s="62" t="str">
        <f>IF(ISTEXT(VLOOKUP(CONCATENATE($A19,"_",AE$3),'Unit List'!$A$14:$H$2838,2,FALSE)),"X",$AD19)</f>
        <v>+</v>
      </c>
      <c r="AF19" s="72" t="str">
        <f>IF(ISTEXT(VLOOKUP(CONCATENATE($A19,"_",AF$3),'Unit List'!$A$14:$H$2838,2,FALSE)),"X",$AD19)</f>
        <v>+</v>
      </c>
      <c r="AG19" s="101" t="str">
        <f>IF(ISTEXT(VLOOKUP(CONCATENATE($A19,"_",AG$3),'Unit List'!$A$14:$H$2838,2,FALSE)),"+","")</f>
        <v>+</v>
      </c>
      <c r="AH19" s="95" t="str">
        <f>IF(ISTEXT(VLOOKUP(CONCATENATE($A19,"_",AH$3),'Unit List'!$A$14:$H$2838,2,FALSE)),"X",$AG19)</f>
        <v>+</v>
      </c>
      <c r="AI19" s="106" t="str">
        <f>IF(ISTEXT(VLOOKUP(CONCATENATE($A19,"_",AI$3),'Unit List'!$A$14:$H$2838,2,FALSE)),"X",$AG19)</f>
        <v>X</v>
      </c>
      <c r="AJ19" s="107" t="str">
        <f>IF(ISTEXT(VLOOKUP(CONCATENATE($A19,"_",AJ$3),'Unit List'!$A$14:$H$2838,2,FALSE)),"X",$AG19)</f>
        <v>+</v>
      </c>
      <c r="AK19" s="97" t="str">
        <f>IF(ISTEXT(VLOOKUP(CONCATENATE($A19,"_",AK$3),'Unit List'!$A$14:$H$2838,2,FALSE)),"+","")</f>
        <v>+</v>
      </c>
      <c r="AL19" s="242" t="str">
        <f>IF(ISTEXT(VLOOKUP(CONCATENATE($A19,"_",AL$3),'Unit List'!$A$14:$H$2838,2,FALSE)),"X",$AK19)</f>
        <v>+</v>
      </c>
      <c r="AM19" s="243" t="str">
        <f>IF(ISTEXT(VLOOKUP(CONCATENATE($A19,"_",AM$3),'Unit List'!$A$14:$H$2838,2,FALSE)),"X",$AK19)</f>
        <v>+</v>
      </c>
      <c r="AN19" s="137" t="str">
        <f>IF(ISTEXT(VLOOKUP(CONCATENATE($A19,"_",AN$3),'Unit List'!$A$14:$H$2838,2,FALSE)),"+","")</f>
        <v>+</v>
      </c>
      <c r="AO19" s="241" t="str">
        <f>IF(ISTEXT(VLOOKUP(CONCATENATE($A19,"_",AO$3),'Unit List'!$A$14:$H$2838,2,FALSE)),"X",$AN19)</f>
        <v>+</v>
      </c>
      <c r="AP19" s="101" t="str">
        <f>IF(ISTEXT(VLOOKUP(CONCATENATE($A19,"_",AP$3),'Unit List'!$A$14:$H$2838,2,FALSE)),"+","")</f>
        <v>+</v>
      </c>
      <c r="AQ19" s="127" t="s">
        <v>0</v>
      </c>
      <c r="AR19" s="96" t="str">
        <f>IF(ISTEXT(VLOOKUP(CONCATENATE($A19,"_",AR$3),'Unit List'!$A$14:$H$2838,2,FALSE)),"X",$AP19)</f>
        <v>X</v>
      </c>
      <c r="AS19" s="95" t="str">
        <f>IF(ISTEXT(VLOOKUP(CONCATENATE($A19,"_",AS$3),'Unit List'!$A$14:$H$2838,2,FALSE)),"X",$AP19)</f>
        <v>+</v>
      </c>
      <c r="AT19" s="104" t="str">
        <f>IF(ISTEXT(VLOOKUP(CONCATENATE($A19,"_",AT$3),'Unit List'!$A$14:$H$2838,2,FALSE)),"X",$AP19)</f>
        <v>X</v>
      </c>
      <c r="AU19" s="105" t="str">
        <f>IF(ISTEXT(VLOOKUP(CONCATENATE($A19,"_",AU$3),'Unit List'!$A$14:$H$2838,2,FALSE)),"+","")</f>
        <v>+</v>
      </c>
      <c r="AV19" s="106" t="str">
        <f>IF(ISTEXT(VLOOKUP(CONCATENATE($A19,"_",AV$3),'Unit List'!$A$14:$H$2838,2,FALSE)),"X",$AU19)</f>
        <v>+</v>
      </c>
      <c r="AW19" s="107" t="str">
        <f>IF(ISTEXT(VLOOKUP(CONCATENATE($A19,"_",AW$3),'Unit List'!$A$14:$H$2838,2,FALSE)),"X",$AU19)</f>
        <v>+</v>
      </c>
      <c r="AX19" s="101" t="str">
        <f>IF(ISTEXT(VLOOKUP(CONCATENATE($A19,"_",AX$3),'Unit List'!$A$14:$H$2838,2,FALSE)),"+","")</f>
        <v>+</v>
      </c>
      <c r="AY19" s="96" t="str">
        <f>IF(ISTEXT(VLOOKUP(CONCATENATE($A19,"_",AY$3),'Unit List'!$A$14:$H$2838,2,FALSE)),"X",$AX19)</f>
        <v>X</v>
      </c>
      <c r="AZ19" s="241" t="str">
        <f>IF(ISTEXT(VLOOKUP(CONCATENATE($A19,"_",AZ$3),'Unit List'!$A$14:$H$2838,2,FALSE)),"X",$AX19)</f>
        <v>+</v>
      </c>
      <c r="BA19" s="101" t="str">
        <f>IF(ISTEXT(VLOOKUP(CONCATENATE($A19,"_",BA$3),'Unit List'!$A$14:$H$2838,2,FALSE)),"+","")</f>
        <v>+</v>
      </c>
      <c r="BB19" s="96" t="str">
        <f>IF(ISTEXT(VLOOKUP(CONCATENATE($A19,"_",BB$3),'Unit List'!$A$14:$H$2838,2,FALSE)),"X",$BA19)</f>
        <v>X</v>
      </c>
      <c r="BC19" s="132" t="str">
        <f>IF(ISTEXT(VLOOKUP(CONCATENATE($A19,"_",BC$3),'Unit List'!$A$14:$H$2838,2,FALSE)),"X",$BA19)</f>
        <v>X</v>
      </c>
      <c r="BD19" s="104" t="str">
        <f>IF(ISTEXT(VLOOKUP(CONCATENATE($A19,"_",BD$3),'Unit List'!$A$14:$H$2838,2,FALSE)),"X",$BA19)</f>
        <v>X</v>
      </c>
      <c r="BE19" s="137" t="str">
        <f>IF(ISTEXT(VLOOKUP(CONCATENATE($A19,"_",BE$3),'Unit List'!$A$14:$H$2838,2,FALSE)),"+","")</f>
        <v>+</v>
      </c>
      <c r="BF19" s="110" t="str">
        <f>IF(ISTEXT(VLOOKUP(CONCATENATE($A19,"_",BF$3),'Unit List'!$A$14:$H$2838,2,FALSE)),"X",$BE19)</f>
        <v>+</v>
      </c>
      <c r="BG19" s="138"/>
      <c r="BH19" s="139"/>
      <c r="BI19" s="261" t="s">
        <v>12</v>
      </c>
      <c r="BJ19" s="262"/>
      <c r="BK19" s="262"/>
      <c r="BL19" s="262"/>
      <c r="BM19" s="263"/>
      <c r="BN19" s="81"/>
      <c r="BO19" s="81"/>
      <c r="BP19" s="81"/>
      <c r="BQ19" s="81"/>
      <c r="BR19" s="81"/>
      <c r="BS19" s="81"/>
      <c r="DZ19" s="82"/>
      <c r="EA19" s="82"/>
    </row>
    <row r="20" spans="1:131" ht="12.75" customHeight="1" x14ac:dyDescent="0.2">
      <c r="A20" s="83" t="s">
        <v>33</v>
      </c>
      <c r="B20" s="59" t="str">
        <f>IF(ISTEXT(VLOOKUP(CONCATENATE($A20,"_",B$3),'Unit List'!$A$14:$H$2838,2,FALSE)),"+","")</f>
        <v/>
      </c>
      <c r="C20" s="119" t="str">
        <f>IF(ISTEXT(VLOOKUP(CONCATENATE($A20,"_",C$3),'Unit List'!$A$14:$H$2838,2,FALSE)),"X",$B20)</f>
        <v>X</v>
      </c>
      <c r="D20" s="66" t="str">
        <f>IF(ISTEXT(VLOOKUP(CONCATENATE($A20,"_",D$3),'Unit List'!$A$14:$H$2838,2,FALSE)),"X",$B20)</f>
        <v>X</v>
      </c>
      <c r="E20" s="133" t="str">
        <f>IF(ISTEXT(VLOOKUP(CONCATENATE($A20,"_",E$3),'Unit List'!$A$14:$H$2838,2,FALSE)),"X",$B20)</f>
        <v>X</v>
      </c>
      <c r="F20" s="96" t="str">
        <f>IF(ISTEXT(VLOOKUP(CONCATENATE($A20,"_",F$3),'Unit List'!$A$14:$H$2838,2,FALSE)),"X",$B20)</f>
        <v>X</v>
      </c>
      <c r="G20" s="96" t="str">
        <f>IF(ISTEXT(VLOOKUP(CONCATENATE($A20,"_",G$3),'Unit List'!$A$14:$H$2838,2,FALSE)),"X",$B20)</f>
        <v>X</v>
      </c>
      <c r="H20" s="96" t="str">
        <f>IF(ISTEXT(VLOOKUP(CONCATENATE($A20,"_",H$3),'Unit List'!$A$14:$H$2838,2,FALSE)),"X",$B20)</f>
        <v>X</v>
      </c>
      <c r="I20" s="100" t="str">
        <f>IF(ISTEXT(VLOOKUP(CONCATENATE($A20,"_",I$3),'Unit List'!$A$14:$H$2838,2,FALSE)),"X",$B20)</f>
        <v>X</v>
      </c>
      <c r="J20" s="64" t="str">
        <f>IF(ISTEXT(VLOOKUP(CONCATENATE($A20,"_",J$3),'Unit List'!$A$14:$H$2838,2,FALSE)),"+","")</f>
        <v/>
      </c>
      <c r="K20" s="66" t="str">
        <f>IF(ISTEXT(VLOOKUP(CONCATENATE($A20,"_",K$3),'Unit List'!$A$14:$H$2838,2,FALSE)),"X",$J20)</f>
        <v/>
      </c>
      <c r="L20" s="123" t="str">
        <f>IF(ISTEXT(VLOOKUP(CONCATENATE($A20,"_",L$3),'Unit List'!$A$14:$H$2838,2,FALSE)),"X",$J20)</f>
        <v>X</v>
      </c>
      <c r="M20" s="64" t="str">
        <f>IF(ISTEXT(VLOOKUP(CONCATENATE($A20,"_",M$3),'Unit List'!$A$14:$H$2838,2,FALSE)),"+","")</f>
        <v>+</v>
      </c>
      <c r="N20" s="96" t="str">
        <f>IF(ISTEXT(VLOOKUP(CONCATENATE($A20,"_",N$3),'Unit List'!$A$14:$H$2838,2,FALSE)),"X",$M20)</f>
        <v>X</v>
      </c>
      <c r="O20" s="100" t="str">
        <f>IF(ISTEXT(VLOOKUP(CONCATENATE($A20,"_",O$3),'Unit List'!$A$14:$H$2838,2,FALSE)),"X",$M20)</f>
        <v>X</v>
      </c>
      <c r="P20" s="68" t="str">
        <f>IF(ISTEXT(VLOOKUP(CONCATENATE($A20,"_",P$3),'Unit List'!$A$14:$H$2838,2,FALSE)),"+","")</f>
        <v/>
      </c>
      <c r="Q20" s="66" t="str">
        <f>IF(ISTEXT(VLOOKUP(CONCATENATE($A20,"_",Q$3),'Unit List'!$A$14:$H$2838,2,FALSE)),"X",$P20)</f>
        <v/>
      </c>
      <c r="R20" s="66" t="str">
        <f>IF(ISTEXT(VLOOKUP(CONCATENATE($A20,"_",R$3),'Unit List'!$A$14:$H$2838,2,FALSE)),"X",$P20)</f>
        <v/>
      </c>
      <c r="S20" s="96" t="str">
        <f>IF(ISTEXT(VLOOKUP(CONCATENATE($A20,"_",S$3),'Unit List'!$A$14:$H$2838,2,FALSE)),"X",$P20)</f>
        <v>X</v>
      </c>
      <c r="T20" s="69" t="str">
        <f>IF(ISTEXT(VLOOKUP(CONCATENATE($A20,"_",T$3),'Unit List'!$A$14:$H$2838,2,FALSE)),"X",$P20)</f>
        <v/>
      </c>
      <c r="U20" s="96" t="str">
        <f>IF(ISTEXT(VLOOKUP(CONCATENATE($A20,"_",U$3),'Unit List'!$A$14:$H$2838,2,FALSE)),"X",$P20)</f>
        <v>X</v>
      </c>
      <c r="V20" s="66" t="str">
        <f>IF(ISTEXT(VLOOKUP(CONCATENATE($A20,"_",V$3),'Unit List'!$A$14:$H$2838,2,FALSE)),"X",$P20)</f>
        <v/>
      </c>
      <c r="W20" s="71" t="str">
        <f>IF(ISTEXT(VLOOKUP(CONCATENATE($A20,"_",W$3),'Unit List'!$A$14:$H$2838,2,FALSE)),"X",$P20)</f>
        <v/>
      </c>
      <c r="X20" s="68" t="str">
        <f>IF(ISTEXT(VLOOKUP(CONCATENATE($A20,"_",X$3),'Unit List'!$A$14:$H$2838,2,FALSE)),"+","")</f>
        <v/>
      </c>
      <c r="Y20" s="66" t="str">
        <f>IF(ISTEXT(VLOOKUP(CONCATENATE($A20,"_",Y$3),'Unit List'!$A$14:$H$2838,2,FALSE)),"X",$X20)</f>
        <v/>
      </c>
      <c r="Z20" s="66" t="str">
        <f>IF(ISTEXT(VLOOKUP(CONCATENATE($A20,"_",Z$3),'Unit List'!$A$14:$H$2838,2,FALSE)),"X",$X20)</f>
        <v/>
      </c>
      <c r="AA20" s="66" t="str">
        <f>IF(ISTEXT(VLOOKUP(CONCATENATE($A20,"_",AA$3),'Unit List'!$A$14:$H$2838,2,FALSE)),"X",$X20)</f>
        <v/>
      </c>
      <c r="AB20" s="66" t="str">
        <f>IF(ISTEXT(VLOOKUP(CONCATENATE($A20,"_",AB$3),'Unit List'!$A$14:$H$2838,2,FALSE)),"X",$X20)</f>
        <v/>
      </c>
      <c r="AC20" s="89" t="str">
        <f>IF(ISTEXT(VLOOKUP(CONCATENATE($A20,"_",AC$3),'Unit List'!$A$14:$H$2838,2,FALSE)),"X",$X20)</f>
        <v/>
      </c>
      <c r="AD20" s="68" t="str">
        <f>IF(ISTEXT(VLOOKUP(CONCATENATE($A20,"_",AD$3),'Unit List'!$A$14:$H$2838,2,FALSE)),"+","")</f>
        <v/>
      </c>
      <c r="AE20" s="62" t="str">
        <f>IF(ISTEXT(VLOOKUP(CONCATENATE($A20,"_",AE$3),'Unit List'!$A$14:$H$2838,2,FALSE)),"X",$AD20)</f>
        <v/>
      </c>
      <c r="AF20" s="72" t="str">
        <f>IF(ISTEXT(VLOOKUP(CONCATENATE($A20,"_",AF$3),'Unit List'!$A$14:$H$2838,2,FALSE)),"X",$AD20)</f>
        <v/>
      </c>
      <c r="AG20" s="68" t="str">
        <f>IF(ISTEXT(VLOOKUP(CONCATENATE($A20,"_",AG$3),'Unit List'!$A$14:$H$2838,2,FALSE)),"+","")</f>
        <v/>
      </c>
      <c r="AH20" s="66" t="str">
        <f>IF(ISTEXT(VLOOKUP(CONCATENATE($A20,"_",AH$3),'Unit List'!$A$14:$H$2838,2,FALSE)),"X",$AG20)</f>
        <v/>
      </c>
      <c r="AI20" s="66" t="str">
        <f>IF(ISTEXT(VLOOKUP(CONCATENATE($A20,"_",AI$3),'Unit List'!$A$14:$H$2838,2,FALSE)),"X",$AG20)</f>
        <v/>
      </c>
      <c r="AJ20" s="74" t="str">
        <f>IF(ISTEXT(VLOOKUP(CONCATENATE($A20,"_",AJ$3),'Unit List'!$A$14:$H$2838,2,FALSE)),"X",$AG20)</f>
        <v/>
      </c>
      <c r="AK20" s="64" t="str">
        <f>IF(ISTEXT(VLOOKUP(CONCATENATE($A20,"_",AK$3),'Unit List'!$A$14:$H$2838,2,FALSE)),"+","")</f>
        <v/>
      </c>
      <c r="AL20" s="69" t="str">
        <f>IF(ISTEXT(VLOOKUP(CONCATENATE($A20,"_",AL$3),'Unit List'!$A$14:$H$2838,2,FALSE)),"X",$AK20)</f>
        <v/>
      </c>
      <c r="AM20" s="74" t="str">
        <f>IF(ISTEXT(VLOOKUP(CONCATENATE($A20,"_",AM$3),'Unit List'!$A$14:$H$2838,2,FALSE)),"X",$AK20)</f>
        <v/>
      </c>
      <c r="AN20" s="91" t="str">
        <f>IF(ISTEXT(VLOOKUP(CONCATENATE($A20,"_",AN$3),'Unit List'!$A$14:$H$2838,2,FALSE)),"+","")</f>
        <v/>
      </c>
      <c r="AO20" s="74" t="str">
        <f>IF(ISTEXT(VLOOKUP(CONCATENATE($A20,"_",AO$3),'Unit List'!$A$14:$H$2838,2,FALSE)),"X",$AN20)</f>
        <v/>
      </c>
      <c r="AP20" s="68" t="str">
        <f>IF(ISTEXT(VLOOKUP(CONCATENATE($A20,"_",AP$3),'Unit List'!$A$14:$H$2838,2,FALSE)),"+","")</f>
        <v>+</v>
      </c>
      <c r="AQ20" s="66" t="str">
        <f>IF(ISTEXT(VLOOKUP(CONCATENATE($A20,"_",AQ$3),'Unit List'!$A$14:$H$2838,2,FALSE)),"X",$AP20)</f>
        <v>+</v>
      </c>
      <c r="AR20" s="96" t="str">
        <f>IF(ISTEXT(VLOOKUP(CONCATENATE($A20,"_",AR$3),'Unit List'!$A$14:$H$2838,2,FALSE)),"X",$AP20)</f>
        <v>X</v>
      </c>
      <c r="AS20" s="66" t="str">
        <f>IF(ISTEXT(VLOOKUP(CONCATENATE($A20,"_",AS$3),'Unit List'!$A$14:$H$2838,2,FALSE)),"X",$AP20)</f>
        <v>+</v>
      </c>
      <c r="AT20" s="74" t="str">
        <f>IF(ISTEXT(VLOOKUP(CONCATENATE($A20,"_",AT$3),'Unit List'!$A$14:$H$2838,2,FALSE)),"X",$AP20)</f>
        <v>+</v>
      </c>
      <c r="AU20" s="77" t="str">
        <f>IF(ISTEXT(VLOOKUP(CONCATENATE($A20,"_",AU$3),'Unit List'!$A$14:$H$2838,2,FALSE)),"+","")</f>
        <v/>
      </c>
      <c r="AV20" s="66" t="str">
        <f>IF(ISTEXT(VLOOKUP(CONCATENATE($A20,"_",AV$3),'Unit List'!$A$14:$H$2838,2,FALSE)),"X",$AU20)</f>
        <v/>
      </c>
      <c r="AW20" s="74" t="str">
        <f>IF(ISTEXT(VLOOKUP(CONCATENATE($A20,"_",AW$3),'Unit List'!$A$14:$H$2838,2,FALSE)),"X",$AU20)</f>
        <v/>
      </c>
      <c r="AX20" s="68" t="str">
        <f>IF(ISTEXT(VLOOKUP(CONCATENATE($A20,"_",AX$3),'Unit List'!$A$14:$H$2838,2,FALSE)),"+","")</f>
        <v>+</v>
      </c>
      <c r="AY20" s="133" t="str">
        <f>IF(ISTEXT(VLOOKUP(CONCATENATE($A20,"_",AY$3),'Unit List'!$A$14:$H$2838,2,FALSE)),"X",$AX20)</f>
        <v>+</v>
      </c>
      <c r="AZ20" s="134" t="str">
        <f>IF(ISTEXT(VLOOKUP(CONCATENATE($A20,"_",AZ$3),'Unit List'!$A$14:$H$2838,2,FALSE)),"X",$AX20)</f>
        <v>+</v>
      </c>
      <c r="BA20" s="78" t="str">
        <f>IF(ISTEXT(VLOOKUP(CONCATENATE($A20,"_",BA$3),'Unit List'!$A$14:$H$2838,2,FALSE)),"+","")</f>
        <v/>
      </c>
      <c r="BB20" s="66" t="str">
        <f>IF(ISTEXT(VLOOKUP(CONCATENATE($A20,"_",BB$3),'Unit List'!$A$14:$H$2838,2,FALSE)),"X",$BA20)</f>
        <v/>
      </c>
      <c r="BC20" s="66" t="str">
        <f>IF(ISTEXT(VLOOKUP(CONCATENATE($A20,"_",BC$3),'Unit List'!$A$14:$H$2838,2,FALSE)),"X",$BA20)</f>
        <v/>
      </c>
      <c r="BD20" s="74" t="str">
        <f>IF(ISTEXT(VLOOKUP(CONCATENATE($A20,"_",BD$3),'Unit List'!$A$14:$H$2838,2,FALSE)),"X",$BA20)</f>
        <v/>
      </c>
      <c r="BE20" s="91" t="str">
        <f>IF(ISTEXT(VLOOKUP(CONCATENATE($A20,"_",BE$3),'Unit List'!$A$14:$H$2838,2,FALSE)),"+","")</f>
        <v>+</v>
      </c>
      <c r="BF20" s="135" t="str">
        <f>IF(ISTEXT(VLOOKUP(CONCATENATE($A20,"_",BF$3),'Unit List'!$A$14:$H$2838,2,FALSE)),"X",$BE20)</f>
        <v>+</v>
      </c>
      <c r="BG20" s="111"/>
      <c r="BH20" s="121"/>
      <c r="BI20" s="264"/>
      <c r="BJ20" s="265"/>
      <c r="BK20" s="265"/>
      <c r="BL20" s="265"/>
      <c r="BM20" s="266"/>
      <c r="BN20" s="81"/>
      <c r="BO20" s="81"/>
      <c r="BP20" s="81"/>
      <c r="BQ20" s="81"/>
      <c r="BR20" s="81"/>
      <c r="BS20" s="81"/>
      <c r="DZ20" s="82"/>
      <c r="EA20" s="82"/>
    </row>
    <row r="21" spans="1:131" ht="12.75" customHeight="1" x14ac:dyDescent="0.2">
      <c r="A21" s="83" t="s">
        <v>32</v>
      </c>
      <c r="B21" s="59" t="str">
        <f>IF(ISTEXT(VLOOKUP(CONCATENATE($A21,"_",B$3),'Unit List'!$A$14:$H$2838,2,FALSE)),"+","")</f>
        <v/>
      </c>
      <c r="C21" s="119" t="str">
        <f>IF(ISTEXT(VLOOKUP(CONCATENATE($A21,"_",C$3),'Unit List'!$A$14:$H$2838,2,FALSE)),"X",$B21)</f>
        <v>X</v>
      </c>
      <c r="D21" s="96" t="str">
        <f>IF(ISTEXT(VLOOKUP(CONCATENATE($A21,"_",D$3),'Unit List'!$A$14:$H$2838,2,FALSE)),"X",$B21)</f>
        <v>X</v>
      </c>
      <c r="E21" s="133" t="str">
        <f>IF(ISTEXT(VLOOKUP(CONCATENATE($A21,"_",E$3),'Unit List'!$A$14:$H$2838,2,FALSE)),"X",$B21)</f>
        <v>X</v>
      </c>
      <c r="F21" s="96" t="str">
        <f>IF(ISTEXT(VLOOKUP(CONCATENATE($A21,"_",F$3),'Unit List'!$A$14:$H$2838,2,FALSE)),"X",$B21)</f>
        <v>X</v>
      </c>
      <c r="G21" s="96" t="str">
        <f>IF(ISTEXT(VLOOKUP(CONCATENATE($A21,"_",G$3),'Unit List'!$A$14:$H$2838,2,FALSE)),"X",$B21)</f>
        <v>X</v>
      </c>
      <c r="H21" s="96" t="str">
        <f>IF(ISTEXT(VLOOKUP(CONCATENATE($A21,"_",H$3),'Unit List'!$A$14:$H$2838,2,FALSE)),"X",$B21)</f>
        <v>X</v>
      </c>
      <c r="I21" s="100" t="str">
        <f>IF(ISTEXT(VLOOKUP(CONCATENATE($A21,"_",I$3),'Unit List'!$A$14:$H$2838,2,FALSE)),"X",$B21)</f>
        <v>X</v>
      </c>
      <c r="J21" s="64" t="str">
        <f>IF(ISTEXT(VLOOKUP(CONCATENATE($A21,"_",J$3),'Unit List'!$A$14:$H$2838,2,FALSE)),"+","")</f>
        <v/>
      </c>
      <c r="K21" s="66" t="str">
        <f>IF(ISTEXT(VLOOKUP(CONCATENATE($A21,"_",K$3),'Unit List'!$A$14:$H$2838,2,FALSE)),"X",$J21)</f>
        <v/>
      </c>
      <c r="L21" s="123" t="str">
        <f>IF(ISTEXT(VLOOKUP(CONCATENATE($A21,"_",L$3),'Unit List'!$A$14:$H$2838,2,FALSE)),"X",$J21)</f>
        <v>X</v>
      </c>
      <c r="M21" s="64" t="str">
        <f>IF(ISTEXT(VLOOKUP(CONCATENATE($A21,"_",M$3),'Unit List'!$A$14:$H$2838,2,FALSE)),"+","")</f>
        <v>+</v>
      </c>
      <c r="N21" s="96" t="str">
        <f>IF(ISTEXT(VLOOKUP(CONCATENATE($A21,"_",N$3),'Unit List'!$A$14:$H$2838,2,FALSE)),"X",$M21)</f>
        <v>X</v>
      </c>
      <c r="O21" s="100" t="str">
        <f>IF(ISTEXT(VLOOKUP(CONCATENATE($A21,"_",O$3),'Unit List'!$A$14:$H$2838,2,FALSE)),"X",$M21)</f>
        <v>X</v>
      </c>
      <c r="P21" s="68" t="str">
        <f>IF(ISTEXT(VLOOKUP(CONCATENATE($A21,"_",P$3),'Unit List'!$A$14:$H$2838,2,FALSE)),"+","")</f>
        <v/>
      </c>
      <c r="Q21" s="72" t="str">
        <f>IF(ISTEXT(VLOOKUP(CONCATENATE($A21,"_",Q$3),'Unit List'!$A$14:$H$2838,2,FALSE)),"X",$P21)</f>
        <v>X</v>
      </c>
      <c r="R21" s="66" t="str">
        <f>IF(ISTEXT(VLOOKUP(CONCATENATE($A21,"_",R$3),'Unit List'!$A$14:$H$2838,2,FALSE)),"X",$P21)</f>
        <v/>
      </c>
      <c r="S21" s="96" t="str">
        <f>IF(ISTEXT(VLOOKUP(CONCATENATE($A21,"_",S$3),'Unit List'!$A$14:$H$2838,2,FALSE)),"X",$P21)</f>
        <v>X</v>
      </c>
      <c r="T21" s="69" t="str">
        <f>IF(ISTEXT(VLOOKUP(CONCATENATE($A21,"_",T$3),'Unit List'!$A$14:$H$2838,2,FALSE)),"X",$P21)</f>
        <v/>
      </c>
      <c r="U21" s="96" t="str">
        <f>IF(ISTEXT(VLOOKUP(CONCATENATE($A21,"_",U$3),'Unit List'!$A$14:$H$2838,2,FALSE)),"X",$P21)</f>
        <v>X</v>
      </c>
      <c r="V21" s="96" t="str">
        <f>IF(ISTEXT(VLOOKUP(CONCATENATE($A21,"_",V$3),'Unit List'!$A$14:$H$2838,2,FALSE)),"X",$P21)</f>
        <v>X</v>
      </c>
      <c r="W21" s="71" t="str">
        <f>IF(ISTEXT(VLOOKUP(CONCATENATE($A21,"_",W$3),'Unit List'!$A$14:$H$2838,2,FALSE)),"X",$P21)</f>
        <v/>
      </c>
      <c r="X21" s="101" t="str">
        <f>IF(ISTEXT(VLOOKUP(CONCATENATE($A21,"_",X$3),'Unit List'!$A$14:$H$2838,2,FALSE)),"+","")</f>
        <v>+</v>
      </c>
      <c r="Y21" s="106" t="str">
        <f>IF(ISTEXT(VLOOKUP(CONCATENATE($A21,"_",Y$3),'Unit List'!$A$14:$H$2838,2,FALSE)),"X",$X21)</f>
        <v>+</v>
      </c>
      <c r="Z21" s="106" t="str">
        <f>IF(ISTEXT(VLOOKUP(CONCATENATE($A21,"_",Z$3),'Unit List'!$A$14:$H$2838,2,FALSE)),"X",$X21)</f>
        <v>+</v>
      </c>
      <c r="AA21" s="106" t="str">
        <f>IF(ISTEXT(VLOOKUP(CONCATENATE($A21,"_",AA$3),'Unit List'!$A$14:$H$2838,2,FALSE)),"X",$X21)</f>
        <v>+</v>
      </c>
      <c r="AB21" s="96" t="str">
        <f>IF(ISTEXT(VLOOKUP(CONCATENATE($A21,"_",AB$3),'Unit List'!$A$14:$H$2838,2,FALSE)),"X",$X21)</f>
        <v>X</v>
      </c>
      <c r="AC21" s="110" t="str">
        <f>IF(ISTEXT(VLOOKUP(CONCATENATE($A21,"_",AC$3),'Unit List'!$A$14:$H$2838,2,FALSE)),"X",$X21)</f>
        <v>+</v>
      </c>
      <c r="AD21" s="101" t="str">
        <f>IF(ISTEXT(VLOOKUP(CONCATENATE($A21,"_",AD$3),'Unit List'!$A$14:$H$2838,2,FALSE)),"+","")</f>
        <v/>
      </c>
      <c r="AE21" s="62" t="str">
        <f>IF(ISTEXT(VLOOKUP(CONCATENATE($A21,"_",AE$3),'Unit List'!$A$14:$H$2838,2,FALSE)),"X",$AD21)</f>
        <v/>
      </c>
      <c r="AF21" s="72" t="str">
        <f>IF(ISTEXT(VLOOKUP(CONCATENATE($A21,"_",AF$3),'Unit List'!$A$14:$H$2838,2,FALSE)),"X",$AD21)</f>
        <v/>
      </c>
      <c r="AG21" s="101" t="str">
        <f>IF(ISTEXT(VLOOKUP(CONCATENATE($A21,"_",AG$3),'Unit List'!$A$14:$H$2838,2,FALSE)),"+","")</f>
        <v>+</v>
      </c>
      <c r="AH21" s="106" t="str">
        <f>IF(ISTEXT(VLOOKUP(CONCATENATE($A21,"_",AH$3),'Unit List'!$A$14:$H$2838,2,FALSE)),"X",$AG21)</f>
        <v>+</v>
      </c>
      <c r="AI21" s="106" t="str">
        <f>IF(ISTEXT(VLOOKUP(CONCATENATE($A21,"_",AI$3),'Unit List'!$A$14:$H$2838,2,FALSE)),"X",$AG21)</f>
        <v>+</v>
      </c>
      <c r="AJ21" s="134" t="str">
        <f>IF(ISTEXT(VLOOKUP(CONCATENATE($A21,"_",AJ$3),'Unit List'!$A$14:$H$2838,2,FALSE)),"X",$AG21)</f>
        <v>+</v>
      </c>
      <c r="AK21" s="97" t="str">
        <f>IF(ISTEXT(VLOOKUP(CONCATENATE($A21,"_",AK$3),'Unit List'!$A$14:$H$2838,2,FALSE)),"+","")</f>
        <v/>
      </c>
      <c r="AL21" s="124" t="str">
        <f>IF(ISTEXT(VLOOKUP(CONCATENATE($A21,"_",AL$3),'Unit List'!$A$14:$H$2838,2,FALSE)),"X",$AK21)</f>
        <v>X</v>
      </c>
      <c r="AM21" s="74" t="str">
        <f>IF(ISTEXT(VLOOKUP(CONCATENATE($A21,"_",AM$3),'Unit List'!$A$14:$H$2838,2,FALSE)),"X",$AK21)</f>
        <v>X</v>
      </c>
      <c r="AN21" s="137" t="str">
        <f>IF(ISTEXT(VLOOKUP(CONCATENATE($A21,"_",AN$3),'Unit List'!$A$14:$H$2838,2,FALSE)),"+","")</f>
        <v/>
      </c>
      <c r="AO21" s="74" t="str">
        <f>IF(ISTEXT(VLOOKUP(CONCATENATE($A21,"_",AO$3),'Unit List'!$A$14:$H$2838,2,FALSE)),"X",$AN21)</f>
        <v/>
      </c>
      <c r="AP21" s="68" t="str">
        <f>IF(ISTEXT(VLOOKUP(CONCATENATE($A21,"_",AP$3),'Unit List'!$A$14:$H$2838,2,FALSE)),"+","")</f>
        <v/>
      </c>
      <c r="AQ21" s="96" t="str">
        <f>IF(ISTEXT(VLOOKUP(CONCATENATE($A21,"_",AQ$3),'Unit List'!$A$14:$H$2838,2,FALSE)),"X",$AP21)</f>
        <v>X</v>
      </c>
      <c r="AR21" s="127" t="s">
        <v>0</v>
      </c>
      <c r="AS21" s="66" t="str">
        <f>IF(ISTEXT(VLOOKUP(CONCATENATE($A21,"_",AS$3),'Unit List'!$A$14:$H$2838,2,FALSE)),"X",$AP21)</f>
        <v/>
      </c>
      <c r="AT21" s="74" t="str">
        <f>IF(ISTEXT(VLOOKUP(CONCATENATE($A21,"_",AT$3),'Unit List'!$A$14:$H$2838,2,FALSE)),"X",$AP21)</f>
        <v/>
      </c>
      <c r="AU21" s="77" t="str">
        <f>IF(ISTEXT(VLOOKUP(CONCATENATE($A21,"_",AU$3),'Unit List'!$A$14:$H$2838,2,FALSE)),"+","")</f>
        <v/>
      </c>
      <c r="AV21" s="66" t="str">
        <f>IF(ISTEXT(VLOOKUP(CONCATENATE($A21,"_",AV$3),'Unit List'!$A$14:$H$2838,2,FALSE)),"X",$AU21)</f>
        <v/>
      </c>
      <c r="AW21" s="74" t="str">
        <f>IF(ISTEXT(VLOOKUP(CONCATENATE($A21,"_",AW$3),'Unit List'!$A$14:$H$2838,2,FALSE)),"X",$AU21)</f>
        <v/>
      </c>
      <c r="AX21" s="101" t="str">
        <f>IF(ISTEXT(VLOOKUP(CONCATENATE($A21,"_",AX$3),'Unit List'!$A$14:$H$2838,2,FALSE)),"+","")</f>
        <v>+</v>
      </c>
      <c r="AY21" s="106" t="str">
        <f>IF(ISTEXT(VLOOKUP(CONCATENATE($A21,"_",AY$3),'Unit List'!$A$14:$H$2838,2,FALSE)),"X",$AX21)</f>
        <v>+</v>
      </c>
      <c r="AZ21" s="134" t="str">
        <f>IF(ISTEXT(VLOOKUP(CONCATENATE($A21,"_",AZ$3),'Unit List'!$A$14:$H$2838,2,FALSE)),"X",$AX21)</f>
        <v>+</v>
      </c>
      <c r="BA21" s="101" t="str">
        <f>IF(ISTEXT(VLOOKUP(CONCATENATE($A21,"_",BA$3),'Unit List'!$A$14:$H$2838,2,FALSE)),"+","")</f>
        <v>+</v>
      </c>
      <c r="BB21" s="106" t="str">
        <f>IF(ISTEXT(VLOOKUP(CONCATENATE($A21,"_",BB$3),'Unit List'!$A$14:$H$2838,2,FALSE)),"X",$BA21)</f>
        <v>+</v>
      </c>
      <c r="BC21" s="106" t="str">
        <f>IF(ISTEXT(VLOOKUP(CONCATENATE($A21,"_",BC$3),'Unit List'!$A$14:$H$2838,2,FALSE)),"X",$BA21)</f>
        <v>+</v>
      </c>
      <c r="BD21" s="107" t="str">
        <f>IF(ISTEXT(VLOOKUP(CONCATENATE($A21,"_",BD$3),'Unit List'!$A$14:$H$2838,2,FALSE)),"X",$BA21)</f>
        <v>+</v>
      </c>
      <c r="BE21" s="137" t="str">
        <f>IF(ISTEXT(VLOOKUP(CONCATENATE($A21,"_",BE$3),'Unit List'!$A$14:$H$2838,2,FALSE)),"+","")</f>
        <v>+</v>
      </c>
      <c r="BF21" s="135" t="str">
        <f>IF(ISTEXT(VLOOKUP(CONCATENATE($A21,"_",BF$3),'Unit List'!$A$14:$H$2838,2,FALSE)),"X",$BE21)</f>
        <v>+</v>
      </c>
      <c r="BG21" s="140"/>
      <c r="BH21" s="141" t="s">
        <v>0</v>
      </c>
      <c r="BI21" s="264"/>
      <c r="BJ21" s="265"/>
      <c r="BK21" s="265"/>
      <c r="BL21" s="265"/>
      <c r="BM21" s="266"/>
      <c r="BN21" s="81"/>
      <c r="BO21" s="81"/>
      <c r="BP21" s="81"/>
      <c r="BQ21" s="81"/>
      <c r="BR21" s="81"/>
      <c r="BS21" s="81"/>
      <c r="DZ21" s="82"/>
      <c r="EA21" s="82"/>
    </row>
    <row r="22" spans="1:131" ht="12.75" customHeight="1" x14ac:dyDescent="0.2">
      <c r="A22" s="83" t="s">
        <v>31</v>
      </c>
      <c r="B22" s="59" t="str">
        <f>IF(ISTEXT(VLOOKUP(CONCATENATE($A22,"_",B$3),'Unit List'!$A$14:$H$2838,2,FALSE)),"+","")</f>
        <v/>
      </c>
      <c r="C22" s="84" t="str">
        <f>IF(ISTEXT(VLOOKUP(CONCATENATE($A22,"_",C$3),'Unit List'!$A$14:$H$2838,2,FALSE)),"X",$B22)</f>
        <v/>
      </c>
      <c r="D22" s="66" t="str">
        <f>IF(ISTEXT(VLOOKUP(CONCATENATE($A22,"_",D$3),'Unit List'!$A$14:$H$2838,2,FALSE)),"X",$B22)</f>
        <v/>
      </c>
      <c r="E22" s="66" t="str">
        <f>IF(ISTEXT(VLOOKUP(CONCATENATE($A22,"_",E$3),'Unit List'!$A$14:$H$2838,2,FALSE)),"X",$B22)</f>
        <v/>
      </c>
      <c r="F22" s="127" t="s">
        <v>0</v>
      </c>
      <c r="G22" s="66" t="str">
        <f>IF(ISTEXT(VLOOKUP(CONCATENATE($A22,"_",G$3),'Unit List'!$A$14:$H$2838,2,FALSE)),"X",$B22)</f>
        <v/>
      </c>
      <c r="H22" s="66" t="str">
        <f>IF(ISTEXT(VLOOKUP(CONCATENATE($A22,"_",H$3),'Unit List'!$A$14:$H$2838,2,FALSE)),"X",$B22)</f>
        <v/>
      </c>
      <c r="I22" s="74" t="str">
        <f>IF(ISTEXT(VLOOKUP(CONCATENATE($A22,"_",I$3),'Unit List'!$A$14:$H$2838,2,FALSE)),"X",$B22)</f>
        <v/>
      </c>
      <c r="J22" s="64" t="str">
        <f>IF(ISTEXT(VLOOKUP(CONCATENATE($A22,"_",J$3),'Unit List'!$A$14:$H$2838,2,FALSE)),"+","")</f>
        <v/>
      </c>
      <c r="K22" s="66" t="str">
        <f>IF(ISTEXT(VLOOKUP(CONCATENATE($A22,"_",K$3),'Unit List'!$A$14:$H$2838,2,FALSE)),"X",$J22)</f>
        <v/>
      </c>
      <c r="L22" s="89" t="str">
        <f>IF(ISTEXT(VLOOKUP(CONCATENATE($A22,"_",L$3),'Unit List'!$A$14:$H$2838,2,FALSE)),"X",$J22)</f>
        <v/>
      </c>
      <c r="M22" s="64" t="str">
        <f>IF(ISTEXT(VLOOKUP(CONCATENATE($A22,"_",M$3),'Unit List'!$A$14:$H$2838,2,FALSE)),"+","")</f>
        <v/>
      </c>
      <c r="N22" s="66" t="str">
        <f>IF(ISTEXT(VLOOKUP(CONCATENATE($A22,"_",N$3),'Unit List'!$A$14:$H$2838,2,FALSE)),"X",$M22)</f>
        <v/>
      </c>
      <c r="O22" s="74" t="str">
        <f>IF(ISTEXT(VLOOKUP(CONCATENATE($A22,"_",O$3),'Unit List'!$A$14:$H$2838,2,FALSE)),"X",$M22)</f>
        <v/>
      </c>
      <c r="P22" s="68" t="str">
        <f>IF(ISTEXT(VLOOKUP(CONCATENATE($A22,"_",P$3),'Unit List'!$A$14:$H$2838,2,FALSE)),"+","")</f>
        <v/>
      </c>
      <c r="Q22" s="66" t="str">
        <f>IF(ISTEXT(VLOOKUP(CONCATENATE($A22,"_",Q$3),'Unit List'!$A$14:$H$2838,2,FALSE)),"X",$P22)</f>
        <v/>
      </c>
      <c r="R22" s="66" t="str">
        <f>IF(ISTEXT(VLOOKUP(CONCATENATE($A22,"_",R$3),'Unit List'!$A$14:$H$2838,2,FALSE)),"X",$P22)</f>
        <v/>
      </c>
      <c r="S22" s="66" t="str">
        <f>IF(ISTEXT(VLOOKUP(CONCATENATE($A22,"_",S$3),'Unit List'!$A$14:$H$2838,2,FALSE)),"X",$P22)</f>
        <v/>
      </c>
      <c r="T22" s="69" t="str">
        <f>IF(ISTEXT(VLOOKUP(CONCATENATE($A22,"_",T$3),'Unit List'!$A$14:$H$2838,2,FALSE)),"X",$P22)</f>
        <v/>
      </c>
      <c r="U22" s="66" t="str">
        <f>IF(ISTEXT(VLOOKUP(CONCATENATE($A22,"_",U$3),'Unit List'!$A$14:$H$2838,2,FALSE)),"X",$P22)</f>
        <v/>
      </c>
      <c r="V22" s="66" t="str">
        <f>IF(ISTEXT(VLOOKUP(CONCATENATE($A22,"_",V$3),'Unit List'!$A$14:$H$2838,2,FALSE)),"X",$P22)</f>
        <v/>
      </c>
      <c r="W22" s="71" t="str">
        <f>IF(ISTEXT(VLOOKUP(CONCATENATE($A22,"_",W$3),'Unit List'!$A$14:$H$2838,2,FALSE)),"X",$P22)</f>
        <v/>
      </c>
      <c r="X22" s="68" t="str">
        <f>IF(ISTEXT(VLOOKUP(CONCATENATE($A22,"_",X$3),'Unit List'!$A$14:$H$2838,2,FALSE)),"+","")</f>
        <v/>
      </c>
      <c r="Y22" s="66" t="str">
        <f>IF(ISTEXT(VLOOKUP(CONCATENATE($A22,"_",Y$3),'Unit List'!$A$14:$H$2838,2,FALSE)),"X",$X22)</f>
        <v/>
      </c>
      <c r="Z22" s="66" t="str">
        <f>IF(ISTEXT(VLOOKUP(CONCATENATE($A22,"_",Z$3),'Unit List'!$A$14:$H$2838,2,FALSE)),"X",$X22)</f>
        <v/>
      </c>
      <c r="AA22" s="66" t="str">
        <f>IF(ISTEXT(VLOOKUP(CONCATENATE($A22,"_",AA$3),'Unit List'!$A$14:$H$2838,2,FALSE)),"X",$X22)</f>
        <v/>
      </c>
      <c r="AB22" s="66" t="str">
        <f>IF(ISTEXT(VLOOKUP(CONCATENATE($A22,"_",AB$3),'Unit List'!$A$14:$H$2838,2,FALSE)),"X",$X22)</f>
        <v/>
      </c>
      <c r="AC22" s="89" t="str">
        <f>IF(ISTEXT(VLOOKUP(CONCATENATE($A22,"_",AC$3),'Unit List'!$A$14:$H$2838,2,FALSE)),"X",$X22)</f>
        <v/>
      </c>
      <c r="AD22" s="68" t="str">
        <f>IF(ISTEXT(VLOOKUP(CONCATENATE($A22,"_",AD$3),'Unit List'!$A$14:$H$2838,2,FALSE)),"+","")</f>
        <v/>
      </c>
      <c r="AE22" s="62" t="str">
        <f>IF(ISTEXT(VLOOKUP(CONCATENATE($A22,"_",AE$3),'Unit List'!$A$14:$H$2838,2,FALSE)),"X",$AD22)</f>
        <v/>
      </c>
      <c r="AF22" s="72" t="str">
        <f>IF(ISTEXT(VLOOKUP(CONCATENATE($A22,"_",AF$3),'Unit List'!$A$14:$H$2838,2,FALSE)),"X",$AD22)</f>
        <v/>
      </c>
      <c r="AG22" s="68" t="str">
        <f>IF(ISTEXT(VLOOKUP(CONCATENATE($A22,"_",AG$3),'Unit List'!$A$14:$H$2838,2,FALSE)),"+","")</f>
        <v/>
      </c>
      <c r="AH22" s="66" t="str">
        <f>IF(ISTEXT(VLOOKUP(CONCATENATE($A22,"_",AH$3),'Unit List'!$A$14:$H$2838,2,FALSE)),"X",$AG22)</f>
        <v/>
      </c>
      <c r="AI22" s="66" t="str">
        <f>IF(ISTEXT(VLOOKUP(CONCATENATE($A22,"_",AI$3),'Unit List'!$A$14:$H$2838,2,FALSE)),"X",$AG22)</f>
        <v/>
      </c>
      <c r="AJ22" s="74" t="str">
        <f>IF(ISTEXT(VLOOKUP(CONCATENATE($A22,"_",AJ$3),'Unit List'!$A$14:$H$2838,2,FALSE)),"X",$AG22)</f>
        <v/>
      </c>
      <c r="AK22" s="64" t="str">
        <f>IF(ISTEXT(VLOOKUP(CONCATENATE($A22,"_",AK$3),'Unit List'!$A$14:$H$2838,2,FALSE)),"+","")</f>
        <v/>
      </c>
      <c r="AL22" s="69" t="str">
        <f>IF(ISTEXT(VLOOKUP(CONCATENATE($A22,"_",AL$3),'Unit List'!$A$14:$H$2838,2,FALSE)),"X",$AK22)</f>
        <v/>
      </c>
      <c r="AM22" s="74" t="str">
        <f>IF(ISTEXT(VLOOKUP(CONCATENATE($A22,"_",AM$3),'Unit List'!$A$14:$H$2838,2,FALSE)),"X",$AK22)</f>
        <v/>
      </c>
      <c r="AN22" s="91" t="str">
        <f>IF(ISTEXT(VLOOKUP(CONCATENATE($A22,"_",AN$3),'Unit List'!$A$14:$H$2838,2,FALSE)),"+","")</f>
        <v/>
      </c>
      <c r="AO22" s="74" t="str">
        <f>IF(ISTEXT(VLOOKUP(CONCATENATE($A22,"_",AO$3),'Unit List'!$A$14:$H$2838,2,FALSE)),"X",$AN22)</f>
        <v/>
      </c>
      <c r="AP22" s="68" t="str">
        <f>IF(ISTEXT(VLOOKUP(CONCATENATE($A22,"_",AP$3),'Unit List'!$A$14:$H$2838,2,FALSE)),"+","")</f>
        <v/>
      </c>
      <c r="AQ22" s="66" t="str">
        <f>IF(ISTEXT(VLOOKUP(CONCATENATE($A22,"_",AQ$3),'Unit List'!$A$14:$H$2838,2,FALSE)),"X",$AP22)</f>
        <v/>
      </c>
      <c r="AR22" s="66" t="str">
        <f>IF(ISTEXT(VLOOKUP(CONCATENATE($A22,"_",AR$3),'Unit List'!$A$14:$H$2838,2,FALSE)),"X",$AP22)</f>
        <v/>
      </c>
      <c r="AS22" s="66" t="str">
        <f>IF(ISTEXT(VLOOKUP(CONCATENATE($A22,"_",AS$3),'Unit List'!$A$14:$H$2838,2,FALSE)),"X",$AP22)</f>
        <v/>
      </c>
      <c r="AT22" s="74" t="str">
        <f>IF(ISTEXT(VLOOKUP(CONCATENATE($A22,"_",AT$3),'Unit List'!$A$14:$H$2838,2,FALSE)),"X",$AP22)</f>
        <v/>
      </c>
      <c r="AU22" s="77" t="str">
        <f>IF(ISTEXT(VLOOKUP(CONCATENATE($A22,"_",AU$3),'Unit List'!$A$14:$H$2838,2,FALSE)),"+","")</f>
        <v/>
      </c>
      <c r="AV22" s="66" t="str">
        <f>IF(ISTEXT(VLOOKUP(CONCATENATE($A22,"_",AV$3),'Unit List'!$A$14:$H$2838,2,FALSE)),"X",$AU22)</f>
        <v/>
      </c>
      <c r="AW22" s="74" t="str">
        <f>IF(ISTEXT(VLOOKUP(CONCATENATE($A22,"_",AW$3),'Unit List'!$A$14:$H$2838,2,FALSE)),"X",$AU22)</f>
        <v/>
      </c>
      <c r="AX22" s="68" t="str">
        <f>IF(ISTEXT(VLOOKUP(CONCATENATE($A22,"_",AX$3),'Unit List'!$A$14:$H$2838,2,FALSE)),"+","")</f>
        <v/>
      </c>
      <c r="AY22" s="66" t="str">
        <f>IF(ISTEXT(VLOOKUP(CONCATENATE($A22,"_",AY$3),'Unit List'!$A$14:$H$2838,2,FALSE)),"X",$AX22)</f>
        <v/>
      </c>
      <c r="AZ22" s="71" t="str">
        <f>IF(ISTEXT(VLOOKUP(CONCATENATE($A22,"_",AZ$3),'Unit List'!$A$14:$H$2838,2,FALSE)),"X",$AX22)</f>
        <v/>
      </c>
      <c r="BA22" s="78" t="str">
        <f>IF(ISTEXT(VLOOKUP(CONCATENATE($A22,"_",BA$3),'Unit List'!$A$14:$H$2838,2,FALSE)),"+","")</f>
        <v/>
      </c>
      <c r="BB22" s="66" t="str">
        <f>IF(ISTEXT(VLOOKUP(CONCATENATE($A22,"_",BB$3),'Unit List'!$A$14:$H$2838,2,FALSE)),"X",$BA22)</f>
        <v/>
      </c>
      <c r="BC22" s="66" t="str">
        <f>IF(ISTEXT(VLOOKUP(CONCATENATE($A22,"_",BC$3),'Unit List'!$A$14:$H$2838,2,FALSE)),"X",$BA22)</f>
        <v/>
      </c>
      <c r="BD22" s="74" t="str">
        <f>IF(ISTEXT(VLOOKUP(CONCATENATE($A22,"_",BD$3),'Unit List'!$A$14:$H$2838,2,FALSE)),"X",$BA22)</f>
        <v/>
      </c>
      <c r="BE22" s="91" t="str">
        <f>IF(ISTEXT(VLOOKUP(CONCATENATE($A22,"_",BE$3),'Unit List'!$A$14:$H$2838,2,FALSE)),"+","")</f>
        <v/>
      </c>
      <c r="BF22" s="89" t="str">
        <f>IF(ISTEXT(VLOOKUP(CONCATENATE($A22,"_",BF$3),'Unit List'!$A$14:$H$2838,2,FALSE)),"X",$BE22)</f>
        <v/>
      </c>
      <c r="BG22" s="111"/>
      <c r="BH22" s="121"/>
      <c r="BI22" s="264"/>
      <c r="BJ22" s="265"/>
      <c r="BK22" s="265"/>
      <c r="BL22" s="265"/>
      <c r="BM22" s="266"/>
      <c r="BN22" s="81"/>
      <c r="BO22" s="81"/>
      <c r="BP22" s="81"/>
      <c r="BQ22" s="81"/>
      <c r="BR22" s="81"/>
      <c r="BS22" s="81"/>
      <c r="DZ22" s="82"/>
      <c r="EA22" s="82"/>
    </row>
    <row r="23" spans="1:131" ht="12.75" customHeight="1" x14ac:dyDescent="0.2">
      <c r="A23" s="83" t="s">
        <v>1278</v>
      </c>
      <c r="B23" s="59" t="str">
        <f>IF(ISTEXT(VLOOKUP(CONCATENATE($A23,"_",B$3),'Unit List'!$A$14:$H$2838,2,FALSE)),"+","")</f>
        <v/>
      </c>
      <c r="C23" s="84" t="str">
        <f>IF(ISTEXT(VLOOKUP(CONCATENATE($A23,"_",C$3),'Unit List'!$A$14:$H$2838,2,FALSE)),"X",$B23)</f>
        <v/>
      </c>
      <c r="D23" s="66" t="str">
        <f>IF(ISTEXT(VLOOKUP(CONCATENATE($A23,"_",D$3),'Unit List'!$A$14:$H$2838,2,FALSE)),"X",$B23)</f>
        <v/>
      </c>
      <c r="E23" s="66" t="str">
        <f>IF(ISTEXT(VLOOKUP(CONCATENATE($A23,"_",E$3),'Unit List'!$A$14:$H$2838,2,FALSE)),"X",$B23)</f>
        <v/>
      </c>
      <c r="F23" s="66" t="str">
        <f>IF(ISTEXT(VLOOKUP(CONCATENATE($A23,"_",F$3),'Unit List'!$A$14:$H$2838,2,FALSE)),"X",$B23)</f>
        <v/>
      </c>
      <c r="G23" s="66" t="str">
        <f>IF(ISTEXT(VLOOKUP(CONCATENATE($A23,"_",G$3),'Unit List'!$A$14:$H$2838,2,FALSE)),"X",$B23)</f>
        <v/>
      </c>
      <c r="H23" s="66" t="str">
        <f>IF(ISTEXT(VLOOKUP(CONCATENATE($A23,"_",H$3),'Unit List'!$A$14:$H$2838,2,FALSE)),"X",$B23)</f>
        <v/>
      </c>
      <c r="I23" s="74" t="str">
        <f>IF(ISTEXT(VLOOKUP(CONCATENATE($A23,"_",I$3),'Unit List'!$A$14:$H$2838,2,FALSE)),"X",$B23)</f>
        <v/>
      </c>
      <c r="J23" s="64" t="str">
        <f>IF(ISTEXT(VLOOKUP(CONCATENATE($A23,"_",J$3),'Unit List'!$A$14:$H$2838,2,FALSE)),"+","")</f>
        <v/>
      </c>
      <c r="K23" s="66" t="str">
        <f>IF(ISTEXT(VLOOKUP(CONCATENATE($A23,"_",K$3),'Unit List'!$A$14:$H$2838,2,FALSE)),"X",$J23)</f>
        <v/>
      </c>
      <c r="L23" s="89" t="str">
        <f>IF(ISTEXT(VLOOKUP(CONCATENATE($A23,"_",L$3),'Unit List'!$A$14:$H$2838,2,FALSE)),"X",$J23)</f>
        <v/>
      </c>
      <c r="M23" s="64" t="str">
        <f>IF(ISTEXT(VLOOKUP(CONCATENATE($A23,"_",M$3),'Unit List'!$A$14:$H$2838,2,FALSE)),"+","")</f>
        <v/>
      </c>
      <c r="N23" s="66" t="str">
        <f>IF(ISTEXT(VLOOKUP(CONCATENATE($A23,"_",N$3),'Unit List'!$A$14:$H$2838,2,FALSE)),"X",$M23)</f>
        <v/>
      </c>
      <c r="O23" s="74" t="str">
        <f>IF(ISTEXT(VLOOKUP(CONCATENATE($A23,"_",O$3),'Unit List'!$A$14:$H$2838,2,FALSE)),"X",$M23)</f>
        <v/>
      </c>
      <c r="P23" s="68" t="str">
        <f>IF(ISTEXT(VLOOKUP(CONCATENATE($A23,"_",P$3),'Unit List'!$A$14:$H$2838,2,FALSE)),"+","")</f>
        <v/>
      </c>
      <c r="Q23" s="66" t="str">
        <f>IF(ISTEXT(VLOOKUP(CONCATENATE($A23,"_",Q$3),'Unit List'!$A$14:$H$2838,2,FALSE)),"X",$P23)</f>
        <v/>
      </c>
      <c r="R23" s="66" t="str">
        <f>IF(ISTEXT(VLOOKUP(CONCATENATE($A23,"_",R$3),'Unit List'!$A$14:$H$2838,2,FALSE)),"X",$P23)</f>
        <v/>
      </c>
      <c r="S23" s="66" t="str">
        <f>IF(ISTEXT(VLOOKUP(CONCATENATE($A23,"_",S$3),'Unit List'!$A$14:$H$2838,2,FALSE)),"X",$P23)</f>
        <v/>
      </c>
      <c r="T23" s="69" t="str">
        <f>IF(ISTEXT(VLOOKUP(CONCATENATE($A23,"_",T$3),'Unit List'!$A$14:$H$2838,2,FALSE)),"X",$P23)</f>
        <v/>
      </c>
      <c r="U23" s="66" t="str">
        <f>IF(ISTEXT(VLOOKUP(CONCATENATE($A23,"_",U$3),'Unit List'!$A$14:$H$2838,2,FALSE)),"X",$P23)</f>
        <v/>
      </c>
      <c r="V23" s="66" t="str">
        <f>IF(ISTEXT(VLOOKUP(CONCATENATE($A23,"_",V$3),'Unit List'!$A$14:$H$2838,2,FALSE)),"X",$P23)</f>
        <v/>
      </c>
      <c r="W23" s="129" t="s">
        <v>0</v>
      </c>
      <c r="X23" s="68" t="str">
        <f>IF(ISTEXT(VLOOKUP(CONCATENATE($A23,"_",X$3),'Unit List'!$A$14:$H$2838,2,FALSE)),"+","")</f>
        <v/>
      </c>
      <c r="Y23" s="66" t="str">
        <f>IF(ISTEXT(VLOOKUP(CONCATENATE($A23,"_",Y$3),'Unit List'!$A$14:$H$2838,2,FALSE)),"X",$X23)</f>
        <v/>
      </c>
      <c r="Z23" s="66" t="str">
        <f>IF(ISTEXT(VLOOKUP(CONCATENATE($A23,"_",Z$3),'Unit List'!$A$14:$H$2838,2,FALSE)),"X",$X23)</f>
        <v/>
      </c>
      <c r="AA23" s="66" t="str">
        <f>IF(ISTEXT(VLOOKUP(CONCATENATE($A23,"_",AA$3),'Unit List'!$A$14:$H$2838,2,FALSE)),"X",$X23)</f>
        <v/>
      </c>
      <c r="AB23" s="66" t="str">
        <f>IF(ISTEXT(VLOOKUP(CONCATENATE($A23,"_",AB$3),'Unit List'!$A$14:$H$2838,2,FALSE)),"X",$X23)</f>
        <v/>
      </c>
      <c r="AC23" s="89" t="str">
        <f>IF(ISTEXT(VLOOKUP(CONCATENATE($A23,"_",AC$3),'Unit List'!$A$14:$H$2838,2,FALSE)),"X",$X23)</f>
        <v/>
      </c>
      <c r="AD23" s="68" t="str">
        <f>IF(ISTEXT(VLOOKUP(CONCATENATE($A23,"_",AD$3),'Unit List'!$A$14:$H$2838,2,FALSE)),"+","")</f>
        <v/>
      </c>
      <c r="AE23" s="62" t="str">
        <f>IF(ISTEXT(VLOOKUP(CONCATENATE($A23,"_",AE$3),'Unit List'!$A$14:$H$2838,2,FALSE)),"X",$AD23)</f>
        <v/>
      </c>
      <c r="AF23" s="72" t="str">
        <f>IF(ISTEXT(VLOOKUP(CONCATENATE($A23,"_",AF$3),'Unit List'!$A$14:$H$2838,2,FALSE)),"X",$AD23)</f>
        <v/>
      </c>
      <c r="AG23" s="68" t="str">
        <f>IF(ISTEXT(VLOOKUP(CONCATENATE($A23,"_",AG$3),'Unit List'!$A$14:$H$2838,2,FALSE)),"+","")</f>
        <v/>
      </c>
      <c r="AH23" s="66" t="str">
        <f>IF(ISTEXT(VLOOKUP(CONCATENATE($A23,"_",AH$3),'Unit List'!$A$14:$H$2838,2,FALSE)),"X",$AG23)</f>
        <v/>
      </c>
      <c r="AI23" s="66" t="str">
        <f>IF(ISTEXT(VLOOKUP(CONCATENATE($A23,"_",AI$3),'Unit List'!$A$14:$H$2838,2,FALSE)),"X",$AG23)</f>
        <v/>
      </c>
      <c r="AJ23" s="74" t="str">
        <f>IF(ISTEXT(VLOOKUP(CONCATENATE($A23,"_",AJ$3),'Unit List'!$A$14:$H$2838,2,FALSE)),"X",$AG23)</f>
        <v/>
      </c>
      <c r="AK23" s="64" t="str">
        <f>IF(ISTEXT(VLOOKUP(CONCATENATE($A23,"_",AK$3),'Unit List'!$A$14:$H$2838,2,FALSE)),"+","")</f>
        <v/>
      </c>
      <c r="AL23" s="69" t="str">
        <f>IF(ISTEXT(VLOOKUP(CONCATENATE($A23,"_",AL$3),'Unit List'!$A$14:$H$2838,2,FALSE)),"X",$AK23)</f>
        <v/>
      </c>
      <c r="AM23" s="74" t="str">
        <f>IF(ISTEXT(VLOOKUP(CONCATENATE($A23,"_",AM$3),'Unit List'!$A$14:$H$2838,2,FALSE)),"X",$AK23)</f>
        <v/>
      </c>
      <c r="AN23" s="91" t="str">
        <f>IF(ISTEXT(VLOOKUP(CONCATENATE($A23,"_",AN$3),'Unit List'!$A$14:$H$2838,2,FALSE)),"+","")</f>
        <v/>
      </c>
      <c r="AO23" s="74" t="str">
        <f>IF(ISTEXT(VLOOKUP(CONCATENATE($A23,"_",AO$3),'Unit List'!$A$14:$H$2838,2,FALSE)),"X",$AN23)</f>
        <v/>
      </c>
      <c r="AP23" s="68" t="str">
        <f>IF(ISTEXT(VLOOKUP(CONCATENATE($A23,"_",AP$3),'Unit List'!$A$14:$H$2838,2,FALSE)),"+","")</f>
        <v/>
      </c>
      <c r="AQ23" s="66" t="str">
        <f>IF(ISTEXT(VLOOKUP(CONCATENATE($A23,"_",AQ$3),'Unit List'!$A$14:$H$2838,2,FALSE)),"X",$AP23)</f>
        <v/>
      </c>
      <c r="AR23" s="66" t="str">
        <f>IF(ISTEXT(VLOOKUP(CONCATENATE($A23,"_",AR$3),'Unit List'!$A$14:$H$2838,2,FALSE)),"X",$AP23)</f>
        <v/>
      </c>
      <c r="AS23" s="66" t="str">
        <f>IF(ISTEXT(VLOOKUP(CONCATENATE($A23,"_",AS$3),'Unit List'!$A$14:$H$2838,2,FALSE)),"X",$AP23)</f>
        <v/>
      </c>
      <c r="AT23" s="74" t="str">
        <f>IF(ISTEXT(VLOOKUP(CONCATENATE($A23,"_",AT$3),'Unit List'!$A$14:$H$2838,2,FALSE)),"X",$AP23)</f>
        <v/>
      </c>
      <c r="AU23" s="77" t="str">
        <f>IF(ISTEXT(VLOOKUP(CONCATENATE($A23,"_",AU$3),'Unit List'!$A$14:$H$2838,2,FALSE)),"+","")</f>
        <v/>
      </c>
      <c r="AV23" s="66" t="str">
        <f>IF(ISTEXT(VLOOKUP(CONCATENATE($A23,"_",AV$3),'Unit List'!$A$14:$H$2838,2,FALSE)),"X",$AU23)</f>
        <v/>
      </c>
      <c r="AW23" s="74" t="str">
        <f>IF(ISTEXT(VLOOKUP(CONCATENATE($A23,"_",AW$3),'Unit List'!$A$14:$H$2838,2,FALSE)),"X",$AU23)</f>
        <v/>
      </c>
      <c r="AX23" s="68" t="str">
        <f>IF(ISTEXT(VLOOKUP(CONCATENATE($A23,"_",AX$3),'Unit List'!$A$14:$H$2838,2,FALSE)),"+","")</f>
        <v/>
      </c>
      <c r="AY23" s="66" t="str">
        <f>IF(ISTEXT(VLOOKUP(CONCATENATE($A23,"_",AY$3),'Unit List'!$A$14:$H$2838,2,FALSE)),"X",$AX23)</f>
        <v/>
      </c>
      <c r="AZ23" s="71" t="str">
        <f>IF(ISTEXT(VLOOKUP(CONCATENATE($A23,"_",AZ$3),'Unit List'!$A$14:$H$2838,2,FALSE)),"X",$AX23)</f>
        <v/>
      </c>
      <c r="BA23" s="78" t="str">
        <f>IF(ISTEXT(VLOOKUP(CONCATENATE($A23,"_",BA$3),'Unit List'!$A$14:$H$2838,2,FALSE)),"+","")</f>
        <v/>
      </c>
      <c r="BB23" s="66" t="str">
        <f>IF(ISTEXT(VLOOKUP(CONCATENATE($A23,"_",BB$3),'Unit List'!$A$14:$H$2838,2,FALSE)),"X",$BA23)</f>
        <v/>
      </c>
      <c r="BC23" s="66" t="str">
        <f>IF(ISTEXT(VLOOKUP(CONCATENATE($A23,"_",BC$3),'Unit List'!$A$14:$H$2838,2,FALSE)),"X",$BA23)</f>
        <v/>
      </c>
      <c r="BD23" s="74" t="str">
        <f>IF(ISTEXT(VLOOKUP(CONCATENATE($A23,"_",BD$3),'Unit List'!$A$14:$H$2838,2,FALSE)),"X",$BA23)</f>
        <v/>
      </c>
      <c r="BE23" s="91" t="str">
        <f>IF(ISTEXT(VLOOKUP(CONCATENATE($A23,"_",BE$3),'Unit List'!$A$14:$H$2838,2,FALSE)),"+","")</f>
        <v/>
      </c>
      <c r="BF23" s="89" t="str">
        <f>IF(ISTEXT(VLOOKUP(CONCATENATE($A23,"_",BF$3),'Unit List'!$A$14:$H$2838,2,FALSE)),"X",$BE23)</f>
        <v/>
      </c>
      <c r="BG23" s="111"/>
      <c r="BH23" s="121"/>
      <c r="BI23" s="264"/>
      <c r="BJ23" s="265"/>
      <c r="BK23" s="265"/>
      <c r="BL23" s="265"/>
      <c r="BM23" s="266"/>
      <c r="BN23" s="81"/>
      <c r="BO23" s="81"/>
      <c r="BP23" s="81"/>
      <c r="BQ23" s="81"/>
      <c r="BR23" s="81"/>
      <c r="BS23" s="81"/>
      <c r="DZ23" s="82"/>
      <c r="EA23" s="82"/>
    </row>
    <row r="24" spans="1:131" ht="12.75" customHeight="1" x14ac:dyDescent="0.2">
      <c r="A24" s="83" t="s">
        <v>1276</v>
      </c>
      <c r="B24" s="59" t="str">
        <f>IF(ISTEXT(VLOOKUP(CONCATENATE($A24,"_",B$3),'Unit List'!$A$14:$H$2838,2,FALSE)),"+","")</f>
        <v/>
      </c>
      <c r="C24" s="84" t="str">
        <f>IF(ISTEXT(VLOOKUP(CONCATENATE($A24,"_",C$3),'Unit List'!$A$14:$H$2838,2,FALSE)),"X",$B24)</f>
        <v/>
      </c>
      <c r="D24" s="66" t="str">
        <f>IF(ISTEXT(VLOOKUP(CONCATENATE($A24,"_",D$3),'Unit List'!$A$14:$H$2838,2,FALSE)),"X",$B24)</f>
        <v/>
      </c>
      <c r="E24" s="66" t="str">
        <f>IF(ISTEXT(VLOOKUP(CONCATENATE($A24,"_",E$3),'Unit List'!$A$14:$H$2838,2,FALSE)),"X",$B24)</f>
        <v/>
      </c>
      <c r="F24" s="66" t="str">
        <f>IF(ISTEXT(VLOOKUP(CONCATENATE($A24,"_",F$3),'Unit List'!$A$14:$H$2838,2,FALSE)),"X",$B24)</f>
        <v/>
      </c>
      <c r="G24" s="66" t="str">
        <f>IF(ISTEXT(VLOOKUP(CONCATENATE($A24,"_",G$3),'Unit List'!$A$14:$H$2838,2,FALSE)),"X",$B24)</f>
        <v/>
      </c>
      <c r="H24" s="66" t="str">
        <f>IF(ISTEXT(VLOOKUP(CONCATENATE($A24,"_",H$3),'Unit List'!$A$14:$H$2838,2,FALSE)),"X",$B24)</f>
        <v/>
      </c>
      <c r="I24" s="74" t="str">
        <f>IF(ISTEXT(VLOOKUP(CONCATENATE($A24,"_",I$3),'Unit List'!$A$14:$H$2838,2,FALSE)),"X",$B24)</f>
        <v/>
      </c>
      <c r="J24" s="64" t="str">
        <f>IF(ISTEXT(VLOOKUP(CONCATENATE($A24,"_",J$3),'Unit List'!$A$14:$H$2838,2,FALSE)),"+","")</f>
        <v/>
      </c>
      <c r="K24" s="66" t="str">
        <f>IF(ISTEXT(VLOOKUP(CONCATENATE($A24,"_",K$3),'Unit List'!$A$14:$H$2838,2,FALSE)),"X",$J24)</f>
        <v/>
      </c>
      <c r="L24" s="89" t="str">
        <f>IF(ISTEXT(VLOOKUP(CONCATENATE($A24,"_",L$3),'Unit List'!$A$14:$H$2838,2,FALSE)),"X",$J24)</f>
        <v/>
      </c>
      <c r="M24" s="64" t="str">
        <f>IF(ISTEXT(VLOOKUP(CONCATENATE($A24,"_",M$3),'Unit List'!$A$14:$H$2838,2,FALSE)),"+","")</f>
        <v/>
      </c>
      <c r="N24" s="66" t="str">
        <f>IF(ISTEXT(VLOOKUP(CONCATENATE($A24,"_",N$3),'Unit List'!$A$14:$H$2838,2,FALSE)),"X",$M24)</f>
        <v/>
      </c>
      <c r="O24" s="74" t="str">
        <f>IF(ISTEXT(VLOOKUP(CONCATENATE($A24,"_",O$3),'Unit List'!$A$14:$H$2838,2,FALSE)),"X",$M24)</f>
        <v/>
      </c>
      <c r="P24" s="68" t="str">
        <f>IF(ISTEXT(VLOOKUP(CONCATENATE($A24,"_",P$3),'Unit List'!$A$14:$H$2838,2,FALSE)),"+","")</f>
        <v/>
      </c>
      <c r="Q24" s="66" t="str">
        <f>IF(ISTEXT(VLOOKUP(CONCATENATE($A24,"_",Q$3),'Unit List'!$A$14:$H$2838,2,FALSE)),"X",$P24)</f>
        <v/>
      </c>
      <c r="R24" s="66" t="str">
        <f>IF(ISTEXT(VLOOKUP(CONCATENATE($A24,"_",R$3),'Unit List'!$A$14:$H$2838,2,FALSE)),"X",$P24)</f>
        <v/>
      </c>
      <c r="S24" s="66" t="str">
        <f>IF(ISTEXT(VLOOKUP(CONCATENATE($A24,"_",S$3),'Unit List'!$A$14:$H$2838,2,FALSE)),"X",$P24)</f>
        <v/>
      </c>
      <c r="T24" s="69" t="str">
        <f>IF(ISTEXT(VLOOKUP(CONCATENATE($A24,"_",T$3),'Unit List'!$A$14:$H$2838,2,FALSE)),"X",$P24)</f>
        <v/>
      </c>
      <c r="U24" s="66" t="str">
        <f>IF(ISTEXT(VLOOKUP(CONCATENATE($A24,"_",U$3),'Unit List'!$A$14:$H$2838,2,FALSE)),"X",$P24)</f>
        <v/>
      </c>
      <c r="V24" s="66" t="str">
        <f>IF(ISTEXT(VLOOKUP(CONCATENATE($A24,"_",V$3),'Unit List'!$A$14:$H$2838,2,FALSE)),"X",$P24)</f>
        <v/>
      </c>
      <c r="W24" s="71" t="str">
        <f>IF(ISTEXT(VLOOKUP(CONCATENATE($A24,"_",W$3),'Unit List'!$A$14:$H$2838,2,FALSE)),"X",$P24)</f>
        <v/>
      </c>
      <c r="X24" s="68" t="str">
        <f>IF(ISTEXT(VLOOKUP(CONCATENATE($A24,"_",X$3),'Unit List'!$A$14:$H$2838,2,FALSE)),"+","")</f>
        <v/>
      </c>
      <c r="Y24" s="66" t="str">
        <f>IF(ISTEXT(VLOOKUP(CONCATENATE($A24,"_",Y$3),'Unit List'!$A$14:$H$2838,2,FALSE)),"X",$X24)</f>
        <v/>
      </c>
      <c r="Z24" s="66" t="str">
        <f>IF(ISTEXT(VLOOKUP(CONCATENATE($A24,"_",Z$3),'Unit List'!$A$14:$H$2838,2,FALSE)),"X",$X24)</f>
        <v/>
      </c>
      <c r="AA24" s="66" t="str">
        <f>IF(ISTEXT(VLOOKUP(CONCATENATE($A24,"_",AA$3),'Unit List'!$A$14:$H$2838,2,FALSE)),"X",$X24)</f>
        <v/>
      </c>
      <c r="AB24" s="66" t="str">
        <f>IF(ISTEXT(VLOOKUP(CONCATENATE($A24,"_",AB$3),'Unit List'!$A$14:$H$2838,2,FALSE)),"X",$X24)</f>
        <v/>
      </c>
      <c r="AC24" s="89" t="str">
        <f>IF(ISTEXT(VLOOKUP(CONCATENATE($A24,"_",AC$3),'Unit List'!$A$14:$H$2838,2,FALSE)),"X",$X24)</f>
        <v/>
      </c>
      <c r="AD24" s="68" t="str">
        <f>IF(ISTEXT(VLOOKUP(CONCATENATE($A24,"_",AD$3),'Unit List'!$A$14:$H$2838,2,FALSE)),"+","")</f>
        <v/>
      </c>
      <c r="AE24" s="62" t="str">
        <f>IF(ISTEXT(VLOOKUP(CONCATENATE($A24,"_",AE$3),'Unit List'!$A$14:$H$2838,2,FALSE)),"X",$AD24)</f>
        <v/>
      </c>
      <c r="AF24" s="72" t="str">
        <f>IF(ISTEXT(VLOOKUP(CONCATENATE($A24,"_",AF$3),'Unit List'!$A$14:$H$2838,2,FALSE)),"X",$AD24)</f>
        <v/>
      </c>
      <c r="AG24" s="68" t="str">
        <f>IF(ISTEXT(VLOOKUP(CONCATENATE($A24,"_",AG$3),'Unit List'!$A$14:$H$2838,2,FALSE)),"+","")</f>
        <v/>
      </c>
      <c r="AH24" s="66" t="str">
        <f>IF(ISTEXT(VLOOKUP(CONCATENATE($A24,"_",AH$3),'Unit List'!$A$14:$H$2838,2,FALSE)),"X",$AG24)</f>
        <v/>
      </c>
      <c r="AI24" s="66" t="str">
        <f>IF(ISTEXT(VLOOKUP(CONCATENATE($A24,"_",AI$3),'Unit List'!$A$14:$H$2838,2,FALSE)),"X",$AG24)</f>
        <v/>
      </c>
      <c r="AJ24" s="74" t="str">
        <f>IF(ISTEXT(VLOOKUP(CONCATENATE($A24,"_",AJ$3),'Unit List'!$A$14:$H$2838,2,FALSE)),"X",$AG24)</f>
        <v/>
      </c>
      <c r="AK24" s="64" t="str">
        <f>IF(ISTEXT(VLOOKUP(CONCATENATE($A24,"_",AK$3),'Unit List'!$A$14:$H$2838,2,FALSE)),"+","")</f>
        <v/>
      </c>
      <c r="AL24" s="69" t="str">
        <f>IF(ISTEXT(VLOOKUP(CONCATENATE($A24,"_",AL$3),'Unit List'!$A$14:$H$2838,2,FALSE)),"X",$AK24)</f>
        <v/>
      </c>
      <c r="AM24" s="74" t="str">
        <f>IF(ISTEXT(VLOOKUP(CONCATENATE($A24,"_",AM$3),'Unit List'!$A$14:$H$2838,2,FALSE)),"X",$AK24)</f>
        <v/>
      </c>
      <c r="AN24" s="91" t="str">
        <f>IF(ISTEXT(VLOOKUP(CONCATENATE($A24,"_",AN$3),'Unit List'!$A$14:$H$2838,2,FALSE)),"+","")</f>
        <v/>
      </c>
      <c r="AO24" s="74" t="str">
        <f>IF(ISTEXT(VLOOKUP(CONCATENATE($A24,"_",AO$3),'Unit List'!$A$14:$H$2838,2,FALSE)),"X",$AN24)</f>
        <v/>
      </c>
      <c r="AP24" s="68" t="str">
        <f>IF(ISTEXT(VLOOKUP(CONCATENATE($A24,"_",AP$3),'Unit List'!$A$14:$H$2838,2,FALSE)),"+","")</f>
        <v/>
      </c>
      <c r="AQ24" s="66" t="str">
        <f>IF(ISTEXT(VLOOKUP(CONCATENATE($A24,"_",AQ$3),'Unit List'!$A$14:$H$2838,2,FALSE)),"X",$AP24)</f>
        <v/>
      </c>
      <c r="AR24" s="66" t="str">
        <f>IF(ISTEXT(VLOOKUP(CONCATENATE($A24,"_",AR$3),'Unit List'!$A$14:$H$2838,2,FALSE)),"X",$AP24)</f>
        <v/>
      </c>
      <c r="AS24" s="66" t="str">
        <f>IF(ISTEXT(VLOOKUP(CONCATENATE($A24,"_",AS$3),'Unit List'!$A$14:$H$2838,2,FALSE)),"X",$AP24)</f>
        <v/>
      </c>
      <c r="AT24" s="74" t="str">
        <f>IF(ISTEXT(VLOOKUP(CONCATENATE($A24,"_",AT$3),'Unit List'!$A$14:$H$2838,2,FALSE)),"X",$AP24)</f>
        <v/>
      </c>
      <c r="AU24" s="77" t="str">
        <f>IF(ISTEXT(VLOOKUP(CONCATENATE($A24,"_",AU$3),'Unit List'!$A$14:$H$2838,2,FALSE)),"+","")</f>
        <v/>
      </c>
      <c r="AV24" s="66" t="str">
        <f>IF(ISTEXT(VLOOKUP(CONCATENATE($A24,"_",AV$3),'Unit List'!$A$14:$H$2838,2,FALSE)),"X",$AU24)</f>
        <v/>
      </c>
      <c r="AW24" s="74" t="str">
        <f>IF(ISTEXT(VLOOKUP(CONCATENATE($A24,"_",AW$3),'Unit List'!$A$14:$H$2838,2,FALSE)),"X",$AU24)</f>
        <v/>
      </c>
      <c r="AX24" s="68" t="str">
        <f>IF(ISTEXT(VLOOKUP(CONCATENATE($A24,"_",AX$3),'Unit List'!$A$14:$H$2838,2,FALSE)),"+","")</f>
        <v/>
      </c>
      <c r="AY24" s="66" t="str">
        <f>IF(ISTEXT(VLOOKUP(CONCATENATE($A24,"_",AY$3),'Unit List'!$A$14:$H$2838,2,FALSE)),"X",$AX24)</f>
        <v/>
      </c>
      <c r="AZ24" s="71" t="str">
        <f>IF(ISTEXT(VLOOKUP(CONCATENATE($A24,"_",AZ$3),'Unit List'!$A$14:$H$2838,2,FALSE)),"X",$AX24)</f>
        <v/>
      </c>
      <c r="BA24" s="78" t="str">
        <f>IF(ISTEXT(VLOOKUP(CONCATENATE($A24,"_",BA$3),'Unit List'!$A$14:$H$2838,2,FALSE)),"+","")</f>
        <v/>
      </c>
      <c r="BB24" s="66" t="str">
        <f>IF(ISTEXT(VLOOKUP(CONCATENATE($A24,"_",BB$3),'Unit List'!$A$14:$H$2838,2,FALSE)),"X",$BA24)</f>
        <v/>
      </c>
      <c r="BC24" s="66" t="str">
        <f>IF(ISTEXT(VLOOKUP(CONCATENATE($A24,"_",BC$3),'Unit List'!$A$14:$H$2838,2,FALSE)),"X",$BA24)</f>
        <v/>
      </c>
      <c r="BD24" s="74" t="str">
        <f>IF(ISTEXT(VLOOKUP(CONCATENATE($A24,"_",BD$3),'Unit List'!$A$14:$H$2838,2,FALSE)),"X",$BA24)</f>
        <v/>
      </c>
      <c r="BE24" s="91" t="str">
        <f>IF(ISTEXT(VLOOKUP(CONCATENATE($A24,"_",BE$3),'Unit List'!$A$14:$H$2838,2,FALSE)),"+","")</f>
        <v/>
      </c>
      <c r="BF24" s="89" t="str">
        <f>IF(ISTEXT(VLOOKUP(CONCATENATE($A24,"_",BF$3),'Unit List'!$A$14:$H$2838,2,FALSE)),"X",$BE24)</f>
        <v/>
      </c>
      <c r="BG24" s="111"/>
      <c r="BH24" s="121"/>
      <c r="BI24" s="264"/>
      <c r="BJ24" s="265"/>
      <c r="BK24" s="265"/>
      <c r="BL24" s="265"/>
      <c r="BM24" s="266"/>
      <c r="BN24" s="81"/>
      <c r="BO24" s="81"/>
      <c r="BP24" s="81"/>
      <c r="BQ24" s="81"/>
      <c r="BR24" s="81"/>
      <c r="BS24" s="81"/>
      <c r="DZ24" s="82"/>
      <c r="EA24" s="82"/>
    </row>
    <row r="25" spans="1:131" ht="12.75" customHeight="1" x14ac:dyDescent="0.2">
      <c r="A25" s="83" t="s">
        <v>1156</v>
      </c>
      <c r="B25" s="59" t="str">
        <f>IF(ISTEXT(VLOOKUP(CONCATENATE($A25,"_",B$3),'Unit List'!$A$14:$H$2838,2,FALSE)),"+","")</f>
        <v/>
      </c>
      <c r="C25" s="84" t="str">
        <f>IF(ISTEXT(VLOOKUP(CONCATENATE($A25,"_",C$3),'Unit List'!$A$14:$H$2838,2,FALSE)),"X",$B25)</f>
        <v/>
      </c>
      <c r="D25" s="133" t="str">
        <f>IF(ISTEXT(VLOOKUP(CONCATENATE($A25,"_",D$3),'Unit List'!$A$14:$H$2838,2,FALSE)),"X",$B25)</f>
        <v>X</v>
      </c>
      <c r="E25" s="66" t="str">
        <f>IF(ISTEXT(VLOOKUP(CONCATENATE($A25,"_",E$3),'Unit List'!$A$14:$H$2838,2,FALSE)),"X",$B25)</f>
        <v/>
      </c>
      <c r="F25" s="66" t="str">
        <f>IF(ISTEXT(VLOOKUP(CONCATENATE($A25,"_",F$3),'Unit List'!$A$14:$H$2838,2,FALSE)),"X",$B25)</f>
        <v/>
      </c>
      <c r="G25" s="66" t="str">
        <f>IF(ISTEXT(VLOOKUP(CONCATENATE($A25,"_",G$3),'Unit List'!$A$14:$H$2838,2,FALSE)),"X",$B25)</f>
        <v/>
      </c>
      <c r="H25" s="125" t="str">
        <f>IF(ISTEXT(VLOOKUP(CONCATENATE($A25,"_",H$3),'Unit List'!$A$14:$H$2838,2,FALSE)),"X",$B25)</f>
        <v>X</v>
      </c>
      <c r="I25" s="74" t="str">
        <f>IF(ISTEXT(VLOOKUP(CONCATENATE($A25,"_",I$3),'Unit List'!$A$14:$H$2838,2,FALSE)),"X",$B25)</f>
        <v/>
      </c>
      <c r="J25" s="68" t="str">
        <f>IF(ISTEXT(VLOOKUP(CONCATENATE($A25,"_",J$3),'Unit List'!$A$14:$H$2838,2,FALSE)),"+","")</f>
        <v/>
      </c>
      <c r="K25" s="66" t="str">
        <f>IF(ISTEXT(VLOOKUP(CONCATENATE($A25,"_",K$3),'Unit List'!$A$14:$H$2838,2,FALSE)),"X",$J25)</f>
        <v/>
      </c>
      <c r="L25" s="89" t="str">
        <f>IF(ISTEXT(VLOOKUP(CONCATENATE($A25,"_",L$3),'Unit List'!$A$14:$H$2838,2,FALSE)),"X",$J25)</f>
        <v/>
      </c>
      <c r="M25" s="64" t="str">
        <f>IF(ISTEXT(VLOOKUP(CONCATENATE($A25,"_",M$3),'Unit List'!$A$14:$H$2838,2,FALSE)),"+","")</f>
        <v>+</v>
      </c>
      <c r="N25" s="66" t="str">
        <f>IF(ISTEXT(VLOOKUP(CONCATENATE($A25,"_",N$3),'Unit List'!$A$14:$H$2838,2,FALSE)),"X",$M25)</f>
        <v>+</v>
      </c>
      <c r="O25" s="74" t="str">
        <f>IF(ISTEXT(VLOOKUP(CONCATENATE($A25,"_",O$3),'Unit List'!$A$14:$H$2838,2,FALSE)),"X",$M25)</f>
        <v>+</v>
      </c>
      <c r="P25" s="68" t="str">
        <f>IF(ISTEXT(VLOOKUP(CONCATENATE($A25,"_",P$3),'Unit List'!$A$14:$H$2838,2,FALSE)),"+","")</f>
        <v/>
      </c>
      <c r="Q25" s="66" t="str">
        <f>IF(ISTEXT(VLOOKUP(CONCATENATE($A25,"_",Q$3),'Unit List'!$A$14:$H$2838,2,FALSE)),"X",$P25)</f>
        <v/>
      </c>
      <c r="R25" s="66" t="str">
        <f>IF(ISTEXT(VLOOKUP(CONCATENATE($A25,"_",R$3),'Unit List'!$A$14:$H$2838,2,FALSE)),"X",$P25)</f>
        <v/>
      </c>
      <c r="S25" s="66" t="str">
        <f>IF(ISTEXT(VLOOKUP(CONCATENATE($A25,"_",S$3),'Unit List'!$A$14:$H$2838,2,FALSE)),"X",$P25)</f>
        <v/>
      </c>
      <c r="T25" s="69" t="str">
        <f>IF(ISTEXT(VLOOKUP(CONCATENATE($A25,"_",T$3),'Unit List'!$A$14:$H$2838,2,FALSE)),"X",$P25)</f>
        <v/>
      </c>
      <c r="U25" s="66" t="str">
        <f>IF(ISTEXT(VLOOKUP(CONCATENATE($A25,"_",U$3),'Unit List'!$A$14:$H$2838,2,FALSE)),"X",$P25)</f>
        <v/>
      </c>
      <c r="V25" s="66" t="str">
        <f>IF(ISTEXT(VLOOKUP(CONCATENATE($A25,"_",V$3),'Unit List'!$A$14:$H$2838,2,FALSE)),"X",$P25)</f>
        <v/>
      </c>
      <c r="W25" s="74" t="str">
        <f>IF(ISTEXT(VLOOKUP(CONCATENATE($A25,"_",W$3),'Unit List'!$A$14:$H$2838,2,FALSE)),"X",$P25)</f>
        <v/>
      </c>
      <c r="X25" s="68" t="str">
        <f>IF(ISTEXT(VLOOKUP(CONCATENATE($A25,"_",X$3),'Unit List'!$A$14:$H$2838,2,FALSE)),"+","")</f>
        <v/>
      </c>
      <c r="Y25" s="66" t="str">
        <f>IF(ISTEXT(VLOOKUP(CONCATENATE($A25,"_",Y$3),'Unit List'!$A$14:$H$2838,2,FALSE)),"X",$X25)</f>
        <v/>
      </c>
      <c r="Z25" s="66" t="str">
        <f>IF(ISTEXT(VLOOKUP(CONCATENATE($A25,"_",Z$3),'Unit List'!$A$14:$H$2838,2,FALSE)),"X",$X25)</f>
        <v/>
      </c>
      <c r="AA25" s="66" t="str">
        <f>IF(ISTEXT(VLOOKUP(CONCATENATE($A25,"_",AA$3),'Unit List'!$A$14:$H$2838,2,FALSE)),"X",$X25)</f>
        <v/>
      </c>
      <c r="AB25" s="66" t="str">
        <f>IF(ISTEXT(VLOOKUP(CONCATENATE($A25,"_",AB$3),'Unit List'!$A$14:$H$2838,2,FALSE)),"X",$X25)</f>
        <v/>
      </c>
      <c r="AC25" s="89" t="str">
        <f>IF(ISTEXT(VLOOKUP(CONCATENATE($A25,"_",AC$3),'Unit List'!$A$14:$H$2838,2,FALSE)),"X",$X25)</f>
        <v/>
      </c>
      <c r="AD25" s="68" t="str">
        <f>IF(ISTEXT(VLOOKUP(CONCATENATE($A25,"_",AD$3),'Unit List'!$A$14:$H$2838,2,FALSE)),"+","")</f>
        <v/>
      </c>
      <c r="AE25" s="62" t="str">
        <f>IF(ISTEXT(VLOOKUP(CONCATENATE($A25,"_",AE$3),'Unit List'!$A$14:$H$2838,2,FALSE)),"X",$AD25)</f>
        <v/>
      </c>
      <c r="AF25" s="72" t="str">
        <f>IF(ISTEXT(VLOOKUP(CONCATENATE($A25,"_",AF$3),'Unit List'!$A$14:$H$2838,2,FALSE)),"X",$AD25)</f>
        <v/>
      </c>
      <c r="AG25" s="68" t="str">
        <f>IF(ISTEXT(VLOOKUP(CONCATENATE($A25,"_",AG$3),'Unit List'!$A$14:$H$2838,2,FALSE)),"+","")</f>
        <v/>
      </c>
      <c r="AH25" s="120" t="str">
        <f>IF(ISTEXT(VLOOKUP(CONCATENATE($A25,"_",AH$3),'Unit List'!$A$14:$H$2838,2,FALSE)),"X",$AG25)</f>
        <v/>
      </c>
      <c r="AI25" s="120" t="str">
        <f>IF(ISTEXT(VLOOKUP(CONCATENATE($A25,"_",AI$3),'Unit List'!$A$14:$H$2838,2,FALSE)),"X",$AG25)</f>
        <v/>
      </c>
      <c r="AJ25" s="74" t="str">
        <f>IF(ISTEXT(VLOOKUP(CONCATENATE($A25,"_",AJ$3),'Unit List'!$A$14:$H$2838,2,FALSE)),"X",$AG25)</f>
        <v/>
      </c>
      <c r="AK25" s="68" t="str">
        <f>IF(ISTEXT(VLOOKUP(CONCATENATE($A25,"_",AK$3),'Unit List'!$A$14:$H$2838,2,FALSE)),"+","")</f>
        <v/>
      </c>
      <c r="AL25" s="69" t="str">
        <f>IF(ISTEXT(VLOOKUP(CONCATENATE($A25,"_",AL$3),'Unit List'!$A$14:$H$2838,2,FALSE)),"X",$AK25)</f>
        <v/>
      </c>
      <c r="AM25" s="74" t="str">
        <f>IF(ISTEXT(VLOOKUP(CONCATENATE($A25,"_",AM$3),'Unit List'!$A$14:$H$2838,2,FALSE)),"X",$AK25)</f>
        <v/>
      </c>
      <c r="AN25" s="91" t="str">
        <f>IF(ISTEXT(VLOOKUP(CONCATENATE($A25,"_",AN$3),'Unit List'!$A$14:$H$2838,2,FALSE)),"+","")</f>
        <v/>
      </c>
      <c r="AO25" s="74" t="str">
        <f>IF(ISTEXT(VLOOKUP(CONCATENATE($A25,"_",AO$3),'Unit List'!$A$14:$H$2838,2,FALSE)),"X",$AN25)</f>
        <v/>
      </c>
      <c r="AP25" s="68" t="str">
        <f>IF(ISTEXT(VLOOKUP(CONCATENATE($A25,"_",AP$3),'Unit List'!$A$14:$H$2838,2,FALSE)),"+","")</f>
        <v/>
      </c>
      <c r="AQ25" s="66" t="str">
        <f>IF(ISTEXT(VLOOKUP(CONCATENATE($A25,"_",AQ$3),'Unit List'!$A$14:$H$2838,2,FALSE)),"X",$AP25)</f>
        <v/>
      </c>
      <c r="AR25" s="66" t="str">
        <f>IF(ISTEXT(VLOOKUP(CONCATENATE($A25,"_",AR$3),'Unit List'!$A$14:$H$2838,2,FALSE)),"X",$AP25)</f>
        <v/>
      </c>
      <c r="AS25" s="66" t="str">
        <f>IF(ISTEXT(VLOOKUP(CONCATENATE($A25,"_",AS$3),'Unit List'!$A$14:$H$2838,2,FALSE)),"X",$AP25)</f>
        <v/>
      </c>
      <c r="AT25" s="74" t="str">
        <f>IF(ISTEXT(VLOOKUP(CONCATENATE($A25,"_",AT$3),'Unit List'!$A$14:$H$2838,2,FALSE)),"X",$AP25)</f>
        <v/>
      </c>
      <c r="AU25" s="77" t="str">
        <f>IF(ISTEXT(VLOOKUP(CONCATENATE($A25,"_",AU$3),'Unit List'!$A$14:$H$2838,2,FALSE)),"+","")</f>
        <v/>
      </c>
      <c r="AV25" s="66" t="str">
        <f>IF(ISTEXT(VLOOKUP(CONCATENATE($A25,"_",AV$3),'Unit List'!$A$14:$H$2838,2,FALSE)),"X",$AU25)</f>
        <v/>
      </c>
      <c r="AW25" s="74" t="str">
        <f>IF(ISTEXT(VLOOKUP(CONCATENATE($A25,"_",AW$3),'Unit List'!$A$14:$H$2838,2,FALSE)),"X",$AU25)</f>
        <v/>
      </c>
      <c r="AX25" s="68" t="str">
        <f>IF(ISTEXT(VLOOKUP(CONCATENATE($A25,"_",AX$3),'Unit List'!$A$14:$H$2838,2,FALSE)),"+","")</f>
        <v/>
      </c>
      <c r="AY25" s="66" t="str">
        <f>IF(ISTEXT(VLOOKUP(CONCATENATE($A25,"_",AY$3),'Unit List'!$A$14:$H$2838,2,FALSE)),"X",$AX25)</f>
        <v/>
      </c>
      <c r="AZ25" s="74" t="str">
        <f>IF(ISTEXT(VLOOKUP(CONCATENATE($A25,"_",AZ$3),'Unit List'!$A$14:$H$2838,2,FALSE)),"X",$AX25)</f>
        <v/>
      </c>
      <c r="BA25" s="78" t="str">
        <f>IF(ISTEXT(VLOOKUP(CONCATENATE($A25,"_",BA$3),'Unit List'!$A$14:$H$2838,2,FALSE)),"+","")</f>
        <v/>
      </c>
      <c r="BB25" s="66" t="str">
        <f>IF(ISTEXT(VLOOKUP(CONCATENATE($A25,"_",BB$3),'Unit List'!$A$14:$H$2838,2,FALSE)),"X",$BA25)</f>
        <v/>
      </c>
      <c r="BC25" s="66" t="str">
        <f>IF(ISTEXT(VLOOKUP(CONCATENATE($A25,"_",BC$3),'Unit List'!$A$14:$H$2838,2,FALSE)),"X",$BA25)</f>
        <v/>
      </c>
      <c r="BD25" s="74" t="str">
        <f>IF(ISTEXT(VLOOKUP(CONCATENATE($A25,"_",BD$3),'Unit List'!$A$14:$H$2838,2,FALSE)),"X",$BA25)</f>
        <v/>
      </c>
      <c r="BE25" s="91" t="str">
        <f>IF(ISTEXT(VLOOKUP(CONCATENATE($A25,"_",BE$3),'Unit List'!$A$14:$H$2838,2,FALSE)),"+","")</f>
        <v/>
      </c>
      <c r="BF25" s="89" t="str">
        <f>IF(ISTEXT(VLOOKUP(CONCATENATE($A25,"_",BF$3),'Unit List'!$A$14:$H$2838,2,FALSE)),"X",$BE25)</f>
        <v/>
      </c>
      <c r="BG25" s="92"/>
      <c r="BH25" s="93" t="s">
        <v>0</v>
      </c>
      <c r="BI25" s="264"/>
      <c r="BJ25" s="265"/>
      <c r="BK25" s="265"/>
      <c r="BL25" s="265"/>
      <c r="BM25" s="266"/>
      <c r="BN25" s="81"/>
      <c r="BO25" s="81"/>
      <c r="BP25" s="81"/>
      <c r="BQ25" s="81"/>
      <c r="BR25" s="81"/>
      <c r="BS25" s="81"/>
      <c r="DZ25" s="82"/>
      <c r="EA25" s="82"/>
    </row>
    <row r="26" spans="1:131" ht="12.75" customHeight="1" x14ac:dyDescent="0.2">
      <c r="A26" s="83" t="s">
        <v>1107</v>
      </c>
      <c r="B26" s="59" t="str">
        <f>IF(ISTEXT(VLOOKUP(CONCATENATE($A26,"_",B$3),'Unit List'!$A$14:$H$2838,2,FALSE)),"+","")</f>
        <v/>
      </c>
      <c r="C26" s="119" t="str">
        <f>IF(ISTEXT(VLOOKUP(CONCATENATE($A26,"_",C$3),'Unit List'!$A$14:$H$2838,2,FALSE)),"X",$B26)</f>
        <v>X</v>
      </c>
      <c r="D26" s="66" t="str">
        <f>IF(ISTEXT(VLOOKUP(CONCATENATE($A26,"_",D$3),'Unit List'!$A$14:$H$2838,2,FALSE)),"X",$B26)</f>
        <v>X</v>
      </c>
      <c r="E26" s="133" t="str">
        <f>IF(ISTEXT(VLOOKUP(CONCATENATE($A26,"_",E$3),'Unit List'!$A$14:$H$2838,2,FALSE)),"X",$B26)</f>
        <v>X</v>
      </c>
      <c r="F26" s="96" t="str">
        <f>IF(ISTEXT(VLOOKUP(CONCATENATE($A26,"_",F$3),'Unit List'!$A$14:$H$2838,2,FALSE)),"X",$B26)</f>
        <v>X</v>
      </c>
      <c r="G26" s="96" t="str">
        <f>IF(ISTEXT(VLOOKUP(CONCATENATE($A26,"_",G$3),'Unit List'!$A$14:$H$2838,2,FALSE)),"X",$B26)</f>
        <v>X</v>
      </c>
      <c r="H26" s="96" t="str">
        <f>IF(ISTEXT(VLOOKUP(CONCATENATE($A26,"_",H$3),'Unit List'!$A$14:$H$2838,2,FALSE)),"X",$B26)</f>
        <v>X</v>
      </c>
      <c r="I26" s="100" t="str">
        <f>IF(ISTEXT(VLOOKUP(CONCATENATE($A26,"_",I$3),'Unit List'!$A$14:$H$2838,2,FALSE)),"X",$B26)</f>
        <v>X</v>
      </c>
      <c r="J26" s="64" t="str">
        <f>IF(ISTEXT(VLOOKUP(CONCATENATE($A26,"_",J$3),'Unit List'!$A$14:$H$2838,2,FALSE)),"+","")</f>
        <v/>
      </c>
      <c r="K26" s="66" t="str">
        <f>IF(ISTEXT(VLOOKUP(CONCATENATE($A26,"_",K$3),'Unit List'!$A$14:$H$2838,2,FALSE)),"X",$J26)</f>
        <v/>
      </c>
      <c r="L26" s="89" t="str">
        <f>IF(ISTEXT(VLOOKUP(CONCATENATE($A26,"_",L$3),'Unit List'!$A$14:$H$2838,2,FALSE)),"X",$J26)</f>
        <v>X</v>
      </c>
      <c r="M26" s="64" t="str">
        <f>IF(ISTEXT(VLOOKUP(CONCATENATE($A26,"_",M$3),'Unit List'!$A$14:$H$2838,2,FALSE)),"+","")</f>
        <v>+</v>
      </c>
      <c r="N26" s="66" t="str">
        <f>IF(ISTEXT(VLOOKUP(CONCATENATE($A26,"_",N$3),'Unit List'!$A$14:$H$2838,2,FALSE)),"X",$M26)</f>
        <v>X</v>
      </c>
      <c r="O26" s="74" t="str">
        <f>IF(ISTEXT(VLOOKUP(CONCATENATE($A26,"_",O$3),'Unit List'!$A$14:$H$2838,2,FALSE)),"X",$M26)</f>
        <v>X</v>
      </c>
      <c r="P26" s="68" t="str">
        <f>IF(ISTEXT(VLOOKUP(CONCATENATE($A26,"_",P$3),'Unit List'!$A$14:$H$2838,2,FALSE)),"+","")</f>
        <v/>
      </c>
      <c r="Q26" s="66" t="str">
        <f>IF(ISTEXT(VLOOKUP(CONCATENATE($A26,"_",Q$3),'Unit List'!$A$14:$H$2838,2,FALSE)),"X",$P26)</f>
        <v/>
      </c>
      <c r="R26" s="66" t="str">
        <f>IF(ISTEXT(VLOOKUP(CONCATENATE($A26,"_",R$3),'Unit List'!$A$14:$H$2838,2,FALSE)),"X",$P26)</f>
        <v/>
      </c>
      <c r="S26" s="96" t="str">
        <f>IF(ISTEXT(VLOOKUP(CONCATENATE($A26,"_",S$3),'Unit List'!$A$14:$H$2838,2,FALSE)),"X",$P26)</f>
        <v>X</v>
      </c>
      <c r="T26" s="69" t="str">
        <f>IF(ISTEXT(VLOOKUP(CONCATENATE($A26,"_",T$3),'Unit List'!$A$14:$H$2838,2,FALSE)),"X",$P26)</f>
        <v/>
      </c>
      <c r="U26" s="125" t="str">
        <f>IF(ISTEXT(VLOOKUP(CONCATENATE($A26,"_",U$3),'Unit List'!$A$14:$H$2838,2,FALSE)),"X",$P26)</f>
        <v>X</v>
      </c>
      <c r="V26" s="96" t="str">
        <f>IF(ISTEXT(VLOOKUP(CONCATENATE($A26,"_",V$3),'Unit List'!$A$14:$H$2838,2,FALSE)),"X",$P26)</f>
        <v>X</v>
      </c>
      <c r="W26" s="71" t="str">
        <f>IF(ISTEXT(VLOOKUP(CONCATENATE($A26,"_",W$3),'Unit List'!$A$14:$H$2838,2,FALSE)),"X",$P26)</f>
        <v/>
      </c>
      <c r="X26" s="68" t="str">
        <f>IF(ISTEXT(VLOOKUP(CONCATENATE($A26,"_",X$3),'Unit List'!$A$14:$H$2838,2,FALSE)),"+","")</f>
        <v>+</v>
      </c>
      <c r="Y26" s="99" t="str">
        <f>IF(ISTEXT(VLOOKUP(CONCATENATE($A26,"_",Y$3),'Unit List'!$A$14:$H$2838,2,FALSE)),"X",$X26)</f>
        <v>X</v>
      </c>
      <c r="Z26" s="133" t="str">
        <f>IF(ISTEXT(VLOOKUP(CONCATENATE($A26,"_",Z$3),'Unit List'!$A$14:$H$2838,2,FALSE)),"X",$X26)</f>
        <v>+</v>
      </c>
      <c r="AA26" s="66" t="str">
        <f>IF(ISTEXT(VLOOKUP(CONCATENATE($A26,"_",AA$3),'Unit List'!$A$14:$H$2838,2,FALSE)),"X",$X26)</f>
        <v>X</v>
      </c>
      <c r="AB26" s="66" t="str">
        <f>IF(ISTEXT(VLOOKUP(CONCATENATE($A26,"_",AB$3),'Unit List'!$A$14:$H$2838,2,FALSE)),"X",$X26)</f>
        <v>X</v>
      </c>
      <c r="AC26" s="135" t="str">
        <f>IF(ISTEXT(VLOOKUP(CONCATENATE($A26,"_",AC$3),'Unit List'!$A$14:$H$2838,2,FALSE)),"X",$X26)</f>
        <v>+</v>
      </c>
      <c r="AD26" s="68" t="str">
        <f>IF(ISTEXT(VLOOKUP(CONCATENATE($A26,"_",AD$3),'Unit List'!$A$14:$H$2838,2,FALSE)),"+","")</f>
        <v>+</v>
      </c>
      <c r="AE26" s="62" t="str">
        <f>IF(ISTEXT(VLOOKUP(CONCATENATE($A26,"_",AE$3),'Unit List'!$A$14:$H$2838,2,FALSE)),"X",$AD26)</f>
        <v>+</v>
      </c>
      <c r="AF26" s="72" t="str">
        <f>IF(ISTEXT(VLOOKUP(CONCATENATE($A26,"_",AF$3),'Unit List'!$A$14:$H$2838,2,FALSE)),"X",$AD26)</f>
        <v>+</v>
      </c>
      <c r="AG26" s="68" t="str">
        <f>IF(ISTEXT(VLOOKUP(CONCATENATE($A26,"_",AG$3),'Unit List'!$A$14:$H$2838,2,FALSE)),"+","")</f>
        <v>+</v>
      </c>
      <c r="AH26" s="66" t="str">
        <f>IF(ISTEXT(VLOOKUP(CONCATENATE($A26,"_",AH$3),'Unit List'!$A$14:$H$2838,2,FALSE)),"X",$AG26)</f>
        <v>X</v>
      </c>
      <c r="AI26" s="133" t="str">
        <f>IF(ISTEXT(VLOOKUP(CONCATENATE($A26,"_",AI$3),'Unit List'!$A$14:$H$2838,2,FALSE)),"X",$AG26)</f>
        <v>+</v>
      </c>
      <c r="AJ26" s="134" t="str">
        <f>IF(ISTEXT(VLOOKUP(CONCATENATE($A26,"_",AJ$3),'Unit List'!$A$14:$H$2838,2,FALSE)),"X",$AG26)</f>
        <v>+</v>
      </c>
      <c r="AK26" s="64" t="str">
        <f>IF(ISTEXT(VLOOKUP(CONCATENATE($A26,"_",AK$3),'Unit List'!$A$14:$H$2838,2,FALSE)),"+","")</f>
        <v/>
      </c>
      <c r="AL26" s="69" t="str">
        <f>IF(ISTEXT(VLOOKUP(CONCATENATE($A26,"_",AL$3),'Unit List'!$A$14:$H$2838,2,FALSE)),"X",$AK26)</f>
        <v/>
      </c>
      <c r="AM26" s="74" t="str">
        <f>IF(ISTEXT(VLOOKUP(CONCATENATE($A26,"_",AM$3),'Unit List'!$A$14:$H$2838,2,FALSE)),"X",$AK26)</f>
        <v/>
      </c>
      <c r="AN26" s="91" t="str">
        <f>IF(ISTEXT(VLOOKUP(CONCATENATE($A26,"_",AN$3),'Unit List'!$A$14:$H$2838,2,FALSE)),"+","")</f>
        <v>+</v>
      </c>
      <c r="AO26" s="134" t="str">
        <f>IF(ISTEXT(VLOOKUP(CONCATENATE($A26,"_",AO$3),'Unit List'!$A$14:$H$2838,2,FALSE)),"X",$AN26)</f>
        <v>+</v>
      </c>
      <c r="AP26" s="68" t="str">
        <f>IF(ISTEXT(VLOOKUP(CONCATENATE($A26,"_",AP$3),'Unit List'!$A$14:$H$2838,2,FALSE)),"+","")</f>
        <v>+</v>
      </c>
      <c r="AQ26" s="133" t="str">
        <f>IF(ISTEXT(VLOOKUP(CONCATENATE($A26,"_",AQ$3),'Unit List'!$A$14:$H$2838,2,FALSE)),"X",$AP26)</f>
        <v>+</v>
      </c>
      <c r="AR26" s="96" t="str">
        <f>IF(ISTEXT(VLOOKUP(CONCATENATE($A26,"_",AR$3),'Unit List'!$A$14:$H$2838,2,FALSE)),"X",$AP26)</f>
        <v>X</v>
      </c>
      <c r="AS26" s="133" t="str">
        <f>IF(ISTEXT(VLOOKUP(CONCATENATE($A26,"_",AS$3),'Unit List'!$A$14:$H$2838,2,FALSE)),"X",$AP26)</f>
        <v>+</v>
      </c>
      <c r="AT26" s="134" t="str">
        <f>IF(ISTEXT(VLOOKUP(CONCATENATE($A26,"_",AT$3),'Unit List'!$A$14:$H$2838,2,FALSE)),"X",$AP26)</f>
        <v>+</v>
      </c>
      <c r="AU26" s="77" t="str">
        <f>IF(ISTEXT(VLOOKUP(CONCATENATE($A26,"_",AU$3),'Unit List'!$A$14:$H$2838,2,FALSE)),"+","")</f>
        <v/>
      </c>
      <c r="AV26" s="66" t="str">
        <f>IF(ISTEXT(VLOOKUP(CONCATENATE($A26,"_",AV$3),'Unit List'!$A$14:$H$2838,2,FALSE)),"X",$AU26)</f>
        <v/>
      </c>
      <c r="AW26" s="74" t="str">
        <f>IF(ISTEXT(VLOOKUP(CONCATENATE($A26,"_",AW$3),'Unit List'!$A$14:$H$2838,2,FALSE)),"X",$AU26)</f>
        <v/>
      </c>
      <c r="AX26" s="68" t="str">
        <f>IF(ISTEXT(VLOOKUP(CONCATENATE($A26,"_",AX$3),'Unit List'!$A$14:$H$2838,2,FALSE)),"+","")</f>
        <v>+</v>
      </c>
      <c r="AY26" s="133" t="str">
        <f>IF(ISTEXT(VLOOKUP(CONCATENATE($A26,"_",AY$3),'Unit List'!$A$14:$H$2838,2,FALSE)),"X",$AX26)</f>
        <v>+</v>
      </c>
      <c r="AZ26" s="134" t="str">
        <f>IF(ISTEXT(VLOOKUP(CONCATENATE($A26,"_",AZ$3),'Unit List'!$A$14:$H$2838,2,FALSE)),"X",$AX26)</f>
        <v>+</v>
      </c>
      <c r="BA26" s="78" t="str">
        <f>IF(ISTEXT(VLOOKUP(CONCATENATE($A26,"_",BA$3),'Unit List'!$A$14:$H$2838,2,FALSE)),"+","")</f>
        <v>+</v>
      </c>
      <c r="BB26" s="66" t="str">
        <f>IF(ISTEXT(VLOOKUP(CONCATENATE($A26,"_",BB$3),'Unit List'!$A$14:$H$2838,2,FALSE)),"X",$BA26)</f>
        <v>X</v>
      </c>
      <c r="BC26" s="133" t="str">
        <f>IF(ISTEXT(VLOOKUP(CONCATENATE($A26,"_",BC$3),'Unit List'!$A$14:$H$2838,2,FALSE)),"X",$BA26)</f>
        <v>+</v>
      </c>
      <c r="BD26" s="134" t="str">
        <f>IF(ISTEXT(VLOOKUP(CONCATENATE($A26,"_",BD$3),'Unit List'!$A$14:$H$2838,2,FALSE)),"X",$BA26)</f>
        <v>+</v>
      </c>
      <c r="BE26" s="91" t="str">
        <f>IF(ISTEXT(VLOOKUP(CONCATENATE($A26,"_",BE$3),'Unit List'!$A$14:$H$2838,2,FALSE)),"+","")</f>
        <v>+</v>
      </c>
      <c r="BF26" s="135" t="str">
        <f>IF(ISTEXT(VLOOKUP(CONCATENATE($A26,"_",BF$3),'Unit List'!$A$14:$H$2838,2,FALSE)),"X",$BE26)</f>
        <v>+</v>
      </c>
      <c r="BG26" s="92"/>
      <c r="BH26" s="93" t="s">
        <v>0</v>
      </c>
      <c r="BI26" s="264"/>
      <c r="BJ26" s="265"/>
      <c r="BK26" s="265"/>
      <c r="BL26" s="265"/>
      <c r="BM26" s="266"/>
      <c r="BN26" s="81"/>
      <c r="BO26" s="81"/>
      <c r="BP26" s="81"/>
      <c r="BQ26" s="81"/>
      <c r="BR26" s="81"/>
      <c r="BS26" s="81"/>
      <c r="DZ26" s="82"/>
      <c r="EA26" s="82"/>
    </row>
    <row r="27" spans="1:131" ht="12.75" customHeight="1" x14ac:dyDescent="0.2">
      <c r="A27" s="83" t="s">
        <v>30</v>
      </c>
      <c r="B27" s="59" t="str">
        <f>IF(ISTEXT(VLOOKUP(CONCATENATE($A27,"_",B$3),'Unit List'!$A$14:$H$2838,2,FALSE)),"+","")</f>
        <v/>
      </c>
      <c r="C27" s="131" t="str">
        <f>IF(ISTEXT(VLOOKUP(CONCATENATE($A27,"_",C$3),'Unit List'!$A$14:$H$2838,2,FALSE)),"X",$B27)</f>
        <v/>
      </c>
      <c r="D27" s="87" t="str">
        <f>IF(ISTEXT(VLOOKUP(CONCATENATE($A27,"_",D$3),'Unit List'!$A$14:$H$2838,2,FALSE)),"X",$B27)</f>
        <v/>
      </c>
      <c r="E27" s="66" t="str">
        <f>IF(ISTEXT(VLOOKUP(CONCATENATE($A27,"_",E$3),'Unit List'!$A$14:$H$2838,2,FALSE)),"X",$B27)</f>
        <v/>
      </c>
      <c r="F27" s="96" t="str">
        <f>IF(ISTEXT(VLOOKUP(CONCATENATE($A27,"_",F$3),'Unit List'!$A$14:$H$2838,2,FALSE)),"X",$B27)</f>
        <v>X</v>
      </c>
      <c r="G27" s="96" t="str">
        <f>IF(ISTEXT(VLOOKUP(CONCATENATE($A27,"_",G$3),'Unit List'!$A$14:$H$2838,2,FALSE)),"X",$B27)</f>
        <v>X</v>
      </c>
      <c r="H27" s="96" t="str">
        <f>IF(ISTEXT(VLOOKUP(CONCATENATE($A27,"_",H$3),'Unit List'!$A$14:$H$2838,2,FALSE)),"X",$B27)</f>
        <v>X</v>
      </c>
      <c r="I27" s="74" t="str">
        <f>IF(ISTEXT(VLOOKUP(CONCATENATE($A27,"_",I$3),'Unit List'!$A$14:$H$2838,2,FALSE)),"X",$B27)</f>
        <v/>
      </c>
      <c r="J27" s="64" t="str">
        <f>IF(ISTEXT(VLOOKUP(CONCATENATE($A27,"_",J$3),'Unit List'!$A$14:$H$2838,2,FALSE)),"+","")</f>
        <v>+</v>
      </c>
      <c r="K27" s="132" t="str">
        <f>IF(ISTEXT(VLOOKUP(CONCATENATE($A27,"_",K$3),'Unit List'!$A$14:$H$2838,2,FALSE)),"X",$J27)</f>
        <v>+</v>
      </c>
      <c r="L27" s="98" t="str">
        <f>IF(ISTEXT(VLOOKUP(CONCATENATE($A27,"_",L$3),'Unit List'!$A$14:$H$2838,2,FALSE)),"X",$J27)</f>
        <v>+</v>
      </c>
      <c r="M27" s="64" t="str">
        <f>IF(ISTEXT(VLOOKUP(CONCATENATE($A27,"_",M$3),'Unit List'!$A$14:$H$2838,2,FALSE)),"+","")</f>
        <v>+</v>
      </c>
      <c r="N27" s="133" t="str">
        <f>IF(ISTEXT(VLOOKUP(CONCATENATE($A27,"_",N$3),'Unit List'!$A$14:$H$2838,2,FALSE)),"X",$M27)</f>
        <v>+</v>
      </c>
      <c r="O27" s="100" t="str">
        <f>IF(ISTEXT(VLOOKUP(CONCATENATE($A27,"_",O$3),'Unit List'!$A$14:$H$2838,2,FALSE)),"X",$M27)</f>
        <v>X</v>
      </c>
      <c r="P27" s="101" t="str">
        <f>IF(ISTEXT(VLOOKUP(CONCATENATE($A27,"_",P$3),'Unit List'!$A$14:$H$2838,2,FALSE)),"+","")</f>
        <v>+</v>
      </c>
      <c r="Q27" s="133" t="str">
        <f>IF(ISTEXT(VLOOKUP(CONCATENATE($A27,"_",Q$3),'Unit List'!$A$14:$H$2838,2,FALSE)),"X",$P27)</f>
        <v>+</v>
      </c>
      <c r="R27" s="127" t="s">
        <v>0</v>
      </c>
      <c r="S27" s="103" t="s">
        <v>0</v>
      </c>
      <c r="T27" s="150" t="str">
        <f>IF(ISTEXT(VLOOKUP(CONCATENATE($A27,"_",T$3),'Unit List'!$A$14:$H$2838,2,FALSE)),"X",$P27)</f>
        <v>+</v>
      </c>
      <c r="U27" s="96" t="str">
        <f>IF(ISTEXT(VLOOKUP(CONCATENATE($A27,"_",U$3),'Unit List'!$A$14:$H$2838,2,FALSE)),"X",$P27)</f>
        <v>X</v>
      </c>
      <c r="V27" s="96" t="str">
        <f>IF(ISTEXT(VLOOKUP(CONCATENATE($A27,"_",V$3),'Unit List'!$A$14:$H$2838,2,FALSE)),"X",$P27)</f>
        <v>X</v>
      </c>
      <c r="W27" s="74" t="str">
        <f>IF(ISTEXT(VLOOKUP(CONCATENATE($A27,"_",W$3),'Unit List'!$A$14:$H$2838,2,FALSE)),"X",$P27)</f>
        <v>+</v>
      </c>
      <c r="X27" s="101" t="str">
        <f>IF(ISTEXT(VLOOKUP(CONCATENATE($A27,"_",X$3),'Unit List'!$A$14:$H$2838,2,FALSE)),"+","")</f>
        <v>+</v>
      </c>
      <c r="Y27" s="95" t="str">
        <f>IF(ISTEXT(VLOOKUP(CONCATENATE($A27,"_",Y$3),'Unit List'!$A$14:$H$2838,2,FALSE)),"X",$X27)</f>
        <v>X</v>
      </c>
      <c r="Z27" s="133" t="str">
        <f>IF(ISTEXT(VLOOKUP(CONCATENATE($A27,"_",Z$3),'Unit List'!$A$14:$H$2838,2,FALSE)),"X",$X27)</f>
        <v>+</v>
      </c>
      <c r="AA27" s="96" t="str">
        <f>IF(ISTEXT(VLOOKUP(CONCATENATE($A27,"_",AA$3),'Unit List'!$A$14:$H$2838,2,FALSE)),"X",$X27)</f>
        <v>X</v>
      </c>
      <c r="AB27" s="96" t="str">
        <f>IF(ISTEXT(VLOOKUP(CONCATENATE($A27,"_",AB$3),'Unit List'!$A$14:$H$2838,2,FALSE)),"X",$X27)</f>
        <v>X</v>
      </c>
      <c r="AC27" s="123" t="str">
        <f>IF(ISTEXT(VLOOKUP(CONCATENATE($A27,"_",AC$3),'Unit List'!$A$14:$H$2838,2,FALSE)),"X",$X27)</f>
        <v>X</v>
      </c>
      <c r="AD27" s="101" t="str">
        <f>IF(ISTEXT(VLOOKUP(CONCATENATE($A27,"_",AD$3),'Unit List'!$A$14:$H$2838,2,FALSE)),"+","")</f>
        <v/>
      </c>
      <c r="AE27" s="127" t="s">
        <v>0</v>
      </c>
      <c r="AF27" s="72" t="str">
        <f>IF(ISTEXT(VLOOKUP(CONCATENATE($A27,"_",AF$3),'Unit List'!$A$14:$H$2838,2,FALSE)),"X",$AD27)</f>
        <v/>
      </c>
      <c r="AG27" s="101" t="str">
        <f>IF(ISTEXT(VLOOKUP(CONCATENATE($A27,"_",AG$3),'Unit List'!$A$14:$H$2838,2,FALSE)),"+","")</f>
        <v>+</v>
      </c>
      <c r="AH27" s="96" t="str">
        <f>IF(ISTEXT(VLOOKUP(CONCATENATE($A27,"_",AH$3),'Unit List'!$A$14:$H$2838,2,FALSE)),"X",$AG27)</f>
        <v>X</v>
      </c>
      <c r="AI27" s="133" t="str">
        <f>IF(ISTEXT(VLOOKUP(CONCATENATE($A27,"_",AI$3),'Unit List'!$A$14:$H$2838,2,FALSE)),"X",$AG27)</f>
        <v>X</v>
      </c>
      <c r="AJ27" s="107" t="str">
        <f>IF(ISTEXT(VLOOKUP(CONCATENATE($A27,"_",AJ$3),'Unit List'!$A$14:$H$2838,2,FALSE)),"X",$AG27)</f>
        <v>+</v>
      </c>
      <c r="AK27" s="97" t="str">
        <f>IF(ISTEXT(VLOOKUP(CONCATENATE($A27,"_",AK$3),'Unit List'!$A$14:$H$2838,2,FALSE)),"+","")</f>
        <v>+</v>
      </c>
      <c r="AL27" s="150" t="str">
        <f>IF(ISTEXT(VLOOKUP(CONCATENATE($A27,"_",AL$3),'Unit List'!$A$14:$H$2838,2,FALSE)),"X",$AK27)</f>
        <v>+</v>
      </c>
      <c r="AM27" s="100" t="str">
        <f>IF(ISTEXT(VLOOKUP(CONCATENATE($A27,"_",AM$3),'Unit List'!$A$14:$H$2838,2,FALSE)),"X",$AK27)</f>
        <v>X</v>
      </c>
      <c r="AN27" s="91" t="str">
        <f>IF(ISTEXT(VLOOKUP(CONCATENATE($A27,"_",AN$3),'Unit List'!$A$14:$H$2838,2,FALSE)),"+","")</f>
        <v>+</v>
      </c>
      <c r="AO27" s="241" t="str">
        <f>IF(ISTEXT(VLOOKUP(CONCATENATE($A27,"_",AO$3),'Unit List'!$A$14:$H$2838,2,FALSE)),"X",$AN27)</f>
        <v>+</v>
      </c>
      <c r="AP27" s="101" t="str">
        <f>IF(ISTEXT(VLOOKUP(CONCATENATE($A27,"_",AP$3),'Unit List'!$A$14:$H$2838,2,FALSE)),"+","")</f>
        <v>+</v>
      </c>
      <c r="AQ27" s="96" t="str">
        <f>IF(ISTEXT(VLOOKUP(CONCATENATE($A27,"_",AQ$3),'Unit List'!$A$14:$H$2838,2,FALSE)),"X",$AP27)</f>
        <v>X</v>
      </c>
      <c r="AR27" s="96" t="str">
        <f>IF(ISTEXT(VLOOKUP(CONCATENATE($A27,"_",AR$3),'Unit List'!$A$14:$H$2838,2,FALSE)),"X",$AP27)</f>
        <v>X</v>
      </c>
      <c r="AS27" s="96" t="str">
        <f>IF(ISTEXT(VLOOKUP(CONCATENATE($A27,"_",AS$3),'Unit List'!$A$14:$H$2838,2,FALSE)),"X",$AP27)</f>
        <v>X</v>
      </c>
      <c r="AT27" s="100" t="str">
        <f>IF(ISTEXT(VLOOKUP(CONCATENATE($A27,"_",AT$3),'Unit List'!$A$14:$H$2838,2,FALSE)),"X",$AP27)</f>
        <v>X</v>
      </c>
      <c r="AU27" s="77" t="str">
        <f>IF(ISTEXT(VLOOKUP(CONCATENATE($A27,"_",AU$3),'Unit List'!$A$14:$H$2838,2,FALSE)),"+","")</f>
        <v>+</v>
      </c>
      <c r="AV27" s="106" t="str">
        <f>IF(ISTEXT(VLOOKUP(CONCATENATE($A27,"_",AV$3),'Unit List'!$A$14:$H$2838,2,FALSE)),"X",$AU27)</f>
        <v>+</v>
      </c>
      <c r="AW27" s="134" t="str">
        <f>IF(ISTEXT(VLOOKUP(CONCATENATE($A27,"_",AW$3),'Unit List'!$A$14:$H$2838,2,FALSE)),"X",$AU27)</f>
        <v>+</v>
      </c>
      <c r="AX27" s="68" t="str">
        <f>IF(ISTEXT(VLOOKUP(CONCATENATE($A27,"_",AX$3),'Unit List'!$A$14:$H$2838,2,FALSE)),"+","")</f>
        <v>+</v>
      </c>
      <c r="AY27" s="96" t="str">
        <f>IF(ISTEXT(VLOOKUP(CONCATENATE($A27,"_",AY$3),'Unit List'!$A$14:$H$2838,2,FALSE)),"X",$AX27)</f>
        <v>X</v>
      </c>
      <c r="AZ27" s="241" t="str">
        <f>IF(ISTEXT(VLOOKUP(CONCATENATE($A27,"_",AZ$3),'Unit List'!$A$14:$H$2838,2,FALSE)),"X",$AX27)</f>
        <v>+</v>
      </c>
      <c r="BA27" s="101" t="str">
        <f>IF(ISTEXT(VLOOKUP(CONCATENATE($A27,"_",BA$3),'Unit List'!$A$14:$H$2838,2,FALSE)),"+","")</f>
        <v>+</v>
      </c>
      <c r="BB27" s="96" t="str">
        <f>IF(ISTEXT(VLOOKUP(CONCATENATE($A27,"_",BB$3),'Unit List'!$A$14:$H$2838,2,FALSE)),"X",$BA27)</f>
        <v>X</v>
      </c>
      <c r="BC27" s="96" t="str">
        <f>IF(ISTEXT(VLOOKUP(CONCATENATE($A27,"_",BC$3),'Unit List'!$A$14:$H$2838,2,FALSE)),"X",$BA27)</f>
        <v>X</v>
      </c>
      <c r="BD27" s="241" t="str">
        <f>IF(ISTEXT(VLOOKUP(CONCATENATE($A27,"_",BD$3),'Unit List'!$A$14:$H$2838,2,FALSE)),"X",$BA27)</f>
        <v>X</v>
      </c>
      <c r="BE27" s="91" t="str">
        <f>IF(ISTEXT(VLOOKUP(CONCATENATE($A27,"_",BE$3),'Unit List'!$A$14:$H$2838,2,FALSE)),"+","")</f>
        <v>+</v>
      </c>
      <c r="BF27" s="135" t="str">
        <f>IF(ISTEXT(VLOOKUP(CONCATENATE($A27,"_",BF$3),'Unit List'!$A$14:$H$2838,2,FALSE)),"X",$BE27)</f>
        <v>+</v>
      </c>
      <c r="BG27" s="111"/>
      <c r="BH27" s="112" t="s">
        <v>0</v>
      </c>
      <c r="BI27" s="261" t="s">
        <v>12</v>
      </c>
      <c r="BJ27" s="262"/>
      <c r="BK27" s="262"/>
      <c r="BL27" s="262"/>
      <c r="BM27" s="263"/>
      <c r="BN27" s="81"/>
      <c r="BO27" s="81"/>
      <c r="BP27" s="81"/>
      <c r="BQ27" s="81"/>
      <c r="BR27" s="81"/>
      <c r="BS27" s="81"/>
      <c r="DZ27" s="82"/>
      <c r="EA27" s="82"/>
    </row>
    <row r="28" spans="1:131" ht="12.75" customHeight="1" x14ac:dyDescent="0.2">
      <c r="A28" s="83" t="s">
        <v>1108</v>
      </c>
      <c r="B28" s="59" t="str">
        <f>IF(ISTEXT(VLOOKUP(CONCATENATE($A28,"_",B$3),'Unit List'!$A$14:$H$2838,2,FALSE)),"+","")</f>
        <v/>
      </c>
      <c r="C28" s="119" t="str">
        <f>IF(ISTEXT(VLOOKUP(CONCATENATE($A28,"_",C$3),'Unit List'!$A$14:$H$2838,2,FALSE)),"X",$B28)</f>
        <v/>
      </c>
      <c r="D28" s="96" t="str">
        <f>IF(ISTEXT(VLOOKUP(CONCATENATE($A28,"_",D$3),'Unit List'!$A$14:$H$2838,2,FALSE)),"X",$B28)</f>
        <v/>
      </c>
      <c r="E28" s="66" t="str">
        <f>IF(ISTEXT(VLOOKUP(CONCATENATE($A28,"_",E$3),'Unit List'!$A$14:$H$2838,2,FALSE)),"X",$B28)</f>
        <v/>
      </c>
      <c r="F28" s="96" t="str">
        <f>IF(ISTEXT(VLOOKUP(CONCATENATE($A28,"_",F$3),'Unit List'!$A$14:$H$2838,2,FALSE)),"X",$B28)</f>
        <v/>
      </c>
      <c r="G28" s="143" t="str">
        <f>IF(ISTEXT(VLOOKUP(CONCATENATE($A28,"_",G$3),'Unit List'!$A$14:$H$2838,2,FALSE)),"X",$B28)</f>
        <v/>
      </c>
      <c r="H28" s="96" t="str">
        <f>IF(ISTEXT(VLOOKUP(CONCATENATE($A28,"_",H$3),'Unit List'!$A$14:$H$2838,2,FALSE)),"X",$B28)</f>
        <v/>
      </c>
      <c r="I28" s="100" t="str">
        <f>IF(ISTEXT(VLOOKUP(CONCATENATE($A28,"_",I$3),'Unit List'!$A$14:$H$2838,2,FALSE)),"X",$B28)</f>
        <v/>
      </c>
      <c r="J28" s="97" t="str">
        <f>IF(ISTEXT(VLOOKUP(CONCATENATE($A28,"_",J$3),'Unit List'!$A$14:$H$2838,2,FALSE)),"+","")</f>
        <v/>
      </c>
      <c r="K28" s="66" t="str">
        <f>IF(ISTEXT(VLOOKUP(CONCATENATE($A28,"_",K$3),'Unit List'!$A$14:$H$2838,2,FALSE)),"X",$J28)</f>
        <v/>
      </c>
      <c r="L28" s="123" t="str">
        <f>IF(ISTEXT(VLOOKUP(CONCATENATE($A28,"_",L$3),'Unit List'!$A$14:$H$2838,2,FALSE)),"X",$J28)</f>
        <v/>
      </c>
      <c r="M28" s="97" t="str">
        <f>IF(ISTEXT(VLOOKUP(CONCATENATE($A28,"_",M$3),'Unit List'!$A$14:$H$2838,2,FALSE)),"+","")</f>
        <v/>
      </c>
      <c r="N28" s="96" t="str">
        <f>IF(ISTEXT(VLOOKUP(CONCATENATE($A28,"_",N$3),'Unit List'!$A$14:$H$2838,2,FALSE)),"X",$M28)</f>
        <v/>
      </c>
      <c r="O28" s="100" t="str">
        <f>IF(ISTEXT(VLOOKUP(CONCATENATE($A28,"_",O$3),'Unit List'!$A$14:$H$2838,2,FALSE)),"X",$M28)</f>
        <v/>
      </c>
      <c r="P28" s="68" t="str">
        <f>IF(ISTEXT(VLOOKUP(CONCATENATE($A28,"_",P$3),'Unit List'!$A$14:$H$2838,2,FALSE)),"+","")</f>
        <v/>
      </c>
      <c r="Q28" s="128" t="s">
        <v>0</v>
      </c>
      <c r="R28" s="66" t="str">
        <f>IF(ISTEXT(VLOOKUP(CONCATENATE($A28,"_",R$3),'Unit List'!$A$14:$H$2838,2,FALSE)),"X",$P28)</f>
        <v/>
      </c>
      <c r="S28" s="96" t="str">
        <f>IF(ISTEXT(VLOOKUP(CONCATENATE($A28,"_",S$3),'Unit List'!$A$14:$H$2838,2,FALSE)),"X",$P28)</f>
        <v/>
      </c>
      <c r="T28" s="69" t="str">
        <f>IF(ISTEXT(VLOOKUP(CONCATENATE($A28,"_",T$3),'Unit List'!$A$14:$H$2838,2,FALSE)),"X",$P28)</f>
        <v/>
      </c>
      <c r="U28" s="96" t="str">
        <f>IF(ISTEXT(VLOOKUP(CONCATENATE($A28,"_",U$3),'Unit List'!$A$14:$H$2838,2,FALSE)),"X",$P28)</f>
        <v/>
      </c>
      <c r="V28" s="96" t="str">
        <f>IF(ISTEXT(VLOOKUP(CONCATENATE($A28,"_",V$3),'Unit List'!$A$14:$H$2838,2,FALSE)),"X",$P28)</f>
        <v/>
      </c>
      <c r="W28" s="71" t="str">
        <f>IF(ISTEXT(VLOOKUP(CONCATENATE($A28,"_",W$3),'Unit List'!$A$14:$H$2838,2,FALSE)),"X",$P28)</f>
        <v/>
      </c>
      <c r="X28" s="68" t="str">
        <f>IF(ISTEXT(VLOOKUP(CONCATENATE($A28,"_",X$3),'Unit List'!$A$14:$H$2838,2,FALSE)),"+","")</f>
        <v/>
      </c>
      <c r="Y28" s="66" t="str">
        <f>IF(ISTEXT(VLOOKUP(CONCATENATE($A28,"_",Y$3),'Unit List'!$A$14:$H$2838,2,FALSE)),"X",$X28)</f>
        <v/>
      </c>
      <c r="Z28" s="66" t="str">
        <f>IF(ISTEXT(VLOOKUP(CONCATENATE($A28,"_",Z$3),'Unit List'!$A$14:$H$2838,2,FALSE)),"X",$X28)</f>
        <v/>
      </c>
      <c r="AA28" s="66" t="str">
        <f>IF(ISTEXT(VLOOKUP(CONCATENATE($A28,"_",AA$3),'Unit List'!$A$14:$H$2838,2,FALSE)),"X",$X28)</f>
        <v/>
      </c>
      <c r="AB28" s="66" t="str">
        <f>IF(ISTEXT(VLOOKUP(CONCATENATE($A28,"_",AB$3),'Unit List'!$A$14:$H$2838,2,FALSE)),"X",$X28)</f>
        <v/>
      </c>
      <c r="AC28" s="89" t="str">
        <f>IF(ISTEXT(VLOOKUP(CONCATENATE($A28,"_",AC$3),'Unit List'!$A$14:$H$2838,2,FALSE)),"X",$X28)</f>
        <v/>
      </c>
      <c r="AD28" s="101" t="str">
        <f>IF(ISTEXT(VLOOKUP(CONCATENATE($A28,"_",AD$3),'Unit List'!$A$14:$H$2838,2,FALSE)),"+","")</f>
        <v/>
      </c>
      <c r="AE28" s="66" t="str">
        <f>IF(ISTEXT(VLOOKUP(CONCATENATE($A28,"_",AE$3),'Unit List'!$A$14:$H$2838,2,FALSE)),"X",$AD28)</f>
        <v/>
      </c>
      <c r="AF28" s="72" t="str">
        <f>IF(ISTEXT(VLOOKUP(CONCATENATE($A28,"_",AF$3),'Unit List'!$A$14:$H$2838,2,FALSE)),"X",$AD28)</f>
        <v/>
      </c>
      <c r="AG28" s="101" t="str">
        <f>IF(ISTEXT(VLOOKUP(CONCATENATE($A28,"_",AG$3),'Unit List'!$A$14:$H$2838,2,FALSE)),"+","")</f>
        <v/>
      </c>
      <c r="AH28" s="96" t="str">
        <f>IF(ISTEXT(VLOOKUP(CONCATENATE($A28,"_",AH$3),'Unit List'!$A$14:$H$2838,2,FALSE)),"X",$AG28)</f>
        <v/>
      </c>
      <c r="AI28" s="96" t="str">
        <f>IF(ISTEXT(VLOOKUP(CONCATENATE($A28,"_",AI$3),'Unit List'!$A$14:$H$2838,2,FALSE)),"X",$AG28)</f>
        <v/>
      </c>
      <c r="AJ28" s="100" t="str">
        <f>IF(ISTEXT(VLOOKUP(CONCATENATE($A28,"_",AJ$3),'Unit List'!$A$14:$H$2838,2,FALSE)),"X",$AG28)</f>
        <v/>
      </c>
      <c r="AK28" s="64" t="str">
        <f>IF(ISTEXT(VLOOKUP(CONCATENATE($A28,"_",AK$3),'Unit List'!$A$14:$H$2838,2,FALSE)),"+","")</f>
        <v/>
      </c>
      <c r="AL28" s="124" t="str">
        <f>IF(ISTEXT(VLOOKUP(CONCATENATE($A28,"_",AL$3),'Unit List'!$A$14:$H$2838,2,FALSE)),"X",$AK28)</f>
        <v/>
      </c>
      <c r="AM28" s="74" t="str">
        <f>IF(ISTEXT(VLOOKUP(CONCATENATE($A28,"_",AM$3),'Unit List'!$A$14:$H$2838,2,FALSE)),"X",$AK28)</f>
        <v/>
      </c>
      <c r="AN28" s="91" t="str">
        <f>IF(ISTEXT(VLOOKUP(CONCATENATE($A28,"_",AN$3),'Unit List'!$A$14:$H$2838,2,FALSE)),"+","")</f>
        <v/>
      </c>
      <c r="AO28" s="134" t="str">
        <f>IF(ISTEXT(VLOOKUP(CONCATENATE($A28,"_",AO$3),'Unit List'!$A$14:$H$2838,2,FALSE)),"X",$AN28)</f>
        <v/>
      </c>
      <c r="AP28" s="101" t="str">
        <f>IF(ISTEXT(VLOOKUP(CONCATENATE($A28,"_",AP$3),'Unit List'!$A$14:$H$2838,2,FALSE)),"+","")</f>
        <v/>
      </c>
      <c r="AQ28" s="96" t="str">
        <f>IF(ISTEXT(VLOOKUP(CONCATENATE($A28,"_",AQ$3),'Unit List'!$A$14:$H$2838,2,FALSE)),"X",$AP28)</f>
        <v/>
      </c>
      <c r="AR28" s="96" t="str">
        <f>IF(ISTEXT(VLOOKUP(CONCATENATE($A28,"_",AR$3),'Unit List'!$A$14:$H$2838,2,FALSE)),"X",$AP28)</f>
        <v/>
      </c>
      <c r="AS28" s="132" t="str">
        <f>IF(ISTEXT(VLOOKUP(CONCATENATE($A28,"_",AS$3),'Unit List'!$A$14:$H$2838,2,FALSE)),"X",$AP28)</f>
        <v/>
      </c>
      <c r="AT28" s="74" t="str">
        <f>IF(ISTEXT(VLOOKUP(CONCATENATE($A28,"_",AT$3),'Unit List'!$A$14:$H$2838,2,FALSE)),"X",$AP28)</f>
        <v/>
      </c>
      <c r="AU28" s="77" t="str">
        <f>IF(ISTEXT(VLOOKUP(CONCATENATE($A28,"_",AU$3),'Unit List'!$A$14:$H$2838,2,FALSE)),"+","")</f>
        <v/>
      </c>
      <c r="AV28" s="133" t="str">
        <f>IF(ISTEXT(VLOOKUP(CONCATENATE($A28,"_",AV$3),'Unit List'!$A$14:$H$2838,2,FALSE)),"X",$AU28)</f>
        <v/>
      </c>
      <c r="AW28" s="100" t="str">
        <f>IF(ISTEXT(VLOOKUP(CONCATENATE($A28,"_",AW$3),'Unit List'!$A$14:$H$2838,2,FALSE)),"X",$AU28)</f>
        <v/>
      </c>
      <c r="AX28" s="101" t="str">
        <f>IF(ISTEXT(VLOOKUP(CONCATENATE($A28,"_",AX$3),'Unit List'!$A$14:$H$2838,2,FALSE)),"+","")</f>
        <v/>
      </c>
      <c r="AY28" s="96" t="str">
        <f>IF(ISTEXT(VLOOKUP(CONCATENATE($A28,"_",AY$3),'Unit List'!$A$14:$H$2838,2,FALSE)),"X",$AX28)</f>
        <v/>
      </c>
      <c r="AZ28" s="115" t="str">
        <f>IF(ISTEXT(VLOOKUP(CONCATENATE($A28,"_",AZ$3),'Unit List'!$A$14:$H$2838,2,FALSE)),"X",$AX28)</f>
        <v/>
      </c>
      <c r="BA28" s="78" t="str">
        <f>IF(ISTEXT(VLOOKUP(CONCATENATE($A28,"_",BA$3),'Unit List'!$A$14:$H$2838,2,FALSE)),"+","")</f>
        <v/>
      </c>
      <c r="BB28" s="66" t="str">
        <f>IF(ISTEXT(VLOOKUP(CONCATENATE($A28,"_",BB$3),'Unit List'!$A$14:$H$2838,2,FALSE)),"X",$BA28)</f>
        <v/>
      </c>
      <c r="BC28" s="66" t="str">
        <f>IF(ISTEXT(VLOOKUP(CONCATENATE($A28,"_",BC$3),'Unit List'!$A$14:$H$2838,2,FALSE)),"X",$BA28)</f>
        <v/>
      </c>
      <c r="BD28" s="74" t="str">
        <f>IF(ISTEXT(VLOOKUP(CONCATENATE($A28,"_",BD$3),'Unit List'!$A$14:$H$2838,2,FALSE)),"X",$BA28)</f>
        <v/>
      </c>
      <c r="BE28" s="91" t="str">
        <f>IF(ISTEXT(VLOOKUP(CONCATENATE($A28,"_",BE$3),'Unit List'!$A$14:$H$2838,2,FALSE)),"+","")</f>
        <v/>
      </c>
      <c r="BF28" s="144" t="str">
        <f>IF(ISTEXT(VLOOKUP(CONCATENATE($A28,"_",BF$3),'Unit List'!$A$14:$H$2838,2,FALSE)),"X",$BE28)</f>
        <v/>
      </c>
      <c r="BG28" s="111"/>
      <c r="BH28" s="121"/>
      <c r="BI28" s="264"/>
      <c r="BJ28" s="265"/>
      <c r="BK28" s="265"/>
      <c r="BL28" s="265"/>
      <c r="BM28" s="266"/>
      <c r="BN28" s="81"/>
      <c r="BO28" s="81"/>
      <c r="BP28" s="81"/>
      <c r="BQ28" s="81"/>
      <c r="BR28" s="81"/>
      <c r="BS28" s="81"/>
      <c r="DZ28" s="82"/>
      <c r="EA28" s="82"/>
    </row>
    <row r="29" spans="1:131" ht="12.75" customHeight="1" x14ac:dyDescent="0.2">
      <c r="A29" s="83" t="s">
        <v>29</v>
      </c>
      <c r="B29" s="59" t="str">
        <f>IF(ISTEXT(VLOOKUP(CONCATENATE($A29,"_",B$3),'Unit List'!$A$14:$H$2838,2,FALSE)),"+","")</f>
        <v>+</v>
      </c>
      <c r="C29" s="84" t="str">
        <f>IF(ISTEXT(VLOOKUP(CONCATENATE($A29,"_",C$3),'Unit List'!$A$14:$H$2838,2,FALSE)),"X",$B29)</f>
        <v>X</v>
      </c>
      <c r="D29" s="66" t="str">
        <f>IF(ISTEXT(VLOOKUP(CONCATENATE($A29,"_",D$3),'Unit List'!$A$14:$H$2838,2,FALSE)),"X",$B29)</f>
        <v>X</v>
      </c>
      <c r="E29" s="66" t="str">
        <f>IF(ISTEXT(VLOOKUP(CONCATENATE($A29,"_",E$3),'Unit List'!$A$14:$H$2838,2,FALSE)),"X",$B29)</f>
        <v>X</v>
      </c>
      <c r="F29" s="87" t="str">
        <f>IF(ISTEXT(VLOOKUP(CONCATENATE($A29,"_",F$3),'Unit List'!$A$14:$H$2838,2,FALSE)),"X",$B29)</f>
        <v>X</v>
      </c>
      <c r="G29" s="66" t="str">
        <f>IF(ISTEXT(VLOOKUP(CONCATENATE($A29,"_",G$3),'Unit List'!$A$14:$H$2838,2,FALSE)),"X",$B29)</f>
        <v>X</v>
      </c>
      <c r="H29" s="66" t="str">
        <f>IF(ISTEXT(VLOOKUP(CONCATENATE($A29,"_",H$3),'Unit List'!$A$14:$H$2838,2,FALSE)),"X",$B29)</f>
        <v>X</v>
      </c>
      <c r="I29" s="74" t="str">
        <f>IF(ISTEXT(VLOOKUP(CONCATENATE($A29,"_",I$3),'Unit List'!$A$14:$H$2838,2,FALSE)),"X",$B29)</f>
        <v>+</v>
      </c>
      <c r="J29" s="64" t="str">
        <f>IF(ISTEXT(VLOOKUP(CONCATENATE($A29,"_",J$3),'Unit List'!$A$14:$H$2838,2,FALSE)),"+","")</f>
        <v/>
      </c>
      <c r="K29" s="66" t="str">
        <f>IF(ISTEXT(VLOOKUP(CONCATENATE($A29,"_",K$3),'Unit List'!$A$14:$H$2838,2,FALSE)),"X",$J29)</f>
        <v/>
      </c>
      <c r="L29" s="89" t="str">
        <f>IF(ISTEXT(VLOOKUP(CONCATENATE($A29,"_",L$3),'Unit List'!$A$14:$H$2838,2,FALSE)),"X",$J29)</f>
        <v/>
      </c>
      <c r="M29" s="64" t="str">
        <f>IF(ISTEXT(VLOOKUP(CONCATENATE($A29,"_",M$3),'Unit List'!$A$14:$H$2838,2,FALSE)),"+","")</f>
        <v>+</v>
      </c>
      <c r="N29" s="66" t="str">
        <f>IF(ISTEXT(VLOOKUP(CONCATENATE($A29,"_",N$3),'Unit List'!$A$14:$H$2838,2,FALSE)),"X",$M29)</f>
        <v>+</v>
      </c>
      <c r="O29" s="74" t="str">
        <f>IF(ISTEXT(VLOOKUP(CONCATENATE($A29,"_",O$3),'Unit List'!$A$14:$H$2838,2,FALSE)),"X",$M29)</f>
        <v>X</v>
      </c>
      <c r="P29" s="68" t="str">
        <f>IF(ISTEXT(VLOOKUP(CONCATENATE($A29,"_",P$3),'Unit List'!$A$14:$H$2838,2,FALSE)),"+","")</f>
        <v>+</v>
      </c>
      <c r="Q29" s="66" t="str">
        <f>IF(ISTEXT(VLOOKUP(CONCATENATE($A29,"_",Q$3),'Unit List'!$A$14:$H$2838,2,FALSE)),"X",$P29)</f>
        <v>+</v>
      </c>
      <c r="R29" s="66" t="str">
        <f>IF(ISTEXT(VLOOKUP(CONCATENATE($A29,"_",R$3),'Unit List'!$A$14:$H$2838,2,FALSE)),"X",$P29)</f>
        <v>+</v>
      </c>
      <c r="S29" s="66" t="str">
        <f>IF(ISTEXT(VLOOKUP(CONCATENATE($A29,"_",S$3),'Unit List'!$A$14:$H$2838,2,FALSE)),"X",$P29)</f>
        <v>+</v>
      </c>
      <c r="T29" s="69" t="str">
        <f>IF(ISTEXT(VLOOKUP(CONCATENATE($A29,"_",T$3),'Unit List'!$A$14:$H$2838,2,FALSE)),"X",$P29)</f>
        <v>+</v>
      </c>
      <c r="U29" s="66" t="str">
        <f>IF(ISTEXT(VLOOKUP(CONCATENATE($A29,"_",U$3),'Unit List'!$A$14:$H$2838,2,FALSE)),"X",$P29)</f>
        <v>X</v>
      </c>
      <c r="V29" s="66" t="str">
        <f>IF(ISTEXT(VLOOKUP(CONCATENATE($A29,"_",V$3),'Unit List'!$A$14:$H$2838,2,FALSE)),"X",$P29)</f>
        <v>X</v>
      </c>
      <c r="W29" s="71" t="str">
        <f>IF(ISTEXT(VLOOKUP(CONCATENATE($A29,"_",W$3),'Unit List'!$A$14:$H$2838,2,FALSE)),"X",$P29)</f>
        <v>+</v>
      </c>
      <c r="X29" s="68" t="str">
        <f>IF(ISTEXT(VLOOKUP(CONCATENATE($A29,"_",X$3),'Unit List'!$A$14:$H$2838,2,FALSE)),"+","")</f>
        <v/>
      </c>
      <c r="Y29" s="66" t="str">
        <f>IF(ISTEXT(VLOOKUP(CONCATENATE($A29,"_",Y$3),'Unit List'!$A$14:$H$2838,2,FALSE)),"X",$X29)</f>
        <v/>
      </c>
      <c r="Z29" s="66" t="str">
        <f>IF(ISTEXT(VLOOKUP(CONCATENATE($A29,"_",Z$3),'Unit List'!$A$14:$H$2838,2,FALSE)),"X",$X29)</f>
        <v/>
      </c>
      <c r="AA29" s="66" t="str">
        <f>IF(ISTEXT(VLOOKUP(CONCATENATE($A29,"_",AA$3),'Unit List'!$A$14:$H$2838,2,FALSE)),"X",$X29)</f>
        <v/>
      </c>
      <c r="AB29" s="66" t="str">
        <f>IF(ISTEXT(VLOOKUP(CONCATENATE($A29,"_",AB$3),'Unit List'!$A$14:$H$2838,2,FALSE)),"X",$X29)</f>
        <v/>
      </c>
      <c r="AC29" s="89" t="str">
        <f>IF(ISTEXT(VLOOKUP(CONCATENATE($A29,"_",AC$3),'Unit List'!$A$14:$H$2838,2,FALSE)),"X",$X29)</f>
        <v/>
      </c>
      <c r="AD29" s="68" t="str">
        <f>IF(ISTEXT(VLOOKUP(CONCATENATE($A29,"_",AD$3),'Unit List'!$A$14:$H$2838,2,FALSE)),"+","")</f>
        <v/>
      </c>
      <c r="AE29" s="66" t="str">
        <f>IF(ISTEXT(VLOOKUP(CONCATENATE($A29,"_",AE$3),'Unit List'!$A$14:$H$2838,2,FALSE)),"X",$AD29)</f>
        <v/>
      </c>
      <c r="AF29" s="72" t="str">
        <f>IF(ISTEXT(VLOOKUP(CONCATENATE($A29,"_",AF$3),'Unit List'!$A$14:$H$2838,2,FALSE)),"X",$AD29)</f>
        <v/>
      </c>
      <c r="AG29" s="68" t="str">
        <f>IF(ISTEXT(VLOOKUP(CONCATENATE($A29,"_",AG$3),'Unit List'!$A$14:$H$2838,2,FALSE)),"+","")</f>
        <v/>
      </c>
      <c r="AH29" s="66" t="str">
        <f>IF(ISTEXT(VLOOKUP(CONCATENATE($A29,"_",AH$3),'Unit List'!$A$14:$H$2838,2,FALSE)),"X",$AG29)</f>
        <v/>
      </c>
      <c r="AI29" s="66" t="str">
        <f>IF(ISTEXT(VLOOKUP(CONCATENATE($A29,"_",AI$3),'Unit List'!$A$14:$H$2838,2,FALSE)),"X",$AG29)</f>
        <v/>
      </c>
      <c r="AJ29" s="74" t="str">
        <f>IF(ISTEXT(VLOOKUP(CONCATENATE($A29,"_",AJ$3),'Unit List'!$A$14:$H$2838,2,FALSE)),"X",$AG29)</f>
        <v/>
      </c>
      <c r="AK29" s="64" t="str">
        <f>IF(ISTEXT(VLOOKUP(CONCATENATE($A29,"_",AK$3),'Unit List'!$A$14:$H$2838,2,FALSE)),"+","")</f>
        <v>+</v>
      </c>
      <c r="AL29" s="69" t="str">
        <f>IF(ISTEXT(VLOOKUP(CONCATENATE($A29,"_",AL$3),'Unit List'!$A$14:$H$2838,2,FALSE)),"X",$AK29)</f>
        <v>+</v>
      </c>
      <c r="AM29" s="74" t="str">
        <f>IF(ISTEXT(VLOOKUP(CONCATENATE($A29,"_",AM$3),'Unit List'!$A$14:$H$2838,2,FALSE)),"X",$AK29)</f>
        <v>+</v>
      </c>
      <c r="AN29" s="91" t="str">
        <f>IF(ISTEXT(VLOOKUP(CONCATENATE($A29,"_",AN$3),'Unit List'!$A$14:$H$2838,2,FALSE)),"+","")</f>
        <v>+</v>
      </c>
      <c r="AO29" s="74" t="str">
        <f>IF(ISTEXT(VLOOKUP(CONCATENATE($A29,"_",AO$3),'Unit List'!$A$14:$H$2838,2,FALSE)),"X",$AN29)</f>
        <v>+</v>
      </c>
      <c r="AP29" s="68" t="str">
        <f>IF(ISTEXT(VLOOKUP(CONCATENATE($A29,"_",AP$3),'Unit List'!$A$14:$H$2838,2,FALSE)),"+","")</f>
        <v>+</v>
      </c>
      <c r="AQ29" s="66" t="str">
        <f>IF(ISTEXT(VLOOKUP(CONCATENATE($A29,"_",AQ$3),'Unit List'!$A$14:$H$2838,2,FALSE)),"X",$AP29)</f>
        <v>+</v>
      </c>
      <c r="AR29" s="66" t="str">
        <f>IF(ISTEXT(VLOOKUP(CONCATENATE($A29,"_",AR$3),'Unit List'!$A$14:$H$2838,2,FALSE)),"X",$AP29)</f>
        <v>X</v>
      </c>
      <c r="AS29" s="66" t="str">
        <f>IF(ISTEXT(VLOOKUP(CONCATENATE($A29,"_",AS$3),'Unit List'!$A$14:$H$2838,2,FALSE)),"X",$AP29)</f>
        <v>+</v>
      </c>
      <c r="AT29" s="74" t="str">
        <f>IF(ISTEXT(VLOOKUP(CONCATENATE($A29,"_",AT$3),'Unit List'!$A$14:$H$2838,2,FALSE)),"X",$AP29)</f>
        <v>+</v>
      </c>
      <c r="AU29" s="77" t="str">
        <f>IF(ISTEXT(VLOOKUP(CONCATENATE($A29,"_",AU$3),'Unit List'!$A$14:$H$2838,2,FALSE)),"+","")</f>
        <v/>
      </c>
      <c r="AV29" s="66" t="str">
        <f>IF(ISTEXT(VLOOKUP(CONCATENATE($A29,"_",AV$3),'Unit List'!$A$14:$H$2838,2,FALSE)),"X",$AU29)</f>
        <v/>
      </c>
      <c r="AW29" s="74" t="str">
        <f>IF(ISTEXT(VLOOKUP(CONCATENATE($A29,"_",AW$3),'Unit List'!$A$14:$H$2838,2,FALSE)),"X",$AU29)</f>
        <v/>
      </c>
      <c r="AX29" s="68" t="str">
        <f>IF(ISTEXT(VLOOKUP(CONCATENATE($A29,"_",AX$3),'Unit List'!$A$14:$H$2838,2,FALSE)),"+","")</f>
        <v>+</v>
      </c>
      <c r="AY29" s="66" t="str">
        <f>IF(ISTEXT(VLOOKUP(CONCATENATE($A29,"_",AY$3),'Unit List'!$A$14:$H$2838,2,FALSE)),"X",$AX29)</f>
        <v>+</v>
      </c>
      <c r="AZ29" s="71" t="str">
        <f>IF(ISTEXT(VLOOKUP(CONCATENATE($A29,"_",AZ$3),'Unit List'!$A$14:$H$2838,2,FALSE)),"X",$AX29)</f>
        <v>+</v>
      </c>
      <c r="BA29" s="78" t="str">
        <f>IF(ISTEXT(VLOOKUP(CONCATENATE($A29,"_",BA$3),'Unit List'!$A$14:$H$2838,2,FALSE)),"+","")</f>
        <v/>
      </c>
      <c r="BB29" s="66" t="str">
        <f>IF(ISTEXT(VLOOKUP(CONCATENATE($A29,"_",BB$3),'Unit List'!$A$14:$H$2838,2,FALSE)),"X",$BA29)</f>
        <v/>
      </c>
      <c r="BC29" s="66" t="str">
        <f>IF(ISTEXT(VLOOKUP(CONCATENATE($A29,"_",BC$3),'Unit List'!$A$14:$H$2838,2,FALSE)),"X",$BA29)</f>
        <v/>
      </c>
      <c r="BD29" s="74" t="str">
        <f>IF(ISTEXT(VLOOKUP(CONCATENATE($A29,"_",BD$3),'Unit List'!$A$14:$H$2838,2,FALSE)),"X",$BA29)</f>
        <v/>
      </c>
      <c r="BE29" s="91" t="str">
        <f>IF(ISTEXT(VLOOKUP(CONCATENATE($A29,"_",BE$3),'Unit List'!$A$14:$H$2838,2,FALSE)),"+","")</f>
        <v/>
      </c>
      <c r="BF29" s="89" t="str">
        <f>IF(ISTEXT(VLOOKUP(CONCATENATE($A29,"_",BF$3),'Unit List'!$A$14:$H$2838,2,FALSE)),"X",$BE29)</f>
        <v/>
      </c>
      <c r="BG29" s="92"/>
      <c r="BH29" s="93" t="s">
        <v>0</v>
      </c>
      <c r="BI29" s="264"/>
      <c r="BJ29" s="265"/>
      <c r="BK29" s="265"/>
      <c r="BL29" s="265"/>
      <c r="BM29" s="266"/>
      <c r="BN29" s="81"/>
      <c r="BO29" s="81"/>
      <c r="BP29" s="81"/>
      <c r="BQ29" s="81"/>
      <c r="BR29" s="81"/>
      <c r="BS29" s="81"/>
      <c r="DZ29" s="82"/>
      <c r="EA29" s="82"/>
    </row>
    <row r="30" spans="1:131" ht="12.75" customHeight="1" x14ac:dyDescent="0.2">
      <c r="A30" s="83" t="s">
        <v>1109</v>
      </c>
      <c r="B30" s="59" t="str">
        <f>IF(ISTEXT(VLOOKUP(CONCATENATE($A30,"_",B$3),'Unit List'!$A$14:$H$2838,2,FALSE)),"+","")</f>
        <v/>
      </c>
      <c r="C30" s="119" t="str">
        <f>IF(ISTEXT(VLOOKUP(CONCATENATE($A30,"_",C$3),'Unit List'!$A$14:$H$2838,2,FALSE)),"X",$B30)</f>
        <v>X</v>
      </c>
      <c r="D30" s="96" t="str">
        <f>IF(ISTEXT(VLOOKUP(CONCATENATE($A30,"_",D$3),'Unit List'!$A$14:$H$2838,2,FALSE)),"X",$B30)</f>
        <v>X</v>
      </c>
      <c r="E30" s="133" t="str">
        <f>IF(ISTEXT(VLOOKUP(CONCATENATE($A30,"_",E$3),'Unit List'!$A$14:$H$2838,2,FALSE)),"X",$B30)</f>
        <v>X</v>
      </c>
      <c r="F30" s="96" t="str">
        <f>IF(ISTEXT(VLOOKUP(CONCATENATE($A30,"_",F$3),'Unit List'!$A$14:$H$2838,2,FALSE)),"X",$B30)</f>
        <v>X</v>
      </c>
      <c r="G30" s="66" t="str">
        <f>IF(ISTEXT(VLOOKUP(CONCATENATE($A30,"_",G$3),'Unit List'!$A$14:$H$2838,2,FALSE)),"X",$B30)</f>
        <v>X</v>
      </c>
      <c r="H30" s="96" t="str">
        <f>IF(ISTEXT(VLOOKUP(CONCATENATE($A30,"_",H$3),'Unit List'!$A$14:$H$2838,2,FALSE)),"X",$B30)</f>
        <v>X</v>
      </c>
      <c r="I30" s="74" t="str">
        <f>IF(ISTEXT(VLOOKUP(CONCATENATE($A30,"_",I$3),'Unit List'!$A$14:$H$2838,2,FALSE)),"X",$B30)</f>
        <v/>
      </c>
      <c r="J30" s="64" t="str">
        <f>IF(ISTEXT(VLOOKUP(CONCATENATE($A30,"_",J$3),'Unit List'!$A$14:$H$2838,2,FALSE)),"+","")</f>
        <v>+</v>
      </c>
      <c r="K30" s="66" t="str">
        <f>IF(ISTEXT(VLOOKUP(CONCATENATE($A30,"_",K$3),'Unit List'!$A$14:$H$2838,2,FALSE)),"X",$J30)</f>
        <v>+</v>
      </c>
      <c r="L30" s="89" t="str">
        <f>IF(ISTEXT(VLOOKUP(CONCATENATE($A30,"_",L$3),'Unit List'!$A$14:$H$2838,2,FALSE)),"X",$J30)</f>
        <v>+</v>
      </c>
      <c r="M30" s="64" t="str">
        <f>IF(ISTEXT(VLOOKUP(CONCATENATE($A30,"_",M$3),'Unit List'!$A$14:$H$2838,2,FALSE)),"+","")</f>
        <v>+</v>
      </c>
      <c r="N30" s="66" t="str">
        <f>IF(ISTEXT(VLOOKUP(CONCATENATE($A30,"_",N$3),'Unit List'!$A$14:$H$2838,2,FALSE)),"X",$M30)</f>
        <v>+</v>
      </c>
      <c r="O30" s="100" t="str">
        <f>IF(ISTEXT(VLOOKUP(CONCATENATE($A30,"_",O$3),'Unit List'!$A$14:$H$2838,2,FALSE)),"X",$M30)</f>
        <v>X</v>
      </c>
      <c r="P30" s="68" t="str">
        <f>IF(ISTEXT(VLOOKUP(CONCATENATE($A30,"_",P$3),'Unit List'!$A$14:$H$2838,2,FALSE)),"+","")</f>
        <v/>
      </c>
      <c r="Q30" s="66" t="str">
        <f>IF(ISTEXT(VLOOKUP(CONCATENATE($A30,"_",Q$3),'Unit List'!$A$14:$H$2838,2,FALSE)),"X",$P30)</f>
        <v/>
      </c>
      <c r="R30" s="66" t="str">
        <f>IF(ISTEXT(VLOOKUP(CONCATENATE($A30,"_",R$3),'Unit List'!$A$14:$H$2838,2,FALSE)),"X",$P30)</f>
        <v/>
      </c>
      <c r="S30" s="125" t="str">
        <f>IF(ISTEXT(VLOOKUP(CONCATENATE($A30,"_",S$3),'Unit List'!$A$14:$H$2838,2,FALSE)),"X",$P30)</f>
        <v>X</v>
      </c>
      <c r="T30" s="145" t="str">
        <f>IF(ISTEXT(VLOOKUP(CONCATENATE($A30,"_",T$3),'Unit List'!$A$14:$H$2838,2,FALSE)),"X",$P30)</f>
        <v>X</v>
      </c>
      <c r="U30" s="96" t="str">
        <f>IF(ISTEXT(VLOOKUP(CONCATENATE($A30,"_",U$3),'Unit List'!$A$14:$H$2838,2,FALSE)),"X",$P30)</f>
        <v>X</v>
      </c>
      <c r="V30" s="96" t="str">
        <f>IF(ISTEXT(VLOOKUP(CONCATENATE($A30,"_",V$3),'Unit List'!$A$14:$H$2838,2,FALSE)),"X",$P30)</f>
        <v>X</v>
      </c>
      <c r="W30" s="71" t="str">
        <f>IF(ISTEXT(VLOOKUP(CONCATENATE($A30,"_",W$3),'Unit List'!$A$14:$H$2838,2,FALSE)),"X",$P30)</f>
        <v/>
      </c>
      <c r="X30" s="68" t="str">
        <f>IF(ISTEXT(VLOOKUP(CONCATENATE($A30,"_",X$3),'Unit List'!$A$14:$H$2838,2,FALSE)),"+","")</f>
        <v/>
      </c>
      <c r="Y30" s="66" t="str">
        <f>IF(ISTEXT(VLOOKUP(CONCATENATE($A30,"_",Y$3),'Unit List'!$A$14:$H$2838,2,FALSE)),"X",$X30)</f>
        <v/>
      </c>
      <c r="Z30" s="66" t="str">
        <f>IF(ISTEXT(VLOOKUP(CONCATENATE($A30,"_",Z$3),'Unit List'!$A$14:$H$2838,2,FALSE)),"X",$X30)</f>
        <v/>
      </c>
      <c r="AA30" s="96" t="str">
        <f>IF(ISTEXT(VLOOKUP(CONCATENATE($A30,"_",AA$3),'Unit List'!$A$14:$H$2838,2,FALSE)),"X",$X30)</f>
        <v>X</v>
      </c>
      <c r="AB30" s="125" t="str">
        <f>IF(ISTEXT(VLOOKUP(CONCATENATE($A30,"_",AB$3),'Unit List'!$A$14:$H$2838,2,FALSE)),"X",$X30)</f>
        <v>X</v>
      </c>
      <c r="AC30" s="123" t="str">
        <f>IF(ISTEXT(VLOOKUP(CONCATENATE($A30,"_",AC$3),'Unit List'!$A$14:$H$2838,2,FALSE)),"X",$X30)</f>
        <v>X</v>
      </c>
      <c r="AD30" s="68" t="str">
        <f>IF(ISTEXT(VLOOKUP(CONCATENATE($A30,"_",AD$3),'Unit List'!$A$14:$H$2838,2,FALSE)),"+","")</f>
        <v/>
      </c>
      <c r="AE30" s="66" t="str">
        <f>IF(ISTEXT(VLOOKUP(CONCATENATE($A30,"_",AE$3),'Unit List'!$A$14:$H$2838,2,FALSE)),"X",$AD30)</f>
        <v/>
      </c>
      <c r="AF30" s="72" t="str">
        <f>IF(ISTEXT(VLOOKUP(CONCATENATE($A30,"_",AF$3),'Unit List'!$A$14:$H$2838,2,FALSE)),"X",$AD30)</f>
        <v/>
      </c>
      <c r="AG30" s="68" t="str">
        <f>IF(ISTEXT(VLOOKUP(CONCATENATE($A30,"_",AG$3),'Unit List'!$A$14:$H$2838,2,FALSE)),"+","")</f>
        <v/>
      </c>
      <c r="AH30" s="66" t="str">
        <f>IF(ISTEXT(VLOOKUP(CONCATENATE($A30,"_",AH$3),'Unit List'!$A$14:$H$2838,2,FALSE)),"X",$AG30)</f>
        <v/>
      </c>
      <c r="AI30" s="66" t="str">
        <f>IF(ISTEXT(VLOOKUP(CONCATENATE($A30,"_",AI$3),'Unit List'!$A$14:$H$2838,2,FALSE)),"X",$AG30)</f>
        <v/>
      </c>
      <c r="AJ30" s="74" t="str">
        <f>IF(ISTEXT(VLOOKUP(CONCATENATE($A30,"_",AJ$3),'Unit List'!$A$14:$H$2838,2,FALSE)),"X",$AG30)</f>
        <v/>
      </c>
      <c r="AK30" s="64" t="str">
        <f>IF(ISTEXT(VLOOKUP(CONCATENATE($A30,"_",AK$3),'Unit List'!$A$14:$H$2838,2,FALSE)),"+","")</f>
        <v/>
      </c>
      <c r="AL30" s="69" t="str">
        <f>IF(ISTEXT(VLOOKUP(CONCATENATE($A30,"_",AL$3),'Unit List'!$A$14:$H$2838,2,FALSE)),"X",$AK30)</f>
        <v/>
      </c>
      <c r="AM30" s="115" t="str">
        <f>IF(ISTEXT(VLOOKUP(CONCATENATE($A30,"_",AM$3),'Unit List'!$A$14:$H$2838,2,FALSE)),"X",$AK30)</f>
        <v>X</v>
      </c>
      <c r="AN30" s="91" t="str">
        <f>IF(ISTEXT(VLOOKUP(CONCATENATE($A30,"_",AN$3),'Unit List'!$A$14:$H$2838,2,FALSE)),"+","")</f>
        <v>+</v>
      </c>
      <c r="AO30" s="241" t="str">
        <f>IF(ISTEXT(VLOOKUP(CONCATENATE($A30,"_",AO$3),'Unit List'!$A$14:$H$2838,2,FALSE)),"X",$AN30)</f>
        <v>+</v>
      </c>
      <c r="AP30" s="68" t="str">
        <f>IF(ISTEXT(VLOOKUP(CONCATENATE($A30,"_",AP$3),'Unit List'!$A$14:$H$2838,2,FALSE)),"+","")</f>
        <v>+</v>
      </c>
      <c r="AQ30" s="66" t="str">
        <f>IF(ISTEXT(VLOOKUP(CONCATENATE($A30,"_",AQ$3),'Unit List'!$A$14:$H$2838,2,FALSE)),"X",$AP30)</f>
        <v>+</v>
      </c>
      <c r="AR30" s="125" t="str">
        <f>IF(ISTEXT(VLOOKUP(CONCATENATE($A30,"_",AR$3),'Unit List'!$A$14:$H$2838,2,FALSE)),"X",$AP30)</f>
        <v>X</v>
      </c>
      <c r="AS30" s="125" t="str">
        <f>IF(ISTEXT(VLOOKUP(CONCATENATE($A30,"_",AS$3),'Unit List'!$A$14:$H$2838,2,FALSE)),"X",$AP30)</f>
        <v>X</v>
      </c>
      <c r="AT30" s="74" t="str">
        <f>IF(ISTEXT(VLOOKUP(CONCATENATE($A30,"_",AT$3),'Unit List'!$A$14:$H$2838,2,FALSE)),"X",$AP30)</f>
        <v>+</v>
      </c>
      <c r="AU30" s="77" t="str">
        <f>IF(ISTEXT(VLOOKUP(CONCATENATE($A30,"_",AU$3),'Unit List'!$A$14:$H$2838,2,FALSE)),"+","")</f>
        <v/>
      </c>
      <c r="AV30" s="66" t="str">
        <f>IF(ISTEXT(VLOOKUP(CONCATENATE($A30,"_",AV$3),'Unit List'!$A$14:$H$2838,2,FALSE)),"X",$AU30)</f>
        <v/>
      </c>
      <c r="AW30" s="71" t="str">
        <f>IF(ISTEXT(VLOOKUP(CONCATENATE($A30,"_",AW$3),'Unit List'!$A$14:$H$2838,2,FALSE)),"X",$AU30)</f>
        <v>X</v>
      </c>
      <c r="AX30" s="68" t="str">
        <f>IF(ISTEXT(VLOOKUP(CONCATENATE($A30,"_",AX$3),'Unit List'!$A$14:$H$2838,2,FALSE)),"+","")</f>
        <v>+</v>
      </c>
      <c r="AY30" s="133" t="str">
        <f>IF(ISTEXT(VLOOKUP(CONCATENATE($A30,"_",AY$3),'Unit List'!$A$14:$H$2838,2,FALSE)),"X",$AX30)</f>
        <v>+</v>
      </c>
      <c r="AZ30" s="134" t="str">
        <f>IF(ISTEXT(VLOOKUP(CONCATENATE($A30,"_",AZ$3),'Unit List'!$A$14:$H$2838,2,FALSE)),"X",$AX30)</f>
        <v>+</v>
      </c>
      <c r="BA30" s="78" t="str">
        <f>IF(ISTEXT(VLOOKUP(CONCATENATE($A30,"_",BA$3),'Unit List'!$A$14:$H$2838,2,FALSE)),"+","")</f>
        <v>+</v>
      </c>
      <c r="BB30" s="133" t="str">
        <f>IF(ISTEXT(VLOOKUP(CONCATENATE($A30,"_",BB$3),'Unit List'!$A$14:$H$2838,2,FALSE)),"X",$BA30)</f>
        <v>+</v>
      </c>
      <c r="BC30" s="66" t="str">
        <f>IF(ISTEXT(VLOOKUP(CONCATENATE($A30,"_",BC$3),'Unit List'!$A$14:$H$2838,2,FALSE)),"X",$BA30)</f>
        <v>+</v>
      </c>
      <c r="BD30" s="134" t="str">
        <f>IF(ISTEXT(VLOOKUP(CONCATENATE($A30,"_",BD$3),'Unit List'!$A$14:$H$2838,2,FALSE)),"X",$BA30)</f>
        <v>+</v>
      </c>
      <c r="BE30" s="91" t="str">
        <f>IF(ISTEXT(VLOOKUP(CONCATENATE($A30,"_",BE$3),'Unit List'!$A$14:$H$2838,2,FALSE)),"+","")</f>
        <v>+</v>
      </c>
      <c r="BF30" s="135" t="str">
        <f>IF(ISTEXT(VLOOKUP(CONCATENATE($A30,"_",BF$3),'Unit List'!$A$14:$H$2838,2,FALSE)),"X",$BE30)</f>
        <v>+</v>
      </c>
      <c r="BG30" s="92"/>
      <c r="BH30" s="93" t="s">
        <v>0</v>
      </c>
      <c r="BI30" s="261" t="s">
        <v>12</v>
      </c>
      <c r="BJ30" s="262"/>
      <c r="BK30" s="262"/>
      <c r="BL30" s="262"/>
      <c r="BM30" s="263"/>
      <c r="BN30" s="81"/>
      <c r="BO30" s="81"/>
      <c r="BP30" s="81"/>
      <c r="BQ30" s="81"/>
      <c r="BR30" s="81"/>
      <c r="BS30" s="81"/>
      <c r="DZ30" s="82"/>
      <c r="EA30" s="82"/>
    </row>
    <row r="31" spans="1:131" ht="12.75" customHeight="1" x14ac:dyDescent="0.2">
      <c r="A31" s="83" t="s">
        <v>28</v>
      </c>
      <c r="B31" s="59" t="str">
        <f>IF(ISTEXT(VLOOKUP(CONCATENATE($A31,"_",B$3),'Unit List'!$A$14:$H$2838,2,FALSE)),"+","")</f>
        <v/>
      </c>
      <c r="C31" s="84" t="str">
        <f>IF(ISTEXT(VLOOKUP(CONCATENATE($A31,"_",C$3),'Unit List'!$A$14:$H$2838,2,FALSE)),"X",$B31)</f>
        <v/>
      </c>
      <c r="D31" s="87" t="str">
        <f>IF(ISTEXT(VLOOKUP(CONCATENATE($A31,"_",D$3),'Unit List'!$A$14:$H$2838,2,FALSE)),"X",$B31)</f>
        <v/>
      </c>
      <c r="E31" s="66" t="str">
        <f>IF(ISTEXT(VLOOKUP(CONCATENATE($A31,"_",E$3),'Unit List'!$A$14:$H$2838,2,FALSE)),"X",$B31)</f>
        <v/>
      </c>
      <c r="F31" s="96" t="str">
        <f>IF(ISTEXT(VLOOKUP(CONCATENATE($A31,"_",F$3),'Unit List'!$A$14:$H$2838,2,FALSE)),"X",$B31)</f>
        <v>X</v>
      </c>
      <c r="G31" s="66" t="str">
        <f>IF(ISTEXT(VLOOKUP(CONCATENATE($A31,"_",G$3),'Unit List'!$A$14:$H$2838,2,FALSE)),"X",$B31)</f>
        <v>X</v>
      </c>
      <c r="H31" s="96" t="str">
        <f>IF(ISTEXT(VLOOKUP(CONCATENATE($A31,"_",H$3),'Unit List'!$A$14:$H$2838,2,FALSE)),"X",$B31)</f>
        <v>X</v>
      </c>
      <c r="I31" s="74" t="str">
        <f>IF(ISTEXT(VLOOKUP(CONCATENATE($A31,"_",I$3),'Unit List'!$A$14:$H$2838,2,FALSE)),"X",$B31)</f>
        <v/>
      </c>
      <c r="J31" s="64" t="str">
        <f>IF(ISTEXT(VLOOKUP(CONCATENATE($A31,"_",J$3),'Unit List'!$A$14:$H$2838,2,FALSE)),"+","")</f>
        <v>+</v>
      </c>
      <c r="K31" s="132" t="str">
        <f>IF(ISTEXT(VLOOKUP(CONCATENATE($A31,"_",K$3),'Unit List'!$A$14:$H$2838,2,FALSE)),"X",$J31)</f>
        <v>+</v>
      </c>
      <c r="L31" s="123" t="str">
        <f>IF(ISTEXT(VLOOKUP(CONCATENATE($A31,"_",L$3),'Unit List'!$A$14:$H$2838,2,FALSE)),"X",$J31)</f>
        <v>+</v>
      </c>
      <c r="M31" s="64" t="str">
        <f>IF(ISTEXT(VLOOKUP(CONCATENATE($A31,"_",M$3),'Unit List'!$A$14:$H$2838,2,FALSE)),"+","")</f>
        <v>+</v>
      </c>
      <c r="N31" s="66" t="str">
        <f>IF(ISTEXT(VLOOKUP(CONCATENATE($A31,"_",N$3),'Unit List'!$A$14:$H$2838,2,FALSE)),"X",$M31)</f>
        <v>+</v>
      </c>
      <c r="O31" s="100" t="str">
        <f>IF(ISTEXT(VLOOKUP(CONCATENATE($A31,"_",O$3),'Unit List'!$A$14:$H$2838,2,FALSE)),"X",$M31)</f>
        <v>X</v>
      </c>
      <c r="P31" s="68" t="str">
        <f>IF(ISTEXT(VLOOKUP(CONCATENATE($A31,"_",P$3),'Unit List'!$A$14:$H$2838,2,FALSE)),"+","")</f>
        <v/>
      </c>
      <c r="Q31" s="66" t="str">
        <f>IF(ISTEXT(VLOOKUP(CONCATENATE($A31,"_",Q$3),'Unit List'!$A$14:$H$2838,2,FALSE)),"X",$P31)</f>
        <v/>
      </c>
      <c r="R31" s="66" t="str">
        <f>IF(ISTEXT(VLOOKUP(CONCATENATE($A31,"_",R$3),'Unit List'!$A$14:$H$2838,2,FALSE)),"X",$P31)</f>
        <v/>
      </c>
      <c r="S31" s="96" t="str">
        <f>IF(ISTEXT(VLOOKUP(CONCATENATE($A31,"_",S$3),'Unit List'!$A$14:$H$2838,2,FALSE)),"X",$P31)</f>
        <v>X</v>
      </c>
      <c r="T31" s="69" t="str">
        <f>IF(ISTEXT(VLOOKUP(CONCATENATE($A31,"_",T$3),'Unit List'!$A$14:$H$2838,2,FALSE)),"X",$P31)</f>
        <v/>
      </c>
      <c r="U31" s="96" t="str">
        <f>IF(ISTEXT(VLOOKUP(CONCATENATE($A31,"_",U$3),'Unit List'!$A$14:$H$2838,2,FALSE)),"X",$P31)</f>
        <v>X</v>
      </c>
      <c r="V31" s="127" t="s">
        <v>3</v>
      </c>
      <c r="W31" s="71" t="str">
        <f>IF(ISTEXT(VLOOKUP(CONCATENATE($A31,"_",W$3),'Unit List'!$A$14:$H$2838,2,FALSE)),"X",$P31)</f>
        <v/>
      </c>
      <c r="X31" s="101" t="str">
        <f>IF(ISTEXT(VLOOKUP(CONCATENATE($A31,"_",X$3),'Unit List'!$A$14:$H$2838,2,FALSE)),"+","")</f>
        <v>+</v>
      </c>
      <c r="Y31" s="103" t="s">
        <v>0</v>
      </c>
      <c r="Z31" s="133" t="str">
        <f>IF(ISTEXT(VLOOKUP(CONCATENATE($A31,"_",Z$3),'Unit List'!$A$14:$H$2838,2,FALSE)),"X",$X31)</f>
        <v>+</v>
      </c>
      <c r="AA31" s="96" t="str">
        <f>IF(ISTEXT(VLOOKUP(CONCATENATE($A31,"_",AA$3),'Unit List'!$A$14:$H$2838,2,FALSE)),"X",$X31)</f>
        <v>X</v>
      </c>
      <c r="AB31" s="96" t="str">
        <f>IF(ISTEXT(VLOOKUP(CONCATENATE($A31,"_",AB$3),'Unit List'!$A$14:$H$2838,2,FALSE)),"X",$X31)</f>
        <v>X</v>
      </c>
      <c r="AC31" s="123" t="str">
        <f>IF(ISTEXT(VLOOKUP(CONCATENATE($A31,"_",AC$3),'Unit List'!$A$14:$H$2838,2,FALSE)),"X",$X31)</f>
        <v>X</v>
      </c>
      <c r="AD31" s="101" t="str">
        <f>IF(ISTEXT(VLOOKUP(CONCATENATE($A31,"_",AD$3),'Unit List'!$A$14:$H$2838,2,FALSE)),"+","")</f>
        <v/>
      </c>
      <c r="AE31" s="66" t="str">
        <f>IF(ISTEXT(VLOOKUP(CONCATENATE($A31,"_",AE$3),'Unit List'!$A$14:$H$2838,2,FALSE)),"X",$AD31)</f>
        <v/>
      </c>
      <c r="AF31" s="72" t="str">
        <f>IF(ISTEXT(VLOOKUP(CONCATENATE($A31,"_",AF$3),'Unit List'!$A$14:$H$2838,2,FALSE)),"X",$AD31)</f>
        <v/>
      </c>
      <c r="AG31" s="101" t="str">
        <f>IF(ISTEXT(VLOOKUP(CONCATENATE($A31,"_",AG$3),'Unit List'!$A$14:$H$2838,2,FALSE)),"+","")</f>
        <v>+</v>
      </c>
      <c r="AH31" s="95" t="str">
        <f>IF(ISTEXT(VLOOKUP(CONCATENATE($A31,"_",AH$3),'Unit List'!$A$14:$H$2838,2,FALSE)),"X",$AG31)</f>
        <v>+</v>
      </c>
      <c r="AI31" s="127" t="s">
        <v>0</v>
      </c>
      <c r="AJ31" s="107" t="str">
        <f>IF(ISTEXT(VLOOKUP(CONCATENATE($A31,"_",AJ$3),'Unit List'!$A$14:$H$2838,2,FALSE)),"X",$AG31)</f>
        <v>+</v>
      </c>
      <c r="AK31" s="97" t="str">
        <f>IF(ISTEXT(VLOOKUP(CONCATENATE($A31,"_",AK$3),'Unit List'!$A$14:$H$2838,2,FALSE)),"+","")</f>
        <v>+</v>
      </c>
      <c r="AL31" s="150" t="str">
        <f>IF(ISTEXT(VLOOKUP(CONCATENATE($A31,"_",AL$3),'Unit List'!$A$14:$H$2838,2,FALSE)),"X",$AK31)</f>
        <v>+</v>
      </c>
      <c r="AM31" s="100" t="str">
        <f>IF(ISTEXT(VLOOKUP(CONCATENATE($A31,"_",AM$3),'Unit List'!$A$14:$H$2838,2,FALSE)),"X",$AK31)</f>
        <v>X</v>
      </c>
      <c r="AN31" s="91" t="str">
        <f>IF(ISTEXT(VLOOKUP(CONCATENATE($A31,"_",AN$3),'Unit List'!$A$14:$H$2838,2,FALSE)),"+","")</f>
        <v>+</v>
      </c>
      <c r="AO31" s="241" t="str">
        <f>IF(ISTEXT(VLOOKUP(CONCATENATE($A31,"_",AO$3),'Unit List'!$A$14:$H$2838,2,FALSE)),"X",$AN31)</f>
        <v>+</v>
      </c>
      <c r="AP31" s="101" t="str">
        <f>IF(ISTEXT(VLOOKUP(CONCATENATE($A31,"_",AP$3),'Unit List'!$A$14:$H$2838,2,FALSE)),"+","")</f>
        <v>+</v>
      </c>
      <c r="AQ31" s="66" t="str">
        <f>IF(ISTEXT(VLOOKUP(CONCATENATE($A31,"_",AQ$3),'Unit List'!$A$14:$H$2838,2,FALSE)),"X",$AP31)</f>
        <v>X</v>
      </c>
      <c r="AR31" s="96" t="str">
        <f>IF(ISTEXT(VLOOKUP(CONCATENATE($A31,"_",AR$3),'Unit List'!$A$14:$H$2838,2,FALSE)),"X",$AP31)</f>
        <v>X</v>
      </c>
      <c r="AS31" s="96" t="str">
        <f>IF(ISTEXT(VLOOKUP(CONCATENATE($A31,"_",AS$3),'Unit List'!$A$14:$H$2838,2,FALSE)),"X",$AP31)</f>
        <v>X</v>
      </c>
      <c r="AT31" s="146" t="s">
        <v>0</v>
      </c>
      <c r="AU31" s="77" t="str">
        <f>IF(ISTEXT(VLOOKUP(CONCATENATE($A31,"_",AU$3),'Unit List'!$A$14:$H$2838,2,FALSE)),"+","")</f>
        <v>+</v>
      </c>
      <c r="AV31" s="133" t="str">
        <f>IF(ISTEXT(VLOOKUP(CONCATENATE($A31,"_",AV$3),'Unit List'!$A$14:$H$2838,2,FALSE)),"X",$AU31)</f>
        <v>+</v>
      </c>
      <c r="AW31" s="109" t="s">
        <v>0</v>
      </c>
      <c r="AX31" s="101" t="str">
        <f>IF(ISTEXT(VLOOKUP(CONCATENATE($A31,"_",AX$3),'Unit List'!$A$14:$H$2838,2,FALSE)),"+","")</f>
        <v>+</v>
      </c>
      <c r="AY31" s="96" t="str">
        <f>IF(ISTEXT(VLOOKUP(CONCATENATE($A31,"_",AY$3),'Unit List'!$A$14:$H$2838,2,FALSE)),"X",$AX31)</f>
        <v>X</v>
      </c>
      <c r="AZ31" s="241" t="str">
        <f>IF(ISTEXT(VLOOKUP(CONCATENATE($A31,"_",AZ$3),'Unit List'!$A$14:$H$2838,2,FALSE)),"X",$AX31)</f>
        <v>+</v>
      </c>
      <c r="BA31" s="101" t="str">
        <f>IF(ISTEXT(VLOOKUP(CONCATENATE($A31,"_",BA$3),'Unit List'!$A$14:$H$2838,2,FALSE)),"+","")</f>
        <v>+</v>
      </c>
      <c r="BB31" s="96" t="str">
        <f>IF(ISTEXT(VLOOKUP(CONCATENATE($A31,"_",BB$3),'Unit List'!$A$14:$H$2838,2,FALSE)),"X",$BA31)</f>
        <v>X</v>
      </c>
      <c r="BC31" s="96" t="str">
        <f>IF(ISTEXT(VLOOKUP(CONCATENATE($A31,"_",BC$3),'Unit List'!$A$14:$H$2838,2,FALSE)),"X",$BA31)</f>
        <v>X</v>
      </c>
      <c r="BD31" s="241" t="str">
        <f>IF(ISTEXT(VLOOKUP(CONCATENATE($A31,"_",BD$3),'Unit List'!$A$14:$H$2838,2,FALSE)),"X",$BA31)</f>
        <v>X</v>
      </c>
      <c r="BE31" s="91" t="str">
        <f>IF(ISTEXT(VLOOKUP(CONCATENATE($A31,"_",BE$3),'Unit List'!$A$14:$H$2838,2,FALSE)),"+","")</f>
        <v>+</v>
      </c>
      <c r="BF31" s="135" t="str">
        <f>IF(ISTEXT(VLOOKUP(CONCATENATE($A31,"_",BF$3),'Unit List'!$A$14:$H$2838,2,FALSE)),"X",$BE31)</f>
        <v>+</v>
      </c>
      <c r="BG31" s="92"/>
      <c r="BH31" s="93" t="s">
        <v>0</v>
      </c>
      <c r="BI31" s="261" t="s">
        <v>12</v>
      </c>
      <c r="BJ31" s="262"/>
      <c r="BK31" s="262"/>
      <c r="BL31" s="262"/>
      <c r="BM31" s="263"/>
      <c r="BN31" s="81"/>
      <c r="BO31" s="81"/>
      <c r="BP31" s="81"/>
      <c r="BQ31" s="81"/>
      <c r="BR31" s="81"/>
      <c r="BS31" s="81"/>
      <c r="DZ31" s="82"/>
      <c r="EA31" s="82"/>
    </row>
    <row r="32" spans="1:131" ht="12.75" customHeight="1" x14ac:dyDescent="0.2">
      <c r="A32" s="83" t="s">
        <v>27</v>
      </c>
      <c r="B32" s="59" t="str">
        <f>IF(ISTEXT(VLOOKUP(CONCATENATE($A32,"_",B$3),'Unit List'!$A$14:$H$2838,2,FALSE)),"+","")</f>
        <v/>
      </c>
      <c r="C32" s="84" t="str">
        <f>IF(ISTEXT(VLOOKUP(CONCATENATE($A32,"_",C$3),'Unit List'!$A$14:$H$2838,2,FALSE)),"X",$B32)</f>
        <v/>
      </c>
      <c r="D32" s="66" t="str">
        <f>IF(ISTEXT(VLOOKUP(CONCATENATE($A32,"_",D$3),'Unit List'!$A$14:$H$2838,2,FALSE)),"X",$B32)</f>
        <v/>
      </c>
      <c r="E32" s="66" t="str">
        <f>IF(ISTEXT(VLOOKUP(CONCATENATE($A32,"_",E$3),'Unit List'!$A$14:$H$2838,2,FALSE)),"X",$B32)</f>
        <v/>
      </c>
      <c r="F32" s="66" t="str">
        <f>IF(ISTEXT(VLOOKUP(CONCATENATE($A32,"_",F$3),'Unit List'!$A$14:$H$2838,2,FALSE)),"X",$B32)</f>
        <v/>
      </c>
      <c r="G32" s="96" t="str">
        <f>IF(ISTEXT(VLOOKUP(CONCATENATE($A32,"_",G$3),'Unit List'!$A$14:$H$2838,2,FALSE)),"X",$B32)</f>
        <v>X</v>
      </c>
      <c r="H32" s="96" t="str">
        <f>IF(ISTEXT(VLOOKUP(CONCATENATE($A32,"_",H$3),'Unit List'!$A$14:$H$2838,2,FALSE)),"X",$B32)</f>
        <v>X</v>
      </c>
      <c r="I32" s="100" t="str">
        <f>IF(ISTEXT(VLOOKUP(CONCATENATE($A32,"_",I$3),'Unit List'!$A$14:$H$2838,2,FALSE)),"X",$B32)</f>
        <v>X</v>
      </c>
      <c r="J32" s="64" t="str">
        <f>IF(ISTEXT(VLOOKUP(CONCATENATE($A32,"_",J$3),'Unit List'!$A$14:$H$2838,2,FALSE)),"+","")</f>
        <v/>
      </c>
      <c r="K32" s="66" t="str">
        <f>IF(ISTEXT(VLOOKUP(CONCATENATE($A32,"_",K$3),'Unit List'!$A$14:$H$2838,2,FALSE)),"X",$J32)</f>
        <v/>
      </c>
      <c r="L32" s="147" t="s">
        <v>0</v>
      </c>
      <c r="M32" s="64" t="str">
        <f>IF(ISTEXT(VLOOKUP(CONCATENATE($A32,"_",M$3),'Unit List'!$A$14:$H$2838,2,FALSE)),"+","")</f>
        <v/>
      </c>
      <c r="N32" s="128" t="s">
        <v>0</v>
      </c>
      <c r="O32" s="74" t="str">
        <f>IF(ISTEXT(VLOOKUP(CONCATENATE($A32,"_",O$3),'Unit List'!$A$14:$H$2838,2,FALSE)),"X",$M32)</f>
        <v/>
      </c>
      <c r="P32" s="68" t="str">
        <f>IF(ISTEXT(VLOOKUP(CONCATENATE($A32,"_",P$3),'Unit List'!$A$14:$H$2838,2,FALSE)),"+","")</f>
        <v/>
      </c>
      <c r="Q32" s="66" t="str">
        <f>IF(ISTEXT(VLOOKUP(CONCATENATE($A32,"_",Q$3),'Unit List'!$A$14:$H$2838,2,FALSE)),"X",$P32)</f>
        <v/>
      </c>
      <c r="R32" s="66" t="str">
        <f>IF(ISTEXT(VLOOKUP(CONCATENATE($A32,"_",R$3),'Unit List'!$A$14:$H$2838,2,FALSE)),"X",$P32)</f>
        <v/>
      </c>
      <c r="S32" s="66" t="str">
        <f>IF(ISTEXT(VLOOKUP(CONCATENATE($A32,"_",S$3),'Unit List'!$A$14:$H$2838,2,FALSE)),"X",$P32)</f>
        <v/>
      </c>
      <c r="T32" s="69" t="str">
        <f>IF(ISTEXT(VLOOKUP(CONCATENATE($A32,"_",T$3),'Unit List'!$A$14:$H$2838,2,FALSE)),"X",$P32)</f>
        <v/>
      </c>
      <c r="U32" s="66" t="str">
        <f>IF(ISTEXT(VLOOKUP(CONCATENATE($A32,"_",U$3),'Unit List'!$A$14:$H$2838,2,FALSE)),"X",$P32)</f>
        <v/>
      </c>
      <c r="V32" s="66" t="str">
        <f>IF(ISTEXT(VLOOKUP(CONCATENATE($A32,"_",V$3),'Unit List'!$A$14:$H$2838,2,FALSE)),"X",$P32)</f>
        <v/>
      </c>
      <c r="W32" s="71" t="str">
        <f>IF(ISTEXT(VLOOKUP(CONCATENATE($A32,"_",W$3),'Unit List'!$A$14:$H$2838,2,FALSE)),"X",$P32)</f>
        <v/>
      </c>
      <c r="X32" s="68" t="str">
        <f>IF(ISTEXT(VLOOKUP(CONCATENATE($A32,"_",X$3),'Unit List'!$A$14:$H$2838,2,FALSE)),"+","")</f>
        <v>+</v>
      </c>
      <c r="Y32" s="133" t="str">
        <f>IF(ISTEXT(VLOOKUP(CONCATENATE($A32,"_",Y$3),'Unit List'!$A$14:$H$2838,2,FALSE)),"X",$X32)</f>
        <v>+</v>
      </c>
      <c r="Z32" s="133" t="str">
        <f>IF(ISTEXT(VLOOKUP(CONCATENATE($A32,"_",Z$3),'Unit List'!$A$14:$H$2838,2,FALSE)),"X",$X32)</f>
        <v>+</v>
      </c>
      <c r="AA32" s="133" t="str">
        <f>IF(ISTEXT(VLOOKUP(CONCATENATE($A32,"_",AA$3),'Unit List'!$A$14:$H$2838,2,FALSE)),"X",$X32)</f>
        <v>+</v>
      </c>
      <c r="AB32" s="133" t="str">
        <f>IF(ISTEXT(VLOOKUP(CONCATENATE($A32,"_",AB$3),'Unit List'!$A$14:$H$2838,2,FALSE)),"X",$X32)</f>
        <v>+</v>
      </c>
      <c r="AC32" s="135" t="str">
        <f>IF(ISTEXT(VLOOKUP(CONCATENATE($A32,"_",AC$3),'Unit List'!$A$14:$H$2838,2,FALSE)),"X",$X32)</f>
        <v>+</v>
      </c>
      <c r="AD32" s="68" t="str">
        <f>IF(ISTEXT(VLOOKUP(CONCATENATE($A32,"_",AD$3),'Unit List'!$A$14:$H$2838,2,FALSE)),"+","")</f>
        <v/>
      </c>
      <c r="AE32" s="66" t="str">
        <f>IF(ISTEXT(VLOOKUP(CONCATENATE($A32,"_",AE$3),'Unit List'!$A$14:$H$2838,2,FALSE)),"X",$AD32)</f>
        <v/>
      </c>
      <c r="AF32" s="72" t="str">
        <f>IF(ISTEXT(VLOOKUP(CONCATENATE($A32,"_",AF$3),'Unit List'!$A$14:$H$2838,2,FALSE)),"X",$AD32)</f>
        <v/>
      </c>
      <c r="AG32" s="68" t="str">
        <f>IF(ISTEXT(VLOOKUP(CONCATENATE($A32,"_",AG$3),'Unit List'!$A$14:$H$2838,2,FALSE)),"+","")</f>
        <v/>
      </c>
      <c r="AH32" s="66" t="str">
        <f>IF(ISTEXT(VLOOKUP(CONCATENATE($A32,"_",AH$3),'Unit List'!$A$14:$H$2838,2,FALSE)),"X",$AG32)</f>
        <v/>
      </c>
      <c r="AI32" s="66" t="str">
        <f>IF(ISTEXT(VLOOKUP(CONCATENATE($A32,"_",AI$3),'Unit List'!$A$14:$H$2838,2,FALSE)),"X",$AG32)</f>
        <v/>
      </c>
      <c r="AJ32" s="74" t="str">
        <f>IF(ISTEXT(VLOOKUP(CONCATENATE($A32,"_",AJ$3),'Unit List'!$A$14:$H$2838,2,FALSE)),"X",$AG32)</f>
        <v/>
      </c>
      <c r="AK32" s="68" t="str">
        <f>IF(ISTEXT(VLOOKUP(CONCATENATE($A32,"_",AK$3),'Unit List'!$A$14:$H$2838,2,FALSE)),"+","")</f>
        <v>+</v>
      </c>
      <c r="AL32" s="150" t="str">
        <f>IF(ISTEXT(VLOOKUP(CONCATENATE($A32,"_",AL$3),'Unit List'!$A$14:$H$2838,2,FALSE)),"X",$AK32)</f>
        <v>+</v>
      </c>
      <c r="AM32" s="109" t="s">
        <v>0</v>
      </c>
      <c r="AN32" s="91" t="str">
        <f>IF(ISTEXT(VLOOKUP(CONCATENATE($A32,"_",AN$3),'Unit List'!$A$14:$H$2838,2,FALSE)),"+","")</f>
        <v/>
      </c>
      <c r="AO32" s="74" t="str">
        <f>IF(ISTEXT(VLOOKUP(CONCATENATE($A32,"_",AO$3),'Unit List'!$A$14:$H$2838,2,FALSE)),"X",$AN32)</f>
        <v/>
      </c>
      <c r="AP32" s="68" t="str">
        <f>IF(ISTEXT(VLOOKUP(CONCATENATE($A32,"_",AP$3),'Unit List'!$A$14:$H$2838,2,FALSE)),"+","")</f>
        <v/>
      </c>
      <c r="AQ32" s="66" t="str">
        <f>IF(ISTEXT(VLOOKUP(CONCATENATE($A32,"_",AQ$3),'Unit List'!$A$14:$H$2838,2,FALSE)),"X",$AP32)</f>
        <v/>
      </c>
      <c r="AR32" s="125" t="str">
        <f>IF(ISTEXT(VLOOKUP(CONCATENATE($A32,"_",AR$3),'Unit List'!$A$14:$H$2838,2,FALSE)),"X",$AP32)</f>
        <v>X</v>
      </c>
      <c r="AS32" s="66" t="str">
        <f>IF(ISTEXT(VLOOKUP(CONCATENATE($A32,"_",AS$3),'Unit List'!$A$14:$H$2838,2,FALSE)),"X",$AP32)</f>
        <v/>
      </c>
      <c r="AT32" s="74" t="str">
        <f>IF(ISTEXT(VLOOKUP(CONCATENATE($A32,"_",AT$3),'Unit List'!$A$14:$H$2838,2,FALSE)),"X",$AP32)</f>
        <v/>
      </c>
      <c r="AU32" s="77" t="str">
        <f>IF(ISTEXT(VLOOKUP(CONCATENATE($A32,"_",AU$3),'Unit List'!$A$14:$H$2838,2,FALSE)),"+","")</f>
        <v/>
      </c>
      <c r="AV32" s="66" t="str">
        <f>IF(ISTEXT(VLOOKUP(CONCATENATE($A32,"_",AV$3),'Unit List'!$A$14:$H$2838,2,FALSE)),"X",$AU32)</f>
        <v/>
      </c>
      <c r="AW32" s="74" t="str">
        <f>IF(ISTEXT(VLOOKUP(CONCATENATE($A32,"_",AW$3),'Unit List'!$A$14:$H$2838,2,FALSE)),"X",$AU32)</f>
        <v/>
      </c>
      <c r="AX32" s="68" t="str">
        <f>IF(ISTEXT(VLOOKUP(CONCATENATE($A32,"_",AX$3),'Unit List'!$A$14:$H$2838,2,FALSE)),"+","")</f>
        <v/>
      </c>
      <c r="AY32" s="66" t="str">
        <f>IF(ISTEXT(VLOOKUP(CONCATENATE($A32,"_",AY$3),'Unit List'!$A$14:$H$2838,2,FALSE)),"X",$AX32)</f>
        <v/>
      </c>
      <c r="AZ32" s="71" t="str">
        <f>IF(ISTEXT(VLOOKUP(CONCATENATE($A32,"_",AZ$3),'Unit List'!$A$14:$H$2838,2,FALSE)),"X",$AX32)</f>
        <v/>
      </c>
      <c r="BA32" s="78" t="str">
        <f>IF(ISTEXT(VLOOKUP(CONCATENATE($A32,"_",BA$3),'Unit List'!$A$14:$H$2838,2,FALSE)),"+","")</f>
        <v/>
      </c>
      <c r="BB32" s="66" t="str">
        <f>IF(ISTEXT(VLOOKUP(CONCATENATE($A32,"_",BB$3),'Unit List'!$A$14:$H$2838,2,FALSE)),"X",$BA32)</f>
        <v/>
      </c>
      <c r="BC32" s="66" t="str">
        <f>IF(ISTEXT(VLOOKUP(CONCATENATE($A32,"_",BC$3),'Unit List'!$A$14:$H$2838,2,FALSE)),"X",$BA32)</f>
        <v/>
      </c>
      <c r="BD32" s="74" t="str">
        <f>IF(ISTEXT(VLOOKUP(CONCATENATE($A32,"_",BD$3),'Unit List'!$A$14:$H$2838,2,FALSE)),"X",$BA32)</f>
        <v/>
      </c>
      <c r="BE32" s="91" t="str">
        <f>IF(ISTEXT(VLOOKUP(CONCATENATE($A32,"_",BE$3),'Unit List'!$A$14:$H$2838,2,FALSE)),"+","")</f>
        <v/>
      </c>
      <c r="BF32" s="89" t="str">
        <f>IF(ISTEXT(VLOOKUP(CONCATENATE($A32,"_",BF$3),'Unit List'!$A$14:$H$2838,2,FALSE)),"X",$BE32)</f>
        <v/>
      </c>
      <c r="BG32" s="92"/>
      <c r="BH32" s="93" t="s">
        <v>0</v>
      </c>
      <c r="BI32" s="261"/>
      <c r="BJ32" s="262"/>
      <c r="BK32" s="262"/>
      <c r="BL32" s="262"/>
      <c r="BM32" s="263"/>
      <c r="BN32" s="81"/>
      <c r="BO32" s="81"/>
      <c r="BP32" s="81"/>
      <c r="BQ32" s="81"/>
      <c r="BR32" s="81"/>
      <c r="BS32" s="81"/>
      <c r="DZ32" s="82"/>
      <c r="EA32" s="82"/>
    </row>
    <row r="33" spans="1:131" ht="12.75" customHeight="1" x14ac:dyDescent="0.2">
      <c r="A33" s="83" t="s">
        <v>26</v>
      </c>
      <c r="B33" s="59" t="str">
        <f>IF(ISTEXT(VLOOKUP(CONCATENATE($A33,"_",B$3),'Unit List'!$A$14:$H$2838,2,FALSE)),"+","")</f>
        <v/>
      </c>
      <c r="C33" s="119" t="str">
        <f>IF(ISTEXT(VLOOKUP(CONCATENATE($A33,"_",C$3),'Unit List'!$A$14:$H$2838,2,FALSE)),"X",$B33)</f>
        <v>X</v>
      </c>
      <c r="D33" s="96" t="str">
        <f>IF(ISTEXT(VLOOKUP(CONCATENATE($A33,"_",D$3),'Unit List'!$A$14:$H$2838,2,FALSE)),"X",$B33)</f>
        <v>X</v>
      </c>
      <c r="E33" s="66" t="str">
        <f>IF(ISTEXT(VLOOKUP(CONCATENATE($A33,"_",E$3),'Unit List'!$A$14:$H$2838,2,FALSE)),"X",$B33)</f>
        <v>X</v>
      </c>
      <c r="F33" s="96" t="str">
        <f>IF(ISTEXT(VLOOKUP(CONCATENATE($A33,"_",F$3),'Unit List'!$A$14:$H$2838,2,FALSE)),"X",$B33)</f>
        <v>X</v>
      </c>
      <c r="G33" s="96" t="str">
        <f>IF(ISTEXT(VLOOKUP(CONCATENATE($A33,"_",G$3),'Unit List'!$A$14:$H$2838,2,FALSE)),"X",$B33)</f>
        <v>X</v>
      </c>
      <c r="H33" s="96" t="str">
        <f>IF(ISTEXT(VLOOKUP(CONCATENATE($A33,"_",H$3),'Unit List'!$A$14:$H$2838,2,FALSE)),"X",$B33)</f>
        <v>X</v>
      </c>
      <c r="I33" s="74" t="str">
        <f>IF(ISTEXT(VLOOKUP(CONCATENATE($A33,"_",I$3),'Unit List'!$A$14:$H$2838,2,FALSE)),"X",$B33)</f>
        <v/>
      </c>
      <c r="J33" s="64" t="str">
        <f>IF(ISTEXT(VLOOKUP(CONCATENATE($A33,"_",J$3),'Unit List'!$A$14:$H$2838,2,FALSE)),"+","")</f>
        <v>+</v>
      </c>
      <c r="K33" s="103" t="s">
        <v>0</v>
      </c>
      <c r="L33" s="123" t="str">
        <f>IF(ISTEXT(VLOOKUP(CONCATENATE($A33,"_",L$3),'Unit List'!$A$14:$H$2838,2,FALSE)),"X",$J33)</f>
        <v>+</v>
      </c>
      <c r="M33" s="64" t="str">
        <f>IF(ISTEXT(VLOOKUP(CONCATENATE($A33,"_",M$3),'Unit List'!$A$14:$H$2838,2,FALSE)),"+","")</f>
        <v/>
      </c>
      <c r="N33" s="66" t="str">
        <f>IF(ISTEXT(VLOOKUP(CONCATENATE($A33,"_",N$3),'Unit List'!$A$14:$H$2838,2,FALSE)),"X",$M33)</f>
        <v>X</v>
      </c>
      <c r="O33" s="100" t="str">
        <f>IF(ISTEXT(VLOOKUP(CONCATENATE($A33,"_",O$3),'Unit List'!$A$14:$H$2838,2,FALSE)),"X",$M33)</f>
        <v>X</v>
      </c>
      <c r="P33" s="101" t="str">
        <f>IF(ISTEXT(VLOOKUP(CONCATENATE($A33,"_",P$3),'Unit List'!$A$14:$H$2838,2,FALSE)),"+","")</f>
        <v>+</v>
      </c>
      <c r="Q33" s="133" t="str">
        <f>IF(ISTEXT(VLOOKUP(CONCATENATE($A33,"_",Q$3),'Unit List'!$A$14:$H$2838,2,FALSE)),"X",$P33)</f>
        <v>+</v>
      </c>
      <c r="R33" s="96" t="str">
        <f>IF(ISTEXT(VLOOKUP(CONCATENATE($A33,"_",R$3),'Unit List'!$A$14:$H$2838,2,FALSE)),"X",$P33)</f>
        <v>X</v>
      </c>
      <c r="S33" s="96" t="str">
        <f>IF(ISTEXT(VLOOKUP(CONCATENATE($A33,"_",S$3),'Unit List'!$A$14:$H$2838,2,FALSE)),"X",$P33)</f>
        <v>X</v>
      </c>
      <c r="T33" s="142" t="str">
        <f>IF(ISTEXT(VLOOKUP(CONCATENATE($A33,"_",T$3),'Unit List'!$A$14:$H$2838,2,FALSE)),"X",$P33)</f>
        <v>X</v>
      </c>
      <c r="U33" s="96" t="str">
        <f>IF(ISTEXT(VLOOKUP(CONCATENATE($A33,"_",U$3),'Unit List'!$A$14:$H$2838,2,FALSE)),"X",$P33)</f>
        <v>X</v>
      </c>
      <c r="V33" s="96" t="str">
        <f>IF(ISTEXT(VLOOKUP(CONCATENATE($A33,"_",V$3),'Unit List'!$A$14:$H$2838,2,FALSE)),"X",$P33)</f>
        <v>X</v>
      </c>
      <c r="W33" s="71" t="str">
        <f>IF(ISTEXT(VLOOKUP(CONCATENATE($A33,"_",W$3),'Unit List'!$A$14:$H$2838,2,FALSE)),"X",$P33)</f>
        <v>+</v>
      </c>
      <c r="X33" s="101" t="str">
        <f>IF(ISTEXT(VLOOKUP(CONCATENATE($A33,"_",X$3),'Unit List'!$A$14:$H$2838,2,FALSE)),"+","")</f>
        <v>+</v>
      </c>
      <c r="Y33" s="95" t="str">
        <f>IF(ISTEXT(VLOOKUP(CONCATENATE($A33,"_",Y$3),'Unit List'!$A$14:$H$2838,2,FALSE)),"X",$X33)</f>
        <v>X</v>
      </c>
      <c r="Z33" s="133" t="str">
        <f>IF(ISTEXT(VLOOKUP(CONCATENATE($A33,"_",Z$3),'Unit List'!$A$14:$H$2838,2,FALSE)),"X",$X33)</f>
        <v>+</v>
      </c>
      <c r="AA33" s="96" t="str">
        <f>IF(ISTEXT(VLOOKUP(CONCATENATE($A33,"_",AA$3),'Unit List'!$A$14:$H$2838,2,FALSE)),"X",$X33)</f>
        <v>X</v>
      </c>
      <c r="AB33" s="96" t="str">
        <f>IF(ISTEXT(VLOOKUP(CONCATENATE($A33,"_",AB$3),'Unit List'!$A$14:$H$2838,2,FALSE)),"X",$X33)</f>
        <v>X</v>
      </c>
      <c r="AC33" s="123" t="str">
        <f>IF(ISTEXT(VLOOKUP(CONCATENATE($A33,"_",AC$3),'Unit List'!$A$14:$H$2838,2,FALSE)),"X",$X33)</f>
        <v>X</v>
      </c>
      <c r="AD33" s="101" t="str">
        <f>IF(ISTEXT(VLOOKUP(CONCATENATE($A33,"_",AD$3),'Unit List'!$A$14:$H$2838,2,FALSE)),"+","")</f>
        <v>+</v>
      </c>
      <c r="AE33" s="66" t="str">
        <f>IF(ISTEXT(VLOOKUP(CONCATENATE($A33,"_",AE$3),'Unit List'!$A$14:$H$2838,2,FALSE)),"X",$AD33)</f>
        <v>+</v>
      </c>
      <c r="AF33" s="72" t="str">
        <f>IF(ISTEXT(VLOOKUP(CONCATENATE($A33,"_",AF$3),'Unit List'!$A$14:$H$2838,2,FALSE)),"X",$AD33)</f>
        <v>X</v>
      </c>
      <c r="AG33" s="101" t="str">
        <f>IF(ISTEXT(VLOOKUP(CONCATENATE($A33,"_",AG$3),'Unit List'!$A$14:$H$2838,2,FALSE)),"+","")</f>
        <v>+</v>
      </c>
      <c r="AH33" s="96" t="str">
        <f>IF(ISTEXT(VLOOKUP(CONCATENATE($A33,"_",AH$3),'Unit List'!$A$14:$H$2838,2,FALSE)),"X",$AG33)</f>
        <v>X</v>
      </c>
      <c r="AI33" s="95" t="str">
        <f>IF(ISTEXT(VLOOKUP(CONCATENATE($A33,"_",AI$3),'Unit List'!$A$14:$H$2838,2,FALSE)),"X",$AG33)</f>
        <v>X</v>
      </c>
      <c r="AJ33" s="134" t="str">
        <f>IF(ISTEXT(VLOOKUP(CONCATENATE($A33,"_",AJ$3),'Unit List'!$A$14:$H$2838,2,FALSE)),"X",$AG33)</f>
        <v>+</v>
      </c>
      <c r="AK33" s="97" t="str">
        <f>IF(ISTEXT(VLOOKUP(CONCATENATE($A33,"_",AK$3),'Unit List'!$A$14:$H$2838,2,FALSE)),"+","")</f>
        <v>+</v>
      </c>
      <c r="AL33" s="69" t="str">
        <f>IF(ISTEXT(VLOOKUP(CONCATENATE($A33,"_",AL$3),'Unit List'!$A$14:$H$2838,2,FALSE)),"X",$AK33)</f>
        <v>X</v>
      </c>
      <c r="AM33" s="100" t="str">
        <f>IF(ISTEXT(VLOOKUP(CONCATENATE($A33,"_",AM$3),'Unit List'!$A$14:$H$2838,2,FALSE)),"X",$AK33)</f>
        <v>X</v>
      </c>
      <c r="AN33" s="91" t="str">
        <f>IF(ISTEXT(VLOOKUP(CONCATENATE($A33,"_",AN$3),'Unit List'!$A$14:$H$2838,2,FALSE)),"+","")</f>
        <v>+</v>
      </c>
      <c r="AO33" s="241" t="str">
        <f>IF(ISTEXT(VLOOKUP(CONCATENATE($A33,"_",AO$3),'Unit List'!$A$14:$H$2838,2,FALSE)),"X",$AN33)</f>
        <v>+</v>
      </c>
      <c r="AP33" s="101" t="str">
        <f>IF(ISTEXT(VLOOKUP(CONCATENATE($A33,"_",AP$3),'Unit List'!$A$14:$H$2838,2,FALSE)),"+","")</f>
        <v>+</v>
      </c>
      <c r="AQ33" s="96" t="str">
        <f>IF(ISTEXT(VLOOKUP(CONCATENATE($A33,"_",AQ$3),'Unit List'!$A$14:$H$2838,2,FALSE)),"X",$AP33)</f>
        <v>X</v>
      </c>
      <c r="AR33" s="127" t="s">
        <v>3</v>
      </c>
      <c r="AS33" s="96" t="str">
        <f>IF(ISTEXT(VLOOKUP(CONCATENATE($A33,"_",AS$3),'Unit List'!$A$14:$H$2838,2,FALSE)),"X",$AP33)</f>
        <v>X</v>
      </c>
      <c r="AT33" s="100" t="str">
        <f>IF(ISTEXT(VLOOKUP(CONCATENATE($A33,"_",AT$3),'Unit List'!$A$14:$H$2838,2,FALSE)),"X",$AP33)</f>
        <v>X</v>
      </c>
      <c r="AU33" s="77" t="str">
        <f>IF(ISTEXT(VLOOKUP(CONCATENATE($A33,"_",AU$3),'Unit List'!$A$14:$H$2838,2,FALSE)),"+","")</f>
        <v>+</v>
      </c>
      <c r="AV33" s="133" t="str">
        <f>IF(ISTEXT(VLOOKUP(CONCATENATE($A33,"_",AV$3),'Unit List'!$A$14:$H$2838,2,FALSE)),"X",$AU33)</f>
        <v>+</v>
      </c>
      <c r="AW33" s="134" t="str">
        <f>IF(ISTEXT(VLOOKUP(CONCATENATE($A33,"_",AW$3),'Unit List'!$A$14:$H$2838,2,FALSE)),"X",$AU33)</f>
        <v>+</v>
      </c>
      <c r="AX33" s="101" t="str">
        <f>IF(ISTEXT(VLOOKUP(CONCATENATE($A33,"_",AX$3),'Unit List'!$A$14:$H$2838,2,FALSE)),"+","")</f>
        <v>+</v>
      </c>
      <c r="AY33" s="96" t="str">
        <f>IF(ISTEXT(VLOOKUP(CONCATENATE($A33,"_",AY$3),'Unit List'!$A$14:$H$2838,2,FALSE)),"X",$AX33)</f>
        <v>X</v>
      </c>
      <c r="AZ33" s="241" t="str">
        <f>IF(ISTEXT(VLOOKUP(CONCATENATE($A33,"_",AZ$3),'Unit List'!$A$14:$H$2838,2,FALSE)),"X",$AX33)</f>
        <v>+</v>
      </c>
      <c r="BA33" s="101" t="str">
        <f>IF(ISTEXT(VLOOKUP(CONCATENATE($A33,"_",BA$3),'Unit List'!$A$14:$H$2838,2,FALSE)),"+","")</f>
        <v>+</v>
      </c>
      <c r="BB33" s="96" t="str">
        <f>IF(ISTEXT(VLOOKUP(CONCATENATE($A33,"_",BB$3),'Unit List'!$A$14:$H$2838,2,FALSE)),"X",$BA33)</f>
        <v>X</v>
      </c>
      <c r="BC33" s="96" t="str">
        <f>IF(ISTEXT(VLOOKUP(CONCATENATE($A33,"_",BC$3),'Unit List'!$A$14:$H$2838,2,FALSE)),"X",$BA33)</f>
        <v>X</v>
      </c>
      <c r="BD33" s="241" t="str">
        <f>IF(ISTEXT(VLOOKUP(CONCATENATE($A33,"_",BD$3),'Unit List'!$A$14:$H$2838,2,FALSE)),"X",$BA33)</f>
        <v>X</v>
      </c>
      <c r="BE33" s="91" t="str">
        <f>IF(ISTEXT(VLOOKUP(CONCATENATE($A33,"_",BE$3),'Unit List'!$A$14:$H$2838,2,FALSE)),"+","")</f>
        <v>+</v>
      </c>
      <c r="BF33" s="148" t="str">
        <f>IF(ISTEXT(VLOOKUP(CONCATENATE($A33,"_",BF$3),'Unit List'!$A$14:$H$2838,2,FALSE)),"X",$BE33)</f>
        <v>+</v>
      </c>
      <c r="BG33" s="111"/>
      <c r="BH33" s="121"/>
      <c r="BI33" s="261" t="s">
        <v>1919</v>
      </c>
      <c r="BJ33" s="262"/>
      <c r="BK33" s="262"/>
      <c r="BL33" s="262"/>
      <c r="BM33" s="263"/>
      <c r="BN33" s="81"/>
      <c r="BO33" s="81"/>
      <c r="BP33" s="81"/>
      <c r="BQ33" s="81"/>
      <c r="BR33" s="81"/>
      <c r="BS33" s="81"/>
      <c r="DZ33" s="82"/>
      <c r="EA33" s="82"/>
    </row>
    <row r="34" spans="1:131" ht="12.75" customHeight="1" x14ac:dyDescent="0.2">
      <c r="A34" s="83" t="s">
        <v>1277</v>
      </c>
      <c r="B34" s="59" t="str">
        <f>IF(ISTEXT(VLOOKUP(CONCATENATE($A34,"_",B$3),'Unit List'!$A$14:$H$2838,2,FALSE)),"+","")</f>
        <v/>
      </c>
      <c r="C34" s="84" t="str">
        <f>IF(ISTEXT(VLOOKUP(CONCATENATE($A34,"_",C$3),'Unit List'!$A$14:$H$2838,2,FALSE)),"X",$B34)</f>
        <v/>
      </c>
      <c r="D34" s="66" t="str">
        <f>IF(ISTEXT(VLOOKUP(CONCATENATE($A34,"_",D$3),'Unit List'!$A$14:$H$2838,2,FALSE)),"X",$B34)</f>
        <v/>
      </c>
      <c r="E34" s="66" t="str">
        <f>IF(ISTEXT(VLOOKUP(CONCATENATE($A34,"_",E$3),'Unit List'!$A$14:$H$2838,2,FALSE)),"X",$B34)</f>
        <v/>
      </c>
      <c r="F34" s="66" t="str">
        <f>IF(ISTEXT(VLOOKUP(CONCATENATE($A34,"_",F$3),'Unit List'!$A$14:$H$2838,2,FALSE)),"X",$B34)</f>
        <v/>
      </c>
      <c r="G34" s="66" t="str">
        <f>IF(ISTEXT(VLOOKUP(CONCATENATE($A34,"_",G$3),'Unit List'!$A$14:$H$2838,2,FALSE)),"X",$B34)</f>
        <v/>
      </c>
      <c r="H34" s="66" t="str">
        <f>IF(ISTEXT(VLOOKUP(CONCATENATE($A34,"_",H$3),'Unit List'!$A$14:$H$2838,2,FALSE)),"X",$B34)</f>
        <v/>
      </c>
      <c r="I34" s="74" t="str">
        <f>IF(ISTEXT(VLOOKUP(CONCATENATE($A34,"_",I$3),'Unit List'!$A$14:$H$2838,2,FALSE)),"X",$B34)</f>
        <v/>
      </c>
      <c r="J34" s="64" t="str">
        <f>IF(ISTEXT(VLOOKUP(CONCATENATE($A34,"_",J$3),'Unit List'!$A$14:$H$2838,2,FALSE)),"+","")</f>
        <v/>
      </c>
      <c r="K34" s="66" t="str">
        <f>IF(ISTEXT(VLOOKUP(CONCATENATE($A34,"_",K$3),'Unit List'!$A$14:$H$2838,2,FALSE)),"X",$J34)</f>
        <v/>
      </c>
      <c r="L34" s="89" t="str">
        <f>IF(ISTEXT(VLOOKUP(CONCATENATE($A34,"_",L$3),'Unit List'!$A$14:$H$2838,2,FALSE)),"X",$J34)</f>
        <v/>
      </c>
      <c r="M34" s="64" t="str">
        <f>IF(ISTEXT(VLOOKUP(CONCATENATE($A34,"_",M$3),'Unit List'!$A$14:$H$2838,2,FALSE)),"+","")</f>
        <v/>
      </c>
      <c r="N34" s="66" t="str">
        <f>IF(ISTEXT(VLOOKUP(CONCATENATE($A34,"_",N$3),'Unit List'!$A$14:$H$2838,2,FALSE)),"X",$M34)</f>
        <v/>
      </c>
      <c r="O34" s="74" t="str">
        <f>IF(ISTEXT(VLOOKUP(CONCATENATE($A34,"_",O$3),'Unit List'!$A$14:$H$2838,2,FALSE)),"X",$M34)</f>
        <v/>
      </c>
      <c r="P34" s="68" t="str">
        <f>IF(ISTEXT(VLOOKUP(CONCATENATE($A34,"_",P$3),'Unit List'!$A$14:$H$2838,2,FALSE)),"+","")</f>
        <v/>
      </c>
      <c r="Q34" s="66" t="str">
        <f>IF(ISTEXT(VLOOKUP(CONCATENATE($A34,"_",Q$3),'Unit List'!$A$14:$H$2838,2,FALSE)),"X",$P34)</f>
        <v/>
      </c>
      <c r="R34" s="66" t="str">
        <f>IF(ISTEXT(VLOOKUP(CONCATENATE($A34,"_",R$3),'Unit List'!$A$14:$H$2838,2,FALSE)),"X",$P34)</f>
        <v/>
      </c>
      <c r="S34" s="66" t="str">
        <f>IF(ISTEXT(VLOOKUP(CONCATENATE($A34,"_",S$3),'Unit List'!$A$14:$H$2838,2,FALSE)),"X",$P34)</f>
        <v/>
      </c>
      <c r="T34" s="69" t="str">
        <f>IF(ISTEXT(VLOOKUP(CONCATENATE($A34,"_",T$3),'Unit List'!$A$14:$H$2838,2,FALSE)),"X",$P34)</f>
        <v/>
      </c>
      <c r="U34" s="66" t="str">
        <f>IF(ISTEXT(VLOOKUP(CONCATENATE($A34,"_",U$3),'Unit List'!$A$14:$H$2838,2,FALSE)),"X",$P34)</f>
        <v/>
      </c>
      <c r="V34" s="66" t="str">
        <f>IF(ISTEXT(VLOOKUP(CONCATENATE($A34,"_",V$3),'Unit List'!$A$14:$H$2838,2,FALSE)),"X",$P34)</f>
        <v/>
      </c>
      <c r="W34" s="71" t="str">
        <f>IF(ISTEXT(VLOOKUP(CONCATENATE($A34,"_",W$3),'Unit List'!$A$14:$H$2838,2,FALSE)),"X",$P34)</f>
        <v/>
      </c>
      <c r="X34" s="68" t="str">
        <f>IF(ISTEXT(VLOOKUP(CONCATENATE($A34,"_",X$3),'Unit List'!$A$14:$H$2838,2,FALSE)),"+","")</f>
        <v/>
      </c>
      <c r="Y34" s="66" t="str">
        <f>IF(ISTEXT(VLOOKUP(CONCATENATE($A34,"_",Y$3),'Unit List'!$A$14:$H$2838,2,FALSE)),"X",$X34)</f>
        <v/>
      </c>
      <c r="Z34" s="66" t="str">
        <f>IF(ISTEXT(VLOOKUP(CONCATENATE($A34,"_",Z$3),'Unit List'!$A$14:$H$2838,2,FALSE)),"X",$X34)</f>
        <v/>
      </c>
      <c r="AA34" s="66" t="str">
        <f>IF(ISTEXT(VLOOKUP(CONCATENATE($A34,"_",AA$3),'Unit List'!$A$14:$H$2838,2,FALSE)),"X",$X34)</f>
        <v/>
      </c>
      <c r="AB34" s="66" t="str">
        <f>IF(ISTEXT(VLOOKUP(CONCATENATE($A34,"_",AB$3),'Unit List'!$A$14:$H$2838,2,FALSE)),"X",$X34)</f>
        <v/>
      </c>
      <c r="AC34" s="89" t="str">
        <f>IF(ISTEXT(VLOOKUP(CONCATENATE($A34,"_",AC$3),'Unit List'!$A$14:$H$2838,2,FALSE)),"X",$X34)</f>
        <v/>
      </c>
      <c r="AD34" s="68" t="str">
        <f>IF(ISTEXT(VLOOKUP(CONCATENATE($A34,"_",AD$3),'Unit List'!$A$14:$H$2838,2,FALSE)),"+","")</f>
        <v/>
      </c>
      <c r="AE34" s="66" t="str">
        <f>IF(ISTEXT(VLOOKUP(CONCATENATE($A34,"_",AE$3),'Unit List'!$A$14:$H$2838,2,FALSE)),"X",$AD34)</f>
        <v/>
      </c>
      <c r="AF34" s="72" t="str">
        <f>IF(ISTEXT(VLOOKUP(CONCATENATE($A34,"_",AF$3),'Unit List'!$A$14:$H$2838,2,FALSE)),"X",$AD34)</f>
        <v/>
      </c>
      <c r="AG34" s="68" t="str">
        <f>IF(ISTEXT(VLOOKUP(CONCATENATE($A34,"_",AG$3),'Unit List'!$A$14:$H$2838,2,FALSE)),"+","")</f>
        <v/>
      </c>
      <c r="AH34" s="66" t="str">
        <f>IF(ISTEXT(VLOOKUP(CONCATENATE($A34,"_",AH$3),'Unit List'!$A$14:$H$2838,2,FALSE)),"X",$AG34)</f>
        <v/>
      </c>
      <c r="AI34" s="66" t="str">
        <f>IF(ISTEXT(VLOOKUP(CONCATENATE($A34,"_",AI$3),'Unit List'!$A$14:$H$2838,2,FALSE)),"X",$AG34)</f>
        <v/>
      </c>
      <c r="AJ34" s="74" t="str">
        <f>IF(ISTEXT(VLOOKUP(CONCATENATE($A34,"_",AJ$3),'Unit List'!$A$14:$H$2838,2,FALSE)),"X",$AG34)</f>
        <v/>
      </c>
      <c r="AK34" s="64" t="str">
        <f>IF(ISTEXT(VLOOKUP(CONCATENATE($A34,"_",AK$3),'Unit List'!$A$14:$H$2838,2,FALSE)),"+","")</f>
        <v/>
      </c>
      <c r="AL34" s="69" t="str">
        <f>IF(ISTEXT(VLOOKUP(CONCATENATE($A34,"_",AL$3),'Unit List'!$A$14:$H$2838,2,FALSE)),"X",$AK34)</f>
        <v/>
      </c>
      <c r="AM34" s="74" t="str">
        <f>IF(ISTEXT(VLOOKUP(CONCATENATE($A34,"_",AM$3),'Unit List'!$A$14:$H$2838,2,FALSE)),"X",$AK34)</f>
        <v/>
      </c>
      <c r="AN34" s="91" t="str">
        <f>IF(ISTEXT(VLOOKUP(CONCATENATE($A34,"_",AN$3),'Unit List'!$A$14:$H$2838,2,FALSE)),"+","")</f>
        <v/>
      </c>
      <c r="AO34" s="74" t="str">
        <f>IF(ISTEXT(VLOOKUP(CONCATENATE($A34,"_",AO$3),'Unit List'!$A$14:$H$2838,2,FALSE)),"X",$AN34)</f>
        <v/>
      </c>
      <c r="AP34" s="68" t="str">
        <f>IF(ISTEXT(VLOOKUP(CONCATENATE($A34,"_",AP$3),'Unit List'!$A$14:$H$2838,2,FALSE)),"+","")</f>
        <v/>
      </c>
      <c r="AQ34" s="66" t="str">
        <f>IF(ISTEXT(VLOOKUP(CONCATENATE($A34,"_",AQ$3),'Unit List'!$A$14:$H$2838,2,FALSE)),"X",$AP34)</f>
        <v/>
      </c>
      <c r="AR34" s="66" t="str">
        <f>IF(ISTEXT(VLOOKUP(CONCATENATE($A34,"_",AR$3),'Unit List'!$A$14:$H$2838,2,FALSE)),"X",$AP34)</f>
        <v/>
      </c>
      <c r="AS34" s="66" t="str">
        <f>IF(ISTEXT(VLOOKUP(CONCATENATE($A34,"_",AS$3),'Unit List'!$A$14:$H$2838,2,FALSE)),"X",$AP34)</f>
        <v/>
      </c>
      <c r="AT34" s="74" t="str">
        <f>IF(ISTEXT(VLOOKUP(CONCATENATE($A34,"_",AT$3),'Unit List'!$A$14:$H$2838,2,FALSE)),"X",$AP34)</f>
        <v/>
      </c>
      <c r="AU34" s="77" t="str">
        <f>IF(ISTEXT(VLOOKUP(CONCATENATE($A34,"_",AU$3),'Unit List'!$A$14:$H$2838,2,FALSE)),"+","")</f>
        <v/>
      </c>
      <c r="AV34" s="66" t="str">
        <f>IF(ISTEXT(VLOOKUP(CONCATENATE($A34,"_",AV$3),'Unit List'!$A$14:$H$2838,2,FALSE)),"X",$AU34)</f>
        <v/>
      </c>
      <c r="AW34" s="74" t="str">
        <f>IF(ISTEXT(VLOOKUP(CONCATENATE($A34,"_",AW$3),'Unit List'!$A$14:$H$2838,2,FALSE)),"X",$AU34)</f>
        <v/>
      </c>
      <c r="AX34" s="68" t="str">
        <f>IF(ISTEXT(VLOOKUP(CONCATENATE($A34,"_",AX$3),'Unit List'!$A$14:$H$2838,2,FALSE)),"+","")</f>
        <v/>
      </c>
      <c r="AY34" s="66" t="str">
        <f>IF(ISTEXT(VLOOKUP(CONCATENATE($A34,"_",AY$3),'Unit List'!$A$14:$H$2838,2,FALSE)),"X",$AX34)</f>
        <v/>
      </c>
      <c r="AZ34" s="71" t="str">
        <f>IF(ISTEXT(VLOOKUP(CONCATENATE($A34,"_",AZ$3),'Unit List'!$A$14:$H$2838,2,FALSE)),"X",$AX34)</f>
        <v/>
      </c>
      <c r="BA34" s="78" t="str">
        <f>IF(ISTEXT(VLOOKUP(CONCATENATE($A34,"_",BA$3),'Unit List'!$A$14:$H$2838,2,FALSE)),"+","")</f>
        <v/>
      </c>
      <c r="BB34" s="66" t="str">
        <f>IF(ISTEXT(VLOOKUP(CONCATENATE($A34,"_",BB$3),'Unit List'!$A$14:$H$2838,2,FALSE)),"X",$BA34)</f>
        <v/>
      </c>
      <c r="BC34" s="66" t="str">
        <f>IF(ISTEXT(VLOOKUP(CONCATENATE($A34,"_",BC$3),'Unit List'!$A$14:$H$2838,2,FALSE)),"X",$BA34)</f>
        <v/>
      </c>
      <c r="BD34" s="74" t="str">
        <f>IF(ISTEXT(VLOOKUP(CONCATENATE($A34,"_",BD$3),'Unit List'!$A$14:$H$2838,2,FALSE)),"X",$BA34)</f>
        <v/>
      </c>
      <c r="BE34" s="91" t="str">
        <f>IF(ISTEXT(VLOOKUP(CONCATENATE($A34,"_",BE$3),'Unit List'!$A$14:$H$2838,2,FALSE)),"+","")</f>
        <v/>
      </c>
      <c r="BF34" s="89" t="str">
        <f>IF(ISTEXT(VLOOKUP(CONCATENATE($A34,"_",BF$3),'Unit List'!$A$14:$H$2838,2,FALSE)),"X",$BE34)</f>
        <v/>
      </c>
      <c r="BG34" s="111"/>
      <c r="BH34" s="121"/>
      <c r="BI34" s="264"/>
      <c r="BJ34" s="265"/>
      <c r="BK34" s="265"/>
      <c r="BL34" s="265"/>
      <c r="BM34" s="266"/>
      <c r="BN34" s="81"/>
      <c r="BO34" s="81"/>
      <c r="BP34" s="81"/>
      <c r="BQ34" s="81"/>
      <c r="BR34" s="81"/>
      <c r="BS34" s="81"/>
      <c r="DZ34" s="82"/>
      <c r="EA34" s="82"/>
    </row>
    <row r="35" spans="1:131" ht="12.75" customHeight="1" x14ac:dyDescent="0.2">
      <c r="A35" s="83" t="s">
        <v>11</v>
      </c>
      <c r="B35" s="59" t="str">
        <f>IF(ISTEXT(VLOOKUP(CONCATENATE($A35,"_",B$3),'Unit List'!$A$14:$H$2838,2,FALSE)),"+","")</f>
        <v/>
      </c>
      <c r="C35" s="84" t="str">
        <f>IF(ISTEXT(VLOOKUP(CONCATENATE($A35,"_",C$3),'Unit List'!$A$14:$H$2838,2,FALSE)),"X",$B35)</f>
        <v/>
      </c>
      <c r="D35" s="66" t="str">
        <f>IF(ISTEXT(VLOOKUP(CONCATENATE($A35,"_",D$3),'Unit List'!$A$14:$H$2838,2,FALSE)),"X",$B35)</f>
        <v/>
      </c>
      <c r="E35" s="133" t="str">
        <f>IF(ISTEXT(VLOOKUP(CONCATENATE($A35,"_",E$3),'Unit List'!$A$14:$H$2838,2,FALSE)),"X",$B35)</f>
        <v>X</v>
      </c>
      <c r="F35" s="72" t="str">
        <f>IF(ISTEXT(VLOOKUP(CONCATENATE($A35,"_",F$3),'Unit List'!$A$14:$H$2838,2,FALSE)),"X",$B35)</f>
        <v>X</v>
      </c>
      <c r="G35" s="66" t="str">
        <f>IF(ISTEXT(VLOOKUP(CONCATENATE($A35,"_",G$3),'Unit List'!$A$14:$H$2838,2,FALSE)),"X",$B35)</f>
        <v/>
      </c>
      <c r="H35" s="125" t="str">
        <f>IF(ISTEXT(VLOOKUP(CONCATENATE($A35,"_",H$3),'Unit List'!$A$14:$H$2838,2,FALSE)),"X",$B35)</f>
        <v/>
      </c>
      <c r="I35" s="74" t="str">
        <f>IF(ISTEXT(VLOOKUP(CONCATENATE($A35,"_",I$3),'Unit List'!$A$14:$H$2838,2,FALSE)),"X",$B35)</f>
        <v/>
      </c>
      <c r="J35" s="64" t="str">
        <f>IF(ISTEXT(VLOOKUP(CONCATENATE($A35,"_",J$3),'Unit List'!$A$14:$H$2838,2,FALSE)),"+","")</f>
        <v>+</v>
      </c>
      <c r="K35" s="66" t="str">
        <f>IF(ISTEXT(VLOOKUP(CONCATENATE($A35,"_",K$3),'Unit List'!$A$14:$H$2838,2,FALSE)),"X",$J35)</f>
        <v>+</v>
      </c>
      <c r="L35" s="89" t="str">
        <f>IF(ISTEXT(VLOOKUP(CONCATENATE($A35,"_",L$3),'Unit List'!$A$14:$H$2838,2,FALSE)),"X",$J35)</f>
        <v>+</v>
      </c>
      <c r="M35" s="64" t="str">
        <f>IF(ISTEXT(VLOOKUP(CONCATENATE($A35,"_",M$3),'Unit List'!$A$14:$H$2838,2,FALSE)),"+","")</f>
        <v>+</v>
      </c>
      <c r="N35" s="66" t="str">
        <f>IF(ISTEXT(VLOOKUP(CONCATENATE($A35,"_",N$3),'Unit List'!$A$14:$H$2838,2,FALSE)),"X",$M35)</f>
        <v>+</v>
      </c>
      <c r="O35" s="74" t="str">
        <f>IF(ISTEXT(VLOOKUP(CONCATENATE($A35,"_",O$3),'Unit List'!$A$14:$H$2838,2,FALSE)),"X",$M35)</f>
        <v>X</v>
      </c>
      <c r="P35" s="68" t="str">
        <f>IF(ISTEXT(VLOOKUP(CONCATENATE($A35,"_",P$3),'Unit List'!$A$14:$H$2838,2,FALSE)),"+","")</f>
        <v/>
      </c>
      <c r="Q35" s="66" t="str">
        <f>IF(ISTEXT(VLOOKUP(CONCATENATE($A35,"_",Q$3),'Unit List'!$A$14:$H$2838,2,FALSE)),"X",$P35)</f>
        <v/>
      </c>
      <c r="R35" s="66" t="str">
        <f>IF(ISTEXT(VLOOKUP(CONCATENATE($A35,"_",R$3),'Unit List'!$A$14:$H$2838,2,FALSE)),"X",$P35)</f>
        <v/>
      </c>
      <c r="S35" s="66" t="str">
        <f>IF(ISTEXT(VLOOKUP(CONCATENATE($A35,"_",S$3),'Unit List'!$A$14:$H$2838,2,FALSE)),"X",$P35)</f>
        <v/>
      </c>
      <c r="T35" s="69" t="str">
        <f>IF(ISTEXT(VLOOKUP(CONCATENATE($A35,"_",T$3),'Unit List'!$A$14:$H$2838,2,FALSE)),"X",$P35)</f>
        <v/>
      </c>
      <c r="U35" s="66" t="str">
        <f>IF(ISTEXT(VLOOKUP(CONCATENATE($A35,"_",U$3),'Unit List'!$A$14:$H$2838,2,FALSE)),"X",$P35)</f>
        <v/>
      </c>
      <c r="V35" s="66" t="str">
        <f>IF(ISTEXT(VLOOKUP(CONCATENATE($A35,"_",V$3),'Unit List'!$A$14:$H$2838,2,FALSE)),"X",$P35)</f>
        <v/>
      </c>
      <c r="W35" s="71" t="str">
        <f>IF(ISTEXT(VLOOKUP(CONCATENATE($A35,"_",W$3),'Unit List'!$A$14:$H$2838,2,FALSE)),"X",$P35)</f>
        <v/>
      </c>
      <c r="X35" s="68" t="str">
        <f>IF(ISTEXT(VLOOKUP(CONCATENATE($A35,"_",X$3),'Unit List'!$A$14:$H$2838,2,FALSE)),"+","")</f>
        <v>+</v>
      </c>
      <c r="Y35" s="133" t="str">
        <f>IF(ISTEXT(VLOOKUP(CONCATENATE($A35,"_",Y$3),'Unit List'!$A$14:$H$2838,2,FALSE)),"X",$X35)</f>
        <v>+</v>
      </c>
      <c r="Z35" s="133" t="str">
        <f>IF(ISTEXT(VLOOKUP(CONCATENATE($A35,"_",Z$3),'Unit List'!$A$14:$H$2838,2,FALSE)),"X",$X35)</f>
        <v>+</v>
      </c>
      <c r="AA35" s="133" t="str">
        <f>IF(ISTEXT(VLOOKUP(CONCATENATE($A35,"_",AA$3),'Unit List'!$A$14:$H$2838,2,FALSE)),"X",$X35)</f>
        <v>+</v>
      </c>
      <c r="AB35" s="133" t="str">
        <f>IF(ISTEXT(VLOOKUP(CONCATENATE($A35,"_",AB$3),'Unit List'!$A$14:$H$2838,2,FALSE)),"X",$X35)</f>
        <v>+</v>
      </c>
      <c r="AC35" s="135" t="str">
        <f>IF(ISTEXT(VLOOKUP(CONCATENATE($A35,"_",AC$3),'Unit List'!$A$14:$H$2838,2,FALSE)),"X",$X35)</f>
        <v>+</v>
      </c>
      <c r="AD35" s="68" t="str">
        <f>IF(ISTEXT(VLOOKUP(CONCATENATE($A35,"_",AD$3),'Unit List'!$A$14:$H$2838,2,FALSE)),"+","")</f>
        <v/>
      </c>
      <c r="AE35" s="66" t="str">
        <f>IF(ISTEXT(VLOOKUP(CONCATENATE($A35,"_",AE$3),'Unit List'!$A$14:$H$2838,2,FALSE)),"X",$AD35)</f>
        <v/>
      </c>
      <c r="AF35" s="72" t="str">
        <f>IF(ISTEXT(VLOOKUP(CONCATENATE($A35,"_",AF$3),'Unit List'!$A$14:$H$2838,2,FALSE)),"X",$AD35)</f>
        <v/>
      </c>
      <c r="AG35" s="68" t="str">
        <f>IF(ISTEXT(VLOOKUP(CONCATENATE($A35,"_",AG$3),'Unit List'!$A$14:$H$2838,2,FALSE)),"+","")</f>
        <v>+</v>
      </c>
      <c r="AH35" s="133" t="str">
        <f>IF(ISTEXT(VLOOKUP(CONCATENATE($A35,"_",AH$3),'Unit List'!$A$14:$H$2838,2,FALSE)),"X",$AG35)</f>
        <v>+</v>
      </c>
      <c r="AI35" s="133" t="str">
        <f>IF(ISTEXT(VLOOKUP(CONCATENATE($A35,"_",AI$3),'Unit List'!$A$14:$H$2838,2,FALSE)),"X",$AG35)</f>
        <v>+</v>
      </c>
      <c r="AJ35" s="134" t="str">
        <f>IF(ISTEXT(VLOOKUP(CONCATENATE($A35,"_",AJ$3),'Unit List'!$A$14:$H$2838,2,FALSE)),"X",$AG35)</f>
        <v>+</v>
      </c>
      <c r="AK35" s="68" t="str">
        <f>IF(ISTEXT(VLOOKUP(CONCATENATE($A35,"_",AK$3),'Unit List'!$A$14:$H$2838,2,FALSE)),"+","")</f>
        <v>+</v>
      </c>
      <c r="AL35" s="150" t="str">
        <f>IF(ISTEXT(VLOOKUP(CONCATENATE($A35,"_",AL$3),'Unit List'!$A$14:$H$2838,2,FALSE)),"X",$AK35)</f>
        <v>+</v>
      </c>
      <c r="AM35" s="134" t="str">
        <f>IF(ISTEXT(VLOOKUP(CONCATENATE($A35,"_",AM$3),'Unit List'!$A$14:$H$2838,2,FALSE)),"X",$AK35)</f>
        <v>+</v>
      </c>
      <c r="AN35" s="91" t="str">
        <f>IF(ISTEXT(VLOOKUP(CONCATENATE($A35,"_",AN$3),'Unit List'!$A$14:$H$2838,2,FALSE)),"+","")</f>
        <v/>
      </c>
      <c r="AO35" s="74" t="str">
        <f>IF(ISTEXT(VLOOKUP(CONCATENATE($A35,"_",AO$3),'Unit List'!$A$14:$H$2838,2,FALSE)),"X",$AN35)</f>
        <v/>
      </c>
      <c r="AP35" s="68" t="str">
        <f>IF(ISTEXT(VLOOKUP(CONCATENATE($A35,"_",AP$3),'Unit List'!$A$14:$H$2838,2,FALSE)),"+","")</f>
        <v>+</v>
      </c>
      <c r="AQ35" s="133" t="str">
        <f>IF(ISTEXT(VLOOKUP(CONCATENATE($A35,"_",AQ$3),'Unit List'!$A$14:$H$2838,2,FALSE)),"X",$AP35)</f>
        <v>+</v>
      </c>
      <c r="AR35" s="133" t="str">
        <f>IF(ISTEXT(VLOOKUP(CONCATENATE($A35,"_",AR$3),'Unit List'!$A$14:$H$2838,2,FALSE)),"X",$AP35)</f>
        <v>+</v>
      </c>
      <c r="AS35" s="133" t="str">
        <f>IF(ISTEXT(VLOOKUP(CONCATENATE($A35,"_",AS$3),'Unit List'!$A$14:$H$2838,2,FALSE)),"X",$AP35)</f>
        <v>+</v>
      </c>
      <c r="AT35" s="134" t="str">
        <f>IF(ISTEXT(VLOOKUP(CONCATENATE($A35,"_",AT$3),'Unit List'!$A$14:$H$2838,2,FALSE)),"X",$AP35)</f>
        <v>+</v>
      </c>
      <c r="AU35" s="149" t="str">
        <f>IF(ISTEXT(VLOOKUP(CONCATENATE($A35,"_",AU$3),'Unit List'!$A$14:$H$2838,2,FALSE)),"+","")</f>
        <v>+</v>
      </c>
      <c r="AV35" s="133" t="str">
        <f>IF(ISTEXT(VLOOKUP(CONCATENATE($A35,"_",AV$3),'Unit List'!$A$14:$H$2838,2,FALSE)),"X",$AU35)</f>
        <v>+</v>
      </c>
      <c r="AW35" s="134" t="str">
        <f>IF(ISTEXT(VLOOKUP(CONCATENATE($A35,"_",AW$3),'Unit List'!$A$14:$H$2838,2,FALSE)),"X",$AU35)</f>
        <v>+</v>
      </c>
      <c r="AX35" s="68" t="str">
        <f>IF(ISTEXT(VLOOKUP(CONCATENATE($A35,"_",AX$3),'Unit List'!$A$14:$H$2838,2,FALSE)),"+","")</f>
        <v>+</v>
      </c>
      <c r="AY35" s="133" t="str">
        <f>IF(ISTEXT(VLOOKUP(CONCATENATE($A35,"_",AY$3),'Unit List'!$A$14:$H$2838,2,FALSE)),"X",$AX35)</f>
        <v>+</v>
      </c>
      <c r="AZ35" s="134" t="str">
        <f>IF(ISTEXT(VLOOKUP(CONCATENATE($A35,"_",AZ$3),'Unit List'!$A$14:$H$2838,2,FALSE)),"X",$AX35)</f>
        <v>+</v>
      </c>
      <c r="BA35" s="78" t="str">
        <f>IF(ISTEXT(VLOOKUP(CONCATENATE($A35,"_",BA$3),'Unit List'!$A$14:$H$2838,2,FALSE)),"+","")</f>
        <v>+</v>
      </c>
      <c r="BB35" s="133" t="str">
        <f>IF(ISTEXT(VLOOKUP(CONCATENATE($A35,"_",BB$3),'Unit List'!$A$14:$H$2838,2,FALSE)),"X",$BA35)</f>
        <v>+</v>
      </c>
      <c r="BC35" s="133" t="str">
        <f>IF(ISTEXT(VLOOKUP(CONCATENATE($A35,"_",BC$3),'Unit List'!$A$14:$H$2838,2,FALSE)),"X",$BA35)</f>
        <v>+</v>
      </c>
      <c r="BD35" s="134" t="str">
        <f>IF(ISTEXT(VLOOKUP(CONCATENATE($A35,"_",BD$3),'Unit List'!$A$14:$H$2838,2,FALSE)),"X",$BA35)</f>
        <v>+</v>
      </c>
      <c r="BE35" s="91" t="str">
        <f>IF(ISTEXT(VLOOKUP(CONCATENATE($A35,"_",BE$3),'Unit List'!$A$14:$H$2838,2,FALSE)),"+","")</f>
        <v>+</v>
      </c>
      <c r="BF35" s="135" t="str">
        <f>IF(ISTEXT(VLOOKUP(CONCATENATE($A35,"_",BF$3),'Unit List'!$A$14:$H$2838,2,FALSE)),"X",$BE35)</f>
        <v>+</v>
      </c>
      <c r="BG35" s="111"/>
      <c r="BH35" s="121"/>
      <c r="BI35" s="264"/>
      <c r="BJ35" s="265"/>
      <c r="BK35" s="265"/>
      <c r="BL35" s="265"/>
      <c r="BM35" s="266"/>
      <c r="BN35" s="81"/>
      <c r="BO35" s="81"/>
      <c r="BP35" s="81"/>
      <c r="BQ35" s="81"/>
      <c r="BR35" s="81"/>
      <c r="BS35" s="81"/>
      <c r="DZ35" s="82"/>
      <c r="EA35" s="82"/>
    </row>
    <row r="36" spans="1:131" ht="12.75" customHeight="1" x14ac:dyDescent="0.2">
      <c r="A36" s="83" t="s">
        <v>1144</v>
      </c>
      <c r="B36" s="59" t="str">
        <f>IF(ISTEXT(VLOOKUP(CONCATENATE($A36,"_",B$3),'Unit List'!$A$14:$H$2838,2,FALSE)),"+","")</f>
        <v/>
      </c>
      <c r="C36" s="84" t="str">
        <f>IF(ISTEXT(VLOOKUP(CONCATENATE($A36,"_",C$3),'Unit List'!$A$14:$H$2838,2,FALSE)),"X",$B36)</f>
        <v/>
      </c>
      <c r="D36" s="66" t="str">
        <f>IF(ISTEXT(VLOOKUP(CONCATENATE($A36,"_",D$3),'Unit List'!$A$14:$H$2838,2,FALSE)),"X",$B36)</f>
        <v/>
      </c>
      <c r="E36" s="66" t="str">
        <f>IF(ISTEXT(VLOOKUP(CONCATENATE($A36,"_",E$3),'Unit List'!$A$14:$H$2838,2,FALSE)),"X",$B36)</f>
        <v/>
      </c>
      <c r="F36" s="66" t="str">
        <f>IF(ISTEXT(VLOOKUP(CONCATENATE($A36,"_",F$3),'Unit List'!$A$14:$H$2838,2,FALSE)),"X",$B36)</f>
        <v/>
      </c>
      <c r="G36" s="66" t="str">
        <f>IF(ISTEXT(VLOOKUP(CONCATENATE($A36,"_",G$3),'Unit List'!$A$14:$H$2838,2,FALSE)),"X",$B36)</f>
        <v/>
      </c>
      <c r="H36" s="66" t="str">
        <f>IF(ISTEXT(VLOOKUP(CONCATENATE($A36,"_",H$3),'Unit List'!$A$14:$H$2838,2,FALSE)),"X",$B36)</f>
        <v/>
      </c>
      <c r="I36" s="74" t="str">
        <f>IF(ISTEXT(VLOOKUP(CONCATENATE($A36,"_",I$3),'Unit List'!$A$14:$H$2838,2,FALSE)),"X",$B36)</f>
        <v/>
      </c>
      <c r="J36" s="64" t="str">
        <f>IF(ISTEXT(VLOOKUP(CONCATENATE($A36,"_",J$3),'Unit List'!$A$14:$H$2838,2,FALSE)),"+","")</f>
        <v/>
      </c>
      <c r="K36" s="66" t="str">
        <f>IF(ISTEXT(VLOOKUP(CONCATENATE($A36,"_",K$3),'Unit List'!$A$14:$H$2838,2,FALSE)),"X",$J36)</f>
        <v/>
      </c>
      <c r="L36" s="89" t="str">
        <f>IF(ISTEXT(VLOOKUP(CONCATENATE($A36,"_",L$3),'Unit List'!$A$14:$H$2838,2,FALSE)),"X",$J36)</f>
        <v/>
      </c>
      <c r="M36" s="64" t="str">
        <f>IF(ISTEXT(VLOOKUP(CONCATENATE($A36,"_",M$3),'Unit List'!$A$14:$H$2838,2,FALSE)),"+","")</f>
        <v/>
      </c>
      <c r="N36" s="66" t="str">
        <f>IF(ISTEXT(VLOOKUP(CONCATENATE($A36,"_",N$3),'Unit List'!$A$14:$H$2838,2,FALSE)),"X",$M36)</f>
        <v/>
      </c>
      <c r="O36" s="74" t="str">
        <f>IF(ISTEXT(VLOOKUP(CONCATENATE($A36,"_",O$3),'Unit List'!$A$14:$H$2838,2,FALSE)),"X",$M36)</f>
        <v/>
      </c>
      <c r="P36" s="68" t="str">
        <f>IF(ISTEXT(VLOOKUP(CONCATENATE($A36,"_",P$3),'Unit List'!$A$14:$H$2838,2,FALSE)),"+","")</f>
        <v/>
      </c>
      <c r="Q36" s="66" t="str">
        <f>IF(ISTEXT(VLOOKUP(CONCATENATE($A36,"_",Q$3),'Unit List'!$A$14:$H$2838,2,FALSE)),"X",$P36)</f>
        <v/>
      </c>
      <c r="R36" s="66" t="str">
        <f>IF(ISTEXT(VLOOKUP(CONCATENATE($A36,"_",R$3),'Unit List'!$A$14:$H$2838,2,FALSE)),"X",$P36)</f>
        <v/>
      </c>
      <c r="S36" s="66" t="str">
        <f>IF(ISTEXT(VLOOKUP(CONCATENATE($A36,"_",S$3),'Unit List'!$A$14:$H$2838,2,FALSE)),"X",$P36)</f>
        <v/>
      </c>
      <c r="T36" s="69" t="str">
        <f>IF(ISTEXT(VLOOKUP(CONCATENATE($A36,"_",T$3),'Unit List'!$A$14:$H$2838,2,FALSE)),"X",$P36)</f>
        <v/>
      </c>
      <c r="U36" s="66" t="str">
        <f>IF(ISTEXT(VLOOKUP(CONCATENATE($A36,"_",U$3),'Unit List'!$A$14:$H$2838,2,FALSE)),"X",$P36)</f>
        <v/>
      </c>
      <c r="V36" s="66" t="str">
        <f>IF(ISTEXT(VLOOKUP(CONCATENATE($A36,"_",V$3),'Unit List'!$A$14:$H$2838,2,FALSE)),"X",$P36)</f>
        <v/>
      </c>
      <c r="W36" s="71" t="str">
        <f>IF(ISTEXT(VLOOKUP(CONCATENATE($A36,"_",W$3),'Unit List'!$A$14:$H$2838,2,FALSE)),"X",$P36)</f>
        <v/>
      </c>
      <c r="X36" s="68" t="str">
        <f>IF(ISTEXT(VLOOKUP(CONCATENATE($A36,"_",X$3),'Unit List'!$A$14:$H$2838,2,FALSE)),"+","")</f>
        <v/>
      </c>
      <c r="Y36" s="66" t="str">
        <f>IF(ISTEXT(VLOOKUP(CONCATENATE($A36,"_",Y$3),'Unit List'!$A$14:$H$2838,2,FALSE)),"X",$X36)</f>
        <v/>
      </c>
      <c r="Z36" s="66" t="str">
        <f>IF(ISTEXT(VLOOKUP(CONCATENATE($A36,"_",Z$3),'Unit List'!$A$14:$H$2838,2,FALSE)),"X",$X36)</f>
        <v/>
      </c>
      <c r="AA36" s="66" t="str">
        <f>IF(ISTEXT(VLOOKUP(CONCATENATE($A36,"_",AA$3),'Unit List'!$A$14:$H$2838,2,FALSE)),"X",$X36)</f>
        <v/>
      </c>
      <c r="AB36" s="66" t="str">
        <f>IF(ISTEXT(VLOOKUP(CONCATENATE($A36,"_",AB$3),'Unit List'!$A$14:$H$2838,2,FALSE)),"X",$X36)</f>
        <v/>
      </c>
      <c r="AC36" s="89" t="str">
        <f>IF(ISTEXT(VLOOKUP(CONCATENATE($A36,"_",AC$3),'Unit List'!$A$14:$H$2838,2,FALSE)),"X",$X36)</f>
        <v/>
      </c>
      <c r="AD36" s="68" t="str">
        <f>IF(ISTEXT(VLOOKUP(CONCATENATE($A36,"_",AD$3),'Unit List'!$A$14:$H$2838,2,FALSE)),"+","")</f>
        <v/>
      </c>
      <c r="AE36" s="66" t="str">
        <f>IF(ISTEXT(VLOOKUP(CONCATENATE($A36,"_",AE$3),'Unit List'!$A$14:$H$2838,2,FALSE)),"X",$AD36)</f>
        <v/>
      </c>
      <c r="AF36" s="72" t="str">
        <f>IF(ISTEXT(VLOOKUP(CONCATENATE($A36,"_",AF$3),'Unit List'!$A$14:$H$2838,2,FALSE)),"X",$AD36)</f>
        <v/>
      </c>
      <c r="AG36" s="68" t="str">
        <f>IF(ISTEXT(VLOOKUP(CONCATENATE($A36,"_",AG$3),'Unit List'!$A$14:$H$2838,2,FALSE)),"+","")</f>
        <v/>
      </c>
      <c r="AH36" s="66" t="str">
        <f>IF(ISTEXT(VLOOKUP(CONCATENATE($A36,"_",AH$3),'Unit List'!$A$14:$H$2838,2,FALSE)),"X",$AG36)</f>
        <v/>
      </c>
      <c r="AI36" s="66" t="str">
        <f>IF(ISTEXT(VLOOKUP(CONCATENATE($A36,"_",AI$3),'Unit List'!$A$14:$H$2838,2,FALSE)),"X",$AG36)</f>
        <v/>
      </c>
      <c r="AJ36" s="74" t="str">
        <f>IF(ISTEXT(VLOOKUP(CONCATENATE($A36,"_",AJ$3),'Unit List'!$A$14:$H$2838,2,FALSE)),"X",$AG36)</f>
        <v/>
      </c>
      <c r="AK36" s="64" t="str">
        <f>IF(ISTEXT(VLOOKUP(CONCATENATE($A36,"_",AK$3),'Unit List'!$A$14:$H$2838,2,FALSE)),"+","")</f>
        <v/>
      </c>
      <c r="AL36" s="69" t="str">
        <f>IF(ISTEXT(VLOOKUP(CONCATENATE($A36,"_",AL$3),'Unit List'!$A$14:$H$2838,2,FALSE)),"X",$AK36)</f>
        <v/>
      </c>
      <c r="AM36" s="74" t="str">
        <f>IF(ISTEXT(VLOOKUP(CONCATENATE($A36,"_",AM$3),'Unit List'!$A$14:$H$2838,2,FALSE)),"X",$AK36)</f>
        <v/>
      </c>
      <c r="AN36" s="91" t="str">
        <f>IF(ISTEXT(VLOOKUP(CONCATENATE($A36,"_",AN$3),'Unit List'!$A$14:$H$2838,2,FALSE)),"+","")</f>
        <v/>
      </c>
      <c r="AO36" s="74" t="str">
        <f>IF(ISTEXT(VLOOKUP(CONCATENATE($A36,"_",AO$3),'Unit List'!$A$14:$H$2838,2,FALSE)),"X",$AN36)</f>
        <v/>
      </c>
      <c r="AP36" s="68" t="str">
        <f>IF(ISTEXT(VLOOKUP(CONCATENATE($A36,"_",AP$3),'Unit List'!$A$14:$H$2838,2,FALSE)),"+","")</f>
        <v/>
      </c>
      <c r="AQ36" s="66" t="str">
        <f>IF(ISTEXT(VLOOKUP(CONCATENATE($A36,"_",AQ$3),'Unit List'!$A$14:$H$2838,2,FALSE)),"X",$AP36)</f>
        <v/>
      </c>
      <c r="AR36" s="66" t="str">
        <f>IF(ISTEXT(VLOOKUP(CONCATENATE($A36,"_",AR$3),'Unit List'!$A$14:$H$2838,2,FALSE)),"X",$AP36)</f>
        <v/>
      </c>
      <c r="AS36" s="66" t="str">
        <f>IF(ISTEXT(VLOOKUP(CONCATENATE($A36,"_",AS$3),'Unit List'!$A$14:$H$2838,2,FALSE)),"X",$AP36)</f>
        <v/>
      </c>
      <c r="AT36" s="74" t="str">
        <f>IF(ISTEXT(VLOOKUP(CONCATENATE($A36,"_",AT$3),'Unit List'!$A$14:$H$2838,2,FALSE)),"X",$AP36)</f>
        <v/>
      </c>
      <c r="AU36" s="77" t="str">
        <f>IF(ISTEXT(VLOOKUP(CONCATENATE($A36,"_",AU$3),'Unit List'!$A$14:$H$2838,2,FALSE)),"+","")</f>
        <v/>
      </c>
      <c r="AV36" s="66" t="str">
        <f>IF(ISTEXT(VLOOKUP(CONCATENATE($A36,"_",AV$3),'Unit List'!$A$14:$H$2838,2,FALSE)),"X",$AU36)</f>
        <v/>
      </c>
      <c r="AW36" s="74" t="str">
        <f>IF(ISTEXT(VLOOKUP(CONCATENATE($A36,"_",AW$3),'Unit List'!$A$14:$H$2838,2,FALSE)),"X",$AU36)</f>
        <v/>
      </c>
      <c r="AX36" s="68" t="str">
        <f>IF(ISTEXT(VLOOKUP(CONCATENATE($A36,"_",AX$3),'Unit List'!$A$14:$H$2838,2,FALSE)),"+","")</f>
        <v/>
      </c>
      <c r="AY36" s="66" t="str">
        <f>IF(ISTEXT(VLOOKUP(CONCATENATE($A36,"_",AY$3),'Unit List'!$A$14:$H$2838,2,FALSE)),"X",$AX36)</f>
        <v/>
      </c>
      <c r="AZ36" s="71" t="str">
        <f>IF(ISTEXT(VLOOKUP(CONCATENATE($A36,"_",AZ$3),'Unit List'!$A$14:$H$2838,2,FALSE)),"X",$AX36)</f>
        <v/>
      </c>
      <c r="BA36" s="78" t="str">
        <f>IF(ISTEXT(VLOOKUP(CONCATENATE($A36,"_",BA$3),'Unit List'!$A$14:$H$2838,2,FALSE)),"+","")</f>
        <v/>
      </c>
      <c r="BB36" s="66" t="str">
        <f>IF(ISTEXT(VLOOKUP(CONCATENATE($A36,"_",BB$3),'Unit List'!$A$14:$H$2838,2,FALSE)),"X",$BA36)</f>
        <v/>
      </c>
      <c r="BC36" s="66" t="str">
        <f>IF(ISTEXT(VLOOKUP(CONCATENATE($A36,"_",BC$3),'Unit List'!$A$14:$H$2838,2,FALSE)),"X",$BA36)</f>
        <v/>
      </c>
      <c r="BD36" s="74" t="str">
        <f>IF(ISTEXT(VLOOKUP(CONCATENATE($A36,"_",BD$3),'Unit List'!$A$14:$H$2838,2,FALSE)),"X",$BA36)</f>
        <v/>
      </c>
      <c r="BE36" s="91" t="str">
        <f>IF(ISTEXT(VLOOKUP(CONCATENATE($A36,"_",BE$3),'Unit List'!$A$14:$H$2838,2,FALSE)),"+","")</f>
        <v/>
      </c>
      <c r="BF36" s="89" t="str">
        <f>IF(ISTEXT(VLOOKUP(CONCATENATE($A36,"_",BF$3),'Unit List'!$A$14:$H$2838,2,FALSE)),"X",$BE36)</f>
        <v/>
      </c>
      <c r="BG36" s="111"/>
      <c r="BH36" s="121"/>
      <c r="BI36" s="264"/>
      <c r="BJ36" s="265"/>
      <c r="BK36" s="265"/>
      <c r="BL36" s="265"/>
      <c r="BM36" s="266"/>
      <c r="BN36" s="81"/>
      <c r="BO36" s="81"/>
      <c r="BP36" s="81"/>
      <c r="BQ36" s="81"/>
      <c r="BR36" s="81"/>
      <c r="BS36" s="81"/>
      <c r="DZ36" s="82"/>
      <c r="EA36" s="82"/>
    </row>
    <row r="37" spans="1:131" ht="12.75" customHeight="1" x14ac:dyDescent="0.2">
      <c r="A37" s="83" t="s">
        <v>1145</v>
      </c>
      <c r="B37" s="59" t="str">
        <f>IF(ISTEXT(VLOOKUP(CONCATENATE($A37,"_",B$3),'Unit List'!$A$14:$H$2838,2,FALSE)),"+","")</f>
        <v>+</v>
      </c>
      <c r="C37" s="84" t="str">
        <f>IF(ISTEXT(VLOOKUP(CONCATENATE($A37,"_",C$3),'Unit List'!$A$14:$H$2838,2,FALSE)),"X",$B37)</f>
        <v>X</v>
      </c>
      <c r="D37" s="133" t="str">
        <f>IF(ISTEXT(VLOOKUP(CONCATENATE($A37,"_",D$3),'Unit List'!$A$14:$H$2838,2,FALSE)),"X",$B37)</f>
        <v>X</v>
      </c>
      <c r="E37" s="133" t="str">
        <f>IF(ISTEXT(VLOOKUP(CONCATENATE($A37,"_",E$3),'Unit List'!$A$14:$H$2838,2,FALSE)),"X",$B37)</f>
        <v>X</v>
      </c>
      <c r="F37" s="133" t="str">
        <f>IF(ISTEXT(VLOOKUP(CONCATENATE($A37,"_",F$3),'Unit List'!$A$14:$H$2838,2,FALSE)),"X",$B37)</f>
        <v>X</v>
      </c>
      <c r="G37" s="133" t="str">
        <f>IF(ISTEXT(VLOOKUP(CONCATENATE($A37,"_",G$3),'Unit List'!$A$14:$H$2838,2,FALSE)),"X",$B37)</f>
        <v>+</v>
      </c>
      <c r="H37" s="96" t="str">
        <f>IF(ISTEXT(VLOOKUP(CONCATENATE($A37,"_",H$3),'Unit List'!$A$14:$H$2838,2,FALSE)),"X",$B37)</f>
        <v>X</v>
      </c>
      <c r="I37" s="134" t="str">
        <f>IF(ISTEXT(VLOOKUP(CONCATENATE($A37,"_",I$3),'Unit List'!$A$14:$H$2838,2,FALSE)),"X",$B37)</f>
        <v>+</v>
      </c>
      <c r="J37" s="97" t="str">
        <f>IF(ISTEXT(VLOOKUP(CONCATENATE($A37,"_",J$3),'Unit List'!$A$14:$H$2838,2,FALSE)),"+","")</f>
        <v/>
      </c>
      <c r="K37" s="66" t="str">
        <f>IF(ISTEXT(VLOOKUP(CONCATENATE($A37,"_",K$3),'Unit List'!$A$14:$H$2838,2,FALSE)),"X",$J37)</f>
        <v/>
      </c>
      <c r="L37" s="89" t="str">
        <f>IF(ISTEXT(VLOOKUP(CONCATENATE($A37,"_",L$3),'Unit List'!$A$14:$H$2838,2,FALSE)),"X",$J37)</f>
        <v/>
      </c>
      <c r="M37" s="101" t="str">
        <f>IF(ISTEXT(VLOOKUP(CONCATENATE($A37,"_",M$3),'Unit List'!$A$14:$H$2838,2,FALSE)),"+","")</f>
        <v>+</v>
      </c>
      <c r="N37" s="106" t="str">
        <f>IF(ISTEXT(VLOOKUP(CONCATENATE($A37,"_",N$3),'Unit List'!$A$14:$H$2838,2,FALSE)),"X",$M37)</f>
        <v>+</v>
      </c>
      <c r="O37" s="100" t="str">
        <f>IF(ISTEXT(VLOOKUP(CONCATENATE($A37,"_",O$3),'Unit List'!$A$14:$H$2838,2,FALSE)),"X",$M37)</f>
        <v>X</v>
      </c>
      <c r="P37" s="68" t="str">
        <f>IF(ISTEXT(VLOOKUP(CONCATENATE($A37,"_",P$3),'Unit List'!$A$14:$H$2838,2,FALSE)),"+","")</f>
        <v/>
      </c>
      <c r="Q37" s="66" t="str">
        <f>IF(ISTEXT(VLOOKUP(CONCATENATE($A37,"_",Q$3),'Unit List'!$A$14:$H$2838,2,FALSE)),"X",$P37)</f>
        <v/>
      </c>
      <c r="R37" s="66" t="str">
        <f>IF(ISTEXT(VLOOKUP(CONCATENATE($A37,"_",R$3),'Unit List'!$A$14:$H$2838,2,FALSE)),"X",$P37)</f>
        <v/>
      </c>
      <c r="S37" s="66" t="str">
        <f>IF(ISTEXT(VLOOKUP(CONCATENATE($A37,"_",S$3),'Unit List'!$A$14:$H$2838,2,FALSE)),"X",$P37)</f>
        <v/>
      </c>
      <c r="T37" s="69" t="str">
        <f>IF(ISTEXT(VLOOKUP(CONCATENATE($A37,"_",T$3),'Unit List'!$A$14:$H$2838,2,FALSE)),"X",$P37)</f>
        <v/>
      </c>
      <c r="U37" s="125" t="str">
        <f>IF(ISTEXT(VLOOKUP(CONCATENATE($A37,"_",U$3),'Unit List'!$A$14:$H$2838,2,FALSE)),"X",$P37)</f>
        <v>X</v>
      </c>
      <c r="V37" s="66" t="str">
        <f>IF(ISTEXT(VLOOKUP(CONCATENATE($A37,"_",V$3),'Unit List'!$A$14:$H$2838,2,FALSE)),"X",$P37)</f>
        <v/>
      </c>
      <c r="W37" s="71" t="str">
        <f>IF(ISTEXT(VLOOKUP(CONCATENATE($A37,"_",W$3),'Unit List'!$A$14:$H$2838,2,FALSE)),"X",$P37)</f>
        <v/>
      </c>
      <c r="X37" s="101" t="str">
        <f>IF(ISTEXT(VLOOKUP(CONCATENATE($A37,"_",X$3),'Unit List'!$A$14:$H$2838,2,FALSE)),"+","")</f>
        <v>+</v>
      </c>
      <c r="Y37" s="66" t="str">
        <f>IF(ISTEXT(VLOOKUP(CONCATENATE($A37,"_",Y$3),'Unit List'!$A$14:$H$2838,2,FALSE)),"X",$X37)</f>
        <v>X</v>
      </c>
      <c r="Z37" s="133" t="str">
        <f>IF(ISTEXT(VLOOKUP(CONCATENATE($A37,"_",Z$3),'Unit List'!$A$14:$H$2838,2,FALSE)),"X",$X37)</f>
        <v>+</v>
      </c>
      <c r="AA37" s="96" t="str">
        <f>IF(ISTEXT(VLOOKUP(CONCATENATE($A37,"_",AA$3),'Unit List'!$A$14:$H$2838,2,FALSE)),"X",$X37)</f>
        <v>X</v>
      </c>
      <c r="AB37" s="133" t="str">
        <f>IF(ISTEXT(VLOOKUP(CONCATENATE($A37,"_",AB$3),'Unit List'!$A$14:$H$2838,2,FALSE)),"X",$X37)</f>
        <v>+</v>
      </c>
      <c r="AC37" s="123" t="str">
        <f>IF(ISTEXT(VLOOKUP(CONCATENATE($A37,"_",AC$3),'Unit List'!$A$14:$H$2838,2,FALSE)),"X",$X37)</f>
        <v>X</v>
      </c>
      <c r="AD37" s="101" t="str">
        <f>IF(ISTEXT(VLOOKUP(CONCATENATE($A37,"_",AD$3),'Unit List'!$A$14:$H$2838,2,FALSE)),"+","")</f>
        <v>+</v>
      </c>
      <c r="AE37" s="66" t="str">
        <f>IF(ISTEXT(VLOOKUP(CONCATENATE($A37,"_",AE$3),'Unit List'!$A$14:$H$2838,2,FALSE)),"X",$AD37)</f>
        <v>+</v>
      </c>
      <c r="AF37" s="72" t="str">
        <f>IF(ISTEXT(VLOOKUP(CONCATENATE($A37,"_",AF$3),'Unit List'!$A$14:$H$2838,2,FALSE)),"X",$AD37)</f>
        <v>+</v>
      </c>
      <c r="AG37" s="101" t="str">
        <f>IF(ISTEXT(VLOOKUP(CONCATENATE($A37,"_",AG$3),'Unit List'!$A$14:$H$2838,2,FALSE)),"+","")</f>
        <v>+</v>
      </c>
      <c r="AH37" s="133" t="str">
        <f>IF(ISTEXT(VLOOKUP(CONCATENATE($A37,"_",AH$3),'Unit List'!$A$14:$H$2838,2,FALSE)),"X",$AG37)</f>
        <v>+</v>
      </c>
      <c r="AI37" s="133" t="str">
        <f>IF(ISTEXT(VLOOKUP(CONCATENATE($A37,"_",AI$3),'Unit List'!$A$14:$H$2838,2,FALSE)),"X",$AG37)</f>
        <v>+</v>
      </c>
      <c r="AJ37" s="134" t="str">
        <f>IF(ISTEXT(VLOOKUP(CONCATENATE($A37,"_",AJ$3),'Unit List'!$A$14:$H$2838,2,FALSE)),"X",$AG37)</f>
        <v>+</v>
      </c>
      <c r="AK37" s="64" t="str">
        <f>IF(ISTEXT(VLOOKUP(CONCATENATE($A37,"_",AK$3),'Unit List'!$A$14:$H$2838,2,FALSE)),"+","")</f>
        <v/>
      </c>
      <c r="AL37" s="69" t="str">
        <f>IF(ISTEXT(VLOOKUP(CONCATENATE($A37,"_",AL$3),'Unit List'!$A$14:$H$2838,2,FALSE)),"X",$AK37)</f>
        <v/>
      </c>
      <c r="AM37" s="74" t="str">
        <f>IF(ISTEXT(VLOOKUP(CONCATENATE($A37,"_",AM$3),'Unit List'!$A$14:$H$2838,2,FALSE)),"X",$AK37)</f>
        <v/>
      </c>
      <c r="AN37" s="91" t="str">
        <f>IF(ISTEXT(VLOOKUP(CONCATENATE($A37,"_",AN$3),'Unit List'!$A$14:$H$2838,2,FALSE)),"+","")</f>
        <v>+</v>
      </c>
      <c r="AO37" s="241" t="str">
        <f>IF(ISTEXT(VLOOKUP(CONCATENATE($A37,"_",AO$3),'Unit List'!$A$14:$H$2838,2,FALSE)),"X",$AN37)</f>
        <v>+</v>
      </c>
      <c r="AP37" s="68" t="str">
        <f>IF(ISTEXT(VLOOKUP(CONCATENATE($A37,"_",AP$3),'Unit List'!$A$14:$H$2838,2,FALSE)),"+","")</f>
        <v>+</v>
      </c>
      <c r="AQ37" s="106" t="str">
        <f>IF(ISTEXT(VLOOKUP(CONCATENATE($A37,"_",AQ$3),'Unit List'!$A$14:$H$2838,2,FALSE)),"X",$AP37)</f>
        <v>+</v>
      </c>
      <c r="AR37" s="133" t="str">
        <f>IF(ISTEXT(VLOOKUP(CONCATENATE($A37,"_",AR$3),'Unit List'!$A$14:$H$2838,2,FALSE)),"X",$AP37)</f>
        <v>+</v>
      </c>
      <c r="AS37" s="133" t="str">
        <f>IF(ISTEXT(VLOOKUP(CONCATENATE($A37,"_",AS$3),'Unit List'!$A$14:$H$2838,2,FALSE)),"X",$AP37)</f>
        <v>+</v>
      </c>
      <c r="AT37" s="134" t="str">
        <f>IF(ISTEXT(VLOOKUP(CONCATENATE($A37,"_",AT$3),'Unit List'!$A$14:$H$2838,2,FALSE)),"X",$AP37)</f>
        <v>+</v>
      </c>
      <c r="AU37" s="77" t="str">
        <f>IF(ISTEXT(VLOOKUP(CONCATENATE($A37,"_",AU$3),'Unit List'!$A$14:$H$2838,2,FALSE)),"+","")</f>
        <v>+</v>
      </c>
      <c r="AV37" s="133" t="str">
        <f>IF(ISTEXT(VLOOKUP(CONCATENATE($A37,"_",AV$3),'Unit List'!$A$14:$H$2838,2,FALSE)),"X",$AU37)</f>
        <v>+</v>
      </c>
      <c r="AW37" s="134" t="str">
        <f>IF(ISTEXT(VLOOKUP(CONCATENATE($A37,"_",AW$3),'Unit List'!$A$14:$H$2838,2,FALSE)),"X",$AU37)</f>
        <v>+</v>
      </c>
      <c r="AX37" s="68" t="str">
        <f>IF(ISTEXT(VLOOKUP(CONCATENATE($A37,"_",AX$3),'Unit List'!$A$14:$H$2838,2,FALSE)),"+","")</f>
        <v>+</v>
      </c>
      <c r="AY37" s="133" t="str">
        <f>IF(ISTEXT(VLOOKUP(CONCATENATE($A37,"_",AY$3),'Unit List'!$A$14:$H$2838,2,FALSE)),"X",$AX37)</f>
        <v>+</v>
      </c>
      <c r="AZ37" s="134" t="str">
        <f>IF(ISTEXT(VLOOKUP(CONCATENATE($A37,"_",AZ$3),'Unit List'!$A$14:$H$2838,2,FALSE)),"X",$AX37)</f>
        <v>+</v>
      </c>
      <c r="BA37" s="78" t="str">
        <f>IF(ISTEXT(VLOOKUP(CONCATENATE($A37,"_",BA$3),'Unit List'!$A$14:$H$2838,2,FALSE)),"+","")</f>
        <v/>
      </c>
      <c r="BB37" s="66" t="str">
        <f>IF(ISTEXT(VLOOKUP(CONCATENATE($A37,"_",BB$3),'Unit List'!$A$14:$H$2838,2,FALSE)),"X",$BA37)</f>
        <v/>
      </c>
      <c r="BC37" s="66" t="str">
        <f>IF(ISTEXT(VLOOKUP(CONCATENATE($A37,"_",BC$3),'Unit List'!$A$14:$H$2838,2,FALSE)),"X",$BA37)</f>
        <v/>
      </c>
      <c r="BD37" s="74" t="str">
        <f>IF(ISTEXT(VLOOKUP(CONCATENATE($A37,"_",BD$3),'Unit List'!$A$14:$H$2838,2,FALSE)),"X",$BA37)</f>
        <v/>
      </c>
      <c r="BE37" s="91" t="str">
        <f>IF(ISTEXT(VLOOKUP(CONCATENATE($A37,"_",BE$3),'Unit List'!$A$14:$H$2838,2,FALSE)),"+","")</f>
        <v>+</v>
      </c>
      <c r="BF37" s="135" t="str">
        <f>IF(ISTEXT(VLOOKUP(CONCATENATE($A37,"_",BF$3),'Unit List'!$A$14:$H$2838,2,FALSE)),"X",$BE37)</f>
        <v>+</v>
      </c>
      <c r="BG37" s="92"/>
      <c r="BH37" s="93" t="s">
        <v>0</v>
      </c>
      <c r="BI37" s="264"/>
      <c r="BJ37" s="265"/>
      <c r="BK37" s="265"/>
      <c r="BL37" s="265"/>
      <c r="BM37" s="266"/>
      <c r="BN37" s="81"/>
      <c r="BO37" s="81"/>
      <c r="BP37" s="81"/>
      <c r="BQ37" s="81"/>
      <c r="BR37" s="81"/>
      <c r="BS37" s="81"/>
      <c r="DZ37" s="82"/>
      <c r="EA37" s="82"/>
    </row>
    <row r="38" spans="1:131" ht="12.75" customHeight="1" x14ac:dyDescent="0.2">
      <c r="A38" s="83" t="s">
        <v>1146</v>
      </c>
      <c r="B38" s="59" t="str">
        <f>IF(ISTEXT(VLOOKUP(CONCATENATE($A38,"_",B$3),'Unit List'!$A$14:$H$2838,2,FALSE)),"+","")</f>
        <v/>
      </c>
      <c r="C38" s="131" t="str">
        <f>IF(ISTEXT(VLOOKUP(CONCATENATE($A38,"_",C$3),'Unit List'!$A$14:$H$2838,2,FALSE)),"X",$B38)</f>
        <v/>
      </c>
      <c r="D38" s="66" t="str">
        <f>IF(ISTEXT(VLOOKUP(CONCATENATE($A38,"_",D$3),'Unit List'!$A$14:$H$2838,2,FALSE)),"X",$B38)</f>
        <v/>
      </c>
      <c r="E38" s="66" t="str">
        <f>IF(ISTEXT(VLOOKUP(CONCATENATE($A38,"_",E$3),'Unit List'!$A$14:$H$2838,2,FALSE)),"X",$B38)</f>
        <v/>
      </c>
      <c r="F38" s="66" t="str">
        <f>IF(ISTEXT(VLOOKUP(CONCATENATE($A38,"_",F$3),'Unit List'!$A$14:$H$2838,2,FALSE)),"X",$B38)</f>
        <v/>
      </c>
      <c r="G38" s="66" t="str">
        <f>IF(ISTEXT(VLOOKUP(CONCATENATE($A38,"_",G$3),'Unit List'!$A$14:$H$2838,2,FALSE)),"X",$B38)</f>
        <v/>
      </c>
      <c r="H38" s="66" t="str">
        <f>IF(ISTEXT(VLOOKUP(CONCATENATE($A38,"_",H$3),'Unit List'!$A$14:$H$2838,2,FALSE)),"X",$B38)</f>
        <v/>
      </c>
      <c r="I38" s="74" t="str">
        <f>IF(ISTEXT(VLOOKUP(CONCATENATE($A38,"_",I$3),'Unit List'!$A$14:$H$2838,2,FALSE)),"X",$B38)</f>
        <v/>
      </c>
      <c r="J38" s="64" t="str">
        <f>IF(ISTEXT(VLOOKUP(CONCATENATE($A38,"_",J$3),'Unit List'!$A$14:$H$2838,2,FALSE)),"+","")</f>
        <v/>
      </c>
      <c r="K38" s="66" t="str">
        <f>IF(ISTEXT(VLOOKUP(CONCATENATE($A38,"_",K$3),'Unit List'!$A$14:$H$2838,2,FALSE)),"X",$J38)</f>
        <v/>
      </c>
      <c r="L38" s="89" t="str">
        <f>IF(ISTEXT(VLOOKUP(CONCATENATE($A38,"_",L$3),'Unit List'!$A$14:$H$2838,2,FALSE)),"X",$J38)</f>
        <v/>
      </c>
      <c r="M38" s="64" t="str">
        <f>IF(ISTEXT(VLOOKUP(CONCATENATE($A38,"_",M$3),'Unit List'!$A$14:$H$2838,2,FALSE)),"+","")</f>
        <v>+</v>
      </c>
      <c r="N38" s="66" t="str">
        <f>IF(ISTEXT(VLOOKUP(CONCATENATE($A38,"_",N$3),'Unit List'!$A$14:$H$2838,2,FALSE)),"X",$M38)</f>
        <v>+</v>
      </c>
      <c r="O38" s="88" t="str">
        <f>IF(ISTEXT(VLOOKUP(CONCATENATE($A38,"_",O$3),'Unit List'!$A$14:$H$2838,2,FALSE)),"X",$M38)</f>
        <v>+</v>
      </c>
      <c r="P38" s="68" t="str">
        <f>IF(ISTEXT(VLOOKUP(CONCATENATE($A38,"_",P$3),'Unit List'!$A$14:$H$2838,2,FALSE)),"+","")</f>
        <v/>
      </c>
      <c r="Q38" s="66" t="str">
        <f>IF(ISTEXT(VLOOKUP(CONCATENATE($A38,"_",Q$3),'Unit List'!$A$14:$H$2838,2,FALSE)),"X",$P38)</f>
        <v/>
      </c>
      <c r="R38" s="66" t="str">
        <f>IF(ISTEXT(VLOOKUP(CONCATENATE($A38,"_",R$3),'Unit List'!$A$14:$H$2838,2,FALSE)),"X",$P38)</f>
        <v/>
      </c>
      <c r="S38" s="66" t="str">
        <f>IF(ISTEXT(VLOOKUP(CONCATENATE($A38,"_",S$3),'Unit List'!$A$14:$H$2838,2,FALSE)),"X",$P38)</f>
        <v/>
      </c>
      <c r="T38" s="69" t="str">
        <f>IF(ISTEXT(VLOOKUP(CONCATENATE($A38,"_",T$3),'Unit List'!$A$14:$H$2838,2,FALSE)),"X",$P38)</f>
        <v/>
      </c>
      <c r="U38" s="66" t="str">
        <f>IF(ISTEXT(VLOOKUP(CONCATENATE($A38,"_",U$3),'Unit List'!$A$14:$H$2838,2,FALSE)),"X",$P38)</f>
        <v/>
      </c>
      <c r="V38" s="66" t="str">
        <f>IF(ISTEXT(VLOOKUP(CONCATENATE($A38,"_",V$3),'Unit List'!$A$14:$H$2838,2,FALSE)),"X",$P38)</f>
        <v/>
      </c>
      <c r="W38" s="71" t="str">
        <f>IF(ISTEXT(VLOOKUP(CONCATENATE($A38,"_",W$3),'Unit List'!$A$14:$H$2838,2,FALSE)),"X",$P38)</f>
        <v/>
      </c>
      <c r="X38" s="68" t="str">
        <f>IF(ISTEXT(VLOOKUP(CONCATENATE($A38,"_",X$3),'Unit List'!$A$14:$H$2838,2,FALSE)),"+","")</f>
        <v/>
      </c>
      <c r="Y38" s="66" t="str">
        <f>IF(ISTEXT(VLOOKUP(CONCATENATE($A38,"_",Y$3),'Unit List'!$A$14:$H$2838,2,FALSE)),"X",$X38)</f>
        <v/>
      </c>
      <c r="Z38" s="66" t="str">
        <f>IF(ISTEXT(VLOOKUP(CONCATENATE($A38,"_",Z$3),'Unit List'!$A$14:$H$2838,2,FALSE)),"X",$X38)</f>
        <v/>
      </c>
      <c r="AA38" s="66" t="str">
        <f>IF(ISTEXT(VLOOKUP(CONCATENATE($A38,"_",AA$3),'Unit List'!$A$14:$H$2838,2,FALSE)),"X",$X38)</f>
        <v/>
      </c>
      <c r="AB38" s="66" t="str">
        <f>IF(ISTEXT(VLOOKUP(CONCATENATE($A38,"_",AB$3),'Unit List'!$A$14:$H$2838,2,FALSE)),"X",$X38)</f>
        <v/>
      </c>
      <c r="AC38" s="89" t="str">
        <f>IF(ISTEXT(VLOOKUP(CONCATENATE($A38,"_",AC$3),'Unit List'!$A$14:$H$2838,2,FALSE)),"X",$X38)</f>
        <v/>
      </c>
      <c r="AD38" s="68" t="str">
        <f>IF(ISTEXT(VLOOKUP(CONCATENATE($A38,"_",AD$3),'Unit List'!$A$14:$H$2838,2,FALSE)),"+","")</f>
        <v/>
      </c>
      <c r="AE38" s="66" t="str">
        <f>IF(ISTEXT(VLOOKUP(CONCATENATE($A38,"_",AE$3),'Unit List'!$A$14:$H$2838,2,FALSE)),"X",$AD38)</f>
        <v/>
      </c>
      <c r="AF38" s="72" t="str">
        <f>IF(ISTEXT(VLOOKUP(CONCATENATE($A38,"_",AF$3),'Unit List'!$A$14:$H$2838,2,FALSE)),"X",$AD38)</f>
        <v/>
      </c>
      <c r="AG38" s="68" t="str">
        <f>IF(ISTEXT(VLOOKUP(CONCATENATE($A38,"_",AG$3),'Unit List'!$A$14:$H$2838,2,FALSE)),"+","")</f>
        <v/>
      </c>
      <c r="AH38" s="66" t="str">
        <f>IF(ISTEXT(VLOOKUP(CONCATENATE($A38,"_",AH$3),'Unit List'!$A$14:$H$2838,2,FALSE)),"X",$AG38)</f>
        <v/>
      </c>
      <c r="AI38" s="66" t="str">
        <f>IF(ISTEXT(VLOOKUP(CONCATENATE($A38,"_",AI$3),'Unit List'!$A$14:$H$2838,2,FALSE)),"X",$AG38)</f>
        <v/>
      </c>
      <c r="AJ38" s="74" t="str">
        <f>IF(ISTEXT(VLOOKUP(CONCATENATE($A38,"_",AJ$3),'Unit List'!$A$14:$H$2838,2,FALSE)),"X",$AG38)</f>
        <v/>
      </c>
      <c r="AK38" s="64" t="str">
        <f>IF(ISTEXT(VLOOKUP(CONCATENATE($A38,"_",AK$3),'Unit List'!$A$14:$H$2838,2,FALSE)),"+","")</f>
        <v>+</v>
      </c>
      <c r="AL38" s="69" t="str">
        <f>IF(ISTEXT(VLOOKUP(CONCATENATE($A38,"_",AL$3),'Unit List'!$A$14:$H$2838,2,FALSE)),"X",$AK38)</f>
        <v>+</v>
      </c>
      <c r="AM38" s="74" t="str">
        <f>IF(ISTEXT(VLOOKUP(CONCATENATE($A38,"_",AM$3),'Unit List'!$A$14:$H$2838,2,FALSE)),"X",$AK38)</f>
        <v>+</v>
      </c>
      <c r="AN38" s="91" t="str">
        <f>IF(ISTEXT(VLOOKUP(CONCATENATE($A38,"_",AN$3),'Unit List'!$A$14:$H$2838,2,FALSE)),"+","")</f>
        <v/>
      </c>
      <c r="AO38" s="74" t="str">
        <f>IF(ISTEXT(VLOOKUP(CONCATENATE($A38,"_",AO$3),'Unit List'!$A$14:$H$2838,2,FALSE)),"X",$AN38)</f>
        <v/>
      </c>
      <c r="AP38" s="68" t="str">
        <f>IF(ISTEXT(VLOOKUP(CONCATENATE($A38,"_",AP$3),'Unit List'!$A$14:$H$2838,2,FALSE)),"+","")</f>
        <v>+</v>
      </c>
      <c r="AQ38" s="66" t="str">
        <f>IF(ISTEXT(VLOOKUP(CONCATENATE($A38,"_",AQ$3),'Unit List'!$A$14:$H$2838,2,FALSE)),"X",$AP38)</f>
        <v>+</v>
      </c>
      <c r="AR38" s="66" t="str">
        <f>IF(ISTEXT(VLOOKUP(CONCATENATE($A38,"_",AR$3),'Unit List'!$A$14:$H$2838,2,FALSE)),"X",$AP38)</f>
        <v>+</v>
      </c>
      <c r="AS38" s="66" t="str">
        <f>IF(ISTEXT(VLOOKUP(CONCATENATE($A38,"_",AS$3),'Unit List'!$A$14:$H$2838,2,FALSE)),"X",$AP38)</f>
        <v>+</v>
      </c>
      <c r="AT38" s="74" t="str">
        <f>IF(ISTEXT(VLOOKUP(CONCATENATE($A38,"_",AT$3),'Unit List'!$A$14:$H$2838,2,FALSE)),"X",$AP38)</f>
        <v>+</v>
      </c>
      <c r="AU38" s="77" t="str">
        <f>IF(ISTEXT(VLOOKUP(CONCATENATE($A38,"_",AU$3),'Unit List'!$A$14:$H$2838,2,FALSE)),"+","")</f>
        <v/>
      </c>
      <c r="AV38" s="66" t="str">
        <f>IF(ISTEXT(VLOOKUP(CONCATENATE($A38,"_",AV$3),'Unit List'!$A$14:$H$2838,2,FALSE)),"X",$AU38)</f>
        <v/>
      </c>
      <c r="AW38" s="74" t="str">
        <f>IF(ISTEXT(VLOOKUP(CONCATENATE($A38,"_",AW$3),'Unit List'!$A$14:$H$2838,2,FALSE)),"X",$AU38)</f>
        <v/>
      </c>
      <c r="AX38" s="68" t="str">
        <f>IF(ISTEXT(VLOOKUP(CONCATENATE($A38,"_",AX$3),'Unit List'!$A$14:$H$2838,2,FALSE)),"+","")</f>
        <v/>
      </c>
      <c r="AY38" s="66" t="str">
        <f>IF(ISTEXT(VLOOKUP(CONCATENATE($A38,"_",AY$3),'Unit List'!$A$14:$H$2838,2,FALSE)),"X",$AX38)</f>
        <v/>
      </c>
      <c r="AZ38" s="71" t="str">
        <f>IF(ISTEXT(VLOOKUP(CONCATENATE($A38,"_",AZ$3),'Unit List'!$A$14:$H$2838,2,FALSE)),"X",$AX38)</f>
        <v/>
      </c>
      <c r="BA38" s="78" t="str">
        <f>IF(ISTEXT(VLOOKUP(CONCATENATE($A38,"_",BA$3),'Unit List'!$A$14:$H$2838,2,FALSE)),"+","")</f>
        <v/>
      </c>
      <c r="BB38" s="66" t="str">
        <f>IF(ISTEXT(VLOOKUP(CONCATENATE($A38,"_",BB$3),'Unit List'!$A$14:$H$2838,2,FALSE)),"X",$BA38)</f>
        <v/>
      </c>
      <c r="BC38" s="66" t="str">
        <f>IF(ISTEXT(VLOOKUP(CONCATENATE($A38,"_",BC$3),'Unit List'!$A$14:$H$2838,2,FALSE)),"X",$BA38)</f>
        <v/>
      </c>
      <c r="BD38" s="74" t="str">
        <f>IF(ISTEXT(VLOOKUP(CONCATENATE($A38,"_",BD$3),'Unit List'!$A$14:$H$2838,2,FALSE)),"X",$BA38)</f>
        <v/>
      </c>
      <c r="BE38" s="91" t="str">
        <f>IF(ISTEXT(VLOOKUP(CONCATENATE($A38,"_",BE$3),'Unit List'!$A$14:$H$2838,2,FALSE)),"+","")</f>
        <v/>
      </c>
      <c r="BF38" s="89" t="str">
        <f>IF(ISTEXT(VLOOKUP(CONCATENATE($A38,"_",BF$3),'Unit List'!$A$14:$H$2838,2,FALSE)),"X",$BE38)</f>
        <v/>
      </c>
      <c r="BG38" s="92"/>
      <c r="BH38" s="93" t="s">
        <v>0</v>
      </c>
      <c r="BI38" s="264"/>
      <c r="BJ38" s="265"/>
      <c r="BK38" s="265"/>
      <c r="BL38" s="265"/>
      <c r="BM38" s="266"/>
      <c r="BN38" s="81"/>
      <c r="BO38" s="81"/>
      <c r="BP38" s="81"/>
      <c r="BQ38" s="81"/>
      <c r="BR38" s="81"/>
      <c r="BS38" s="81"/>
      <c r="DZ38" s="82"/>
      <c r="EA38" s="82"/>
    </row>
    <row r="39" spans="1:131" ht="12.75" customHeight="1" x14ac:dyDescent="0.2">
      <c r="A39" s="83" t="s">
        <v>1147</v>
      </c>
      <c r="B39" s="59" t="str">
        <f>IF(ISTEXT(VLOOKUP(CONCATENATE($A39,"_",B$3),'Unit List'!$A$14:$H$2838,2,FALSE)),"+","")</f>
        <v/>
      </c>
      <c r="C39" s="84" t="str">
        <f>IF(ISTEXT(VLOOKUP(CONCATENATE($A39,"_",C$3),'Unit List'!$A$14:$H$2838,2,FALSE)),"X",$B39)</f>
        <v/>
      </c>
      <c r="D39" s="66" t="str">
        <f>IF(ISTEXT(VLOOKUP(CONCATENATE($A39,"_",D$3),'Unit List'!$A$14:$H$2838,2,FALSE)),"X",$B39)</f>
        <v/>
      </c>
      <c r="E39" s="66" t="str">
        <f>IF(ISTEXT(VLOOKUP(CONCATENATE($A39,"_",E$3),'Unit List'!$A$14:$H$2838,2,FALSE)),"X",$B39)</f>
        <v/>
      </c>
      <c r="F39" s="66" t="str">
        <f>IF(ISTEXT(VLOOKUP(CONCATENATE($A39,"_",F$3),'Unit List'!$A$14:$H$2838,2,FALSE)),"X",$B39)</f>
        <v/>
      </c>
      <c r="G39" s="96" t="str">
        <f>IF(ISTEXT(VLOOKUP(CONCATENATE($A39,"_",G$3),'Unit List'!$A$14:$H$2838,2,FALSE)),"X",$B39)</f>
        <v>X</v>
      </c>
      <c r="H39" s="66" t="str">
        <f>IF(ISTEXT(VLOOKUP(CONCATENATE($A39,"_",H$3),'Unit List'!$A$14:$H$2838,2,FALSE)),"X",$B39)</f>
        <v>X</v>
      </c>
      <c r="I39" s="74" t="str">
        <f>IF(ISTEXT(VLOOKUP(CONCATENATE($A39,"_",I$3),'Unit List'!$A$14:$H$2838,2,FALSE)),"X",$B39)</f>
        <v/>
      </c>
      <c r="J39" s="64" t="str">
        <f>IF(ISTEXT(VLOOKUP(CONCATENATE($A39,"_",J$3),'Unit List'!$A$14:$H$2838,2,FALSE)),"+","")</f>
        <v/>
      </c>
      <c r="K39" s="66" t="str">
        <f>IF(ISTEXT(VLOOKUP(CONCATENATE($A39,"_",K$3),'Unit List'!$A$14:$H$2838,2,FALSE)),"X",$J39)</f>
        <v/>
      </c>
      <c r="L39" s="89" t="str">
        <f>IF(ISTEXT(VLOOKUP(CONCATENATE($A39,"_",L$3),'Unit List'!$A$14:$H$2838,2,FALSE)),"X",$J39)</f>
        <v/>
      </c>
      <c r="M39" s="64" t="str">
        <f>IF(ISTEXT(VLOOKUP(CONCATENATE($A39,"_",M$3),'Unit List'!$A$14:$H$2838,2,FALSE)),"+","")</f>
        <v/>
      </c>
      <c r="N39" s="66" t="str">
        <f>IF(ISTEXT(VLOOKUP(CONCATENATE($A39,"_",N$3),'Unit List'!$A$14:$H$2838,2,FALSE)),"X",$M39)</f>
        <v/>
      </c>
      <c r="O39" s="74" t="str">
        <f>IF(ISTEXT(VLOOKUP(CONCATENATE($A39,"_",O$3),'Unit List'!$A$14:$H$2838,2,FALSE)),"X",$M39)</f>
        <v/>
      </c>
      <c r="P39" s="68" t="str">
        <f>IF(ISTEXT(VLOOKUP(CONCATENATE($A39,"_",P$3),'Unit List'!$A$14:$H$2838,2,FALSE)),"+","")</f>
        <v/>
      </c>
      <c r="Q39" s="66" t="str">
        <f>IF(ISTEXT(VLOOKUP(CONCATENATE($A39,"_",Q$3),'Unit List'!$A$14:$H$2838,2,FALSE)),"X",$P39)</f>
        <v/>
      </c>
      <c r="R39" s="66" t="str">
        <f>IF(ISTEXT(VLOOKUP(CONCATENATE($A39,"_",R$3),'Unit List'!$A$14:$H$2838,2,FALSE)),"X",$P39)</f>
        <v/>
      </c>
      <c r="S39" s="66" t="str">
        <f>IF(ISTEXT(VLOOKUP(CONCATENATE($A39,"_",S$3),'Unit List'!$A$14:$H$2838,2,FALSE)),"X",$P39)</f>
        <v/>
      </c>
      <c r="T39" s="69" t="str">
        <f>IF(ISTEXT(VLOOKUP(CONCATENATE($A39,"_",T$3),'Unit List'!$A$14:$H$2838,2,FALSE)),"X",$P39)</f>
        <v/>
      </c>
      <c r="U39" s="66" t="str">
        <f>IF(ISTEXT(VLOOKUP(CONCATENATE($A39,"_",U$3),'Unit List'!$A$14:$H$2838,2,FALSE)),"X",$P39)</f>
        <v/>
      </c>
      <c r="V39" s="96" t="str">
        <f>IF(ISTEXT(VLOOKUP(CONCATENATE($A39,"_",V$3),'Unit List'!$A$14:$H$2838,2,FALSE)),"X",$P39)</f>
        <v>X</v>
      </c>
      <c r="W39" s="71" t="str">
        <f>IF(ISTEXT(VLOOKUP(CONCATENATE($A39,"_",W$3),'Unit List'!$A$14:$H$2838,2,FALSE)),"X",$P39)</f>
        <v/>
      </c>
      <c r="X39" s="68" t="str">
        <f>IF(ISTEXT(VLOOKUP(CONCATENATE($A39,"_",X$3),'Unit List'!$A$14:$H$2838,2,FALSE)),"+","")</f>
        <v>+</v>
      </c>
      <c r="Y39" s="133" t="str">
        <f>IF(ISTEXT(VLOOKUP(CONCATENATE($A39,"_",Y$3),'Unit List'!$A$14:$H$2838,2,FALSE)),"X",$X39)</f>
        <v>+</v>
      </c>
      <c r="Z39" s="133" t="str">
        <f>IF(ISTEXT(VLOOKUP(CONCATENATE($A39,"_",Z$3),'Unit List'!$A$14:$H$2838,2,FALSE)),"X",$X39)</f>
        <v>+</v>
      </c>
      <c r="AA39" s="133" t="str">
        <f>IF(ISTEXT(VLOOKUP(CONCATENATE($A39,"_",AA$3),'Unit List'!$A$14:$H$2838,2,FALSE)),"X",$X39)</f>
        <v>+</v>
      </c>
      <c r="AB39" s="133" t="str">
        <f>IF(ISTEXT(VLOOKUP(CONCATENATE($A39,"_",AB$3),'Unit List'!$A$14:$H$2838,2,FALSE)),"X",$X39)</f>
        <v>+</v>
      </c>
      <c r="AC39" s="135" t="str">
        <f>IF(ISTEXT(VLOOKUP(CONCATENATE($A39,"_",AC$3),'Unit List'!$A$14:$H$2838,2,FALSE)),"X",$X39)</f>
        <v>+</v>
      </c>
      <c r="AD39" s="68" t="str">
        <f>IF(ISTEXT(VLOOKUP(CONCATENATE($A39,"_",AD$3),'Unit List'!$A$14:$H$2838,2,FALSE)),"+","")</f>
        <v/>
      </c>
      <c r="AE39" s="66" t="str">
        <f>IF(ISTEXT(VLOOKUP(CONCATENATE($A39,"_",AE$3),'Unit List'!$A$14:$H$2838,2,FALSE)),"X",$AD39)</f>
        <v/>
      </c>
      <c r="AF39" s="72" t="str">
        <f>IF(ISTEXT(VLOOKUP(CONCATENATE($A39,"_",AF$3),'Unit List'!$A$14:$H$2838,2,FALSE)),"X",$AD39)</f>
        <v/>
      </c>
      <c r="AG39" s="68" t="str">
        <f>IF(ISTEXT(VLOOKUP(CONCATENATE($A39,"_",AG$3),'Unit List'!$A$14:$H$2838,2,FALSE)),"+","")</f>
        <v/>
      </c>
      <c r="AH39" s="66" t="str">
        <f>IF(ISTEXT(VLOOKUP(CONCATENATE($A39,"_",AH$3),'Unit List'!$A$14:$H$2838,2,FALSE)),"X",$AG39)</f>
        <v/>
      </c>
      <c r="AI39" s="66" t="str">
        <f>IF(ISTEXT(VLOOKUP(CONCATENATE($A39,"_",AI$3),'Unit List'!$A$14:$H$2838,2,FALSE)),"X",$AG39)</f>
        <v/>
      </c>
      <c r="AJ39" s="74" t="str">
        <f>IF(ISTEXT(VLOOKUP(CONCATENATE($A39,"_",AJ$3),'Unit List'!$A$14:$H$2838,2,FALSE)),"X",$AG39)</f>
        <v/>
      </c>
      <c r="AK39" s="64" t="str">
        <f>IF(ISTEXT(VLOOKUP(CONCATENATE($A39,"_",AK$3),'Unit List'!$A$14:$H$2838,2,FALSE)),"+","")</f>
        <v/>
      </c>
      <c r="AL39" s="69" t="str">
        <f>IF(ISTEXT(VLOOKUP(CONCATENATE($A39,"_",AL$3),'Unit List'!$A$14:$H$2838,2,FALSE)),"X",$AK39)</f>
        <v/>
      </c>
      <c r="AM39" s="74" t="str">
        <f>IF(ISTEXT(VLOOKUP(CONCATENATE($A39,"_",AM$3),'Unit List'!$A$14:$H$2838,2,FALSE)),"X",$AK39)</f>
        <v/>
      </c>
      <c r="AN39" s="91" t="str">
        <f>IF(ISTEXT(VLOOKUP(CONCATENATE($A39,"_",AN$3),'Unit List'!$A$14:$H$2838,2,FALSE)),"+","")</f>
        <v/>
      </c>
      <c r="AO39" s="74" t="str">
        <f>IF(ISTEXT(VLOOKUP(CONCATENATE($A39,"_",AO$3),'Unit List'!$A$14:$H$2838,2,FALSE)),"X",$AN39)</f>
        <v/>
      </c>
      <c r="AP39" s="68" t="str">
        <f>IF(ISTEXT(VLOOKUP(CONCATENATE($A39,"_",AP$3),'Unit List'!$A$14:$H$2838,2,FALSE)),"+","")</f>
        <v/>
      </c>
      <c r="AQ39" s="66" t="str">
        <f>IF(ISTEXT(VLOOKUP(CONCATENATE($A39,"_",AQ$3),'Unit List'!$A$14:$H$2838,2,FALSE)),"X",$AP39)</f>
        <v/>
      </c>
      <c r="AR39" s="66" t="str">
        <f>IF(ISTEXT(VLOOKUP(CONCATENATE($A39,"_",AR$3),'Unit List'!$A$14:$H$2838,2,FALSE)),"X",$AP39)</f>
        <v/>
      </c>
      <c r="AS39" s="66" t="str">
        <f>IF(ISTEXT(VLOOKUP(CONCATENATE($A39,"_",AS$3),'Unit List'!$A$14:$H$2838,2,FALSE)),"X",$AP39)</f>
        <v/>
      </c>
      <c r="AT39" s="74" t="str">
        <f>IF(ISTEXT(VLOOKUP(CONCATENATE($A39,"_",AT$3),'Unit List'!$A$14:$H$2838,2,FALSE)),"X",$AP39)</f>
        <v/>
      </c>
      <c r="AU39" s="77" t="str">
        <f>IF(ISTEXT(VLOOKUP(CONCATENATE($A39,"_",AU$3),'Unit List'!$A$14:$H$2838,2,FALSE)),"+","")</f>
        <v/>
      </c>
      <c r="AV39" s="66" t="str">
        <f>IF(ISTEXT(VLOOKUP(CONCATENATE($A39,"_",AV$3),'Unit List'!$A$14:$H$2838,2,FALSE)),"X",$AU39)</f>
        <v/>
      </c>
      <c r="AW39" s="74" t="str">
        <f>IF(ISTEXT(VLOOKUP(CONCATENATE($A39,"_",AW$3),'Unit List'!$A$14:$H$2838,2,FALSE)),"X",$AU39)</f>
        <v/>
      </c>
      <c r="AX39" s="68" t="str">
        <f>IF(ISTEXT(VLOOKUP(CONCATENATE($A39,"_",AX$3),'Unit List'!$A$14:$H$2838,2,FALSE)),"+","")</f>
        <v/>
      </c>
      <c r="AY39" s="66" t="str">
        <f>IF(ISTEXT(VLOOKUP(CONCATENATE($A39,"_",AY$3),'Unit List'!$A$14:$H$2838,2,FALSE)),"X",$AX39)</f>
        <v/>
      </c>
      <c r="AZ39" s="71" t="str">
        <f>IF(ISTEXT(VLOOKUP(CONCATENATE($A39,"_",AZ$3),'Unit List'!$A$14:$H$2838,2,FALSE)),"X",$AX39)</f>
        <v/>
      </c>
      <c r="BA39" s="78" t="str">
        <f>IF(ISTEXT(VLOOKUP(CONCATENATE($A39,"_",BA$3),'Unit List'!$A$14:$H$2838,2,FALSE)),"+","")</f>
        <v>+</v>
      </c>
      <c r="BB39" s="66" t="str">
        <f>IF(ISTEXT(VLOOKUP(CONCATENATE($A39,"_",BB$3),'Unit List'!$A$14:$H$2838,2,FALSE)),"X",$BA39)</f>
        <v>+</v>
      </c>
      <c r="BC39" s="66" t="str">
        <f>IF(ISTEXT(VLOOKUP(CONCATENATE($A39,"_",BC$3),'Unit List'!$A$14:$H$2838,2,FALSE)),"X",$BA39)</f>
        <v>+</v>
      </c>
      <c r="BD39" s="74" t="str">
        <f>IF(ISTEXT(VLOOKUP(CONCATENATE($A39,"_",BD$3),'Unit List'!$A$14:$H$2838,2,FALSE)),"X",$BA39)</f>
        <v>+</v>
      </c>
      <c r="BE39" s="91" t="str">
        <f>IF(ISTEXT(VLOOKUP(CONCATENATE($A39,"_",BE$3),'Unit List'!$A$14:$H$2838,2,FALSE)),"+","")</f>
        <v/>
      </c>
      <c r="BF39" s="89" t="str">
        <f>IF(ISTEXT(VLOOKUP(CONCATENATE($A39,"_",BF$3),'Unit List'!$A$14:$H$2838,2,FALSE)),"X",$BE39)</f>
        <v/>
      </c>
      <c r="BG39" s="92"/>
      <c r="BH39" s="93" t="s">
        <v>0</v>
      </c>
      <c r="BI39" s="264"/>
      <c r="BJ39" s="265"/>
      <c r="BK39" s="265"/>
      <c r="BL39" s="265"/>
      <c r="BM39" s="266"/>
      <c r="BN39" s="81"/>
      <c r="BO39" s="81"/>
      <c r="BP39" s="81"/>
      <c r="BQ39" s="81"/>
      <c r="BR39" s="81"/>
      <c r="BS39" s="81"/>
      <c r="DZ39" s="82"/>
      <c r="EA39" s="82"/>
    </row>
    <row r="40" spans="1:131" ht="12.75" customHeight="1" x14ac:dyDescent="0.2">
      <c r="A40" s="83" t="s">
        <v>1148</v>
      </c>
      <c r="B40" s="59" t="str">
        <f>IF(ISTEXT(VLOOKUP(CONCATENATE($A40,"_",B$3),'Unit List'!$A$14:$H$2838,2,FALSE)),"+","")</f>
        <v/>
      </c>
      <c r="C40" s="119" t="str">
        <f>IF(ISTEXT(VLOOKUP(CONCATENATE($A40,"_",C$3),'Unit List'!$A$14:$H$2838,2,FALSE)),"X",$B40)</f>
        <v>X</v>
      </c>
      <c r="D40" s="66" t="str">
        <f>IF(ISTEXT(VLOOKUP(CONCATENATE($A40,"_",D$3),'Unit List'!$A$14:$H$2838,2,FALSE)),"X",$B40)</f>
        <v>X</v>
      </c>
      <c r="E40" s="133" t="str">
        <f>IF(ISTEXT(VLOOKUP(CONCATENATE($A40,"_",E$3),'Unit List'!$A$14:$H$2838,2,FALSE)),"X",$B40)</f>
        <v>X</v>
      </c>
      <c r="F40" s="96" t="str">
        <f>IF(ISTEXT(VLOOKUP(CONCATENATE($A40,"_",F$3),'Unit List'!$A$14:$H$2838,2,FALSE)),"X",$B40)</f>
        <v>X</v>
      </c>
      <c r="G40" s="96" t="str">
        <f>IF(ISTEXT(VLOOKUP(CONCATENATE($A40,"_",G$3),'Unit List'!$A$14:$H$2838,2,FALSE)),"X",$B40)</f>
        <v>X</v>
      </c>
      <c r="H40" s="96" t="str">
        <f>IF(ISTEXT(VLOOKUP(CONCATENATE($A40,"_",H$3),'Unit List'!$A$14:$H$2838,2,FALSE)),"X",$B40)</f>
        <v>X</v>
      </c>
      <c r="I40" s="74" t="str">
        <f>IF(ISTEXT(VLOOKUP(CONCATENATE($A40,"_",I$3),'Unit List'!$A$14:$H$2838,2,FALSE)),"X",$B40)</f>
        <v>X</v>
      </c>
      <c r="J40" s="97" t="str">
        <f>IF(ISTEXT(VLOOKUP(CONCATENATE($A40,"_",J$3),'Unit List'!$A$14:$H$2838,2,FALSE)),"+","")</f>
        <v/>
      </c>
      <c r="K40" s="66" t="str">
        <f>IF(ISTEXT(VLOOKUP(CONCATENATE($A40,"_",K$3),'Unit List'!$A$14:$H$2838,2,FALSE)),"X",$J40)</f>
        <v/>
      </c>
      <c r="L40" s="89" t="str">
        <f>IF(ISTEXT(VLOOKUP(CONCATENATE($A40,"_",L$3),'Unit List'!$A$14:$H$2838,2,FALSE)),"X",$J40)</f>
        <v/>
      </c>
      <c r="M40" s="97" t="str">
        <f>IF(ISTEXT(VLOOKUP(CONCATENATE($A40,"_",M$3),'Unit List'!$A$14:$H$2838,2,FALSE)),"+","")</f>
        <v>+</v>
      </c>
      <c r="N40" s="106" t="str">
        <f>IF(ISTEXT(VLOOKUP(CONCATENATE($A40,"_",N$3),'Unit List'!$A$14:$H$2838,2,FALSE)),"X",$M40)</f>
        <v>+</v>
      </c>
      <c r="O40" s="104" t="str">
        <f>IF(ISTEXT(VLOOKUP(CONCATENATE($A40,"_",O$3),'Unit List'!$A$14:$H$2838,2,FALSE)),"X",$M40)</f>
        <v>X</v>
      </c>
      <c r="P40" s="68" t="str">
        <f>IF(ISTEXT(VLOOKUP(CONCATENATE($A40,"_",P$3),'Unit List'!$A$14:$H$2838,2,FALSE)),"+","")</f>
        <v/>
      </c>
      <c r="Q40" s="66" t="str">
        <f>IF(ISTEXT(VLOOKUP(CONCATENATE($A40,"_",Q$3),'Unit List'!$A$14:$H$2838,2,FALSE)),"X",$P40)</f>
        <v/>
      </c>
      <c r="R40" s="66" t="str">
        <f>IF(ISTEXT(VLOOKUP(CONCATENATE($A40,"_",R$3),'Unit List'!$A$14:$H$2838,2,FALSE)),"X",$P40)</f>
        <v/>
      </c>
      <c r="S40" s="66" t="str">
        <f>IF(ISTEXT(VLOOKUP(CONCATENATE($A40,"_",S$3),'Unit List'!$A$14:$H$2838,2,FALSE)),"X",$P40)</f>
        <v>X</v>
      </c>
      <c r="T40" s="69" t="str">
        <f>IF(ISTEXT(VLOOKUP(CONCATENATE($A40,"_",T$3),'Unit List'!$A$14:$H$2838,2,FALSE)),"X",$P40)</f>
        <v/>
      </c>
      <c r="U40" s="125" t="str">
        <f>IF(ISTEXT(VLOOKUP(CONCATENATE($A40,"_",U$3),'Unit List'!$A$14:$H$2838,2,FALSE)),"X",$P40)</f>
        <v>X</v>
      </c>
      <c r="V40" s="66" t="str">
        <f>IF(ISTEXT(VLOOKUP(CONCATENATE($A40,"_",V$3),'Unit List'!$A$14:$H$2838,2,FALSE)),"X",$P40)</f>
        <v/>
      </c>
      <c r="W40" s="71" t="str">
        <f>IF(ISTEXT(VLOOKUP(CONCATENATE($A40,"_",W$3),'Unit List'!$A$14:$H$2838,2,FALSE)),"X",$P40)</f>
        <v/>
      </c>
      <c r="X40" s="101" t="str">
        <f>IF(ISTEXT(VLOOKUP(CONCATENATE($A40,"_",X$3),'Unit List'!$A$14:$H$2838,2,FALSE)),"+","")</f>
        <v>+</v>
      </c>
      <c r="Y40" s="96" t="str">
        <f>IF(ISTEXT(VLOOKUP(CONCATENATE($A40,"_",Y$3),'Unit List'!$A$14:$H$2838,2,FALSE)),"X",$X40)</f>
        <v>X</v>
      </c>
      <c r="Z40" s="133" t="str">
        <f>IF(ISTEXT(VLOOKUP(CONCATENATE($A40,"_",Z$3),'Unit List'!$A$14:$H$2838,2,FALSE)),"X",$X40)</f>
        <v>+</v>
      </c>
      <c r="AA40" s="96" t="str">
        <f>IF(ISTEXT(VLOOKUP(CONCATENATE($A40,"_",AA$3),'Unit List'!$A$14:$H$2838,2,FALSE)),"X",$X40)</f>
        <v>X</v>
      </c>
      <c r="AB40" s="96" t="str">
        <f>IF(ISTEXT(VLOOKUP(CONCATENATE($A40,"_",AB$3),'Unit List'!$A$14:$H$2838,2,FALSE)),"X",$X40)</f>
        <v>X</v>
      </c>
      <c r="AC40" s="98" t="str">
        <f>IF(ISTEXT(VLOOKUP(CONCATENATE($A40,"_",AC$3),'Unit List'!$A$14:$H$2838,2,FALSE)),"X",$X40)</f>
        <v>X</v>
      </c>
      <c r="AD40" s="101" t="str">
        <f>IF(ISTEXT(VLOOKUP(CONCATENATE($A40,"_",AD$3),'Unit List'!$A$14:$H$2838,2,FALSE)),"+","")</f>
        <v>+</v>
      </c>
      <c r="AE40" s="66" t="str">
        <f>IF(ISTEXT(VLOOKUP(CONCATENATE($A40,"_",AE$3),'Unit List'!$A$14:$H$2838,2,FALSE)),"X",$AD40)</f>
        <v>+</v>
      </c>
      <c r="AF40" s="72" t="str">
        <f>IF(ISTEXT(VLOOKUP(CONCATENATE($A40,"_",AF$3),'Unit List'!$A$14:$H$2838,2,FALSE)),"X",$AD40)</f>
        <v>+</v>
      </c>
      <c r="AG40" s="101" t="str">
        <f>IF(ISTEXT(VLOOKUP(CONCATENATE($A40,"_",AG$3),'Unit List'!$A$14:$H$2838,2,FALSE)),"+","")</f>
        <v>+</v>
      </c>
      <c r="AH40" s="96" t="str">
        <f>IF(ISTEXT(VLOOKUP(CONCATENATE($A40,"_",AH$3),'Unit List'!$A$14:$H$2838,2,FALSE)),"X",$AG40)</f>
        <v>X</v>
      </c>
      <c r="AI40" s="96" t="str">
        <f>IF(ISTEXT(VLOOKUP(CONCATENATE($A40,"_",AI$3),'Unit List'!$A$14:$H$2838,2,FALSE)),"X",$AG40)</f>
        <v>X</v>
      </c>
      <c r="AJ40" s="107" t="str">
        <f>IF(ISTEXT(VLOOKUP(CONCATENATE($A40,"_",AJ$3),'Unit List'!$A$14:$H$2838,2,FALSE)),"X",$AG40)</f>
        <v>+</v>
      </c>
      <c r="AK40" s="101" t="str">
        <f>IF(ISTEXT(VLOOKUP(CONCATENATE($A40,"_",AK$3),'Unit List'!$A$14:$H$2838,2,FALSE)),"+","")</f>
        <v>+</v>
      </c>
      <c r="AL40" s="150" t="str">
        <f>IF(ISTEXT(VLOOKUP(CONCATENATE($A40,"_",AL$3),'Unit List'!$A$14:$H$2838,2,FALSE)),"X",$AK40)</f>
        <v>+</v>
      </c>
      <c r="AM40" s="102" t="str">
        <f>IF(ISTEXT(VLOOKUP(CONCATENATE($A40,"_",AM$3),'Unit List'!$A$14:$H$2838,2,FALSE)),"X",$AK40)</f>
        <v>X</v>
      </c>
      <c r="AN40" s="91" t="str">
        <f>IF(ISTEXT(VLOOKUP(CONCATENATE($A40,"_",AN$3),'Unit List'!$A$14:$H$2838,2,FALSE)),"+","")</f>
        <v>+</v>
      </c>
      <c r="AO40" s="100" t="str">
        <f>IF(ISTEXT(VLOOKUP(CONCATENATE($A40,"_",AO$3),'Unit List'!$A$14:$H$2838,2,FALSE)),"X",$AN40)</f>
        <v>X</v>
      </c>
      <c r="AP40" s="101" t="str">
        <f>IF(ISTEXT(VLOOKUP(CONCATENATE($A40,"_",AP$3),'Unit List'!$A$14:$H$2838,2,FALSE)),"+","")</f>
        <v>+</v>
      </c>
      <c r="AQ40" s="96" t="str">
        <f>IF(ISTEXT(VLOOKUP(CONCATENATE($A40,"_",AQ$3),'Unit List'!$A$14:$H$2838,2,FALSE)),"X",$AP40)</f>
        <v>X</v>
      </c>
      <c r="AR40" s="133" t="str">
        <f>IF(ISTEXT(VLOOKUP(CONCATENATE($A40,"_",AR$3),'Unit List'!$A$14:$H$2838,2,FALSE)),"X",$AP40)</f>
        <v>+</v>
      </c>
      <c r="AS40" s="133" t="str">
        <f>IF(ISTEXT(VLOOKUP(CONCATENATE($A40,"_",AS$3),'Unit List'!$A$14:$H$2838,2,FALSE)),"X",$AP40)</f>
        <v>+</v>
      </c>
      <c r="AT40" s="100" t="str">
        <f>IF(ISTEXT(VLOOKUP(CONCATENATE($A40,"_",AT$3),'Unit List'!$A$14:$H$2838,2,FALSE)),"X",$AP40)</f>
        <v>X</v>
      </c>
      <c r="AU40" s="77" t="str">
        <f>IF(ISTEXT(VLOOKUP(CONCATENATE($A40,"_",AU$3),'Unit List'!$A$14:$H$2838,2,FALSE)),"+","")</f>
        <v>+</v>
      </c>
      <c r="AV40" s="133" t="str">
        <f>IF(ISTEXT(VLOOKUP(CONCATENATE($A40,"_",AV$3),'Unit List'!$A$14:$H$2838,2,FALSE)),"X",$AU40)</f>
        <v>+</v>
      </c>
      <c r="AW40" s="100" t="str">
        <f>IF(ISTEXT(VLOOKUP(CONCATENATE($A40,"_",AW$3),'Unit List'!$A$14:$H$2838,2,FALSE)),"X",$AU40)</f>
        <v>X</v>
      </c>
      <c r="AX40" s="68" t="str">
        <f>IF(ISTEXT(VLOOKUP(CONCATENATE($A40,"_",AX$3),'Unit List'!$A$14:$H$2838,2,FALSE)),"+","")</f>
        <v>+</v>
      </c>
      <c r="AY40" s="133" t="str">
        <f>IF(ISTEXT(VLOOKUP(CONCATENATE($A40,"_",AY$3),'Unit List'!$A$14:$H$2838,2,FALSE)),"X",$AX40)</f>
        <v>+</v>
      </c>
      <c r="AZ40" s="134" t="str">
        <f>IF(ISTEXT(VLOOKUP(CONCATENATE($A40,"_",AZ$3),'Unit List'!$A$14:$H$2838,2,FALSE)),"X",$AX40)</f>
        <v>+</v>
      </c>
      <c r="BA40" s="78" t="str">
        <f>IF(ISTEXT(VLOOKUP(CONCATENATE($A40,"_",BA$3),'Unit List'!$A$14:$H$2838,2,FALSE)),"+","")</f>
        <v/>
      </c>
      <c r="BB40" s="66" t="str">
        <f>IF(ISTEXT(VLOOKUP(CONCATENATE($A40,"_",BB$3),'Unit List'!$A$14:$H$2838,2,FALSE)),"X",$BA40)</f>
        <v/>
      </c>
      <c r="BC40" s="96" t="str">
        <f>IF(ISTEXT(VLOOKUP(CONCATENATE($A40,"_",BC$3),'Unit List'!$A$14:$H$2838,2,FALSE)),"X",$BA40)</f>
        <v>X</v>
      </c>
      <c r="BD40" s="74" t="str">
        <f>IF(ISTEXT(VLOOKUP(CONCATENATE($A40,"_",BD$3),'Unit List'!$A$14:$H$2838,2,FALSE)),"X",$BA40)</f>
        <v/>
      </c>
      <c r="BE40" s="91" t="str">
        <f>IF(ISTEXT(VLOOKUP(CONCATENATE($A40,"_",BE$3),'Unit List'!$A$14:$H$2838,2,FALSE)),"+","")</f>
        <v>+</v>
      </c>
      <c r="BF40" s="135" t="str">
        <f>IF(ISTEXT(VLOOKUP(CONCATENATE($A40,"_",BF$3),'Unit List'!$A$14:$H$2838,2,FALSE)),"X",$BE40)</f>
        <v>+</v>
      </c>
      <c r="BG40" s="92"/>
      <c r="BH40" s="93" t="s">
        <v>0</v>
      </c>
      <c r="BI40" s="264"/>
      <c r="BJ40" s="265"/>
      <c r="BK40" s="265"/>
      <c r="BL40" s="265"/>
      <c r="BM40" s="266"/>
      <c r="BN40" s="81"/>
      <c r="BO40" s="81"/>
      <c r="BP40" s="81"/>
      <c r="BQ40" s="81"/>
      <c r="BR40" s="81"/>
      <c r="BS40" s="81"/>
      <c r="DZ40" s="82"/>
      <c r="EA40" s="82"/>
    </row>
    <row r="41" spans="1:131" ht="12.75" customHeight="1" x14ac:dyDescent="0.2">
      <c r="A41" s="83" t="s">
        <v>25</v>
      </c>
      <c r="B41" s="59" t="str">
        <f>IF(ISTEXT(VLOOKUP(CONCATENATE($A41,"_",B$3),'Unit List'!$A$14:$H$2838,2,FALSE)),"+","")</f>
        <v/>
      </c>
      <c r="C41" s="151" t="s">
        <v>3</v>
      </c>
      <c r="D41" s="133" t="str">
        <f>IF(ISTEXT(VLOOKUP(CONCATENATE($A41,"_",D$3),'Unit List'!$A$14:$H$2838,2,FALSE)),"X",$B41)</f>
        <v>X</v>
      </c>
      <c r="E41" s="66" t="str">
        <f>IF(ISTEXT(VLOOKUP(CONCATENATE($A41,"_",E$3),'Unit List'!$A$14:$H$2838,2,FALSE)),"X",$B41)</f>
        <v/>
      </c>
      <c r="F41" s="96" t="str">
        <f>IF(ISTEXT(VLOOKUP(CONCATENATE($A41,"_",F$3),'Unit List'!$A$14:$H$2838,2,FALSE)),"X",$B41)</f>
        <v>X</v>
      </c>
      <c r="G41" s="127" t="s">
        <v>0</v>
      </c>
      <c r="H41" s="72" t="str">
        <f>IF(ISTEXT(VLOOKUP(CONCATENATE($A41,"_",H$3),'Unit List'!$A$14:$H$2838,2,FALSE)),"X",$B41)</f>
        <v>X</v>
      </c>
      <c r="I41" s="115" t="str">
        <f>IF(ISTEXT(VLOOKUP(CONCATENATE($A41,"_",I$3),'Unit List'!$A$14:$H$2838,2,FALSE)),"X",$B41)</f>
        <v>X</v>
      </c>
      <c r="J41" s="97" t="str">
        <f>IF(ISTEXT(VLOOKUP(CONCATENATE($A41,"_",J$3),'Unit List'!$A$14:$H$2838,2,FALSE)),"+","")</f>
        <v/>
      </c>
      <c r="K41" s="66" t="str">
        <f>IF(ISTEXT(VLOOKUP(CONCATENATE($A41,"_",K$3),'Unit List'!$A$14:$H$2838,2,FALSE)),"X",$J41)</f>
        <v/>
      </c>
      <c r="L41" s="89" t="str">
        <f>IF(ISTEXT(VLOOKUP(CONCATENATE($A41,"_",L$3),'Unit List'!$A$14:$H$2838,2,FALSE)),"X",$J41)</f>
        <v/>
      </c>
      <c r="M41" s="97" t="str">
        <f>IF(ISTEXT(VLOOKUP(CONCATENATE($A41,"_",M$3),'Unit List'!$A$14:$H$2838,2,FALSE)),"+","")</f>
        <v>+</v>
      </c>
      <c r="N41" s="133" t="str">
        <f>IF(ISTEXT(VLOOKUP(CONCATENATE($A41,"_",N$3),'Unit List'!$A$14:$H$2838,2,FALSE)),"X",$M41)</f>
        <v>X</v>
      </c>
      <c r="O41" s="71" t="str">
        <f>IF(ISTEXT(VLOOKUP(CONCATENATE($A41,"_",O$3),'Unit List'!$A$14:$H$2838,2,FALSE)),"X",$M41)</f>
        <v>X</v>
      </c>
      <c r="P41" s="68" t="str">
        <f>IF(ISTEXT(VLOOKUP(CONCATENATE($A41,"_",P$3),'Unit List'!$A$14:$H$2838,2,FALSE)),"+","")</f>
        <v/>
      </c>
      <c r="Q41" s="96" t="str">
        <f>IF(ISTEXT(VLOOKUP(CONCATENATE($A41,"_",Q$3),'Unit List'!$A$14:$H$2838,2,FALSE)),"X",$P41)</f>
        <v>X</v>
      </c>
      <c r="R41" s="66" t="str">
        <f>IF(ISTEXT(VLOOKUP(CONCATENATE($A41,"_",R$3),'Unit List'!$A$14:$H$2838,2,FALSE)),"X",$P41)</f>
        <v/>
      </c>
      <c r="S41" s="66" t="str">
        <f>IF(ISTEXT(VLOOKUP(CONCATENATE($A41,"_",S$3),'Unit List'!$A$14:$H$2838,2,FALSE)),"X",$P41)</f>
        <v/>
      </c>
      <c r="T41" s="69" t="str">
        <f>IF(ISTEXT(VLOOKUP(CONCATENATE($A41,"_",T$3),'Unit List'!$A$14:$H$2838,2,FALSE)),"X",$P41)</f>
        <v/>
      </c>
      <c r="U41" s="66" t="str">
        <f>IF(ISTEXT(VLOOKUP(CONCATENATE($A41,"_",U$3),'Unit List'!$A$14:$H$2838,2,FALSE)),"X",$P41)</f>
        <v/>
      </c>
      <c r="V41" s="103" t="s">
        <v>0</v>
      </c>
      <c r="W41" s="71" t="str">
        <f>IF(ISTEXT(VLOOKUP(CONCATENATE($A41,"_",W$3),'Unit List'!$A$14:$H$2838,2,FALSE)),"X",$P41)</f>
        <v/>
      </c>
      <c r="X41" s="68" t="str">
        <f>IF(ISTEXT(VLOOKUP(CONCATENATE($A41,"_",X$3),'Unit List'!$A$14:$H$2838,2,FALSE)),"+","")</f>
        <v/>
      </c>
      <c r="Y41" s="66" t="str">
        <f>IF(ISTEXT(VLOOKUP(CONCATENATE($A41,"_",Y$3),'Unit List'!$A$14:$H$2838,2,FALSE)),"X",$X41)</f>
        <v/>
      </c>
      <c r="Z41" s="66" t="str">
        <f>IF(ISTEXT(VLOOKUP(CONCATENATE($A41,"_",Z$3),'Unit List'!$A$14:$H$2838,2,FALSE)),"X",$X41)</f>
        <v/>
      </c>
      <c r="AA41" s="66" t="str">
        <f>IF(ISTEXT(VLOOKUP(CONCATENATE($A41,"_",AA$3),'Unit List'!$A$14:$H$2838,2,FALSE)),"X",$X41)</f>
        <v/>
      </c>
      <c r="AB41" s="66" t="str">
        <f>IF(ISTEXT(VLOOKUP(CONCATENATE($A41,"_",AB$3),'Unit List'!$A$14:$H$2838,2,FALSE)),"X",$X41)</f>
        <v/>
      </c>
      <c r="AC41" s="89" t="str">
        <f>IF(ISTEXT(VLOOKUP(CONCATENATE($A41,"_",AC$3),'Unit List'!$A$14:$H$2838,2,FALSE)),"X",$X41)</f>
        <v/>
      </c>
      <c r="AD41" s="101" t="str">
        <f>IF(ISTEXT(VLOOKUP(CONCATENATE($A41,"_",AD$3),'Unit List'!$A$14:$H$2838,2,FALSE)),"+","")</f>
        <v/>
      </c>
      <c r="AE41" s="66" t="str">
        <f>IF(ISTEXT(VLOOKUP(CONCATENATE($A41,"_",AE$3),'Unit List'!$A$14:$H$2838,2,FALSE)),"X",$AD41)</f>
        <v/>
      </c>
      <c r="AF41" s="72" t="str">
        <f>IF(ISTEXT(VLOOKUP(CONCATENATE($A41,"_",AF$3),'Unit List'!$A$14:$H$2838,2,FALSE)),"X",$AD41)</f>
        <v/>
      </c>
      <c r="AG41" s="101" t="str">
        <f>IF(ISTEXT(VLOOKUP(CONCATENATE($A41,"_",AG$3),'Unit List'!$A$14:$H$2838,2,FALSE)),"+","")</f>
        <v/>
      </c>
      <c r="AH41" s="96" t="str">
        <f>IF(ISTEXT(VLOOKUP(CONCATENATE($A41,"_",AH$3),'Unit List'!$A$14:$H$2838,2,FALSE)),"X",$AG41)</f>
        <v>X</v>
      </c>
      <c r="AI41" s="106" t="str">
        <f>IF(ISTEXT(VLOOKUP(CONCATENATE($A41,"_",AI$3),'Unit List'!$A$14:$H$2838,2,FALSE)),"X",$AG41)</f>
        <v/>
      </c>
      <c r="AJ41" s="107" t="str">
        <f>IF(ISTEXT(VLOOKUP(CONCATENATE($A41,"_",AJ$3),'Unit List'!$A$14:$H$2838,2,FALSE)),"X",$AG41)</f>
        <v/>
      </c>
      <c r="AK41" s="64" t="str">
        <f>IF(ISTEXT(VLOOKUP(CONCATENATE($A41,"_",AK$3),'Unit List'!$A$14:$H$2838,2,FALSE)),"+","")</f>
        <v/>
      </c>
      <c r="AL41" s="69" t="str">
        <f>IF(ISTEXT(VLOOKUP(CONCATENATE($A41,"_",AL$3),'Unit List'!$A$14:$H$2838,2,FALSE)),"X",$AK41)</f>
        <v/>
      </c>
      <c r="AM41" s="109" t="s">
        <v>0</v>
      </c>
      <c r="AN41" s="91" t="str">
        <f>IF(ISTEXT(VLOOKUP(CONCATENATE($A41,"_",AN$3),'Unit List'!$A$14:$H$2838,2,FALSE)),"+","")</f>
        <v/>
      </c>
      <c r="AO41" s="74" t="str">
        <f>IF(ISTEXT(VLOOKUP(CONCATENATE($A41,"_",AO$3),'Unit List'!$A$14:$H$2838,2,FALSE)),"X",$AN41)</f>
        <v/>
      </c>
      <c r="AP41" s="68" t="str">
        <f>IF(ISTEXT(VLOOKUP(CONCATENATE($A41,"_",AP$3),'Unit List'!$A$14:$H$2838,2,FALSE)),"+","")</f>
        <v/>
      </c>
      <c r="AQ41" s="66" t="str">
        <f>IF(ISTEXT(VLOOKUP(CONCATENATE($A41,"_",AQ$3),'Unit List'!$A$14:$H$2838,2,FALSE)),"X",$AP41)</f>
        <v/>
      </c>
      <c r="AR41" s="66" t="str">
        <f>IF(ISTEXT(VLOOKUP(CONCATENATE($A41,"_",AR$3),'Unit List'!$A$14:$H$2838,2,FALSE)),"X",$AP41)</f>
        <v/>
      </c>
      <c r="AS41" s="66" t="str">
        <f>IF(ISTEXT(VLOOKUP(CONCATENATE($A41,"_",AS$3),'Unit List'!$A$14:$H$2838,2,FALSE)),"X",$AP41)</f>
        <v/>
      </c>
      <c r="AT41" s="74" t="str">
        <f>IF(ISTEXT(VLOOKUP(CONCATENATE($A41,"_",AT$3),'Unit List'!$A$14:$H$2838,2,FALSE)),"X",$AP41)</f>
        <v/>
      </c>
      <c r="AU41" s="77" t="str">
        <f>IF(ISTEXT(VLOOKUP(CONCATENATE($A41,"_",AU$3),'Unit List'!$A$14:$H$2838,2,FALSE)),"+","")</f>
        <v/>
      </c>
      <c r="AV41" s="66" t="str">
        <f>IF(ISTEXT(VLOOKUP(CONCATENATE($A41,"_",AV$3),'Unit List'!$A$14:$H$2838,2,FALSE)),"X",$AU41)</f>
        <v/>
      </c>
      <c r="AW41" s="74" t="str">
        <f>IF(ISTEXT(VLOOKUP(CONCATENATE($A41,"_",AW$3),'Unit List'!$A$14:$H$2838,2,FALSE)),"X",$AU41)</f>
        <v/>
      </c>
      <c r="AX41" s="101" t="str">
        <f>IF(ISTEXT(VLOOKUP(CONCATENATE($A41,"_",AX$3),'Unit List'!$A$14:$H$2838,2,FALSE)),"+","")</f>
        <v>+</v>
      </c>
      <c r="AY41" s="96" t="str">
        <f>IF(ISTEXT(VLOOKUP(CONCATENATE($A41,"_",AY$3),'Unit List'!$A$14:$H$2838,2,FALSE)),"X",$AX41)</f>
        <v>X</v>
      </c>
      <c r="AZ41" s="115" t="str">
        <f>IF(ISTEXT(VLOOKUP(CONCATENATE($A41,"_",AZ$3),'Unit List'!$A$14:$H$2838,2,FALSE)),"X",$AX41)</f>
        <v>X</v>
      </c>
      <c r="BA41" s="78" t="str">
        <f>IF(ISTEXT(VLOOKUP(CONCATENATE($A41,"_",BA$3),'Unit List'!$A$14:$H$2838,2,FALSE)),"+","")</f>
        <v/>
      </c>
      <c r="BB41" s="66" t="str">
        <f>IF(ISTEXT(VLOOKUP(CONCATENATE($A41,"_",BB$3),'Unit List'!$A$14:$H$2838,2,FALSE)),"X",$BA41)</f>
        <v/>
      </c>
      <c r="BC41" s="66" t="str">
        <f>IF(ISTEXT(VLOOKUP(CONCATENATE($A41,"_",BC$3),'Unit List'!$A$14:$H$2838,2,FALSE)),"X",$BA41)</f>
        <v/>
      </c>
      <c r="BD41" s="74" t="str">
        <f>IF(ISTEXT(VLOOKUP(CONCATENATE($A41,"_",BD$3),'Unit List'!$A$14:$H$2838,2,FALSE)),"X",$BA41)</f>
        <v/>
      </c>
      <c r="BE41" s="91" t="str">
        <f>IF(ISTEXT(VLOOKUP(CONCATENATE($A41,"_",BE$3),'Unit List'!$A$14:$H$2838,2,FALSE)),"+","")</f>
        <v/>
      </c>
      <c r="BF41" s="89" t="str">
        <f>IF(ISTEXT(VLOOKUP(CONCATENATE($A41,"_",BF$3),'Unit List'!$A$14:$H$2838,2,FALSE)),"X",$BE41)</f>
        <v/>
      </c>
      <c r="BG41" s="111"/>
      <c r="BH41" s="121"/>
      <c r="BI41" s="261" t="s">
        <v>24</v>
      </c>
      <c r="BJ41" s="262"/>
      <c r="BK41" s="262"/>
      <c r="BL41" s="262"/>
      <c r="BM41" s="263"/>
      <c r="BN41" s="81"/>
      <c r="BO41" s="81"/>
      <c r="BP41" s="81"/>
      <c r="BQ41" s="81"/>
      <c r="BR41" s="81"/>
      <c r="BS41" s="81"/>
      <c r="DZ41" s="82"/>
      <c r="EA41" s="82"/>
    </row>
    <row r="42" spans="1:131" ht="12.75" customHeight="1" x14ac:dyDescent="0.2">
      <c r="A42" s="83" t="s">
        <v>1275</v>
      </c>
      <c r="B42" s="59" t="str">
        <f>IF(ISTEXT(VLOOKUP(CONCATENATE($A42,"_",B$3),'Unit List'!$A$14:$H$2838,2,FALSE)),"+","")</f>
        <v/>
      </c>
      <c r="C42" s="84" t="str">
        <f>IF(ISTEXT(VLOOKUP(CONCATENATE($A42,"_",C$3),'Unit List'!$A$14:$H$2838,2,FALSE)),"X",$B42)</f>
        <v/>
      </c>
      <c r="D42" s="66" t="str">
        <f>IF(ISTEXT(VLOOKUP(CONCATENATE($A42,"_",D$3),'Unit List'!$A$14:$H$2838,2,FALSE)),"X",$B42)</f>
        <v/>
      </c>
      <c r="E42" s="66" t="str">
        <f>IF(ISTEXT(VLOOKUP(CONCATENATE($A42,"_",E$3),'Unit List'!$A$14:$H$2838,2,FALSE)),"X",$B42)</f>
        <v/>
      </c>
      <c r="F42" s="66" t="str">
        <f>IF(ISTEXT(VLOOKUP(CONCATENATE($A42,"_",F$3),'Unit List'!$A$14:$H$2838,2,FALSE)),"X",$B42)</f>
        <v/>
      </c>
      <c r="G42" s="66" t="str">
        <f>IF(ISTEXT(VLOOKUP(CONCATENATE($A42,"_",G$3),'Unit List'!$A$14:$H$2838,2,FALSE)),"X",$B42)</f>
        <v/>
      </c>
      <c r="H42" s="66" t="str">
        <f>IF(ISTEXT(VLOOKUP(CONCATENATE($A42,"_",H$3),'Unit List'!$A$14:$H$2838,2,FALSE)),"X",$B42)</f>
        <v/>
      </c>
      <c r="I42" s="74" t="str">
        <f>IF(ISTEXT(VLOOKUP(CONCATENATE($A42,"_",I$3),'Unit List'!$A$14:$H$2838,2,FALSE)),"X",$B42)</f>
        <v/>
      </c>
      <c r="J42" s="68" t="str">
        <f>IF(ISTEXT(VLOOKUP(CONCATENATE($A42,"_",J$3),'Unit List'!$A$14:$H$2838,2,FALSE)),"+","")</f>
        <v/>
      </c>
      <c r="K42" s="66" t="str">
        <f>IF(ISTEXT(VLOOKUP(CONCATENATE($A42,"_",K$3),'Unit List'!$A$14:$H$2838,2,FALSE)),"X",$J42)</f>
        <v/>
      </c>
      <c r="L42" s="89" t="str">
        <f>IF(ISTEXT(VLOOKUP(CONCATENATE($A42,"_",L$3),'Unit List'!$A$14:$H$2838,2,FALSE)),"X",$J42)</f>
        <v/>
      </c>
      <c r="M42" s="68" t="str">
        <f>IF(ISTEXT(VLOOKUP(CONCATENATE($A42,"_",M$3),'Unit List'!$A$14:$H$2838,2,FALSE)),"+","")</f>
        <v/>
      </c>
      <c r="N42" s="66" t="str">
        <f>IF(ISTEXT(VLOOKUP(CONCATENATE($A42,"_",N$3),'Unit List'!$A$14:$H$2838,2,FALSE)),"X",$M42)</f>
        <v/>
      </c>
      <c r="O42" s="74" t="str">
        <f>IF(ISTEXT(VLOOKUP(CONCATENATE($A42,"_",O$3),'Unit List'!$A$14:$H$2838,2,FALSE)),"X",$M42)</f>
        <v/>
      </c>
      <c r="P42" s="68" t="str">
        <f>IF(ISTEXT(VLOOKUP(CONCATENATE($A42,"_",P$3),'Unit List'!$A$14:$H$2838,2,FALSE)),"+","")</f>
        <v/>
      </c>
      <c r="Q42" s="66" t="str">
        <f>IF(ISTEXT(VLOOKUP(CONCATENATE($A42,"_",Q$3),'Unit List'!$A$14:$H$2838,2,FALSE)),"X",$P42)</f>
        <v/>
      </c>
      <c r="R42" s="66" t="str">
        <f>IF(ISTEXT(VLOOKUP(CONCATENATE($A42,"_",R$3),'Unit List'!$A$14:$H$2838,2,FALSE)),"X",$P42)</f>
        <v/>
      </c>
      <c r="S42" s="66" t="str">
        <f>IF(ISTEXT(VLOOKUP(CONCATENATE($A42,"_",S$3),'Unit List'!$A$14:$H$2838,2,FALSE)),"X",$P42)</f>
        <v/>
      </c>
      <c r="T42" s="69" t="str">
        <f>IF(ISTEXT(VLOOKUP(CONCATENATE($A42,"_",T$3),'Unit List'!$A$14:$H$2838,2,FALSE)),"X",$P42)</f>
        <v/>
      </c>
      <c r="U42" s="66" t="str">
        <f>IF(ISTEXT(VLOOKUP(CONCATENATE($A42,"_",U$3),'Unit List'!$A$14:$H$2838,2,FALSE)),"X",$P42)</f>
        <v/>
      </c>
      <c r="V42" s="66" t="str">
        <f>IF(ISTEXT(VLOOKUP(CONCATENATE($A42,"_",V$3),'Unit List'!$A$14:$H$2838,2,FALSE)),"X",$P42)</f>
        <v/>
      </c>
      <c r="W42" s="74" t="str">
        <f>IF(ISTEXT(VLOOKUP(CONCATENATE($A42,"_",W$3),'Unit List'!$A$14:$H$2838,2,FALSE)),"X",$P42)</f>
        <v/>
      </c>
      <c r="X42" s="68" t="str">
        <f>IF(ISTEXT(VLOOKUP(CONCATENATE($A42,"_",X$3),'Unit List'!$A$14:$H$2838,2,FALSE)),"+","")</f>
        <v/>
      </c>
      <c r="Y42" s="66" t="str">
        <f>IF(ISTEXT(VLOOKUP(CONCATENATE($A42,"_",Y$3),'Unit List'!$A$14:$H$2838,2,FALSE)),"X",$X42)</f>
        <v/>
      </c>
      <c r="Z42" s="66" t="str">
        <f>IF(ISTEXT(VLOOKUP(CONCATENATE($A42,"_",Z$3),'Unit List'!$A$14:$H$2838,2,FALSE)),"X",$X42)</f>
        <v/>
      </c>
      <c r="AA42" s="66" t="str">
        <f>IF(ISTEXT(VLOOKUP(CONCATENATE($A42,"_",AA$3),'Unit List'!$A$14:$H$2838,2,FALSE)),"X",$X42)</f>
        <v/>
      </c>
      <c r="AB42" s="66" t="str">
        <f>IF(ISTEXT(VLOOKUP(CONCATENATE($A42,"_",AB$3),'Unit List'!$A$14:$H$2838,2,FALSE)),"X",$X42)</f>
        <v/>
      </c>
      <c r="AC42" s="89" t="str">
        <f>IF(ISTEXT(VLOOKUP(CONCATENATE($A42,"_",AC$3),'Unit List'!$A$14:$H$2838,2,FALSE)),"X",$X42)</f>
        <v/>
      </c>
      <c r="AD42" s="68" t="str">
        <f>IF(ISTEXT(VLOOKUP(CONCATENATE($A42,"_",AD$3),'Unit List'!$A$14:$H$2838,2,FALSE)),"+","")</f>
        <v/>
      </c>
      <c r="AE42" s="66" t="str">
        <f>IF(ISTEXT(VLOOKUP(CONCATENATE($A42,"_",AE$3),'Unit List'!$A$14:$H$2838,2,FALSE)),"X",$AD42)</f>
        <v/>
      </c>
      <c r="AF42" s="72" t="str">
        <f>IF(ISTEXT(VLOOKUP(CONCATENATE($A42,"_",AF$3),'Unit List'!$A$14:$H$2838,2,FALSE)),"X",$AD42)</f>
        <v/>
      </c>
      <c r="AG42" s="68" t="str">
        <f>IF(ISTEXT(VLOOKUP(CONCATENATE($A42,"_",AG$3),'Unit List'!$A$14:$H$2838,2,FALSE)),"+","")</f>
        <v/>
      </c>
      <c r="AH42" s="120" t="str">
        <f>IF(ISTEXT(VLOOKUP(CONCATENATE($A42,"_",AH$3),'Unit List'!$A$14:$H$2838,2,FALSE)),"X",$AG42)</f>
        <v/>
      </c>
      <c r="AI42" s="120" t="str">
        <f>IF(ISTEXT(VLOOKUP(CONCATENATE($A42,"_",AI$3),'Unit List'!$A$14:$H$2838,2,FALSE)),"X",$AG42)</f>
        <v/>
      </c>
      <c r="AJ42" s="74" t="str">
        <f>IF(ISTEXT(VLOOKUP(CONCATENATE($A42,"_",AJ$3),'Unit List'!$A$14:$H$2838,2,FALSE)),"X",$AG42)</f>
        <v/>
      </c>
      <c r="AK42" s="68" t="str">
        <f>IF(ISTEXT(VLOOKUP(CONCATENATE($A42,"_",AK$3),'Unit List'!$A$14:$H$2838,2,FALSE)),"+","")</f>
        <v/>
      </c>
      <c r="AL42" s="69" t="str">
        <f>IF(ISTEXT(VLOOKUP(CONCATENATE($A42,"_",AL$3),'Unit List'!$A$14:$H$2838,2,FALSE)),"X",$AK42)</f>
        <v/>
      </c>
      <c r="AM42" s="74" t="str">
        <f>IF(ISTEXT(VLOOKUP(CONCATENATE($A42,"_",AM$3),'Unit List'!$A$14:$H$2838,2,FALSE)),"X",$AK42)</f>
        <v/>
      </c>
      <c r="AN42" s="91" t="str">
        <f>IF(ISTEXT(VLOOKUP(CONCATENATE($A42,"_",AN$3),'Unit List'!$A$14:$H$2838,2,FALSE)),"+","")</f>
        <v/>
      </c>
      <c r="AO42" s="74" t="str">
        <f>IF(ISTEXT(VLOOKUP(CONCATENATE($A42,"_",AO$3),'Unit List'!$A$14:$H$2838,2,FALSE)),"X",$AN42)</f>
        <v/>
      </c>
      <c r="AP42" s="68" t="str">
        <f>IF(ISTEXT(VLOOKUP(CONCATENATE($A42,"_",AP$3),'Unit List'!$A$14:$H$2838,2,FALSE)),"+","")</f>
        <v/>
      </c>
      <c r="AQ42" s="66" t="str">
        <f>IF(ISTEXT(VLOOKUP(CONCATENATE($A42,"_",AQ$3),'Unit List'!$A$14:$H$2838,2,FALSE)),"X",$AP42)</f>
        <v/>
      </c>
      <c r="AR42" s="66" t="str">
        <f>IF(ISTEXT(VLOOKUP(CONCATENATE($A42,"_",AR$3),'Unit List'!$A$14:$H$2838,2,FALSE)),"X",$AP42)</f>
        <v/>
      </c>
      <c r="AS42" s="66" t="str">
        <f>IF(ISTEXT(VLOOKUP(CONCATENATE($A42,"_",AS$3),'Unit List'!$A$14:$H$2838,2,FALSE)),"X",$AP42)</f>
        <v/>
      </c>
      <c r="AT42" s="74" t="str">
        <f>IF(ISTEXT(VLOOKUP(CONCATENATE($A42,"_",AT$3),'Unit List'!$A$14:$H$2838,2,FALSE)),"X",$AP42)</f>
        <v/>
      </c>
      <c r="AU42" s="77" t="str">
        <f>IF(ISTEXT(VLOOKUP(CONCATENATE($A42,"_",AU$3),'Unit List'!$A$14:$H$2838,2,FALSE)),"+","")</f>
        <v/>
      </c>
      <c r="AV42" s="66" t="str">
        <f>IF(ISTEXT(VLOOKUP(CONCATENATE($A42,"_",AV$3),'Unit List'!$A$14:$H$2838,2,FALSE)),"X",$AU42)</f>
        <v/>
      </c>
      <c r="AW42" s="74" t="str">
        <f>IF(ISTEXT(VLOOKUP(CONCATENATE($A42,"_",AW$3),'Unit List'!$A$14:$H$2838,2,FALSE)),"X",$AU42)</f>
        <v/>
      </c>
      <c r="AX42" s="68" t="str">
        <f>IF(ISTEXT(VLOOKUP(CONCATENATE($A42,"_",AX$3),'Unit List'!$A$14:$H$2838,2,FALSE)),"+","")</f>
        <v/>
      </c>
      <c r="AY42" s="66" t="str">
        <f>IF(ISTEXT(VLOOKUP(CONCATENATE($A42,"_",AY$3),'Unit List'!$A$14:$H$2838,2,FALSE)),"X",$AX42)</f>
        <v/>
      </c>
      <c r="AZ42" s="74" t="str">
        <f>IF(ISTEXT(VLOOKUP(CONCATENATE($A42,"_",AZ$3),'Unit List'!$A$14:$H$2838,2,FALSE)),"X",$AX42)</f>
        <v/>
      </c>
      <c r="BA42" s="78" t="str">
        <f>IF(ISTEXT(VLOOKUP(CONCATENATE($A42,"_",BA$3),'Unit List'!$A$14:$H$2838,2,FALSE)),"+","")</f>
        <v/>
      </c>
      <c r="BB42" s="66" t="str">
        <f>IF(ISTEXT(VLOOKUP(CONCATENATE($A42,"_",BB$3),'Unit List'!$A$14:$H$2838,2,FALSE)),"X",$BA42)</f>
        <v/>
      </c>
      <c r="BC42" s="66" t="str">
        <f>IF(ISTEXT(VLOOKUP(CONCATENATE($A42,"_",BC$3),'Unit List'!$A$14:$H$2838,2,FALSE)),"X",$BA42)</f>
        <v/>
      </c>
      <c r="BD42" s="74" t="str">
        <f>IF(ISTEXT(VLOOKUP(CONCATENATE($A42,"_",BD$3),'Unit List'!$A$14:$H$2838,2,FALSE)),"X",$BA42)</f>
        <v/>
      </c>
      <c r="BE42" s="91" t="str">
        <f>IF(ISTEXT(VLOOKUP(CONCATENATE($A42,"_",BE$3),'Unit List'!$A$14:$H$2838,2,FALSE)),"+","")</f>
        <v/>
      </c>
      <c r="BF42" s="89" t="str">
        <f>IF(ISTEXT(VLOOKUP(CONCATENATE($A42,"_",BF$3),'Unit List'!$A$14:$H$2838,2,FALSE)),"X",$BE42)</f>
        <v/>
      </c>
      <c r="BG42" s="92" t="s">
        <v>0</v>
      </c>
      <c r="BH42" s="93" t="s">
        <v>0</v>
      </c>
      <c r="BI42" s="264"/>
      <c r="BJ42" s="265"/>
      <c r="BK42" s="265"/>
      <c r="BL42" s="265"/>
      <c r="BM42" s="266"/>
      <c r="BN42" s="81"/>
      <c r="BO42" s="81"/>
      <c r="BP42" s="81"/>
      <c r="BQ42" s="81"/>
      <c r="BR42" s="81"/>
      <c r="BS42" s="81"/>
      <c r="DZ42" s="82"/>
      <c r="EA42" s="82"/>
    </row>
    <row r="43" spans="1:131" ht="12.75" customHeight="1" x14ac:dyDescent="0.2">
      <c r="A43" s="83" t="s">
        <v>1149</v>
      </c>
      <c r="B43" s="59" t="str">
        <f>IF(ISTEXT(VLOOKUP(CONCATENATE($A43,"_",B$3),'Unit List'!$A$14:$H$2838,2,FALSE)),"+","")</f>
        <v/>
      </c>
      <c r="C43" s="152" t="str">
        <f>IF(ISTEXT(VLOOKUP(CONCATENATE($A43,"_",C$3),'Unit List'!$A$14:$H$2838,2,FALSE)),"X",$B43)</f>
        <v>X</v>
      </c>
      <c r="D43" s="66" t="str">
        <f>IF(ISTEXT(VLOOKUP(CONCATENATE($A43,"_",D$3),'Unit List'!$A$14:$H$2838,2,FALSE)),"X",$B43)</f>
        <v/>
      </c>
      <c r="E43" s="133" t="str">
        <f>IF(ISTEXT(VLOOKUP(CONCATENATE($A43,"_",E$3),'Unit List'!$A$14:$H$2838,2,FALSE)),"X",$B43)</f>
        <v>X</v>
      </c>
      <c r="F43" s="72" t="str">
        <f>IF(ISTEXT(VLOOKUP(CONCATENATE($A43,"_",F$3),'Unit List'!$A$14:$H$2838,2,FALSE)),"X",$B43)</f>
        <v>X</v>
      </c>
      <c r="G43" s="66" t="str">
        <f>IF(ISTEXT(VLOOKUP(CONCATENATE($A43,"_",G$3),'Unit List'!$A$14:$H$2838,2,FALSE)),"X",$B43)</f>
        <v/>
      </c>
      <c r="H43" s="66" t="str">
        <f>IF(ISTEXT(VLOOKUP(CONCATENATE($A43,"_",H$3),'Unit List'!$A$14:$H$2838,2,FALSE)),"X",$B43)</f>
        <v/>
      </c>
      <c r="I43" s="74" t="str">
        <f>IF(ISTEXT(VLOOKUP(CONCATENATE($A43,"_",I$3),'Unit List'!$A$14:$H$2838,2,FALSE)),"X",$B43)</f>
        <v/>
      </c>
      <c r="J43" s="64" t="str">
        <f>IF(ISTEXT(VLOOKUP(CONCATENATE($A43,"_",J$3),'Unit List'!$A$14:$H$2838,2,FALSE)),"+","")</f>
        <v/>
      </c>
      <c r="K43" s="66" t="str">
        <f>IF(ISTEXT(VLOOKUP(CONCATENATE($A43,"_",K$3),'Unit List'!$A$14:$H$2838,2,FALSE)),"X",$J43)</f>
        <v/>
      </c>
      <c r="L43" s="89" t="str">
        <f>IF(ISTEXT(VLOOKUP(CONCATENATE($A43,"_",L$3),'Unit List'!$A$14:$H$2838,2,FALSE)),"X",$J43)</f>
        <v/>
      </c>
      <c r="M43" s="64" t="str">
        <f>IF(ISTEXT(VLOOKUP(CONCATENATE($A43,"_",M$3),'Unit List'!$A$14:$H$2838,2,FALSE)),"+","")</f>
        <v>+</v>
      </c>
      <c r="N43" s="66" t="str">
        <f>IF(ISTEXT(VLOOKUP(CONCATENATE($A43,"_",N$3),'Unit List'!$A$14:$H$2838,2,FALSE)),"X",$M43)</f>
        <v>+</v>
      </c>
      <c r="O43" s="115" t="str">
        <f>IF(ISTEXT(VLOOKUP(CONCATENATE($A43,"_",O$3),'Unit List'!$A$14:$H$2838,2,FALSE)),"X",$M43)</f>
        <v>X</v>
      </c>
      <c r="P43" s="68" t="str">
        <f>IF(ISTEXT(VLOOKUP(CONCATENATE($A43,"_",P$3),'Unit List'!$A$14:$H$2838,2,FALSE)),"+","")</f>
        <v/>
      </c>
      <c r="Q43" s="66" t="str">
        <f>IF(ISTEXT(VLOOKUP(CONCATENATE($A43,"_",Q$3),'Unit List'!$A$14:$H$2838,2,FALSE)),"X",$P43)</f>
        <v/>
      </c>
      <c r="R43" s="66" t="str">
        <f>IF(ISTEXT(VLOOKUP(CONCATENATE($A43,"_",R$3),'Unit List'!$A$14:$H$2838,2,FALSE)),"X",$P43)</f>
        <v/>
      </c>
      <c r="S43" s="66" t="str">
        <f>IF(ISTEXT(VLOOKUP(CONCATENATE($A43,"_",S$3),'Unit List'!$A$14:$H$2838,2,FALSE)),"X",$P43)</f>
        <v/>
      </c>
      <c r="T43" s="69" t="str">
        <f>IF(ISTEXT(VLOOKUP(CONCATENATE($A43,"_",T$3),'Unit List'!$A$14:$H$2838,2,FALSE)),"X",$P43)</f>
        <v/>
      </c>
      <c r="U43" s="66" t="str">
        <f>IF(ISTEXT(VLOOKUP(CONCATENATE($A43,"_",U$3),'Unit List'!$A$14:$H$2838,2,FALSE)),"X",$P43)</f>
        <v/>
      </c>
      <c r="V43" s="66" t="str">
        <f>IF(ISTEXT(VLOOKUP(CONCATENATE($A43,"_",V$3),'Unit List'!$A$14:$H$2838,2,FALSE)),"X",$P43)</f>
        <v/>
      </c>
      <c r="W43" s="71" t="str">
        <f>IF(ISTEXT(VLOOKUP(CONCATENATE($A43,"_",W$3),'Unit List'!$A$14:$H$2838,2,FALSE)),"X",$P43)</f>
        <v/>
      </c>
      <c r="X43" s="68" t="str">
        <f>IF(ISTEXT(VLOOKUP(CONCATENATE($A43,"_",X$3),'Unit List'!$A$14:$H$2838,2,FALSE)),"+","")</f>
        <v/>
      </c>
      <c r="Y43" s="66" t="str">
        <f>IF(ISTEXT(VLOOKUP(CONCATENATE($A43,"_",Y$3),'Unit List'!$A$14:$H$2838,2,FALSE)),"X",$X43)</f>
        <v/>
      </c>
      <c r="Z43" s="66" t="str">
        <f>IF(ISTEXT(VLOOKUP(CONCATENATE($A43,"_",Z$3),'Unit List'!$A$14:$H$2838,2,FALSE)),"X",$X43)</f>
        <v/>
      </c>
      <c r="AA43" s="66" t="str">
        <f>IF(ISTEXT(VLOOKUP(CONCATENATE($A43,"_",AA$3),'Unit List'!$A$14:$H$2838,2,FALSE)),"X",$X43)</f>
        <v/>
      </c>
      <c r="AB43" s="66" t="str">
        <f>IF(ISTEXT(VLOOKUP(CONCATENATE($A43,"_",AB$3),'Unit List'!$A$14:$H$2838,2,FALSE)),"X",$X43)</f>
        <v/>
      </c>
      <c r="AC43" s="89" t="str">
        <f>IF(ISTEXT(VLOOKUP(CONCATENATE($A43,"_",AC$3),'Unit List'!$A$14:$H$2838,2,FALSE)),"X",$X43)</f>
        <v/>
      </c>
      <c r="AD43" s="68" t="str">
        <f>IF(ISTEXT(VLOOKUP(CONCATENATE($A43,"_",AD$3),'Unit List'!$A$14:$H$2838,2,FALSE)),"+","")</f>
        <v/>
      </c>
      <c r="AE43" s="66" t="str">
        <f>IF(ISTEXT(VLOOKUP(CONCATENATE($A43,"_",AE$3),'Unit List'!$A$14:$H$2838,2,FALSE)),"X",$AD43)</f>
        <v/>
      </c>
      <c r="AF43" s="72" t="str">
        <f>IF(ISTEXT(VLOOKUP(CONCATENATE($A43,"_",AF$3),'Unit List'!$A$14:$H$2838,2,FALSE)),"X",$AD43)</f>
        <v/>
      </c>
      <c r="AG43" s="68" t="str">
        <f>IF(ISTEXT(VLOOKUP(CONCATENATE($A43,"_",AG$3),'Unit List'!$A$14:$H$2838,2,FALSE)),"+","")</f>
        <v/>
      </c>
      <c r="AH43" s="66" t="str">
        <f>IF(ISTEXT(VLOOKUP(CONCATENATE($A43,"_",AH$3),'Unit List'!$A$14:$H$2838,2,FALSE)),"X",$AG43)</f>
        <v/>
      </c>
      <c r="AI43" s="66" t="str">
        <f>IF(ISTEXT(VLOOKUP(CONCATENATE($A43,"_",AI$3),'Unit List'!$A$14:$H$2838,2,FALSE)),"X",$AG43)</f>
        <v/>
      </c>
      <c r="AJ43" s="74" t="str">
        <f>IF(ISTEXT(VLOOKUP(CONCATENATE($A43,"_",AJ$3),'Unit List'!$A$14:$H$2838,2,FALSE)),"X",$AG43)</f>
        <v/>
      </c>
      <c r="AK43" s="64" t="str">
        <f>IF(ISTEXT(VLOOKUP(CONCATENATE($A43,"_",AK$3),'Unit List'!$A$14:$H$2838,2,FALSE)),"+","")</f>
        <v/>
      </c>
      <c r="AL43" s="69" t="str">
        <f>IF(ISTEXT(VLOOKUP(CONCATENATE($A43,"_",AL$3),'Unit List'!$A$14:$H$2838,2,FALSE)),"X",$AK43)</f>
        <v/>
      </c>
      <c r="AM43" s="74" t="str">
        <f>IF(ISTEXT(VLOOKUP(CONCATENATE($A43,"_",AM$3),'Unit List'!$A$14:$H$2838,2,FALSE)),"X",$AK43)</f>
        <v/>
      </c>
      <c r="AN43" s="91" t="str">
        <f>IF(ISTEXT(VLOOKUP(CONCATENATE($A43,"_",AN$3),'Unit List'!$A$14:$H$2838,2,FALSE)),"+","")</f>
        <v/>
      </c>
      <c r="AO43" s="74" t="str">
        <f>IF(ISTEXT(VLOOKUP(CONCATENATE($A43,"_",AO$3),'Unit List'!$A$14:$H$2838,2,FALSE)),"X",$AN43)</f>
        <v/>
      </c>
      <c r="AP43" s="68" t="str">
        <f>IF(ISTEXT(VLOOKUP(CONCATENATE($A43,"_",AP$3),'Unit List'!$A$14:$H$2838,2,FALSE)),"+","")</f>
        <v>+</v>
      </c>
      <c r="AQ43" s="66" t="str">
        <f>IF(ISTEXT(VLOOKUP(CONCATENATE($A43,"_",AQ$3),'Unit List'!$A$14:$H$2838,2,FALSE)),"X",$AP43)</f>
        <v>+</v>
      </c>
      <c r="AR43" s="66" t="str">
        <f>IF(ISTEXT(VLOOKUP(CONCATENATE($A43,"_",AR$3),'Unit List'!$A$14:$H$2838,2,FALSE)),"X",$AP43)</f>
        <v>+</v>
      </c>
      <c r="AS43" s="66" t="str">
        <f>IF(ISTEXT(VLOOKUP(CONCATENATE($A43,"_",AS$3),'Unit List'!$A$14:$H$2838,2,FALSE)),"X",$AP43)</f>
        <v>+</v>
      </c>
      <c r="AT43" s="74" t="str">
        <f>IF(ISTEXT(VLOOKUP(CONCATENATE($A43,"_",AT$3),'Unit List'!$A$14:$H$2838,2,FALSE)),"X",$AP43)</f>
        <v>+</v>
      </c>
      <c r="AU43" s="77" t="str">
        <f>IF(ISTEXT(VLOOKUP(CONCATENATE($A43,"_",AU$3),'Unit List'!$A$14:$H$2838,2,FALSE)),"+","")</f>
        <v/>
      </c>
      <c r="AV43" s="66" t="str">
        <f>IF(ISTEXT(VLOOKUP(CONCATENATE($A43,"_",AV$3),'Unit List'!$A$14:$H$2838,2,FALSE)),"X",$AU43)</f>
        <v/>
      </c>
      <c r="AW43" s="74" t="str">
        <f>IF(ISTEXT(VLOOKUP(CONCATENATE($A43,"_",AW$3),'Unit List'!$A$14:$H$2838,2,FALSE)),"X",$AU43)</f>
        <v/>
      </c>
      <c r="AX43" s="68" t="str">
        <f>IF(ISTEXT(VLOOKUP(CONCATENATE($A43,"_",AX$3),'Unit List'!$A$14:$H$2838,2,FALSE)),"+","")</f>
        <v>+</v>
      </c>
      <c r="AY43" s="133" t="str">
        <f>IF(ISTEXT(VLOOKUP(CONCATENATE($A43,"_",AY$3),'Unit List'!$A$14:$H$2838,2,FALSE)),"X",$AX43)</f>
        <v>+</v>
      </c>
      <c r="AZ43" s="134" t="str">
        <f>IF(ISTEXT(VLOOKUP(CONCATENATE($A43,"_",AZ$3),'Unit List'!$A$14:$H$2838,2,FALSE)),"X",$AX43)</f>
        <v>+</v>
      </c>
      <c r="BA43" s="78" t="str">
        <f>IF(ISTEXT(VLOOKUP(CONCATENATE($A43,"_",BA$3),'Unit List'!$A$14:$H$2838,2,FALSE)),"+","")</f>
        <v/>
      </c>
      <c r="BB43" s="66" t="str">
        <f>IF(ISTEXT(VLOOKUP(CONCATENATE($A43,"_",BB$3),'Unit List'!$A$14:$H$2838,2,FALSE)),"X",$BA43)</f>
        <v/>
      </c>
      <c r="BC43" s="66" t="str">
        <f>IF(ISTEXT(VLOOKUP(CONCATENATE($A43,"_",BC$3),'Unit List'!$A$14:$H$2838,2,FALSE)),"X",$BA43)</f>
        <v/>
      </c>
      <c r="BD43" s="74" t="str">
        <f>IF(ISTEXT(VLOOKUP(CONCATENATE($A43,"_",BD$3),'Unit List'!$A$14:$H$2838,2,FALSE)),"X",$BA43)</f>
        <v/>
      </c>
      <c r="BE43" s="91" t="str">
        <f>IF(ISTEXT(VLOOKUP(CONCATENATE($A43,"_",BE$3),'Unit List'!$A$14:$H$2838,2,FALSE)),"+","")</f>
        <v>+</v>
      </c>
      <c r="BF43" s="135" t="str">
        <f>IF(ISTEXT(VLOOKUP(CONCATENATE($A43,"_",BF$3),'Unit List'!$A$14:$H$2838,2,FALSE)),"X",$BE43)</f>
        <v>+</v>
      </c>
      <c r="BG43" s="92"/>
      <c r="BH43" s="93" t="s">
        <v>0</v>
      </c>
      <c r="BI43" s="264"/>
      <c r="BJ43" s="265"/>
      <c r="BK43" s="265"/>
      <c r="BL43" s="265"/>
      <c r="BM43" s="266"/>
      <c r="BN43" s="81"/>
      <c r="BO43" s="81"/>
      <c r="BP43" s="81"/>
      <c r="BQ43" s="81"/>
      <c r="BR43" s="81"/>
      <c r="BS43" s="81"/>
      <c r="DZ43" s="82"/>
      <c r="EA43" s="82"/>
    </row>
    <row r="44" spans="1:131" ht="12.75" customHeight="1" x14ac:dyDescent="0.2">
      <c r="A44" s="83" t="s">
        <v>23</v>
      </c>
      <c r="B44" s="59" t="str">
        <f>IF(ISTEXT(VLOOKUP(CONCATENATE($A44,"_",B$3),'Unit List'!$A$14:$H$2838,2,FALSE)),"+","")</f>
        <v/>
      </c>
      <c r="C44" s="119" t="str">
        <f>IF(ISTEXT(VLOOKUP(CONCATENATE($A44,"_",C$3),'Unit List'!$A$14:$H$2838,2,FALSE)),"X",$B44)</f>
        <v>X</v>
      </c>
      <c r="D44" s="96" t="str">
        <f>IF(ISTEXT(VLOOKUP(CONCATENATE($A44,"_",D$3),'Unit List'!$A$14:$H$2838,2,FALSE)),"X",$B44)</f>
        <v>X</v>
      </c>
      <c r="E44" s="66" t="str">
        <f>IF(ISTEXT(VLOOKUP(CONCATENATE($A44,"_",E$3),'Unit List'!$A$14:$H$2838,2,FALSE)),"X",$B44)</f>
        <v/>
      </c>
      <c r="F44" s="96" t="str">
        <f>IF(ISTEXT(VLOOKUP(CONCATENATE($A44,"_",F$3),'Unit List'!$A$14:$H$2838,2,FALSE)),"X",$B44)</f>
        <v>X</v>
      </c>
      <c r="G44" s="96" t="str">
        <f>IF(ISTEXT(VLOOKUP(CONCATENATE($A44,"_",G$3),'Unit List'!$A$14:$H$2838,2,FALSE)),"X",$B44)</f>
        <v>X</v>
      </c>
      <c r="H44" s="96" t="str">
        <f>IF(ISTEXT(VLOOKUP(CONCATENATE($A44,"_",H$3),'Unit List'!$A$14:$H$2838,2,FALSE)),"X",$B44)</f>
        <v>X</v>
      </c>
      <c r="I44" s="100" t="str">
        <f>IF(ISTEXT(VLOOKUP(CONCATENATE($A44,"_",I$3),'Unit List'!$A$14:$H$2838,2,FALSE)),"X",$B44)</f>
        <v>X</v>
      </c>
      <c r="J44" s="64" t="str">
        <f>IF(ISTEXT(VLOOKUP(CONCATENATE($A44,"_",J$3),'Unit List'!$A$14:$H$2838,2,FALSE)),"+","")</f>
        <v>+</v>
      </c>
      <c r="K44" s="66" t="str">
        <f>IF(ISTEXT(VLOOKUP(CONCATENATE($A44,"_",K$3),'Unit List'!$A$14:$H$2838,2,FALSE)),"X",$J44)</f>
        <v>+</v>
      </c>
      <c r="L44" s="123" t="str">
        <f>IF(ISTEXT(VLOOKUP(CONCATENATE($A44,"_",L$3),'Unit List'!$A$14:$H$2838,2,FALSE)),"X",$J44)</f>
        <v>+</v>
      </c>
      <c r="M44" s="64" t="str">
        <f>IF(ISTEXT(VLOOKUP(CONCATENATE($A44,"_",M$3),'Unit List'!$A$14:$H$2838,2,FALSE)),"+","")</f>
        <v>+</v>
      </c>
      <c r="N44" s="96" t="str">
        <f>IF(ISTEXT(VLOOKUP(CONCATENATE($A44,"_",N$3),'Unit List'!$A$14:$H$2838,2,FALSE)),"X",$M44)</f>
        <v>+</v>
      </c>
      <c r="O44" s="100" t="str">
        <f>IF(ISTEXT(VLOOKUP(CONCATENATE($A44,"_",O$3),'Unit List'!$A$14:$H$2838,2,FALSE)),"X",$M44)</f>
        <v>X</v>
      </c>
      <c r="P44" s="68" t="str">
        <f>IF(ISTEXT(VLOOKUP(CONCATENATE($A44,"_",P$3),'Unit List'!$A$14:$H$2838,2,FALSE)),"+","")</f>
        <v/>
      </c>
      <c r="Q44" s="66" t="str">
        <f>IF(ISTEXT(VLOOKUP(CONCATENATE($A44,"_",Q$3),'Unit List'!$A$14:$H$2838,2,FALSE)),"X",$P44)</f>
        <v/>
      </c>
      <c r="R44" s="66" t="str">
        <f>IF(ISTEXT(VLOOKUP(CONCATENATE($A44,"_",R$3),'Unit List'!$A$14:$H$2838,2,FALSE)),"X",$P44)</f>
        <v/>
      </c>
      <c r="S44" s="96" t="str">
        <f>IF(ISTEXT(VLOOKUP(CONCATENATE($A44,"_",S$3),'Unit List'!$A$14:$H$2838,2,FALSE)),"X",$P44)</f>
        <v>X</v>
      </c>
      <c r="T44" s="69" t="str">
        <f>IF(ISTEXT(VLOOKUP(CONCATENATE($A44,"_",T$3),'Unit List'!$A$14:$H$2838,2,FALSE)),"X",$P44)</f>
        <v/>
      </c>
      <c r="U44" s="96" t="str">
        <f>IF(ISTEXT(VLOOKUP(CONCATENATE($A44,"_",U$3),'Unit List'!$A$14:$H$2838,2,FALSE)),"X",$P44)</f>
        <v>X</v>
      </c>
      <c r="V44" s="96" t="str">
        <f>IF(ISTEXT(VLOOKUP(CONCATENATE($A44,"_",V$3),'Unit List'!$A$14:$H$2838,2,FALSE)),"X",$P44)</f>
        <v>X</v>
      </c>
      <c r="W44" s="71" t="str">
        <f>IF(ISTEXT(VLOOKUP(CONCATENATE($A44,"_",W$3),'Unit List'!$A$14:$H$2838,2,FALSE)),"X",$P44)</f>
        <v/>
      </c>
      <c r="X44" s="68" t="str">
        <f>IF(ISTEXT(VLOOKUP(CONCATENATE($A44,"_",X$3),'Unit List'!$A$14:$H$2838,2,FALSE)),"+","")</f>
        <v/>
      </c>
      <c r="Y44" s="66" t="str">
        <f>IF(ISTEXT(VLOOKUP(CONCATENATE($A44,"_",Y$3),'Unit List'!$A$14:$H$2838,2,FALSE)),"X",$X44)</f>
        <v/>
      </c>
      <c r="Z44" s="66" t="str">
        <f>IF(ISTEXT(VLOOKUP(CONCATENATE($A44,"_",Z$3),'Unit List'!$A$14:$H$2838,2,FALSE)),"X",$X44)</f>
        <v/>
      </c>
      <c r="AA44" s="66" t="str">
        <f>IF(ISTEXT(VLOOKUP(CONCATENATE($A44,"_",AA$3),'Unit List'!$A$14:$H$2838,2,FALSE)),"X",$X44)</f>
        <v/>
      </c>
      <c r="AB44" s="66" t="str">
        <f>IF(ISTEXT(VLOOKUP(CONCATENATE($A44,"_",AB$3),'Unit List'!$A$14:$H$2838,2,FALSE)),"X",$X44)</f>
        <v/>
      </c>
      <c r="AC44" s="89" t="str">
        <f>IF(ISTEXT(VLOOKUP(CONCATENATE($A44,"_",AC$3),'Unit List'!$A$14:$H$2838,2,FALSE)),"X",$X44)</f>
        <v/>
      </c>
      <c r="AD44" s="68" t="str">
        <f>IF(ISTEXT(VLOOKUP(CONCATENATE($A44,"_",AD$3),'Unit List'!$A$14:$H$2838,2,FALSE)),"+","")</f>
        <v/>
      </c>
      <c r="AE44" s="66" t="str">
        <f>IF(ISTEXT(VLOOKUP(CONCATENATE($A44,"_",AE$3),'Unit List'!$A$14:$H$2838,2,FALSE)),"X",$AD44)</f>
        <v/>
      </c>
      <c r="AF44" s="72" t="str">
        <f>IF(ISTEXT(VLOOKUP(CONCATENATE($A44,"_",AF$3),'Unit List'!$A$14:$H$2838,2,FALSE)),"X",$AD44)</f>
        <v/>
      </c>
      <c r="AG44" s="68" t="str">
        <f>IF(ISTEXT(VLOOKUP(CONCATENATE($A44,"_",AG$3),'Unit List'!$A$14:$H$2838,2,FALSE)),"+","")</f>
        <v/>
      </c>
      <c r="AH44" s="66" t="str">
        <f>IF(ISTEXT(VLOOKUP(CONCATENATE($A44,"_",AH$3),'Unit List'!$A$14:$H$2838,2,FALSE)),"X",$AG44)</f>
        <v/>
      </c>
      <c r="AI44" s="66" t="str">
        <f>IF(ISTEXT(VLOOKUP(CONCATENATE($A44,"_",AI$3),'Unit List'!$A$14:$H$2838,2,FALSE)),"X",$AG44)</f>
        <v/>
      </c>
      <c r="AJ44" s="74" t="str">
        <f>IF(ISTEXT(VLOOKUP(CONCATENATE($A44,"_",AJ$3),'Unit List'!$A$14:$H$2838,2,FALSE)),"X",$AG44)</f>
        <v/>
      </c>
      <c r="AK44" s="64" t="str">
        <f>IF(ISTEXT(VLOOKUP(CONCATENATE($A44,"_",AK$3),'Unit List'!$A$14:$H$2838,2,FALSE)),"+","")</f>
        <v/>
      </c>
      <c r="AL44" s="124" t="str">
        <f>IF(ISTEXT(VLOOKUP(CONCATENATE($A44,"_",AL$3),'Unit List'!$A$14:$H$2838,2,FALSE)),"X",$AK44)</f>
        <v>X</v>
      </c>
      <c r="AM44" s="74" t="str">
        <f>IF(ISTEXT(VLOOKUP(CONCATENATE($A44,"_",AM$3),'Unit List'!$A$14:$H$2838,2,FALSE)),"X",$AK44)</f>
        <v/>
      </c>
      <c r="AN44" s="91" t="str">
        <f>IF(ISTEXT(VLOOKUP(CONCATENATE($A44,"_",AN$3),'Unit List'!$A$14:$H$2838,2,FALSE)),"+","")</f>
        <v>+</v>
      </c>
      <c r="AO44" s="134" t="str">
        <f>IF(ISTEXT(VLOOKUP(CONCATENATE($A44,"_",AO$3),'Unit List'!$A$14:$H$2838,2,FALSE)),"X",$AN44)</f>
        <v>+</v>
      </c>
      <c r="AP44" s="68" t="str">
        <f>IF(ISTEXT(VLOOKUP(CONCATENATE($A44,"_",AP$3),'Unit List'!$A$14:$H$2838,2,FALSE)),"+","")</f>
        <v>+</v>
      </c>
      <c r="AQ44" s="66" t="str">
        <f>IF(ISTEXT(VLOOKUP(CONCATENATE($A44,"_",AQ$3),'Unit List'!$A$14:$H$2838,2,FALSE)),"X",$AP44)</f>
        <v>X</v>
      </c>
      <c r="AR44" s="95" t="str">
        <f>IF(ISTEXT(VLOOKUP(CONCATENATE($A44,"_",AR$3),'Unit List'!$A$14:$H$2838,2,FALSE)),"X",$AP44)</f>
        <v>X</v>
      </c>
      <c r="AS44" s="133" t="str">
        <f>IF(ISTEXT(VLOOKUP(CONCATENATE($A44,"_",AS$3),'Unit List'!$A$14:$H$2838,2,FALSE)),"X",$AP44)</f>
        <v>+</v>
      </c>
      <c r="AT44" s="134" t="str">
        <f>IF(ISTEXT(VLOOKUP(CONCATENATE($A44,"_",AT$3),'Unit List'!$A$14:$H$2838,2,FALSE)),"X",$AP44)</f>
        <v>+</v>
      </c>
      <c r="AU44" s="77" t="str">
        <f>IF(ISTEXT(VLOOKUP(CONCATENATE($A44,"_",AU$3),'Unit List'!$A$14:$H$2838,2,FALSE)),"+","")</f>
        <v>+</v>
      </c>
      <c r="AV44" s="133" t="str">
        <f>IF(ISTEXT(VLOOKUP(CONCATENATE($A44,"_",AV$3),'Unit List'!$A$14:$H$2838,2,FALSE)),"X",$AU44)</f>
        <v>+</v>
      </c>
      <c r="AW44" s="134" t="str">
        <f>IF(ISTEXT(VLOOKUP(CONCATENATE($A44,"_",AW$3),'Unit List'!$A$14:$H$2838,2,FALSE)),"X",$AU44)</f>
        <v>+</v>
      </c>
      <c r="AX44" s="68" t="str">
        <f>IF(ISTEXT(VLOOKUP(CONCATENATE($A44,"_",AX$3),'Unit List'!$A$14:$H$2838,2,FALSE)),"+","")</f>
        <v>+</v>
      </c>
      <c r="AY44" s="133" t="str">
        <f>IF(ISTEXT(VLOOKUP(CONCATENATE($A44,"_",AY$3),'Unit List'!$A$14:$H$2838,2,FALSE)),"X",$AX44)</f>
        <v>+</v>
      </c>
      <c r="AZ44" s="134" t="str">
        <f>IF(ISTEXT(VLOOKUP(CONCATENATE($A44,"_",AZ$3),'Unit List'!$A$14:$H$2838,2,FALSE)),"X",$AX44)</f>
        <v>+</v>
      </c>
      <c r="BA44" s="78" t="str">
        <f>IF(ISTEXT(VLOOKUP(CONCATENATE($A44,"_",BA$3),'Unit List'!$A$14:$H$2838,2,FALSE)),"+","")</f>
        <v>+</v>
      </c>
      <c r="BB44" s="133" t="str">
        <f>IF(ISTEXT(VLOOKUP(CONCATENATE($A44,"_",BB$3),'Unit List'!$A$14:$H$2838,2,FALSE)),"X",$BA44)</f>
        <v>+</v>
      </c>
      <c r="BC44" s="133" t="str">
        <f>IF(ISTEXT(VLOOKUP(CONCATENATE($A44,"_",BC$3),'Unit List'!$A$14:$H$2838,2,FALSE)),"X",$BA44)</f>
        <v>+</v>
      </c>
      <c r="BD44" s="134" t="str">
        <f>IF(ISTEXT(VLOOKUP(CONCATENATE($A44,"_",BD$3),'Unit List'!$A$14:$H$2838,2,FALSE)),"X",$BA44)</f>
        <v>+</v>
      </c>
      <c r="BE44" s="91" t="str">
        <f>IF(ISTEXT(VLOOKUP(CONCATENATE($A44,"_",BE$3),'Unit List'!$A$14:$H$2838,2,FALSE)),"+","")</f>
        <v>+</v>
      </c>
      <c r="BF44" s="135" t="str">
        <f>IF(ISTEXT(VLOOKUP(CONCATENATE($A44,"_",BF$3),'Unit List'!$A$14:$H$2838,2,FALSE)),"X",$BE44)</f>
        <v>+</v>
      </c>
      <c r="BG44" s="111"/>
      <c r="BH44" s="121"/>
      <c r="BI44" s="264"/>
      <c r="BJ44" s="265"/>
      <c r="BK44" s="265"/>
      <c r="BL44" s="265"/>
      <c r="BM44" s="266"/>
      <c r="BN44" s="81"/>
      <c r="BO44" s="81"/>
      <c r="BP44" s="81"/>
      <c r="BQ44" s="81"/>
      <c r="BR44" s="81"/>
      <c r="BS44" s="81"/>
      <c r="DZ44" s="82"/>
      <c r="EA44" s="82"/>
    </row>
    <row r="45" spans="1:131" ht="12.75" customHeight="1" x14ac:dyDescent="0.2">
      <c r="A45" s="83" t="s">
        <v>22</v>
      </c>
      <c r="B45" s="59" t="str">
        <f>IF(ISTEXT(VLOOKUP(CONCATENATE($A45,"_",B$3),'Unit List'!$A$14:$H$2838,2,FALSE)),"+","")</f>
        <v/>
      </c>
      <c r="C45" s="136" t="str">
        <f>IF(ISTEXT(VLOOKUP(CONCATENATE($A45,"_",C$3),'Unit List'!$A$14:$H$2838,2,FALSE)),"X",$B45)</f>
        <v>X</v>
      </c>
      <c r="D45" s="87" t="str">
        <f>IF(ISTEXT(VLOOKUP(CONCATENATE($A45,"_",D$3),'Unit List'!$A$14:$H$2838,2,FALSE)),"X",$B45)</f>
        <v/>
      </c>
      <c r="E45" s="66" t="str">
        <f>IF(ISTEXT(VLOOKUP(CONCATENATE($A45,"_",E$3),'Unit List'!$A$14:$H$2838,2,FALSE)),"X",$B45)</f>
        <v/>
      </c>
      <c r="F45" s="96" t="str">
        <f>IF(ISTEXT(VLOOKUP(CONCATENATE($A45,"_",F$3),'Unit List'!$A$14:$H$2838,2,FALSE)),"X",$B45)</f>
        <v>X</v>
      </c>
      <c r="G45" s="96" t="str">
        <f>IF(ISTEXT(VLOOKUP(CONCATENATE($A45,"_",G$3),'Unit List'!$A$14:$H$2838,2,FALSE)),"X",$B45)</f>
        <v>X</v>
      </c>
      <c r="H45" s="96" t="str">
        <f>IF(ISTEXT(VLOOKUP(CONCATENATE($A45,"_",H$3),'Unit List'!$A$14:$H$2838,2,FALSE)),"X",$B45)</f>
        <v>X</v>
      </c>
      <c r="I45" s="74" t="str">
        <f>IF(ISTEXT(VLOOKUP(CONCATENATE($A45,"_",I$3),'Unit List'!$A$14:$H$2838,2,FALSE)),"X",$B45)</f>
        <v/>
      </c>
      <c r="J45" s="64" t="str">
        <f>IF(ISTEXT(VLOOKUP(CONCATENATE($A45,"_",J$3),'Unit List'!$A$14:$H$2838,2,FALSE)),"+","")</f>
        <v>+</v>
      </c>
      <c r="K45" s="153" t="str">
        <f>IF(ISTEXT(VLOOKUP(CONCATENATE($A45,"_",K$3),'Unit List'!$A$14:$H$2838,2,FALSE)),"X",$J45)</f>
        <v>+</v>
      </c>
      <c r="L45" s="154" t="str">
        <f>IF(ISTEXT(VLOOKUP(CONCATENATE($A45,"_",L$3),'Unit List'!$A$14:$H$2838,2,FALSE)),"X",$J45)</f>
        <v>+</v>
      </c>
      <c r="M45" s="64" t="str">
        <f>IF(ISTEXT(VLOOKUP(CONCATENATE($A45,"_",M$3),'Unit List'!$A$14:$H$2838,2,FALSE)),"+","")</f>
        <v>+</v>
      </c>
      <c r="N45" s="133" t="str">
        <f>IF(ISTEXT(VLOOKUP(CONCATENATE($A45,"_",N$3),'Unit List'!$A$14:$H$2838,2,FALSE)),"X",$M45)</f>
        <v>+</v>
      </c>
      <c r="O45" s="241" t="str">
        <f>IF(ISTEXT(VLOOKUP(CONCATENATE($A45,"_",O$3),'Unit List'!$A$14:$H$2838,2,FALSE)),"X",$M45)</f>
        <v>+</v>
      </c>
      <c r="P45" s="101" t="str">
        <f>IF(ISTEXT(VLOOKUP(CONCATENATE($A45,"_",P$3),'Unit List'!$A$14:$H$2838,2,FALSE)),"+","")</f>
        <v>+</v>
      </c>
      <c r="Q45" s="133" t="str">
        <f>IF(ISTEXT(VLOOKUP(CONCATENATE($A45,"_",Q$3),'Unit List'!$A$14:$H$2838,2,FALSE)),"X",$P45)</f>
        <v>+</v>
      </c>
      <c r="R45" s="133" t="str">
        <f>IF(ISTEXT(VLOOKUP(CONCATENATE($A45,"_",R$3),'Unit List'!$A$14:$H$2838,2,FALSE)),"X",$P45)</f>
        <v>+</v>
      </c>
      <c r="S45" s="96" t="str">
        <f>IF(ISTEXT(VLOOKUP(CONCATENATE($A45,"_",S$3),'Unit List'!$A$14:$H$2838,2,FALSE)),"X",$P45)</f>
        <v>X</v>
      </c>
      <c r="T45" s="150" t="str">
        <f>IF(ISTEXT(VLOOKUP(CONCATENATE($A45,"_",T$3),'Unit List'!$A$14:$H$2838,2,FALSE)),"X",$P45)</f>
        <v>+</v>
      </c>
      <c r="U45" s="96" t="str">
        <f>IF(ISTEXT(VLOOKUP(CONCATENATE($A45,"_",U$3),'Unit List'!$A$14:$H$2838,2,FALSE)),"X",$P45)</f>
        <v>X</v>
      </c>
      <c r="V45" s="95" t="str">
        <f>IF(ISTEXT(VLOOKUP(CONCATENATE($A45,"_",V$3),'Unit List'!$A$14:$H$2838,2,FALSE)),"X",$P45)</f>
        <v>X</v>
      </c>
      <c r="W45" s="134" t="str">
        <f>IF(ISTEXT(VLOOKUP(CONCATENATE($A45,"_",W$3),'Unit List'!$A$14:$H$2838,2,FALSE)),"X",$P45)</f>
        <v>+</v>
      </c>
      <c r="X45" s="101" t="str">
        <f>IF(ISTEXT(VLOOKUP(CONCATENATE($A45,"_",X$3),'Unit List'!$A$14:$H$2838,2,FALSE)),"+","")</f>
        <v>+</v>
      </c>
      <c r="Y45" s="95" t="str">
        <f>IF(ISTEXT(VLOOKUP(CONCATENATE($A45,"_",Y$3),'Unit List'!$A$14:$H$2838,2,FALSE)),"X",$X45)</f>
        <v>X</v>
      </c>
      <c r="Z45" s="133" t="str">
        <f>IF(ISTEXT(VLOOKUP(CONCATENATE($A45,"_",Z$3),'Unit List'!$A$14:$H$2838,2,FALSE)),"X",$X45)</f>
        <v>+</v>
      </c>
      <c r="AA45" s="96" t="str">
        <f>IF(ISTEXT(VLOOKUP(CONCATENATE($A45,"_",AA$3),'Unit List'!$A$14:$H$2838,2,FALSE)),"X",$X45)</f>
        <v>X</v>
      </c>
      <c r="AB45" s="96" t="str">
        <f>IF(ISTEXT(VLOOKUP(CONCATENATE($A45,"_",AB$3),'Unit List'!$A$14:$H$2838,2,FALSE)),"X",$X45)</f>
        <v>X</v>
      </c>
      <c r="AC45" s="123" t="str">
        <f>IF(ISTEXT(VLOOKUP(CONCATENATE($A45,"_",AC$3),'Unit List'!$A$14:$H$2838,2,FALSE)),"X",$X45)</f>
        <v>X</v>
      </c>
      <c r="AD45" s="101" t="str">
        <f>IF(ISTEXT(VLOOKUP(CONCATENATE($A45,"_",AD$3),'Unit List'!$A$14:$H$2838,2,FALSE)),"+","")</f>
        <v>+</v>
      </c>
      <c r="AE45" s="66" t="str">
        <f>IF(ISTEXT(VLOOKUP(CONCATENATE($A45,"_",AE$3),'Unit List'!$A$14:$H$2838,2,FALSE)),"X",$AD45)</f>
        <v>X</v>
      </c>
      <c r="AF45" s="72" t="str">
        <f>IF(ISTEXT(VLOOKUP(CONCATENATE($A45,"_",AF$3),'Unit List'!$A$14:$H$2838,2,FALSE)),"X",$AD45)</f>
        <v>+</v>
      </c>
      <c r="AG45" s="101" t="str">
        <f>IF(ISTEXT(VLOOKUP(CONCATENATE($A45,"_",AG$3),'Unit List'!$A$14:$H$2838,2,FALSE)),"+","")</f>
        <v>+</v>
      </c>
      <c r="AH45" s="95" t="str">
        <f>IF(ISTEXT(VLOOKUP(CONCATENATE($A45,"_",AH$3),'Unit List'!$A$14:$H$2838,2,FALSE)),"X",$AG45)</f>
        <v>+</v>
      </c>
      <c r="AI45" s="96" t="str">
        <f>IF(ISTEXT(VLOOKUP(CONCATENATE($A45,"_",AI$3),'Unit List'!$A$14:$H$2838,2,FALSE)),"X",$AG45)</f>
        <v>X</v>
      </c>
      <c r="AJ45" s="129" t="s">
        <v>0</v>
      </c>
      <c r="AK45" s="97" t="str">
        <f>IF(ISTEXT(VLOOKUP(CONCATENATE($A45,"_",AK$3),'Unit List'!$A$14:$H$2838,2,FALSE)),"+","")</f>
        <v>+</v>
      </c>
      <c r="AL45" s="150" t="str">
        <f>IF(ISTEXT(VLOOKUP(CONCATENATE($A45,"_",AL$3),'Unit List'!$A$14:$H$2838,2,FALSE)),"X",$AK45)</f>
        <v>+</v>
      </c>
      <c r="AM45" s="241" t="str">
        <f>IF(ISTEXT(VLOOKUP(CONCATENATE($A45,"_",AM$3),'Unit List'!$A$14:$H$2838,2,FALSE)),"X",$AK45)</f>
        <v>+</v>
      </c>
      <c r="AN45" s="91" t="str">
        <f>IF(ISTEXT(VLOOKUP(CONCATENATE($A45,"_",AN$3),'Unit List'!$A$14:$H$2838,2,FALSE)),"+","")</f>
        <v>+</v>
      </c>
      <c r="AO45" s="241" t="str">
        <f>IF(ISTEXT(VLOOKUP(CONCATENATE($A45,"_",AO$3),'Unit List'!$A$14:$H$2838,2,FALSE)),"X",$AN45)</f>
        <v>+</v>
      </c>
      <c r="AP45" s="101" t="str">
        <f>IF(ISTEXT(VLOOKUP(CONCATENATE($A45,"_",AP$3),'Unit List'!$A$14:$H$2838,2,FALSE)),"+","")</f>
        <v>+</v>
      </c>
      <c r="AQ45" s="96" t="str">
        <f>IF(ISTEXT(VLOOKUP(CONCATENATE($A45,"_",AQ$3),'Unit List'!$A$14:$H$2838,2,FALSE)),"X",$AP45)</f>
        <v>X</v>
      </c>
      <c r="AR45" s="96" t="str">
        <f>IF(ISTEXT(VLOOKUP(CONCATENATE($A45,"_",AR$3),'Unit List'!$A$14:$H$2838,2,FALSE)),"X",$AP45)</f>
        <v>X</v>
      </c>
      <c r="AS45" s="96" t="str">
        <f>IF(ISTEXT(VLOOKUP(CONCATENATE($A45,"_",AS$3),'Unit List'!$A$14:$H$2838,2,FALSE)),"X",$AP45)</f>
        <v>X</v>
      </c>
      <c r="AT45" s="100" t="str">
        <f>IF(ISTEXT(VLOOKUP(CONCATENATE($A45,"_",AT$3),'Unit List'!$A$14:$H$2838,2,FALSE)),"X",$AP45)</f>
        <v>X</v>
      </c>
      <c r="AU45" s="77" t="str">
        <f>IF(ISTEXT(VLOOKUP(CONCATENATE($A45,"_",AU$3),'Unit List'!$A$14:$H$2838,2,FALSE)),"+","")</f>
        <v>+</v>
      </c>
      <c r="AV45" s="133" t="str">
        <f>IF(ISTEXT(VLOOKUP(CONCATENATE($A45,"_",AV$3),'Unit List'!$A$14:$H$2838,2,FALSE)),"X",$AU45)</f>
        <v>+</v>
      </c>
      <c r="AW45" s="134" t="str">
        <f>IF(ISTEXT(VLOOKUP(CONCATENATE($A45,"_",AW$3),'Unit List'!$A$14:$H$2838,2,FALSE)),"X",$AU45)</f>
        <v>+</v>
      </c>
      <c r="AX45" s="101" t="str">
        <f>IF(ISTEXT(VLOOKUP(CONCATENATE($A45,"_",AX$3),'Unit List'!$A$14:$H$2838,2,FALSE)),"+","")</f>
        <v>+</v>
      </c>
      <c r="AY45" s="95" t="str">
        <f>IF(ISTEXT(VLOOKUP(CONCATENATE($A45,"_",AY$3),'Unit List'!$A$14:$H$2838,2,FALSE)),"X",$AX45)</f>
        <v>+</v>
      </c>
      <c r="AZ45" s="241" t="str">
        <f>IF(ISTEXT(VLOOKUP(CONCATENATE($A45,"_",AZ$3),'Unit List'!$A$14:$H$2838,2,FALSE)),"X",$AX45)</f>
        <v>+</v>
      </c>
      <c r="BA45" s="101" t="str">
        <f>IF(ISTEXT(VLOOKUP(CONCATENATE($A45,"_",BA$3),'Unit List'!$A$14:$H$2838,2,FALSE)),"+","")</f>
        <v>+</v>
      </c>
      <c r="BB45" s="96" t="str">
        <f>IF(ISTEXT(VLOOKUP(CONCATENATE($A45,"_",BB$3),'Unit List'!$A$14:$H$2838,2,FALSE)),"X",$BA45)</f>
        <v>X</v>
      </c>
      <c r="BC45" s="96" t="str">
        <f>IF(ISTEXT(VLOOKUP(CONCATENATE($A45,"_",BC$3),'Unit List'!$A$14:$H$2838,2,FALSE)),"X",$BA45)</f>
        <v>X</v>
      </c>
      <c r="BD45" s="100" t="str">
        <f>IF(ISTEXT(VLOOKUP(CONCATENATE($A45,"_",BD$3),'Unit List'!$A$14:$H$2838,2,FALSE)),"X",$BA45)</f>
        <v>X</v>
      </c>
      <c r="BE45" s="91" t="str">
        <f>IF(ISTEXT(VLOOKUP(CONCATENATE($A45,"_",BE$3),'Unit List'!$A$14:$H$2838,2,FALSE)),"+","")</f>
        <v>+</v>
      </c>
      <c r="BF45" s="135" t="str">
        <f>IF(ISTEXT(VLOOKUP(CONCATENATE($A45,"_",BF$3),'Unit List'!$A$14:$H$2838,2,FALSE)),"X",$BE45)</f>
        <v>+</v>
      </c>
      <c r="BG45" s="111"/>
      <c r="BH45" s="121"/>
      <c r="BI45" s="264" t="s">
        <v>1920</v>
      </c>
      <c r="BJ45" s="265"/>
      <c r="BK45" s="265"/>
      <c r="BL45" s="265"/>
      <c r="BM45" s="266"/>
      <c r="BN45" s="81"/>
      <c r="BO45" s="81"/>
      <c r="BP45" s="81"/>
      <c r="BQ45" s="81"/>
      <c r="BR45" s="81"/>
      <c r="BS45" s="81"/>
      <c r="DZ45" s="82"/>
      <c r="EA45" s="82"/>
    </row>
    <row r="46" spans="1:131" ht="12.75" customHeight="1" x14ac:dyDescent="0.2">
      <c r="A46" s="83" t="s">
        <v>21</v>
      </c>
      <c r="B46" s="59" t="str">
        <f>IF(ISTEXT(VLOOKUP(CONCATENATE($A46,"_",B$3),'Unit List'!$A$14:$H$2838,2,FALSE)),"+","")</f>
        <v/>
      </c>
      <c r="C46" s="119" t="str">
        <f>IF(ISTEXT(VLOOKUP(CONCATENATE($A46,"_",C$3),'Unit List'!$A$14:$H$2838,2,FALSE)),"X",$B46)</f>
        <v>X</v>
      </c>
      <c r="D46" s="96" t="str">
        <f>IF(ISTEXT(VLOOKUP(CONCATENATE($A46,"_",D$3),'Unit List'!$A$14:$H$2838,2,FALSE)),"X",$B46)</f>
        <v>X</v>
      </c>
      <c r="E46" s="96" t="str">
        <f>IF(ISTEXT(VLOOKUP(CONCATENATE($A46,"_",E$3),'Unit List'!$A$14:$H$2838,2,FALSE)),"X",$B46)</f>
        <v>X</v>
      </c>
      <c r="F46" s="96" t="str">
        <f>IF(ISTEXT(VLOOKUP(CONCATENATE($A46,"_",F$3),'Unit List'!$A$14:$H$2838,2,FALSE)),"X",$B46)</f>
        <v>X</v>
      </c>
      <c r="G46" s="96" t="str">
        <f>IF(ISTEXT(VLOOKUP(CONCATENATE($A46,"_",G$3),'Unit List'!$A$14:$H$2838,2,FALSE)),"X",$B46)</f>
        <v>X</v>
      </c>
      <c r="H46" s="96" t="str">
        <f>IF(ISTEXT(VLOOKUP(CONCATENATE($A46,"_",H$3),'Unit List'!$A$14:$H$2838,2,FALSE)),"X",$B46)</f>
        <v>X</v>
      </c>
      <c r="I46" s="115" t="str">
        <f>IF(ISTEXT(VLOOKUP(CONCATENATE($A46,"_",I$3),'Unit List'!$A$14:$H$2838,2,FALSE)),"X",$B46)</f>
        <v>X</v>
      </c>
      <c r="J46" s="64" t="str">
        <f>IF(ISTEXT(VLOOKUP(CONCATENATE($A46,"_",J$3),'Unit List'!$A$14:$H$2838,2,FALSE)),"+","")</f>
        <v>+</v>
      </c>
      <c r="K46" s="103" t="s">
        <v>0</v>
      </c>
      <c r="L46" s="155" t="s">
        <v>3</v>
      </c>
      <c r="M46" s="64" t="str">
        <f>IF(ISTEXT(VLOOKUP(CONCATENATE($A46,"_",M$3),'Unit List'!$A$14:$H$2838,2,FALSE)),"+","")</f>
        <v/>
      </c>
      <c r="N46" s="66" t="str">
        <f>IF(ISTEXT(VLOOKUP(CONCATENATE($A46,"_",N$3),'Unit List'!$A$14:$H$2838,2,FALSE)),"X",$M46)</f>
        <v/>
      </c>
      <c r="O46" s="100" t="str">
        <f>IF(ISTEXT(VLOOKUP(CONCATENATE($A46,"_",O$3),'Unit List'!$A$14:$H$2838,2,FALSE)),"X",$M46)</f>
        <v>X</v>
      </c>
      <c r="P46" s="68" t="str">
        <f>IF(ISTEXT(VLOOKUP(CONCATENATE($A46,"_",P$3),'Unit List'!$A$14:$H$2838,2,FALSE)),"+","")</f>
        <v/>
      </c>
      <c r="Q46" s="66" t="str">
        <f>IF(ISTEXT(VLOOKUP(CONCATENATE($A46,"_",Q$3),'Unit List'!$A$14:$H$2838,2,FALSE)),"X",$P46)</f>
        <v/>
      </c>
      <c r="R46" s="66" t="str">
        <f>IF(ISTEXT(VLOOKUP(CONCATENATE($A46,"_",R$3),'Unit List'!$A$14:$H$2838,2,FALSE)),"X",$P46)</f>
        <v/>
      </c>
      <c r="S46" s="96" t="str">
        <f>IF(ISTEXT(VLOOKUP(CONCATENATE($A46,"_",S$3),'Unit List'!$A$14:$H$2838,2,FALSE)),"X",$P46)</f>
        <v>X</v>
      </c>
      <c r="T46" s="69" t="str">
        <f>IF(ISTEXT(VLOOKUP(CONCATENATE($A46,"_",T$3),'Unit List'!$A$14:$H$2838,2,FALSE)),"X",$P46)</f>
        <v/>
      </c>
      <c r="U46" s="66" t="str">
        <f>IF(ISTEXT(VLOOKUP(CONCATENATE($A46,"_",U$3),'Unit List'!$A$14:$H$2838,2,FALSE)),"X",$P46)</f>
        <v/>
      </c>
      <c r="V46" s="96" t="str">
        <f>IF(ISTEXT(VLOOKUP(CONCATENATE($A46,"_",V$3),'Unit List'!$A$14:$H$2838,2,FALSE)),"X",$P46)</f>
        <v>X</v>
      </c>
      <c r="W46" s="71" t="str">
        <f>IF(ISTEXT(VLOOKUP(CONCATENATE($A46,"_",W$3),'Unit List'!$A$14:$H$2838,2,FALSE)),"X",$P46)</f>
        <v/>
      </c>
      <c r="X46" s="101" t="str">
        <f>IF(ISTEXT(VLOOKUP(CONCATENATE($A46,"_",X$3),'Unit List'!$A$14:$H$2838,2,FALSE)),"+","")</f>
        <v>+</v>
      </c>
      <c r="Y46" s="96" t="str">
        <f>IF(ISTEXT(VLOOKUP(CONCATENATE($A46,"_",Y$3),'Unit List'!$A$14:$H$2838,2,FALSE)),"X",$X46)</f>
        <v>X</v>
      </c>
      <c r="Z46" s="133" t="str">
        <f>IF(ISTEXT(VLOOKUP(CONCATENATE($A46,"_",Z$3),'Unit List'!$A$14:$H$2838,2,FALSE)),"X",$X46)</f>
        <v>+</v>
      </c>
      <c r="AA46" s="96" t="str">
        <f>IF(ISTEXT(VLOOKUP(CONCATENATE($A46,"_",AA$3),'Unit List'!$A$14:$H$2838,2,FALSE)),"X",$X46)</f>
        <v>X</v>
      </c>
      <c r="AB46" s="96" t="str">
        <f>IF(ISTEXT(VLOOKUP(CONCATENATE($A46,"_",AB$3),'Unit List'!$A$14:$H$2838,2,FALSE)),"X",$X46)</f>
        <v>X</v>
      </c>
      <c r="AC46" s="123" t="str">
        <f>IF(ISTEXT(VLOOKUP(CONCATENATE($A46,"_",AC$3),'Unit List'!$A$14:$H$2838,2,FALSE)),"X",$X46)</f>
        <v>X</v>
      </c>
      <c r="AD46" s="68" t="str">
        <f>IF(ISTEXT(VLOOKUP(CONCATENATE($A46,"_",AD$3),'Unit List'!$A$14:$H$2838,2,FALSE)),"+","")</f>
        <v>+</v>
      </c>
      <c r="AE46" s="66" t="str">
        <f>IF(ISTEXT(VLOOKUP(CONCATENATE($A46,"_",AE$3),'Unit List'!$A$14:$H$2838,2,FALSE)),"X",$AD46)</f>
        <v>+</v>
      </c>
      <c r="AF46" s="72" t="str">
        <f>IF(ISTEXT(VLOOKUP(CONCATENATE($A46,"_",AF$3),'Unit List'!$A$14:$H$2838,2,FALSE)),"X",$AD46)</f>
        <v>+</v>
      </c>
      <c r="AG46" s="68" t="str">
        <f>IF(ISTEXT(VLOOKUP(CONCATENATE($A46,"_",AG$3),'Unit List'!$A$14:$H$2838,2,FALSE)),"+","")</f>
        <v>+</v>
      </c>
      <c r="AH46" s="127" t="s">
        <v>0</v>
      </c>
      <c r="AI46" s="133" t="str">
        <f>IF(ISTEXT(VLOOKUP(CONCATENATE($A46,"_",AI$3),'Unit List'!$A$14:$H$2838,2,FALSE)),"X",$AG46)</f>
        <v>+</v>
      </c>
      <c r="AJ46" s="134" t="str">
        <f>IF(ISTEXT(VLOOKUP(CONCATENATE($A46,"_",AJ$3),'Unit List'!$A$14:$H$2838,2,FALSE)),"X",$AG46)</f>
        <v>+</v>
      </c>
      <c r="AK46" s="97" t="str">
        <f>IF(ISTEXT(VLOOKUP(CONCATENATE($A46,"_",AK$3),'Unit List'!$A$14:$H$2838,2,FALSE)),"+","")</f>
        <v>+</v>
      </c>
      <c r="AL46" s="69" t="str">
        <f>IF(ISTEXT(VLOOKUP(CONCATENATE($A46,"_",AL$3),'Unit List'!$A$14:$H$2838,2,FALSE)),"X",$AK46)</f>
        <v>X</v>
      </c>
      <c r="AM46" s="241" t="str">
        <f>IF(ISTEXT(VLOOKUP(CONCATENATE($A46,"_",AM$3),'Unit List'!$A$14:$H$2838,2,FALSE)),"X",$AK46)</f>
        <v>+</v>
      </c>
      <c r="AN46" s="91" t="str">
        <f>IF(ISTEXT(VLOOKUP(CONCATENATE($A46,"_",AN$3),'Unit List'!$A$14:$H$2838,2,FALSE)),"+","")</f>
        <v>+</v>
      </c>
      <c r="AO46" s="100" t="str">
        <f>IF(ISTEXT(VLOOKUP(CONCATENATE($A46,"_",AO$3),'Unit List'!$A$14:$H$2838,2,FALSE)),"X",$AN46)</f>
        <v>X</v>
      </c>
      <c r="AP46" s="101" t="str">
        <f>IF(ISTEXT(VLOOKUP(CONCATENATE($A46,"_",AP$3),'Unit List'!$A$14:$H$2838,2,FALSE)),"+","")</f>
        <v>+</v>
      </c>
      <c r="AQ46" s="96" t="str">
        <f>IF(ISTEXT(VLOOKUP(CONCATENATE($A46,"_",AQ$3),'Unit List'!$A$14:$H$2838,2,FALSE)),"X",$AP46)</f>
        <v>X</v>
      </c>
      <c r="AR46" s="96" t="str">
        <f>IF(ISTEXT(VLOOKUP(CONCATENATE($A46,"_",AR$3),'Unit List'!$A$14:$H$2838,2,FALSE)),"X",$AP46)</f>
        <v>X</v>
      </c>
      <c r="AS46" s="133" t="str">
        <f>IF(ISTEXT(VLOOKUP(CONCATENATE($A46,"_",AS$3),'Unit List'!$A$14:$H$2838,2,FALSE)),"X",$AP46)</f>
        <v>+</v>
      </c>
      <c r="AT46" s="241" t="str">
        <f>IF(ISTEXT(VLOOKUP(CONCATENATE($A46,"_",AT$3),'Unit List'!$A$14:$H$2838,2,FALSE)),"X",$AP46)</f>
        <v>+</v>
      </c>
      <c r="AU46" s="77" t="str">
        <f>IF(ISTEXT(VLOOKUP(CONCATENATE($A46,"_",AU$3),'Unit List'!$A$14:$H$2838,2,FALSE)),"+","")</f>
        <v>+</v>
      </c>
      <c r="AV46" s="133" t="str">
        <f>IF(ISTEXT(VLOOKUP(CONCATENATE($A46,"_",AV$3),'Unit List'!$A$14:$H$2838,2,FALSE)),"X",$AU46)</f>
        <v>+</v>
      </c>
      <c r="AW46" s="241" t="str">
        <f>IF(ISTEXT(VLOOKUP(CONCATENATE($A46,"_",AW$3),'Unit List'!$A$14:$H$2838,2,FALSE)),"X",$AU46)</f>
        <v>+</v>
      </c>
      <c r="AX46" s="101" t="str">
        <f>IF(ISTEXT(VLOOKUP(CONCATENATE($A46,"_",AX$3),'Unit List'!$A$14:$H$2838,2,FALSE)),"+","")</f>
        <v>+</v>
      </c>
      <c r="AY46" s="96" t="str">
        <f>IF(ISTEXT(VLOOKUP(CONCATENATE($A46,"_",AY$3),'Unit List'!$A$14:$H$2838,2,FALSE)),"X",$AX46)</f>
        <v>X</v>
      </c>
      <c r="AZ46" s="241" t="str">
        <f>IF(ISTEXT(VLOOKUP(CONCATENATE($A46,"_",AZ$3),'Unit List'!$A$14:$H$2838,2,FALSE)),"X",$AX46)</f>
        <v>+</v>
      </c>
      <c r="BA46" s="101" t="str">
        <f>IF(ISTEXT(VLOOKUP(CONCATENATE($A46,"_",BA$3),'Unit List'!$A$14:$H$2838,2,FALSE)),"+","")</f>
        <v>+</v>
      </c>
      <c r="BB46" s="96" t="str">
        <f>IF(ISTEXT(VLOOKUP(CONCATENATE($A46,"_",BB$3),'Unit List'!$A$14:$H$2838,2,FALSE)),"X",$BA46)</f>
        <v>X</v>
      </c>
      <c r="BC46" s="66" t="str">
        <f>IF(ISTEXT(VLOOKUP(CONCATENATE($A46,"_",BC$3),'Unit List'!$A$14:$H$2838,2,FALSE)),"X",$BA46)</f>
        <v>X</v>
      </c>
      <c r="BD46" s="74" t="str">
        <f>IF(ISTEXT(VLOOKUP(CONCATENATE($A46,"_",BD$3),'Unit List'!$A$14:$H$2838,2,FALSE)),"X",$BA46)</f>
        <v>X</v>
      </c>
      <c r="BE46" s="91" t="str">
        <f>IF(ISTEXT(VLOOKUP(CONCATENATE($A46,"_",BE$3),'Unit List'!$A$14:$H$2838,2,FALSE)),"+","")</f>
        <v>+</v>
      </c>
      <c r="BF46" s="135" t="str">
        <f>IF(ISTEXT(VLOOKUP(CONCATENATE($A46,"_",BF$3),'Unit List'!$A$14:$H$2838,2,FALSE)),"X",$BE46)</f>
        <v>+</v>
      </c>
      <c r="BG46" s="111"/>
      <c r="BH46" s="121"/>
      <c r="BI46" s="264"/>
      <c r="BJ46" s="265"/>
      <c r="BK46" s="265"/>
      <c r="BL46" s="265"/>
      <c r="BM46" s="266"/>
      <c r="BN46" s="81"/>
      <c r="BO46" s="81"/>
      <c r="BP46" s="81"/>
      <c r="BQ46" s="81"/>
      <c r="BR46" s="81"/>
      <c r="BS46" s="81"/>
      <c r="DZ46" s="82"/>
      <c r="EA46" s="82"/>
    </row>
    <row r="47" spans="1:131" ht="12.75" customHeight="1" x14ac:dyDescent="0.2">
      <c r="A47" s="83" t="s">
        <v>1150</v>
      </c>
      <c r="B47" s="59" t="str">
        <f>IF(ISTEXT(VLOOKUP(CONCATENATE($A47,"_",B$3),'Unit List'!$A$14:$H$2838,2,FALSE)),"+","")</f>
        <v/>
      </c>
      <c r="C47" s="84" t="str">
        <f>IF(ISTEXT(VLOOKUP(CONCATENATE($A47,"_",C$3),'Unit List'!$A$14:$H$2838,2,FALSE)),"X",$B47)</f>
        <v/>
      </c>
      <c r="D47" s="66" t="str">
        <f>IF(ISTEXT(VLOOKUP(CONCATENATE($A47,"_",D$3),'Unit List'!$A$14:$H$2838,2,FALSE)),"X",$B47)</f>
        <v/>
      </c>
      <c r="E47" s="66" t="str">
        <f>IF(ISTEXT(VLOOKUP(CONCATENATE($A47,"_",E$3),'Unit List'!$A$14:$H$2838,2,FALSE)),"X",$B47)</f>
        <v/>
      </c>
      <c r="F47" s="66" t="str">
        <f>IF(ISTEXT(VLOOKUP(CONCATENATE($A47,"_",F$3),'Unit List'!$A$14:$H$2838,2,FALSE)),"X",$B47)</f>
        <v/>
      </c>
      <c r="G47" s="66" t="str">
        <f>IF(ISTEXT(VLOOKUP(CONCATENATE($A47,"_",G$3),'Unit List'!$A$14:$H$2838,2,FALSE)),"X",$B47)</f>
        <v/>
      </c>
      <c r="H47" s="66" t="str">
        <f>IF(ISTEXT(VLOOKUP(CONCATENATE($A47,"_",H$3),'Unit List'!$A$14:$H$2838,2,FALSE)),"X",$B47)</f>
        <v/>
      </c>
      <c r="I47" s="74" t="str">
        <f>IF(ISTEXT(VLOOKUP(CONCATENATE($A47,"_",I$3),'Unit List'!$A$14:$H$2838,2,FALSE)),"X",$B47)</f>
        <v/>
      </c>
      <c r="J47" s="64" t="str">
        <f>IF(ISTEXT(VLOOKUP(CONCATENATE($A47,"_",J$3),'Unit List'!$A$14:$H$2838,2,FALSE)),"+","")</f>
        <v/>
      </c>
      <c r="K47" s="66" t="str">
        <f>IF(ISTEXT(VLOOKUP(CONCATENATE($A47,"_",K$3),'Unit List'!$A$14:$H$2838,2,FALSE)),"X",$J47)</f>
        <v/>
      </c>
      <c r="L47" s="89" t="str">
        <f>IF(ISTEXT(VLOOKUP(CONCATENATE($A47,"_",L$3),'Unit List'!$A$14:$H$2838,2,FALSE)),"X",$J47)</f>
        <v/>
      </c>
      <c r="M47" s="64" t="str">
        <f>IF(ISTEXT(VLOOKUP(CONCATENATE($A47,"_",M$3),'Unit List'!$A$14:$H$2838,2,FALSE)),"+","")</f>
        <v/>
      </c>
      <c r="N47" s="66" t="str">
        <f>IF(ISTEXT(VLOOKUP(CONCATENATE($A47,"_",N$3),'Unit List'!$A$14:$H$2838,2,FALSE)),"X",$M47)</f>
        <v/>
      </c>
      <c r="O47" s="74" t="str">
        <f>IF(ISTEXT(VLOOKUP(CONCATENATE($A47,"_",O$3),'Unit List'!$A$14:$H$2838,2,FALSE)),"X",$M47)</f>
        <v/>
      </c>
      <c r="P47" s="68" t="str">
        <f>IF(ISTEXT(VLOOKUP(CONCATENATE($A47,"_",P$3),'Unit List'!$A$14:$H$2838,2,FALSE)),"+","")</f>
        <v/>
      </c>
      <c r="Q47" s="66" t="str">
        <f>IF(ISTEXT(VLOOKUP(CONCATENATE($A47,"_",Q$3),'Unit List'!$A$14:$H$2838,2,FALSE)),"X",$P47)</f>
        <v/>
      </c>
      <c r="R47" s="66" t="str">
        <f>IF(ISTEXT(VLOOKUP(CONCATENATE($A47,"_",R$3),'Unit List'!$A$14:$H$2838,2,FALSE)),"X",$P47)</f>
        <v/>
      </c>
      <c r="S47" s="66" t="str">
        <f>IF(ISTEXT(VLOOKUP(CONCATENATE($A47,"_",S$3),'Unit List'!$A$14:$H$2838,2,FALSE)),"X",$P47)</f>
        <v/>
      </c>
      <c r="T47" s="69" t="str">
        <f>IF(ISTEXT(VLOOKUP(CONCATENATE($A47,"_",T$3),'Unit List'!$A$14:$H$2838,2,FALSE)),"X",$P47)</f>
        <v/>
      </c>
      <c r="U47" s="66" t="str">
        <f>IF(ISTEXT(VLOOKUP(CONCATENATE($A47,"_",U$3),'Unit List'!$A$14:$H$2838,2,FALSE)),"X",$P47)</f>
        <v/>
      </c>
      <c r="V47" s="66" t="str">
        <f>IF(ISTEXT(VLOOKUP(CONCATENATE($A47,"_",V$3),'Unit List'!$A$14:$H$2838,2,FALSE)),"X",$P47)</f>
        <v/>
      </c>
      <c r="W47" s="71" t="str">
        <f>IF(ISTEXT(VLOOKUP(CONCATENATE($A47,"_",W$3),'Unit List'!$A$14:$H$2838,2,FALSE)),"X",$P47)</f>
        <v/>
      </c>
      <c r="X47" s="68" t="str">
        <f>IF(ISTEXT(VLOOKUP(CONCATENATE($A47,"_",X$3),'Unit List'!$A$14:$H$2838,2,FALSE)),"+","")</f>
        <v/>
      </c>
      <c r="Y47" s="66" t="str">
        <f>IF(ISTEXT(VLOOKUP(CONCATENATE($A47,"_",Y$3),'Unit List'!$A$14:$H$2838,2,FALSE)),"X",$X47)</f>
        <v/>
      </c>
      <c r="Z47" s="66" t="str">
        <f>IF(ISTEXT(VLOOKUP(CONCATENATE($A47,"_",Z$3),'Unit List'!$A$14:$H$2838,2,FALSE)),"X",$X47)</f>
        <v/>
      </c>
      <c r="AA47" s="66" t="str">
        <f>IF(ISTEXT(VLOOKUP(CONCATENATE($A47,"_",AA$3),'Unit List'!$A$14:$H$2838,2,FALSE)),"X",$X47)</f>
        <v/>
      </c>
      <c r="AB47" s="66" t="str">
        <f>IF(ISTEXT(VLOOKUP(CONCATENATE($A47,"_",AB$3),'Unit List'!$A$14:$H$2838,2,FALSE)),"X",$X47)</f>
        <v/>
      </c>
      <c r="AC47" s="89" t="str">
        <f>IF(ISTEXT(VLOOKUP(CONCATENATE($A47,"_",AC$3),'Unit List'!$A$14:$H$2838,2,FALSE)),"X",$X47)</f>
        <v/>
      </c>
      <c r="AD47" s="68" t="str">
        <f>IF(ISTEXT(VLOOKUP(CONCATENATE($A47,"_",AD$3),'Unit List'!$A$14:$H$2838,2,FALSE)),"+","")</f>
        <v/>
      </c>
      <c r="AE47" s="66" t="str">
        <f>IF(ISTEXT(VLOOKUP(CONCATENATE($A47,"_",AE$3),'Unit List'!$A$14:$H$2838,2,FALSE)),"X",$AD47)</f>
        <v/>
      </c>
      <c r="AF47" s="72" t="str">
        <f>IF(ISTEXT(VLOOKUP(CONCATENATE($A47,"_",AF$3),'Unit List'!$A$14:$H$2838,2,FALSE)),"X",$AD47)</f>
        <v/>
      </c>
      <c r="AG47" s="68" t="str">
        <f>IF(ISTEXT(VLOOKUP(CONCATENATE($A47,"_",AG$3),'Unit List'!$A$14:$H$2838,2,FALSE)),"+","")</f>
        <v/>
      </c>
      <c r="AH47" s="66" t="str">
        <f>IF(ISTEXT(VLOOKUP(CONCATENATE($A47,"_",AH$3),'Unit List'!$A$14:$H$2838,2,FALSE)),"X",$AG47)</f>
        <v/>
      </c>
      <c r="AI47" s="66" t="str">
        <f>IF(ISTEXT(VLOOKUP(CONCATENATE($A47,"_",AI$3),'Unit List'!$A$14:$H$2838,2,FALSE)),"X",$AG47)</f>
        <v/>
      </c>
      <c r="AJ47" s="74" t="str">
        <f>IF(ISTEXT(VLOOKUP(CONCATENATE($A47,"_",AJ$3),'Unit List'!$A$14:$H$2838,2,FALSE)),"X",$AG47)</f>
        <v/>
      </c>
      <c r="AK47" s="64" t="str">
        <f>IF(ISTEXT(VLOOKUP(CONCATENATE($A47,"_",AK$3),'Unit List'!$A$14:$H$2838,2,FALSE)),"+","")</f>
        <v/>
      </c>
      <c r="AL47" s="69" t="str">
        <f>IF(ISTEXT(VLOOKUP(CONCATENATE($A47,"_",AL$3),'Unit List'!$A$14:$H$2838,2,FALSE)),"X",$AK47)</f>
        <v/>
      </c>
      <c r="AM47" s="74" t="str">
        <f>IF(ISTEXT(VLOOKUP(CONCATENATE($A47,"_",AM$3),'Unit List'!$A$14:$H$2838,2,FALSE)),"X",$AK47)</f>
        <v/>
      </c>
      <c r="AN47" s="91" t="str">
        <f>IF(ISTEXT(VLOOKUP(CONCATENATE($A47,"_",AN$3),'Unit List'!$A$14:$H$2838,2,FALSE)),"+","")</f>
        <v/>
      </c>
      <c r="AO47" s="74" t="str">
        <f>IF(ISTEXT(VLOOKUP(CONCATENATE($A47,"_",AO$3),'Unit List'!$A$14:$H$2838,2,FALSE)),"X",$AN47)</f>
        <v/>
      </c>
      <c r="AP47" s="68" t="str">
        <f>IF(ISTEXT(VLOOKUP(CONCATENATE($A47,"_",AP$3),'Unit List'!$A$14:$H$2838,2,FALSE)),"+","")</f>
        <v/>
      </c>
      <c r="AQ47" s="66" t="str">
        <f>IF(ISTEXT(VLOOKUP(CONCATENATE($A47,"_",AQ$3),'Unit List'!$A$14:$H$2838,2,FALSE)),"X",$AP47)</f>
        <v/>
      </c>
      <c r="AR47" s="66" t="str">
        <f>IF(ISTEXT(VLOOKUP(CONCATENATE($A47,"_",AR$3),'Unit List'!$A$14:$H$2838,2,FALSE)),"X",$AP47)</f>
        <v/>
      </c>
      <c r="AS47" s="66" t="str">
        <f>IF(ISTEXT(VLOOKUP(CONCATENATE($A47,"_",AS$3),'Unit List'!$A$14:$H$2838,2,FALSE)),"X",$AP47)</f>
        <v/>
      </c>
      <c r="AT47" s="74" t="str">
        <f>IF(ISTEXT(VLOOKUP(CONCATENATE($A47,"_",AT$3),'Unit List'!$A$14:$H$2838,2,FALSE)),"X",$AP47)</f>
        <v/>
      </c>
      <c r="AU47" s="77" t="str">
        <f>IF(ISTEXT(VLOOKUP(CONCATENATE($A47,"_",AU$3),'Unit List'!$A$14:$H$2838,2,FALSE)),"+","")</f>
        <v/>
      </c>
      <c r="AV47" s="66" t="str">
        <f>IF(ISTEXT(VLOOKUP(CONCATENATE($A47,"_",AV$3),'Unit List'!$A$14:$H$2838,2,FALSE)),"X",$AU47)</f>
        <v/>
      </c>
      <c r="AW47" s="74" t="str">
        <f>IF(ISTEXT(VLOOKUP(CONCATENATE($A47,"_",AW$3),'Unit List'!$A$14:$H$2838,2,FALSE)),"X",$AU47)</f>
        <v/>
      </c>
      <c r="AX47" s="68" t="str">
        <f>IF(ISTEXT(VLOOKUP(CONCATENATE($A47,"_",AX$3),'Unit List'!$A$14:$H$2838,2,FALSE)),"+","")</f>
        <v/>
      </c>
      <c r="AY47" s="66" t="str">
        <f>IF(ISTEXT(VLOOKUP(CONCATENATE($A47,"_",AY$3),'Unit List'!$A$14:$H$2838,2,FALSE)),"X",$AX47)</f>
        <v/>
      </c>
      <c r="AZ47" s="71" t="str">
        <f>IF(ISTEXT(VLOOKUP(CONCATENATE($A47,"_",AZ$3),'Unit List'!$A$14:$H$2838,2,FALSE)),"X",$AX47)</f>
        <v/>
      </c>
      <c r="BA47" s="78" t="str">
        <f>IF(ISTEXT(VLOOKUP(CONCATENATE($A47,"_",BA$3),'Unit List'!$A$14:$H$2838,2,FALSE)),"+","")</f>
        <v/>
      </c>
      <c r="BB47" s="66" t="str">
        <f>IF(ISTEXT(VLOOKUP(CONCATENATE($A47,"_",BB$3),'Unit List'!$A$14:$H$2838,2,FALSE)),"X",$BA47)</f>
        <v/>
      </c>
      <c r="BC47" s="66" t="str">
        <f>IF(ISTEXT(VLOOKUP(CONCATENATE($A47,"_",BC$3),'Unit List'!$A$14:$H$2838,2,FALSE)),"X",$BA47)</f>
        <v/>
      </c>
      <c r="BD47" s="74" t="str">
        <f>IF(ISTEXT(VLOOKUP(CONCATENATE($A47,"_",BD$3),'Unit List'!$A$14:$H$2838,2,FALSE)),"X",$BA47)</f>
        <v/>
      </c>
      <c r="BE47" s="91" t="str">
        <f>IF(ISTEXT(VLOOKUP(CONCATENATE($A47,"_",BE$3),'Unit List'!$A$14:$H$2838,2,FALSE)),"+","")</f>
        <v/>
      </c>
      <c r="BF47" s="89" t="str">
        <f>IF(ISTEXT(VLOOKUP(CONCATENATE($A47,"_",BF$3),'Unit List'!$A$14:$H$2838,2,FALSE)),"X",$BE47)</f>
        <v/>
      </c>
      <c r="BG47" s="92"/>
      <c r="BH47" s="93" t="s">
        <v>0</v>
      </c>
      <c r="BI47" s="264"/>
      <c r="BJ47" s="265"/>
      <c r="BK47" s="265"/>
      <c r="BL47" s="265"/>
      <c r="BM47" s="266"/>
      <c r="BN47" s="81"/>
      <c r="BO47" s="81"/>
      <c r="BP47" s="81"/>
      <c r="BQ47" s="81"/>
      <c r="BR47" s="81"/>
      <c r="BS47" s="81"/>
      <c r="DZ47" s="82"/>
      <c r="EA47" s="82"/>
    </row>
    <row r="48" spans="1:131" ht="12.75" customHeight="1" x14ac:dyDescent="0.2">
      <c r="A48" s="83" t="s">
        <v>20</v>
      </c>
      <c r="B48" s="59" t="str">
        <f>IF(ISTEXT(VLOOKUP(CONCATENATE($A48,"_",B$3),'Unit List'!$A$14:$H$2838,2,FALSE)),"+","")</f>
        <v/>
      </c>
      <c r="C48" s="156" t="str">
        <f>IF(ISTEXT(VLOOKUP(CONCATENATE($A48,"_",C$3),'Unit List'!$A$14:$H$2838,2,FALSE)),"X",$B48)</f>
        <v/>
      </c>
      <c r="D48" s="133" t="str">
        <f>IF(ISTEXT(VLOOKUP(CONCATENATE($A48,"_",D$3),'Unit List'!$A$14:$H$2838,2,FALSE)),"X",$B48)</f>
        <v/>
      </c>
      <c r="E48" s="133" t="str">
        <f>IF(ISTEXT(VLOOKUP(CONCATENATE($A48,"_",E$3),'Unit List'!$A$14:$H$2838,2,FALSE)),"X",$B48)</f>
        <v>X</v>
      </c>
      <c r="F48" s="66" t="str">
        <f>IF(ISTEXT(VLOOKUP(CONCATENATE($A48,"_",F$3),'Unit List'!$A$14:$H$2838,2,FALSE)),"X",$B48)</f>
        <v>X</v>
      </c>
      <c r="G48" s="133" t="str">
        <f>IF(ISTEXT(VLOOKUP(CONCATENATE($A48,"_",G$3),'Unit List'!$A$14:$H$2838,2,FALSE)),"X",$B48)</f>
        <v>X</v>
      </c>
      <c r="H48" s="133" t="str">
        <f>IF(ISTEXT(VLOOKUP(CONCATENATE($A48,"_",H$3),'Unit List'!$A$14:$H$2838,2,FALSE)),"X",$B48)</f>
        <v/>
      </c>
      <c r="I48" s="134" t="str">
        <f>IF(ISTEXT(VLOOKUP(CONCATENATE($A48,"_",I$3),'Unit List'!$A$14:$H$2838,2,FALSE)),"X",$B48)</f>
        <v>X</v>
      </c>
      <c r="J48" s="64" t="str">
        <f>IF(ISTEXT(VLOOKUP(CONCATENATE($A48,"_",J$3),'Unit List'!$A$14:$H$2838,2,FALSE)),"+","")</f>
        <v>+</v>
      </c>
      <c r="K48" s="133" t="str">
        <f>IF(ISTEXT(VLOOKUP(CONCATENATE($A48,"_",K$3),'Unit List'!$A$14:$H$2838,2,FALSE)),"X",$J48)</f>
        <v>+</v>
      </c>
      <c r="L48" s="135" t="str">
        <f>IF(ISTEXT(VLOOKUP(CONCATENATE($A48,"_",L$3),'Unit List'!$A$14:$H$2838,2,FALSE)),"X",$J48)</f>
        <v>+</v>
      </c>
      <c r="M48" s="64" t="str">
        <f>IF(ISTEXT(VLOOKUP(CONCATENATE($A48,"_",M$3),'Unit List'!$A$14:$H$2838,2,FALSE)),"+","")</f>
        <v/>
      </c>
      <c r="N48" s="66" t="str">
        <f>IF(ISTEXT(VLOOKUP(CONCATENATE($A48,"_",N$3),'Unit List'!$A$14:$H$2838,2,FALSE)),"X",$M48)</f>
        <v/>
      </c>
      <c r="O48" s="74" t="str">
        <f>IF(ISTEXT(VLOOKUP(CONCATENATE($A48,"_",O$3),'Unit List'!$A$14:$H$2838,2,FALSE)),"X",$M48)</f>
        <v/>
      </c>
      <c r="P48" s="64" t="str">
        <f>IF(ISTEXT(VLOOKUP(CONCATENATE($A48,"_",P$3),'Unit List'!$A$14:$H$2838,2,FALSE)),"+","")</f>
        <v>+</v>
      </c>
      <c r="Q48" s="133" t="str">
        <f>IF(ISTEXT(VLOOKUP(CONCATENATE($A48,"_",Q$3),'Unit List'!$A$14:$H$2838,2,FALSE)),"X",$P48)</f>
        <v>+</v>
      </c>
      <c r="R48" s="133" t="str">
        <f>IF(ISTEXT(VLOOKUP(CONCATENATE($A48,"_",R$3),'Unit List'!$A$14:$H$2838,2,FALSE)),"X",$P48)</f>
        <v>+</v>
      </c>
      <c r="S48" s="133" t="str">
        <f>IF(ISTEXT(VLOOKUP(CONCATENATE($A48,"_",S$3),'Unit List'!$A$14:$H$2838,2,FALSE)),"X",$P48)</f>
        <v>+</v>
      </c>
      <c r="T48" s="150" t="str">
        <f>IF(ISTEXT(VLOOKUP(CONCATENATE($A48,"_",T$3),'Unit List'!$A$14:$H$2838,2,FALSE)),"X",$P48)</f>
        <v>+</v>
      </c>
      <c r="U48" s="133" t="str">
        <f>IF(ISTEXT(VLOOKUP(CONCATENATE($A48,"_",U$3),'Unit List'!$A$14:$H$2838,2,FALSE)),"X",$P48)</f>
        <v>+</v>
      </c>
      <c r="V48" s="133" t="str">
        <f>IF(ISTEXT(VLOOKUP(CONCATENATE($A48,"_",V$3),'Unit List'!$A$14:$H$2838,2,FALSE)),"X",$P48)</f>
        <v>+</v>
      </c>
      <c r="W48" s="134" t="str">
        <f>IF(ISTEXT(VLOOKUP(CONCATENATE($A48,"_",W$3),'Unit List'!$A$14:$H$2838,2,FALSE)),"X",$P48)</f>
        <v>+</v>
      </c>
      <c r="X48" s="64" t="str">
        <f>IF(ISTEXT(VLOOKUP(CONCATENATE($A48,"_",X$3),'Unit List'!$A$14:$H$2838,2,FALSE)),"+","")</f>
        <v>+</v>
      </c>
      <c r="Y48" s="72" t="str">
        <f>IF(ISTEXT(VLOOKUP(CONCATENATE($A48,"_",Y$3),'Unit List'!$A$14:$H$2838,2,FALSE)),"X",$X48)</f>
        <v>+</v>
      </c>
      <c r="Z48" s="133" t="str">
        <f>IF(ISTEXT(VLOOKUP(CONCATENATE($A48,"_",Z$3),'Unit List'!$A$14:$H$2838,2,FALSE)),"X",$X48)</f>
        <v>+</v>
      </c>
      <c r="AA48" s="133" t="str">
        <f>IF(ISTEXT(VLOOKUP(CONCATENATE($A48,"_",AA$3),'Unit List'!$A$14:$H$2838,2,FALSE)),"X",$X48)</f>
        <v>+</v>
      </c>
      <c r="AB48" s="72" t="str">
        <f>IF(ISTEXT(VLOOKUP(CONCATENATE($A48,"_",AB$3),'Unit List'!$A$14:$H$2838,2,FALSE)),"X",$X48)</f>
        <v>X</v>
      </c>
      <c r="AC48" s="135" t="str">
        <f>IF(ISTEXT(VLOOKUP(CONCATENATE($A48,"_",AC$3),'Unit List'!$A$14:$H$2838,2,FALSE)),"X",$X48)</f>
        <v>X</v>
      </c>
      <c r="AD48" s="101" t="str">
        <f>IF(ISTEXT(VLOOKUP(CONCATENATE($A48,"_",AD$3),'Unit List'!$A$14:$H$2838,2,FALSE)),"+","")</f>
        <v>+</v>
      </c>
      <c r="AE48" s="66" t="str">
        <f>IF(ISTEXT(VLOOKUP(CONCATENATE($A48,"_",AE$3),'Unit List'!$A$14:$H$2838,2,FALSE)),"X",$AD48)</f>
        <v>+</v>
      </c>
      <c r="AF48" s="72" t="str">
        <f>IF(ISTEXT(VLOOKUP(CONCATENATE($A48,"_",AF$3),'Unit List'!$A$14:$H$2838,2,FALSE)),"X",$AD48)</f>
        <v>+</v>
      </c>
      <c r="AG48" s="101" t="str">
        <f>IF(ISTEXT(VLOOKUP(CONCATENATE($A48,"_",AG$3),'Unit List'!$A$14:$H$2838,2,FALSE)),"+","")</f>
        <v>+</v>
      </c>
      <c r="AH48" s="96" t="str">
        <f>IF(ISTEXT(VLOOKUP(CONCATENATE($A48,"_",AH$3),'Unit List'!$A$14:$H$2838,2,FALSE)),"X",$AG48)</f>
        <v>+</v>
      </c>
      <c r="AI48" s="125" t="str">
        <f>IF(ISTEXT(VLOOKUP(CONCATENATE($A48,"_",AI$3),'Unit List'!$A$14:$H$2838,2,FALSE)),"X",$AG48)</f>
        <v>+</v>
      </c>
      <c r="AJ48" s="241" t="str">
        <f>IF(ISTEXT(VLOOKUP(CONCATENATE($A48,"_",AJ$3),'Unit List'!$A$14:$H$2838,2,FALSE)),"X",$AG48)</f>
        <v>+</v>
      </c>
      <c r="AK48" s="64" t="str">
        <f>IF(ISTEXT(VLOOKUP(CONCATENATE($A48,"_",AK$3),'Unit List'!$A$14:$H$2838,2,FALSE)),"+","")</f>
        <v/>
      </c>
      <c r="AL48" s="69" t="str">
        <f>IF(ISTEXT(VLOOKUP(CONCATENATE($A48,"_",AL$3),'Unit List'!$A$14:$H$2838,2,FALSE)),"X",$AK48)</f>
        <v/>
      </c>
      <c r="AM48" s="74" t="str">
        <f>IF(ISTEXT(VLOOKUP(CONCATENATE($A48,"_",AM$3),'Unit List'!$A$14:$H$2838,2,FALSE)),"X",$AK48)</f>
        <v/>
      </c>
      <c r="AN48" s="91" t="str">
        <f>IF(ISTEXT(VLOOKUP(CONCATENATE($A48,"_",AN$3),'Unit List'!$A$14:$H$2838,2,FALSE)),"+","")</f>
        <v>+</v>
      </c>
      <c r="AO48" s="100" t="str">
        <f>IF(ISTEXT(VLOOKUP(CONCATENATE($A48,"_",AO$3),'Unit List'!$A$14:$H$2838,2,FALSE)),"X",$AN48)</f>
        <v>X</v>
      </c>
      <c r="AP48" s="101" t="str">
        <f>IF(ISTEXT(VLOOKUP(CONCATENATE($A48,"_",AP$3),'Unit List'!$A$14:$H$2838,2,FALSE)),"+","")</f>
        <v>+</v>
      </c>
      <c r="AQ48" s="95" t="str">
        <f>IF(ISTEXT(VLOOKUP(CONCATENATE($A48,"_",AQ$3),'Unit List'!$A$14:$H$2838,2,FALSE)),"X",$AP48)</f>
        <v>+</v>
      </c>
      <c r="AR48" s="95" t="str">
        <f>IF(ISTEXT(VLOOKUP(CONCATENATE($A48,"_",AR$3),'Unit List'!$A$14:$H$2838,2,FALSE)),"X",$AP48)</f>
        <v>+</v>
      </c>
      <c r="AS48" s="95" t="str">
        <f>IF(ISTEXT(VLOOKUP(CONCATENATE($A48,"_",AS$3),'Unit List'!$A$14:$H$2838,2,FALSE)),"X",$AP48)</f>
        <v>+</v>
      </c>
      <c r="AT48" s="241" t="str">
        <f>IF(ISTEXT(VLOOKUP(CONCATENATE($A48,"_",AT$3),'Unit List'!$A$14:$H$2838,2,FALSE)),"X",$AP48)</f>
        <v>+</v>
      </c>
      <c r="AU48" s="77" t="str">
        <f>IF(ISTEXT(VLOOKUP(CONCATENATE($A48,"_",AU$3),'Unit List'!$A$14:$H$2838,2,FALSE)),"+","")</f>
        <v>+</v>
      </c>
      <c r="AV48" s="133" t="str">
        <f>IF(ISTEXT(VLOOKUP(CONCATENATE($A48,"_",AV$3),'Unit List'!$A$14:$H$2838,2,FALSE)),"X",$AU48)</f>
        <v>+</v>
      </c>
      <c r="AW48" s="134" t="str">
        <f>IF(ISTEXT(VLOOKUP(CONCATENATE($A48,"_",AW$3),'Unit List'!$A$14:$H$2838,2,FALSE)),"X",$AU48)</f>
        <v>+</v>
      </c>
      <c r="AX48" s="101" t="str">
        <f>IF(ISTEXT(VLOOKUP(CONCATENATE($A48,"_",AX$3),'Unit List'!$A$14:$H$2838,2,FALSE)),"+","")</f>
        <v>+</v>
      </c>
      <c r="AY48" s="96" t="str">
        <f>IF(ISTEXT(VLOOKUP(CONCATENATE($A48,"_",AY$3),'Unit List'!$A$14:$H$2838,2,FALSE)),"X",$AX48)</f>
        <v>X</v>
      </c>
      <c r="AZ48" s="157" t="s">
        <v>0</v>
      </c>
      <c r="BA48" s="101" t="str">
        <f>IF(ISTEXT(VLOOKUP(CONCATENATE($A48,"_",BA$3),'Unit List'!$A$14:$H$2838,2,FALSE)),"+","")</f>
        <v>+</v>
      </c>
      <c r="BB48" s="96" t="str">
        <f>IF(ISTEXT(VLOOKUP(CONCATENATE($A48,"_",BB$3),'Unit List'!$A$14:$H$2838,2,FALSE)),"X",$BA48)</f>
        <v>X</v>
      </c>
      <c r="BC48" s="96" t="str">
        <f>IF(ISTEXT(VLOOKUP(CONCATENATE($A48,"_",BC$3),'Unit List'!$A$14:$H$2838,2,FALSE)),"X",$BA48)</f>
        <v>X</v>
      </c>
      <c r="BD48" s="134" t="str">
        <f>IF(ISTEXT(VLOOKUP(CONCATENATE($A48,"_",BD$3),'Unit List'!$A$14:$H$2838,2,FALSE)),"X",$BA48)</f>
        <v>+</v>
      </c>
      <c r="BE48" s="91" t="str">
        <f>IF(ISTEXT(VLOOKUP(CONCATENATE($A48,"_",BE$3),'Unit List'!$A$14:$H$2838,2,FALSE)),"+","")</f>
        <v>+</v>
      </c>
      <c r="BF48" s="135" t="str">
        <f>IF(ISTEXT(VLOOKUP(CONCATENATE($A48,"_",BF$3),'Unit List'!$A$14:$H$2838,2,FALSE)),"X",$BE48)</f>
        <v>+</v>
      </c>
      <c r="BG48" s="92" t="s">
        <v>0</v>
      </c>
      <c r="BH48" s="93" t="s">
        <v>0</v>
      </c>
      <c r="BI48" s="264"/>
      <c r="BJ48" s="265"/>
      <c r="BK48" s="265"/>
      <c r="BL48" s="265"/>
      <c r="BM48" s="266"/>
      <c r="BN48" s="81"/>
      <c r="BO48" s="81"/>
      <c r="BP48" s="81"/>
      <c r="BQ48" s="81"/>
      <c r="BR48" s="81"/>
      <c r="BS48" s="81"/>
      <c r="DZ48" s="82"/>
      <c r="EA48" s="82"/>
    </row>
    <row r="49" spans="1:131" ht="12.75" customHeight="1" x14ac:dyDescent="0.2">
      <c r="A49" s="83" t="s">
        <v>19</v>
      </c>
      <c r="B49" s="59" t="str">
        <f>IF(ISTEXT(VLOOKUP(CONCATENATE($A49,"_",B$3),'Unit List'!$A$14:$H$2838,2,FALSE)),"+","")</f>
        <v/>
      </c>
      <c r="C49" s="136" t="str">
        <f>IF(ISTEXT(VLOOKUP(CONCATENATE($A49,"_",C$3),'Unit List'!$A$14:$H$2838,2,FALSE)),"X",$B49)</f>
        <v>X</v>
      </c>
      <c r="D49" s="87" t="str">
        <f>IF(ISTEXT(VLOOKUP(CONCATENATE($A49,"_",D$3),'Unit List'!$A$14:$H$2838,2,FALSE)),"X",$B49)</f>
        <v>X</v>
      </c>
      <c r="E49" s="127" t="s">
        <v>0</v>
      </c>
      <c r="F49" s="96" t="str">
        <f>IF(ISTEXT(VLOOKUP(CONCATENATE($A49,"_",F$3),'Unit List'!$A$14:$H$2838,2,FALSE)),"X",$B49)</f>
        <v>X</v>
      </c>
      <c r="G49" s="96" t="str">
        <f>IF(ISTEXT(VLOOKUP(CONCATENATE($A49,"_",G$3),'Unit List'!$A$14:$H$2838,2,FALSE)),"X",$B49)</f>
        <v>X</v>
      </c>
      <c r="H49" s="96" t="str">
        <f>IF(ISTEXT(VLOOKUP(CONCATENATE($A49,"_",H$3),'Unit List'!$A$14:$H$2838,2,FALSE)),"X",$B49)</f>
        <v>X</v>
      </c>
      <c r="I49" s="74" t="str">
        <f>IF(ISTEXT(VLOOKUP(CONCATENATE($A49,"_",I$3),'Unit List'!$A$14:$H$2838,2,FALSE)),"X",$B49)</f>
        <v>X</v>
      </c>
      <c r="J49" s="64" t="str">
        <f>IF(ISTEXT(VLOOKUP(CONCATENATE($A49,"_",J$3),'Unit List'!$A$14:$H$2838,2,FALSE)),"+","")</f>
        <v>+</v>
      </c>
      <c r="K49" s="246" t="str">
        <f>IF(ISTEXT(VLOOKUP(CONCATENATE($A49,"_",K$3),'Unit List'!$A$14:$H$2838,2,FALSE)),"X",$J49)</f>
        <v>+</v>
      </c>
      <c r="L49" s="144" t="str">
        <f>IF(ISTEXT(VLOOKUP(CONCATENATE($A49,"_",L$3),'Unit List'!$A$14:$H$2838,2,FALSE)),"X",$J49)</f>
        <v>+</v>
      </c>
      <c r="M49" s="64" t="str">
        <f>IF(ISTEXT(VLOOKUP(CONCATENATE($A49,"_",M$3),'Unit List'!$A$14:$H$2838,2,FALSE)),"+","")</f>
        <v>+</v>
      </c>
      <c r="N49" s="133" t="str">
        <f>IF(ISTEXT(VLOOKUP(CONCATENATE($A49,"_",N$3),'Unit List'!$A$14:$H$2838,2,FALSE)),"X",$M49)</f>
        <v>+</v>
      </c>
      <c r="O49" s="241" t="str">
        <f>IF(ISTEXT(VLOOKUP(CONCATENATE($A49,"_",O$3),'Unit List'!$A$14:$H$2838,2,FALSE)),"X",$M49)</f>
        <v>+</v>
      </c>
      <c r="P49" s="101" t="str">
        <f>IF(ISTEXT(VLOOKUP(CONCATENATE($A49,"_",P$3),'Unit List'!$A$14:$H$2838,2,FALSE)),"+","")</f>
        <v>+</v>
      </c>
      <c r="Q49" s="133" t="str">
        <f>IF(ISTEXT(VLOOKUP(CONCATENATE($A49,"_",Q$3),'Unit List'!$A$14:$H$2838,2,FALSE)),"X",$P49)</f>
        <v>+</v>
      </c>
      <c r="R49" s="133" t="str">
        <f>IF(ISTEXT(VLOOKUP(CONCATENATE($A49,"_",R$3),'Unit List'!$A$14:$H$2838,2,FALSE)),"X",$P49)</f>
        <v>+</v>
      </c>
      <c r="S49" s="103" t="str">
        <f>IF(ISTEXT(VLOOKUP(CONCATENATE($A49,"_",S$3),'Unit List'!$A$14:$H$2838,2,FALSE)),"X",$P49)</f>
        <v>X</v>
      </c>
      <c r="T49" s="69" t="str">
        <f>IF(ISTEXT(VLOOKUP(CONCATENATE($A49,"_",T$3),'Unit List'!$A$14:$H$2838,2,FALSE)),"X",$P49)</f>
        <v>X</v>
      </c>
      <c r="U49" s="96" t="str">
        <f>IF(ISTEXT(VLOOKUP(CONCATENATE($A49,"_",U$3),'Unit List'!$A$14:$H$2838,2,FALSE)),"X",$P49)</f>
        <v>X</v>
      </c>
      <c r="V49" s="96" t="str">
        <f>IF(ISTEXT(VLOOKUP(CONCATENATE($A49,"_",V$3),'Unit List'!$A$14:$H$2838,2,FALSE)),"X",$P49)</f>
        <v>X</v>
      </c>
      <c r="W49" s="134" t="str">
        <f>IF(ISTEXT(VLOOKUP(CONCATENATE($A49,"_",W$3),'Unit List'!$A$14:$H$2838,2,FALSE)),"X",$P49)</f>
        <v>+</v>
      </c>
      <c r="X49" s="101" t="str">
        <f>IF(ISTEXT(VLOOKUP(CONCATENATE($A49,"_",X$3),'Unit List'!$A$14:$H$2838,2,FALSE)),"+","")</f>
        <v>+</v>
      </c>
      <c r="Y49" s="95" t="str">
        <f>IF(ISTEXT(VLOOKUP(CONCATENATE($A49,"_",Y$3),'Unit List'!$A$14:$H$2838,2,FALSE)),"X",$X49)</f>
        <v>X</v>
      </c>
      <c r="Z49" s="133" t="str">
        <f>IF(ISTEXT(VLOOKUP(CONCATENATE($A49,"_",Z$3),'Unit List'!$A$14:$H$2838,2,FALSE)),"X",$X49)</f>
        <v>+</v>
      </c>
      <c r="AA49" s="96" t="str">
        <f>IF(ISTEXT(VLOOKUP(CONCATENATE($A49,"_",AA$3),'Unit List'!$A$14:$H$2838,2,FALSE)),"X",$X49)</f>
        <v>X</v>
      </c>
      <c r="AB49" s="96" t="str">
        <f>IF(ISTEXT(VLOOKUP(CONCATENATE($A49,"_",AB$3),'Unit List'!$A$14:$H$2838,2,FALSE)),"X",$X49)</f>
        <v>X</v>
      </c>
      <c r="AC49" s="155" t="s">
        <v>0</v>
      </c>
      <c r="AD49" s="101" t="str">
        <f>IF(ISTEXT(VLOOKUP(CONCATENATE($A49,"_",AD$3),'Unit List'!$A$14:$H$2838,2,FALSE)),"+","")</f>
        <v/>
      </c>
      <c r="AE49" s="66" t="str">
        <f>IF(ISTEXT(VLOOKUP(CONCATENATE($A49,"_",AE$3),'Unit List'!$A$14:$H$2838,2,FALSE)),"X",$AD49)</f>
        <v>X</v>
      </c>
      <c r="AF49" s="72" t="str">
        <f>IF(ISTEXT(VLOOKUP(CONCATENATE($A49,"_",AF$3),'Unit List'!$A$14:$H$2838,2,FALSE)),"X",$AD49)</f>
        <v/>
      </c>
      <c r="AG49" s="101" t="str">
        <f>IF(ISTEXT(VLOOKUP(CONCATENATE($A49,"_",AG$3),'Unit List'!$A$14:$H$2838,2,FALSE)),"+","")</f>
        <v>+</v>
      </c>
      <c r="AH49" s="96" t="str">
        <f>IF(ISTEXT(VLOOKUP(CONCATENATE($A49,"_",AH$3),'Unit List'!$A$14:$H$2838,2,FALSE)),"X",$AG49)</f>
        <v>X</v>
      </c>
      <c r="AI49" s="96" t="str">
        <f>IF(ISTEXT(VLOOKUP(CONCATENATE($A49,"_",AI$3),'Unit List'!$A$14:$H$2838,2,FALSE)),"X",$AG49)</f>
        <v>X</v>
      </c>
      <c r="AJ49" s="134" t="str">
        <f>IF(ISTEXT(VLOOKUP(CONCATENATE($A49,"_",AJ$3),'Unit List'!$A$14:$H$2838,2,FALSE)),"X",$AG49)</f>
        <v>+</v>
      </c>
      <c r="AK49" s="97" t="str">
        <f>IF(ISTEXT(VLOOKUP(CONCATENATE($A49,"_",AK$3),'Unit List'!$A$14:$H$2838,2,FALSE)),"+","")</f>
        <v>+</v>
      </c>
      <c r="AL49" s="158" t="s">
        <v>0</v>
      </c>
      <c r="AM49" s="241" t="str">
        <f>IF(ISTEXT(VLOOKUP(CONCATENATE($A49,"_",AM$3),'Unit List'!$A$14:$H$2838,2,FALSE)),"X",$AK49)</f>
        <v>+</v>
      </c>
      <c r="AN49" s="91" t="str">
        <f>IF(ISTEXT(VLOOKUP(CONCATENATE($A49,"_",AN$3),'Unit List'!$A$14:$H$2838,2,FALSE)),"+","")</f>
        <v>+</v>
      </c>
      <c r="AO49" s="100" t="str">
        <f>IF(ISTEXT(VLOOKUP(CONCATENATE($A49,"_",AO$3),'Unit List'!$A$14:$H$2838,2,FALSE)),"X",$AN49)</f>
        <v>X</v>
      </c>
      <c r="AP49" s="101" t="str">
        <f>IF(ISTEXT(VLOOKUP(CONCATENATE($A49,"_",AP$3),'Unit List'!$A$14:$H$2838,2,FALSE)),"+","")</f>
        <v>+</v>
      </c>
      <c r="AQ49" s="96" t="str">
        <f>IF(ISTEXT(VLOOKUP(CONCATENATE($A49,"_",AQ$3),'Unit List'!$A$14:$H$2838,2,FALSE)),"X",$AP49)</f>
        <v>X</v>
      </c>
      <c r="AR49" s="96" t="str">
        <f>IF(ISTEXT(VLOOKUP(CONCATENATE($A49,"_",AR$3),'Unit List'!$A$14:$H$2838,2,FALSE)),"X",$AP49)</f>
        <v>X</v>
      </c>
      <c r="AS49" s="96" t="str">
        <f>IF(ISTEXT(VLOOKUP(CONCATENATE($A49,"_",AS$3),'Unit List'!$A$14:$H$2838,2,FALSE)),"X",$AP49)</f>
        <v>X</v>
      </c>
      <c r="AT49" s="100" t="str">
        <f>IF(ISTEXT(VLOOKUP(CONCATENATE($A49,"_",AT$3),'Unit List'!$A$14:$H$2838,2,FALSE)),"X",$AP49)</f>
        <v>X</v>
      </c>
      <c r="AU49" s="77" t="str">
        <f>IF(ISTEXT(VLOOKUP(CONCATENATE($A49,"_",AU$3),'Unit List'!$A$14:$H$2838,2,FALSE)),"+","")</f>
        <v>+</v>
      </c>
      <c r="AV49" s="133" t="str">
        <f>IF(ISTEXT(VLOOKUP(CONCATENATE($A49,"_",AV$3),'Unit List'!$A$14:$H$2838,2,FALSE)),"X",$AU49)</f>
        <v>+</v>
      </c>
      <c r="AW49" s="134" t="str">
        <f>IF(ISTEXT(VLOOKUP(CONCATENATE($A49,"_",AW$3),'Unit List'!$A$14:$H$2838,2,FALSE)),"X",$AU49)</f>
        <v>+</v>
      </c>
      <c r="AX49" s="101" t="str">
        <f>IF(ISTEXT(VLOOKUP(CONCATENATE($A49,"_",AX$3),'Unit List'!$A$14:$H$2838,2,FALSE)),"+","")</f>
        <v>+</v>
      </c>
      <c r="AY49" s="96" t="str">
        <f>IF(ISTEXT(VLOOKUP(CONCATENATE($A49,"_",AY$3),'Unit List'!$A$14:$H$2838,2,FALSE)),"X",$AX49)</f>
        <v>X</v>
      </c>
      <c r="AZ49" s="241" t="str">
        <f>IF(ISTEXT(VLOOKUP(CONCATENATE($A49,"_",AZ$3),'Unit List'!$A$14:$H$2838,2,FALSE)),"X",$AX49)</f>
        <v>+</v>
      </c>
      <c r="BA49" s="101" t="str">
        <f>IF(ISTEXT(VLOOKUP(CONCATENATE($A49,"_",BA$3),'Unit List'!$A$14:$H$2838,2,FALSE)),"+","")</f>
        <v>+</v>
      </c>
      <c r="BB49" s="96" t="str">
        <f>IF(ISTEXT(VLOOKUP(CONCATENATE($A49,"_",BB$3),'Unit List'!$A$14:$H$2838,2,FALSE)),"X",$BA49)</f>
        <v>X</v>
      </c>
      <c r="BC49" s="66" t="str">
        <f>IF(ISTEXT(VLOOKUP(CONCATENATE($A49,"_",BC$3),'Unit List'!$A$14:$H$2838,2,FALSE)),"X",$BA49)</f>
        <v>X</v>
      </c>
      <c r="BD49" s="100" t="str">
        <f>IF(ISTEXT(VLOOKUP(CONCATENATE($A49,"_",BD$3),'Unit List'!$A$14:$H$2838,2,FALSE)),"X",$BA49)</f>
        <v>X</v>
      </c>
      <c r="BE49" s="91" t="str">
        <f>IF(ISTEXT(VLOOKUP(CONCATENATE($A49,"_",BE$3),'Unit List'!$A$14:$H$2838,2,FALSE)),"+","")</f>
        <v>+</v>
      </c>
      <c r="BF49" s="135" t="str">
        <f>IF(ISTEXT(VLOOKUP(CONCATENATE($A49,"_",BF$3),'Unit List'!$A$14:$H$2838,2,FALSE)),"X",$BE49)</f>
        <v>+</v>
      </c>
      <c r="BG49" s="111"/>
      <c r="BH49" s="112" t="s">
        <v>0</v>
      </c>
      <c r="BI49" s="264" t="s">
        <v>18</v>
      </c>
      <c r="BJ49" s="265"/>
      <c r="BK49" s="265"/>
      <c r="BL49" s="265"/>
      <c r="BM49" s="266"/>
      <c r="BN49" s="81"/>
      <c r="BO49" s="81"/>
      <c r="BP49" s="81"/>
      <c r="BQ49" s="81"/>
      <c r="BR49" s="81"/>
      <c r="BS49" s="81"/>
      <c r="DZ49" s="82"/>
      <c r="EA49" s="82"/>
    </row>
    <row r="50" spans="1:131" ht="12.75" customHeight="1" x14ac:dyDescent="0.2">
      <c r="A50" s="83" t="s">
        <v>1151</v>
      </c>
      <c r="B50" s="59" t="str">
        <f>IF(ISTEXT(VLOOKUP(CONCATENATE($A50,"_",B$3),'Unit List'!$A$14:$H$2838,2,FALSE)),"+","")</f>
        <v/>
      </c>
      <c r="C50" s="84" t="str">
        <f>IF(ISTEXT(VLOOKUP(CONCATENATE($A50,"_",C$3),'Unit List'!$A$14:$H$2838,2,FALSE)),"X",$B50)</f>
        <v/>
      </c>
      <c r="D50" s="133" t="str">
        <f>IF(ISTEXT(VLOOKUP(CONCATENATE($A50,"_",D$3),'Unit List'!$A$14:$H$2838,2,FALSE)),"X",$B50)</f>
        <v>X</v>
      </c>
      <c r="E50" s="66" t="str">
        <f>IF(ISTEXT(VLOOKUP(CONCATENATE($A50,"_",E$3),'Unit List'!$A$14:$H$2838,2,FALSE)),"X",$B50)</f>
        <v/>
      </c>
      <c r="F50" s="66" t="str">
        <f>IF(ISTEXT(VLOOKUP(CONCATENATE($A50,"_",F$3),'Unit List'!$A$14:$H$2838,2,FALSE)),"X",$B50)</f>
        <v/>
      </c>
      <c r="G50" s="66" t="str">
        <f>IF(ISTEXT(VLOOKUP(CONCATENATE($A50,"_",G$3),'Unit List'!$A$14:$H$2838,2,FALSE)),"X",$B50)</f>
        <v/>
      </c>
      <c r="H50" s="125" t="str">
        <f>IF(ISTEXT(VLOOKUP(CONCATENATE($A50,"_",H$3),'Unit List'!$A$14:$H$2838,2,FALSE)),"X",$B50)</f>
        <v>X</v>
      </c>
      <c r="I50" s="74" t="str">
        <f>IF(ISTEXT(VLOOKUP(CONCATENATE($A50,"_",I$3),'Unit List'!$A$14:$H$2838,2,FALSE)),"X",$B50)</f>
        <v/>
      </c>
      <c r="J50" s="64" t="str">
        <f>IF(ISTEXT(VLOOKUP(CONCATENATE($A50,"_",J$3),'Unit List'!$A$14:$H$2838,2,FALSE)),"+","")</f>
        <v/>
      </c>
      <c r="K50" s="66" t="str">
        <f>IF(ISTEXT(VLOOKUP(CONCATENATE($A50,"_",K$3),'Unit List'!$A$14:$H$2838,2,FALSE)),"X",$J50)</f>
        <v/>
      </c>
      <c r="L50" s="89" t="str">
        <f>IF(ISTEXT(VLOOKUP(CONCATENATE($A50,"_",L$3),'Unit List'!$A$14:$H$2838,2,FALSE)),"X",$J50)</f>
        <v/>
      </c>
      <c r="M50" s="64" t="str">
        <f>IF(ISTEXT(VLOOKUP(CONCATENATE($A50,"_",M$3),'Unit List'!$A$14:$H$2838,2,FALSE)),"+","")</f>
        <v/>
      </c>
      <c r="N50" s="66" t="str">
        <f>IF(ISTEXT(VLOOKUP(CONCATENATE($A50,"_",N$3),'Unit List'!$A$14:$H$2838,2,FALSE)),"X",$M50)</f>
        <v/>
      </c>
      <c r="O50" s="74" t="str">
        <f>IF(ISTEXT(VLOOKUP(CONCATENATE($A50,"_",O$3),'Unit List'!$A$14:$H$2838,2,FALSE)),"X",$M50)</f>
        <v/>
      </c>
      <c r="P50" s="68" t="str">
        <f>IF(ISTEXT(VLOOKUP(CONCATENATE($A50,"_",P$3),'Unit List'!$A$14:$H$2838,2,FALSE)),"+","")</f>
        <v/>
      </c>
      <c r="Q50" s="66" t="str">
        <f>IF(ISTEXT(VLOOKUP(CONCATENATE($A50,"_",Q$3),'Unit List'!$A$14:$H$2838,2,FALSE)),"X",$P50)</f>
        <v/>
      </c>
      <c r="R50" s="66" t="str">
        <f>IF(ISTEXT(VLOOKUP(CONCATENATE($A50,"_",R$3),'Unit List'!$A$14:$H$2838,2,FALSE)),"X",$P50)</f>
        <v/>
      </c>
      <c r="S50" s="66" t="str">
        <f>IF(ISTEXT(VLOOKUP(CONCATENATE($A50,"_",S$3),'Unit List'!$A$14:$H$2838,2,FALSE)),"X",$P50)</f>
        <v/>
      </c>
      <c r="T50" s="69" t="str">
        <f>IF(ISTEXT(VLOOKUP(CONCATENATE($A50,"_",T$3),'Unit List'!$A$14:$H$2838,2,FALSE)),"X",$P50)</f>
        <v/>
      </c>
      <c r="U50" s="66" t="str">
        <f>IF(ISTEXT(VLOOKUP(CONCATENATE($A50,"_",U$3),'Unit List'!$A$14:$H$2838,2,FALSE)),"X",$P50)</f>
        <v/>
      </c>
      <c r="V50" s="66" t="str">
        <f>IF(ISTEXT(VLOOKUP(CONCATENATE($A50,"_",V$3),'Unit List'!$A$14:$H$2838,2,FALSE)),"X",$P50)</f>
        <v/>
      </c>
      <c r="W50" s="71" t="str">
        <f>IF(ISTEXT(VLOOKUP(CONCATENATE($A50,"_",W$3),'Unit List'!$A$14:$H$2838,2,FALSE)),"X",$P50)</f>
        <v/>
      </c>
      <c r="X50" s="68" t="str">
        <f>IF(ISTEXT(VLOOKUP(CONCATENATE($A50,"_",X$3),'Unit List'!$A$14:$H$2838,2,FALSE)),"+","")</f>
        <v/>
      </c>
      <c r="Y50" s="66" t="str">
        <f>IF(ISTEXT(VLOOKUP(CONCATENATE($A50,"_",Y$3),'Unit List'!$A$14:$H$2838,2,FALSE)),"X",$X50)</f>
        <v/>
      </c>
      <c r="Z50" s="66" t="str">
        <f>IF(ISTEXT(VLOOKUP(CONCATENATE($A50,"_",Z$3),'Unit List'!$A$14:$H$2838,2,FALSE)),"X",$X50)</f>
        <v/>
      </c>
      <c r="AA50" s="66" t="str">
        <f>IF(ISTEXT(VLOOKUP(CONCATENATE($A50,"_",AA$3),'Unit List'!$A$14:$H$2838,2,FALSE)),"X",$X50)</f>
        <v/>
      </c>
      <c r="AB50" s="66" t="str">
        <f>IF(ISTEXT(VLOOKUP(CONCATENATE($A50,"_",AB$3),'Unit List'!$A$14:$H$2838,2,FALSE)),"X",$X50)</f>
        <v/>
      </c>
      <c r="AC50" s="89" t="str">
        <f>IF(ISTEXT(VLOOKUP(CONCATENATE($A50,"_",AC$3),'Unit List'!$A$14:$H$2838,2,FALSE)),"X",$X50)</f>
        <v/>
      </c>
      <c r="AD50" s="68" t="str">
        <f>IF(ISTEXT(VLOOKUP(CONCATENATE($A50,"_",AD$3),'Unit List'!$A$14:$H$2838,2,FALSE)),"+","")</f>
        <v/>
      </c>
      <c r="AE50" s="66" t="str">
        <f>IF(ISTEXT(VLOOKUP(CONCATENATE($A50,"_",AE$3),'Unit List'!$A$14:$H$2838,2,FALSE)),"X",$AD50)</f>
        <v/>
      </c>
      <c r="AF50" s="72" t="str">
        <f>IF(ISTEXT(VLOOKUP(CONCATENATE($A50,"_",AF$3),'Unit List'!$A$14:$H$2838,2,FALSE)),"X",$AD50)</f>
        <v/>
      </c>
      <c r="AG50" s="68" t="str">
        <f>IF(ISTEXT(VLOOKUP(CONCATENATE($A50,"_",AG$3),'Unit List'!$A$14:$H$2838,2,FALSE)),"+","")</f>
        <v/>
      </c>
      <c r="AH50" s="66" t="str">
        <f>IF(ISTEXT(VLOOKUP(CONCATENATE($A50,"_",AH$3),'Unit List'!$A$14:$H$2838,2,FALSE)),"X",$AG50)</f>
        <v/>
      </c>
      <c r="AI50" s="66" t="str">
        <f>IF(ISTEXT(VLOOKUP(CONCATENATE($A50,"_",AI$3),'Unit List'!$A$14:$H$2838,2,FALSE)),"X",$AG50)</f>
        <v/>
      </c>
      <c r="AJ50" s="74" t="str">
        <f>IF(ISTEXT(VLOOKUP(CONCATENATE($A50,"_",AJ$3),'Unit List'!$A$14:$H$2838,2,FALSE)),"X",$AG50)</f>
        <v/>
      </c>
      <c r="AK50" s="64" t="str">
        <f>IF(ISTEXT(VLOOKUP(CONCATENATE($A50,"_",AK$3),'Unit List'!$A$14:$H$2838,2,FALSE)),"+","")</f>
        <v/>
      </c>
      <c r="AL50" s="69" t="str">
        <f>IF(ISTEXT(VLOOKUP(CONCATENATE($A50,"_",AL$3),'Unit List'!$A$14:$H$2838,2,FALSE)),"X",$AK50)</f>
        <v/>
      </c>
      <c r="AM50" s="74" t="str">
        <f>IF(ISTEXT(VLOOKUP(CONCATENATE($A50,"_",AM$3),'Unit List'!$A$14:$H$2838,2,FALSE)),"X",$AK50)</f>
        <v/>
      </c>
      <c r="AN50" s="91" t="str">
        <f>IF(ISTEXT(VLOOKUP(CONCATENATE($A50,"_",AN$3),'Unit List'!$A$14:$H$2838,2,FALSE)),"+","")</f>
        <v/>
      </c>
      <c r="AO50" s="74" t="str">
        <f>IF(ISTEXT(VLOOKUP(CONCATENATE($A50,"_",AO$3),'Unit List'!$A$14:$H$2838,2,FALSE)),"X",$AN50)</f>
        <v/>
      </c>
      <c r="AP50" s="68" t="str">
        <f>IF(ISTEXT(VLOOKUP(CONCATENATE($A50,"_",AP$3),'Unit List'!$A$14:$H$2838,2,FALSE)),"+","")</f>
        <v/>
      </c>
      <c r="AQ50" s="66" t="str">
        <f>IF(ISTEXT(VLOOKUP(CONCATENATE($A50,"_",AQ$3),'Unit List'!$A$14:$H$2838,2,FALSE)),"X",$AP50)</f>
        <v/>
      </c>
      <c r="AR50" s="66" t="str">
        <f>IF(ISTEXT(VLOOKUP(CONCATENATE($A50,"_",AR$3),'Unit List'!$A$14:$H$2838,2,FALSE)),"X",$AP50)</f>
        <v/>
      </c>
      <c r="AS50" s="66" t="str">
        <f>IF(ISTEXT(VLOOKUP(CONCATENATE($A50,"_",AS$3),'Unit List'!$A$14:$H$2838,2,FALSE)),"X",$AP50)</f>
        <v/>
      </c>
      <c r="AT50" s="74" t="str">
        <f>IF(ISTEXT(VLOOKUP(CONCATENATE($A50,"_",AT$3),'Unit List'!$A$14:$H$2838,2,FALSE)),"X",$AP50)</f>
        <v/>
      </c>
      <c r="AU50" s="77" t="str">
        <f>IF(ISTEXT(VLOOKUP(CONCATENATE($A50,"_",AU$3),'Unit List'!$A$14:$H$2838,2,FALSE)),"+","")</f>
        <v/>
      </c>
      <c r="AV50" s="66" t="str">
        <f>IF(ISTEXT(VLOOKUP(CONCATENATE($A50,"_",AV$3),'Unit List'!$A$14:$H$2838,2,FALSE)),"X",$AU50)</f>
        <v/>
      </c>
      <c r="AW50" s="74" t="str">
        <f>IF(ISTEXT(VLOOKUP(CONCATENATE($A50,"_",AW$3),'Unit List'!$A$14:$H$2838,2,FALSE)),"X",$AU50)</f>
        <v/>
      </c>
      <c r="AX50" s="68" t="str">
        <f>IF(ISTEXT(VLOOKUP(CONCATENATE($A50,"_",AX$3),'Unit List'!$A$14:$H$2838,2,FALSE)),"+","")</f>
        <v/>
      </c>
      <c r="AY50" s="66" t="str">
        <f>IF(ISTEXT(VLOOKUP(CONCATENATE($A50,"_",AY$3),'Unit List'!$A$14:$H$2838,2,FALSE)),"X",$AX50)</f>
        <v/>
      </c>
      <c r="AZ50" s="71" t="str">
        <f>IF(ISTEXT(VLOOKUP(CONCATENATE($A50,"_",AZ$3),'Unit List'!$A$14:$H$2838,2,FALSE)),"X",$AX50)</f>
        <v/>
      </c>
      <c r="BA50" s="78" t="str">
        <f>IF(ISTEXT(VLOOKUP(CONCATENATE($A50,"_",BA$3),'Unit List'!$A$14:$H$2838,2,FALSE)),"+","")</f>
        <v/>
      </c>
      <c r="BB50" s="66" t="str">
        <f>IF(ISTEXT(VLOOKUP(CONCATENATE($A50,"_",BB$3),'Unit List'!$A$14:$H$2838,2,FALSE)),"X",$BA50)</f>
        <v/>
      </c>
      <c r="BC50" s="66" t="str">
        <f>IF(ISTEXT(VLOOKUP(CONCATENATE($A50,"_",BC$3),'Unit List'!$A$14:$H$2838,2,FALSE)),"X",$BA50)</f>
        <v/>
      </c>
      <c r="BD50" s="74" t="str">
        <f>IF(ISTEXT(VLOOKUP(CONCATENATE($A50,"_",BD$3),'Unit List'!$A$14:$H$2838,2,FALSE)),"X",$BA50)</f>
        <v/>
      </c>
      <c r="BE50" s="91" t="str">
        <f>IF(ISTEXT(VLOOKUP(CONCATENATE($A50,"_",BE$3),'Unit List'!$A$14:$H$2838,2,FALSE)),"+","")</f>
        <v/>
      </c>
      <c r="BF50" s="89" t="str">
        <f>IF(ISTEXT(VLOOKUP(CONCATENATE($A50,"_",BF$3),'Unit List'!$A$14:$H$2838,2,FALSE)),"X",$BE50)</f>
        <v/>
      </c>
      <c r="BG50" s="92"/>
      <c r="BH50" s="93" t="s">
        <v>0</v>
      </c>
      <c r="BI50" s="264"/>
      <c r="BJ50" s="265"/>
      <c r="BK50" s="265"/>
      <c r="BL50" s="265"/>
      <c r="BM50" s="266"/>
      <c r="BN50" s="81"/>
      <c r="BO50" s="81"/>
      <c r="BP50" s="81"/>
      <c r="BQ50" s="81"/>
      <c r="BR50" s="81"/>
      <c r="BS50" s="81"/>
      <c r="DZ50" s="82"/>
      <c r="EA50" s="82"/>
    </row>
    <row r="51" spans="1:131" ht="12.75" customHeight="1" x14ac:dyDescent="0.2">
      <c r="A51" s="83" t="s">
        <v>17</v>
      </c>
      <c r="B51" s="59" t="str">
        <f>IF(ISTEXT(VLOOKUP(CONCATENATE($A51,"_",B$3),'Unit List'!$A$14:$H$2838,2,FALSE)),"+","")</f>
        <v/>
      </c>
      <c r="C51" s="119" t="str">
        <f>IF(ISTEXT(VLOOKUP(CONCATENATE($A51,"_",C$3),'Unit List'!$A$14:$H$2838,2,FALSE)),"X",$B51)</f>
        <v>X</v>
      </c>
      <c r="D51" s="96" t="str">
        <f>IF(ISTEXT(VLOOKUP(CONCATENATE($A51,"_",D$3),'Unit List'!$A$14:$H$2838,2,FALSE)),"X",$B51)</f>
        <v>X</v>
      </c>
      <c r="E51" s="133" t="str">
        <f>IF(ISTEXT(VLOOKUP(CONCATENATE($A51,"_",E$3),'Unit List'!$A$14:$H$2838,2,FALSE)),"X",$B51)</f>
        <v>X</v>
      </c>
      <c r="F51" s="66" t="str">
        <f>IF(ISTEXT(VLOOKUP(CONCATENATE($A51,"_",F$3),'Unit List'!$A$14:$H$2838,2,FALSE)),"X",$B51)</f>
        <v>X</v>
      </c>
      <c r="G51" s="66" t="str">
        <f>IF(ISTEXT(VLOOKUP(CONCATENATE($A51,"_",G$3),'Unit List'!$A$14:$H$2838,2,FALSE)),"X",$B51)</f>
        <v>X</v>
      </c>
      <c r="H51" s="66" t="str">
        <f>IF(ISTEXT(VLOOKUP(CONCATENATE($A51,"_",H$3),'Unit List'!$A$14:$H$2838,2,FALSE)),"X",$B51)</f>
        <v>X</v>
      </c>
      <c r="I51" s="100" t="str">
        <f>IF(ISTEXT(VLOOKUP(CONCATENATE($A51,"_",I$3),'Unit List'!$A$14:$H$2838,2,FALSE)),"X",$B51)</f>
        <v>X</v>
      </c>
      <c r="J51" s="64" t="str">
        <f>IF(ISTEXT(VLOOKUP(CONCATENATE($A51,"_",J$3),'Unit List'!$A$14:$H$2838,2,FALSE)),"+","")</f>
        <v/>
      </c>
      <c r="K51" s="66" t="str">
        <f>IF(ISTEXT(VLOOKUP(CONCATENATE($A51,"_",K$3),'Unit List'!$A$14:$H$2838,2,FALSE)),"X",$J51)</f>
        <v/>
      </c>
      <c r="L51" s="123" t="str">
        <f>IF(ISTEXT(VLOOKUP(CONCATENATE($A51,"_",L$3),'Unit List'!$A$14:$H$2838,2,FALSE)),"X",$J51)</f>
        <v>X</v>
      </c>
      <c r="M51" s="64" t="str">
        <f>IF(ISTEXT(VLOOKUP(CONCATENATE($A51,"_",M$3),'Unit List'!$A$14:$H$2838,2,FALSE)),"+","")</f>
        <v>+</v>
      </c>
      <c r="N51" s="96" t="str">
        <f>IF(ISTEXT(VLOOKUP(CONCATENATE($A51,"_",N$3),'Unit List'!$A$14:$H$2838,2,FALSE)),"X",$M51)</f>
        <v>X</v>
      </c>
      <c r="O51" s="100" t="str">
        <f>IF(ISTEXT(VLOOKUP(CONCATENATE($A51,"_",O$3),'Unit List'!$A$14:$H$2838,2,FALSE)),"X",$M51)</f>
        <v>X</v>
      </c>
      <c r="P51" s="68" t="str">
        <f>IF(ISTEXT(VLOOKUP(CONCATENATE($A51,"_",P$3),'Unit List'!$A$14:$H$2838,2,FALSE)),"+","")</f>
        <v/>
      </c>
      <c r="Q51" s="87" t="str">
        <f>IF(ISTEXT(VLOOKUP(CONCATENATE($A51,"_",Q$3),'Unit List'!$A$14:$H$2838,2,FALSE)),"X",$P51)</f>
        <v/>
      </c>
      <c r="R51" s="66" t="str">
        <f>IF(ISTEXT(VLOOKUP(CONCATENATE($A51,"_",R$3),'Unit List'!$A$14:$H$2838,2,FALSE)),"X",$P51)</f>
        <v/>
      </c>
      <c r="S51" s="96" t="str">
        <f>IF(ISTEXT(VLOOKUP(CONCATENATE($A51,"_",S$3),'Unit List'!$A$14:$H$2838,2,FALSE)),"X",$P51)</f>
        <v>X</v>
      </c>
      <c r="T51" s="69" t="str">
        <f>IF(ISTEXT(VLOOKUP(CONCATENATE($A51,"_",T$3),'Unit List'!$A$14:$H$2838,2,FALSE)),"X",$P51)</f>
        <v/>
      </c>
      <c r="U51" s="96" t="str">
        <f>IF(ISTEXT(VLOOKUP(CONCATENATE($A51,"_",U$3),'Unit List'!$A$14:$H$2838,2,FALSE)),"X",$P51)</f>
        <v>X</v>
      </c>
      <c r="V51" s="66" t="str">
        <f>IF(ISTEXT(VLOOKUP(CONCATENATE($A51,"_",V$3),'Unit List'!$A$14:$H$2838,2,FALSE)),"X",$P51)</f>
        <v/>
      </c>
      <c r="W51" s="71" t="str">
        <f>IF(ISTEXT(VLOOKUP(CONCATENATE($A51,"_",W$3),'Unit List'!$A$14:$H$2838,2,FALSE)),"X",$P51)</f>
        <v/>
      </c>
      <c r="X51" s="68" t="str">
        <f>IF(ISTEXT(VLOOKUP(CONCATENATE($A51,"_",X$3),'Unit List'!$A$14:$H$2838,2,FALSE)),"+","")</f>
        <v/>
      </c>
      <c r="Y51" s="66" t="str">
        <f>IF(ISTEXT(VLOOKUP(CONCATENATE($A51,"_",Y$3),'Unit List'!$A$14:$H$2838,2,FALSE)),"X",$X51)</f>
        <v/>
      </c>
      <c r="Z51" s="66" t="str">
        <f>IF(ISTEXT(VLOOKUP(CONCATENATE($A51,"_",Z$3),'Unit List'!$A$14:$H$2838,2,FALSE)),"X",$X51)</f>
        <v/>
      </c>
      <c r="AA51" s="66" t="str">
        <f>IF(ISTEXT(VLOOKUP(CONCATENATE($A51,"_",AA$3),'Unit List'!$A$14:$H$2838,2,FALSE)),"X",$X51)</f>
        <v/>
      </c>
      <c r="AB51" s="66" t="str">
        <f>IF(ISTEXT(VLOOKUP(CONCATENATE($A51,"_",AB$3),'Unit List'!$A$14:$H$2838,2,FALSE)),"X",$X51)</f>
        <v/>
      </c>
      <c r="AC51" s="89" t="str">
        <f>IF(ISTEXT(VLOOKUP(CONCATENATE($A51,"_",AC$3),'Unit List'!$A$14:$H$2838,2,FALSE)),"X",$X51)</f>
        <v/>
      </c>
      <c r="AD51" s="68" t="str">
        <f>IF(ISTEXT(VLOOKUP(CONCATENATE($A51,"_",AD$3),'Unit List'!$A$14:$H$2838,2,FALSE)),"+","")</f>
        <v/>
      </c>
      <c r="AE51" s="66" t="str">
        <f>IF(ISTEXT(VLOOKUP(CONCATENATE($A51,"_",AE$3),'Unit List'!$A$14:$H$2838,2,FALSE)),"X",$AD51)</f>
        <v/>
      </c>
      <c r="AF51" s="72" t="str">
        <f>IF(ISTEXT(VLOOKUP(CONCATENATE($A51,"_",AF$3),'Unit List'!$A$14:$H$2838,2,FALSE)),"X",$AD51)</f>
        <v/>
      </c>
      <c r="AG51" s="68" t="str">
        <f>IF(ISTEXT(VLOOKUP(CONCATENATE($A51,"_",AG$3),'Unit List'!$A$14:$H$2838,2,FALSE)),"+","")</f>
        <v/>
      </c>
      <c r="AH51" s="66" t="str">
        <f>IF(ISTEXT(VLOOKUP(CONCATENATE($A51,"_",AH$3),'Unit List'!$A$14:$H$2838,2,FALSE)),"X",$AG51)</f>
        <v/>
      </c>
      <c r="AI51" s="66" t="str">
        <f>IF(ISTEXT(VLOOKUP(CONCATENATE($A51,"_",AI$3),'Unit List'!$A$14:$H$2838,2,FALSE)),"X",$AG51)</f>
        <v/>
      </c>
      <c r="AJ51" s="74" t="str">
        <f>IF(ISTEXT(VLOOKUP(CONCATENATE($A51,"_",AJ$3),'Unit List'!$A$14:$H$2838,2,FALSE)),"X",$AG51)</f>
        <v/>
      </c>
      <c r="AK51" s="64" t="str">
        <f>IF(ISTEXT(VLOOKUP(CONCATENATE($A51,"_",AK$3),'Unit List'!$A$14:$H$2838,2,FALSE)),"+","")</f>
        <v/>
      </c>
      <c r="AL51" s="124" t="str">
        <f>IF(ISTEXT(VLOOKUP(CONCATENATE($A51,"_",AL$3),'Unit List'!$A$14:$H$2838,2,FALSE)),"X",$AK51)</f>
        <v>X</v>
      </c>
      <c r="AM51" s="74" t="str">
        <f>IF(ISTEXT(VLOOKUP(CONCATENATE($A51,"_",AM$3),'Unit List'!$A$14:$H$2838,2,FALSE)),"X",$AK51)</f>
        <v/>
      </c>
      <c r="AN51" s="91" t="str">
        <f>IF(ISTEXT(VLOOKUP(CONCATENATE($A51,"_",AN$3),'Unit List'!$A$14:$H$2838,2,FALSE)),"+","")</f>
        <v/>
      </c>
      <c r="AO51" s="88" t="str">
        <f>IF(ISTEXT(VLOOKUP(CONCATENATE($A51,"_",AO$3),'Unit List'!$A$14:$H$2838,2,FALSE)),"X",$AN51)</f>
        <v/>
      </c>
      <c r="AP51" s="68" t="str">
        <f>IF(ISTEXT(VLOOKUP(CONCATENATE($A51,"_",AP$3),'Unit List'!$A$14:$H$2838,2,FALSE)),"+","")</f>
        <v>+</v>
      </c>
      <c r="AQ51" s="66" t="str">
        <f>IF(ISTEXT(VLOOKUP(CONCATENATE($A51,"_",AQ$3),'Unit List'!$A$14:$H$2838,2,FALSE)),"X",$AP51)</f>
        <v>+</v>
      </c>
      <c r="AR51" s="96" t="str">
        <f>IF(ISTEXT(VLOOKUP(CONCATENATE($A51,"_",AR$3),'Unit List'!$A$14:$H$2838,2,FALSE)),"X",$AP51)</f>
        <v>X</v>
      </c>
      <c r="AS51" s="66" t="str">
        <f>IF(ISTEXT(VLOOKUP(CONCATENATE($A51,"_",AS$3),'Unit List'!$A$14:$H$2838,2,FALSE)),"X",$AP51)</f>
        <v>+</v>
      </c>
      <c r="AT51" s="74" t="str">
        <f>IF(ISTEXT(VLOOKUP(CONCATENATE($A51,"_",AT$3),'Unit List'!$A$14:$H$2838,2,FALSE)),"X",$AP51)</f>
        <v>+</v>
      </c>
      <c r="AU51" s="77" t="str">
        <f>IF(ISTEXT(VLOOKUP(CONCATENATE($A51,"_",AU$3),'Unit List'!$A$14:$H$2838,2,FALSE)),"+","")</f>
        <v/>
      </c>
      <c r="AV51" s="66" t="str">
        <f>IF(ISTEXT(VLOOKUP(CONCATENATE($A51,"_",AV$3),'Unit List'!$A$14:$H$2838,2,FALSE)),"X",$AU51)</f>
        <v/>
      </c>
      <c r="AW51" s="74" t="str">
        <f>IF(ISTEXT(VLOOKUP(CONCATENATE($A51,"_",AW$3),'Unit List'!$A$14:$H$2838,2,FALSE)),"X",$AU51)</f>
        <v/>
      </c>
      <c r="AX51" s="68" t="str">
        <f>IF(ISTEXT(VLOOKUP(CONCATENATE($A51,"_",AX$3),'Unit List'!$A$14:$H$2838,2,FALSE)),"+","")</f>
        <v>+</v>
      </c>
      <c r="AY51" s="133" t="str">
        <f>IF(ISTEXT(VLOOKUP(CONCATENATE($A51,"_",AY$3),'Unit List'!$A$14:$H$2838,2,FALSE)),"X",$AX51)</f>
        <v>+</v>
      </c>
      <c r="AZ51" s="134" t="str">
        <f>IF(ISTEXT(VLOOKUP(CONCATENATE($A51,"_",AZ$3),'Unit List'!$A$14:$H$2838,2,FALSE)),"X",$AX51)</f>
        <v>+</v>
      </c>
      <c r="BA51" s="78" t="str">
        <f>IF(ISTEXT(VLOOKUP(CONCATENATE($A51,"_",BA$3),'Unit List'!$A$14:$H$2838,2,FALSE)),"+","")</f>
        <v/>
      </c>
      <c r="BB51" s="66" t="str">
        <f>IF(ISTEXT(VLOOKUP(CONCATENATE($A51,"_",BB$3),'Unit List'!$A$14:$H$2838,2,FALSE)),"X",$BA51)</f>
        <v/>
      </c>
      <c r="BC51" s="66" t="str">
        <f>IF(ISTEXT(VLOOKUP(CONCATENATE($A51,"_",BC$3),'Unit List'!$A$14:$H$2838,2,FALSE)),"X",$BA51)</f>
        <v/>
      </c>
      <c r="BD51" s="74" t="str">
        <f>IF(ISTEXT(VLOOKUP(CONCATENATE($A51,"_",BD$3),'Unit List'!$A$14:$H$2838,2,FALSE)),"X",$BA51)</f>
        <v/>
      </c>
      <c r="BE51" s="91" t="str">
        <f>IF(ISTEXT(VLOOKUP(CONCATENATE($A51,"_",BE$3),'Unit List'!$A$14:$H$2838,2,FALSE)),"+","")</f>
        <v>+</v>
      </c>
      <c r="BF51" s="135" t="str">
        <f>IF(ISTEXT(VLOOKUP(CONCATENATE($A51,"_",BF$3),'Unit List'!$A$14:$H$2838,2,FALSE)),"X",$BE51)</f>
        <v>+</v>
      </c>
      <c r="BG51" s="92"/>
      <c r="BH51" s="93" t="s">
        <v>0</v>
      </c>
      <c r="BI51" s="264"/>
      <c r="BJ51" s="265"/>
      <c r="BK51" s="265"/>
      <c r="BL51" s="265"/>
      <c r="BM51" s="266"/>
      <c r="BN51" s="81"/>
      <c r="BO51" s="81"/>
      <c r="BP51" s="81"/>
      <c r="BQ51" s="81"/>
      <c r="BR51" s="81"/>
      <c r="BS51" s="81"/>
      <c r="DZ51" s="82"/>
      <c r="EA51" s="82"/>
    </row>
    <row r="52" spans="1:131" ht="12.75" customHeight="1" x14ac:dyDescent="0.2">
      <c r="A52" s="83" t="s">
        <v>16</v>
      </c>
      <c r="B52" s="59" t="str">
        <f>IF(ISTEXT(VLOOKUP(CONCATENATE($A52,"_",B$3),'Unit List'!$A$14:$H$2838,2,FALSE)),"+","")</f>
        <v/>
      </c>
      <c r="C52" s="136" t="str">
        <f>IF(ISTEXT(VLOOKUP(CONCATENATE($A52,"_",C$3),'Unit List'!$A$14:$H$2838,2,FALSE)),"X",$B52)</f>
        <v>X</v>
      </c>
      <c r="D52" s="87" t="str">
        <f>IF(ISTEXT(VLOOKUP(CONCATENATE($A52,"_",D$3),'Unit List'!$A$14:$H$2838,2,FALSE)),"X",$B52)</f>
        <v/>
      </c>
      <c r="E52" s="159" t="str">
        <f>IF(ISTEXT(VLOOKUP(CONCATENATE($A52,"_",E$3),'Unit List'!$A$14:$H$2838,2,FALSE)),"X",$B52)</f>
        <v/>
      </c>
      <c r="F52" s="96" t="str">
        <f>IF(ISTEXT(VLOOKUP(CONCATENATE($A52,"_",F$3),'Unit List'!$A$14:$H$2838,2,FALSE)),"X",$B52)</f>
        <v>X</v>
      </c>
      <c r="G52" s="96" t="str">
        <f>IF(ISTEXT(VLOOKUP(CONCATENATE($A52,"_",G$3),'Unit List'!$A$14:$H$2838,2,FALSE)),"X",$B52)</f>
        <v>X</v>
      </c>
      <c r="H52" s="96" t="str">
        <f>IF(ISTEXT(VLOOKUP(CONCATENATE($A52,"_",H$3),'Unit List'!$A$14:$H$2838,2,FALSE)),"X",$B52)</f>
        <v>X</v>
      </c>
      <c r="I52" s="74" t="str">
        <f>IF(ISTEXT(VLOOKUP(CONCATENATE($A52,"_",I$3),'Unit List'!$A$14:$H$2838,2,FALSE)),"X",$B52)</f>
        <v/>
      </c>
      <c r="J52" s="64" t="str">
        <f>IF(ISTEXT(VLOOKUP(CONCATENATE($A52,"_",J$3),'Unit List'!$A$14:$H$2838,2,FALSE)),"+","")</f>
        <v>+</v>
      </c>
      <c r="K52" s="246" t="str">
        <f>IF(ISTEXT(VLOOKUP(CONCATENATE($A52,"_",K$3),'Unit List'!$A$14:$H$2838,2,FALSE)),"X",$J52)</f>
        <v>+</v>
      </c>
      <c r="L52" s="144" t="str">
        <f>IF(ISTEXT(VLOOKUP(CONCATENATE($A52,"_",L$3),'Unit List'!$A$14:$H$2838,2,FALSE)),"X",$J52)</f>
        <v>+</v>
      </c>
      <c r="M52" s="64" t="str">
        <f>IF(ISTEXT(VLOOKUP(CONCATENATE($A52,"_",M$3),'Unit List'!$A$14:$H$2838,2,FALSE)),"+","")</f>
        <v>+</v>
      </c>
      <c r="N52" s="66" t="str">
        <f>IF(ISTEXT(VLOOKUP(CONCATENATE($A52,"_",N$3),'Unit List'!$A$14:$H$2838,2,FALSE)),"X",$M52)</f>
        <v>X</v>
      </c>
      <c r="O52" s="74" t="str">
        <f>IF(ISTEXT(VLOOKUP(CONCATENATE($A52,"_",O$3),'Unit List'!$A$14:$H$2838,2,FALSE)),"X",$M52)</f>
        <v>X</v>
      </c>
      <c r="P52" s="101" t="str">
        <f>IF(ISTEXT(VLOOKUP(CONCATENATE($A52,"_",P$3),'Unit List'!$A$14:$H$2838,2,FALSE)),"+","")</f>
        <v>+</v>
      </c>
      <c r="Q52" s="133" t="str">
        <f>IF(ISTEXT(VLOOKUP(CONCATENATE($A52,"_",Q$3),'Unit List'!$A$14:$H$2838,2,FALSE)),"X",$P52)</f>
        <v>+</v>
      </c>
      <c r="R52" s="133" t="str">
        <f>IF(ISTEXT(VLOOKUP(CONCATENATE($A52,"_",R$3),'Unit List'!$A$14:$H$2838,2,FALSE)),"X",$P52)</f>
        <v>+</v>
      </c>
      <c r="S52" s="96" t="str">
        <f>IF(ISTEXT(VLOOKUP(CONCATENATE($A52,"_",S$3),'Unit List'!$A$14:$H$2838,2,FALSE)),"X",$P52)</f>
        <v>X</v>
      </c>
      <c r="T52" s="150" t="str">
        <f>IF(ISTEXT(VLOOKUP(CONCATENATE($A52,"_",T$3),'Unit List'!$A$14:$H$2838,2,FALSE)),"X",$P52)</f>
        <v>+</v>
      </c>
      <c r="U52" s="127" t="s">
        <v>3</v>
      </c>
      <c r="V52" s="96" t="str">
        <f>IF(ISTEXT(VLOOKUP(CONCATENATE($A52,"_",V$3),'Unit List'!$A$14:$H$2838,2,FALSE)),"X",$P52)</f>
        <v>X</v>
      </c>
      <c r="W52" s="134" t="str">
        <f>IF(ISTEXT(VLOOKUP(CONCATENATE($A52,"_",W$3),'Unit List'!$A$14:$H$2838,2,FALSE)),"X",$P52)</f>
        <v>+</v>
      </c>
      <c r="X52" s="101" t="str">
        <f>IF(ISTEXT(VLOOKUP(CONCATENATE($A52,"_",X$3),'Unit List'!$A$14:$H$2838,2,FALSE)),"+","")</f>
        <v>+</v>
      </c>
      <c r="Y52" s="66" t="str">
        <f>IF(ISTEXT(VLOOKUP(CONCATENATE($A52,"_",Y$3),'Unit List'!$A$14:$H$2838,2,FALSE)),"X",$X52)</f>
        <v>X</v>
      </c>
      <c r="Z52" s="133" t="str">
        <f>IF(ISTEXT(VLOOKUP(CONCATENATE($A52,"_",Z$3),'Unit List'!$A$14:$H$2838,2,FALSE)),"X",$X52)</f>
        <v>+</v>
      </c>
      <c r="AA52" s="96" t="str">
        <f>IF(ISTEXT(VLOOKUP(CONCATENATE($A52,"_",AA$3),'Unit List'!$A$14:$H$2838,2,FALSE)),"X",$X52)</f>
        <v>X</v>
      </c>
      <c r="AB52" s="96" t="str">
        <f>IF(ISTEXT(VLOOKUP(CONCATENATE($A52,"_",AB$3),'Unit List'!$A$14:$H$2838,2,FALSE)),"X",$X52)</f>
        <v>X</v>
      </c>
      <c r="AC52" s="123" t="str">
        <f>IF(ISTEXT(VLOOKUP(CONCATENATE($A52,"_",AC$3),'Unit List'!$A$14:$H$2838,2,FALSE)),"X",$X52)</f>
        <v>X</v>
      </c>
      <c r="AD52" s="101" t="str">
        <f>IF(ISTEXT(VLOOKUP(CONCATENATE($A52,"_",AD$3),'Unit List'!$A$14:$H$2838,2,FALSE)),"+","")</f>
        <v>+</v>
      </c>
      <c r="AE52" s="66" t="str">
        <f>IF(ISTEXT(VLOOKUP(CONCATENATE($A52,"_",AE$3),'Unit List'!$A$14:$H$2838,2,FALSE)),"X",$AD52)</f>
        <v>+</v>
      </c>
      <c r="AF52" s="72" t="str">
        <f>IF(ISTEXT(VLOOKUP(CONCATENATE($A52,"_",AF$3),'Unit List'!$A$14:$H$2838,2,FALSE)),"X",$AD52)</f>
        <v>+</v>
      </c>
      <c r="AG52" s="101" t="str">
        <f>IF(ISTEXT(VLOOKUP(CONCATENATE($A52,"_",AG$3),'Unit List'!$A$14:$H$2838,2,FALSE)),"+","")</f>
        <v>+</v>
      </c>
      <c r="AH52" s="96" t="str">
        <f>IF(ISTEXT(VLOOKUP(CONCATENATE($A52,"_",AH$3),'Unit List'!$A$14:$H$2838,2,FALSE)),"X",$AG52)</f>
        <v>X</v>
      </c>
      <c r="AI52" s="96" t="str">
        <f>IF(ISTEXT(VLOOKUP(CONCATENATE($A52,"_",AI$3),'Unit List'!$A$14:$H$2838,2,FALSE)),"X",$AG52)</f>
        <v>X</v>
      </c>
      <c r="AJ52" s="241" t="str">
        <f>IF(ISTEXT(VLOOKUP(CONCATENATE($A52,"_",AJ$3),'Unit List'!$A$14:$H$2838,2,FALSE)),"X",$AG52)</f>
        <v>+</v>
      </c>
      <c r="AK52" s="97" t="str">
        <f>IF(ISTEXT(VLOOKUP(CONCATENATE($A52,"_",AK$3),'Unit List'!$A$14:$H$2838,2,FALSE)),"+","")</f>
        <v>+</v>
      </c>
      <c r="AL52" s="69" t="str">
        <f>IF(ISTEXT(VLOOKUP(CONCATENATE($A52,"_",AL$3),'Unit List'!$A$14:$H$2838,2,FALSE)),"X",$AK52)</f>
        <v>X</v>
      </c>
      <c r="AM52" s="100" t="str">
        <f>IF(ISTEXT(VLOOKUP(CONCATENATE($A52,"_",AM$3),'Unit List'!$A$14:$H$2838,2,FALSE)),"X",$AK52)</f>
        <v>X</v>
      </c>
      <c r="AN52" s="91" t="str">
        <f>IF(ISTEXT(VLOOKUP(CONCATENATE($A52,"_",AN$3),'Unit List'!$A$14:$H$2838,2,FALSE)),"+","")</f>
        <v>+</v>
      </c>
      <c r="AO52" s="100" t="str">
        <f>IF(ISTEXT(VLOOKUP(CONCATENATE($A52,"_",AO$3),'Unit List'!$A$14:$H$2838,2,FALSE)),"X",$AN52)</f>
        <v>X</v>
      </c>
      <c r="AP52" s="101" t="str">
        <f>IF(ISTEXT(VLOOKUP(CONCATENATE($A52,"_",AP$3),'Unit List'!$A$14:$H$2838,2,FALSE)),"+","")</f>
        <v>+</v>
      </c>
      <c r="AQ52" s="96" t="str">
        <f>IF(ISTEXT(VLOOKUP(CONCATENATE($A52,"_",AQ$3),'Unit List'!$A$14:$H$2838,2,FALSE)),"X",$AP52)</f>
        <v>X</v>
      </c>
      <c r="AR52" s="96" t="str">
        <f>IF(ISTEXT(VLOOKUP(CONCATENATE($A52,"_",AR$3),'Unit List'!$A$14:$H$2838,2,FALSE)),"X",$AP52)</f>
        <v>X</v>
      </c>
      <c r="AS52" s="96" t="str">
        <f>IF(ISTEXT(VLOOKUP(CONCATENATE($A52,"_",AS$3),'Unit List'!$A$14:$H$2838,2,FALSE)),"X",$AP52)</f>
        <v>X</v>
      </c>
      <c r="AT52" s="100" t="str">
        <f>IF(ISTEXT(VLOOKUP(CONCATENATE($A52,"_",AT$3),'Unit List'!$A$14:$H$2838,2,FALSE)),"X",$AP52)</f>
        <v>X</v>
      </c>
      <c r="AU52" s="77" t="str">
        <f>IF(ISTEXT(VLOOKUP(CONCATENATE($A52,"_",AU$3),'Unit List'!$A$14:$H$2838,2,FALSE)),"+","")</f>
        <v>+</v>
      </c>
      <c r="AV52" s="128" t="s">
        <v>0</v>
      </c>
      <c r="AW52" s="134" t="str">
        <f>IF(ISTEXT(VLOOKUP(CONCATENATE($A52,"_",AW$3),'Unit List'!$A$14:$H$2838,2,FALSE)),"X",$AU52)</f>
        <v>+</v>
      </c>
      <c r="AX52" s="68" t="str">
        <f>IF(ISTEXT(VLOOKUP(CONCATENATE($A52,"_",AX$3),'Unit List'!$A$14:$H$2838,2,FALSE)),"+","")</f>
        <v/>
      </c>
      <c r="AY52" s="127" t="s">
        <v>0</v>
      </c>
      <c r="AZ52" s="71" t="str">
        <f>IF(ISTEXT(VLOOKUP(CONCATENATE($A52,"_",AZ$3),'Unit List'!$A$14:$H$2838,2,FALSE)),"X",$AX52)</f>
        <v/>
      </c>
      <c r="BA52" s="101" t="str">
        <f>IF(ISTEXT(VLOOKUP(CONCATENATE($A52,"_",BA$3),'Unit List'!$A$14:$H$2838,2,FALSE)),"+","")</f>
        <v>+</v>
      </c>
      <c r="BB52" s="96" t="str">
        <f>IF(ISTEXT(VLOOKUP(CONCATENATE($A52,"_",BB$3),'Unit List'!$A$14:$H$2838,2,FALSE)),"X",$BA52)</f>
        <v>X</v>
      </c>
      <c r="BC52" s="96" t="str">
        <f>IF(ISTEXT(VLOOKUP(CONCATENATE($A52,"_",BC$3),'Unit List'!$A$14:$H$2838,2,FALSE)),"X",$BA52)</f>
        <v>X</v>
      </c>
      <c r="BD52" s="241" t="str">
        <f>IF(ISTEXT(VLOOKUP(CONCATENATE($A52,"_",BD$3),'Unit List'!$A$14:$H$2838,2,FALSE)),"X",$BA52)</f>
        <v>X</v>
      </c>
      <c r="BE52" s="91" t="str">
        <f>IF(ISTEXT(VLOOKUP(CONCATENATE($A52,"_",BE$3),'Unit List'!$A$14:$H$2838,2,FALSE)),"+","")</f>
        <v>+</v>
      </c>
      <c r="BF52" s="123" t="str">
        <f>IF(ISTEXT(VLOOKUP(CONCATENATE($A52,"_",BF$3),'Unit List'!$A$14:$H$2838,2,FALSE)),"X",$BE52)</f>
        <v>X</v>
      </c>
      <c r="BG52" s="111"/>
      <c r="BH52" s="112" t="s">
        <v>0</v>
      </c>
      <c r="BI52" s="261" t="s">
        <v>12</v>
      </c>
      <c r="BJ52" s="262"/>
      <c r="BK52" s="262"/>
      <c r="BL52" s="262"/>
      <c r="BM52" s="263"/>
      <c r="BN52" s="81"/>
      <c r="BO52" s="81"/>
      <c r="BP52" s="81"/>
      <c r="BQ52" s="81"/>
      <c r="BR52" s="81"/>
      <c r="BS52" s="81"/>
      <c r="DZ52" s="82"/>
      <c r="EA52" s="82"/>
    </row>
    <row r="53" spans="1:131" ht="12.75" customHeight="1" x14ac:dyDescent="0.2">
      <c r="A53" s="83" t="s">
        <v>15</v>
      </c>
      <c r="B53" s="59" t="str">
        <f>IF(ISTEXT(VLOOKUP(CONCATENATE($A53,"_",B$3),'Unit List'!$A$14:$H$2838,2,FALSE)),"+","")</f>
        <v/>
      </c>
      <c r="C53" s="119" t="str">
        <f>IF(ISTEXT(VLOOKUP(CONCATENATE($A53,"_",C$3),'Unit List'!$A$14:$H$2838,2,FALSE)),"X",$B53)</f>
        <v>X</v>
      </c>
      <c r="D53" s="96" t="str">
        <f>IF(ISTEXT(VLOOKUP(CONCATENATE($A53,"_",D$3),'Unit List'!$A$14:$H$2838,2,FALSE)),"X",$B53)</f>
        <v>X</v>
      </c>
      <c r="E53" s="133" t="str">
        <f>IF(ISTEXT(VLOOKUP(CONCATENATE($A53,"_",E$3),'Unit List'!$A$14:$H$2838,2,FALSE)),"X",$B53)</f>
        <v>X</v>
      </c>
      <c r="F53" s="96" t="str">
        <f>IF(ISTEXT(VLOOKUP(CONCATENATE($A53,"_",F$3),'Unit List'!$A$14:$H$2838,2,FALSE)),"X",$B53)</f>
        <v>X</v>
      </c>
      <c r="G53" s="96" t="str">
        <f>IF(ISTEXT(VLOOKUP(CONCATENATE($A53,"_",G$3),'Unit List'!$A$14:$H$2838,2,FALSE)),"X",$B53)</f>
        <v>X</v>
      </c>
      <c r="H53" s="127" t="s">
        <v>3</v>
      </c>
      <c r="I53" s="100" t="str">
        <f>IF(ISTEXT(VLOOKUP(CONCATENATE($A53,"_",I$3),'Unit List'!$A$14:$H$2838,2,FALSE)),"X",$B53)</f>
        <v>X</v>
      </c>
      <c r="J53" s="64" t="str">
        <f>IF(ISTEXT(VLOOKUP(CONCATENATE($A53,"_",J$3),'Unit List'!$A$14:$H$2838,2,FALSE)),"+","")</f>
        <v/>
      </c>
      <c r="K53" s="66" t="str">
        <f>IF(ISTEXT(VLOOKUP(CONCATENATE($A53,"_",K$3),'Unit List'!$A$14:$H$2838,2,FALSE)),"X",$J53)</f>
        <v/>
      </c>
      <c r="L53" s="123" t="str">
        <f>IF(ISTEXT(VLOOKUP(CONCATENATE($A53,"_",L$3),'Unit List'!$A$14:$H$2838,2,FALSE)),"X",$J53)</f>
        <v>X</v>
      </c>
      <c r="M53" s="64" t="str">
        <f>IF(ISTEXT(VLOOKUP(CONCATENATE($A53,"_",M$3),'Unit List'!$A$14:$H$2838,2,FALSE)),"+","")</f>
        <v>+</v>
      </c>
      <c r="N53" s="96" t="str">
        <f>IF(ISTEXT(VLOOKUP(CONCATENATE($A53,"_",N$3),'Unit List'!$A$14:$H$2838,2,FALSE)),"X",$M53)</f>
        <v>X</v>
      </c>
      <c r="O53" s="100" t="str">
        <f>IF(ISTEXT(VLOOKUP(CONCATENATE($A53,"_",O$3),'Unit List'!$A$14:$H$2838,2,FALSE)),"X",$M53)</f>
        <v>X</v>
      </c>
      <c r="P53" s="68" t="str">
        <f>IF(ISTEXT(VLOOKUP(CONCATENATE($A53,"_",P$3),'Unit List'!$A$14:$H$2838,2,FALSE)),"+","")</f>
        <v/>
      </c>
      <c r="Q53" s="66" t="str">
        <f>IF(ISTEXT(VLOOKUP(CONCATENATE($A53,"_",Q$3),'Unit List'!$A$14:$H$2838,2,FALSE)),"X",$P53)</f>
        <v/>
      </c>
      <c r="R53" s="66" t="str">
        <f>IF(ISTEXT(VLOOKUP(CONCATENATE($A53,"_",R$3),'Unit List'!$A$14:$H$2838,2,FALSE)),"X",$P53)</f>
        <v/>
      </c>
      <c r="S53" s="66" t="str">
        <f>IF(ISTEXT(VLOOKUP(CONCATENATE($A53,"_",S$3),'Unit List'!$A$14:$H$2838,2,FALSE)),"X",$P53)</f>
        <v/>
      </c>
      <c r="T53" s="69" t="str">
        <f>IF(ISTEXT(VLOOKUP(CONCATENATE($A53,"_",T$3),'Unit List'!$A$14:$H$2838,2,FALSE)),"X",$P53)</f>
        <v/>
      </c>
      <c r="U53" s="96" t="str">
        <f>IF(ISTEXT(VLOOKUP(CONCATENATE($A53,"_",U$3),'Unit List'!$A$14:$H$2838,2,FALSE)),"X",$P53)</f>
        <v>X</v>
      </c>
      <c r="V53" s="66" t="str">
        <f>IF(ISTEXT(VLOOKUP(CONCATENATE($A53,"_",V$3),'Unit List'!$A$14:$H$2838,2,FALSE)),"X",$P53)</f>
        <v>X</v>
      </c>
      <c r="W53" s="71" t="str">
        <f>IF(ISTEXT(VLOOKUP(CONCATENATE($A53,"_",W$3),'Unit List'!$A$14:$H$2838,2,FALSE)),"X",$P53)</f>
        <v/>
      </c>
      <c r="X53" s="68" t="str">
        <f>IF(ISTEXT(VLOOKUP(CONCATENATE($A53,"_",X$3),'Unit List'!$A$14:$H$2838,2,FALSE)),"+","")</f>
        <v>+</v>
      </c>
      <c r="Y53" s="133" t="str">
        <f>IF(ISTEXT(VLOOKUP(CONCATENATE($A53,"_",Y$3),'Unit List'!$A$14:$H$2838,2,FALSE)),"X",$X53)</f>
        <v>+</v>
      </c>
      <c r="Z53" s="133" t="str">
        <f>IF(ISTEXT(VLOOKUP(CONCATENATE($A53,"_",Z$3),'Unit List'!$A$14:$H$2838,2,FALSE)),"X",$X53)</f>
        <v>+</v>
      </c>
      <c r="AA53" s="133" t="str">
        <f>IF(ISTEXT(VLOOKUP(CONCATENATE($A53,"_",AA$3),'Unit List'!$A$14:$H$2838,2,FALSE)),"X",$X53)</f>
        <v>+</v>
      </c>
      <c r="AB53" s="133" t="str">
        <f>IF(ISTEXT(VLOOKUP(CONCATENATE($A53,"_",AB$3),'Unit List'!$A$14:$H$2838,2,FALSE)),"X",$X53)</f>
        <v>+</v>
      </c>
      <c r="AC53" s="135" t="str">
        <f>IF(ISTEXT(VLOOKUP(CONCATENATE($A53,"_",AC$3),'Unit List'!$A$14:$H$2838,2,FALSE)),"X",$X53)</f>
        <v>+</v>
      </c>
      <c r="AD53" s="101" t="str">
        <f>IF(ISTEXT(VLOOKUP(CONCATENATE($A53,"_",AD$3),'Unit List'!$A$14:$H$2838,2,FALSE)),"+","")</f>
        <v/>
      </c>
      <c r="AE53" s="66" t="str">
        <f>IF(ISTEXT(VLOOKUP(CONCATENATE($A53,"_",AE$3),'Unit List'!$A$14:$H$2838,2,FALSE)),"X",$AD53)</f>
        <v/>
      </c>
      <c r="AF53" s="72" t="str">
        <f>IF(ISTEXT(VLOOKUP(CONCATENATE($A53,"_",AF$3),'Unit List'!$A$14:$H$2838,2,FALSE)),"X",$AD53)</f>
        <v/>
      </c>
      <c r="AG53" s="101" t="str">
        <f>IF(ISTEXT(VLOOKUP(CONCATENATE($A53,"_",AG$3),'Unit List'!$A$14:$H$2838,2,FALSE)),"+","")</f>
        <v>+</v>
      </c>
      <c r="AH53" s="133" t="str">
        <f>IF(ISTEXT(VLOOKUP(CONCATENATE($A53,"_",AH$3),'Unit List'!$A$14:$H$2838,2,FALSE)),"X",$AG53)</f>
        <v>+</v>
      </c>
      <c r="AI53" s="133" t="str">
        <f>IF(ISTEXT(VLOOKUP(CONCATENATE($A53,"_",AI$3),'Unit List'!$A$14:$H$2838,2,FALSE)),"X",$AG53)</f>
        <v>+</v>
      </c>
      <c r="AJ53" s="134" t="str">
        <f>IF(ISTEXT(VLOOKUP(CONCATENATE($A53,"_",AJ$3),'Unit List'!$A$14:$H$2838,2,FALSE)),"X",$AG53)</f>
        <v>+</v>
      </c>
      <c r="AK53" s="64" t="str">
        <f>IF(ISTEXT(VLOOKUP(CONCATENATE($A53,"_",AK$3),'Unit List'!$A$14:$H$2838,2,FALSE)),"+","")</f>
        <v/>
      </c>
      <c r="AL53" s="124" t="str">
        <f>IF(ISTEXT(VLOOKUP(CONCATENATE($A53,"_",AL$3),'Unit List'!$A$14:$H$2838,2,FALSE)),"X",$AK53)</f>
        <v>X</v>
      </c>
      <c r="AM53" s="74" t="str">
        <f>IF(ISTEXT(VLOOKUP(CONCATENATE($A53,"_",AM$3),'Unit List'!$A$14:$H$2838,2,FALSE)),"X",$AK53)</f>
        <v/>
      </c>
      <c r="AN53" s="91" t="str">
        <f>IF(ISTEXT(VLOOKUP(CONCATENATE($A53,"_",AN$3),'Unit List'!$A$14:$H$2838,2,FALSE)),"+","")</f>
        <v/>
      </c>
      <c r="AO53" s="74" t="str">
        <f>IF(ISTEXT(VLOOKUP(CONCATENATE($A53,"_",AO$3),'Unit List'!$A$14:$H$2838,2,FALSE)),"X",$AN53)</f>
        <v/>
      </c>
      <c r="AP53" s="68" t="str">
        <f>IF(ISTEXT(VLOOKUP(CONCATENATE($A53,"_",AP$3),'Unit List'!$A$14:$H$2838,2,FALSE)),"+","")</f>
        <v>+</v>
      </c>
      <c r="AQ53" s="96" t="str">
        <f>IF(ISTEXT(VLOOKUP(CONCATENATE($A53,"_",AQ$3),'Unit List'!$A$14:$H$2838,2,FALSE)),"X",$AP53)</f>
        <v>X</v>
      </c>
      <c r="AR53" s="96" t="str">
        <f>IF(ISTEXT(VLOOKUP(CONCATENATE($A53,"_",AR$3),'Unit List'!$A$14:$H$2838,2,FALSE)),"X",$AP53)</f>
        <v>X</v>
      </c>
      <c r="AS53" s="66" t="str">
        <f>IF(ISTEXT(VLOOKUP(CONCATENATE($A53,"_",AS$3),'Unit List'!$A$14:$H$2838,2,FALSE)),"X",$AP53)</f>
        <v>+</v>
      </c>
      <c r="AT53" s="74" t="str">
        <f>IF(ISTEXT(VLOOKUP(CONCATENATE($A53,"_",AT$3),'Unit List'!$A$14:$H$2838,2,FALSE)),"X",$AP53)</f>
        <v>+</v>
      </c>
      <c r="AU53" s="77" t="str">
        <f>IF(ISTEXT(VLOOKUP(CONCATENATE($A53,"_",AU$3),'Unit List'!$A$14:$H$2838,2,FALSE)),"+","")</f>
        <v/>
      </c>
      <c r="AV53" s="66" t="str">
        <f>IF(ISTEXT(VLOOKUP(CONCATENATE($A53,"_",AV$3),'Unit List'!$A$14:$H$2838,2,FALSE)),"X",$AU53)</f>
        <v/>
      </c>
      <c r="AW53" s="74" t="str">
        <f>IF(ISTEXT(VLOOKUP(CONCATENATE($A53,"_",AW$3),'Unit List'!$A$14:$H$2838,2,FALSE)),"X",$AU53)</f>
        <v/>
      </c>
      <c r="AX53" s="101" t="str">
        <f>IF(ISTEXT(VLOOKUP(CONCATENATE($A53,"_",AX$3),'Unit List'!$A$14:$H$2838,2,FALSE)),"+","")</f>
        <v>+</v>
      </c>
      <c r="AY53" s="106" t="str">
        <f>IF(ISTEXT(VLOOKUP(CONCATENATE($A53,"_",AY$3),'Unit List'!$A$14:$H$2838,2,FALSE)),"X",$AX53)</f>
        <v>+</v>
      </c>
      <c r="AZ53" s="134" t="str">
        <f>IF(ISTEXT(VLOOKUP(CONCATENATE($A53,"_",AZ$3),'Unit List'!$A$14:$H$2838,2,FALSE)),"X",$AX53)</f>
        <v>+</v>
      </c>
      <c r="BA53" s="101" t="str">
        <f>IF(ISTEXT(VLOOKUP(CONCATENATE($A53,"_",BA$3),'Unit List'!$A$14:$H$2838,2,FALSE)),"+","")</f>
        <v>+</v>
      </c>
      <c r="BB53" s="133" t="str">
        <f>IF(ISTEXT(VLOOKUP(CONCATENATE($A53,"_",BB$3),'Unit List'!$A$14:$H$2838,2,FALSE)),"X",$BA53)</f>
        <v>+</v>
      </c>
      <c r="BC53" s="106" t="str">
        <f>IF(ISTEXT(VLOOKUP(CONCATENATE($A53,"_",BC$3),'Unit List'!$A$14:$H$2838,2,FALSE)),"X",$BA53)</f>
        <v>+</v>
      </c>
      <c r="BD53" s="134" t="str">
        <f>IF(ISTEXT(VLOOKUP(CONCATENATE($A53,"_",BD$3),'Unit List'!$A$14:$H$2838,2,FALSE)),"X",$BA53)</f>
        <v>+</v>
      </c>
      <c r="BE53" s="91" t="str">
        <f>IF(ISTEXT(VLOOKUP(CONCATENATE($A53,"_",BE$3),'Unit List'!$A$14:$H$2838,2,FALSE)),"+","")</f>
        <v>+</v>
      </c>
      <c r="BF53" s="135" t="str">
        <f>IF(ISTEXT(VLOOKUP(CONCATENATE($A53,"_",BF$3),'Unit List'!$A$14:$H$2838,2,FALSE)),"X",$BE53)</f>
        <v>+</v>
      </c>
      <c r="BG53" s="92"/>
      <c r="BH53" s="93" t="s">
        <v>0</v>
      </c>
      <c r="BI53" s="264"/>
      <c r="BJ53" s="265"/>
      <c r="BK53" s="265"/>
      <c r="BL53" s="265"/>
      <c r="BM53" s="266"/>
      <c r="BN53" s="81"/>
      <c r="BO53" s="81"/>
      <c r="BP53" s="81"/>
      <c r="BQ53" s="81"/>
      <c r="BR53" s="81"/>
      <c r="BS53" s="81"/>
      <c r="DZ53" s="82"/>
      <c r="EA53" s="82"/>
    </row>
    <row r="54" spans="1:131" ht="12.75" customHeight="1" x14ac:dyDescent="0.2">
      <c r="A54" s="83" t="s">
        <v>14</v>
      </c>
      <c r="B54" s="59" t="str">
        <f>IF(ISTEXT(VLOOKUP(CONCATENATE($A54,"_",B$3),'Unit List'!$A$14:$H$2838,2,FALSE)),"+","")</f>
        <v/>
      </c>
      <c r="C54" s="84" t="str">
        <f>IF(ISTEXT(VLOOKUP(CONCATENATE($A54,"_",C$3),'Unit List'!$A$14:$H$2838,2,FALSE)),"X",$B54)</f>
        <v/>
      </c>
      <c r="D54" s="66" t="str">
        <f>IF(ISTEXT(VLOOKUP(CONCATENATE($A54,"_",D$3),'Unit List'!$A$14:$H$2838,2,FALSE)),"X",$B54)</f>
        <v/>
      </c>
      <c r="E54" s="66" t="str">
        <f>IF(ISTEXT(VLOOKUP(CONCATENATE($A54,"_",E$3),'Unit List'!$A$14:$H$2838,2,FALSE)),"X",$B54)</f>
        <v/>
      </c>
      <c r="F54" s="66" t="str">
        <f>IF(ISTEXT(VLOOKUP(CONCATENATE($A54,"_",F$3),'Unit List'!$A$14:$H$2838,2,FALSE)),"X",$B54)</f>
        <v/>
      </c>
      <c r="G54" s="66" t="str">
        <f>IF(ISTEXT(VLOOKUP(CONCATENATE($A54,"_",G$3),'Unit List'!$A$14:$H$2838,2,FALSE)),"X",$B54)</f>
        <v/>
      </c>
      <c r="H54" s="66" t="str">
        <f>IF(ISTEXT(VLOOKUP(CONCATENATE($A54,"_",H$3),'Unit List'!$A$14:$H$2838,2,FALSE)),"X",$B54)</f>
        <v/>
      </c>
      <c r="I54" s="74" t="str">
        <f>IF(ISTEXT(VLOOKUP(CONCATENATE($A54,"_",I$3),'Unit List'!$A$14:$H$2838,2,FALSE)),"X",$B54)</f>
        <v/>
      </c>
      <c r="J54" s="64" t="str">
        <f>IF(ISTEXT(VLOOKUP(CONCATENATE($A54,"_",J$3),'Unit List'!$A$14:$H$2838,2,FALSE)),"+","")</f>
        <v/>
      </c>
      <c r="K54" s="66" t="str">
        <f>IF(ISTEXT(VLOOKUP(CONCATENATE($A54,"_",K$3),'Unit List'!$A$14:$H$2838,2,FALSE)),"X",$J54)</f>
        <v/>
      </c>
      <c r="L54" s="89" t="str">
        <f>IF(ISTEXT(VLOOKUP(CONCATENATE($A54,"_",L$3),'Unit List'!$A$14:$H$2838,2,FALSE)),"X",$J54)</f>
        <v/>
      </c>
      <c r="M54" s="64" t="str">
        <f>IF(ISTEXT(VLOOKUP(CONCATENATE($A54,"_",M$3),'Unit List'!$A$14:$H$2838,2,FALSE)),"+","")</f>
        <v/>
      </c>
      <c r="N54" s="66" t="str">
        <f>IF(ISTEXT(VLOOKUP(CONCATENATE($A54,"_",N$3),'Unit List'!$A$14:$H$2838,2,FALSE)),"X",$M54)</f>
        <v/>
      </c>
      <c r="O54" s="74" t="str">
        <f>IF(ISTEXT(VLOOKUP(CONCATENATE($A54,"_",O$3),'Unit List'!$A$14:$H$2838,2,FALSE)),"X",$M54)</f>
        <v/>
      </c>
      <c r="P54" s="68" t="str">
        <f>IF(ISTEXT(VLOOKUP(CONCATENATE($A54,"_",P$3),'Unit List'!$A$14:$H$2838,2,FALSE)),"+","")</f>
        <v/>
      </c>
      <c r="Q54" s="66" t="str">
        <f>IF(ISTEXT(VLOOKUP(CONCATENATE($A54,"_",Q$3),'Unit List'!$A$14:$H$2838,2,FALSE)),"X",$P54)</f>
        <v/>
      </c>
      <c r="R54" s="66" t="str">
        <f>IF(ISTEXT(VLOOKUP(CONCATENATE($A54,"_",R$3),'Unit List'!$A$14:$H$2838,2,FALSE)),"X",$P54)</f>
        <v/>
      </c>
      <c r="S54" s="66" t="str">
        <f>IF(ISTEXT(VLOOKUP(CONCATENATE($A54,"_",S$3),'Unit List'!$A$14:$H$2838,2,FALSE)),"X",$P54)</f>
        <v/>
      </c>
      <c r="T54" s="69" t="str">
        <f>IF(ISTEXT(VLOOKUP(CONCATENATE($A54,"_",T$3),'Unit List'!$A$14:$H$2838,2,FALSE)),"X",$P54)</f>
        <v/>
      </c>
      <c r="U54" s="66" t="str">
        <f>IF(ISTEXT(VLOOKUP(CONCATENATE($A54,"_",U$3),'Unit List'!$A$14:$H$2838,2,FALSE)),"X",$P54)</f>
        <v/>
      </c>
      <c r="V54" s="66" t="str">
        <f>IF(ISTEXT(VLOOKUP(CONCATENATE($A54,"_",V$3),'Unit List'!$A$14:$H$2838,2,FALSE)),"X",$P54)</f>
        <v/>
      </c>
      <c r="W54" s="71" t="str">
        <f>IF(ISTEXT(VLOOKUP(CONCATENATE($A54,"_",W$3),'Unit List'!$A$14:$H$2838,2,FALSE)),"X",$P54)</f>
        <v/>
      </c>
      <c r="X54" s="68" t="str">
        <f>IF(ISTEXT(VLOOKUP(CONCATENATE($A54,"_",X$3),'Unit List'!$A$14:$H$2838,2,FALSE)),"+","")</f>
        <v/>
      </c>
      <c r="Y54" s="66" t="str">
        <f>IF(ISTEXT(VLOOKUP(CONCATENATE($A54,"_",Y$3),'Unit List'!$A$14:$H$2838,2,FALSE)),"X",$X54)</f>
        <v/>
      </c>
      <c r="Z54" s="66" t="str">
        <f>IF(ISTEXT(VLOOKUP(CONCATENATE($A54,"_",Z$3),'Unit List'!$A$14:$H$2838,2,FALSE)),"X",$X54)</f>
        <v/>
      </c>
      <c r="AA54" s="66" t="str">
        <f>IF(ISTEXT(VLOOKUP(CONCATENATE($A54,"_",AA$3),'Unit List'!$A$14:$H$2838,2,FALSE)),"X",$X54)</f>
        <v/>
      </c>
      <c r="AB54" s="66" t="str">
        <f>IF(ISTEXT(VLOOKUP(CONCATENATE($A54,"_",AB$3),'Unit List'!$A$14:$H$2838,2,FALSE)),"X",$X54)</f>
        <v/>
      </c>
      <c r="AC54" s="89" t="str">
        <f>IF(ISTEXT(VLOOKUP(CONCATENATE($A54,"_",AC$3),'Unit List'!$A$14:$H$2838,2,FALSE)),"X",$X54)</f>
        <v/>
      </c>
      <c r="AD54" s="68" t="str">
        <f>IF(ISTEXT(VLOOKUP(CONCATENATE($A54,"_",AD$3),'Unit List'!$A$14:$H$2838,2,FALSE)),"+","")</f>
        <v/>
      </c>
      <c r="AE54" s="66" t="str">
        <f>IF(ISTEXT(VLOOKUP(CONCATENATE($A54,"_",AE$3),'Unit List'!$A$14:$H$2838,2,FALSE)),"X",$AD54)</f>
        <v/>
      </c>
      <c r="AF54" s="72" t="str">
        <f>IF(ISTEXT(VLOOKUP(CONCATENATE($A54,"_",AF$3),'Unit List'!$A$14:$H$2838,2,FALSE)),"X",$AD54)</f>
        <v/>
      </c>
      <c r="AG54" s="68" t="str">
        <f>IF(ISTEXT(VLOOKUP(CONCATENATE($A54,"_",AG$3),'Unit List'!$A$14:$H$2838,2,FALSE)),"+","")</f>
        <v/>
      </c>
      <c r="AH54" s="66" t="str">
        <f>IF(ISTEXT(VLOOKUP(CONCATENATE($A54,"_",AH$3),'Unit List'!$A$14:$H$2838,2,FALSE)),"X",$AG54)</f>
        <v/>
      </c>
      <c r="AI54" s="66" t="str">
        <f>IF(ISTEXT(VLOOKUP(CONCATENATE($A54,"_",AI$3),'Unit List'!$A$14:$H$2838,2,FALSE)),"X",$AG54)</f>
        <v/>
      </c>
      <c r="AJ54" s="74" t="str">
        <f>IF(ISTEXT(VLOOKUP(CONCATENATE($A54,"_",AJ$3),'Unit List'!$A$14:$H$2838,2,FALSE)),"X",$AG54)</f>
        <v/>
      </c>
      <c r="AK54" s="64" t="str">
        <f>IF(ISTEXT(VLOOKUP(CONCATENATE($A54,"_",AK$3),'Unit List'!$A$14:$H$2838,2,FALSE)),"+","")</f>
        <v/>
      </c>
      <c r="AL54" s="69" t="str">
        <f>IF(ISTEXT(VLOOKUP(CONCATENATE($A54,"_",AL$3),'Unit List'!$A$14:$H$2838,2,FALSE)),"X",$AK54)</f>
        <v/>
      </c>
      <c r="AM54" s="74" t="str">
        <f>IF(ISTEXT(VLOOKUP(CONCATENATE($A54,"_",AM$3),'Unit List'!$A$14:$H$2838,2,FALSE)),"X",$AK54)</f>
        <v/>
      </c>
      <c r="AN54" s="91" t="str">
        <f>IF(ISTEXT(VLOOKUP(CONCATENATE($A54,"_",AN$3),'Unit List'!$A$14:$H$2838,2,FALSE)),"+","")</f>
        <v/>
      </c>
      <c r="AO54" s="74" t="str">
        <f>IF(ISTEXT(VLOOKUP(CONCATENATE($A54,"_",AO$3),'Unit List'!$A$14:$H$2838,2,FALSE)),"X",$AN54)</f>
        <v/>
      </c>
      <c r="AP54" s="68" t="str">
        <f>IF(ISTEXT(VLOOKUP(CONCATENATE($A54,"_",AP$3),'Unit List'!$A$14:$H$2838,2,FALSE)),"+","")</f>
        <v/>
      </c>
      <c r="AQ54" s="66" t="str">
        <f>IF(ISTEXT(VLOOKUP(CONCATENATE($A54,"_",AQ$3),'Unit List'!$A$14:$H$2838,2,FALSE)),"X",$AP54)</f>
        <v/>
      </c>
      <c r="AR54" s="66" t="str">
        <f>IF(ISTEXT(VLOOKUP(CONCATENATE($A54,"_",AR$3),'Unit List'!$A$14:$H$2838,2,FALSE)),"X",$AP54)</f>
        <v/>
      </c>
      <c r="AS54" s="127" t="s">
        <v>0</v>
      </c>
      <c r="AT54" s="74" t="str">
        <f>IF(ISTEXT(VLOOKUP(CONCATENATE($A54,"_",AT$3),'Unit List'!$A$14:$H$2838,2,FALSE)),"X",$AP54)</f>
        <v/>
      </c>
      <c r="AU54" s="77" t="str">
        <f>IF(ISTEXT(VLOOKUP(CONCATENATE($A54,"_",AU$3),'Unit List'!$A$14:$H$2838,2,FALSE)),"+","")</f>
        <v/>
      </c>
      <c r="AV54" s="66" t="str">
        <f>IF(ISTEXT(VLOOKUP(CONCATENATE($A54,"_",AV$3),'Unit List'!$A$14:$H$2838,2,FALSE)),"X",$AU54)</f>
        <v/>
      </c>
      <c r="AW54" s="74" t="str">
        <f>IF(ISTEXT(VLOOKUP(CONCATENATE($A54,"_",AW$3),'Unit List'!$A$14:$H$2838,2,FALSE)),"X",$AU54)</f>
        <v/>
      </c>
      <c r="AX54" s="68" t="str">
        <f>IF(ISTEXT(VLOOKUP(CONCATENATE($A54,"_",AX$3),'Unit List'!$A$14:$H$2838,2,FALSE)),"+","")</f>
        <v/>
      </c>
      <c r="AY54" s="66" t="str">
        <f>IF(ISTEXT(VLOOKUP(CONCATENATE($A54,"_",AY$3),'Unit List'!$A$14:$H$2838,2,FALSE)),"X",$AX54)</f>
        <v/>
      </c>
      <c r="AZ54" s="71" t="str">
        <f>IF(ISTEXT(VLOOKUP(CONCATENATE($A54,"_",AZ$3),'Unit List'!$A$14:$H$2838,2,FALSE)),"X",$AX54)</f>
        <v/>
      </c>
      <c r="BA54" s="78" t="str">
        <f>IF(ISTEXT(VLOOKUP(CONCATENATE($A54,"_",BA$3),'Unit List'!$A$14:$H$2838,2,FALSE)),"+","")</f>
        <v/>
      </c>
      <c r="BB54" s="66" t="str">
        <f>IF(ISTEXT(VLOOKUP(CONCATENATE($A54,"_",BB$3),'Unit List'!$A$14:$H$2838,2,FALSE)),"X",$BA54)</f>
        <v/>
      </c>
      <c r="BC54" s="66" t="str">
        <f>IF(ISTEXT(VLOOKUP(CONCATENATE($A54,"_",BC$3),'Unit List'!$A$14:$H$2838,2,FALSE)),"X",$BA54)</f>
        <v/>
      </c>
      <c r="BD54" s="74" t="str">
        <f>IF(ISTEXT(VLOOKUP(CONCATENATE($A54,"_",BD$3),'Unit List'!$A$14:$H$2838,2,FALSE)),"X",$BA54)</f>
        <v/>
      </c>
      <c r="BE54" s="91" t="str">
        <f>IF(ISTEXT(VLOOKUP(CONCATENATE($A54,"_",BE$3),'Unit List'!$A$14:$H$2838,2,FALSE)),"+","")</f>
        <v/>
      </c>
      <c r="BF54" s="89" t="str">
        <f>IF(ISTEXT(VLOOKUP(CONCATENATE($A54,"_",BF$3),'Unit List'!$A$14:$H$2838,2,FALSE)),"X",$BE54)</f>
        <v/>
      </c>
      <c r="BG54" s="92"/>
      <c r="BH54" s="93" t="s">
        <v>0</v>
      </c>
      <c r="BI54" s="264"/>
      <c r="BJ54" s="265"/>
      <c r="BK54" s="265"/>
      <c r="BL54" s="265"/>
      <c r="BM54" s="266"/>
      <c r="BN54" s="81"/>
      <c r="BO54" s="81"/>
      <c r="BP54" s="81"/>
      <c r="BQ54" s="81"/>
      <c r="BR54" s="81"/>
      <c r="BS54" s="81"/>
      <c r="DZ54" s="82"/>
      <c r="EA54" s="82"/>
    </row>
    <row r="55" spans="1:131" ht="12.75" customHeight="1" x14ac:dyDescent="0.2">
      <c r="A55" s="160" t="s">
        <v>13</v>
      </c>
      <c r="B55" s="59" t="str">
        <f>IF(ISTEXT(VLOOKUP(CONCATENATE($A55,"_",B$3),'Unit List'!$A$14:$H$2838,2,FALSE)),"+","")</f>
        <v/>
      </c>
      <c r="C55" s="84" t="str">
        <f>IF(ISTEXT(VLOOKUP(CONCATENATE($A55,"_",C$3),'Unit List'!$A$14:$H$2838,2,FALSE)),"X",$B55)</f>
        <v/>
      </c>
      <c r="D55" s="66" t="str">
        <f>IF(ISTEXT(VLOOKUP(CONCATENATE($A55,"_",D$3),'Unit List'!$A$14:$H$2838,2,FALSE)),"X",$B55)</f>
        <v/>
      </c>
      <c r="E55" s="66" t="str">
        <f>IF(ISTEXT(VLOOKUP(CONCATENATE($A55,"_",E$3),'Unit List'!$A$14:$H$2838,2,FALSE)),"X",$B55)</f>
        <v/>
      </c>
      <c r="F55" s="66" t="str">
        <f>IF(ISTEXT(VLOOKUP(CONCATENATE($A55,"_",F$3),'Unit List'!$A$14:$H$2838,2,FALSE)),"X",$B55)</f>
        <v/>
      </c>
      <c r="G55" s="66" t="str">
        <f>IF(ISTEXT(VLOOKUP(CONCATENATE($A55,"_",G$3),'Unit List'!$A$14:$H$2838,2,FALSE)),"X",$B55)</f>
        <v/>
      </c>
      <c r="H55" s="66" t="str">
        <f>IF(ISTEXT(VLOOKUP(CONCATENATE($A55,"_",H$3),'Unit List'!$A$14:$H$2838,2,FALSE)),"X",$B55)</f>
        <v/>
      </c>
      <c r="I55" s="74" t="str">
        <f>IF(ISTEXT(VLOOKUP(CONCATENATE($A55,"_",I$3),'Unit List'!$A$14:$H$2838,2,FALSE)),"X",$B55)</f>
        <v/>
      </c>
      <c r="J55" s="64" t="str">
        <f>IF(ISTEXT(VLOOKUP(CONCATENATE($A55,"_",J$3),'Unit List'!$A$14:$H$2838,2,FALSE)),"+","")</f>
        <v>+</v>
      </c>
      <c r="K55" s="66" t="str">
        <f>IF(ISTEXT(VLOOKUP(CONCATENATE($A55,"_",K$3),'Unit List'!$A$14:$H$2838,2,FALSE)),"X",$J55)</f>
        <v>+</v>
      </c>
      <c r="L55" s="89" t="str">
        <f>IF(ISTEXT(VLOOKUP(CONCATENATE($A55,"_",L$3),'Unit List'!$A$14:$H$2838,2,FALSE)),"X",$J55)</f>
        <v>+</v>
      </c>
      <c r="M55" s="64" t="str">
        <f>IF(ISTEXT(VLOOKUP(CONCATENATE($A55,"_",M$3),'Unit List'!$A$14:$H$2838,2,FALSE)),"+","")</f>
        <v/>
      </c>
      <c r="N55" s="66" t="str">
        <f>IF(ISTEXT(VLOOKUP(CONCATENATE($A55,"_",N$3),'Unit List'!$A$14:$H$2838,2,FALSE)),"X",$M55)</f>
        <v/>
      </c>
      <c r="O55" s="74" t="str">
        <f>IF(ISTEXT(VLOOKUP(CONCATENATE($A55,"_",O$3),'Unit List'!$A$14:$H$2838,2,FALSE)),"X",$M55)</f>
        <v/>
      </c>
      <c r="P55" s="68" t="str">
        <f>IF(ISTEXT(VLOOKUP(CONCATENATE($A55,"_",P$3),'Unit List'!$A$14:$H$2838,2,FALSE)),"+","")</f>
        <v/>
      </c>
      <c r="Q55" s="66" t="str">
        <f>IF(ISTEXT(VLOOKUP(CONCATENATE($A55,"_",Q$3),'Unit List'!$A$14:$H$2838,2,FALSE)),"X",$P55)</f>
        <v/>
      </c>
      <c r="R55" s="127" t="s">
        <v>0</v>
      </c>
      <c r="S55" s="66" t="str">
        <f>IF(ISTEXT(VLOOKUP(CONCATENATE($A55,"_",S$3),'Unit List'!$A$14:$H$2838,2,FALSE)),"X",$P55)</f>
        <v/>
      </c>
      <c r="T55" s="69" t="str">
        <f>IF(ISTEXT(VLOOKUP(CONCATENATE($A55,"_",T$3),'Unit List'!$A$14:$H$2838,2,FALSE)),"X",$P55)</f>
        <v/>
      </c>
      <c r="U55" s="66" t="str">
        <f>IF(ISTEXT(VLOOKUP(CONCATENATE($A55,"_",U$3),'Unit List'!$A$14:$H$2838,2,FALSE)),"X",$P55)</f>
        <v/>
      </c>
      <c r="V55" s="66" t="str">
        <f>IF(ISTEXT(VLOOKUP(CONCATENATE($A55,"_",V$3),'Unit List'!$A$14:$H$2838,2,FALSE)),"X",$P55)</f>
        <v/>
      </c>
      <c r="W55" s="71" t="str">
        <f>IF(ISTEXT(VLOOKUP(CONCATENATE($A55,"_",W$3),'Unit List'!$A$14:$H$2838,2,FALSE)),"X",$P55)</f>
        <v/>
      </c>
      <c r="X55" s="68" t="str">
        <f>IF(ISTEXT(VLOOKUP(CONCATENATE($A55,"_",X$3),'Unit List'!$A$14:$H$2838,2,FALSE)),"+","")</f>
        <v/>
      </c>
      <c r="Y55" s="66" t="str">
        <f>IF(ISTEXT(VLOOKUP(CONCATENATE($A55,"_",Y$3),'Unit List'!$A$14:$H$2838,2,FALSE)),"X",$X55)</f>
        <v/>
      </c>
      <c r="Z55" s="66" t="str">
        <f>IF(ISTEXT(VLOOKUP(CONCATENATE($A55,"_",Z$3),'Unit List'!$A$14:$H$2838,2,FALSE)),"X",$X55)</f>
        <v/>
      </c>
      <c r="AA55" s="66" t="str">
        <f>IF(ISTEXT(VLOOKUP(CONCATENATE($A55,"_",AA$3),'Unit List'!$A$14:$H$2838,2,FALSE)),"X",$X55)</f>
        <v/>
      </c>
      <c r="AB55" s="66" t="str">
        <f>IF(ISTEXT(VLOOKUP(CONCATENATE($A55,"_",AB$3),'Unit List'!$A$14:$H$2838,2,FALSE)),"X",$X55)</f>
        <v/>
      </c>
      <c r="AC55" s="89" t="str">
        <f>IF(ISTEXT(VLOOKUP(CONCATENATE($A55,"_",AC$3),'Unit List'!$A$14:$H$2838,2,FALSE)),"X",$X55)</f>
        <v/>
      </c>
      <c r="AD55" s="68" t="str">
        <f>IF(ISTEXT(VLOOKUP(CONCATENATE($A55,"_",AD$3),'Unit List'!$A$14:$H$2838,2,FALSE)),"+","")</f>
        <v/>
      </c>
      <c r="AE55" s="127" t="s">
        <v>0</v>
      </c>
      <c r="AF55" s="72" t="str">
        <f>IF(ISTEXT(VLOOKUP(CONCATENATE($A55,"_",AF$3),'Unit List'!$A$14:$H$2838,2,FALSE)),"X",$AD55)</f>
        <v/>
      </c>
      <c r="AG55" s="68" t="str">
        <f>IF(ISTEXT(VLOOKUP(CONCATENATE($A55,"_",AG$3),'Unit List'!$A$14:$H$2838,2,FALSE)),"+","")</f>
        <v/>
      </c>
      <c r="AH55" s="66" t="str">
        <f>IF(ISTEXT(VLOOKUP(CONCATENATE($A55,"_",AH$3),'Unit List'!$A$14:$H$2838,2,FALSE)),"X",$AG55)</f>
        <v/>
      </c>
      <c r="AI55" s="66" t="str">
        <f>IF(ISTEXT(VLOOKUP(CONCATENATE($A55,"_",AI$3),'Unit List'!$A$14:$H$2838,2,FALSE)),"X",$AG55)</f>
        <v/>
      </c>
      <c r="AJ55" s="74" t="str">
        <f>IF(ISTEXT(VLOOKUP(CONCATENATE($A55,"_",AJ$3),'Unit List'!$A$14:$H$2838,2,FALSE)),"X",$AG55)</f>
        <v/>
      </c>
      <c r="AK55" s="64" t="str">
        <f>IF(ISTEXT(VLOOKUP(CONCATENATE($A55,"_",AK$3),'Unit List'!$A$14:$H$2838,2,FALSE)),"+","")</f>
        <v/>
      </c>
      <c r="AL55" s="69" t="str">
        <f>IF(ISTEXT(VLOOKUP(CONCATENATE($A55,"_",AL$3),'Unit List'!$A$14:$H$2838,2,FALSE)),"X",$AK55)</f>
        <v/>
      </c>
      <c r="AM55" s="74" t="str">
        <f>IF(ISTEXT(VLOOKUP(CONCATENATE($A55,"_",AM$3),'Unit List'!$A$14:$H$2838,2,FALSE)),"X",$AK55)</f>
        <v/>
      </c>
      <c r="AN55" s="91" t="str">
        <f>IF(ISTEXT(VLOOKUP(CONCATENATE($A55,"_",AN$3),'Unit List'!$A$14:$H$2838,2,FALSE)),"+","")</f>
        <v/>
      </c>
      <c r="AO55" s="74" t="str">
        <f>IF(ISTEXT(VLOOKUP(CONCATENATE($A55,"_",AO$3),'Unit List'!$A$14:$H$2838,2,FALSE)),"X",$AN55)</f>
        <v/>
      </c>
      <c r="AP55" s="68" t="str">
        <f>IF(ISTEXT(VLOOKUP(CONCATENATE($A55,"_",AP$3),'Unit List'!$A$14:$H$2838,2,FALSE)),"+","")</f>
        <v/>
      </c>
      <c r="AQ55" s="66" t="str">
        <f>IF(ISTEXT(VLOOKUP(CONCATENATE($A55,"_",AQ$3),'Unit List'!$A$14:$H$2838,2,FALSE)),"X",$AP55)</f>
        <v/>
      </c>
      <c r="AR55" s="66" t="str">
        <f>IF(ISTEXT(VLOOKUP(CONCATENATE($A55,"_",AR$3),'Unit List'!$A$14:$H$2838,2,FALSE)),"X",$AP55)</f>
        <v/>
      </c>
      <c r="AS55" s="66" t="str">
        <f>IF(ISTEXT(VLOOKUP(CONCATENATE($A55,"_",AS$3),'Unit List'!$A$14:$H$2838,2,FALSE)),"X",$AP55)</f>
        <v/>
      </c>
      <c r="AT55" s="74" t="str">
        <f>IF(ISTEXT(VLOOKUP(CONCATENATE($A55,"_",AT$3),'Unit List'!$A$14:$H$2838,2,FALSE)),"X",$AP55)</f>
        <v/>
      </c>
      <c r="AU55" s="77" t="str">
        <f>IF(ISTEXT(VLOOKUP(CONCATENATE($A55,"_",AU$3),'Unit List'!$A$14:$H$2838,2,FALSE)),"+","")</f>
        <v/>
      </c>
      <c r="AV55" s="66" t="str">
        <f>IF(ISTEXT(VLOOKUP(CONCATENATE($A55,"_",AV$3),'Unit List'!$A$14:$H$2838,2,FALSE)),"X",$AU55)</f>
        <v/>
      </c>
      <c r="AW55" s="74" t="str">
        <f>IF(ISTEXT(VLOOKUP(CONCATENATE($A55,"_",AW$3),'Unit List'!$A$14:$H$2838,2,FALSE)),"X",$AU55)</f>
        <v/>
      </c>
      <c r="AX55" s="68" t="str">
        <f>IF(ISTEXT(VLOOKUP(CONCATENATE($A55,"_",AX$3),'Unit List'!$A$14:$H$2838,2,FALSE)),"+","")</f>
        <v/>
      </c>
      <c r="AY55" s="66" t="str">
        <f>IF(ISTEXT(VLOOKUP(CONCATENATE($A55,"_",AY$3),'Unit List'!$A$14:$H$2838,2,FALSE)),"X",$AX55)</f>
        <v/>
      </c>
      <c r="AZ55" s="71" t="str">
        <f>IF(ISTEXT(VLOOKUP(CONCATENATE($A55,"_",AZ$3),'Unit List'!$A$14:$H$2838,2,FALSE)),"X",$AX55)</f>
        <v/>
      </c>
      <c r="BA55" s="78" t="str">
        <f>IF(ISTEXT(VLOOKUP(CONCATENATE($A55,"_",BA$3),'Unit List'!$A$14:$H$2838,2,FALSE)),"+","")</f>
        <v/>
      </c>
      <c r="BB55" s="66" t="str">
        <f>IF(ISTEXT(VLOOKUP(CONCATENATE($A55,"_",BB$3),'Unit List'!$A$14:$H$2838,2,FALSE)),"X",$BA55)</f>
        <v/>
      </c>
      <c r="BC55" s="66" t="str">
        <f>IF(ISTEXT(VLOOKUP(CONCATENATE($A55,"_",BC$3),'Unit List'!$A$14:$H$2838,2,FALSE)),"X",$BA55)</f>
        <v/>
      </c>
      <c r="BD55" s="74" t="str">
        <f>IF(ISTEXT(VLOOKUP(CONCATENATE($A55,"_",BD$3),'Unit List'!$A$14:$H$2838,2,FALSE)),"X",$BA55)</f>
        <v/>
      </c>
      <c r="BE55" s="91" t="str">
        <f>IF(ISTEXT(VLOOKUP(CONCATENATE($A55,"_",BE$3),'Unit List'!$A$14:$H$2838,2,FALSE)),"+","")</f>
        <v/>
      </c>
      <c r="BF55" s="89" t="str">
        <f>IF(ISTEXT(VLOOKUP(CONCATENATE($A55,"_",BF$3),'Unit List'!$A$14:$H$2838,2,FALSE)),"X",$BE55)</f>
        <v/>
      </c>
      <c r="BG55" s="111"/>
      <c r="BH55" s="121"/>
      <c r="BI55" s="264"/>
      <c r="BJ55" s="265"/>
      <c r="BK55" s="265"/>
      <c r="BL55" s="265"/>
      <c r="BM55" s="266"/>
      <c r="BN55" s="81"/>
      <c r="BO55" s="81"/>
      <c r="BP55" s="81"/>
      <c r="BQ55" s="81"/>
      <c r="BR55" s="81"/>
      <c r="BS55" s="81"/>
      <c r="DZ55" s="82"/>
      <c r="EA55" s="82"/>
    </row>
    <row r="56" spans="1:131" ht="12.75" customHeight="1" x14ac:dyDescent="0.2">
      <c r="A56" s="83" t="s">
        <v>1152</v>
      </c>
      <c r="B56" s="59" t="str">
        <f>IF(ISTEXT(VLOOKUP(CONCATENATE($A56,"_",B$3),'Unit List'!$A$14:$H$2838,2,FALSE)),"+","")</f>
        <v/>
      </c>
      <c r="C56" s="84" t="str">
        <f>IF(ISTEXT(VLOOKUP(CONCATENATE($A56,"_",C$3),'Unit List'!$A$14:$H$2838,2,FALSE)),"X",$B56)</f>
        <v/>
      </c>
      <c r="D56" s="66" t="str">
        <f>IF(ISTEXT(VLOOKUP(CONCATENATE($A56,"_",D$3),'Unit List'!$A$14:$H$2838,2,FALSE)),"X",$B56)</f>
        <v>X</v>
      </c>
      <c r="E56" s="96" t="str">
        <f>IF(ISTEXT(VLOOKUP(CONCATENATE($A56,"_",E$3),'Unit List'!$A$14:$H$2838,2,FALSE)),"X",$B56)</f>
        <v>X</v>
      </c>
      <c r="F56" s="66" t="str">
        <f>IF(ISTEXT(VLOOKUP(CONCATENATE($A56,"_",F$3),'Unit List'!$A$14:$H$2838,2,FALSE)),"X",$B56)</f>
        <v>X</v>
      </c>
      <c r="G56" s="66" t="str">
        <f>IF(ISTEXT(VLOOKUP(CONCATENATE($A56,"_",G$3),'Unit List'!$A$14:$H$2838,2,FALSE)),"X",$B56)</f>
        <v>X</v>
      </c>
      <c r="H56" s="66" t="str">
        <f>IF(ISTEXT(VLOOKUP(CONCATENATE($A56,"_",H$3),'Unit List'!$A$14:$H$2838,2,FALSE)),"X",$B56)</f>
        <v>X</v>
      </c>
      <c r="I56" s="74" t="str">
        <f>IF(ISTEXT(VLOOKUP(CONCATENATE($A56,"_",I$3),'Unit List'!$A$14:$H$2838,2,FALSE)),"X",$B56)</f>
        <v>X</v>
      </c>
      <c r="J56" s="97" t="str">
        <f>IF(ISTEXT(VLOOKUP(CONCATENATE($A56,"_",J$3),'Unit List'!$A$14:$H$2838,2,FALSE)),"+","")</f>
        <v>+</v>
      </c>
      <c r="K56" s="66" t="str">
        <f>IF(ISTEXT(VLOOKUP(CONCATENATE($A56,"_",K$3),'Unit List'!$A$14:$H$2838,2,FALSE)),"X",$J56)</f>
        <v>+</v>
      </c>
      <c r="L56" s="89" t="str">
        <f>IF(ISTEXT(VLOOKUP(CONCATENATE($A56,"_",L$3),'Unit List'!$A$14:$H$2838,2,FALSE)),"X",$J56)</f>
        <v>X</v>
      </c>
      <c r="M56" s="97" t="str">
        <f>IF(ISTEXT(VLOOKUP(CONCATENATE($A56,"_",M$3),'Unit List'!$A$14:$H$2838,2,FALSE)),"+","")</f>
        <v>+</v>
      </c>
      <c r="N56" s="133" t="str">
        <f>IF(ISTEXT(VLOOKUP(CONCATENATE($A56,"_",N$3),'Unit List'!$A$14:$H$2838,2,FALSE)),"X",$M56)</f>
        <v>+</v>
      </c>
      <c r="O56" s="74" t="str">
        <f>IF(ISTEXT(VLOOKUP(CONCATENATE($A56,"_",O$3),'Unit List'!$A$14:$H$2838,2,FALSE)),"X",$M56)</f>
        <v>X</v>
      </c>
      <c r="P56" s="101" t="str">
        <f>IF(ISTEXT(VLOOKUP(CONCATENATE($A56,"_",P$3),'Unit List'!$A$14:$H$2838,2,FALSE)),"+","")</f>
        <v/>
      </c>
      <c r="Q56" s="133" t="str">
        <f>IF(ISTEXT(VLOOKUP(CONCATENATE($A56,"_",Q$3),'Unit List'!$A$14:$H$2838,2,FALSE)),"X",$P56)</f>
        <v/>
      </c>
      <c r="R56" s="66" t="str">
        <f>IF(ISTEXT(VLOOKUP(CONCATENATE($A56,"_",R$3),'Unit List'!$A$14:$H$2838,2,FALSE)),"X",$P56)</f>
        <v>X</v>
      </c>
      <c r="S56" s="66" t="str">
        <f>IF(ISTEXT(VLOOKUP(CONCATENATE($A56,"_",S$3),'Unit List'!$A$14:$H$2838,2,FALSE)),"X",$P56)</f>
        <v>X</v>
      </c>
      <c r="T56" s="69" t="str">
        <f>IF(ISTEXT(VLOOKUP(CONCATENATE($A56,"_",T$3),'Unit List'!$A$14:$H$2838,2,FALSE)),"X",$P56)</f>
        <v>X</v>
      </c>
      <c r="U56" s="66" t="str">
        <f>IF(ISTEXT(VLOOKUP(CONCATENATE($A56,"_",U$3),'Unit List'!$A$14:$H$2838,2,FALSE)),"X",$P56)</f>
        <v>X</v>
      </c>
      <c r="V56" s="66" t="str">
        <f>IF(ISTEXT(VLOOKUP(CONCATENATE($A56,"_",V$3),'Unit List'!$A$14:$H$2838,2,FALSE)),"X",$P56)</f>
        <v>X</v>
      </c>
      <c r="W56" s="134" t="str">
        <f>IF(ISTEXT(VLOOKUP(CONCATENATE($A56,"_",W$3),'Unit List'!$A$14:$H$2838,2,FALSE)),"X",$P56)</f>
        <v/>
      </c>
      <c r="X56" s="64" t="str">
        <f>IF(ISTEXT(VLOOKUP(CONCATENATE($A56,"_",X$3),'Unit List'!$A$14:$H$2838,2,FALSE)),"+","")</f>
        <v>+</v>
      </c>
      <c r="Y56" s="72" t="str">
        <f>IF(ISTEXT(VLOOKUP(CONCATENATE($A56,"_",Y$3),'Unit List'!$A$14:$H$2838,2,FALSE)),"X",$X56)</f>
        <v>+</v>
      </c>
      <c r="Z56" s="133" t="str">
        <f>IF(ISTEXT(VLOOKUP(CONCATENATE($A56,"_",Z$3),'Unit List'!$A$14:$H$2838,2,FALSE)),"X",$X56)</f>
        <v>+</v>
      </c>
      <c r="AA56" s="72" t="str">
        <f>IF(ISTEXT(VLOOKUP(CONCATENATE($A56,"_",AA$3),'Unit List'!$A$14:$H$2838,2,FALSE)),"X",$X56)</f>
        <v>X</v>
      </c>
      <c r="AB56" s="72" t="str">
        <f>IF(ISTEXT(VLOOKUP(CONCATENATE($A56,"_",AB$3),'Unit List'!$A$14:$H$2838,2,FALSE)),"X",$X56)</f>
        <v>X</v>
      </c>
      <c r="AC56" s="135" t="str">
        <f>IF(ISTEXT(VLOOKUP(CONCATENATE($A56,"_",AC$3),'Unit List'!$A$14:$H$2838,2,FALSE)),"X",$X56)</f>
        <v>X</v>
      </c>
      <c r="AD56" s="101" t="str">
        <f>IF(ISTEXT(VLOOKUP(CONCATENATE($A56,"_",AD$3),'Unit List'!$A$14:$H$2838,2,FALSE)),"+","")</f>
        <v>+</v>
      </c>
      <c r="AE56" s="66" t="str">
        <f>IF(ISTEXT(VLOOKUP(CONCATENATE($A56,"_",AE$3),'Unit List'!$A$14:$H$2838,2,FALSE)),"X",$AD56)</f>
        <v>X</v>
      </c>
      <c r="AF56" s="72" t="str">
        <f>IF(ISTEXT(VLOOKUP(CONCATENATE($A56,"_",AF$3),'Unit List'!$A$14:$H$2838,2,FALSE)),"X",$AD56)</f>
        <v>+</v>
      </c>
      <c r="AG56" s="101" t="str">
        <f>IF(ISTEXT(VLOOKUP(CONCATENATE($A56,"_",AG$3),'Unit List'!$A$14:$H$2838,2,FALSE)),"+","")</f>
        <v>+</v>
      </c>
      <c r="AH56" s="96" t="str">
        <f>IF(ISTEXT(VLOOKUP(CONCATENATE($A56,"_",AH$3),'Unit List'!$A$14:$H$2838,2,FALSE)),"X",$AG56)</f>
        <v>X</v>
      </c>
      <c r="AI56" s="125" t="str">
        <f>IF(ISTEXT(VLOOKUP(CONCATENATE($A56,"_",AI$3),'Unit List'!$A$14:$H$2838,2,FALSE)),"X",$AG56)</f>
        <v>+</v>
      </c>
      <c r="AJ56" s="241" t="str">
        <f>IF(ISTEXT(VLOOKUP(CONCATENATE($A56,"_",AJ$3),'Unit List'!$A$14:$H$2838,2,FALSE)),"X",$AG56)</f>
        <v>+</v>
      </c>
      <c r="AK56" s="64" t="str">
        <f>IF(ISTEXT(VLOOKUP(CONCATENATE($A56,"_",AK$3),'Unit List'!$A$14:$H$2838,2,FALSE)),"+","")</f>
        <v/>
      </c>
      <c r="AL56" s="69" t="str">
        <f>IF(ISTEXT(VLOOKUP(CONCATENATE($A56,"_",AL$3),'Unit List'!$A$14:$H$2838,2,FALSE)),"X",$AK56)</f>
        <v/>
      </c>
      <c r="AM56" s="134" t="str">
        <f>IF(ISTEXT(VLOOKUP(CONCATENATE($A56,"_",AM$3),'Unit List'!$A$14:$H$2838,2,FALSE)),"X",$AK56)</f>
        <v/>
      </c>
      <c r="AN56" s="91" t="str">
        <f>IF(ISTEXT(VLOOKUP(CONCATENATE($A56,"_",AN$3),'Unit List'!$A$14:$H$2838,2,FALSE)),"+","")</f>
        <v/>
      </c>
      <c r="AO56" s="74" t="str">
        <f>IF(ISTEXT(VLOOKUP(CONCATENATE($A56,"_",AO$3),'Unit List'!$A$14:$H$2838,2,FALSE)),"X",$AN56)</f>
        <v/>
      </c>
      <c r="AP56" s="68" t="str">
        <f>IF(ISTEXT(VLOOKUP(CONCATENATE($A56,"_",AP$3),'Unit List'!$A$14:$H$2838,2,FALSE)),"+","")</f>
        <v/>
      </c>
      <c r="AQ56" s="66" t="str">
        <f>IF(ISTEXT(VLOOKUP(CONCATENATE($A56,"_",AQ$3),'Unit List'!$A$14:$H$2838,2,FALSE)),"X",$AP56)</f>
        <v/>
      </c>
      <c r="AR56" s="66" t="str">
        <f>IF(ISTEXT(VLOOKUP(CONCATENATE($A56,"_",AR$3),'Unit List'!$A$14:$H$2838,2,FALSE)),"X",$AP56)</f>
        <v/>
      </c>
      <c r="AS56" s="66" t="str">
        <f>IF(ISTEXT(VLOOKUP(CONCATENATE($A56,"_",AS$3),'Unit List'!$A$14:$H$2838,2,FALSE)),"X",$AP56)</f>
        <v/>
      </c>
      <c r="AT56" s="74" t="str">
        <f>IF(ISTEXT(VLOOKUP(CONCATENATE($A56,"_",AT$3),'Unit List'!$A$14:$H$2838,2,FALSE)),"X",$AP56)</f>
        <v/>
      </c>
      <c r="AU56" s="77" t="str">
        <f>IF(ISTEXT(VLOOKUP(CONCATENATE($A56,"_",AU$3),'Unit List'!$A$14:$H$2838,2,FALSE)),"+","")</f>
        <v/>
      </c>
      <c r="AV56" s="66" t="str">
        <f>IF(ISTEXT(VLOOKUP(CONCATENATE($A56,"_",AV$3),'Unit List'!$A$14:$H$2838,2,FALSE)),"X",$AU56)</f>
        <v/>
      </c>
      <c r="AW56" s="74" t="str">
        <f>IF(ISTEXT(VLOOKUP(CONCATENATE($A56,"_",AW$3),'Unit List'!$A$14:$H$2838,2,FALSE)),"X",$AU56)</f>
        <v/>
      </c>
      <c r="AX56" s="101" t="str">
        <f>IF(ISTEXT(VLOOKUP(CONCATENATE($A56,"_",AX$3),'Unit List'!$A$14:$H$2838,2,FALSE)),"+","")</f>
        <v>+</v>
      </c>
      <c r="AY56" s="95" t="str">
        <f>IF(ISTEXT(VLOOKUP(CONCATENATE($A56,"_",AY$3),'Unit List'!$A$14:$H$2838,2,FALSE)),"X",$AX56)</f>
        <v>+</v>
      </c>
      <c r="AZ56" s="241" t="str">
        <f>IF(ISTEXT(VLOOKUP(CONCATENATE($A56,"_",AZ$3),'Unit List'!$A$14:$H$2838,2,FALSE)),"X",$AX56)</f>
        <v>+</v>
      </c>
      <c r="BA56" s="101" t="str">
        <f>IF(ISTEXT(VLOOKUP(CONCATENATE($A56,"_",BA$3),'Unit List'!$A$14:$H$2838,2,FALSE)),"+","")</f>
        <v>+</v>
      </c>
      <c r="BB56" s="127" t="s">
        <v>0</v>
      </c>
      <c r="BC56" s="66" t="str">
        <f>IF(ISTEXT(VLOOKUP(CONCATENATE($A56,"_",BC$3),'Unit List'!$A$14:$H$2838,2,FALSE)),"X",$BA56)</f>
        <v>X</v>
      </c>
      <c r="BD56" s="100" t="str">
        <f>IF(ISTEXT(VLOOKUP(CONCATENATE($A56,"_",BD$3),'Unit List'!$A$14:$H$2838,2,FALSE)),"X",$BA56)</f>
        <v>X</v>
      </c>
      <c r="BE56" s="91" t="str">
        <f>IF(ISTEXT(VLOOKUP(CONCATENATE($A56,"_",BE$3),'Unit List'!$A$14:$H$2838,2,FALSE)),"+","")</f>
        <v>+</v>
      </c>
      <c r="BF56" s="147" t="s">
        <v>0</v>
      </c>
      <c r="BG56" s="111"/>
      <c r="BH56" s="112" t="s">
        <v>0</v>
      </c>
      <c r="BI56" s="264" t="s">
        <v>1921</v>
      </c>
      <c r="BJ56" s="265"/>
      <c r="BK56" s="265"/>
      <c r="BL56" s="265"/>
      <c r="BM56" s="266"/>
      <c r="BN56" s="81"/>
      <c r="BO56" s="81"/>
      <c r="BP56" s="81"/>
      <c r="BQ56" s="81"/>
      <c r="BR56" s="81"/>
      <c r="BS56" s="81"/>
      <c r="DZ56" s="82"/>
      <c r="EA56" s="82"/>
    </row>
    <row r="57" spans="1:131" ht="12.75" customHeight="1" x14ac:dyDescent="0.2">
      <c r="A57" s="83" t="s">
        <v>1160</v>
      </c>
      <c r="B57" s="59" t="str">
        <f>IF(ISTEXT(VLOOKUP(CONCATENATE($A57,"_",B$3),'Unit List'!$A$14:$H$2838,2,FALSE)),"+","")</f>
        <v/>
      </c>
      <c r="C57" s="84" t="str">
        <f>IF(ISTEXT(VLOOKUP(CONCATENATE($A57,"_",C$3),'Unit List'!$A$14:$H$2838,2,FALSE)),"X",$B57)</f>
        <v/>
      </c>
      <c r="D57" s="66" t="str">
        <f>IF(ISTEXT(VLOOKUP(CONCATENATE($A57,"_",D$3),'Unit List'!$A$14:$H$2838,2,FALSE)),"X",$B57)</f>
        <v/>
      </c>
      <c r="E57" s="66" t="str">
        <f>IF(ISTEXT(VLOOKUP(CONCATENATE($A57,"_",E$3),'Unit List'!$A$14:$H$2838,2,FALSE)),"X",$B57)</f>
        <v>X</v>
      </c>
      <c r="F57" s="66" t="str">
        <f>IF(ISTEXT(VLOOKUP(CONCATENATE($A57,"_",F$3),'Unit List'!$A$14:$H$2838,2,FALSE)),"X",$B57)</f>
        <v>X</v>
      </c>
      <c r="G57" s="66" t="str">
        <f>IF(ISTEXT(VLOOKUP(CONCATENATE($A57,"_",G$3),'Unit List'!$A$14:$H$2838,2,FALSE)),"X",$B57)</f>
        <v/>
      </c>
      <c r="H57" s="66" t="str">
        <f>IF(ISTEXT(VLOOKUP(CONCATENATE($A57,"_",H$3),'Unit List'!$A$14:$H$2838,2,FALSE)),"X",$B57)</f>
        <v/>
      </c>
      <c r="I57" s="74" t="str">
        <f>IF(ISTEXT(VLOOKUP(CONCATENATE($A57,"_",I$3),'Unit List'!$A$14:$H$2838,2,FALSE)),"X",$B57)</f>
        <v/>
      </c>
      <c r="J57" s="64" t="str">
        <f>IF(ISTEXT(VLOOKUP(CONCATENATE($A57,"_",J$3),'Unit List'!$A$14:$H$2838,2,FALSE)),"+","")</f>
        <v/>
      </c>
      <c r="K57" s="66" t="str">
        <f>IF(ISTEXT(VLOOKUP(CONCATENATE($A57,"_",K$3),'Unit List'!$A$14:$H$2838,2,FALSE)),"X",$J57)</f>
        <v/>
      </c>
      <c r="L57" s="89" t="str">
        <f>IF(ISTEXT(VLOOKUP(CONCATENATE($A57,"_",L$3),'Unit List'!$A$14:$H$2838,2,FALSE)),"X",$J57)</f>
        <v/>
      </c>
      <c r="M57" s="64" t="str">
        <f>IF(ISTEXT(VLOOKUP(CONCATENATE($A57,"_",M$3),'Unit List'!$A$14:$H$2838,2,FALSE)),"+","")</f>
        <v/>
      </c>
      <c r="N57" s="66" t="str">
        <f>IF(ISTEXT(VLOOKUP(CONCATENATE($A57,"_",N$3),'Unit List'!$A$14:$H$2838,2,FALSE)),"X",$M57)</f>
        <v/>
      </c>
      <c r="O57" s="74" t="str">
        <f>IF(ISTEXT(VLOOKUP(CONCATENATE($A57,"_",O$3),'Unit List'!$A$14:$H$2838,2,FALSE)),"X",$M57)</f>
        <v/>
      </c>
      <c r="P57" s="68" t="str">
        <f>IF(ISTEXT(VLOOKUP(CONCATENATE($A57,"_",P$3),'Unit List'!$A$14:$H$2838,2,FALSE)),"+","")</f>
        <v/>
      </c>
      <c r="Q57" s="66" t="str">
        <f>IF(ISTEXT(VLOOKUP(CONCATENATE($A57,"_",Q$3),'Unit List'!$A$14:$H$2838,2,FALSE)),"X",$P57)</f>
        <v/>
      </c>
      <c r="R57" s="66" t="str">
        <f>IF(ISTEXT(VLOOKUP(CONCATENATE($A57,"_",R$3),'Unit List'!$A$14:$H$2838,2,FALSE)),"X",$P57)</f>
        <v/>
      </c>
      <c r="S57" s="66" t="str">
        <f>IF(ISTEXT(VLOOKUP(CONCATENATE($A57,"_",S$3),'Unit List'!$A$14:$H$2838,2,FALSE)),"X",$P57)</f>
        <v/>
      </c>
      <c r="T57" s="69" t="str">
        <f>IF(ISTEXT(VLOOKUP(CONCATENATE($A57,"_",T$3),'Unit List'!$A$14:$H$2838,2,FALSE)),"X",$P57)</f>
        <v/>
      </c>
      <c r="U57" s="66" t="str">
        <f>IF(ISTEXT(VLOOKUP(CONCATENATE($A57,"_",U$3),'Unit List'!$A$14:$H$2838,2,FALSE)),"X",$P57)</f>
        <v/>
      </c>
      <c r="V57" s="66" t="str">
        <f>IF(ISTEXT(VLOOKUP(CONCATENATE($A57,"_",V$3),'Unit List'!$A$14:$H$2838,2,FALSE)),"X",$P57)</f>
        <v/>
      </c>
      <c r="W57" s="71" t="str">
        <f>IF(ISTEXT(VLOOKUP(CONCATENATE($A57,"_",W$3),'Unit List'!$A$14:$H$2838,2,FALSE)),"X",$P57)</f>
        <v/>
      </c>
      <c r="X57" s="68" t="str">
        <f>IF(ISTEXT(VLOOKUP(CONCATENATE($A57,"_",X$3),'Unit List'!$A$14:$H$2838,2,FALSE)),"+","")</f>
        <v/>
      </c>
      <c r="Y57" s="66" t="str">
        <f>IF(ISTEXT(VLOOKUP(CONCATENATE($A57,"_",Y$3),'Unit List'!$A$14:$H$2838,2,FALSE)),"X",$X57)</f>
        <v/>
      </c>
      <c r="Z57" s="66" t="str">
        <f>IF(ISTEXT(VLOOKUP(CONCATENATE($A57,"_",Z$3),'Unit List'!$A$14:$H$2838,2,FALSE)),"X",$X57)</f>
        <v/>
      </c>
      <c r="AA57" s="66" t="str">
        <f>IF(ISTEXT(VLOOKUP(CONCATENATE($A57,"_",AA$3),'Unit List'!$A$14:$H$2838,2,FALSE)),"X",$X57)</f>
        <v/>
      </c>
      <c r="AB57" s="66" t="str">
        <f>IF(ISTEXT(VLOOKUP(CONCATENATE($A57,"_",AB$3),'Unit List'!$A$14:$H$2838,2,FALSE)),"X",$X57)</f>
        <v/>
      </c>
      <c r="AC57" s="89" t="str">
        <f>IF(ISTEXT(VLOOKUP(CONCATENATE($A57,"_",AC$3),'Unit List'!$A$14:$H$2838,2,FALSE)),"X",$X57)</f>
        <v/>
      </c>
      <c r="AD57" s="68" t="str">
        <f>IF(ISTEXT(VLOOKUP(CONCATENATE($A57,"_",AD$3),'Unit List'!$A$14:$H$2838,2,FALSE)),"+","")</f>
        <v/>
      </c>
      <c r="AE57" s="66" t="str">
        <f>IF(ISTEXT(VLOOKUP(CONCATENATE($A57,"_",AE$3),'Unit List'!$A$14:$H$2838,2,FALSE)),"X",$AD57)</f>
        <v/>
      </c>
      <c r="AF57" s="72" t="str">
        <f>IF(ISTEXT(VLOOKUP(CONCATENATE($A57,"_",AF$3),'Unit List'!$A$14:$H$2838,2,FALSE)),"X",$AD57)</f>
        <v/>
      </c>
      <c r="AG57" s="68" t="str">
        <f>IF(ISTEXT(VLOOKUP(CONCATENATE($A57,"_",AG$3),'Unit List'!$A$14:$H$2838,2,FALSE)),"+","")</f>
        <v/>
      </c>
      <c r="AH57" s="66" t="str">
        <f>IF(ISTEXT(VLOOKUP(CONCATENATE($A57,"_",AH$3),'Unit List'!$A$14:$H$2838,2,FALSE)),"X",$AG57)</f>
        <v/>
      </c>
      <c r="AI57" s="66" t="str">
        <f>IF(ISTEXT(VLOOKUP(CONCATENATE($A57,"_",AI$3),'Unit List'!$A$14:$H$2838,2,FALSE)),"X",$AG57)</f>
        <v/>
      </c>
      <c r="AJ57" s="74" t="str">
        <f>IF(ISTEXT(VLOOKUP(CONCATENATE($A57,"_",AJ$3),'Unit List'!$A$14:$H$2838,2,FALSE)),"X",$AG57)</f>
        <v/>
      </c>
      <c r="AK57" s="64" t="str">
        <f>IF(ISTEXT(VLOOKUP(CONCATENATE($A57,"_",AK$3),'Unit List'!$A$14:$H$2838,2,FALSE)),"+","")</f>
        <v/>
      </c>
      <c r="AL57" s="69" t="str">
        <f>IF(ISTEXT(VLOOKUP(CONCATENATE($A57,"_",AL$3),'Unit List'!$A$14:$H$2838,2,FALSE)),"X",$AK57)</f>
        <v/>
      </c>
      <c r="AM57" s="74" t="str">
        <f>IF(ISTEXT(VLOOKUP(CONCATENATE($A57,"_",AM$3),'Unit List'!$A$14:$H$2838,2,FALSE)),"X",$AK57)</f>
        <v/>
      </c>
      <c r="AN57" s="91" t="str">
        <f>IF(ISTEXT(VLOOKUP(CONCATENATE($A57,"_",AN$3),'Unit List'!$A$14:$H$2838,2,FALSE)),"+","")</f>
        <v/>
      </c>
      <c r="AO57" s="74" t="str">
        <f>IF(ISTEXT(VLOOKUP(CONCATENATE($A57,"_",AO$3),'Unit List'!$A$14:$H$2838,2,FALSE)),"X",$AN57)</f>
        <v/>
      </c>
      <c r="AP57" s="68" t="str">
        <f>IF(ISTEXT(VLOOKUP(CONCATENATE($A57,"_",AP$3),'Unit List'!$A$14:$H$2838,2,FALSE)),"+","")</f>
        <v/>
      </c>
      <c r="AQ57" s="66" t="str">
        <f>IF(ISTEXT(VLOOKUP(CONCATENATE($A57,"_",AQ$3),'Unit List'!$A$14:$H$2838,2,FALSE)),"X",$AP57)</f>
        <v/>
      </c>
      <c r="AR57" s="66" t="str">
        <f>IF(ISTEXT(VLOOKUP(CONCATENATE($A57,"_",AR$3),'Unit List'!$A$14:$H$2838,2,FALSE)),"X",$AP57)</f>
        <v/>
      </c>
      <c r="AS57" s="66" t="str">
        <f>IF(ISTEXT(VLOOKUP(CONCATENATE($A57,"_",AS$3),'Unit List'!$A$14:$H$2838,2,FALSE)),"X",$AP57)</f>
        <v/>
      </c>
      <c r="AT57" s="74" t="str">
        <f>IF(ISTEXT(VLOOKUP(CONCATENATE($A57,"_",AT$3),'Unit List'!$A$14:$H$2838,2,FALSE)),"X",$AP57)</f>
        <v/>
      </c>
      <c r="AU57" s="77" t="str">
        <f>IF(ISTEXT(VLOOKUP(CONCATENATE($A57,"_",AU$3),'Unit List'!$A$14:$H$2838,2,FALSE)),"+","")</f>
        <v/>
      </c>
      <c r="AV57" s="66" t="str">
        <f>IF(ISTEXT(VLOOKUP(CONCATENATE($A57,"_",AV$3),'Unit List'!$A$14:$H$2838,2,FALSE)),"X",$AU57)</f>
        <v/>
      </c>
      <c r="AW57" s="74" t="str">
        <f>IF(ISTEXT(VLOOKUP(CONCATENATE($A57,"_",AW$3),'Unit List'!$A$14:$H$2838,2,FALSE)),"X",$AU57)</f>
        <v/>
      </c>
      <c r="AX57" s="68" t="str">
        <f>IF(ISTEXT(VLOOKUP(CONCATENATE($A57,"_",AX$3),'Unit List'!$A$14:$H$2838,2,FALSE)),"+","")</f>
        <v/>
      </c>
      <c r="AY57" s="66" t="str">
        <f>IF(ISTEXT(VLOOKUP(CONCATENATE($A57,"_",AY$3),'Unit List'!$A$14:$H$2838,2,FALSE)),"X",$AX57)</f>
        <v/>
      </c>
      <c r="AZ57" s="71" t="str">
        <f>IF(ISTEXT(VLOOKUP(CONCATENATE($A57,"_",AZ$3),'Unit List'!$A$14:$H$2838,2,FALSE)),"X",$AX57)</f>
        <v/>
      </c>
      <c r="BA57" s="78" t="str">
        <f>IF(ISTEXT(VLOOKUP(CONCATENATE($A57,"_",BA$3),'Unit List'!$A$14:$H$2838,2,FALSE)),"+","")</f>
        <v/>
      </c>
      <c r="BB57" s="66" t="str">
        <f>IF(ISTEXT(VLOOKUP(CONCATENATE($A57,"_",BB$3),'Unit List'!$A$14:$H$2838,2,FALSE)),"X",$BA57)</f>
        <v/>
      </c>
      <c r="BC57" s="66" t="str">
        <f>IF(ISTEXT(VLOOKUP(CONCATENATE($A57,"_",BC$3),'Unit List'!$A$14:$H$2838,2,FALSE)),"X",$BA57)</f>
        <v/>
      </c>
      <c r="BD57" s="74" t="str">
        <f>IF(ISTEXT(VLOOKUP(CONCATENATE($A57,"_",BD$3),'Unit List'!$A$14:$H$2838,2,FALSE)),"X",$BA57)</f>
        <v/>
      </c>
      <c r="BE57" s="91" t="str">
        <f>IF(ISTEXT(VLOOKUP(CONCATENATE($A57,"_",BE$3),'Unit List'!$A$14:$H$2838,2,FALSE)),"+","")</f>
        <v/>
      </c>
      <c r="BF57" s="89" t="str">
        <f>IF(ISTEXT(VLOOKUP(CONCATENATE($A57,"_",BF$3),'Unit List'!$A$14:$H$2838,2,FALSE)),"X",$BE57)</f>
        <v/>
      </c>
      <c r="BG57" s="111"/>
      <c r="BH57" s="121"/>
      <c r="BI57" s="264"/>
      <c r="BJ57" s="265"/>
      <c r="BK57" s="265"/>
      <c r="BL57" s="265"/>
      <c r="BM57" s="266"/>
      <c r="BN57" s="81"/>
      <c r="BO57" s="81"/>
      <c r="BP57" s="81"/>
      <c r="BQ57" s="81"/>
      <c r="BR57" s="81"/>
      <c r="BS57" s="81"/>
      <c r="DZ57" s="82"/>
      <c r="EA57" s="82"/>
    </row>
    <row r="58" spans="1:131" ht="12.75" customHeight="1" x14ac:dyDescent="0.2">
      <c r="A58" s="83" t="s">
        <v>1159</v>
      </c>
      <c r="B58" s="59" t="str">
        <f>IF(ISTEXT(VLOOKUP(CONCATENATE($A58,"_",B$3),'Unit List'!$A$14:$H$2838,2,FALSE)),"+","")</f>
        <v/>
      </c>
      <c r="C58" s="119" t="str">
        <f>IF(ISTEXT(VLOOKUP(CONCATENATE($A58,"_",C$3),'Unit List'!$A$14:$H$2838,2,FALSE)),"X",$B58)</f>
        <v>X</v>
      </c>
      <c r="D58" s="96" t="str">
        <f>IF(ISTEXT(VLOOKUP(CONCATENATE($A58,"_",D$3),'Unit List'!$A$14:$H$2838,2,FALSE)),"X",$B58)</f>
        <v>X</v>
      </c>
      <c r="E58" s="133" t="str">
        <f>IF(ISTEXT(VLOOKUP(CONCATENATE($A58,"_",E$3),'Unit List'!$A$14:$H$2838,2,FALSE)),"X",$B58)</f>
        <v>X</v>
      </c>
      <c r="F58" s="96" t="str">
        <f>IF(ISTEXT(VLOOKUP(CONCATENATE($A58,"_",F$3),'Unit List'!$A$14:$H$2838,2,FALSE)),"X",$B58)</f>
        <v>X</v>
      </c>
      <c r="G58" s="96" t="str">
        <f>IF(ISTEXT(VLOOKUP(CONCATENATE($A58,"_",G$3),'Unit List'!$A$14:$H$2838,2,FALSE)),"X",$B58)</f>
        <v>X</v>
      </c>
      <c r="H58" s="96" t="str">
        <f>IF(ISTEXT(VLOOKUP(CONCATENATE($A58,"_",H$3),'Unit List'!$A$14:$H$2838,2,FALSE)),"X",$B58)</f>
        <v>X</v>
      </c>
      <c r="I58" s="74" t="str">
        <f>IF(ISTEXT(VLOOKUP(CONCATENATE($A58,"_",I$3),'Unit List'!$A$14:$H$2838,2,FALSE)),"X",$B58)</f>
        <v/>
      </c>
      <c r="J58" s="64" t="str">
        <f>IF(ISTEXT(VLOOKUP(CONCATENATE($A58,"_",J$3),'Unit List'!$A$14:$H$2838,2,FALSE)),"+","")</f>
        <v/>
      </c>
      <c r="K58" s="66" t="str">
        <f>IF(ISTEXT(VLOOKUP(CONCATENATE($A58,"_",K$3),'Unit List'!$A$14:$H$2838,2,FALSE)),"X",$J58)</f>
        <v/>
      </c>
      <c r="L58" s="89" t="str">
        <f>IF(ISTEXT(VLOOKUP(CONCATENATE($A58,"_",L$3),'Unit List'!$A$14:$H$2838,2,FALSE)),"X",$J58)</f>
        <v/>
      </c>
      <c r="M58" s="64" t="str">
        <f>IF(ISTEXT(VLOOKUP(CONCATENATE($A58,"_",M$3),'Unit List'!$A$14:$H$2838,2,FALSE)),"+","")</f>
        <v>+</v>
      </c>
      <c r="N58" s="96" t="str">
        <f>IF(ISTEXT(VLOOKUP(CONCATENATE($A58,"_",N$3),'Unit List'!$A$14:$H$2838,2,FALSE)),"X",$M58)</f>
        <v>+</v>
      </c>
      <c r="O58" s="100" t="str">
        <f>IF(ISTEXT(VLOOKUP(CONCATENATE($A58,"_",O$3),'Unit List'!$A$14:$H$2838,2,FALSE)),"X",$M58)</f>
        <v>X</v>
      </c>
      <c r="P58" s="68" t="str">
        <f>IF(ISTEXT(VLOOKUP(CONCATENATE($A58,"_",P$3),'Unit List'!$A$14:$H$2838,2,FALSE)),"+","")</f>
        <v>+</v>
      </c>
      <c r="Q58" s="66" t="str">
        <f>IF(ISTEXT(VLOOKUP(CONCATENATE($A58,"_",Q$3),'Unit List'!$A$14:$H$2838,2,FALSE)),"X",$P58)</f>
        <v>+</v>
      </c>
      <c r="R58" s="66" t="str">
        <f>IF(ISTEXT(VLOOKUP(CONCATENATE($A58,"_",R$3),'Unit List'!$A$14:$H$2838,2,FALSE)),"X",$P58)</f>
        <v>+</v>
      </c>
      <c r="S58" s="66" t="str">
        <f>IF(ISTEXT(VLOOKUP(CONCATENATE($A58,"_",S$3),'Unit List'!$A$14:$H$2838,2,FALSE)),"X",$P58)</f>
        <v>+</v>
      </c>
      <c r="T58" s="69" t="str">
        <f>IF(ISTEXT(VLOOKUP(CONCATENATE($A58,"_",T$3),'Unit List'!$A$14:$H$2838,2,FALSE)),"X",$P58)</f>
        <v>+</v>
      </c>
      <c r="U58" s="96" t="str">
        <f>IF(ISTEXT(VLOOKUP(CONCATENATE($A58,"_",U$3),'Unit List'!$A$14:$H$2838,2,FALSE)),"X",$P58)</f>
        <v>X</v>
      </c>
      <c r="V58" s="66" t="str">
        <f>IF(ISTEXT(VLOOKUP(CONCATENATE($A58,"_",V$3),'Unit List'!$A$14:$H$2838,2,FALSE)),"X",$P58)</f>
        <v>+</v>
      </c>
      <c r="W58" s="71" t="str">
        <f>IF(ISTEXT(VLOOKUP(CONCATENATE($A58,"_",W$3),'Unit List'!$A$14:$H$2838,2,FALSE)),"X",$P58)</f>
        <v>+</v>
      </c>
      <c r="X58" s="68" t="str">
        <f>IF(ISTEXT(VLOOKUP(CONCATENATE($A58,"_",X$3),'Unit List'!$A$14:$H$2838,2,FALSE)),"+","")</f>
        <v/>
      </c>
      <c r="Y58" s="66" t="str">
        <f>IF(ISTEXT(VLOOKUP(CONCATENATE($A58,"_",Y$3),'Unit List'!$A$14:$H$2838,2,FALSE)),"X",$X58)</f>
        <v/>
      </c>
      <c r="Z58" s="66" t="str">
        <f>IF(ISTEXT(VLOOKUP(CONCATENATE($A58,"_",Z$3),'Unit List'!$A$14:$H$2838,2,FALSE)),"X",$X58)</f>
        <v/>
      </c>
      <c r="AA58" s="66" t="str">
        <f>IF(ISTEXT(VLOOKUP(CONCATENATE($A58,"_",AA$3),'Unit List'!$A$14:$H$2838,2,FALSE)),"X",$X58)</f>
        <v/>
      </c>
      <c r="AB58" s="66" t="str">
        <f>IF(ISTEXT(VLOOKUP(CONCATENATE($A58,"_",AB$3),'Unit List'!$A$14:$H$2838,2,FALSE)),"X",$X58)</f>
        <v/>
      </c>
      <c r="AC58" s="89" t="str">
        <f>IF(ISTEXT(VLOOKUP(CONCATENATE($A58,"_",AC$3),'Unit List'!$A$14:$H$2838,2,FALSE)),"X",$X58)</f>
        <v/>
      </c>
      <c r="AD58" s="68" t="str">
        <f>IF(ISTEXT(VLOOKUP(CONCATENATE($A58,"_",AD$3),'Unit List'!$A$14:$H$2838,2,FALSE)),"+","")</f>
        <v/>
      </c>
      <c r="AE58" s="66" t="str">
        <f>IF(ISTEXT(VLOOKUP(CONCATENATE($A58,"_",AE$3),'Unit List'!$A$14:$H$2838,2,FALSE)),"X",$AD58)</f>
        <v/>
      </c>
      <c r="AF58" s="72" t="str">
        <f>IF(ISTEXT(VLOOKUP(CONCATENATE($A58,"_",AF$3),'Unit List'!$A$14:$H$2838,2,FALSE)),"X",$AD58)</f>
        <v/>
      </c>
      <c r="AG58" s="68" t="str">
        <f>IF(ISTEXT(VLOOKUP(CONCATENATE($A58,"_",AG$3),'Unit List'!$A$14:$H$2838,2,FALSE)),"+","")</f>
        <v/>
      </c>
      <c r="AH58" s="66" t="str">
        <f>IF(ISTEXT(VLOOKUP(CONCATENATE($A58,"_",AH$3),'Unit List'!$A$14:$H$2838,2,FALSE)),"X",$AG58)</f>
        <v/>
      </c>
      <c r="AI58" s="66" t="str">
        <f>IF(ISTEXT(VLOOKUP(CONCATENATE($A58,"_",AI$3),'Unit List'!$A$14:$H$2838,2,FALSE)),"X",$AG58)</f>
        <v/>
      </c>
      <c r="AJ58" s="74" t="str">
        <f>IF(ISTEXT(VLOOKUP(CONCATENATE($A58,"_",AJ$3),'Unit List'!$A$14:$H$2838,2,FALSE)),"X",$AG58)</f>
        <v/>
      </c>
      <c r="AK58" s="64" t="str">
        <f>IF(ISTEXT(VLOOKUP(CONCATENATE($A58,"_",AK$3),'Unit List'!$A$14:$H$2838,2,FALSE)),"+","")</f>
        <v>+</v>
      </c>
      <c r="AL58" s="124" t="str">
        <f>IF(ISTEXT(VLOOKUP(CONCATENATE($A58,"_",AL$3),'Unit List'!$A$14:$H$2838,2,FALSE)),"X",$AK58)</f>
        <v>X</v>
      </c>
      <c r="AM58" s="74" t="str">
        <f>IF(ISTEXT(VLOOKUP(CONCATENATE($A58,"_",AM$3),'Unit List'!$A$14:$H$2838,2,FALSE)),"X",$AK58)</f>
        <v>X</v>
      </c>
      <c r="AN58" s="91" t="str">
        <f>IF(ISTEXT(VLOOKUP(CONCATENATE($A58,"_",AN$3),'Unit List'!$A$14:$H$2838,2,FALSE)),"+","")</f>
        <v>+</v>
      </c>
      <c r="AO58" s="74" t="str">
        <f>IF(ISTEXT(VLOOKUP(CONCATENATE($A58,"_",AO$3),'Unit List'!$A$14:$H$2838,2,FALSE)),"X",$AN58)</f>
        <v>+</v>
      </c>
      <c r="AP58" s="68" t="str">
        <f>IF(ISTEXT(VLOOKUP(CONCATENATE($A58,"_",AP$3),'Unit List'!$A$14:$H$2838,2,FALSE)),"+","")</f>
        <v>+</v>
      </c>
      <c r="AQ58" s="96" t="str">
        <f>IF(ISTEXT(VLOOKUP(CONCATENATE($A58,"_",AQ$3),'Unit List'!$A$14:$H$2838,2,FALSE)),"X",$AP58)</f>
        <v>X</v>
      </c>
      <c r="AR58" s="96" t="str">
        <f>IF(ISTEXT(VLOOKUP(CONCATENATE($A58,"_",AR$3),'Unit List'!$A$14:$H$2838,2,FALSE)),"X",$AP58)</f>
        <v>X</v>
      </c>
      <c r="AS58" s="66" t="str">
        <f>IF(ISTEXT(VLOOKUP(CONCATENATE($A58,"_",AS$3),'Unit List'!$A$14:$H$2838,2,FALSE)),"X",$AP58)</f>
        <v>+</v>
      </c>
      <c r="AT58" s="74" t="str">
        <f>IF(ISTEXT(VLOOKUP(CONCATENATE($A58,"_",AT$3),'Unit List'!$A$14:$H$2838,2,FALSE)),"X",$AP58)</f>
        <v>+</v>
      </c>
      <c r="AU58" s="77" t="str">
        <f>IF(ISTEXT(VLOOKUP(CONCATENATE($A58,"_",AU$3),'Unit List'!$A$14:$H$2838,2,FALSE)),"+","")</f>
        <v/>
      </c>
      <c r="AV58" s="66" t="str">
        <f>IF(ISTEXT(VLOOKUP(CONCATENATE($A58,"_",AV$3),'Unit List'!$A$14:$H$2838,2,FALSE)),"X",$AU58)</f>
        <v/>
      </c>
      <c r="AW58" s="74" t="str">
        <f>IF(ISTEXT(VLOOKUP(CONCATENATE($A58,"_",AW$3),'Unit List'!$A$14:$H$2838,2,FALSE)),"X",$AU58)</f>
        <v/>
      </c>
      <c r="AX58" s="68" t="str">
        <f>IF(ISTEXT(VLOOKUP(CONCATENATE($A58,"_",AX$3),'Unit List'!$A$14:$H$2838,2,FALSE)),"+","")</f>
        <v>+</v>
      </c>
      <c r="AY58" s="133" t="str">
        <f>IF(ISTEXT(VLOOKUP(CONCATENATE($A58,"_",AY$3),'Unit List'!$A$14:$H$2838,2,FALSE)),"X",$AX58)</f>
        <v>+</v>
      </c>
      <c r="AZ58" s="134" t="str">
        <f>IF(ISTEXT(VLOOKUP(CONCATENATE($A58,"_",AZ$3),'Unit List'!$A$14:$H$2838,2,FALSE)),"X",$AX58)</f>
        <v>+</v>
      </c>
      <c r="BA58" s="78" t="str">
        <f>IF(ISTEXT(VLOOKUP(CONCATENATE($A58,"_",BA$3),'Unit List'!$A$14:$H$2838,2,FALSE)),"+","")</f>
        <v>+</v>
      </c>
      <c r="BB58" s="66" t="str">
        <f>IF(ISTEXT(VLOOKUP(CONCATENATE($A58,"_",BB$3),'Unit List'!$A$14:$H$2838,2,FALSE)),"X",$BA58)</f>
        <v>+</v>
      </c>
      <c r="BC58" s="66" t="str">
        <f>IF(ISTEXT(VLOOKUP(CONCATENATE($A58,"_",BC$3),'Unit List'!$A$14:$H$2838,2,FALSE)),"X",$BA58)</f>
        <v>+</v>
      </c>
      <c r="BD58" s="74" t="str">
        <f>IF(ISTEXT(VLOOKUP(CONCATENATE($A58,"_",BD$3),'Unit List'!$A$14:$H$2838,2,FALSE)),"X",$BA58)</f>
        <v>+</v>
      </c>
      <c r="BE58" s="91" t="str">
        <f>IF(ISTEXT(VLOOKUP(CONCATENATE($A58,"_",BE$3),'Unit List'!$A$14:$H$2838,2,FALSE)),"+","")</f>
        <v/>
      </c>
      <c r="BF58" s="135" t="str">
        <f>IF(ISTEXT(VLOOKUP(CONCATENATE($A58,"_",BF$3),'Unit List'!$A$14:$H$2838,2,FALSE)),"X",$BE58)</f>
        <v/>
      </c>
      <c r="BG58" s="111"/>
      <c r="BH58" s="121"/>
      <c r="BI58" s="264"/>
      <c r="BJ58" s="265"/>
      <c r="BK58" s="265"/>
      <c r="BL58" s="265"/>
      <c r="BM58" s="266"/>
      <c r="BN58" s="81"/>
      <c r="BO58" s="81"/>
      <c r="BP58" s="81"/>
      <c r="BQ58" s="81"/>
      <c r="BR58" s="81"/>
      <c r="BS58" s="81"/>
      <c r="DZ58" s="82"/>
      <c r="EA58" s="82"/>
    </row>
    <row r="59" spans="1:131" ht="12.75" customHeight="1" x14ac:dyDescent="0.2">
      <c r="A59" s="83" t="s">
        <v>1158</v>
      </c>
      <c r="B59" s="59" t="str">
        <f>IF(ISTEXT(VLOOKUP(CONCATENATE($A59,"_",B$3),'Unit List'!$A$14:$H$2838,2,FALSE)),"+","")</f>
        <v/>
      </c>
      <c r="C59" s="119" t="str">
        <f>IF(ISTEXT(VLOOKUP(CONCATENATE($A59,"_",C$3),'Unit List'!$A$14:$H$2838,2,FALSE)),"X",$B59)</f>
        <v>X</v>
      </c>
      <c r="D59" s="96" t="str">
        <f>IF(ISTEXT(VLOOKUP(CONCATENATE($A59,"_",D$3),'Unit List'!$A$14:$H$2838,2,FALSE)),"X",$B59)</f>
        <v>X</v>
      </c>
      <c r="E59" s="133" t="str">
        <f>IF(ISTEXT(VLOOKUP(CONCATENATE($A59,"_",E$3),'Unit List'!$A$14:$H$2838,2,FALSE)),"X",$B59)</f>
        <v>X</v>
      </c>
      <c r="F59" s="96" t="str">
        <f>IF(ISTEXT(VLOOKUP(CONCATENATE($A59,"_",F$3),'Unit List'!$A$14:$H$2838,2,FALSE)),"X",$B59)</f>
        <v>X</v>
      </c>
      <c r="G59" s="96" t="str">
        <f>IF(ISTEXT(VLOOKUP(CONCATENATE($A59,"_",G$3),'Unit List'!$A$14:$H$2838,2,FALSE)),"X",$B59)</f>
        <v>X</v>
      </c>
      <c r="H59" s="96" t="str">
        <f>IF(ISTEXT(VLOOKUP(CONCATENATE($A59,"_",H$3),'Unit List'!$A$14:$H$2838,2,FALSE)),"X",$B59)</f>
        <v>X</v>
      </c>
      <c r="I59" s="74" t="str">
        <f>IF(ISTEXT(VLOOKUP(CONCATENATE($A59,"_",I$3),'Unit List'!$A$14:$H$2838,2,FALSE)),"X",$B59)</f>
        <v/>
      </c>
      <c r="J59" s="64" t="str">
        <f>IF(ISTEXT(VLOOKUP(CONCATENATE($A59,"_",J$3),'Unit List'!$A$14:$H$2838,2,FALSE)),"+","")</f>
        <v/>
      </c>
      <c r="K59" s="66" t="str">
        <f>IF(ISTEXT(VLOOKUP(CONCATENATE($A59,"_",K$3),'Unit List'!$A$14:$H$2838,2,FALSE)),"X",$J59)</f>
        <v/>
      </c>
      <c r="L59" s="89" t="str">
        <f>IF(ISTEXT(VLOOKUP(CONCATENATE($A59,"_",L$3),'Unit List'!$A$14:$H$2838,2,FALSE)),"X",$J59)</f>
        <v/>
      </c>
      <c r="M59" s="68" t="str">
        <f>IF(ISTEXT(VLOOKUP(CONCATENATE($A59,"_",M$3),'Unit List'!$A$14:$H$2838,2,FALSE)),"+","")</f>
        <v>+</v>
      </c>
      <c r="N59" s="133" t="str">
        <f>IF(ISTEXT(VLOOKUP(CONCATENATE($A59,"_",N$3),'Unit List'!$A$14:$H$2838,2,FALSE)),"X",$M59)</f>
        <v>+</v>
      </c>
      <c r="O59" s="100" t="str">
        <f>IF(ISTEXT(VLOOKUP(CONCATENATE($A59,"_",O$3),'Unit List'!$A$14:$H$2838,2,FALSE)),"X",$M59)</f>
        <v>+</v>
      </c>
      <c r="P59" s="68" t="str">
        <f>IF(ISTEXT(VLOOKUP(CONCATENATE($A59,"_",P$3),'Unit List'!$A$14:$H$2838,2,FALSE)),"+","")</f>
        <v>+</v>
      </c>
      <c r="Q59" s="133" t="str">
        <f>IF(ISTEXT(VLOOKUP(CONCATENATE($A59,"_",Q$3),'Unit List'!$A$14:$H$2838,2,FALSE)),"X",$P59)</f>
        <v>+</v>
      </c>
      <c r="R59" s="133" t="str">
        <f>IF(ISTEXT(VLOOKUP(CONCATENATE($A59,"_",R$3),'Unit List'!$A$14:$H$2838,2,FALSE)),"X",$P59)</f>
        <v>+</v>
      </c>
      <c r="S59" s="96" t="str">
        <f>IF(ISTEXT(VLOOKUP(CONCATENATE($A59,"_",S$3),'Unit List'!$A$14:$H$2838,2,FALSE)),"X",$P59)</f>
        <v>+</v>
      </c>
      <c r="T59" s="150" t="str">
        <f>IF(ISTEXT(VLOOKUP(CONCATENATE($A59,"_",T$3),'Unit List'!$A$14:$H$2838,2,FALSE)),"X",$P59)</f>
        <v>+</v>
      </c>
      <c r="U59" s="96" t="str">
        <f>IF(ISTEXT(VLOOKUP(CONCATENATE($A59,"_",U$3),'Unit List'!$A$14:$H$2838,2,FALSE)),"X",$P59)</f>
        <v>X</v>
      </c>
      <c r="V59" s="133" t="str">
        <f>IF(ISTEXT(VLOOKUP(CONCATENATE($A59,"_",V$3),'Unit List'!$A$14:$H$2838,2,FALSE)),"X",$P59)</f>
        <v>+</v>
      </c>
      <c r="W59" s="134" t="str">
        <f>IF(ISTEXT(VLOOKUP(CONCATENATE($A59,"_",W$3),'Unit List'!$A$14:$H$2838,2,FALSE)),"X",$P59)</f>
        <v>+</v>
      </c>
      <c r="X59" s="68" t="str">
        <f>IF(ISTEXT(VLOOKUP(CONCATENATE($A59,"_",X$3),'Unit List'!$A$14:$H$2838,2,FALSE)),"+","")</f>
        <v>+</v>
      </c>
      <c r="Y59" s="95" t="str">
        <f>IF(ISTEXT(VLOOKUP(CONCATENATE($A59,"_",Y$3),'Unit List'!$A$14:$H$2838,2,FALSE)),"X",$X59)</f>
        <v>+</v>
      </c>
      <c r="Z59" s="133" t="str">
        <f>IF(ISTEXT(VLOOKUP(CONCATENATE($A59,"_",Z$3),'Unit List'!$A$14:$H$2838,2,FALSE)),"X",$X59)</f>
        <v>+</v>
      </c>
      <c r="AA59" s="133" t="str">
        <f>IF(ISTEXT(VLOOKUP(CONCATENATE($A59,"_",AA$3),'Unit List'!$A$14:$H$2838,2,FALSE)),"X",$X59)</f>
        <v>+</v>
      </c>
      <c r="AB59" s="133" t="str">
        <f>IF(ISTEXT(VLOOKUP(CONCATENATE($A59,"_",AB$3),'Unit List'!$A$14:$H$2838,2,FALSE)),"X",$X59)</f>
        <v>+</v>
      </c>
      <c r="AC59" s="135" t="str">
        <f>IF(ISTEXT(VLOOKUP(CONCATENATE($A59,"_",AC$3),'Unit List'!$A$14:$H$2838,2,FALSE)),"X",$X59)</f>
        <v>+</v>
      </c>
      <c r="AD59" s="68" t="str">
        <f>IF(ISTEXT(VLOOKUP(CONCATENATE($A59,"_",AD$3),'Unit List'!$A$14:$H$2838,2,FALSE)),"+","")</f>
        <v/>
      </c>
      <c r="AE59" s="66" t="str">
        <f>IF(ISTEXT(VLOOKUP(CONCATENATE($A59,"_",AE$3),'Unit List'!$A$14:$H$2838,2,FALSE)),"X",$AD59)</f>
        <v/>
      </c>
      <c r="AF59" s="72" t="str">
        <f>IF(ISTEXT(VLOOKUP(CONCATENATE($A59,"_",AF$3),'Unit List'!$A$14:$H$2838,2,FALSE)),"X",$AD59)</f>
        <v/>
      </c>
      <c r="AG59" s="68" t="str">
        <f>IF(ISTEXT(VLOOKUP(CONCATENATE($A59,"_",AG$3),'Unit List'!$A$14:$H$2838,2,FALSE)),"+","")</f>
        <v/>
      </c>
      <c r="AH59" s="66" t="str">
        <f>IF(ISTEXT(VLOOKUP(CONCATENATE($A59,"_",AH$3),'Unit List'!$A$14:$H$2838,2,FALSE)),"X",$AG59)</f>
        <v/>
      </c>
      <c r="AI59" s="66" t="str">
        <f>IF(ISTEXT(VLOOKUP(CONCATENATE($A59,"_",AI$3),'Unit List'!$A$14:$H$2838,2,FALSE)),"X",$AG59)</f>
        <v/>
      </c>
      <c r="AJ59" s="74" t="str">
        <f>IF(ISTEXT(VLOOKUP(CONCATENATE($A59,"_",AJ$3),'Unit List'!$A$14:$H$2838,2,FALSE)),"X",$AG59)</f>
        <v/>
      </c>
      <c r="AK59" s="68" t="str">
        <f>IF(ISTEXT(VLOOKUP(CONCATENATE($A59,"_",AK$3),'Unit List'!$A$14:$H$2838,2,FALSE)),"+","")</f>
        <v>+</v>
      </c>
      <c r="AL59" s="150" t="str">
        <f>IF(ISTEXT(VLOOKUP(CONCATENATE($A59,"_",AL$3),'Unit List'!$A$14:$H$2838,2,FALSE)),"X",$AK59)</f>
        <v>X</v>
      </c>
      <c r="AM59" s="100" t="str">
        <f>IF(ISTEXT(VLOOKUP(CONCATENATE($A59,"_",AM$3),'Unit List'!$A$14:$H$2838,2,FALSE)),"X",$AK59)</f>
        <v>+</v>
      </c>
      <c r="AN59" s="91" t="str">
        <f>IF(ISTEXT(VLOOKUP(CONCATENATE($A59,"_",AN$3),'Unit List'!$A$14:$H$2838,2,FALSE)),"+","")</f>
        <v>+</v>
      </c>
      <c r="AO59" s="241" t="str">
        <f>IF(ISTEXT(VLOOKUP(CONCATENATE($A59,"_",AO$3),'Unit List'!$A$14:$H$2838,2,FALSE)),"X",$AN59)</f>
        <v>+</v>
      </c>
      <c r="AP59" s="68" t="str">
        <f>IF(ISTEXT(VLOOKUP(CONCATENATE($A59,"_",AP$3),'Unit List'!$A$14:$H$2838,2,FALSE)),"+","")</f>
        <v/>
      </c>
      <c r="AQ59" s="66" t="str">
        <f>IF(ISTEXT(VLOOKUP(CONCATENATE($A59,"_",AQ$3),'Unit List'!$A$14:$H$2838,2,FALSE)),"X",$AP59)</f>
        <v/>
      </c>
      <c r="AR59" s="96" t="str">
        <f>IF(ISTEXT(VLOOKUP(CONCATENATE($A59,"_",AR$3),'Unit List'!$A$14:$H$2838,2,FALSE)),"X",$AP59)</f>
        <v>X</v>
      </c>
      <c r="AS59" s="66" t="str">
        <f>IF(ISTEXT(VLOOKUP(CONCATENATE($A59,"_",AS$3),'Unit List'!$A$14:$H$2838,2,FALSE)),"X",$AP59)</f>
        <v/>
      </c>
      <c r="AT59" s="74" t="str">
        <f>IF(ISTEXT(VLOOKUP(CONCATENATE($A59,"_",AT$3),'Unit List'!$A$14:$H$2838,2,FALSE)),"X",$AP59)</f>
        <v/>
      </c>
      <c r="AU59" s="77" t="str">
        <f>IF(ISTEXT(VLOOKUP(CONCATENATE($A59,"_",AU$3),'Unit List'!$A$14:$H$2838,2,FALSE)),"+","")</f>
        <v/>
      </c>
      <c r="AV59" s="66" t="str">
        <f>IF(ISTEXT(VLOOKUP(CONCATENATE($A59,"_",AV$3),'Unit List'!$A$14:$H$2838,2,FALSE)),"X",$AU59)</f>
        <v/>
      </c>
      <c r="AW59" s="74" t="str">
        <f>IF(ISTEXT(VLOOKUP(CONCATENATE($A59,"_",AW$3),'Unit List'!$A$14:$H$2838,2,FALSE)),"X",$AU59)</f>
        <v/>
      </c>
      <c r="AX59" s="101" t="str">
        <f>IF(ISTEXT(VLOOKUP(CONCATENATE($A59,"_",AX$3),'Unit List'!$A$14:$H$2838,2,FALSE)),"+","")</f>
        <v>+</v>
      </c>
      <c r="AY59" s="95" t="str">
        <f>IF(ISTEXT(VLOOKUP(CONCATENATE($A59,"_",AY$3),'Unit List'!$A$14:$H$2838,2,FALSE)),"X",$AX59)</f>
        <v>+</v>
      </c>
      <c r="AZ59" s="241" t="str">
        <f>IF(ISTEXT(VLOOKUP(CONCATENATE($A59,"_",AZ$3),'Unit List'!$A$14:$H$2838,2,FALSE)),"X",$AX59)</f>
        <v>+</v>
      </c>
      <c r="BA59" s="78" t="str">
        <f>IF(ISTEXT(VLOOKUP(CONCATENATE($A59,"_",BA$3),'Unit List'!$A$14:$H$2838,2,FALSE)),"+","")</f>
        <v/>
      </c>
      <c r="BB59" s="66" t="str">
        <f>IF(ISTEXT(VLOOKUP(CONCATENATE($A59,"_",BB$3),'Unit List'!$A$14:$H$2838,2,FALSE)),"X",$BA59)</f>
        <v/>
      </c>
      <c r="BC59" s="66" t="str">
        <f>IF(ISTEXT(VLOOKUP(CONCATENATE($A59,"_",BC$3),'Unit List'!$A$14:$H$2838,2,FALSE)),"X",$BA59)</f>
        <v/>
      </c>
      <c r="BD59" s="74" t="str">
        <f>IF(ISTEXT(VLOOKUP(CONCATENATE($A59,"_",BD$3),'Unit List'!$A$14:$H$2838,2,FALSE)),"X",$BA59)</f>
        <v/>
      </c>
      <c r="BE59" s="91" t="str">
        <f>IF(ISTEXT(VLOOKUP(CONCATENATE($A59,"_",BE$3),'Unit List'!$A$14:$H$2838,2,FALSE)),"+","")</f>
        <v/>
      </c>
      <c r="BF59" s="89" t="str">
        <f>IF(ISTEXT(VLOOKUP(CONCATENATE($A59,"_",BF$3),'Unit List'!$A$14:$H$2838,2,FALSE)),"X",$BE59)</f>
        <v/>
      </c>
      <c r="BG59" s="111"/>
      <c r="BH59" s="121"/>
      <c r="BI59" s="264" t="s">
        <v>10</v>
      </c>
      <c r="BJ59" s="265"/>
      <c r="BK59" s="265"/>
      <c r="BL59" s="265"/>
      <c r="BM59" s="266"/>
      <c r="BN59" s="81"/>
      <c r="BO59" s="81"/>
      <c r="BP59" s="81"/>
      <c r="BQ59" s="81"/>
      <c r="BR59" s="81"/>
      <c r="BS59" s="81"/>
      <c r="DZ59" s="82"/>
      <c r="EA59" s="82"/>
    </row>
    <row r="60" spans="1:131" ht="12.75" customHeight="1" x14ac:dyDescent="0.2">
      <c r="A60" s="83" t="s">
        <v>1157</v>
      </c>
      <c r="B60" s="59" t="str">
        <f>IF(ISTEXT(VLOOKUP(CONCATENATE($A60,"_",B$3),'Unit List'!$A$14:$H$2838,2,FALSE)),"+","")</f>
        <v/>
      </c>
      <c r="C60" s="119" t="str">
        <f>IF(ISTEXT(VLOOKUP(CONCATENATE($A60,"_",C$3),'Unit List'!$A$14:$H$2838,2,FALSE)),"X",$B60)</f>
        <v>X</v>
      </c>
      <c r="D60" s="96" t="str">
        <f>IF(ISTEXT(VLOOKUP(CONCATENATE($A60,"_",D$3),'Unit List'!$A$14:$H$2838,2,FALSE)),"X",$B60)</f>
        <v>X</v>
      </c>
      <c r="E60" s="133" t="str">
        <f>IF(ISTEXT(VLOOKUP(CONCATENATE($A60,"_",E$3),'Unit List'!$A$14:$H$2838,2,FALSE)),"X",$B60)</f>
        <v>X</v>
      </c>
      <c r="F60" s="96" t="str">
        <f>IF(ISTEXT(VLOOKUP(CONCATENATE($A60,"_",F$3),'Unit List'!$A$14:$H$2838,2,FALSE)),"X",$B60)</f>
        <v>X</v>
      </c>
      <c r="G60" s="96" t="str">
        <f>IF(ISTEXT(VLOOKUP(CONCATENATE($A60,"_",G$3),'Unit List'!$A$14:$H$2838,2,FALSE)),"X",$B60)</f>
        <v>X</v>
      </c>
      <c r="H60" s="96" t="str">
        <f>IF(ISTEXT(VLOOKUP(CONCATENATE($A60,"_",H$3),'Unit List'!$A$14:$H$2838,2,FALSE)),"X",$B60)</f>
        <v>X</v>
      </c>
      <c r="I60" s="74" t="str">
        <f>IF(ISTEXT(VLOOKUP(CONCATENATE($A60,"_",I$3),'Unit List'!$A$14:$H$2838,2,FALSE)),"X",$B60)</f>
        <v/>
      </c>
      <c r="J60" s="97" t="str">
        <f>IF(ISTEXT(VLOOKUP(CONCATENATE($A60,"_",J$3),'Unit List'!$A$14:$H$2838,2,FALSE)),"+","")</f>
        <v/>
      </c>
      <c r="K60" s="66" t="str">
        <f>IF(ISTEXT(VLOOKUP(CONCATENATE($A60,"_",K$3),'Unit List'!$A$14:$H$2838,2,FALSE)),"X",$J60)</f>
        <v/>
      </c>
      <c r="L60" s="123" t="str">
        <f>IF(ISTEXT(VLOOKUP(CONCATENATE($A60,"_",L$3),'Unit List'!$A$14:$H$2838,2,FALSE)),"X",$J60)</f>
        <v>X</v>
      </c>
      <c r="M60" s="97" t="str">
        <f>IF(ISTEXT(VLOOKUP(CONCATENATE($A60,"_",M$3),'Unit List'!$A$14:$H$2838,2,FALSE)),"+","")</f>
        <v>+</v>
      </c>
      <c r="N60" s="96" t="str">
        <f>IF(ISTEXT(VLOOKUP(CONCATENATE($A60,"_",N$3),'Unit List'!$A$14:$H$2838,2,FALSE)),"X",$M60)</f>
        <v>X</v>
      </c>
      <c r="O60" s="100" t="str">
        <f>IF(ISTEXT(VLOOKUP(CONCATENATE($A60,"_",O$3),'Unit List'!$A$14:$H$2838,2,FALSE)),"X",$M60)</f>
        <v>X</v>
      </c>
      <c r="P60" s="68" t="str">
        <f>IF(ISTEXT(VLOOKUP(CONCATENATE($A60,"_",P$3),'Unit List'!$A$14:$H$2838,2,FALSE)),"+","")</f>
        <v/>
      </c>
      <c r="Q60" s="72" t="str">
        <f>IF(ISTEXT(VLOOKUP(CONCATENATE($A60,"_",Q$3),'Unit List'!$A$14:$H$2838,2,FALSE)),"X",$P60)</f>
        <v>X</v>
      </c>
      <c r="R60" s="66" t="str">
        <f>IF(ISTEXT(VLOOKUP(CONCATENATE($A60,"_",R$3),'Unit List'!$A$14:$H$2838,2,FALSE)),"X",$P60)</f>
        <v/>
      </c>
      <c r="S60" s="96" t="str">
        <f>IF(ISTEXT(VLOOKUP(CONCATENATE($A60,"_",S$3),'Unit List'!$A$14:$H$2838,2,FALSE)),"X",$P60)</f>
        <v>X</v>
      </c>
      <c r="T60" s="69" t="str">
        <f>IF(ISTEXT(VLOOKUP(CONCATENATE($A60,"_",T$3),'Unit List'!$A$14:$H$2838,2,FALSE)),"X",$P60)</f>
        <v/>
      </c>
      <c r="U60" s="96" t="str">
        <f>IF(ISTEXT(VLOOKUP(CONCATENATE($A60,"_",U$3),'Unit List'!$A$14:$H$2838,2,FALSE)),"X",$P60)</f>
        <v>X</v>
      </c>
      <c r="V60" s="66" t="str">
        <f>IF(ISTEXT(VLOOKUP(CONCATENATE($A60,"_",V$3),'Unit List'!$A$14:$H$2838,2,FALSE)),"X",$P60)</f>
        <v>X</v>
      </c>
      <c r="W60" s="71" t="str">
        <f>IF(ISTEXT(VLOOKUP(CONCATENATE($A60,"_",W$3),'Unit List'!$A$14:$H$2838,2,FALSE)),"X",$P60)</f>
        <v/>
      </c>
      <c r="X60" s="68" t="str">
        <f>IF(ISTEXT(VLOOKUP(CONCATENATE($A60,"_",X$3),'Unit List'!$A$14:$H$2838,2,FALSE)),"+","")</f>
        <v/>
      </c>
      <c r="Y60" s="66" t="str">
        <f>IF(ISTEXT(VLOOKUP(CONCATENATE($A60,"_",Y$3),'Unit List'!$A$14:$H$2838,2,FALSE)),"X",$X60)</f>
        <v/>
      </c>
      <c r="Z60" s="66" t="str">
        <f>IF(ISTEXT(VLOOKUP(CONCATENATE($A60,"_",Z$3),'Unit List'!$A$14:$H$2838,2,FALSE)),"X",$X60)</f>
        <v/>
      </c>
      <c r="AA60" s="66" t="str">
        <f>IF(ISTEXT(VLOOKUP(CONCATENATE($A60,"_",AA$3),'Unit List'!$A$14:$H$2838,2,FALSE)),"X",$X60)</f>
        <v/>
      </c>
      <c r="AB60" s="66" t="str">
        <f>IF(ISTEXT(VLOOKUP(CONCATENATE($A60,"_",AB$3),'Unit List'!$A$14:$H$2838,2,FALSE)),"X",$X60)</f>
        <v/>
      </c>
      <c r="AC60" s="89" t="str">
        <f>IF(ISTEXT(VLOOKUP(CONCATENATE($A60,"_",AC$3),'Unit List'!$A$14:$H$2838,2,FALSE)),"X",$X60)</f>
        <v/>
      </c>
      <c r="AD60" s="68" t="str">
        <f>IF(ISTEXT(VLOOKUP(CONCATENATE($A60,"_",AD$3),'Unit List'!$A$14:$H$2838,2,FALSE)),"+","")</f>
        <v/>
      </c>
      <c r="AE60" s="66" t="str">
        <f>IF(ISTEXT(VLOOKUP(CONCATENATE($A60,"_",AE$3),'Unit List'!$A$14:$H$2838,2,FALSE)),"X",$AD60)</f>
        <v/>
      </c>
      <c r="AF60" s="72" t="str">
        <f>IF(ISTEXT(VLOOKUP(CONCATENATE($A60,"_",AF$3),'Unit List'!$A$14:$H$2838,2,FALSE)),"X",$AD60)</f>
        <v/>
      </c>
      <c r="AG60" s="68" t="str">
        <f>IF(ISTEXT(VLOOKUP(CONCATENATE($A60,"_",AG$3),'Unit List'!$A$14:$H$2838,2,FALSE)),"+","")</f>
        <v/>
      </c>
      <c r="AH60" s="66" t="str">
        <f>IF(ISTEXT(VLOOKUP(CONCATENATE($A60,"_",AH$3),'Unit List'!$A$14:$H$2838,2,FALSE)),"X",$AG60)</f>
        <v/>
      </c>
      <c r="AI60" s="66" t="str">
        <f>IF(ISTEXT(VLOOKUP(CONCATENATE($A60,"_",AI$3),'Unit List'!$A$14:$H$2838,2,FALSE)),"X",$AG60)</f>
        <v/>
      </c>
      <c r="AJ60" s="74" t="str">
        <f>IF(ISTEXT(VLOOKUP(CONCATENATE($A60,"_",AJ$3),'Unit List'!$A$14:$H$2838,2,FALSE)),"X",$AG60)</f>
        <v/>
      </c>
      <c r="AK60" s="64" t="str">
        <f>IF(ISTEXT(VLOOKUP(CONCATENATE($A60,"_",AK$3),'Unit List'!$A$14:$H$2838,2,FALSE)),"+","")</f>
        <v/>
      </c>
      <c r="AL60" s="124" t="str">
        <f>IF(ISTEXT(VLOOKUP(CONCATENATE($A60,"_",AL$3),'Unit List'!$A$14:$H$2838,2,FALSE)),"X",$AK60)</f>
        <v>X</v>
      </c>
      <c r="AM60" s="74" t="str">
        <f>IF(ISTEXT(VLOOKUP(CONCATENATE($A60,"_",AM$3),'Unit List'!$A$14:$H$2838,2,FALSE)),"X",$AK60)</f>
        <v/>
      </c>
      <c r="AN60" s="91" t="str">
        <f>IF(ISTEXT(VLOOKUP(CONCATENATE($A60,"_",AN$3),'Unit List'!$A$14:$H$2838,2,FALSE)),"+","")</f>
        <v/>
      </c>
      <c r="AO60" s="74" t="str">
        <f>IF(ISTEXT(VLOOKUP(CONCATENATE($A60,"_",AO$3),'Unit List'!$A$14:$H$2838,2,FALSE)),"X",$AN60)</f>
        <v/>
      </c>
      <c r="AP60" s="68" t="str">
        <f>IF(ISTEXT(VLOOKUP(CONCATENATE($A60,"_",AP$3),'Unit List'!$A$14:$H$2838,2,FALSE)),"+","")</f>
        <v/>
      </c>
      <c r="AQ60" s="66" t="str">
        <f>IF(ISTEXT(VLOOKUP(CONCATENATE($A60,"_",AQ$3),'Unit List'!$A$14:$H$2838,2,FALSE)),"X",$AP60)</f>
        <v>X</v>
      </c>
      <c r="AR60" s="96" t="str">
        <f>IF(ISTEXT(VLOOKUP(CONCATENATE($A60,"_",AR$3),'Unit List'!$A$14:$H$2838,2,FALSE)),"X",$AP60)</f>
        <v>X</v>
      </c>
      <c r="AS60" s="66" t="str">
        <f>IF(ISTEXT(VLOOKUP(CONCATENATE($A60,"_",AS$3),'Unit List'!$A$14:$H$2838,2,FALSE)),"X",$AP60)</f>
        <v/>
      </c>
      <c r="AT60" s="74" t="str">
        <f>IF(ISTEXT(VLOOKUP(CONCATENATE($A60,"_",AT$3),'Unit List'!$A$14:$H$2838,2,FALSE)),"X",$AP60)</f>
        <v/>
      </c>
      <c r="AU60" s="77" t="str">
        <f>IF(ISTEXT(VLOOKUP(CONCATENATE($A60,"_",AU$3),'Unit List'!$A$14:$H$2838,2,FALSE)),"+","")</f>
        <v/>
      </c>
      <c r="AV60" s="66" t="str">
        <f>IF(ISTEXT(VLOOKUP(CONCATENATE($A60,"_",AV$3),'Unit List'!$A$14:$H$2838,2,FALSE)),"X",$AU60)</f>
        <v/>
      </c>
      <c r="AW60" s="74" t="str">
        <f>IF(ISTEXT(VLOOKUP(CONCATENATE($A60,"_",AW$3),'Unit List'!$A$14:$H$2838,2,FALSE)),"X",$AU60)</f>
        <v/>
      </c>
      <c r="AX60" s="68" t="str">
        <f>IF(ISTEXT(VLOOKUP(CONCATENATE($A60,"_",AX$3),'Unit List'!$A$14:$H$2838,2,FALSE)),"+","")</f>
        <v>+</v>
      </c>
      <c r="AY60" s="133" t="str">
        <f>IF(ISTEXT(VLOOKUP(CONCATENATE($A60,"_",AY$3),'Unit List'!$A$14:$H$2838,2,FALSE)),"X",$AX60)</f>
        <v>+</v>
      </c>
      <c r="AZ60" s="134" t="str">
        <f>IF(ISTEXT(VLOOKUP(CONCATENATE($A60,"_",AZ$3),'Unit List'!$A$14:$H$2838,2,FALSE)),"X",$AX60)</f>
        <v>+</v>
      </c>
      <c r="BA60" s="78" t="str">
        <f>IF(ISTEXT(VLOOKUP(CONCATENATE($A60,"_",BA$3),'Unit List'!$A$14:$H$2838,2,FALSE)),"+","")</f>
        <v/>
      </c>
      <c r="BB60" s="66" t="str">
        <f>IF(ISTEXT(VLOOKUP(CONCATENATE($A60,"_",BB$3),'Unit List'!$A$14:$H$2838,2,FALSE)),"X",$BA60)</f>
        <v/>
      </c>
      <c r="BC60" s="66" t="str">
        <f>IF(ISTEXT(VLOOKUP(CONCATENATE($A60,"_",BC$3),'Unit List'!$A$14:$H$2838,2,FALSE)),"X",$BA60)</f>
        <v/>
      </c>
      <c r="BD60" s="74" t="str">
        <f>IF(ISTEXT(VLOOKUP(CONCATENATE($A60,"_",BD$3),'Unit List'!$A$14:$H$2838,2,FALSE)),"X",$BA60)</f>
        <v/>
      </c>
      <c r="BE60" s="91" t="str">
        <f>IF(ISTEXT(VLOOKUP(CONCATENATE($A60,"_",BE$3),'Unit List'!$A$14:$H$2838,2,FALSE)),"+","")</f>
        <v/>
      </c>
      <c r="BF60" s="135" t="str">
        <f>IF(ISTEXT(VLOOKUP(CONCATENATE($A60,"_",BF$3),'Unit List'!$A$14:$H$2838,2,FALSE)),"X",$BE60)</f>
        <v/>
      </c>
      <c r="BG60" s="111"/>
      <c r="BH60" s="121"/>
      <c r="BI60" s="261" t="s">
        <v>9</v>
      </c>
      <c r="BJ60" s="262"/>
      <c r="BK60" s="262"/>
      <c r="BL60" s="262"/>
      <c r="BM60" s="263"/>
      <c r="BN60" s="81"/>
      <c r="BO60" s="81"/>
      <c r="BP60" s="81"/>
      <c r="BQ60" s="81"/>
      <c r="BR60" s="81"/>
      <c r="BS60" s="81"/>
      <c r="DZ60" s="82"/>
      <c r="EA60" s="82"/>
    </row>
    <row r="61" spans="1:131" ht="12.75" customHeight="1" x14ac:dyDescent="0.2">
      <c r="A61" s="83" t="s">
        <v>1274</v>
      </c>
      <c r="B61" s="59" t="str">
        <f>IF(ISTEXT(VLOOKUP(CONCATENATE($A61,"_",B$3),'Unit List'!$A$14:$H$2838,2,FALSE)),"+","")</f>
        <v/>
      </c>
      <c r="C61" s="84" t="str">
        <f>IF(ISTEXT(VLOOKUP(CONCATENATE($A61,"_",C$3),'Unit List'!$A$14:$H$2838,2,FALSE)),"X",$B61)</f>
        <v/>
      </c>
      <c r="D61" s="66" t="str">
        <f>IF(ISTEXT(VLOOKUP(CONCATENATE($A61,"_",D$3),'Unit List'!$A$14:$H$2838,2,FALSE)),"X",$B61)</f>
        <v/>
      </c>
      <c r="E61" s="66" t="str">
        <f>IF(ISTEXT(VLOOKUP(CONCATENATE($A61,"_",E$3),'Unit List'!$A$14:$H$2838,2,FALSE)),"X",$B61)</f>
        <v/>
      </c>
      <c r="F61" s="87" t="str">
        <f>IF(ISTEXT(VLOOKUP(CONCATENATE($A61,"_",F$3),'Unit List'!$A$14:$H$2838,2,FALSE)),"X",$B61)</f>
        <v/>
      </c>
      <c r="G61" s="66" t="str">
        <f>IF(ISTEXT(VLOOKUP(CONCATENATE($A61,"_",G$3),'Unit List'!$A$14:$H$2838,2,FALSE)),"X",$B61)</f>
        <v/>
      </c>
      <c r="H61" s="66" t="str">
        <f>IF(ISTEXT(VLOOKUP(CONCATENATE($A61,"_",H$3),'Unit List'!$A$14:$H$2838,2,FALSE)),"X",$B61)</f>
        <v/>
      </c>
      <c r="I61" s="74" t="str">
        <f>IF(ISTEXT(VLOOKUP(CONCATENATE($A61,"_",I$3),'Unit List'!$A$14:$H$2838,2,FALSE)),"X",$B61)</f>
        <v/>
      </c>
      <c r="J61" s="64" t="str">
        <f>IF(ISTEXT(VLOOKUP(CONCATENATE($A61,"_",J$3),'Unit List'!$A$14:$H$2838,2,FALSE)),"+","")</f>
        <v/>
      </c>
      <c r="K61" s="66" t="str">
        <f>IF(ISTEXT(VLOOKUP(CONCATENATE($A61,"_",K$3),'Unit List'!$A$14:$H$2838,2,FALSE)),"X",$J61)</f>
        <v/>
      </c>
      <c r="L61" s="89" t="str">
        <f>IF(ISTEXT(VLOOKUP(CONCATENATE($A61,"_",L$3),'Unit List'!$A$14:$H$2838,2,FALSE)),"X",$J61)</f>
        <v/>
      </c>
      <c r="M61" s="64" t="str">
        <f>IF(ISTEXT(VLOOKUP(CONCATENATE($A61,"_",M$3),'Unit List'!$A$14:$H$2838,2,FALSE)),"+","")</f>
        <v/>
      </c>
      <c r="N61" s="66" t="str">
        <f>IF(ISTEXT(VLOOKUP(CONCATENATE($A61,"_",N$3),'Unit List'!$A$14:$H$2838,2,FALSE)),"X",$M61)</f>
        <v/>
      </c>
      <c r="O61" s="74" t="str">
        <f>IF(ISTEXT(VLOOKUP(CONCATENATE($A61,"_",O$3),'Unit List'!$A$14:$H$2838,2,FALSE)),"X",$M61)</f>
        <v/>
      </c>
      <c r="P61" s="68" t="str">
        <f>IF(ISTEXT(VLOOKUP(CONCATENATE($A61,"_",P$3),'Unit List'!$A$14:$H$2838,2,FALSE)),"+","")</f>
        <v/>
      </c>
      <c r="Q61" s="66" t="str">
        <f>IF(ISTEXT(VLOOKUP(CONCATENATE($A61,"_",Q$3),'Unit List'!$A$14:$H$2838,2,FALSE)),"X",$P61)</f>
        <v/>
      </c>
      <c r="R61" s="66" t="str">
        <f>IF(ISTEXT(VLOOKUP(CONCATENATE($A61,"_",R$3),'Unit List'!$A$14:$H$2838,2,FALSE)),"X",$P61)</f>
        <v/>
      </c>
      <c r="S61" s="66" t="str">
        <f>IF(ISTEXT(VLOOKUP(CONCATENATE($A61,"_",S$3),'Unit List'!$A$14:$H$2838,2,FALSE)),"X",$P61)</f>
        <v/>
      </c>
      <c r="T61" s="69" t="str">
        <f>IF(ISTEXT(VLOOKUP(CONCATENATE($A61,"_",T$3),'Unit List'!$A$14:$H$2838,2,FALSE)),"X",$P61)</f>
        <v/>
      </c>
      <c r="U61" s="66" t="str">
        <f>IF(ISTEXT(VLOOKUP(CONCATENATE($A61,"_",U$3),'Unit List'!$A$14:$H$2838,2,FALSE)),"X",$P61)</f>
        <v/>
      </c>
      <c r="V61" s="87" t="str">
        <f>IF(ISTEXT(VLOOKUP(CONCATENATE($A61,"_",V$3),'Unit List'!$A$14:$H$2838,2,FALSE)),"X",$P61)</f>
        <v/>
      </c>
      <c r="W61" s="71" t="str">
        <f>IF(ISTEXT(VLOOKUP(CONCATENATE($A61,"_",W$3),'Unit List'!$A$14:$H$2838,2,FALSE)),"X",$P61)</f>
        <v/>
      </c>
      <c r="X61" s="68" t="str">
        <f>IF(ISTEXT(VLOOKUP(CONCATENATE($A61,"_",X$3),'Unit List'!$A$14:$H$2838,2,FALSE)),"+","")</f>
        <v/>
      </c>
      <c r="Y61" s="66" t="str">
        <f>IF(ISTEXT(VLOOKUP(CONCATENATE($A61,"_",Y$3),'Unit List'!$A$14:$H$2838,2,FALSE)),"X",$X61)</f>
        <v/>
      </c>
      <c r="Z61" s="66" t="str">
        <f>IF(ISTEXT(VLOOKUP(CONCATENATE($A61,"_",Z$3),'Unit List'!$A$14:$H$2838,2,FALSE)),"X",$X61)</f>
        <v/>
      </c>
      <c r="AA61" s="66" t="str">
        <f>IF(ISTEXT(VLOOKUP(CONCATENATE($A61,"_",AA$3),'Unit List'!$A$14:$H$2838,2,FALSE)),"X",$X61)</f>
        <v/>
      </c>
      <c r="AB61" s="66" t="str">
        <f>IF(ISTEXT(VLOOKUP(CONCATENATE($A61,"_",AB$3),'Unit List'!$A$14:$H$2838,2,FALSE)),"X",$X61)</f>
        <v/>
      </c>
      <c r="AC61" s="89" t="str">
        <f>IF(ISTEXT(VLOOKUP(CONCATENATE($A61,"_",AC$3),'Unit List'!$A$14:$H$2838,2,FALSE)),"X",$X61)</f>
        <v/>
      </c>
      <c r="AD61" s="68" t="str">
        <f>IF(ISTEXT(VLOOKUP(CONCATENATE($A61,"_",AD$3),'Unit List'!$A$14:$H$2838,2,FALSE)),"+","")</f>
        <v/>
      </c>
      <c r="AE61" s="66" t="str">
        <f>IF(ISTEXT(VLOOKUP(CONCATENATE($A61,"_",AE$3),'Unit List'!$A$14:$H$2838,2,FALSE)),"X",$AD61)</f>
        <v/>
      </c>
      <c r="AF61" s="72" t="str">
        <f>IF(ISTEXT(VLOOKUP(CONCATENATE($A61,"_",AF$3),'Unit List'!$A$14:$H$2838,2,FALSE)),"X",$AD61)</f>
        <v/>
      </c>
      <c r="AG61" s="68" t="str">
        <f>IF(ISTEXT(VLOOKUP(CONCATENATE($A61,"_",AG$3),'Unit List'!$A$14:$H$2838,2,FALSE)),"+","")</f>
        <v/>
      </c>
      <c r="AH61" s="66" t="str">
        <f>IF(ISTEXT(VLOOKUP(CONCATENATE($A61,"_",AH$3),'Unit List'!$A$14:$H$2838,2,FALSE)),"X",$AG61)</f>
        <v/>
      </c>
      <c r="AI61" s="66" t="str">
        <f>IF(ISTEXT(VLOOKUP(CONCATENATE($A61,"_",AI$3),'Unit List'!$A$14:$H$2838,2,FALSE)),"X",$AG61)</f>
        <v/>
      </c>
      <c r="AJ61" s="74" t="str">
        <f>IF(ISTEXT(VLOOKUP(CONCATENATE($A61,"_",AJ$3),'Unit List'!$A$14:$H$2838,2,FALSE)),"X",$AG61)</f>
        <v/>
      </c>
      <c r="AK61" s="64" t="str">
        <f>IF(ISTEXT(VLOOKUP(CONCATENATE($A61,"_",AK$3),'Unit List'!$A$14:$H$2838,2,FALSE)),"+","")</f>
        <v/>
      </c>
      <c r="AL61" s="69" t="str">
        <f>IF(ISTEXT(VLOOKUP(CONCATENATE($A61,"_",AL$3),'Unit List'!$A$14:$H$2838,2,FALSE)),"X",$AK61)</f>
        <v/>
      </c>
      <c r="AM61" s="74" t="str">
        <f>IF(ISTEXT(VLOOKUP(CONCATENATE($A61,"_",AM$3),'Unit List'!$A$14:$H$2838,2,FALSE)),"X",$AK61)</f>
        <v/>
      </c>
      <c r="AN61" s="91" t="str">
        <f>IF(ISTEXT(VLOOKUP(CONCATENATE($A61,"_",AN$3),'Unit List'!$A$14:$H$2838,2,FALSE)),"+","")</f>
        <v/>
      </c>
      <c r="AO61" s="74" t="str">
        <f>IF(ISTEXT(VLOOKUP(CONCATENATE($A61,"_",AO$3),'Unit List'!$A$14:$H$2838,2,FALSE)),"X",$AN61)</f>
        <v/>
      </c>
      <c r="AP61" s="68" t="str">
        <f>IF(ISTEXT(VLOOKUP(CONCATENATE($A61,"_",AP$3),'Unit List'!$A$14:$H$2838,2,FALSE)),"+","")</f>
        <v/>
      </c>
      <c r="AQ61" s="66" t="str">
        <f>IF(ISTEXT(VLOOKUP(CONCATENATE($A61,"_",AQ$3),'Unit List'!$A$14:$H$2838,2,FALSE)),"X",$AP61)</f>
        <v/>
      </c>
      <c r="AR61" s="66" t="str">
        <f>IF(ISTEXT(VLOOKUP(CONCATENATE($A61,"_",AR$3),'Unit List'!$A$14:$H$2838,2,FALSE)),"X",$AP61)</f>
        <v/>
      </c>
      <c r="AS61" s="66" t="str">
        <f>IF(ISTEXT(VLOOKUP(CONCATENATE($A61,"_",AS$3),'Unit List'!$A$14:$H$2838,2,FALSE)),"X",$AP61)</f>
        <v/>
      </c>
      <c r="AT61" s="74" t="str">
        <f>IF(ISTEXT(VLOOKUP(CONCATENATE($A61,"_",AT$3),'Unit List'!$A$14:$H$2838,2,FALSE)),"X",$AP61)</f>
        <v/>
      </c>
      <c r="AU61" s="77" t="str">
        <f>IF(ISTEXT(VLOOKUP(CONCATENATE($A61,"_",AU$3),'Unit List'!$A$14:$H$2838,2,FALSE)),"+","")</f>
        <v/>
      </c>
      <c r="AV61" s="66" t="str">
        <f>IF(ISTEXT(VLOOKUP(CONCATENATE($A61,"_",AV$3),'Unit List'!$A$14:$H$2838,2,FALSE)),"X",$AU61)</f>
        <v/>
      </c>
      <c r="AW61" s="74" t="str">
        <f>IF(ISTEXT(VLOOKUP(CONCATENATE($A61,"_",AW$3),'Unit List'!$A$14:$H$2838,2,FALSE)),"X",$AU61)</f>
        <v/>
      </c>
      <c r="AX61" s="68" t="str">
        <f>IF(ISTEXT(VLOOKUP(CONCATENATE($A61,"_",AX$3),'Unit List'!$A$14:$H$2838,2,FALSE)),"+","")</f>
        <v/>
      </c>
      <c r="AY61" s="66" t="str">
        <f>IF(ISTEXT(VLOOKUP(CONCATENATE($A61,"_",AY$3),'Unit List'!$A$14:$H$2838,2,FALSE)),"X",$AX61)</f>
        <v/>
      </c>
      <c r="AZ61" s="71" t="str">
        <f>IF(ISTEXT(VLOOKUP(CONCATENATE($A61,"_",AZ$3),'Unit List'!$A$14:$H$2838,2,FALSE)),"X",$AX61)</f>
        <v/>
      </c>
      <c r="BA61" s="78" t="str">
        <f>IF(ISTEXT(VLOOKUP(CONCATENATE($A61,"_",BA$3),'Unit List'!$A$14:$H$2838,2,FALSE)),"+","")</f>
        <v/>
      </c>
      <c r="BB61" s="66" t="str">
        <f>IF(ISTEXT(VLOOKUP(CONCATENATE($A61,"_",BB$3),'Unit List'!$A$14:$H$2838,2,FALSE)),"X",$BA61)</f>
        <v/>
      </c>
      <c r="BC61" s="66" t="str">
        <f>IF(ISTEXT(VLOOKUP(CONCATENATE($A61,"_",BC$3),'Unit List'!$A$14:$H$2838,2,FALSE)),"X",$BA61)</f>
        <v/>
      </c>
      <c r="BD61" s="74" t="str">
        <f>IF(ISTEXT(VLOOKUP(CONCATENATE($A61,"_",BD$3),'Unit List'!$A$14:$H$2838,2,FALSE)),"X",$BA61)</f>
        <v/>
      </c>
      <c r="BE61" s="91" t="str">
        <f>IF(ISTEXT(VLOOKUP(CONCATENATE($A61,"_",BE$3),'Unit List'!$A$14:$H$2838,2,FALSE)),"+","")</f>
        <v/>
      </c>
      <c r="BF61" s="89" t="str">
        <f>IF(ISTEXT(VLOOKUP(CONCATENATE($A61,"_",BF$3),'Unit List'!$A$14:$H$2838,2,FALSE)),"X",$BE61)</f>
        <v/>
      </c>
      <c r="BG61" s="111"/>
      <c r="BH61" s="121"/>
      <c r="BI61" s="264"/>
      <c r="BJ61" s="265"/>
      <c r="BK61" s="265"/>
      <c r="BL61" s="265"/>
      <c r="BM61" s="266"/>
      <c r="BN61" s="81"/>
      <c r="BO61" s="81"/>
      <c r="BP61" s="81"/>
      <c r="BQ61" s="81"/>
      <c r="BR61" s="81"/>
      <c r="BS61" s="81"/>
      <c r="DZ61" s="82"/>
      <c r="EA61" s="82"/>
    </row>
    <row r="62" spans="1:131" ht="12.75" customHeight="1" x14ac:dyDescent="0.2">
      <c r="A62" s="161" t="s">
        <v>1161</v>
      </c>
      <c r="B62" s="162" t="str">
        <f>IF(ISTEXT(VLOOKUP(CONCATENATE($A62,"_",B$3),'Unit List'!$A$14:$H$2838,2,FALSE)),"+","")</f>
        <v/>
      </c>
      <c r="C62" s="163" t="str">
        <f>IF(ISTEXT(VLOOKUP(CONCATENATE($A62,"_",C$3),'Unit List'!$A$14:$H$2838,2,FALSE)),"X",$B62)</f>
        <v/>
      </c>
      <c r="D62" s="164" t="str">
        <f>IF(ISTEXT(VLOOKUP(CONCATENATE($A62,"_",D$3),'Unit List'!$A$14:$H$2838,2,FALSE)),"X",$B62)</f>
        <v/>
      </c>
      <c r="E62" s="164" t="str">
        <f>IF(ISTEXT(VLOOKUP(CONCATENATE($A62,"_",E$3),'Unit List'!$A$14:$H$2838,2,FALSE)),"X",$B62)</f>
        <v/>
      </c>
      <c r="F62" s="164" t="str">
        <f>IF(ISTEXT(VLOOKUP(CONCATENATE($A62,"_",F$3),'Unit List'!$A$14:$H$2838,2,FALSE)),"X",$B62)</f>
        <v/>
      </c>
      <c r="G62" s="164" t="str">
        <f>IF(ISTEXT(VLOOKUP(CONCATENATE($A62,"_",G$3),'Unit List'!$A$14:$H$2838,2,FALSE)),"X",$B62)</f>
        <v/>
      </c>
      <c r="H62" s="164" t="str">
        <f>IF(ISTEXT(VLOOKUP(CONCATENATE($A62,"_",H$3),'Unit List'!$A$14:$H$2838,2,FALSE)),"X",$B62)</f>
        <v/>
      </c>
      <c r="I62" s="165" t="s">
        <v>0</v>
      </c>
      <c r="J62" s="166" t="str">
        <f>IF(ISTEXT(VLOOKUP(CONCATENATE($A62,"_",J$3),'Unit List'!$A$14:$H$2838,2,FALSE)),"+","")</f>
        <v/>
      </c>
      <c r="K62" s="164" t="str">
        <f>IF(ISTEXT(VLOOKUP(CONCATENATE($A62,"_",K$3),'Unit List'!$A$14:$H$2838,2,FALSE)),"X",$J62)</f>
        <v/>
      </c>
      <c r="L62" s="167" t="str">
        <f>IF(ISTEXT(VLOOKUP(CONCATENATE($A62,"_",L$3),'Unit List'!$A$14:$H$2838,2,FALSE)),"X",$J62)</f>
        <v/>
      </c>
      <c r="M62" s="166" t="str">
        <f>IF(ISTEXT(VLOOKUP(CONCATENATE($A62,"_",M$3),'Unit List'!$A$14:$H$2838,2,FALSE)),"+","")</f>
        <v/>
      </c>
      <c r="N62" s="164" t="str">
        <f>IF(ISTEXT(VLOOKUP(CONCATENATE($A62,"_",N$3),'Unit List'!$A$14:$H$2838,2,FALSE)),"X",$M62)</f>
        <v/>
      </c>
      <c r="O62" s="168" t="str">
        <f>IF(ISTEXT(VLOOKUP(CONCATENATE($A62,"_",O$3),'Unit List'!$A$14:$H$2838,2,FALSE)),"X",$M62)</f>
        <v/>
      </c>
      <c r="P62" s="169" t="str">
        <f>IF(ISTEXT(VLOOKUP(CONCATENATE($A62,"_",P$3),'Unit List'!$A$14:$H$2838,2,FALSE)),"+","")</f>
        <v/>
      </c>
      <c r="Q62" s="164" t="str">
        <f>IF(ISTEXT(VLOOKUP(CONCATENATE($A62,"_",Q$3),'Unit List'!$A$14:$H$2838,2,FALSE)),"X",$P62)</f>
        <v/>
      </c>
      <c r="R62" s="164" t="str">
        <f>IF(ISTEXT(VLOOKUP(CONCATENATE($A62,"_",R$3),'Unit List'!$A$14:$H$2838,2,FALSE)),"X",$P62)</f>
        <v/>
      </c>
      <c r="S62" s="164" t="str">
        <f>IF(ISTEXT(VLOOKUP(CONCATENATE($A62,"_",S$3),'Unit List'!$A$14:$H$2838,2,FALSE)),"X",$P62)</f>
        <v/>
      </c>
      <c r="T62" s="170" t="str">
        <f>IF(ISTEXT(VLOOKUP(CONCATENATE($A62,"_",T$3),'Unit List'!$A$14:$H$2838,2,FALSE)),"X",$P62)</f>
        <v/>
      </c>
      <c r="U62" s="164" t="str">
        <f>IF(ISTEXT(VLOOKUP(CONCATENATE($A62,"_",U$3),'Unit List'!$A$14:$H$2838,2,FALSE)),"X",$P62)</f>
        <v/>
      </c>
      <c r="V62" s="164" t="str">
        <f>IF(ISTEXT(VLOOKUP(CONCATENATE($A62,"_",V$3),'Unit List'!$A$14:$H$2838,2,FALSE)),"X",$P62)</f>
        <v/>
      </c>
      <c r="W62" s="171" t="str">
        <f>IF(ISTEXT(VLOOKUP(CONCATENATE($A62,"_",W$3),'Unit List'!$A$14:$H$2838,2,FALSE)),"X",$P62)</f>
        <v/>
      </c>
      <c r="X62" s="169" t="str">
        <f>IF(ISTEXT(VLOOKUP(CONCATENATE($A62,"_",X$3),'Unit List'!$A$14:$H$2838,2,FALSE)),"+","")</f>
        <v/>
      </c>
      <c r="Y62" s="164" t="str">
        <f>IF(ISTEXT(VLOOKUP(CONCATENATE($A62,"_",Y$3),'Unit List'!$A$14:$H$2838,2,FALSE)),"X",$X62)</f>
        <v/>
      </c>
      <c r="Z62" s="164" t="str">
        <f>IF(ISTEXT(VLOOKUP(CONCATENATE($A62,"_",Z$3),'Unit List'!$A$14:$H$2838,2,FALSE)),"X",$X62)</f>
        <v/>
      </c>
      <c r="AA62" s="164" t="str">
        <f>IF(ISTEXT(VLOOKUP(CONCATENATE($A62,"_",AA$3),'Unit List'!$A$14:$H$2838,2,FALSE)),"X",$X62)</f>
        <v/>
      </c>
      <c r="AB62" s="164" t="str">
        <f>IF(ISTEXT(VLOOKUP(CONCATENATE($A62,"_",AB$3),'Unit List'!$A$14:$H$2838,2,FALSE)),"X",$X62)</f>
        <v/>
      </c>
      <c r="AC62" s="167" t="str">
        <f>IF(ISTEXT(VLOOKUP(CONCATENATE($A62,"_",AC$3),'Unit List'!$A$14:$H$2838,2,FALSE)),"X",$X62)</f>
        <v/>
      </c>
      <c r="AD62" s="169" t="str">
        <f>IF(ISTEXT(VLOOKUP(CONCATENATE($A62,"_",AD$3),'Unit List'!$A$14:$H$2838,2,FALSE)),"+","")</f>
        <v/>
      </c>
      <c r="AE62" s="164" t="str">
        <f>IF(ISTEXT(VLOOKUP(CONCATENATE($A62,"_",AE$3),'Unit List'!$A$14:$H$2838,2,FALSE)),"X",$AD62)</f>
        <v/>
      </c>
      <c r="AF62" s="171" t="str">
        <f>IF(ISTEXT(VLOOKUP(CONCATENATE($A62,"_",AF$3),'Unit List'!$A$14:$H$2838,2,FALSE)),"X",$AD62)</f>
        <v/>
      </c>
      <c r="AG62" s="169" t="str">
        <f>IF(ISTEXT(VLOOKUP(CONCATENATE($A62,"_",AG$3),'Unit List'!$A$14:$H$2838,2,FALSE)),"+","")</f>
        <v/>
      </c>
      <c r="AH62" s="164" t="str">
        <f>IF(ISTEXT(VLOOKUP(CONCATENATE($A62,"_",AH$3),'Unit List'!$A$14:$H$2838,2,FALSE)),"X",$AG62)</f>
        <v/>
      </c>
      <c r="AI62" s="164" t="str">
        <f>IF(ISTEXT(VLOOKUP(CONCATENATE($A62,"_",AI$3),'Unit List'!$A$14:$H$2838,2,FALSE)),"X",$AG62)</f>
        <v/>
      </c>
      <c r="AJ62" s="168" t="str">
        <f>IF(ISTEXT(VLOOKUP(CONCATENATE($A62,"_",AJ$3),'Unit List'!$A$14:$H$2838,2,FALSE)),"X",$AG62)</f>
        <v/>
      </c>
      <c r="AK62" s="166" t="str">
        <f>IF(ISTEXT(VLOOKUP(CONCATENATE($A62,"_",AK$3),'Unit List'!$A$14:$H$2838,2,FALSE)),"+","")</f>
        <v/>
      </c>
      <c r="AL62" s="170" t="str">
        <f>IF(ISTEXT(VLOOKUP(CONCATENATE($A62,"_",AL$3),'Unit List'!$A$14:$H$2838,2,FALSE)),"X",$AK62)</f>
        <v/>
      </c>
      <c r="AM62" s="168" t="str">
        <f>IF(ISTEXT(VLOOKUP(CONCATENATE($A62,"_",AM$3),'Unit List'!$A$14:$H$2838,2,FALSE)),"X",$AK62)</f>
        <v/>
      </c>
      <c r="AN62" s="172" t="str">
        <f>IF(ISTEXT(VLOOKUP(CONCATENATE($A62,"_",AN$3),'Unit List'!$A$14:$H$2838,2,FALSE)),"+","")</f>
        <v/>
      </c>
      <c r="AO62" s="168" t="str">
        <f>IF(ISTEXT(VLOOKUP(CONCATENATE($A62,"_",AO$3),'Unit List'!$A$14:$H$2838,2,FALSE)),"X",$AN62)</f>
        <v/>
      </c>
      <c r="AP62" s="169" t="str">
        <f>IF(ISTEXT(VLOOKUP(CONCATENATE($A62,"_",AP$3),'Unit List'!$A$14:$H$2838,2,FALSE)),"+","")</f>
        <v/>
      </c>
      <c r="AQ62" s="164" t="str">
        <f>IF(ISTEXT(VLOOKUP(CONCATENATE($A62,"_",AQ$3),'Unit List'!$A$14:$H$2838,2,FALSE)),"X",$AP62)</f>
        <v/>
      </c>
      <c r="AR62" s="164" t="str">
        <f>IF(ISTEXT(VLOOKUP(CONCATENATE($A62,"_",AR$3),'Unit List'!$A$14:$H$2838,2,FALSE)),"X",$AP62)</f>
        <v/>
      </c>
      <c r="AS62" s="164" t="str">
        <f>IF(ISTEXT(VLOOKUP(CONCATENATE($A62,"_",AS$3),'Unit List'!$A$14:$H$2838,2,FALSE)),"X",$AP62)</f>
        <v/>
      </c>
      <c r="AT62" s="168" t="str">
        <f>IF(ISTEXT(VLOOKUP(CONCATENATE($A62,"_",AT$3),'Unit List'!$A$14:$H$2838,2,FALSE)),"X",$AP62)</f>
        <v/>
      </c>
      <c r="AU62" s="173" t="str">
        <f>IF(ISTEXT(VLOOKUP(CONCATENATE($A62,"_",AU$3),'Unit List'!$A$14:$H$2838,2,FALSE)),"+","")</f>
        <v/>
      </c>
      <c r="AV62" s="164" t="str">
        <f>IF(ISTEXT(VLOOKUP(CONCATENATE($A62,"_",AV$3),'Unit List'!$A$14:$H$2838,2,FALSE)),"X",$AU62)</f>
        <v/>
      </c>
      <c r="AW62" s="168" t="str">
        <f>IF(ISTEXT(VLOOKUP(CONCATENATE($A62,"_",AW$3),'Unit List'!$A$14:$H$2838,2,FALSE)),"X",$AU62)</f>
        <v/>
      </c>
      <c r="AX62" s="169" t="str">
        <f>IF(ISTEXT(VLOOKUP(CONCATENATE($A62,"_",AX$3),'Unit List'!$A$14:$H$2838,2,FALSE)),"+","")</f>
        <v/>
      </c>
      <c r="AY62" s="164" t="str">
        <f>IF(ISTEXT(VLOOKUP(CONCATENATE($A62,"_",AY$3),'Unit List'!$A$14:$H$2838,2,FALSE)),"X",$AX62)</f>
        <v/>
      </c>
      <c r="AZ62" s="171" t="str">
        <f>IF(ISTEXT(VLOOKUP(CONCATENATE($A62,"_",AZ$3),'Unit List'!$A$14:$H$2838,2,FALSE)),"X",$AX62)</f>
        <v/>
      </c>
      <c r="BA62" s="174" t="str">
        <f>IF(ISTEXT(VLOOKUP(CONCATENATE($A62,"_",BA$3),'Unit List'!$A$14:$H$2838,2,FALSE)),"+","")</f>
        <v/>
      </c>
      <c r="BB62" s="164" t="str">
        <f>IF(ISTEXT(VLOOKUP(CONCATENATE($A62,"_",BB$3),'Unit List'!$A$14:$H$2838,2,FALSE)),"X",$BA62)</f>
        <v/>
      </c>
      <c r="BC62" s="164" t="str">
        <f>IF(ISTEXT(VLOOKUP(CONCATENATE($A62,"_",BC$3),'Unit List'!$A$14:$H$2838,2,FALSE)),"X",$BA62)</f>
        <v/>
      </c>
      <c r="BD62" s="168" t="str">
        <f>IF(ISTEXT(VLOOKUP(CONCATENATE($A62,"_",BD$3),'Unit List'!$A$14:$H$2838,2,FALSE)),"X",$BA62)</f>
        <v/>
      </c>
      <c r="BE62" s="172" t="str">
        <f>IF(ISTEXT(VLOOKUP(CONCATENATE($A62,"_",BE$3),'Unit List'!$A$14:$H$2838,2,FALSE)),"+","")</f>
        <v/>
      </c>
      <c r="BF62" s="167" t="str">
        <f>IF(ISTEXT(VLOOKUP(CONCATENATE($A62,"_",BF$3),'Unit List'!$A$14:$H$2838,2,FALSE)),"X",$BE62)</f>
        <v/>
      </c>
      <c r="BG62" s="175"/>
      <c r="BH62" s="176"/>
      <c r="BI62" s="267"/>
      <c r="BJ62" s="268"/>
      <c r="BK62" s="268"/>
      <c r="BL62" s="268"/>
      <c r="BM62" s="269"/>
      <c r="BN62" s="81"/>
      <c r="BO62" s="81"/>
      <c r="BP62" s="81"/>
      <c r="BQ62" s="81"/>
      <c r="BR62" s="81"/>
      <c r="BS62" s="81"/>
      <c r="DZ62" s="82"/>
      <c r="EA62" s="82"/>
    </row>
    <row r="63" spans="1:131" ht="12.75" customHeight="1" x14ac:dyDescent="0.2">
      <c r="A63" s="177" t="s">
        <v>1913</v>
      </c>
      <c r="B63" s="59"/>
      <c r="C63" s="178"/>
      <c r="D63" s="179"/>
      <c r="E63" s="179"/>
      <c r="F63" s="179"/>
      <c r="G63" s="179"/>
      <c r="H63" s="179"/>
      <c r="I63" s="111"/>
      <c r="J63" s="68"/>
      <c r="K63" s="180"/>
      <c r="L63" s="181"/>
      <c r="M63" s="78" t="str">
        <f>IF(ISTEXT(VLOOKUP(CONCATENATE($A63,"_",M$3),'Unit List'!$A$14:$H$2838,2,FALSE)),"+","")</f>
        <v/>
      </c>
      <c r="N63" s="179"/>
      <c r="O63" s="111"/>
      <c r="P63" s="78"/>
      <c r="Q63" s="179"/>
      <c r="R63" s="179"/>
      <c r="S63" s="180"/>
      <c r="T63" s="180"/>
      <c r="U63" s="179"/>
      <c r="V63" s="179"/>
      <c r="W63" s="111"/>
      <c r="X63" s="78"/>
      <c r="Y63" s="179"/>
      <c r="Z63" s="182"/>
      <c r="AA63" s="182"/>
      <c r="AB63" s="179"/>
      <c r="AC63" s="111"/>
      <c r="AD63" s="78"/>
      <c r="AE63" s="179"/>
      <c r="AF63" s="182"/>
      <c r="AG63" s="78"/>
      <c r="AH63" s="183"/>
      <c r="AI63" s="183"/>
      <c r="AJ63" s="111"/>
      <c r="AK63" s="78"/>
      <c r="AL63" s="180"/>
      <c r="AM63" s="111"/>
      <c r="AN63" s="78"/>
      <c r="AO63" s="111"/>
      <c r="AP63" s="78"/>
      <c r="AQ63" s="179"/>
      <c r="AR63" s="179"/>
      <c r="AS63" s="179"/>
      <c r="AT63" s="111"/>
      <c r="AU63" s="184"/>
      <c r="AV63" s="179"/>
      <c r="AW63" s="181"/>
      <c r="AX63" s="78"/>
      <c r="AY63" s="179"/>
      <c r="AZ63" s="111"/>
      <c r="BA63" s="78"/>
      <c r="BB63" s="185"/>
      <c r="BC63" s="179"/>
      <c r="BD63" s="181"/>
      <c r="BE63" s="186"/>
      <c r="BF63" s="181"/>
      <c r="BG63" s="111"/>
      <c r="BH63" s="93"/>
      <c r="BI63" s="270"/>
      <c r="BJ63" s="271"/>
      <c r="BK63" s="271"/>
      <c r="BL63" s="271"/>
      <c r="BM63" s="272"/>
      <c r="BN63" s="81"/>
      <c r="BO63" s="81"/>
      <c r="BP63" s="81"/>
      <c r="BQ63" s="81"/>
      <c r="BR63" s="81"/>
      <c r="BS63" s="81"/>
      <c r="DZ63" s="82"/>
      <c r="EA63" s="82"/>
    </row>
    <row r="64" spans="1:131" ht="12.75" customHeight="1" x14ac:dyDescent="0.2">
      <c r="A64" s="187" t="s">
        <v>6</v>
      </c>
      <c r="B64" s="59" t="str">
        <f>IF(ISTEXT(VLOOKUP(CONCATENATE($A64,"_",B$3),'Unit List'!$A$14:$H$2838,2,FALSE)),"+","")</f>
        <v/>
      </c>
      <c r="C64" s="178" t="str">
        <f>IF(ISTEXT(VLOOKUP(CONCATENATE($A64,"_",C$3),'Unit List'!$A$14:$H$2838,2,FALSE)),"X",$B64)</f>
        <v/>
      </c>
      <c r="D64" s="179" t="str">
        <f>IF(ISTEXT(VLOOKUP(CONCATENATE($A64,"_",D$3),'Unit List'!$A$14:$H$2838,2,FALSE)),"X",$B64)</f>
        <v/>
      </c>
      <c r="E64" s="179" t="str">
        <f>IF(ISTEXT(VLOOKUP(CONCATENATE($A64,"_",E$3),'Unit List'!$A$14:$H$2838,2,FALSE)),"X",$B64)</f>
        <v/>
      </c>
      <c r="F64" s="179" t="str">
        <f>IF(ISTEXT(VLOOKUP(CONCATENATE($A64,"_",F$3),'Unit List'!$A$14:$H$2838,2,FALSE)),"X",$B64)</f>
        <v/>
      </c>
      <c r="G64" s="179" t="str">
        <f>IF(ISTEXT(VLOOKUP(CONCATENATE($A64,"_",G$3),'Unit List'!$A$14:$H$2838,2,FALSE)),"X",$B64)</f>
        <v/>
      </c>
      <c r="H64" s="179" t="str">
        <f>IF(ISTEXT(VLOOKUP(CONCATENATE($A64,"_",H$3),'Unit List'!$A$14:$H$2838,2,FALSE)),"X",$B64)</f>
        <v/>
      </c>
      <c r="I64" s="181" t="str">
        <f>IF(ISTEXT(VLOOKUP(CONCATENATE($A64,"_",I$3),'Unit List'!$A$14:$H$2838,2,FALSE)),"X",$B64)</f>
        <v/>
      </c>
      <c r="J64" s="68" t="str">
        <f>IF(ISTEXT(VLOOKUP(CONCATENATE($A64,"_",J$3),'Unit List'!$A$14:$H$2838,2,FALSE)),"+","")</f>
        <v/>
      </c>
      <c r="K64" s="179" t="str">
        <f>IF(ISTEXT(VLOOKUP(CONCATENATE($A64,"_",K$3),'Unit List'!$A$14:$H$2838,2,FALSE)),"X",$J64)</f>
        <v/>
      </c>
      <c r="L64" s="111" t="str">
        <f>IF(ISTEXT(VLOOKUP(CONCATENATE($A64,"_",L$3),'Unit List'!$A$14:$H$2838,2,FALSE)),"X",$J64)</f>
        <v/>
      </c>
      <c r="M64" s="68" t="str">
        <f>IF(ISTEXT(VLOOKUP(CONCATENATE($A64,"_",M$3),'Unit List'!$A$14:$H$2838,2,FALSE)),"+","")</f>
        <v/>
      </c>
      <c r="N64" s="179" t="str">
        <f>IF(ISTEXT(VLOOKUP(CONCATENATE($A64,"_",N$3),'Unit List'!$A$14:$H$2838,2,FALSE)),"X",$M64)</f>
        <v/>
      </c>
      <c r="O64" s="181" t="str">
        <f>IF(ISTEXT(VLOOKUP(CONCATENATE($A64,"_",O$3),'Unit List'!$A$14:$H$2838,2,FALSE)),"X",$M64)</f>
        <v/>
      </c>
      <c r="P64" s="68" t="str">
        <f>IF(ISTEXT(VLOOKUP(CONCATENATE($A64,"_",P$3),'Unit List'!$A$14:$H$2838,2,FALSE)),"+","")</f>
        <v/>
      </c>
      <c r="Q64" s="179" t="str">
        <f>IF(ISTEXT(VLOOKUP(CONCATENATE($A64,"_",Q$3),'Unit List'!$A$14:$H$2838,2,FALSE)),"X",$P64)</f>
        <v/>
      </c>
      <c r="R64" s="179" t="str">
        <f>IF(ISTEXT(VLOOKUP(CONCATENATE($A64,"_",R$3),'Unit List'!$A$14:$H$2838,2,FALSE)),"X",$P64)</f>
        <v/>
      </c>
      <c r="S64" s="179" t="str">
        <f>IF(ISTEXT(VLOOKUP(CONCATENATE($A64,"_",S$3),'Unit List'!$A$14:$H$2838,2,FALSE)),"X",$P64)</f>
        <v/>
      </c>
      <c r="T64" s="180" t="str">
        <f>IF(ISTEXT(VLOOKUP(CONCATENATE($A64,"_",T$3),'Unit List'!$A$14:$H$2838,2,FALSE)),"X",$P64)</f>
        <v/>
      </c>
      <c r="U64" s="179" t="str">
        <f>IF(ISTEXT(VLOOKUP(CONCATENATE($A64,"_",U$3),'Unit List'!$A$14:$H$2838,2,FALSE)),"X",$P64)</f>
        <v/>
      </c>
      <c r="V64" s="179" t="str">
        <f>IF(ISTEXT(VLOOKUP(CONCATENATE($A64,"_",V$3),'Unit List'!$A$14:$H$2838,2,FALSE)),"X",$P64)</f>
        <v/>
      </c>
      <c r="W64" s="181" t="str">
        <f>IF(ISTEXT(VLOOKUP(CONCATENATE($A64,"_",W$3),'Unit List'!$A$14:$H$2838,2,FALSE)),"X",$P64)</f>
        <v/>
      </c>
      <c r="X64" s="68" t="str">
        <f>IF(ISTEXT(VLOOKUP(CONCATENATE($A64,"_",X$3),'Unit List'!$A$14:$H$2838,2,FALSE)),"+","")</f>
        <v/>
      </c>
      <c r="Y64" s="179" t="str">
        <f>IF(ISTEXT(VLOOKUP(CONCATENATE($A64,"_",Y$3),'Unit List'!$A$14:$H$2838,2,FALSE)),"X",$X64)</f>
        <v/>
      </c>
      <c r="Z64" s="179" t="str">
        <f>IF(ISTEXT(VLOOKUP(CONCATENATE($A64,"_",Z$3),'Unit List'!$A$14:$H$2838,2,FALSE)),"X",$X64)</f>
        <v/>
      </c>
      <c r="AA64" s="179" t="str">
        <f>IF(ISTEXT(VLOOKUP(CONCATENATE($A64,"_",AA$3),'Unit List'!$A$14:$H$2838,2,FALSE)),"X",$X64)</f>
        <v/>
      </c>
      <c r="AB64" s="179" t="str">
        <f>IF(ISTEXT(VLOOKUP(CONCATENATE($A64,"_",AB$3),'Unit List'!$A$14:$H$2838,2,FALSE)),"X",$X64)</f>
        <v/>
      </c>
      <c r="AC64" s="111" t="str">
        <f>IF(ISTEXT(VLOOKUP(CONCATENATE($A64,"_",AC$3),'Unit List'!$A$14:$H$2838,2,FALSE)),"X",$X64)</f>
        <v/>
      </c>
      <c r="AD64" s="68" t="str">
        <f>IF(ISTEXT(VLOOKUP(CONCATENATE($A64,"_",AD$3),'Unit List'!$A$14:$H$2838,2,FALSE)),"+","")</f>
        <v/>
      </c>
      <c r="AE64" s="179" t="str">
        <f>IF(ISTEXT(VLOOKUP(CONCATENATE($A64,"_",AE$3),'Unit List'!$A$14:$H$2838,2,FALSE)),"X",$AD64)</f>
        <v/>
      </c>
      <c r="AF64" s="179" t="str">
        <f>IF(ISTEXT(VLOOKUP(CONCATENATE($A64,"_",AF$3),'Unit List'!$A$14:$H$2838,2,FALSE)),"X",$AD64)</f>
        <v/>
      </c>
      <c r="AG64" s="68" t="str">
        <f>IF(ISTEXT(VLOOKUP(CONCATENATE($A64,"_",AG$3),'Unit List'!$A$14:$H$2838,2,FALSE)),"+","")</f>
        <v/>
      </c>
      <c r="AH64" s="179" t="str">
        <f>IF(ISTEXT(VLOOKUP(CONCATENATE($A64,"_",AH$3),'Unit List'!$A$14:$H$2838,2,FALSE)),"X",$AG64)</f>
        <v/>
      </c>
      <c r="AI64" s="179" t="str">
        <f>IF(ISTEXT(VLOOKUP(CONCATENATE($A64,"_",AI$3),'Unit List'!$A$14:$H$2838,2,FALSE)),"X",$AG64)</f>
        <v/>
      </c>
      <c r="AJ64" s="181" t="str">
        <f>IF(ISTEXT(VLOOKUP(CONCATENATE($A64,"_",AJ$3),'Unit List'!$A$14:$H$2838,2,FALSE)),"X",$AG64)</f>
        <v/>
      </c>
      <c r="AK64" s="68" t="str">
        <f>IF(ISTEXT(VLOOKUP(CONCATENATE($A64,"_",AK$3),'Unit List'!$A$14:$H$2838,2,FALSE)),"+","")</f>
        <v/>
      </c>
      <c r="AL64" s="180" t="str">
        <f>IF(ISTEXT(VLOOKUP(CONCATENATE($A64,"_",AL$3),'Unit List'!$A$14:$H$2838,2,FALSE)),"X",$AK64)</f>
        <v/>
      </c>
      <c r="AM64" s="181" t="str">
        <f>IF(ISTEXT(VLOOKUP(CONCATENATE($A64,"_",AM$3),'Unit List'!$A$14:$H$2838,2,FALSE)),"X",$AK64)</f>
        <v/>
      </c>
      <c r="AN64" s="91" t="str">
        <f>IF(ISTEXT(VLOOKUP(CONCATENATE($A64,"_",AN$3),'Unit List'!$A$14:$H$2838,2,FALSE)),"+","")</f>
        <v/>
      </c>
      <c r="AO64" s="181" t="str">
        <f>IF(ISTEXT(VLOOKUP(CONCATENATE($A64,"_",AO$3),'Unit List'!$A$14:$H$2838,2,FALSE)),"X",$AN64)</f>
        <v/>
      </c>
      <c r="AP64" s="68" t="str">
        <f>IF(ISTEXT(VLOOKUP(CONCATENATE($A64,"_",AP$3),'Unit List'!$A$14:$H$2838,2,FALSE)),"+","")</f>
        <v/>
      </c>
      <c r="AQ64" s="179" t="str">
        <f>IF(ISTEXT(VLOOKUP(CONCATENATE($A64,"_",AQ$3),'Unit List'!$A$14:$H$2838,2,FALSE)),"X",$AP64)</f>
        <v/>
      </c>
      <c r="AR64" s="179" t="str">
        <f>IF(ISTEXT(VLOOKUP(CONCATENATE($A64,"_",AR$3),'Unit List'!$A$14:$H$2838,2,FALSE)),"X",$AP64)</f>
        <v/>
      </c>
      <c r="AS64" s="179" t="str">
        <f>IF(ISTEXT(VLOOKUP(CONCATENATE($A64,"_",AS$3),'Unit List'!$A$14:$H$2838,2,FALSE)),"X",$AP64)</f>
        <v/>
      </c>
      <c r="AT64" s="181" t="str">
        <f>IF(ISTEXT(VLOOKUP(CONCATENATE($A64,"_",AT$3),'Unit List'!$A$14:$H$2838,2,FALSE)),"X",$AP64)</f>
        <v/>
      </c>
      <c r="AU64" s="77" t="str">
        <f>IF(ISTEXT(VLOOKUP(CONCATENATE($A64,"_",AU$3),'Unit List'!$A$14:$H$2838,2,FALSE)),"+","")</f>
        <v/>
      </c>
      <c r="AV64" s="179" t="str">
        <f>IF(ISTEXT(VLOOKUP(CONCATENATE($A64,"_",AV$3),'Unit List'!$A$14:$H$2838,2,FALSE)),"X",$AU64)</f>
        <v/>
      </c>
      <c r="AW64" s="181" t="str">
        <f>IF(ISTEXT(VLOOKUP(CONCATENATE($A64,"_",AW$3),'Unit List'!$A$14:$H$2838,2,FALSE)),"X",$AU64)</f>
        <v/>
      </c>
      <c r="AX64" s="68" t="str">
        <f>IF(ISTEXT(VLOOKUP(CONCATENATE($A64,"_",AX$3),'Unit List'!$A$14:$H$2838,2,FALSE)),"+","")</f>
        <v/>
      </c>
      <c r="AY64" s="179" t="str">
        <f>IF(ISTEXT(VLOOKUP(CONCATENATE($A64,"_",AY$3),'Unit List'!$A$14:$H$2838,2,FALSE)),"X",$AX64)</f>
        <v/>
      </c>
      <c r="AZ64" s="181" t="str">
        <f>IF(ISTEXT(VLOOKUP(CONCATENATE($A64,"_",AZ$3),'Unit List'!$A$14:$H$2838,2,FALSE)),"X",$AX64)</f>
        <v/>
      </c>
      <c r="BA64" s="68" t="str">
        <f>IF(ISTEXT(VLOOKUP(CONCATENATE($A64,"_",BA$3),'Unit List'!$A$14:$H$2838,2,FALSE)),"+","")</f>
        <v/>
      </c>
      <c r="BB64" s="179" t="str">
        <f>IF(ISTEXT(VLOOKUP(CONCATENATE($A64,"_",BB$3),'Unit List'!$A$14:$H$2838,2,FALSE)),"X",$BA64)</f>
        <v/>
      </c>
      <c r="BC64" s="179" t="str">
        <f>IF(ISTEXT(VLOOKUP(CONCATENATE($A64,"_",BC$3),'Unit List'!$A$14:$H$2838,2,FALSE)),"X",$BA64)</f>
        <v/>
      </c>
      <c r="BD64" s="181" t="str">
        <f>IF(ISTEXT(VLOOKUP(CONCATENATE($A64,"_",BD$3),'Unit List'!$A$14:$H$2838,2,FALSE)),"X",$BA64)</f>
        <v/>
      </c>
      <c r="BE64" s="91" t="str">
        <f>IF(ISTEXT(VLOOKUP(CONCATENATE($A64,"_",BE$3),'Unit List'!$A$14:$H$2838,2,FALSE)),"+","")</f>
        <v/>
      </c>
      <c r="BF64" s="111" t="str">
        <f>IF(ISTEXT(VLOOKUP(CONCATENATE($A64,"_",BF$3),'Unit List'!$A$14:$H$2838,2,FALSE)),"X",$BE64)</f>
        <v/>
      </c>
      <c r="BG64" s="92" t="s">
        <v>0</v>
      </c>
      <c r="BH64" s="93" t="s">
        <v>0</v>
      </c>
      <c r="BI64" s="264"/>
      <c r="BJ64" s="265"/>
      <c r="BK64" s="265"/>
      <c r="BL64" s="265"/>
      <c r="BM64" s="266"/>
      <c r="BN64" s="188"/>
      <c r="BO64" s="188"/>
      <c r="BP64" s="81"/>
      <c r="BQ64" s="81"/>
      <c r="BR64" s="81"/>
      <c r="BS64" s="81"/>
      <c r="BT64" s="81"/>
      <c r="BU64" s="81"/>
      <c r="DZ64" s="82"/>
      <c r="EA64" s="82"/>
    </row>
    <row r="65" spans="1:131" ht="12.75" customHeight="1" x14ac:dyDescent="0.2">
      <c r="A65" s="189" t="s">
        <v>1113</v>
      </c>
      <c r="B65" s="59" t="str">
        <f>IF(ISTEXT(VLOOKUP(CONCATENATE($A65,"_",B$3),'Unit List'!$A$14:$H$2838,2,FALSE)),"+","")</f>
        <v/>
      </c>
      <c r="C65" s="178" t="str">
        <f>IF(ISTEXT(VLOOKUP(CONCATENATE($A65,"_",C$3),'Unit List'!$A$14:$H$2838,2,FALSE)),"X",$B65)</f>
        <v/>
      </c>
      <c r="D65" s="179" t="str">
        <f>IF(ISTEXT(VLOOKUP(CONCATENATE($A65,"_",D$3),'Unit List'!$A$14:$H$2838,2,FALSE)),"X",$B65)</f>
        <v/>
      </c>
      <c r="E65" s="179" t="str">
        <f>IF(ISTEXT(VLOOKUP(CONCATENATE($A65,"_",E$3),'Unit List'!$A$14:$H$2838,2,FALSE)),"X",$B65)</f>
        <v/>
      </c>
      <c r="F65" s="179" t="str">
        <f>IF(ISTEXT(VLOOKUP(CONCATENATE($A65,"_",F$3),'Unit List'!$A$14:$H$2838,2,FALSE)),"X",$B65)</f>
        <v/>
      </c>
      <c r="G65" s="179" t="str">
        <f>IF(ISTEXT(VLOOKUP(CONCATENATE($A65,"_",G$3),'Unit List'!$A$14:$H$2838,2,FALSE)),"X",$B65)</f>
        <v/>
      </c>
      <c r="H65" s="179" t="str">
        <f>IF(ISTEXT(VLOOKUP(CONCATENATE($A65,"_",H$3),'Unit List'!$A$14:$H$2838,2,FALSE)),"X",$B65)</f>
        <v/>
      </c>
      <c r="I65" s="181" t="str">
        <f>IF(ISTEXT(VLOOKUP(CONCATENATE($A65,"_",I$3),'Unit List'!$A$14:$H$2838,2,FALSE)),"X",$B65)</f>
        <v/>
      </c>
      <c r="J65" s="64" t="str">
        <f>IF(ISTEXT(VLOOKUP(CONCATENATE($A65,"_",J$3),'Unit List'!$A$14:$H$2838,2,FALSE)),"+","")</f>
        <v/>
      </c>
      <c r="K65" s="179" t="str">
        <f>IF(ISTEXT(VLOOKUP(CONCATENATE($A65,"_",K$3),'Unit List'!$A$14:$H$2838,2,FALSE)),"X",$J65)</f>
        <v/>
      </c>
      <c r="L65" s="111" t="str">
        <f>IF(ISTEXT(VLOOKUP(CONCATENATE($A65,"_",L$3),'Unit List'!$A$14:$H$2838,2,FALSE)),"X",$J65)</f>
        <v/>
      </c>
      <c r="M65" s="64" t="str">
        <f>IF(ISTEXT(VLOOKUP(CONCATENATE($A65,"_",M$3),'Unit List'!$A$14:$H$2838,2,FALSE)),"+","")</f>
        <v/>
      </c>
      <c r="N65" s="179" t="str">
        <f>IF(ISTEXT(VLOOKUP(CONCATENATE($A65,"_",N$3),'Unit List'!$A$14:$H$2838,2,FALSE)),"X",$M65)</f>
        <v/>
      </c>
      <c r="O65" s="181" t="str">
        <f>IF(ISTEXT(VLOOKUP(CONCATENATE($A65,"_",O$3),'Unit List'!$A$14:$H$2838,2,FALSE)),"X",$M65)</f>
        <v/>
      </c>
      <c r="P65" s="68" t="str">
        <f>IF(ISTEXT(VLOOKUP(CONCATENATE($A65,"_",P$3),'Unit List'!$A$14:$H$2838,2,FALSE)),"+","")</f>
        <v/>
      </c>
      <c r="Q65" s="179" t="str">
        <f>IF(ISTEXT(VLOOKUP(CONCATENATE($A65,"_",Q$3),'Unit List'!$A$14:$H$2838,2,FALSE)),"X",$P65)</f>
        <v/>
      </c>
      <c r="R65" s="179" t="str">
        <f>IF(ISTEXT(VLOOKUP(CONCATENATE($A65,"_",R$3),'Unit List'!$A$14:$H$2838,2,FALSE)),"X",$P65)</f>
        <v/>
      </c>
      <c r="S65" s="179" t="str">
        <f>IF(ISTEXT(VLOOKUP(CONCATENATE($A65,"_",S$3),'Unit List'!$A$14:$H$2838,2,FALSE)),"X",$P65)</f>
        <v/>
      </c>
      <c r="T65" s="180" t="str">
        <f>IF(ISTEXT(VLOOKUP(CONCATENATE($A65,"_",T$3),'Unit List'!$A$14:$H$2838,2,FALSE)),"X",$P65)</f>
        <v/>
      </c>
      <c r="U65" s="179" t="str">
        <f>IF(ISTEXT(VLOOKUP(CONCATENATE($A65,"_",U$3),'Unit List'!$A$14:$H$2838,2,FALSE)),"X",$P65)</f>
        <v/>
      </c>
      <c r="V65" s="179" t="str">
        <f>IF(ISTEXT(VLOOKUP(CONCATENATE($A65,"_",V$3),'Unit List'!$A$14:$H$2838,2,FALSE)),"X",$P65)</f>
        <v/>
      </c>
      <c r="W65" s="181" t="str">
        <f>IF(ISTEXT(VLOOKUP(CONCATENATE($A65,"_",W$3),'Unit List'!$A$14:$H$2838,2,FALSE)),"X",$P65)</f>
        <v/>
      </c>
      <c r="X65" s="68" t="str">
        <f>IF(ISTEXT(VLOOKUP(CONCATENATE($A65,"_",X$3),'Unit List'!$A$14:$H$2838,2,FALSE)),"+","")</f>
        <v/>
      </c>
      <c r="Y65" s="179" t="str">
        <f>IF(ISTEXT(VLOOKUP(CONCATENATE($A65,"_",Y$3),'Unit List'!$A$14:$H$2838,2,FALSE)),"X",$X65)</f>
        <v/>
      </c>
      <c r="Z65" s="179" t="str">
        <f>IF(ISTEXT(VLOOKUP(CONCATENATE($A65,"_",Z$3),'Unit List'!$A$14:$H$2838,2,FALSE)),"X",$X65)</f>
        <v/>
      </c>
      <c r="AA65" s="179" t="str">
        <f>IF(ISTEXT(VLOOKUP(CONCATENATE($A65,"_",AA$3),'Unit List'!$A$14:$H$2838,2,FALSE)),"X",$X65)</f>
        <v/>
      </c>
      <c r="AB65" s="179" t="str">
        <f>IF(ISTEXT(VLOOKUP(CONCATENATE($A65,"_",AB$3),'Unit List'!$A$14:$H$2838,2,FALSE)),"X",$X65)</f>
        <v/>
      </c>
      <c r="AC65" s="111" t="str">
        <f>IF(ISTEXT(VLOOKUP(CONCATENATE($A65,"_",AC$3),'Unit List'!$A$14:$H$2838,2,FALSE)),"X",$X65)</f>
        <v/>
      </c>
      <c r="AD65" s="68" t="str">
        <f>IF(ISTEXT(VLOOKUP(CONCATENATE($A65,"_",AD$3),'Unit List'!$A$14:$H$2838,2,FALSE)),"+","")</f>
        <v/>
      </c>
      <c r="AE65" s="179" t="str">
        <f>IF(ISTEXT(VLOOKUP(CONCATENATE($A65,"_",AE$3),'Unit List'!$A$14:$H$2838,2,FALSE)),"X",$AD65)</f>
        <v/>
      </c>
      <c r="AF65" s="179" t="str">
        <f>IF(ISTEXT(VLOOKUP(CONCATENATE($A65,"_",AF$3),'Unit List'!$A$14:$H$2838,2,FALSE)),"X",$AD65)</f>
        <v/>
      </c>
      <c r="AG65" s="68" t="str">
        <f>IF(ISTEXT(VLOOKUP(CONCATENATE($A65,"_",AG$3),'Unit List'!$A$14:$H$2838,2,FALSE)),"+","")</f>
        <v/>
      </c>
      <c r="AH65" s="179" t="str">
        <f>IF(ISTEXT(VLOOKUP(CONCATENATE($A65,"_",AH$3),'Unit List'!$A$14:$H$2838,2,FALSE)),"X",$AG65)</f>
        <v/>
      </c>
      <c r="AI65" s="179" t="str">
        <f>IF(ISTEXT(VLOOKUP(CONCATENATE($A65,"_",AI$3),'Unit List'!$A$14:$H$2838,2,FALSE)),"X",$AG65)</f>
        <v/>
      </c>
      <c r="AJ65" s="181" t="str">
        <f>IF(ISTEXT(VLOOKUP(CONCATENATE($A65,"_",AJ$3),'Unit List'!$A$14:$H$2838,2,FALSE)),"X",$AG65)</f>
        <v/>
      </c>
      <c r="AK65" s="64" t="str">
        <f>IF(ISTEXT(VLOOKUP(CONCATENATE($A65,"_",AK$3),'Unit List'!$A$14:$H$2838,2,FALSE)),"+","")</f>
        <v/>
      </c>
      <c r="AL65" s="180" t="str">
        <f>IF(ISTEXT(VLOOKUP(CONCATENATE($A65,"_",AL$3),'Unit List'!$A$14:$H$2838,2,FALSE)),"X",$AK65)</f>
        <v/>
      </c>
      <c r="AM65" s="181" t="str">
        <f>IF(ISTEXT(VLOOKUP(CONCATENATE($A65,"_",AM$3),'Unit List'!$A$14:$H$2838,2,FALSE)),"X",$AK65)</f>
        <v/>
      </c>
      <c r="AN65" s="91" t="str">
        <f>IF(ISTEXT(VLOOKUP(CONCATENATE($A65,"_",AN$3),'Unit List'!$A$14:$H$2838,2,FALSE)),"+","")</f>
        <v/>
      </c>
      <c r="AO65" s="181" t="str">
        <f>IF(ISTEXT(VLOOKUP(CONCATENATE($A65,"_",AO$3),'Unit List'!$A$14:$H$2838,2,FALSE)),"X",$AN65)</f>
        <v/>
      </c>
      <c r="AP65" s="68" t="str">
        <f>IF(ISTEXT(VLOOKUP(CONCATENATE($A65,"_",AP$3),'Unit List'!$A$14:$H$2838,2,FALSE)),"+","")</f>
        <v/>
      </c>
      <c r="AQ65" s="179" t="str">
        <f>IF(ISTEXT(VLOOKUP(CONCATENATE($A65,"_",AQ$3),'Unit List'!$A$14:$H$2838,2,FALSE)),"X",$AP65)</f>
        <v/>
      </c>
      <c r="AR65" s="179" t="str">
        <f>IF(ISTEXT(VLOOKUP(CONCATENATE($A65,"_",AR$3),'Unit List'!$A$14:$H$2838,2,FALSE)),"X",$AP65)</f>
        <v/>
      </c>
      <c r="AS65" s="179" t="str">
        <f>IF(ISTEXT(VLOOKUP(CONCATENATE($A65,"_",AS$3),'Unit List'!$A$14:$H$2838,2,FALSE)),"X",$AP65)</f>
        <v/>
      </c>
      <c r="AT65" s="181" t="str">
        <f>IF(ISTEXT(VLOOKUP(CONCATENATE($A65,"_",AT$3),'Unit List'!$A$14:$H$2838,2,FALSE)),"X",$AP65)</f>
        <v/>
      </c>
      <c r="AU65" s="77" t="str">
        <f>IF(ISTEXT(VLOOKUP(CONCATENATE($A65,"_",AU$3),'Unit List'!$A$14:$H$2838,2,FALSE)),"+","")</f>
        <v/>
      </c>
      <c r="AV65" s="179" t="str">
        <f>IF(ISTEXT(VLOOKUP(CONCATENATE($A65,"_",AV$3),'Unit List'!$A$14:$H$2838,2,FALSE)),"X",$AU65)</f>
        <v/>
      </c>
      <c r="AW65" s="181" t="str">
        <f>IF(ISTEXT(VLOOKUP(CONCATENATE($A65,"_",AW$3),'Unit List'!$A$14:$H$2838,2,FALSE)),"X",$AU65)</f>
        <v/>
      </c>
      <c r="AX65" s="68" t="str">
        <f>IF(ISTEXT(VLOOKUP(CONCATENATE($A65,"_",AX$3),'Unit List'!$A$14:$H$2838,2,FALSE)),"+","")</f>
        <v/>
      </c>
      <c r="AY65" s="179" t="str">
        <f>IF(ISTEXT(VLOOKUP(CONCATENATE($A65,"_",AY$3),'Unit List'!$A$14:$H$2838,2,FALSE)),"X",$AX65)</f>
        <v/>
      </c>
      <c r="AZ65" s="181" t="str">
        <f>IF(ISTEXT(VLOOKUP(CONCATENATE($A65,"_",AZ$3),'Unit List'!$A$14:$H$2838,2,FALSE)),"X",$AX65)</f>
        <v/>
      </c>
      <c r="BA65" s="78" t="str">
        <f>IF(ISTEXT(VLOOKUP(CONCATENATE($A65,"_",BA$3),'Unit List'!$A$14:$H$2838,2,FALSE)),"+","")</f>
        <v/>
      </c>
      <c r="BB65" s="179" t="str">
        <f>IF(ISTEXT(VLOOKUP(CONCATENATE($A65,"_",BB$3),'Unit List'!$A$14:$H$2838,2,FALSE)),"X",$BA65)</f>
        <v/>
      </c>
      <c r="BC65" s="179" t="str">
        <f>IF(ISTEXT(VLOOKUP(CONCATENATE($A65,"_",BC$3),'Unit List'!$A$14:$H$2838,2,FALSE)),"X",$BA65)</f>
        <v/>
      </c>
      <c r="BD65" s="181" t="str">
        <f>IF(ISTEXT(VLOOKUP(CONCATENATE($A65,"_",BD$3),'Unit List'!$A$14:$H$2838,2,FALSE)),"X",$BA65)</f>
        <v/>
      </c>
      <c r="BE65" s="91" t="str">
        <f>IF(ISTEXT(VLOOKUP(CONCATENATE($A65,"_",BE$3),'Unit List'!$A$14:$H$2838,2,FALSE)),"+","")</f>
        <v/>
      </c>
      <c r="BF65" s="111" t="str">
        <f>IF(ISTEXT(VLOOKUP(CONCATENATE($A65,"_",BF$3),'Unit List'!$A$14:$H$2838,2,FALSE)),"X",$BE65)</f>
        <v/>
      </c>
      <c r="BG65" s="111"/>
      <c r="BH65" s="121"/>
      <c r="BI65" s="264"/>
      <c r="BJ65" s="265"/>
      <c r="BK65" s="265"/>
      <c r="BL65" s="265"/>
      <c r="BM65" s="266"/>
      <c r="BN65" s="81"/>
      <c r="BO65" s="81"/>
      <c r="BP65" s="81"/>
      <c r="BQ65" s="81"/>
      <c r="BR65" s="81"/>
      <c r="BS65" s="81"/>
      <c r="DZ65" s="82"/>
      <c r="EA65" s="82"/>
    </row>
    <row r="66" spans="1:131" ht="12.75" customHeight="1" x14ac:dyDescent="0.2">
      <c r="A66" s="187" t="s">
        <v>7</v>
      </c>
      <c r="B66" s="59" t="str">
        <f>IF(ISTEXT(VLOOKUP(CONCATENATE($A66,"_",B$3),'Unit List'!$A$14:$H$2838,2,FALSE)),"+","")</f>
        <v/>
      </c>
      <c r="C66" s="178" t="str">
        <f>IF(ISTEXT(VLOOKUP(CONCATENATE($A66,"_",C$3),'Unit List'!$A$14:$H$2838,2,FALSE)),"X",$B66)</f>
        <v/>
      </c>
      <c r="D66" s="179" t="str">
        <f>IF(ISTEXT(VLOOKUP(CONCATENATE($A66,"_",D$3),'Unit List'!$A$14:$H$2838,2,FALSE)),"X",$B66)</f>
        <v/>
      </c>
      <c r="E66" s="190" t="str">
        <f>IF(ISTEXT(VLOOKUP(CONCATENATE($A66,"_",E$3),'Unit List'!$A$14:$H$2838,2,FALSE)),"X",$B66)</f>
        <v>X</v>
      </c>
      <c r="F66" s="190" t="str">
        <f>IF(ISTEXT(VLOOKUP(CONCATENATE($A66,"_",F$3),'Unit List'!$A$14:$H$2838,2,FALSE)),"X",$B66)</f>
        <v/>
      </c>
      <c r="G66" s="190" t="str">
        <f>IF(ISTEXT(VLOOKUP(CONCATENATE($A66,"_",G$3),'Unit List'!$A$14:$H$2838,2,FALSE)),"X",$B66)</f>
        <v/>
      </c>
      <c r="H66" s="190" t="str">
        <f>IF(ISTEXT(VLOOKUP(CONCATENATE($A66,"_",H$3),'Unit List'!$A$14:$H$2838,2,FALSE)),"X",$B66)</f>
        <v/>
      </c>
      <c r="I66" s="191" t="str">
        <f>IF(ISTEXT(VLOOKUP(CONCATENATE($A66,"_",I$3),'Unit List'!$A$14:$H$2838,2,FALSE)),"X",$B66)</f>
        <v/>
      </c>
      <c r="J66" s="64" t="str">
        <f>IF(ISTEXT(VLOOKUP(CONCATENATE($A66,"_",J$3),'Unit List'!$A$14:$H$2838,2,FALSE)),"+","")</f>
        <v/>
      </c>
      <c r="K66" s="190" t="str">
        <f>IF(ISTEXT(VLOOKUP(CONCATENATE($A66,"_",K$3),'Unit List'!$A$14:$H$2838,2,FALSE)),"X",$J66)</f>
        <v/>
      </c>
      <c r="L66" s="192" t="str">
        <f>IF(ISTEXT(VLOOKUP(CONCATENATE($A66,"_",L$3),'Unit List'!$A$14:$H$2838,2,FALSE)),"X",$J66)</f>
        <v/>
      </c>
      <c r="M66" s="64" t="str">
        <f>IF(ISTEXT(VLOOKUP(CONCATENATE($A66,"_",M$3),'Unit List'!$A$14:$H$2838,2,FALSE)),"+","")</f>
        <v/>
      </c>
      <c r="N66" s="179" t="str">
        <f>IF(ISTEXT(VLOOKUP(CONCATENATE($A66,"_",N$3),'Unit List'!$A$14:$H$2838,2,FALSE)),"X",$M66)</f>
        <v/>
      </c>
      <c r="O66" s="181" t="str">
        <f>IF(ISTEXT(VLOOKUP(CONCATENATE($A66,"_",O$3),'Unit List'!$A$14:$H$2838,2,FALSE)),"X",$M66)</f>
        <v/>
      </c>
      <c r="P66" s="68" t="str">
        <f>IF(ISTEXT(VLOOKUP(CONCATENATE($A66,"_",P$3),'Unit List'!$A$14:$H$2838,2,FALSE)),"+","")</f>
        <v/>
      </c>
      <c r="Q66" s="179" t="str">
        <f>IF(ISTEXT(VLOOKUP(CONCATENATE($A66,"_",Q$3),'Unit List'!$A$14:$H$2838,2,FALSE)),"X",$P66)</f>
        <v/>
      </c>
      <c r="R66" s="179" t="str">
        <f>IF(ISTEXT(VLOOKUP(CONCATENATE($A66,"_",R$3),'Unit List'!$A$14:$H$2838,2,FALSE)),"X",$P66)</f>
        <v/>
      </c>
      <c r="S66" s="179" t="str">
        <f>IF(ISTEXT(VLOOKUP(CONCATENATE($A66,"_",S$3),'Unit List'!$A$14:$H$2838,2,FALSE)),"X",$P66)</f>
        <v/>
      </c>
      <c r="T66" s="180" t="str">
        <f>IF(ISTEXT(VLOOKUP(CONCATENATE($A66,"_",T$3),'Unit List'!$A$14:$H$2838,2,FALSE)),"X",$P66)</f>
        <v/>
      </c>
      <c r="U66" s="179" t="str">
        <f>IF(ISTEXT(VLOOKUP(CONCATENATE($A66,"_",U$3),'Unit List'!$A$14:$H$2838,2,FALSE)),"X",$P66)</f>
        <v/>
      </c>
      <c r="V66" s="179" t="str">
        <f>IF(ISTEXT(VLOOKUP(CONCATENATE($A66,"_",V$3),'Unit List'!$A$14:$H$2838,2,FALSE)),"X",$P66)</f>
        <v/>
      </c>
      <c r="W66" s="181" t="str">
        <f>IF(ISTEXT(VLOOKUP(CONCATENATE($A66,"_",W$3),'Unit List'!$A$14:$H$2838,2,FALSE)),"X",$P66)</f>
        <v/>
      </c>
      <c r="X66" s="64" t="str">
        <f>IF(ISTEXT(VLOOKUP(CONCATENATE($A66,"_",X$3),'Unit List'!$A$14:$H$2838,2,FALSE)),"+","")</f>
        <v>+</v>
      </c>
      <c r="Y66" s="245" t="str">
        <f>IF(ISTEXT(VLOOKUP(CONCATENATE($A66,"_",Y$3),'Unit List'!$A$14:$H$2838,2,FALSE)),"X",$X66)</f>
        <v>+</v>
      </c>
      <c r="Z66" s="245" t="str">
        <f>IF(ISTEXT(VLOOKUP(CONCATENATE($A66,"_",Z$3),'Unit List'!$A$14:$H$2838,2,FALSE)),"X",$X66)</f>
        <v>+</v>
      </c>
      <c r="AA66" s="245" t="str">
        <f>IF(ISTEXT(VLOOKUP(CONCATENATE($A66,"_",AA$3),'Unit List'!$A$14:$H$2838,2,FALSE)),"X",$X66)</f>
        <v>+</v>
      </c>
      <c r="AB66" s="245" t="str">
        <f>IF(ISTEXT(VLOOKUP(CONCATENATE($A66,"_",AB$3),'Unit List'!$A$14:$H$2838,2,FALSE)),"X",$X66)</f>
        <v>+</v>
      </c>
      <c r="AC66" s="244" t="str">
        <f>IF(ISTEXT(VLOOKUP(CONCATENATE($A66,"_",AC$3),'Unit List'!$A$14:$H$2838,2,FALSE)),"X",$X66)</f>
        <v>+</v>
      </c>
      <c r="AD66" s="64" t="s">
        <v>2321</v>
      </c>
      <c r="AE66" s="179" t="str">
        <f>IF(ISTEXT(VLOOKUP(CONCATENATE($A66,"_",AE$3),'Unit List'!$A$14:$H$2838,2,FALSE)),"X",$AD66)</f>
        <v>*</v>
      </c>
      <c r="AF66" s="179" t="str">
        <f>IF(ISTEXT(VLOOKUP(CONCATENATE($A66,"_",AF$3),'Unit List'!$A$14:$H$2838,2,FALSE)),"X",$AD66)</f>
        <v>*</v>
      </c>
      <c r="AG66" s="64" t="str">
        <f>IF(ISTEXT(VLOOKUP(CONCATENATE($A66,"_",AG$3),'Unit List'!$A$14:$H$2838,2,FALSE)),"+","")</f>
        <v>+</v>
      </c>
      <c r="AH66" s="245" t="str">
        <f>IF(ISTEXT(VLOOKUP(CONCATENATE($A66,"_",AH$3),'Unit List'!$A$14:$H$2838,2,FALSE)),"X",$AG66)</f>
        <v>+</v>
      </c>
      <c r="AI66" s="245" t="str">
        <f>IF(ISTEXT(VLOOKUP(CONCATENATE($A66,"_",AI$3),'Unit List'!$A$14:$H$2838,2,FALSE)),"X",$AG66)</f>
        <v>+</v>
      </c>
      <c r="AJ66" s="214" t="str">
        <f>IF(ISTEXT(VLOOKUP(CONCATENATE($A66,"_",AJ$3),'Unit List'!$A$14:$H$2838,2,FALSE)),"X",$AG66)</f>
        <v>+</v>
      </c>
      <c r="AK66" s="64" t="str">
        <f>IF(ISTEXT(VLOOKUP(CONCATENATE($A66,"_",AK$3),'Unit List'!$A$14:$H$2838,2,FALSE)),"+","")</f>
        <v>+</v>
      </c>
      <c r="AL66" s="247" t="str">
        <f>IF(ISTEXT(VLOOKUP(CONCATENATE($A66,"_",AL$3),'Unit List'!$A$14:$H$2838,2,FALSE)),"X",$AK66)</f>
        <v>+</v>
      </c>
      <c r="AM66" s="214" t="str">
        <f>IF(ISTEXT(VLOOKUP(CONCATENATE($A66,"_",AM$3),'Unit List'!$A$14:$H$2838,2,FALSE)),"X",$AK66)</f>
        <v>+</v>
      </c>
      <c r="AN66" s="194" t="str">
        <f>IF(ISTEXT(VLOOKUP(CONCATENATE($A66,"_",AN$3),'Unit List'!$A$14:$H$2838,2,FALSE)),"+","")</f>
        <v>+</v>
      </c>
      <c r="AO66" s="214" t="str">
        <f>IF(ISTEXT(VLOOKUP(CONCATENATE($A66,"_",AO$3),'Unit List'!$A$14:$H$2838,2,FALSE)),"X",$AN66)</f>
        <v>+</v>
      </c>
      <c r="AP66" s="64" t="str">
        <f>IF(ISTEXT(VLOOKUP(CONCATENATE($A66,"_",AP$3),'Unit List'!$A$14:$H$2838,2,FALSE)),"+","")</f>
        <v>+</v>
      </c>
      <c r="AQ66" s="245" t="str">
        <f>IF(ISTEXT(VLOOKUP(CONCATENATE($A66,"_",AQ$3),'Unit List'!$A$14:$H$2838,2,FALSE)),"X",$AP66)</f>
        <v>+</v>
      </c>
      <c r="AR66" s="245" t="str">
        <f>IF(ISTEXT(VLOOKUP(CONCATENATE($A66,"_",AR$3),'Unit List'!$A$14:$H$2838,2,FALSE)),"X",$AP66)</f>
        <v>+</v>
      </c>
      <c r="AS66" s="245" t="str">
        <f>IF(ISTEXT(VLOOKUP(CONCATENATE($A66,"_",AS$3),'Unit List'!$A$14:$H$2838,2,FALSE)),"X",$AP66)</f>
        <v>+</v>
      </c>
      <c r="AT66" s="214" t="str">
        <f>IF(ISTEXT(VLOOKUP(CONCATENATE($A66,"_",AT$3),'Unit List'!$A$14:$H$2838,2,FALSE)),"X",$AP66)</f>
        <v>+</v>
      </c>
      <c r="AU66" s="149" t="str">
        <f>IF(ISTEXT(VLOOKUP(CONCATENATE($A66,"_",AU$3),'Unit List'!$A$14:$H$2838,2,FALSE)),"+","")</f>
        <v>+</v>
      </c>
      <c r="AV66" s="245" t="str">
        <f>IF(ISTEXT(VLOOKUP(CONCATENATE($A66,"_",AV$3),'Unit List'!$A$14:$H$2838,2,FALSE)),"X",$AU66)</f>
        <v>+</v>
      </c>
      <c r="AW66" s="214" t="str">
        <f>IF(ISTEXT(VLOOKUP(CONCATENATE($A66,"_",AW$3),'Unit List'!$A$14:$H$2838,2,FALSE)),"X",$AU66)</f>
        <v>+</v>
      </c>
      <c r="AX66" s="97" t="str">
        <f>IF(ISTEXT(VLOOKUP(CONCATENATE($A66,"_",AX$3),'Unit List'!$A$14:$H$2838,2,FALSE)),"+","")</f>
        <v>+</v>
      </c>
      <c r="AY66" s="245" t="str">
        <f>IF(ISTEXT(VLOOKUP(CONCATENATE($A66,"_",AY$3),'Unit List'!$A$14:$H$2838,2,FALSE)),"X",$AX66)</f>
        <v>+</v>
      </c>
      <c r="AZ66" s="214" t="str">
        <f>IF(ISTEXT(VLOOKUP(CONCATENATE($A66,"_",AZ$3),'Unit List'!$A$14:$H$2838,2,FALSE)),"X",$AX66)</f>
        <v>+</v>
      </c>
      <c r="BA66" s="195" t="str">
        <f>IF(ISTEXT(VLOOKUP(CONCATENATE($A66,"_",BA$3),'Unit List'!$A$14:$H$2838,2,FALSE)),"+","")</f>
        <v>+</v>
      </c>
      <c r="BB66" s="245" t="str">
        <f>IF(ISTEXT(VLOOKUP(CONCATENATE($A66,"_",BB$3),'Unit List'!$A$14:$H$2838,2,FALSE)),"X",$BA66)</f>
        <v>+</v>
      </c>
      <c r="BC66" s="245" t="str">
        <f>IF(ISTEXT(VLOOKUP(CONCATENATE($A66,"_",BC$3),'Unit List'!$A$14:$H$2838,2,FALSE)),"X",$BA66)</f>
        <v>+</v>
      </c>
      <c r="BD66" s="214" t="str">
        <f>IF(ISTEXT(VLOOKUP(CONCATENATE($A66,"_",BD$3),'Unit List'!$A$14:$H$2838,2,FALSE)),"X",$BA66)</f>
        <v>+</v>
      </c>
      <c r="BE66" s="196" t="str">
        <f>IF(ISTEXT(VLOOKUP(CONCATENATE($A66,"_",BE$3),'Unit List'!$A$14:$H$2838,2,FALSE)),"+","")</f>
        <v>+</v>
      </c>
      <c r="BF66" s="244" t="str">
        <f>IF(ISTEXT(VLOOKUP(CONCATENATE($A66,"_",BF$3),'Unit List'!$A$14:$H$2838,2,FALSE)),"X",$BE66)</f>
        <v>+</v>
      </c>
      <c r="BG66" s="111"/>
      <c r="BH66" s="121"/>
      <c r="BI66" s="264"/>
      <c r="BJ66" s="265"/>
      <c r="BK66" s="265"/>
      <c r="BL66" s="265"/>
      <c r="BM66" s="266"/>
      <c r="BN66" s="81"/>
      <c r="BO66" s="81"/>
      <c r="BP66" s="81"/>
      <c r="BQ66" s="81"/>
      <c r="BR66" s="81"/>
      <c r="BS66" s="81"/>
      <c r="DZ66" s="82"/>
      <c r="EA66" s="82"/>
    </row>
    <row r="67" spans="1:131" ht="12.75" customHeight="1" x14ac:dyDescent="0.2">
      <c r="A67" s="189" t="s">
        <v>8</v>
      </c>
      <c r="B67" s="59" t="str">
        <f>IF(ISTEXT(VLOOKUP(CONCATENATE($A67,"_",B$3),'Unit List'!$A$14:$H$2838,2,FALSE)),"+","")</f>
        <v/>
      </c>
      <c r="C67" s="178" t="str">
        <f>IF(ISTEXT(VLOOKUP(CONCATENATE($A67,"_",C$3),'Unit List'!$A$14:$H$2838,2,FALSE)),"X",$B67)</f>
        <v/>
      </c>
      <c r="D67" s="179" t="str">
        <f>IF(ISTEXT(VLOOKUP(CONCATENATE($A67,"_",D$3),'Unit List'!$A$14:$H$2838,2,FALSE)),"X",$B67)</f>
        <v/>
      </c>
      <c r="E67" s="190" t="str">
        <f>IF(ISTEXT(VLOOKUP(CONCATENATE($A67,"_",E$3),'Unit List'!$A$14:$H$2838,2,FALSE)),"X",$B67)</f>
        <v>X</v>
      </c>
      <c r="F67" s="179" t="str">
        <f>IF(ISTEXT(VLOOKUP(CONCATENATE($A67,"_",F$3),'Unit List'!$A$14:$H$2838,2,FALSE)),"X",$B67)</f>
        <v/>
      </c>
      <c r="G67" s="179" t="str">
        <f>IF(ISTEXT(VLOOKUP(CONCATENATE($A67,"_",G$3),'Unit List'!$A$14:$H$2838,2,FALSE)),"X",$B67)</f>
        <v/>
      </c>
      <c r="H67" s="179" t="str">
        <f>IF(ISTEXT(VLOOKUP(CONCATENATE($A67,"_",H$3),'Unit List'!$A$14:$H$2838,2,FALSE)),"X",$B67)</f>
        <v/>
      </c>
      <c r="I67" s="181" t="str">
        <f>IF(ISTEXT(VLOOKUP(CONCATENATE($A67,"_",I$3),'Unit List'!$A$14:$H$2838,2,FALSE)),"X",$B67)</f>
        <v/>
      </c>
      <c r="J67" s="64" t="str">
        <f>IF(ISTEXT(VLOOKUP(CONCATENATE($A67,"_",J$3),'Unit List'!$A$14:$H$2838,2,FALSE)),"+","")</f>
        <v/>
      </c>
      <c r="K67" s="179" t="str">
        <f>IF(ISTEXT(VLOOKUP(CONCATENATE($A67,"_",K$3),'Unit List'!$A$14:$H$2838,2,FALSE)),"X",$J67)</f>
        <v/>
      </c>
      <c r="L67" s="111" t="str">
        <f>IF(ISTEXT(VLOOKUP(CONCATENATE($A67,"_",L$3),'Unit List'!$A$14:$H$2838,2,FALSE)),"X",$J67)</f>
        <v/>
      </c>
      <c r="M67" s="64" t="str">
        <f>IF(ISTEXT(VLOOKUP(CONCATENATE($A67,"_",M$3),'Unit List'!$A$14:$H$2838,2,FALSE)),"+","")</f>
        <v/>
      </c>
      <c r="N67" s="179" t="str">
        <f>IF(ISTEXT(VLOOKUP(CONCATENATE($A67,"_",N$3),'Unit List'!$A$14:$H$2838,2,FALSE)),"X",$M67)</f>
        <v/>
      </c>
      <c r="O67" s="181" t="str">
        <f>IF(ISTEXT(VLOOKUP(CONCATENATE($A67,"_",O$3),'Unit List'!$A$14:$H$2838,2,FALSE)),"X",$M67)</f>
        <v/>
      </c>
      <c r="P67" s="68" t="str">
        <f>IF(ISTEXT(VLOOKUP(CONCATENATE($A67,"_",P$3),'Unit List'!$A$14:$H$2838,2,FALSE)),"+","")</f>
        <v/>
      </c>
      <c r="Q67" s="179" t="str">
        <f>IF(ISTEXT(VLOOKUP(CONCATENATE($A67,"_",Q$3),'Unit List'!$A$14:$H$2838,2,FALSE)),"X",$P67)</f>
        <v/>
      </c>
      <c r="R67" s="179" t="str">
        <f>IF(ISTEXT(VLOOKUP(CONCATENATE($A67,"_",R$3),'Unit List'!$A$14:$H$2838,2,FALSE)),"X",$P67)</f>
        <v/>
      </c>
      <c r="S67" s="179" t="str">
        <f>IF(ISTEXT(VLOOKUP(CONCATENATE($A67,"_",S$3),'Unit List'!$A$14:$H$2838,2,FALSE)),"X",$P67)</f>
        <v/>
      </c>
      <c r="T67" s="180" t="str">
        <f>IF(ISTEXT(VLOOKUP(CONCATENATE($A67,"_",T$3),'Unit List'!$A$14:$H$2838,2,FALSE)),"X",$P67)</f>
        <v/>
      </c>
      <c r="U67" s="179" t="str">
        <f>IF(ISTEXT(VLOOKUP(CONCATENATE($A67,"_",U$3),'Unit List'!$A$14:$H$2838,2,FALSE)),"X",$P67)</f>
        <v/>
      </c>
      <c r="V67" s="179" t="str">
        <f>IF(ISTEXT(VLOOKUP(CONCATENATE($A67,"_",V$3),'Unit List'!$A$14:$H$2838,2,FALSE)),"X",$P67)</f>
        <v/>
      </c>
      <c r="W67" s="181" t="str">
        <f>IF(ISTEXT(VLOOKUP(CONCATENATE($A67,"_",W$3),'Unit List'!$A$14:$H$2838,2,FALSE)),"X",$P67)</f>
        <v/>
      </c>
      <c r="X67" s="68" t="str">
        <f>IF(ISTEXT(VLOOKUP(CONCATENATE($A67,"_",X$3),'Unit List'!$A$14:$H$2838,2,FALSE)),"+","")</f>
        <v/>
      </c>
      <c r="Y67" s="179" t="str">
        <f>IF(ISTEXT(VLOOKUP(CONCATENATE($A67,"_",Y$3),'Unit List'!$A$14:$H$2838,2,FALSE)),"X",$X67)</f>
        <v/>
      </c>
      <c r="Z67" s="179" t="str">
        <f>IF(ISTEXT(VLOOKUP(CONCATENATE($A67,"_",Z$3),'Unit List'!$A$14:$H$2838,2,FALSE)),"X",$X67)</f>
        <v/>
      </c>
      <c r="AA67" s="179" t="str">
        <f>IF(ISTEXT(VLOOKUP(CONCATENATE($A67,"_",AA$3),'Unit List'!$A$14:$H$2838,2,FALSE)),"X",$X67)</f>
        <v/>
      </c>
      <c r="AB67" s="179" t="str">
        <f>IF(ISTEXT(VLOOKUP(CONCATENATE($A67,"_",AB$3),'Unit List'!$A$14:$H$2838,2,FALSE)),"X",$X67)</f>
        <v/>
      </c>
      <c r="AC67" s="111" t="str">
        <f>IF(ISTEXT(VLOOKUP(CONCATENATE($A67,"_",AC$3),'Unit List'!$A$14:$H$2838,2,FALSE)),"X",$X67)</f>
        <v/>
      </c>
      <c r="AD67" s="68" t="str">
        <f>IF(ISTEXT(VLOOKUP(CONCATENATE($A67,"_",AD$3),'Unit List'!$A$14:$H$2838,2,FALSE)),"+","")</f>
        <v/>
      </c>
      <c r="AE67" s="179" t="str">
        <f>IF(ISTEXT(VLOOKUP(CONCATENATE($A67,"_",AE$3),'Unit List'!$A$14:$H$2838,2,FALSE)),"X",$AD67)</f>
        <v/>
      </c>
      <c r="AF67" s="179" t="str">
        <f>IF(ISTEXT(VLOOKUP(CONCATENATE($A67,"_",AF$3),'Unit List'!$A$14:$H$2838,2,FALSE)),"X",$AD67)</f>
        <v/>
      </c>
      <c r="AG67" s="68" t="str">
        <f>IF(ISTEXT(VLOOKUP(CONCATENATE($A67,"_",AG$3),'Unit List'!$A$14:$H$2838,2,FALSE)),"+","")</f>
        <v>+</v>
      </c>
      <c r="AH67" s="179" t="str">
        <f>IF(ISTEXT(VLOOKUP(CONCATENATE($A67,"_",AH$3),'Unit List'!$A$14:$H$2838,2,FALSE)),"X",$AG67)</f>
        <v>+</v>
      </c>
      <c r="AI67" s="179" t="str">
        <f>IF(ISTEXT(VLOOKUP(CONCATENATE($A67,"_",AI$3),'Unit List'!$A$14:$H$2838,2,FALSE)),"X",$AG67)</f>
        <v>+</v>
      </c>
      <c r="AJ67" s="191" t="str">
        <f>IF(ISTEXT(VLOOKUP(CONCATENATE($A67,"_",AJ$3),'Unit List'!$A$14:$H$2838,2,FALSE)),"X",$AG67)</f>
        <v>+</v>
      </c>
      <c r="AK67" s="64" t="str">
        <f>IF(ISTEXT(VLOOKUP(CONCATENATE($A67,"_",AK$3),'Unit List'!$A$14:$H$2838,2,FALSE)),"+","")</f>
        <v/>
      </c>
      <c r="AL67" s="197" t="str">
        <f>IF(ISTEXT(VLOOKUP(CONCATENATE($A67,"_",AL$3),'Unit List'!$A$14:$H$2838,2,FALSE)),"X",$AK67)</f>
        <v/>
      </c>
      <c r="AM67" s="191" t="str">
        <f>IF(ISTEXT(VLOOKUP(CONCATENATE($A67,"_",AM$3),'Unit List'!$A$14:$H$2838,2,FALSE)),"X",$AK67)</f>
        <v/>
      </c>
      <c r="AN67" s="91" t="str">
        <f>IF(ISTEXT(VLOOKUP(CONCATENATE($A67,"_",AN$3),'Unit List'!$A$14:$H$2838,2,FALSE)),"+","")</f>
        <v>+</v>
      </c>
      <c r="AO67" s="203" t="str">
        <f>IF(ISTEXT(VLOOKUP(CONCATENATE($A67,"_",AO$3),'Unit List'!$A$14:$H$2838,2,FALSE)),"X",$AN67)</f>
        <v>+</v>
      </c>
      <c r="AP67" s="97" t="str">
        <f>IF(ISTEXT(VLOOKUP(CONCATENATE($A67,"_",AP$3),'Unit List'!$A$14:$H$2838,2,FALSE)),"+","")</f>
        <v>+</v>
      </c>
      <c r="AQ67" s="202" t="str">
        <f>IF(ISTEXT(VLOOKUP(CONCATENATE($A67,"_",AQ$3),'Unit List'!$A$14:$H$2838,2,FALSE)),"X",$AP67)</f>
        <v>+</v>
      </c>
      <c r="AR67" s="202" t="str">
        <f>IF(ISTEXT(VLOOKUP(CONCATENATE($A67,"_",AR$3),'Unit List'!$A$14:$H$2838,2,FALSE)),"X",$AP67)</f>
        <v>+</v>
      </c>
      <c r="AS67" s="202" t="str">
        <f>IF(ISTEXT(VLOOKUP(CONCATENATE($A67,"_",AS$3),'Unit List'!$A$14:$H$2838,2,FALSE)),"X",$AP67)</f>
        <v>+</v>
      </c>
      <c r="AT67" s="203" t="str">
        <f>IF(ISTEXT(VLOOKUP(CONCATENATE($A67,"_",AT$3),'Unit List'!$A$14:$H$2838,2,FALSE)),"X",$AP67)</f>
        <v>+</v>
      </c>
      <c r="AU67" s="199" t="str">
        <f>IF(ISTEXT(VLOOKUP(CONCATENATE($A67,"_",AU$3),'Unit List'!$A$14:$H$2838,2,FALSE)),"+","")</f>
        <v>+</v>
      </c>
      <c r="AV67" s="202" t="str">
        <f>IF(ISTEXT(VLOOKUP(CONCATENATE($A67,"_",AV$3),'Unit List'!$A$14:$H$2838,2,FALSE)),"X",$AU67)</f>
        <v>+</v>
      </c>
      <c r="AW67" s="203" t="str">
        <f>IF(ISTEXT(VLOOKUP(CONCATENATE($A67,"_",AW$3),'Unit List'!$A$14:$H$2838,2,FALSE)),"X",$AU67)</f>
        <v>+</v>
      </c>
      <c r="AX67" s="97" t="str">
        <f>IF(ISTEXT(VLOOKUP(CONCATENATE($A67,"_",AX$3),'Unit List'!$A$14:$H$2838,2,FALSE)),"+","")</f>
        <v>+</v>
      </c>
      <c r="AY67" s="245" t="str">
        <f>IF(ISTEXT(VLOOKUP(CONCATENATE($A67,"_",AY$3),'Unit List'!$A$14:$H$2838,2,FALSE)),"X",$AX67)</f>
        <v>+</v>
      </c>
      <c r="AZ67" s="214" t="str">
        <f>IF(ISTEXT(VLOOKUP(CONCATENATE($A67,"_",AZ$3),'Unit List'!$A$14:$H$2838,2,FALSE)),"X",$AX67)</f>
        <v>+</v>
      </c>
      <c r="BA67" s="195" t="str">
        <f>IF(ISTEXT(VLOOKUP(CONCATENATE($A67,"_",BA$3),'Unit List'!$A$14:$H$2838,2,FALSE)),"+","")</f>
        <v>+</v>
      </c>
      <c r="BB67" s="245" t="str">
        <f>IF(ISTEXT(VLOOKUP(CONCATENATE($A67,"_",BB$3),'Unit List'!$A$14:$H$2838,2,FALSE)),"X",$BA67)</f>
        <v>+</v>
      </c>
      <c r="BC67" s="245" t="str">
        <f>IF(ISTEXT(VLOOKUP(CONCATENATE($A67,"_",BC$3),'Unit List'!$A$14:$H$2838,2,FALSE)),"X",$BA67)</f>
        <v>+</v>
      </c>
      <c r="BD67" s="214" t="str">
        <f>IF(ISTEXT(VLOOKUP(CONCATENATE($A67,"_",BD$3),'Unit List'!$A$14:$H$2838,2,FALSE)),"X",$BA67)</f>
        <v>+</v>
      </c>
      <c r="BE67" s="196" t="str">
        <f>IF(ISTEXT(VLOOKUP(CONCATENATE($A67,"_",BE$3),'Unit List'!$A$14:$H$2838,2,FALSE)),"+","")</f>
        <v>+</v>
      </c>
      <c r="BF67" s="244" t="str">
        <f>IF(ISTEXT(VLOOKUP(CONCATENATE($A67,"_",BF$3),'Unit List'!$A$14:$H$2838,2,FALSE)),"X",$BE67)</f>
        <v>+</v>
      </c>
      <c r="BG67" s="111"/>
      <c r="BH67" s="121"/>
      <c r="BI67" s="264"/>
      <c r="BJ67" s="265"/>
      <c r="BK67" s="265"/>
      <c r="BL67" s="265"/>
      <c r="BM67" s="266"/>
      <c r="BN67" s="81"/>
      <c r="BO67" s="81"/>
      <c r="BP67" s="81"/>
      <c r="BQ67" s="81"/>
      <c r="BR67" s="81"/>
      <c r="BS67" s="81"/>
      <c r="DZ67" s="82"/>
      <c r="EA67" s="82"/>
    </row>
    <row r="68" spans="1:131" ht="12.75" customHeight="1" x14ac:dyDescent="0.2">
      <c r="A68" s="189" t="s">
        <v>1153</v>
      </c>
      <c r="B68" s="200" t="str">
        <f>IF(ISTEXT(VLOOKUP(CONCATENATE($A68,"_",B$3),'Unit List'!$A$14:$H$2838,2,FALSE)),"+","")</f>
        <v/>
      </c>
      <c r="C68" s="201" t="str">
        <f>IF(ISTEXT(VLOOKUP(CONCATENATE($A68,"_",C$3),'Unit List'!$A$14:$H$2838,2,FALSE)),"X",$B68)</f>
        <v/>
      </c>
      <c r="D68" s="202" t="str">
        <f>IF(ISTEXT(VLOOKUP(CONCATENATE($A68,"_",D$3),'Unit List'!$A$14:$H$2838,2,FALSE)),"X",$B68)</f>
        <v/>
      </c>
      <c r="E68" s="202" t="str">
        <f>IF(ISTEXT(VLOOKUP(CONCATENATE($A68,"_",E$3),'Unit List'!$A$14:$H$2838,2,FALSE)),"X",$B68)</f>
        <v/>
      </c>
      <c r="F68" s="202" t="str">
        <f>IF(ISTEXT(VLOOKUP(CONCATENATE($A68,"_",F$3),'Unit List'!$A$14:$H$2838,2,FALSE)),"X",$B68)</f>
        <v/>
      </c>
      <c r="G68" s="202" t="str">
        <f>IF(ISTEXT(VLOOKUP(CONCATENATE($A68,"_",G$3),'Unit List'!$A$14:$H$2838,2,FALSE)),"X",$B68)</f>
        <v/>
      </c>
      <c r="H68" s="202" t="str">
        <f>IF(ISTEXT(VLOOKUP(CONCATENATE($A68,"_",H$3),'Unit List'!$A$14:$H$2838,2,FALSE)),"X",$B68)</f>
        <v/>
      </c>
      <c r="I68" s="203" t="str">
        <f>IF(ISTEXT(VLOOKUP(CONCATENATE($A68,"_",I$3),'Unit List'!$A$14:$H$2838,2,FALSE)),"X",$B68)</f>
        <v/>
      </c>
      <c r="J68" s="204" t="str">
        <f>IF(ISTEXT(VLOOKUP(CONCATENATE($A68,"_",J$3),'Unit List'!$A$14:$H$2838,2,FALSE)),"+","")</f>
        <v/>
      </c>
      <c r="K68" s="202" t="str">
        <f>IF(ISTEXT(VLOOKUP(CONCATENATE($A68,"_",K$3),'Unit List'!$A$14:$H$2838,2,FALSE)),"X",$J68)</f>
        <v/>
      </c>
      <c r="L68" s="205" t="str">
        <f>IF(ISTEXT(VLOOKUP(CONCATENATE($A68,"_",L$3),'Unit List'!$A$14:$H$2838,2,FALSE)),"X",$J68)</f>
        <v/>
      </c>
      <c r="M68" s="204" t="str">
        <f>IF(ISTEXT(VLOOKUP(CONCATENATE($A68,"_",M$3),'Unit List'!$A$14:$H$2838,2,FALSE)),"+","")</f>
        <v/>
      </c>
      <c r="N68" s="202" t="str">
        <f>IF(ISTEXT(VLOOKUP(CONCATENATE($A68,"_",N$3),'Unit List'!$A$14:$H$2838,2,FALSE)),"X",$M68)</f>
        <v/>
      </c>
      <c r="O68" s="203" t="str">
        <f>IF(ISTEXT(VLOOKUP(CONCATENATE($A68,"_",O$3),'Unit List'!$A$14:$H$2838,2,FALSE)),"X",$M68)</f>
        <v/>
      </c>
      <c r="P68" s="101" t="str">
        <f>IF(ISTEXT(VLOOKUP(CONCATENATE($A68,"_",P$3),'Unit List'!$A$14:$H$2838,2,FALSE)),"+","")</f>
        <v/>
      </c>
      <c r="Q68" s="202" t="str">
        <f>IF(ISTEXT(VLOOKUP(CONCATENATE($A68,"_",Q$3),'Unit List'!$A$14:$H$2838,2,FALSE)),"X",$P68)</f>
        <v/>
      </c>
      <c r="R68" s="202" t="str">
        <f>IF(ISTEXT(VLOOKUP(CONCATENATE($A68,"_",R$3),'Unit List'!$A$14:$H$2838,2,FALSE)),"X",$P68)</f>
        <v/>
      </c>
      <c r="S68" s="202" t="str">
        <f>IF(ISTEXT(VLOOKUP(CONCATENATE($A68,"_",S$3),'Unit List'!$A$14:$H$2838,2,FALSE)),"X",$P68)</f>
        <v/>
      </c>
      <c r="T68" s="206" t="str">
        <f>IF(ISTEXT(VLOOKUP(CONCATENATE($A68,"_",T$3),'Unit List'!$A$14:$H$2838,2,FALSE)),"X",$P68)</f>
        <v/>
      </c>
      <c r="U68" s="202" t="str">
        <f>IF(ISTEXT(VLOOKUP(CONCATENATE($A68,"_",U$3),'Unit List'!$A$14:$H$2838,2,FALSE)),"X",$P68)</f>
        <v/>
      </c>
      <c r="V68" s="202" t="str">
        <f>IF(ISTEXT(VLOOKUP(CONCATENATE($A68,"_",V$3),'Unit List'!$A$14:$H$2838,2,FALSE)),"X",$P68)</f>
        <v/>
      </c>
      <c r="W68" s="203" t="str">
        <f>IF(ISTEXT(VLOOKUP(CONCATENATE($A68,"_",W$3),'Unit List'!$A$14:$H$2838,2,FALSE)),"X",$P68)</f>
        <v/>
      </c>
      <c r="X68" s="101" t="str">
        <f>IF(ISTEXT(VLOOKUP(CONCATENATE($A68,"_",X$3),'Unit List'!$A$14:$H$2838,2,FALSE)),"+","")</f>
        <v>+</v>
      </c>
      <c r="Y68" s="202" t="str">
        <f>IF(ISTEXT(VLOOKUP(CONCATENATE($A68,"_",Y$3),'Unit List'!$A$14:$H$2838,2,FALSE)),"X",$X68)</f>
        <v>+</v>
      </c>
      <c r="Z68" s="202" t="str">
        <f>IF(ISTEXT(VLOOKUP(CONCATENATE($A68,"_",Z$3),'Unit List'!$A$14:$H$2838,2,FALSE)),"X",$X68)</f>
        <v>+</v>
      </c>
      <c r="AA68" s="202" t="str">
        <f>IF(ISTEXT(VLOOKUP(CONCATENATE($A68,"_",AA$3),'Unit List'!$A$14:$H$2838,2,FALSE)),"X",$X68)</f>
        <v>+</v>
      </c>
      <c r="AB68" s="202" t="str">
        <f>IF(ISTEXT(VLOOKUP(CONCATENATE($A68,"_",AB$3),'Unit List'!$A$14:$H$2838,2,FALSE)),"X",$X68)</f>
        <v>+</v>
      </c>
      <c r="AC68" s="205" t="str">
        <f>IF(ISTEXT(VLOOKUP(CONCATENATE($A68,"_",AC$3),'Unit List'!$A$14:$H$2838,2,FALSE)),"X",$X68)</f>
        <v>+</v>
      </c>
      <c r="AD68" s="101" t="str">
        <f>IF(ISTEXT(VLOOKUP(CONCATENATE($A68,"_",AD$3),'Unit List'!$A$14:$H$2838,2,FALSE)),"+","")</f>
        <v>+</v>
      </c>
      <c r="AE68" s="179" t="str">
        <f>IF(ISTEXT(VLOOKUP(CONCATENATE($A68,"_",AE$3),'Unit List'!$A$14:$H$2838,2,FALSE)),"X",$AD68)</f>
        <v>+</v>
      </c>
      <c r="AF68" s="179" t="str">
        <f>IF(ISTEXT(VLOOKUP(CONCATENATE($A68,"_",AF$3),'Unit List'!$A$14:$H$2838,2,FALSE)),"X",$AD68)</f>
        <v>+</v>
      </c>
      <c r="AG68" s="101" t="str">
        <f>IF(ISTEXT(VLOOKUP(CONCATENATE($A68,"_",AG$3),'Unit List'!$A$14:$H$2838,2,FALSE)),"+","")</f>
        <v>+</v>
      </c>
      <c r="AH68" s="202" t="str">
        <f>IF(ISTEXT(VLOOKUP(CONCATENATE($A68,"_",AH$3),'Unit List'!$A$14:$H$2838,2,FALSE)),"X",$AG68)</f>
        <v>+</v>
      </c>
      <c r="AI68" s="202" t="str">
        <f>IF(ISTEXT(VLOOKUP(CONCATENATE($A68,"_",AI$3),'Unit List'!$A$14:$H$2838,2,FALSE)),"X",$AG68)</f>
        <v>+</v>
      </c>
      <c r="AJ68" s="203" t="str">
        <f>IF(ISTEXT(VLOOKUP(CONCATENATE($A68,"_",AJ$3),'Unit List'!$A$14:$H$2838,2,FALSE)),"X",$AG68)</f>
        <v>+</v>
      </c>
      <c r="AK68" s="101" t="str">
        <f>IF(ISTEXT(VLOOKUP(CONCATENATE($A68,"_",AK$3),'Unit List'!$A$14:$H$2838,2,FALSE)),"+","")</f>
        <v>+</v>
      </c>
      <c r="AL68" s="206" t="str">
        <f>IF(ISTEXT(VLOOKUP(CONCATENATE($A68,"_",AL$3),'Unit List'!$A$14:$H$2838,2,FALSE)),"X",$AK68)</f>
        <v>+</v>
      </c>
      <c r="AM68" s="203" t="str">
        <f>IF(ISTEXT(VLOOKUP(CONCATENATE($A68,"_",AM$3),'Unit List'!$A$14:$H$2838,2,FALSE)),"X",$AK68)</f>
        <v>+</v>
      </c>
      <c r="AN68" s="137" t="str">
        <f>IF(ISTEXT(VLOOKUP(CONCATENATE($A68,"_",AN$3),'Unit List'!$A$14:$H$2838,2,FALSE)),"+","")</f>
        <v>+</v>
      </c>
      <c r="AO68" s="203" t="str">
        <f>IF(ISTEXT(VLOOKUP(CONCATENATE($A68,"_",AO$3),'Unit List'!$A$14:$H$2838,2,FALSE)),"X",$AN68)</f>
        <v>+</v>
      </c>
      <c r="AP68" s="101" t="str">
        <f>IF(ISTEXT(VLOOKUP(CONCATENATE($A68,"_",AP$3),'Unit List'!$A$14:$H$2838,2,FALSE)),"+","")</f>
        <v>+</v>
      </c>
      <c r="AQ68" s="202" t="str">
        <f>IF(ISTEXT(VLOOKUP(CONCATENATE($A68,"_",AQ$3),'Unit List'!$A$14:$H$2838,2,FALSE)),"X",$AP68)</f>
        <v>+</v>
      </c>
      <c r="AR68" s="202" t="str">
        <f>IF(ISTEXT(VLOOKUP(CONCATENATE($A68,"_",AR$3),'Unit List'!$A$14:$H$2838,2,FALSE)),"X",$AP68)</f>
        <v>+</v>
      </c>
      <c r="AS68" s="202" t="str">
        <f>IF(ISTEXT(VLOOKUP(CONCATENATE($A68,"_",AS$3),'Unit List'!$A$14:$H$2838,2,FALSE)),"X",$AP68)</f>
        <v>+</v>
      </c>
      <c r="AT68" s="203" t="str">
        <f>IF(ISTEXT(VLOOKUP(CONCATENATE($A68,"_",AT$3),'Unit List'!$A$14:$H$2838,2,FALSE)),"X",$AP68)</f>
        <v>+</v>
      </c>
      <c r="AU68" s="105" t="str">
        <f>IF(ISTEXT(VLOOKUP(CONCATENATE($A68,"_",AU$3),'Unit List'!$A$14:$H$2838,2,FALSE)),"+","")</f>
        <v>+</v>
      </c>
      <c r="AV68" s="202" t="str">
        <f>IF(ISTEXT(VLOOKUP(CONCATENATE($A68,"_",AV$3),'Unit List'!$A$14:$H$2838,2,FALSE)),"X",$AU68)</f>
        <v>+</v>
      </c>
      <c r="AW68" s="203" t="str">
        <f>IF(ISTEXT(VLOOKUP(CONCATENATE($A68,"_",AW$3),'Unit List'!$A$14:$H$2838,2,FALSE)),"X",$AU68)</f>
        <v>+</v>
      </c>
      <c r="AX68" s="101" t="str">
        <f>IF(ISTEXT(VLOOKUP(CONCATENATE($A68,"_",AX$3),'Unit List'!$A$14:$H$2838,2,FALSE)),"+","")</f>
        <v>+</v>
      </c>
      <c r="AY68" s="202" t="str">
        <f>IF(ISTEXT(VLOOKUP(CONCATENATE($A68,"_",AY$3),'Unit List'!$A$14:$H$2838,2,FALSE)),"X",$AX68)</f>
        <v>+</v>
      </c>
      <c r="AZ68" s="207" t="str">
        <f>IF(ISTEXT(VLOOKUP(CONCATENATE($A68,"_",AZ$3),'Unit List'!$A$14:$H$2838,2,FALSE)),"X",$AX68)</f>
        <v>+</v>
      </c>
      <c r="BA68" s="101" t="str">
        <f>IF(ISTEXT(VLOOKUP(CONCATENATE($A68,"_",BA$3),'Unit List'!$A$14:$H$2838,2,FALSE)),"+","")</f>
        <v>+</v>
      </c>
      <c r="BB68" s="202" t="str">
        <f>IF(ISTEXT(VLOOKUP(CONCATENATE($A68,"_",BB$3),'Unit List'!$A$14:$H$2838,2,FALSE)),"X",$BA68)</f>
        <v>+</v>
      </c>
      <c r="BC68" s="202" t="str">
        <f>IF(ISTEXT(VLOOKUP(CONCATENATE($A68,"_",BC$3),'Unit List'!$A$14:$H$2838,2,FALSE)),"X",$BA68)</f>
        <v>+</v>
      </c>
      <c r="BD68" s="203" t="str">
        <f>IF(ISTEXT(VLOOKUP(CONCATENATE($A68,"_",BD$3),'Unit List'!$A$14:$H$2838,2,FALSE)),"X",$BA68)</f>
        <v>+</v>
      </c>
      <c r="BE68" s="137" t="str">
        <f>IF(ISTEXT(VLOOKUP(CONCATENATE($A68,"_",BE$3),'Unit List'!$A$14:$H$2838,2,FALSE)),"+","")</f>
        <v>+</v>
      </c>
      <c r="BF68" s="205" t="str">
        <f>IF(ISTEXT(VLOOKUP(CONCATENATE($A68,"_",BF$3),'Unit List'!$A$14:$H$2838,2,FALSE)),"X",$BE68)</f>
        <v>+</v>
      </c>
      <c r="BG68" s="140"/>
      <c r="BH68" s="141" t="s">
        <v>0</v>
      </c>
      <c r="BI68" s="261" t="s">
        <v>1162</v>
      </c>
      <c r="BJ68" s="262"/>
      <c r="BK68" s="262"/>
      <c r="BL68" s="262"/>
      <c r="BM68" s="263"/>
      <c r="BN68" s="81"/>
      <c r="BO68" s="81"/>
      <c r="BP68" s="81"/>
      <c r="BQ68" s="81"/>
      <c r="BR68" s="81"/>
      <c r="BS68" s="81"/>
      <c r="DZ68" s="82"/>
      <c r="EA68" s="82"/>
    </row>
    <row r="69" spans="1:131" ht="12.75" customHeight="1" x14ac:dyDescent="0.2">
      <c r="A69" s="189" t="s">
        <v>1114</v>
      </c>
      <c r="B69" s="59" t="str">
        <f>IF(ISTEXT(VLOOKUP(CONCATENATE($A69,"_",B$3),'Unit List'!$A$14:$H$2838,2,FALSE)),"+","")</f>
        <v/>
      </c>
      <c r="C69" s="178" t="str">
        <f>IF(ISTEXT(VLOOKUP(CONCATENATE($A69,"_",C$3),'Unit List'!$A$14:$H$2838,2,FALSE)),"X",$B69)</f>
        <v/>
      </c>
      <c r="D69" s="179" t="str">
        <f>IF(ISTEXT(VLOOKUP(CONCATENATE($A69,"_",D$3),'Unit List'!$A$14:$H$2838,2,FALSE)),"X",$B69)</f>
        <v/>
      </c>
      <c r="E69" s="179" t="str">
        <f>IF(ISTEXT(VLOOKUP(CONCATENATE($A69,"_",E$3),'Unit List'!$A$14:$H$2838,2,FALSE)),"X",$B69)</f>
        <v/>
      </c>
      <c r="F69" s="179" t="str">
        <f>IF(ISTEXT(VLOOKUP(CONCATENATE($A69,"_",F$3),'Unit List'!$A$14:$H$2838,2,FALSE)),"X",$B69)</f>
        <v/>
      </c>
      <c r="G69" s="179" t="str">
        <f>IF(ISTEXT(VLOOKUP(CONCATENATE($A69,"_",G$3),'Unit List'!$A$14:$H$2838,2,FALSE)),"X",$B69)</f>
        <v/>
      </c>
      <c r="H69" s="179" t="str">
        <f>IF(ISTEXT(VLOOKUP(CONCATENATE($A69,"_",H$3),'Unit List'!$A$14:$H$2838,2,FALSE)),"X",$B69)</f>
        <v/>
      </c>
      <c r="I69" s="181" t="str">
        <f>IF(ISTEXT(VLOOKUP(CONCATENATE($A69,"_",I$3),'Unit List'!$A$14:$H$2838,2,FALSE)),"X",$B69)</f>
        <v/>
      </c>
      <c r="J69" s="68" t="str">
        <f>IF(ISTEXT(VLOOKUP(CONCATENATE($A69,"_",J$3),'Unit List'!$A$14:$H$2838,2,FALSE)),"+","")</f>
        <v/>
      </c>
      <c r="K69" s="179" t="str">
        <f>IF(ISTEXT(VLOOKUP(CONCATENATE($A69,"_",K$3),'Unit List'!$A$14:$H$2838,2,FALSE)),"X",$J69)</f>
        <v/>
      </c>
      <c r="L69" s="111" t="str">
        <f>IF(ISTEXT(VLOOKUP(CONCATENATE($A69,"_",L$3),'Unit List'!$A$14:$H$2838,2,FALSE)),"X",$J69)</f>
        <v/>
      </c>
      <c r="M69" s="68" t="str">
        <f>IF(ISTEXT(VLOOKUP(CONCATENATE($A69,"_",M$3),'Unit List'!$A$14:$H$2838,2,FALSE)),"+","")</f>
        <v/>
      </c>
      <c r="N69" s="179" t="str">
        <f>IF(ISTEXT(VLOOKUP(CONCATENATE($A69,"_",N$3),'Unit List'!$A$14:$H$2838,2,FALSE)),"X",$M69)</f>
        <v/>
      </c>
      <c r="O69" s="181" t="str">
        <f>IF(ISTEXT(VLOOKUP(CONCATENATE($A69,"_",O$3),'Unit List'!$A$14:$H$2838,2,FALSE)),"X",$M69)</f>
        <v/>
      </c>
      <c r="P69" s="68" t="str">
        <f>IF(ISTEXT(VLOOKUP(CONCATENATE($A69,"_",P$3),'Unit List'!$A$14:$H$2838,2,FALSE)),"+","")</f>
        <v/>
      </c>
      <c r="Q69" s="179" t="str">
        <f>IF(ISTEXT(VLOOKUP(CONCATENATE($A69,"_",Q$3),'Unit List'!$A$14:$H$2838,2,FALSE)),"X",$P69)</f>
        <v/>
      </c>
      <c r="R69" s="179" t="str">
        <f>IF(ISTEXT(VLOOKUP(CONCATENATE($A69,"_",R$3),'Unit List'!$A$14:$H$2838,2,FALSE)),"X",$P69)</f>
        <v/>
      </c>
      <c r="S69" s="179" t="str">
        <f>IF(ISTEXT(VLOOKUP(CONCATENATE($A69,"_",S$3),'Unit List'!$A$14:$H$2838,2,FALSE)),"X",$P69)</f>
        <v/>
      </c>
      <c r="T69" s="180" t="str">
        <f>IF(ISTEXT(VLOOKUP(CONCATENATE($A69,"_",T$3),'Unit List'!$A$14:$H$2838,2,FALSE)),"X",$P69)</f>
        <v/>
      </c>
      <c r="U69" s="179" t="str">
        <f>IF(ISTEXT(VLOOKUP(CONCATENATE($A69,"_",U$3),'Unit List'!$A$14:$H$2838,2,FALSE)),"X",$P69)</f>
        <v/>
      </c>
      <c r="V69" s="179" t="str">
        <f>IF(ISTEXT(VLOOKUP(CONCATENATE($A69,"_",V$3),'Unit List'!$A$14:$H$2838,2,FALSE)),"X",$P69)</f>
        <v/>
      </c>
      <c r="W69" s="181" t="str">
        <f>IF(ISTEXT(VLOOKUP(CONCATENATE($A69,"_",W$3),'Unit List'!$A$14:$H$2838,2,FALSE)),"X",$P69)</f>
        <v/>
      </c>
      <c r="X69" s="68" t="str">
        <f>IF(ISTEXT(VLOOKUP(CONCATENATE($A69,"_",X$3),'Unit List'!$A$14:$H$2838,2,FALSE)),"+","")</f>
        <v/>
      </c>
      <c r="Y69" s="179" t="str">
        <f>IF(ISTEXT(VLOOKUP(CONCATENATE($A69,"_",Y$3),'Unit List'!$A$14:$H$2838,2,FALSE)),"X",$X69)</f>
        <v/>
      </c>
      <c r="Z69" s="179" t="str">
        <f>IF(ISTEXT(VLOOKUP(CONCATENATE($A69,"_",Z$3),'Unit List'!$A$14:$H$2838,2,FALSE)),"X",$X69)</f>
        <v/>
      </c>
      <c r="AA69" s="179" t="str">
        <f>IF(ISTEXT(VLOOKUP(CONCATENATE($A69,"_",AA$3),'Unit List'!$A$14:$H$2838,2,FALSE)),"X",$X69)</f>
        <v/>
      </c>
      <c r="AB69" s="179" t="str">
        <f>IF(ISTEXT(VLOOKUP(CONCATENATE($A69,"_",AB$3),'Unit List'!$A$14:$H$2838,2,FALSE)),"X",$X69)</f>
        <v/>
      </c>
      <c r="AC69" s="111" t="str">
        <f>IF(ISTEXT(VLOOKUP(CONCATENATE($A69,"_",AC$3),'Unit List'!$A$14:$H$2838,2,FALSE)),"X",$X69)</f>
        <v/>
      </c>
      <c r="AD69" s="68" t="str">
        <f>IF(ISTEXT(VLOOKUP(CONCATENATE($A69,"_",AD$3),'Unit List'!$A$14:$H$2838,2,FALSE)),"+","")</f>
        <v/>
      </c>
      <c r="AE69" s="179" t="str">
        <f>IF(ISTEXT(VLOOKUP(CONCATENATE($A69,"_",AE$3),'Unit List'!$A$14:$H$2838,2,FALSE)),"X",$AD69)</f>
        <v/>
      </c>
      <c r="AF69" s="179" t="str">
        <f>IF(ISTEXT(VLOOKUP(CONCATENATE($A69,"_",AF$3),'Unit List'!$A$14:$H$2838,2,FALSE)),"X",$AD69)</f>
        <v/>
      </c>
      <c r="AG69" s="68" t="str">
        <f>IF(ISTEXT(VLOOKUP(CONCATENATE($A69,"_",AG$3),'Unit List'!$A$14:$H$2838,2,FALSE)),"+","")</f>
        <v/>
      </c>
      <c r="AH69" s="179" t="str">
        <f>IF(ISTEXT(VLOOKUP(CONCATENATE($A69,"_",AH$3),'Unit List'!$A$14:$H$2838,2,FALSE)),"X",$AG69)</f>
        <v/>
      </c>
      <c r="AI69" s="179" t="str">
        <f>IF(ISTEXT(VLOOKUP(CONCATENATE($A69,"_",AI$3),'Unit List'!$A$14:$H$2838,2,FALSE)),"X",$AG69)</f>
        <v/>
      </c>
      <c r="AJ69" s="181" t="str">
        <f>IF(ISTEXT(VLOOKUP(CONCATENATE($A69,"_",AJ$3),'Unit List'!$A$14:$H$2838,2,FALSE)),"X",$AG69)</f>
        <v/>
      </c>
      <c r="AK69" s="68" t="str">
        <f>IF(ISTEXT(VLOOKUP(CONCATENATE($A69,"_",AK$3),'Unit List'!$A$14:$H$2838,2,FALSE)),"+","")</f>
        <v/>
      </c>
      <c r="AL69" s="180" t="str">
        <f>IF(ISTEXT(VLOOKUP(CONCATENATE($A69,"_",AL$3),'Unit List'!$A$14:$H$2838,2,FALSE)),"X",$AK69)</f>
        <v/>
      </c>
      <c r="AM69" s="181" t="str">
        <f>IF(ISTEXT(VLOOKUP(CONCATENATE($A69,"_",AM$3),'Unit List'!$A$14:$H$2838,2,FALSE)),"X",$AK69)</f>
        <v/>
      </c>
      <c r="AN69" s="91" t="str">
        <f>IF(ISTEXT(VLOOKUP(CONCATENATE($A69,"_",AN$3),'Unit List'!$A$14:$H$2838,2,FALSE)),"+","")</f>
        <v/>
      </c>
      <c r="AO69" s="181" t="str">
        <f>IF(ISTEXT(VLOOKUP(CONCATENATE($A69,"_",AO$3),'Unit List'!$A$14:$H$2838,2,FALSE)),"X",$AN69)</f>
        <v/>
      </c>
      <c r="AP69" s="68" t="str">
        <f>IF(ISTEXT(VLOOKUP(CONCATENATE($A69,"_",AP$3),'Unit List'!$A$14:$H$2838,2,FALSE)),"+","")</f>
        <v/>
      </c>
      <c r="AQ69" s="179" t="str">
        <f>IF(ISTEXT(VLOOKUP(CONCATENATE($A69,"_",AQ$3),'Unit List'!$A$14:$H$2838,2,FALSE)),"X",$AP69)</f>
        <v/>
      </c>
      <c r="AR69" s="179" t="str">
        <f>IF(ISTEXT(VLOOKUP(CONCATENATE($A69,"_",AR$3),'Unit List'!$A$14:$H$2838,2,FALSE)),"X",$AP69)</f>
        <v/>
      </c>
      <c r="AS69" s="179" t="str">
        <f>IF(ISTEXT(VLOOKUP(CONCATENATE($A69,"_",AS$3),'Unit List'!$A$14:$H$2838,2,FALSE)),"X",$AP69)</f>
        <v/>
      </c>
      <c r="AT69" s="181" t="str">
        <f>IF(ISTEXT(VLOOKUP(CONCATENATE($A69,"_",AT$3),'Unit List'!$A$14:$H$2838,2,FALSE)),"X",$AP69)</f>
        <v/>
      </c>
      <c r="AU69" s="77" t="str">
        <f>IF(ISTEXT(VLOOKUP(CONCATENATE($A69,"_",AU$3),'Unit List'!$A$14:$H$2838,2,FALSE)),"+","")</f>
        <v/>
      </c>
      <c r="AV69" s="179" t="str">
        <f>IF(ISTEXT(VLOOKUP(CONCATENATE($A69,"_",AV$3),'Unit List'!$A$14:$H$2838,2,FALSE)),"X",$AU69)</f>
        <v/>
      </c>
      <c r="AW69" s="181" t="str">
        <f>IF(ISTEXT(VLOOKUP(CONCATENATE($A69,"_",AW$3),'Unit List'!$A$14:$H$2838,2,FALSE)),"X",$AU69)</f>
        <v/>
      </c>
      <c r="AX69" s="68" t="str">
        <f>IF(ISTEXT(VLOOKUP(CONCATENATE($A69,"_",AX$3),'Unit List'!$A$14:$H$2838,2,FALSE)),"+","")</f>
        <v/>
      </c>
      <c r="AY69" s="179" t="str">
        <f>IF(ISTEXT(VLOOKUP(CONCATENATE($A69,"_",AY$3),'Unit List'!$A$14:$H$2838,2,FALSE)),"X",$AX69)</f>
        <v/>
      </c>
      <c r="AZ69" s="181" t="str">
        <f>IF(ISTEXT(VLOOKUP(CONCATENATE($A69,"_",AZ$3),'Unit List'!$A$14:$H$2838,2,FALSE)),"X",$AX69)</f>
        <v/>
      </c>
      <c r="BA69" s="78" t="str">
        <f>IF(ISTEXT(VLOOKUP(CONCATENATE($A69,"_",BA$3),'Unit List'!$A$14:$H$2838,2,FALSE)),"+","")</f>
        <v/>
      </c>
      <c r="BB69" s="179" t="str">
        <f>IF(ISTEXT(VLOOKUP(CONCATENATE($A69,"_",BB$3),'Unit List'!$A$14:$H$2838,2,FALSE)),"X",$BA69)</f>
        <v/>
      </c>
      <c r="BC69" s="179" t="str">
        <f>IF(ISTEXT(VLOOKUP(CONCATENATE($A69,"_",BC$3),'Unit List'!$A$14:$H$2838,2,FALSE)),"X",$BA69)</f>
        <v/>
      </c>
      <c r="BD69" s="181" t="str">
        <f>IF(ISTEXT(VLOOKUP(CONCATENATE($A69,"_",BD$3),'Unit List'!$A$14:$H$2838,2,FALSE)),"X",$BA69)</f>
        <v/>
      </c>
      <c r="BE69" s="91" t="str">
        <f>IF(ISTEXT(VLOOKUP(CONCATENATE($A69,"_",BE$3),'Unit List'!$A$14:$H$2838,2,FALSE)),"+","")</f>
        <v/>
      </c>
      <c r="BF69" s="111" t="str">
        <f>IF(ISTEXT(VLOOKUP(CONCATENATE($A69,"_",BF$3),'Unit List'!$A$14:$H$2838,2,FALSE)),"X",$BE69)</f>
        <v/>
      </c>
      <c r="BG69" s="111"/>
      <c r="BH69" s="121"/>
      <c r="BI69" s="264"/>
      <c r="BJ69" s="265"/>
      <c r="BK69" s="265"/>
      <c r="BL69" s="265"/>
      <c r="BM69" s="266"/>
      <c r="BN69" s="81"/>
      <c r="BO69" s="81"/>
      <c r="BP69" s="81"/>
      <c r="BQ69" s="81"/>
      <c r="BR69" s="81"/>
      <c r="BS69" s="81"/>
      <c r="DZ69" s="82"/>
      <c r="EA69" s="82"/>
    </row>
    <row r="70" spans="1:131" ht="12.75" customHeight="1" x14ac:dyDescent="0.2">
      <c r="A70" s="189" t="s">
        <v>1115</v>
      </c>
      <c r="B70" s="59" t="str">
        <f>IF(ISTEXT(VLOOKUP(CONCATENATE($A70,"_",B$3),'Unit List'!$A$14:$H$2838,2,FALSE)),"+","")</f>
        <v/>
      </c>
      <c r="C70" s="178" t="str">
        <f>IF(ISTEXT(VLOOKUP(CONCATENATE($A70,"_",C$3),'Unit List'!$A$14:$H$2838,2,FALSE)),"X",$B70)</f>
        <v/>
      </c>
      <c r="D70" s="179" t="str">
        <f>IF(ISTEXT(VLOOKUP(CONCATENATE($A70,"_",D$3),'Unit List'!$A$14:$H$2838,2,FALSE)),"X",$B70)</f>
        <v/>
      </c>
      <c r="E70" s="179" t="str">
        <f>IF(ISTEXT(VLOOKUP(CONCATENATE($A70,"_",E$3),'Unit List'!$A$14:$H$2838,2,FALSE)),"X",$B70)</f>
        <v/>
      </c>
      <c r="F70" s="179" t="str">
        <f>IF(ISTEXT(VLOOKUP(CONCATENATE($A70,"_",F$3),'Unit List'!$A$14:$H$2838,2,FALSE)),"X",$B70)</f>
        <v/>
      </c>
      <c r="G70" s="179" t="str">
        <f>IF(ISTEXT(VLOOKUP(CONCATENATE($A70,"_",G$3),'Unit List'!$A$14:$H$2838,2,FALSE)),"X",$B70)</f>
        <v/>
      </c>
      <c r="H70" s="179" t="str">
        <f>IF(ISTEXT(VLOOKUP(CONCATENATE($A70,"_",H$3),'Unit List'!$A$14:$H$2838,2,FALSE)),"X",$B70)</f>
        <v/>
      </c>
      <c r="I70" s="181" t="str">
        <f>IF(ISTEXT(VLOOKUP(CONCATENATE($A70,"_",I$3),'Unit List'!$A$14:$H$2838,2,FALSE)),"X",$B70)</f>
        <v/>
      </c>
      <c r="J70" s="68" t="str">
        <f>IF(ISTEXT(VLOOKUP(CONCATENATE($A70,"_",J$3),'Unit List'!$A$14:$H$2838,2,FALSE)),"+","")</f>
        <v/>
      </c>
      <c r="K70" s="179" t="str">
        <f>IF(ISTEXT(VLOOKUP(CONCATENATE($A70,"_",K$3),'Unit List'!$A$14:$H$2838,2,FALSE)),"X",$J70)</f>
        <v/>
      </c>
      <c r="L70" s="111" t="str">
        <f>IF(ISTEXT(VLOOKUP(CONCATENATE($A70,"_",L$3),'Unit List'!$A$14:$H$2838,2,FALSE)),"X",$J70)</f>
        <v/>
      </c>
      <c r="M70" s="68" t="str">
        <f>IF(ISTEXT(VLOOKUP(CONCATENATE($A70,"_",M$3),'Unit List'!$A$14:$H$2838,2,FALSE)),"+","")</f>
        <v/>
      </c>
      <c r="N70" s="179" t="str">
        <f>IF(ISTEXT(VLOOKUP(CONCATENATE($A70,"_",N$3),'Unit List'!$A$14:$H$2838,2,FALSE)),"X",$M70)</f>
        <v/>
      </c>
      <c r="O70" s="181" t="str">
        <f>IF(ISTEXT(VLOOKUP(CONCATENATE($A70,"_",O$3),'Unit List'!$A$14:$H$2838,2,FALSE)),"X",$M70)</f>
        <v/>
      </c>
      <c r="P70" s="68" t="str">
        <f>IF(ISTEXT(VLOOKUP(CONCATENATE($A70,"_",P$3),'Unit List'!$A$14:$H$2838,2,FALSE)),"+","")</f>
        <v/>
      </c>
      <c r="Q70" s="179" t="str">
        <f>IF(ISTEXT(VLOOKUP(CONCATENATE($A70,"_",Q$3),'Unit List'!$A$14:$H$2838,2,FALSE)),"X",$P70)</f>
        <v/>
      </c>
      <c r="R70" s="179" t="str">
        <f>IF(ISTEXT(VLOOKUP(CONCATENATE($A70,"_",R$3),'Unit List'!$A$14:$H$2838,2,FALSE)),"X",$P70)</f>
        <v/>
      </c>
      <c r="S70" s="179" t="str">
        <f>IF(ISTEXT(VLOOKUP(CONCATENATE($A70,"_",S$3),'Unit List'!$A$14:$H$2838,2,FALSE)),"X",$P70)</f>
        <v/>
      </c>
      <c r="T70" s="180" t="str">
        <f>IF(ISTEXT(VLOOKUP(CONCATENATE($A70,"_",T$3),'Unit List'!$A$14:$H$2838,2,FALSE)),"X",$P70)</f>
        <v/>
      </c>
      <c r="U70" s="179" t="str">
        <f>IF(ISTEXT(VLOOKUP(CONCATENATE($A70,"_",U$3),'Unit List'!$A$14:$H$2838,2,FALSE)),"X",$P70)</f>
        <v/>
      </c>
      <c r="V70" s="179" t="str">
        <f>IF(ISTEXT(VLOOKUP(CONCATENATE($A70,"_",V$3),'Unit List'!$A$14:$H$2838,2,FALSE)),"X",$P70)</f>
        <v/>
      </c>
      <c r="W70" s="181" t="str">
        <f>IF(ISTEXT(VLOOKUP(CONCATENATE($A70,"_",W$3),'Unit List'!$A$14:$H$2838,2,FALSE)),"X",$P70)</f>
        <v/>
      </c>
      <c r="X70" s="68" t="str">
        <f>IF(ISTEXT(VLOOKUP(CONCATENATE($A70,"_",X$3),'Unit List'!$A$14:$H$2838,2,FALSE)),"+","")</f>
        <v/>
      </c>
      <c r="Y70" s="179" t="str">
        <f>IF(ISTEXT(VLOOKUP(CONCATENATE($A70,"_",Y$3),'Unit List'!$A$14:$H$2838,2,FALSE)),"X",$X70)</f>
        <v/>
      </c>
      <c r="Z70" s="179" t="str">
        <f>IF(ISTEXT(VLOOKUP(CONCATENATE($A70,"_",Z$3),'Unit List'!$A$14:$H$2838,2,FALSE)),"X",$X70)</f>
        <v/>
      </c>
      <c r="AA70" s="179" t="str">
        <f>IF(ISTEXT(VLOOKUP(CONCATENATE($A70,"_",AA$3),'Unit List'!$A$14:$H$2838,2,FALSE)),"X",$X70)</f>
        <v/>
      </c>
      <c r="AB70" s="179" t="str">
        <f>IF(ISTEXT(VLOOKUP(CONCATENATE($A70,"_",AB$3),'Unit List'!$A$14:$H$2838,2,FALSE)),"X",$X70)</f>
        <v/>
      </c>
      <c r="AC70" s="111" t="str">
        <f>IF(ISTEXT(VLOOKUP(CONCATENATE($A70,"_",AC$3),'Unit List'!$A$14:$H$2838,2,FALSE)),"X",$X70)</f>
        <v/>
      </c>
      <c r="AD70" s="68" t="str">
        <f>IF(ISTEXT(VLOOKUP(CONCATENATE($A70,"_",AD$3),'Unit List'!$A$14:$H$2838,2,FALSE)),"+","")</f>
        <v/>
      </c>
      <c r="AE70" s="179" t="str">
        <f>IF(ISTEXT(VLOOKUP(CONCATENATE($A70,"_",AE$3),'Unit List'!$A$14:$H$2838,2,FALSE)),"X",$AD70)</f>
        <v/>
      </c>
      <c r="AF70" s="179" t="str">
        <f>IF(ISTEXT(VLOOKUP(CONCATENATE($A70,"_",AF$3),'Unit List'!$A$14:$H$2838,2,FALSE)),"X",$AD70)</f>
        <v/>
      </c>
      <c r="AG70" s="68" t="str">
        <f>IF(ISTEXT(VLOOKUP(CONCATENATE($A70,"_",AG$3),'Unit List'!$A$14:$H$2838,2,FALSE)),"+","")</f>
        <v/>
      </c>
      <c r="AH70" s="179" t="str">
        <f>IF(ISTEXT(VLOOKUP(CONCATENATE($A70,"_",AH$3),'Unit List'!$A$14:$H$2838,2,FALSE)),"X",$AG70)</f>
        <v/>
      </c>
      <c r="AI70" s="179" t="str">
        <f>IF(ISTEXT(VLOOKUP(CONCATENATE($A70,"_",AI$3),'Unit List'!$A$14:$H$2838,2,FALSE)),"X",$AG70)</f>
        <v/>
      </c>
      <c r="AJ70" s="181" t="str">
        <f>IF(ISTEXT(VLOOKUP(CONCATENATE($A70,"_",AJ$3),'Unit List'!$A$14:$H$2838,2,FALSE)),"X",$AG70)</f>
        <v/>
      </c>
      <c r="AK70" s="68" t="str">
        <f>IF(ISTEXT(VLOOKUP(CONCATENATE($A70,"_",AK$3),'Unit List'!$A$14:$H$2838,2,FALSE)),"+","")</f>
        <v/>
      </c>
      <c r="AL70" s="180" t="str">
        <f>IF(ISTEXT(VLOOKUP(CONCATENATE($A70,"_",AL$3),'Unit List'!$A$14:$H$2838,2,FALSE)),"X",$AK70)</f>
        <v/>
      </c>
      <c r="AM70" s="181" t="str">
        <f>IF(ISTEXT(VLOOKUP(CONCATENATE($A70,"_",AM$3),'Unit List'!$A$14:$H$2838,2,FALSE)),"X",$AK70)</f>
        <v/>
      </c>
      <c r="AN70" s="91" t="str">
        <f>IF(ISTEXT(VLOOKUP(CONCATENATE($A70,"_",AN$3),'Unit List'!$A$14:$H$2838,2,FALSE)),"+","")</f>
        <v/>
      </c>
      <c r="AO70" s="181" t="str">
        <f>IF(ISTEXT(VLOOKUP(CONCATENATE($A70,"_",AO$3),'Unit List'!$A$14:$H$2838,2,FALSE)),"X",$AN70)</f>
        <v/>
      </c>
      <c r="AP70" s="68" t="str">
        <f>IF(ISTEXT(VLOOKUP(CONCATENATE($A70,"_",AP$3),'Unit List'!$A$14:$H$2838,2,FALSE)),"+","")</f>
        <v/>
      </c>
      <c r="AQ70" s="179" t="str">
        <f>IF(ISTEXT(VLOOKUP(CONCATENATE($A70,"_",AQ$3),'Unit List'!$A$14:$H$2838,2,FALSE)),"X",$AP70)</f>
        <v/>
      </c>
      <c r="AR70" s="179" t="str">
        <f>IF(ISTEXT(VLOOKUP(CONCATENATE($A70,"_",AR$3),'Unit List'!$A$14:$H$2838,2,FALSE)),"X",$AP70)</f>
        <v/>
      </c>
      <c r="AS70" s="179" t="str">
        <f>IF(ISTEXT(VLOOKUP(CONCATENATE($A70,"_",AS$3),'Unit List'!$A$14:$H$2838,2,FALSE)),"X",$AP70)</f>
        <v/>
      </c>
      <c r="AT70" s="181" t="str">
        <f>IF(ISTEXT(VLOOKUP(CONCATENATE($A70,"_",AT$3),'Unit List'!$A$14:$H$2838,2,FALSE)),"X",$AP70)</f>
        <v/>
      </c>
      <c r="AU70" s="77" t="str">
        <f>IF(ISTEXT(VLOOKUP(CONCATENATE($A70,"_",AU$3),'Unit List'!$A$14:$H$2838,2,FALSE)),"+","")</f>
        <v/>
      </c>
      <c r="AV70" s="179" t="str">
        <f>IF(ISTEXT(VLOOKUP(CONCATENATE($A70,"_",AV$3),'Unit List'!$A$14:$H$2838,2,FALSE)),"X",$AU70)</f>
        <v/>
      </c>
      <c r="AW70" s="181" t="str">
        <f>IF(ISTEXT(VLOOKUP(CONCATENATE($A70,"_",AW$3),'Unit List'!$A$14:$H$2838,2,FALSE)),"X",$AU70)</f>
        <v/>
      </c>
      <c r="AX70" s="68" t="str">
        <f>IF(ISTEXT(VLOOKUP(CONCATENATE($A70,"_",AX$3),'Unit List'!$A$14:$H$2838,2,FALSE)),"+","")</f>
        <v/>
      </c>
      <c r="AY70" s="179" t="str">
        <f>IF(ISTEXT(VLOOKUP(CONCATENATE($A70,"_",AY$3),'Unit List'!$A$14:$H$2838,2,FALSE)),"X",$AX70)</f>
        <v/>
      </c>
      <c r="AZ70" s="181" t="str">
        <f>IF(ISTEXT(VLOOKUP(CONCATENATE($A70,"_",AZ$3),'Unit List'!$A$14:$H$2838,2,FALSE)),"X",$AX70)</f>
        <v/>
      </c>
      <c r="BA70" s="78" t="str">
        <f>IF(ISTEXT(VLOOKUP(CONCATENATE($A70,"_",BA$3),'Unit List'!$A$14:$H$2838,2,FALSE)),"+","")</f>
        <v/>
      </c>
      <c r="BB70" s="179" t="str">
        <f>IF(ISTEXT(VLOOKUP(CONCATENATE($A70,"_",BB$3),'Unit List'!$A$14:$H$2838,2,FALSE)),"X",$BA70)</f>
        <v/>
      </c>
      <c r="BC70" s="179" t="str">
        <f>IF(ISTEXT(VLOOKUP(CONCATENATE($A70,"_",BC$3),'Unit List'!$A$14:$H$2838,2,FALSE)),"X",$BA70)</f>
        <v/>
      </c>
      <c r="BD70" s="181" t="str">
        <f>IF(ISTEXT(VLOOKUP(CONCATENATE($A70,"_",BD$3),'Unit List'!$A$14:$H$2838,2,FALSE)),"X",$BA70)</f>
        <v/>
      </c>
      <c r="BE70" s="91" t="str">
        <f>IF(ISTEXT(VLOOKUP(CONCATENATE($A70,"_",BE$3),'Unit List'!$A$14:$H$2838,2,FALSE)),"+","")</f>
        <v/>
      </c>
      <c r="BF70" s="111" t="str">
        <f>IF(ISTEXT(VLOOKUP(CONCATENATE($A70,"_",BF$3),'Unit List'!$A$14:$H$2838,2,FALSE)),"X",$BE70)</f>
        <v/>
      </c>
      <c r="BG70" s="111"/>
      <c r="BH70" s="121"/>
      <c r="BI70" s="264"/>
      <c r="BJ70" s="265"/>
      <c r="BK70" s="265"/>
      <c r="BL70" s="265"/>
      <c r="BM70" s="266"/>
      <c r="BN70" s="81"/>
      <c r="BO70" s="81"/>
      <c r="BP70" s="81"/>
      <c r="BQ70" s="81"/>
      <c r="BR70" s="81"/>
      <c r="BS70" s="81"/>
      <c r="DZ70" s="82"/>
      <c r="EA70" s="82"/>
    </row>
    <row r="71" spans="1:131" ht="12.75" customHeight="1" x14ac:dyDescent="0.2">
      <c r="A71" s="189" t="s">
        <v>1116</v>
      </c>
      <c r="B71" s="59" t="str">
        <f>IF(ISTEXT(VLOOKUP(CONCATENATE($A71,"_",B$3),'Unit List'!$A$14:$H$2838,2,FALSE)),"+","")</f>
        <v/>
      </c>
      <c r="C71" s="178" t="str">
        <f>IF(ISTEXT(VLOOKUP(CONCATENATE($A71,"_",C$3),'Unit List'!$A$14:$H$2838,2,FALSE)),"X",$B71)</f>
        <v/>
      </c>
      <c r="D71" s="179" t="str">
        <f>IF(ISTEXT(VLOOKUP(CONCATENATE($A71,"_",D$3),'Unit List'!$A$14:$H$2838,2,FALSE)),"X",$B71)</f>
        <v/>
      </c>
      <c r="E71" s="179" t="str">
        <f>IF(ISTEXT(VLOOKUP(CONCATENATE($A71,"_",E$3),'Unit List'!$A$14:$H$2838,2,FALSE)),"X",$B71)</f>
        <v/>
      </c>
      <c r="F71" s="179" t="str">
        <f>IF(ISTEXT(VLOOKUP(CONCATENATE($A71,"_",F$3),'Unit List'!$A$14:$H$2838,2,FALSE)),"X",$B71)</f>
        <v/>
      </c>
      <c r="G71" s="179" t="str">
        <f>IF(ISTEXT(VLOOKUP(CONCATENATE($A71,"_",G$3),'Unit List'!$A$14:$H$2838,2,FALSE)),"X",$B71)</f>
        <v/>
      </c>
      <c r="H71" s="179" t="str">
        <f>IF(ISTEXT(VLOOKUP(CONCATENATE($A71,"_",H$3),'Unit List'!$A$14:$H$2838,2,FALSE)),"X",$B71)</f>
        <v/>
      </c>
      <c r="I71" s="181" t="str">
        <f>IF(ISTEXT(VLOOKUP(CONCATENATE($A71,"_",I$3),'Unit List'!$A$14:$H$2838,2,FALSE)),"X",$B71)</f>
        <v/>
      </c>
      <c r="J71" s="68" t="str">
        <f>IF(ISTEXT(VLOOKUP(CONCATENATE($A71,"_",J$3),'Unit List'!$A$14:$H$2838,2,FALSE)),"+","")</f>
        <v/>
      </c>
      <c r="K71" s="179" t="str">
        <f>IF(ISTEXT(VLOOKUP(CONCATENATE($A71,"_",K$3),'Unit List'!$A$14:$H$2838,2,FALSE)),"X",$J71)</f>
        <v/>
      </c>
      <c r="L71" s="111" t="str">
        <f>IF(ISTEXT(VLOOKUP(CONCATENATE($A71,"_",L$3),'Unit List'!$A$14:$H$2838,2,FALSE)),"X",$J71)</f>
        <v/>
      </c>
      <c r="M71" s="68" t="str">
        <f>IF(ISTEXT(VLOOKUP(CONCATENATE($A71,"_",M$3),'Unit List'!$A$14:$H$2838,2,FALSE)),"+","")</f>
        <v/>
      </c>
      <c r="N71" s="179" t="str">
        <f>IF(ISTEXT(VLOOKUP(CONCATENATE($A71,"_",N$3),'Unit List'!$A$14:$H$2838,2,FALSE)),"X",$M71)</f>
        <v/>
      </c>
      <c r="O71" s="181" t="str">
        <f>IF(ISTEXT(VLOOKUP(CONCATENATE($A71,"_",O$3),'Unit List'!$A$14:$H$2838,2,FALSE)),"X",$M71)</f>
        <v/>
      </c>
      <c r="P71" s="68" t="str">
        <f>IF(ISTEXT(VLOOKUP(CONCATENATE($A71,"_",P$3),'Unit List'!$A$14:$H$2838,2,FALSE)),"+","")</f>
        <v/>
      </c>
      <c r="Q71" s="179" t="str">
        <f>IF(ISTEXT(VLOOKUP(CONCATENATE($A71,"_",Q$3),'Unit List'!$A$14:$H$2838,2,FALSE)),"X",$P71)</f>
        <v/>
      </c>
      <c r="R71" s="179" t="str">
        <f>IF(ISTEXT(VLOOKUP(CONCATENATE($A71,"_",R$3),'Unit List'!$A$14:$H$2838,2,FALSE)),"X",$P71)</f>
        <v/>
      </c>
      <c r="S71" s="179" t="str">
        <f>IF(ISTEXT(VLOOKUP(CONCATENATE($A71,"_",S$3),'Unit List'!$A$14:$H$2838,2,FALSE)),"X",$P71)</f>
        <v/>
      </c>
      <c r="T71" s="180" t="str">
        <f>IF(ISTEXT(VLOOKUP(CONCATENATE($A71,"_",T$3),'Unit List'!$A$14:$H$2838,2,FALSE)),"X",$P71)</f>
        <v/>
      </c>
      <c r="U71" s="179" t="str">
        <f>IF(ISTEXT(VLOOKUP(CONCATENATE($A71,"_",U$3),'Unit List'!$A$14:$H$2838,2,FALSE)),"X",$P71)</f>
        <v/>
      </c>
      <c r="V71" s="179" t="str">
        <f>IF(ISTEXT(VLOOKUP(CONCATENATE($A71,"_",V$3),'Unit List'!$A$14:$H$2838,2,FALSE)),"X",$P71)</f>
        <v/>
      </c>
      <c r="W71" s="181" t="str">
        <f>IF(ISTEXT(VLOOKUP(CONCATENATE($A71,"_",W$3),'Unit List'!$A$14:$H$2838,2,FALSE)),"X",$P71)</f>
        <v/>
      </c>
      <c r="X71" s="68" t="str">
        <f>IF(ISTEXT(VLOOKUP(CONCATENATE($A71,"_",X$3),'Unit List'!$A$14:$H$2838,2,FALSE)),"+","")</f>
        <v/>
      </c>
      <c r="Y71" s="179" t="str">
        <f>IF(ISTEXT(VLOOKUP(CONCATENATE($A71,"_",Y$3),'Unit List'!$A$14:$H$2838,2,FALSE)),"X",$X71)</f>
        <v/>
      </c>
      <c r="Z71" s="179" t="str">
        <f>IF(ISTEXT(VLOOKUP(CONCATENATE($A71,"_",Z$3),'Unit List'!$A$14:$H$2838,2,FALSE)),"X",$X71)</f>
        <v/>
      </c>
      <c r="AA71" s="179" t="str">
        <f>IF(ISTEXT(VLOOKUP(CONCATENATE($A71,"_",AA$3),'Unit List'!$A$14:$H$2838,2,FALSE)),"X",$X71)</f>
        <v/>
      </c>
      <c r="AB71" s="179" t="str">
        <f>IF(ISTEXT(VLOOKUP(CONCATENATE($A71,"_",AB$3),'Unit List'!$A$14:$H$2838,2,FALSE)),"X",$X71)</f>
        <v/>
      </c>
      <c r="AC71" s="111" t="str">
        <f>IF(ISTEXT(VLOOKUP(CONCATENATE($A71,"_",AC$3),'Unit List'!$A$14:$H$2838,2,FALSE)),"X",$X71)</f>
        <v/>
      </c>
      <c r="AD71" s="68" t="str">
        <f>IF(ISTEXT(VLOOKUP(CONCATENATE($A71,"_",AD$3),'Unit List'!$A$14:$H$2838,2,FALSE)),"+","")</f>
        <v/>
      </c>
      <c r="AE71" s="179" t="str">
        <f>IF(ISTEXT(VLOOKUP(CONCATENATE($A71,"_",AE$3),'Unit List'!$A$14:$H$2838,2,FALSE)),"X",$AD71)</f>
        <v/>
      </c>
      <c r="AF71" s="179" t="str">
        <f>IF(ISTEXT(VLOOKUP(CONCATENATE($A71,"_",AF$3),'Unit List'!$A$14:$H$2838,2,FALSE)),"X",$AD71)</f>
        <v/>
      </c>
      <c r="AG71" s="68" t="str">
        <f>IF(ISTEXT(VLOOKUP(CONCATENATE($A71,"_",AG$3),'Unit List'!$A$14:$H$2838,2,FALSE)),"+","")</f>
        <v/>
      </c>
      <c r="AH71" s="179" t="str">
        <f>IF(ISTEXT(VLOOKUP(CONCATENATE($A71,"_",AH$3),'Unit List'!$A$14:$H$2838,2,FALSE)),"X",$AG71)</f>
        <v/>
      </c>
      <c r="AI71" s="179" t="str">
        <f>IF(ISTEXT(VLOOKUP(CONCATENATE($A71,"_",AI$3),'Unit List'!$A$14:$H$2838,2,FALSE)),"X",$AG71)</f>
        <v/>
      </c>
      <c r="AJ71" s="181" t="str">
        <f>IF(ISTEXT(VLOOKUP(CONCATENATE($A71,"_",AJ$3),'Unit List'!$A$14:$H$2838,2,FALSE)),"X",$AG71)</f>
        <v/>
      </c>
      <c r="AK71" s="68" t="str">
        <f>IF(ISTEXT(VLOOKUP(CONCATENATE($A71,"_",AK$3),'Unit List'!$A$14:$H$2838,2,FALSE)),"+","")</f>
        <v/>
      </c>
      <c r="AL71" s="180" t="str">
        <f>IF(ISTEXT(VLOOKUP(CONCATENATE($A71,"_",AL$3),'Unit List'!$A$14:$H$2838,2,FALSE)),"X",$AK71)</f>
        <v/>
      </c>
      <c r="AM71" s="181" t="str">
        <f>IF(ISTEXT(VLOOKUP(CONCATENATE($A71,"_",AM$3),'Unit List'!$A$14:$H$2838,2,FALSE)),"X",$AK71)</f>
        <v/>
      </c>
      <c r="AN71" s="91" t="str">
        <f>IF(ISTEXT(VLOOKUP(CONCATENATE($A71,"_",AN$3),'Unit List'!$A$14:$H$2838,2,FALSE)),"+","")</f>
        <v/>
      </c>
      <c r="AO71" s="181" t="str">
        <f>IF(ISTEXT(VLOOKUP(CONCATENATE($A71,"_",AO$3),'Unit List'!$A$14:$H$2838,2,FALSE)),"X",$AN71)</f>
        <v/>
      </c>
      <c r="AP71" s="68" t="str">
        <f>IF(ISTEXT(VLOOKUP(CONCATENATE($A71,"_",AP$3),'Unit List'!$A$14:$H$2838,2,FALSE)),"+","")</f>
        <v/>
      </c>
      <c r="AQ71" s="179" t="str">
        <f>IF(ISTEXT(VLOOKUP(CONCATENATE($A71,"_",AQ$3),'Unit List'!$A$14:$H$2838,2,FALSE)),"X",$AP71)</f>
        <v/>
      </c>
      <c r="AR71" s="179" t="str">
        <f>IF(ISTEXT(VLOOKUP(CONCATENATE($A71,"_",AR$3),'Unit List'!$A$14:$H$2838,2,FALSE)),"X",$AP71)</f>
        <v/>
      </c>
      <c r="AS71" s="179" t="str">
        <f>IF(ISTEXT(VLOOKUP(CONCATENATE($A71,"_",AS$3),'Unit List'!$A$14:$H$2838,2,FALSE)),"X",$AP71)</f>
        <v/>
      </c>
      <c r="AT71" s="181" t="str">
        <f>IF(ISTEXT(VLOOKUP(CONCATENATE($A71,"_",AT$3),'Unit List'!$A$14:$H$2838,2,FALSE)),"X",$AP71)</f>
        <v/>
      </c>
      <c r="AU71" s="77" t="str">
        <f>IF(ISTEXT(VLOOKUP(CONCATENATE($A71,"_",AU$3),'Unit List'!$A$14:$H$2838,2,FALSE)),"+","")</f>
        <v/>
      </c>
      <c r="AV71" s="179" t="str">
        <f>IF(ISTEXT(VLOOKUP(CONCATENATE($A71,"_",AV$3),'Unit List'!$A$14:$H$2838,2,FALSE)),"X",$AU71)</f>
        <v/>
      </c>
      <c r="AW71" s="181" t="str">
        <f>IF(ISTEXT(VLOOKUP(CONCATENATE($A71,"_",AW$3),'Unit List'!$A$14:$H$2838,2,FALSE)),"X",$AU71)</f>
        <v/>
      </c>
      <c r="AX71" s="68" t="str">
        <f>IF(ISTEXT(VLOOKUP(CONCATENATE($A71,"_",AX$3),'Unit List'!$A$14:$H$2838,2,FALSE)),"+","")</f>
        <v/>
      </c>
      <c r="AY71" s="179" t="str">
        <f>IF(ISTEXT(VLOOKUP(CONCATENATE($A71,"_",AY$3),'Unit List'!$A$14:$H$2838,2,FALSE)),"X",$AX71)</f>
        <v/>
      </c>
      <c r="AZ71" s="181" t="str">
        <f>IF(ISTEXT(VLOOKUP(CONCATENATE($A71,"_",AZ$3),'Unit List'!$A$14:$H$2838,2,FALSE)),"X",$AX71)</f>
        <v/>
      </c>
      <c r="BA71" s="78" t="str">
        <f>IF(ISTEXT(VLOOKUP(CONCATENATE($A71,"_",BA$3),'Unit List'!$A$14:$H$2838,2,FALSE)),"+","")</f>
        <v/>
      </c>
      <c r="BB71" s="179" t="str">
        <f>IF(ISTEXT(VLOOKUP(CONCATENATE($A71,"_",BB$3),'Unit List'!$A$14:$H$2838,2,FALSE)),"X",$BA71)</f>
        <v/>
      </c>
      <c r="BC71" s="179" t="str">
        <f>IF(ISTEXT(VLOOKUP(CONCATENATE($A71,"_",BC$3),'Unit List'!$A$14:$H$2838,2,FALSE)),"X",$BA71)</f>
        <v/>
      </c>
      <c r="BD71" s="181" t="str">
        <f>IF(ISTEXT(VLOOKUP(CONCATENATE($A71,"_",BD$3),'Unit List'!$A$14:$H$2838,2,FALSE)),"X",$BA71)</f>
        <v/>
      </c>
      <c r="BE71" s="91" t="str">
        <f>IF(ISTEXT(VLOOKUP(CONCATENATE($A71,"_",BE$3),'Unit List'!$A$14:$H$2838,2,FALSE)),"+","")</f>
        <v/>
      </c>
      <c r="BF71" s="111" t="str">
        <f>IF(ISTEXT(VLOOKUP(CONCATENATE($A71,"_",BF$3),'Unit List'!$A$14:$H$2838,2,FALSE)),"X",$BE71)</f>
        <v/>
      </c>
      <c r="BG71" s="111"/>
      <c r="BH71" s="121"/>
      <c r="BI71" s="264"/>
      <c r="BJ71" s="265"/>
      <c r="BK71" s="265"/>
      <c r="BL71" s="265"/>
      <c r="BM71" s="266"/>
      <c r="BN71" s="81"/>
      <c r="BO71" s="81"/>
      <c r="BP71" s="81"/>
      <c r="BQ71" s="81"/>
      <c r="BR71" s="81"/>
      <c r="BS71" s="81"/>
      <c r="DZ71" s="82"/>
      <c r="EA71" s="82"/>
    </row>
    <row r="72" spans="1:131" ht="12.75" customHeight="1" x14ac:dyDescent="0.2">
      <c r="A72" s="208" t="s">
        <v>1117</v>
      </c>
      <c r="B72" s="162" t="str">
        <f>IF(ISTEXT(VLOOKUP(CONCATENATE($A72,"_",B$3),'Unit List'!$A$14:$H$2838,2,FALSE)),"+","")</f>
        <v/>
      </c>
      <c r="C72" s="209" t="str">
        <f>IF(ISTEXT(VLOOKUP(CONCATENATE($A72,"_",C$3),'Unit List'!$A$14:$H$2838,2,FALSE)),"X",$B72)</f>
        <v/>
      </c>
      <c r="D72" s="210" t="str">
        <f>IF(ISTEXT(VLOOKUP(CONCATENATE($A72,"_",D$3),'Unit List'!$A$14:$H$2838,2,FALSE)),"X",$B72)</f>
        <v/>
      </c>
      <c r="E72" s="210" t="str">
        <f>IF(ISTEXT(VLOOKUP(CONCATENATE($A72,"_",E$3),'Unit List'!$A$14:$H$2838,2,FALSE)),"X",$B72)</f>
        <v/>
      </c>
      <c r="F72" s="210" t="str">
        <f>IF(ISTEXT(VLOOKUP(CONCATENATE($A72,"_",F$3),'Unit List'!$A$14:$H$2838,2,FALSE)),"X",$B72)</f>
        <v/>
      </c>
      <c r="G72" s="210" t="str">
        <f>IF(ISTEXT(VLOOKUP(CONCATENATE($A72,"_",G$3),'Unit List'!$A$14:$H$2838,2,FALSE)),"X",$B72)</f>
        <v/>
      </c>
      <c r="H72" s="210" t="str">
        <f>IF(ISTEXT(VLOOKUP(CONCATENATE($A72,"_",H$3),'Unit List'!$A$14:$H$2838,2,FALSE)),"X",$B72)</f>
        <v/>
      </c>
      <c r="I72" s="211" t="str">
        <f>IF(ISTEXT(VLOOKUP(CONCATENATE($A72,"_",I$3),'Unit List'!$A$14:$H$2838,2,FALSE)),"X",$B72)</f>
        <v/>
      </c>
      <c r="J72" s="169" t="str">
        <f>IF(ISTEXT(VLOOKUP(CONCATENATE($A72,"_",J$3),'Unit List'!$A$14:$H$2838,2,FALSE)),"+","")</f>
        <v/>
      </c>
      <c r="K72" s="210" t="str">
        <f>IF(ISTEXT(VLOOKUP(CONCATENATE($A72,"_",K$3),'Unit List'!$A$14:$H$2838,2,FALSE)),"X",$J72)</f>
        <v/>
      </c>
      <c r="L72" s="175" t="str">
        <f>IF(ISTEXT(VLOOKUP(CONCATENATE($A72,"_",L$3),'Unit List'!$A$14:$H$2838,2,FALSE)),"X",$J72)</f>
        <v/>
      </c>
      <c r="M72" s="169" t="str">
        <f>IF(ISTEXT(VLOOKUP(CONCATENATE($A72,"_",M$3),'Unit List'!$A$14:$H$2838,2,FALSE)),"+","")</f>
        <v/>
      </c>
      <c r="N72" s="210" t="str">
        <f>IF(ISTEXT(VLOOKUP(CONCATENATE($A72,"_",N$3),'Unit List'!$A$14:$H$2838,2,FALSE)),"X",$M72)</f>
        <v/>
      </c>
      <c r="O72" s="211" t="str">
        <f>IF(ISTEXT(VLOOKUP(CONCATENATE($A72,"_",O$3),'Unit List'!$A$14:$H$2838,2,FALSE)),"X",$M72)</f>
        <v/>
      </c>
      <c r="P72" s="169" t="str">
        <f>IF(ISTEXT(VLOOKUP(CONCATENATE($A72,"_",P$3),'Unit List'!$A$14:$H$2838,2,FALSE)),"+","")</f>
        <v/>
      </c>
      <c r="Q72" s="210" t="str">
        <f>IF(ISTEXT(VLOOKUP(CONCATENATE($A72,"_",Q$3),'Unit List'!$A$14:$H$2838,2,FALSE)),"X",$P72)</f>
        <v/>
      </c>
      <c r="R72" s="210" t="str">
        <f>IF(ISTEXT(VLOOKUP(CONCATENATE($A72,"_",R$3),'Unit List'!$A$14:$H$2838,2,FALSE)),"X",$P72)</f>
        <v/>
      </c>
      <c r="S72" s="210" t="str">
        <f>IF(ISTEXT(VLOOKUP(CONCATENATE($A72,"_",S$3),'Unit List'!$A$14:$H$2838,2,FALSE)),"X",$P72)</f>
        <v/>
      </c>
      <c r="T72" s="212" t="str">
        <f>IF(ISTEXT(VLOOKUP(CONCATENATE($A72,"_",T$3),'Unit List'!$A$14:$H$2838,2,FALSE)),"X",$P72)</f>
        <v/>
      </c>
      <c r="U72" s="210" t="str">
        <f>IF(ISTEXT(VLOOKUP(CONCATENATE($A72,"_",U$3),'Unit List'!$A$14:$H$2838,2,FALSE)),"X",$P72)</f>
        <v/>
      </c>
      <c r="V72" s="210" t="str">
        <f>IF(ISTEXT(VLOOKUP(CONCATENATE($A72,"_",V$3),'Unit List'!$A$14:$H$2838,2,FALSE)),"X",$P72)</f>
        <v/>
      </c>
      <c r="W72" s="211" t="str">
        <f>IF(ISTEXT(VLOOKUP(CONCATENATE($A72,"_",W$3),'Unit List'!$A$14:$H$2838,2,FALSE)),"X",$P72)</f>
        <v/>
      </c>
      <c r="X72" s="169" t="str">
        <f>IF(ISTEXT(VLOOKUP(CONCATENATE($A72,"_",X$3),'Unit List'!$A$14:$H$2838,2,FALSE)),"+","")</f>
        <v/>
      </c>
      <c r="Y72" s="210" t="str">
        <f>IF(ISTEXT(VLOOKUP(CONCATENATE($A72,"_",Y$3),'Unit List'!$A$14:$H$2838,2,FALSE)),"X",$X72)</f>
        <v/>
      </c>
      <c r="Z72" s="210" t="str">
        <f>IF(ISTEXT(VLOOKUP(CONCATENATE($A72,"_",Z$3),'Unit List'!$A$14:$H$2838,2,FALSE)),"X",$X72)</f>
        <v/>
      </c>
      <c r="AA72" s="210" t="str">
        <f>IF(ISTEXT(VLOOKUP(CONCATENATE($A72,"_",AA$3),'Unit List'!$A$14:$H$2838,2,FALSE)),"X",$X72)</f>
        <v/>
      </c>
      <c r="AB72" s="210" t="str">
        <f>IF(ISTEXT(VLOOKUP(CONCATENATE($A72,"_",AB$3),'Unit List'!$A$14:$H$2838,2,FALSE)),"X",$X72)</f>
        <v/>
      </c>
      <c r="AC72" s="175" t="str">
        <f>IF(ISTEXT(VLOOKUP(CONCATENATE($A72,"_",AC$3),'Unit List'!$A$14:$H$2838,2,FALSE)),"X",$X72)</f>
        <v/>
      </c>
      <c r="AD72" s="169" t="str">
        <f>IF(ISTEXT(VLOOKUP(CONCATENATE($A72,"_",AD$3),'Unit List'!$A$14:$H$2838,2,FALSE)),"+","")</f>
        <v/>
      </c>
      <c r="AE72" s="210" t="str">
        <f>IF(ISTEXT(VLOOKUP(CONCATENATE($A72,"_",AE$3),'Unit List'!$A$14:$H$2838,2,FALSE)),"X",$AD72)</f>
        <v/>
      </c>
      <c r="AF72" s="211" t="str">
        <f>IF(ISTEXT(VLOOKUP(CONCATENATE($A72,"_",AF$3),'Unit List'!$A$14:$H$2838,2,FALSE)),"X",$AD72)</f>
        <v/>
      </c>
      <c r="AG72" s="169" t="str">
        <f>IF(ISTEXT(VLOOKUP(CONCATENATE($A72,"_",AG$3),'Unit List'!$A$14:$H$2838,2,FALSE)),"+","")</f>
        <v/>
      </c>
      <c r="AH72" s="210" t="str">
        <f>IF(ISTEXT(VLOOKUP(CONCATENATE($A72,"_",AH$3),'Unit List'!$A$14:$H$2838,2,FALSE)),"X",$AG72)</f>
        <v/>
      </c>
      <c r="AI72" s="210" t="str">
        <f>IF(ISTEXT(VLOOKUP(CONCATENATE($A72,"_",AI$3),'Unit List'!$A$14:$H$2838,2,FALSE)),"X",$AG72)</f>
        <v/>
      </c>
      <c r="AJ72" s="211" t="str">
        <f>IF(ISTEXT(VLOOKUP(CONCATENATE($A72,"_",AJ$3),'Unit List'!$A$14:$H$2838,2,FALSE)),"X",$AG72)</f>
        <v/>
      </c>
      <c r="AK72" s="169" t="str">
        <f>IF(ISTEXT(VLOOKUP(CONCATENATE($A72,"_",AK$3),'Unit List'!$A$14:$H$2838,2,FALSE)),"+","")</f>
        <v/>
      </c>
      <c r="AL72" s="212" t="str">
        <f>IF(ISTEXT(VLOOKUP(CONCATENATE($A72,"_",AL$3),'Unit List'!$A$14:$H$2838,2,FALSE)),"X",$AK72)</f>
        <v/>
      </c>
      <c r="AM72" s="211" t="str">
        <f>IF(ISTEXT(VLOOKUP(CONCATENATE($A72,"_",AM$3),'Unit List'!$A$14:$H$2838,2,FALSE)),"X",$AK72)</f>
        <v/>
      </c>
      <c r="AN72" s="172" t="str">
        <f>IF(ISTEXT(VLOOKUP(CONCATENATE($A72,"_",AN$3),'Unit List'!$A$14:$H$2838,2,FALSE)),"+","")</f>
        <v/>
      </c>
      <c r="AO72" s="211" t="str">
        <f>IF(ISTEXT(VLOOKUP(CONCATENATE($A72,"_",AO$3),'Unit List'!$A$14:$H$2838,2,FALSE)),"X",$AN72)</f>
        <v/>
      </c>
      <c r="AP72" s="169" t="str">
        <f>IF(ISTEXT(VLOOKUP(CONCATENATE($A72,"_",AP$3),'Unit List'!$A$14:$H$2838,2,FALSE)),"+","")</f>
        <v/>
      </c>
      <c r="AQ72" s="210" t="str">
        <f>IF(ISTEXT(VLOOKUP(CONCATENATE($A72,"_",AQ$3),'Unit List'!$A$14:$H$2838,2,FALSE)),"X",$AP72)</f>
        <v/>
      </c>
      <c r="AR72" s="210" t="str">
        <f>IF(ISTEXT(VLOOKUP(CONCATENATE($A72,"_",AR$3),'Unit List'!$A$14:$H$2838,2,FALSE)),"X",$AP72)</f>
        <v/>
      </c>
      <c r="AS72" s="210" t="str">
        <f>IF(ISTEXT(VLOOKUP(CONCATENATE($A72,"_",AS$3),'Unit List'!$A$14:$H$2838,2,FALSE)),"X",$AP72)</f>
        <v/>
      </c>
      <c r="AT72" s="211" t="str">
        <f>IF(ISTEXT(VLOOKUP(CONCATENATE($A72,"_",AT$3),'Unit List'!$A$14:$H$2838,2,FALSE)),"X",$AP72)</f>
        <v/>
      </c>
      <c r="AU72" s="173" t="str">
        <f>IF(ISTEXT(VLOOKUP(CONCATENATE($A72,"_",AU$3),'Unit List'!$A$14:$H$2838,2,FALSE)),"+","")</f>
        <v/>
      </c>
      <c r="AV72" s="210" t="str">
        <f>IF(ISTEXT(VLOOKUP(CONCATENATE($A72,"_",AV$3),'Unit List'!$A$14:$H$2838,2,FALSE)),"X",$AU72)</f>
        <v/>
      </c>
      <c r="AW72" s="211" t="str">
        <f>IF(ISTEXT(VLOOKUP(CONCATENATE($A72,"_",AW$3),'Unit List'!$A$14:$H$2838,2,FALSE)),"X",$AU72)</f>
        <v/>
      </c>
      <c r="AX72" s="169" t="str">
        <f>IF(ISTEXT(VLOOKUP(CONCATENATE($A72,"_",AX$3),'Unit List'!$A$14:$H$2838,2,FALSE)),"+","")</f>
        <v/>
      </c>
      <c r="AY72" s="210" t="str">
        <f>IF(ISTEXT(VLOOKUP(CONCATENATE($A72,"_",AY$3),'Unit List'!$A$14:$H$2838,2,FALSE)),"X",$AX72)</f>
        <v/>
      </c>
      <c r="AZ72" s="211" t="str">
        <f>IF(ISTEXT(VLOOKUP(CONCATENATE($A72,"_",AZ$3),'Unit List'!$A$14:$H$2838,2,FALSE)),"X",$AX72)</f>
        <v/>
      </c>
      <c r="BA72" s="174" t="str">
        <f>IF(ISTEXT(VLOOKUP(CONCATENATE($A72,"_",BA$3),'Unit List'!$A$14:$H$2838,2,FALSE)),"+","")</f>
        <v/>
      </c>
      <c r="BB72" s="210" t="str">
        <f>IF(ISTEXT(VLOOKUP(CONCATENATE($A72,"_",BB$3),'Unit List'!$A$14:$H$2838,2,FALSE)),"X",$BA72)</f>
        <v/>
      </c>
      <c r="BC72" s="210" t="str">
        <f>IF(ISTEXT(VLOOKUP(CONCATENATE($A72,"_",BC$3),'Unit List'!$A$14:$H$2838,2,FALSE)),"X",$BA72)</f>
        <v/>
      </c>
      <c r="BD72" s="211" t="str">
        <f>IF(ISTEXT(VLOOKUP(CONCATENATE($A72,"_",BD$3),'Unit List'!$A$14:$H$2838,2,FALSE)),"X",$BA72)</f>
        <v/>
      </c>
      <c r="BE72" s="172" t="str">
        <f>IF(ISTEXT(VLOOKUP(CONCATENATE($A72,"_",BE$3),'Unit List'!$A$14:$H$2838,2,FALSE)),"+","")</f>
        <v/>
      </c>
      <c r="BF72" s="175" t="str">
        <f>IF(ISTEXT(VLOOKUP(CONCATENATE($A72,"_",BF$3),'Unit List'!$A$14:$H$2838,2,FALSE)),"X",$BE72)</f>
        <v/>
      </c>
      <c r="BG72" s="175"/>
      <c r="BH72" s="176"/>
      <c r="BI72" s="267"/>
      <c r="BJ72" s="268"/>
      <c r="BK72" s="268"/>
      <c r="BL72" s="268"/>
      <c r="BM72" s="269"/>
      <c r="BN72" s="81"/>
      <c r="BO72" s="81"/>
      <c r="BP72" s="81"/>
      <c r="BQ72" s="81"/>
      <c r="BR72" s="81"/>
      <c r="BS72" s="81"/>
      <c r="DZ72" s="82"/>
      <c r="EA72" s="82"/>
    </row>
    <row r="73" spans="1:131" ht="12.75" customHeight="1" x14ac:dyDescent="0.2">
      <c r="A73" s="177" t="s">
        <v>1912</v>
      </c>
      <c r="B73" s="59"/>
      <c r="C73" s="178"/>
      <c r="D73" s="179"/>
      <c r="E73" s="179"/>
      <c r="F73" s="179"/>
      <c r="G73" s="179"/>
      <c r="H73" s="179"/>
      <c r="I73" s="111"/>
      <c r="J73" s="68"/>
      <c r="K73" s="180"/>
      <c r="L73" s="181"/>
      <c r="M73" s="78" t="str">
        <f>IF(ISTEXT(VLOOKUP(CONCATENATE($A73,"_",M$3),'Unit List'!$A$14:$H$2838,2,FALSE)),"+","")</f>
        <v/>
      </c>
      <c r="N73" s="179"/>
      <c r="O73" s="111"/>
      <c r="P73" s="78"/>
      <c r="Q73" s="179"/>
      <c r="R73" s="179"/>
      <c r="S73" s="180"/>
      <c r="T73" s="180"/>
      <c r="U73" s="179"/>
      <c r="V73" s="179"/>
      <c r="W73" s="111"/>
      <c r="X73" s="78"/>
      <c r="Y73" s="179"/>
      <c r="Z73" s="182"/>
      <c r="AA73" s="182"/>
      <c r="AB73" s="179"/>
      <c r="AC73" s="111"/>
      <c r="AD73" s="78"/>
      <c r="AE73" s="179"/>
      <c r="AF73" s="182"/>
      <c r="AG73" s="78"/>
      <c r="AH73" s="183"/>
      <c r="AI73" s="183"/>
      <c r="AJ73" s="111"/>
      <c r="AK73" s="78"/>
      <c r="AL73" s="180"/>
      <c r="AM73" s="111"/>
      <c r="AN73" s="78"/>
      <c r="AO73" s="111"/>
      <c r="AP73" s="78"/>
      <c r="AQ73" s="179"/>
      <c r="AR73" s="179"/>
      <c r="AS73" s="179"/>
      <c r="AT73" s="111"/>
      <c r="AU73" s="184"/>
      <c r="AV73" s="179"/>
      <c r="AW73" s="181"/>
      <c r="AX73" s="78"/>
      <c r="AY73" s="179"/>
      <c r="AZ73" s="111"/>
      <c r="BA73" s="78"/>
      <c r="BB73" s="185"/>
      <c r="BC73" s="179"/>
      <c r="BD73" s="181"/>
      <c r="BE73" s="186"/>
      <c r="BF73" s="181"/>
      <c r="BG73" s="111"/>
      <c r="BH73" s="93"/>
      <c r="BI73" s="270"/>
      <c r="BJ73" s="271"/>
      <c r="BK73" s="271"/>
      <c r="BL73" s="271"/>
      <c r="BM73" s="272"/>
      <c r="BN73" s="81"/>
      <c r="BO73" s="81"/>
      <c r="BP73" s="81"/>
      <c r="BQ73" s="81"/>
      <c r="BR73" s="81"/>
      <c r="BS73" s="81"/>
      <c r="DZ73" s="82"/>
      <c r="EA73" s="82"/>
    </row>
    <row r="74" spans="1:131" ht="12.75" customHeight="1" x14ac:dyDescent="0.2">
      <c r="A74" s="189" t="s">
        <v>1118</v>
      </c>
      <c r="B74" s="59" t="str">
        <f>IF(ISTEXT(VLOOKUP(CONCATENATE($A74,"_",B$3),'Unit List'!$A$14:$H$2838,2,FALSE)),"+","")</f>
        <v/>
      </c>
      <c r="C74" s="178" t="str">
        <f>IF(ISTEXT(VLOOKUP(CONCATENATE($A74,"_",C$3),'Unit List'!$A$14:$H$2838,2,FALSE)),"X",$B74)</f>
        <v/>
      </c>
      <c r="D74" s="179" t="str">
        <f>IF(ISTEXT(VLOOKUP(CONCATENATE($A74,"_",D$3),'Unit List'!$A$14:$H$2838,2,FALSE)),"X",$B74)</f>
        <v/>
      </c>
      <c r="E74" s="179" t="str">
        <f>IF(ISTEXT(VLOOKUP(CONCATENATE($A74,"_",E$3),'Unit List'!$A$14:$H$2838,2,FALSE)),"X",$B74)</f>
        <v/>
      </c>
      <c r="F74" s="179" t="str">
        <f>IF(ISTEXT(VLOOKUP(CONCATENATE($A74,"_",F$3),'Unit List'!$A$14:$H$2838,2,FALSE)),"X",$B74)</f>
        <v/>
      </c>
      <c r="G74" s="179" t="str">
        <f>IF(ISTEXT(VLOOKUP(CONCATENATE($A74,"_",G$3),'Unit List'!$A$14:$H$2838,2,FALSE)),"X",$B74)</f>
        <v/>
      </c>
      <c r="H74" s="179" t="str">
        <f>IF(ISTEXT(VLOOKUP(CONCATENATE($A74,"_",H$3),'Unit List'!$A$14:$H$2838,2,FALSE)),"X",$B74)</f>
        <v/>
      </c>
      <c r="I74" s="181" t="str">
        <f>IF(ISTEXT(VLOOKUP(CONCATENATE($A74,"_",I$3),'Unit List'!$A$14:$H$2838,2,FALSE)),"X",$B74)</f>
        <v/>
      </c>
      <c r="J74" s="64" t="s">
        <v>2321</v>
      </c>
      <c r="K74" s="213" t="s">
        <v>0</v>
      </c>
      <c r="L74" s="192" t="str">
        <f>IF(ISTEXT(VLOOKUP(CONCATENATE($A74,"_",L$3),'Unit List'!$A$14:$H$2838,2,FALSE)),"X",$J74)</f>
        <v>*</v>
      </c>
      <c r="M74" s="64" t="str">
        <f>IF(ISTEXT(VLOOKUP(CONCATENATE($A74,"_",M$3),'Unit List'!$A$14:$H$2838,2,FALSE)),"+","")</f>
        <v/>
      </c>
      <c r="N74" s="179" t="str">
        <f>IF(ISTEXT(VLOOKUP(CONCATENATE($A74,"_",N$3),'Unit List'!$A$14:$H$2838,2,FALSE)),"X",$M74)</f>
        <v/>
      </c>
      <c r="O74" s="181" t="str">
        <f>IF(ISTEXT(VLOOKUP(CONCATENATE($A74,"_",O$3),'Unit List'!$A$14:$H$2838,2,FALSE)),"X",$M74)</f>
        <v/>
      </c>
      <c r="P74" s="68" t="str">
        <f>IF(ISTEXT(VLOOKUP(CONCATENATE($A74,"_",P$3),'Unit List'!$A$14:$H$2838,2,FALSE)),"+","")</f>
        <v/>
      </c>
      <c r="Q74" s="179" t="str">
        <f>IF(ISTEXT(VLOOKUP(CONCATENATE($A74,"_",Q$3),'Unit List'!$A$14:$H$2838,2,FALSE)),"X",$P74)</f>
        <v/>
      </c>
      <c r="R74" s="179" t="str">
        <f>IF(ISTEXT(VLOOKUP(CONCATENATE($A74,"_",R$3),'Unit List'!$A$14:$H$2838,2,FALSE)),"X",$P74)</f>
        <v/>
      </c>
      <c r="S74" s="179" t="str">
        <f>IF(ISTEXT(VLOOKUP(CONCATENATE($A74,"_",S$3),'Unit List'!$A$14:$H$2838,2,FALSE)),"X",$P74)</f>
        <v/>
      </c>
      <c r="T74" s="180" t="str">
        <f>IF(ISTEXT(VLOOKUP(CONCATENATE($A74,"_",T$3),'Unit List'!$A$14:$H$2838,2,FALSE)),"X",$P74)</f>
        <v/>
      </c>
      <c r="U74" s="179" t="str">
        <f>IF(ISTEXT(VLOOKUP(CONCATENATE($A74,"_",U$3),'Unit List'!$A$14:$H$2838,2,FALSE)),"X",$P74)</f>
        <v/>
      </c>
      <c r="V74" s="179" t="str">
        <f>IF(ISTEXT(VLOOKUP(CONCATENATE($A74,"_",V$3),'Unit List'!$A$14:$H$2838,2,FALSE)),"X",$P74)</f>
        <v/>
      </c>
      <c r="W74" s="181" t="str">
        <f>IF(ISTEXT(VLOOKUP(CONCATENATE($A74,"_",W$3),'Unit List'!$A$14:$H$2838,2,FALSE)),"X",$P74)</f>
        <v/>
      </c>
      <c r="X74" s="64" t="s">
        <v>2321</v>
      </c>
      <c r="Y74" s="190" t="str">
        <f>IF(ISTEXT(VLOOKUP(CONCATENATE($A74,"_",Y$3),'Unit List'!$A$14:$H$2838,2,FALSE)),"X",$X74)</f>
        <v>*</v>
      </c>
      <c r="Z74" s="190" t="str">
        <f>IF(ISTEXT(VLOOKUP(CONCATENATE($A74,"_",Z$3),'Unit List'!$A$14:$H$2838,2,FALSE)),"X",$X74)</f>
        <v>*</v>
      </c>
      <c r="AA74" s="190" t="str">
        <f>IF(ISTEXT(VLOOKUP(CONCATENATE($A74,"_",AA$3),'Unit List'!$A$14:$H$2838,2,FALSE)),"X",$X74)</f>
        <v>*</v>
      </c>
      <c r="AB74" s="190" t="str">
        <f>IF(ISTEXT(VLOOKUP(CONCATENATE($A74,"_",AB$3),'Unit List'!$A$14:$H$2838,2,FALSE)),"X",$X74)</f>
        <v>*</v>
      </c>
      <c r="AC74" s="192" t="str">
        <f>IF(ISTEXT(VLOOKUP(CONCATENATE($A74,"_",AC$3),'Unit List'!$A$14:$H$2838,2,FALSE)),"X",$X74)</f>
        <v>*</v>
      </c>
      <c r="AD74" s="64" t="s">
        <v>2321</v>
      </c>
      <c r="AE74" s="179" t="str">
        <f>IF(ISTEXT(VLOOKUP(CONCATENATE($A74,"_",AE$3),'Unit List'!$A$14:$H$2838,2,FALSE)),"X",$AD74)</f>
        <v>*</v>
      </c>
      <c r="AF74" s="190" t="str">
        <f>IF(ISTEXT(VLOOKUP(CONCATENATE($A74,"_",AF$3),'Unit List'!$A$14:$H$2838,2,FALSE)),"X",$AD74)</f>
        <v>*</v>
      </c>
      <c r="AG74" s="64" t="s">
        <v>2321</v>
      </c>
      <c r="AH74" s="190" t="str">
        <f>IF(ISTEXT(VLOOKUP(CONCATENATE($A74,"_",AH$3),'Unit List'!$A$14:$H$2838,2,FALSE)),"X",$AG74)</f>
        <v>*</v>
      </c>
      <c r="AI74" s="190" t="str">
        <f>IF(ISTEXT(VLOOKUP(CONCATENATE($A74,"_",AI$3),'Unit List'!$A$14:$H$2838,2,FALSE)),"X",$AG74)</f>
        <v>*</v>
      </c>
      <c r="AJ74" s="191" t="str">
        <f>IF(ISTEXT(VLOOKUP(CONCATENATE($A74,"_",AJ$3),'Unit List'!$A$14:$H$2838,2,FALSE)),"X",$AG74)</f>
        <v>*</v>
      </c>
      <c r="AK74" s="64" t="str">
        <f>IF(ISTEXT(VLOOKUP(CONCATENATE($A74,"_",AK$3),'Unit List'!$A$14:$H$2838,2,FALSE)),"+","")</f>
        <v/>
      </c>
      <c r="AL74" s="180" t="str">
        <f>IF(ISTEXT(VLOOKUP(CONCATENATE($A74,"_",AL$3),'Unit List'!$A$14:$H$2838,2,FALSE)),"X",$AK74)</f>
        <v/>
      </c>
      <c r="AM74" s="181" t="str">
        <f>IF(ISTEXT(VLOOKUP(CONCATENATE($A74,"_",AM$3),'Unit List'!$A$14:$H$2838,2,FALSE)),"X",$AK74)</f>
        <v/>
      </c>
      <c r="AN74" s="91" t="str">
        <f>IF(ISTEXT(VLOOKUP(CONCATENATE($A74,"_",AN$3),'Unit List'!$A$14:$H$2838,2,FALSE)),"+","")</f>
        <v/>
      </c>
      <c r="AO74" s="214" t="str">
        <f>IF(ISTEXT(VLOOKUP(CONCATENATE($A74,"_",AO$3),'Unit List'!$A$14:$H$2838,2,FALSE)),"X",$AN74)</f>
        <v/>
      </c>
      <c r="AP74" s="68" t="str">
        <f>IF(ISTEXT(VLOOKUP(CONCATENATE($A74,"_",AP$3),'Unit List'!$A$14:$H$2838,2,FALSE)),"+","")</f>
        <v/>
      </c>
      <c r="AQ74" s="179" t="str">
        <f>IF(ISTEXT(VLOOKUP(CONCATENATE($A74,"_",AQ$3),'Unit List'!$A$14:$H$2838,2,FALSE)),"X",$AP74)</f>
        <v/>
      </c>
      <c r="AR74" s="179" t="str">
        <f>IF(ISTEXT(VLOOKUP(CONCATENATE($A74,"_",AR$3),'Unit List'!$A$14:$H$2838,2,FALSE)),"X",$AP74)</f>
        <v/>
      </c>
      <c r="AS74" s="179" t="str">
        <f>IF(ISTEXT(VLOOKUP(CONCATENATE($A74,"_",AS$3),'Unit List'!$A$14:$H$2838,2,FALSE)),"X",$AP74)</f>
        <v/>
      </c>
      <c r="AT74" s="181" t="str">
        <f>IF(ISTEXT(VLOOKUP(CONCATENATE($A74,"_",AT$3),'Unit List'!$A$14:$H$2838,2,FALSE)),"X",$AP74)</f>
        <v/>
      </c>
      <c r="AU74" s="77" t="str">
        <f>IF(ISTEXT(VLOOKUP(CONCATENATE($A74,"_",AU$3),'Unit List'!$A$14:$H$2838,2,FALSE)),"+","")</f>
        <v/>
      </c>
      <c r="AV74" s="179" t="str">
        <f>IF(ISTEXT(VLOOKUP(CONCATENATE($A74,"_",AV$3),'Unit List'!$A$14:$H$2838,2,FALSE)),"X",$AU74)</f>
        <v/>
      </c>
      <c r="AW74" s="181" t="str">
        <f>IF(ISTEXT(VLOOKUP(CONCATENATE($A74,"_",AW$3),'Unit List'!$A$14:$H$2838,2,FALSE)),"X",$AU74)</f>
        <v/>
      </c>
      <c r="AX74" s="97" t="s">
        <v>2321</v>
      </c>
      <c r="AY74" s="190" t="str">
        <f>IF(ISTEXT(VLOOKUP(CONCATENATE($A74,"_",AY$3),'Unit List'!$A$14:$H$2838,2,FALSE)),"X",$AX74)</f>
        <v>*</v>
      </c>
      <c r="AZ74" s="191" t="str">
        <f>IF(ISTEXT(VLOOKUP(CONCATENATE($A74,"_",AZ$3),'Unit List'!$A$14:$H$2838,2,FALSE)),"X",$AX74)</f>
        <v>*</v>
      </c>
      <c r="BA74" s="97" t="s">
        <v>2321</v>
      </c>
      <c r="BB74" s="198" t="str">
        <f>IF(ISTEXT(VLOOKUP(CONCATENATE($A74,"_",BB$3),'Unit List'!$A$14:$H$2838,2,FALSE)),"X",$BA74)</f>
        <v>*</v>
      </c>
      <c r="BC74" s="198" t="str">
        <f>IF(ISTEXT(VLOOKUP(CONCATENATE($A74,"_",BC$3),'Unit List'!$A$14:$H$2838,2,FALSE)),"X",$BA74)</f>
        <v>*</v>
      </c>
      <c r="BD74" s="191" t="str">
        <f>IF(ISTEXT(VLOOKUP(CONCATENATE($A74,"_",BD$3),'Unit List'!$A$14:$H$2838,2,FALSE)),"X",$BA74)</f>
        <v>*</v>
      </c>
      <c r="BE74" s="91" t="str">
        <f>IF(ISTEXT(VLOOKUP(CONCATENATE($A74,"_",BE$3),'Unit List'!$A$14:$H$2838,2,FALSE)),"+","")</f>
        <v/>
      </c>
      <c r="BF74" s="215" t="s">
        <v>0</v>
      </c>
      <c r="BG74" s="111"/>
      <c r="BH74" s="93" t="s">
        <v>0</v>
      </c>
      <c r="BI74" s="264"/>
      <c r="BJ74" s="265"/>
      <c r="BK74" s="265"/>
      <c r="BL74" s="265"/>
      <c r="BM74" s="266"/>
      <c r="BN74" s="81"/>
      <c r="BO74" s="81"/>
      <c r="BP74" s="81"/>
      <c r="BQ74" s="81"/>
      <c r="BR74" s="81"/>
      <c r="BS74" s="81"/>
      <c r="DZ74" s="82"/>
      <c r="EA74" s="82"/>
    </row>
    <row r="75" spans="1:131" ht="12.75" customHeight="1" x14ac:dyDescent="0.2">
      <c r="A75" s="189" t="s">
        <v>1119</v>
      </c>
      <c r="B75" s="216" t="s">
        <v>2321</v>
      </c>
      <c r="C75" s="217" t="str">
        <f>IF(ISTEXT(VLOOKUP(CONCATENATE($A75,"_",C$3),'Unit List'!$A$14:$H$2838,2,FALSE)),"X",$B75)</f>
        <v>*</v>
      </c>
      <c r="D75" s="190" t="str">
        <f>IF(ISTEXT(VLOOKUP(CONCATENATE($A75,"_",D$3),'Unit List'!$A$14:$H$2838,2,FALSE)),"X",$B75)</f>
        <v>*</v>
      </c>
      <c r="E75" s="190" t="str">
        <f>IF(ISTEXT(VLOOKUP(CONCATENATE($A75,"_",E$3),'Unit List'!$A$14:$H$2838,2,FALSE)),"X",$B75)</f>
        <v>*</v>
      </c>
      <c r="F75" s="190" t="str">
        <f>IF(ISTEXT(VLOOKUP(CONCATENATE($A75,"_",F$3),'Unit List'!$A$14:$H$2838,2,FALSE)),"X",$B75)</f>
        <v>*</v>
      </c>
      <c r="G75" s="190" t="str">
        <f>IF(ISTEXT(VLOOKUP(CONCATENATE($A75,"_",G$3),'Unit List'!$A$14:$H$2838,2,FALSE)),"X",$B75)</f>
        <v>*</v>
      </c>
      <c r="H75" s="190" t="str">
        <f>IF(ISTEXT(VLOOKUP(CONCATENATE($A75,"_",H$3),'Unit List'!$A$14:$H$2838,2,FALSE)),"X",$B75)</f>
        <v>*</v>
      </c>
      <c r="I75" s="191" t="str">
        <f>IF(ISTEXT(VLOOKUP(CONCATENATE($A75,"_",I$3),'Unit List'!$A$14:$H$2838,2,FALSE)),"X",$B75)</f>
        <v>*</v>
      </c>
      <c r="J75" s="64" t="s">
        <v>2321</v>
      </c>
      <c r="K75" s="190" t="str">
        <f>IF(ISTEXT(VLOOKUP(CONCATENATE($A75,"_",K$3),'Unit List'!$A$14:$H$2838,2,FALSE)),"X",$J75)</f>
        <v>*</v>
      </c>
      <c r="L75" s="192" t="str">
        <f>IF(ISTEXT(VLOOKUP(CONCATENATE($A75,"_",L$3),'Unit List'!$A$14:$H$2838,2,FALSE)),"X",$J75)</f>
        <v>*</v>
      </c>
      <c r="M75" s="64" t="s">
        <v>2321</v>
      </c>
      <c r="N75" s="190" t="str">
        <f>IF(ISTEXT(VLOOKUP(CONCATENATE($A75,"_",N$3),'Unit List'!$A$14:$H$2838,2,FALSE)),"X",$M75)</f>
        <v>*</v>
      </c>
      <c r="O75" s="191" t="str">
        <f>IF(ISTEXT(VLOOKUP(CONCATENATE($A75,"_",O$3),'Unit List'!$A$14:$H$2838,2,FALSE)),"X",$M75)</f>
        <v>*</v>
      </c>
      <c r="P75" s="97" t="s">
        <v>2321</v>
      </c>
      <c r="Q75" s="190" t="str">
        <f>IF(ISTEXT(VLOOKUP(CONCATENATE($A75,"_",Q$3),'Unit List'!$A$14:$H$2838,2,FALSE)),"X",$P75)</f>
        <v>*</v>
      </c>
      <c r="R75" s="190" t="str">
        <f>IF(ISTEXT(VLOOKUP(CONCATENATE($A75,"_",R$3),'Unit List'!$A$14:$H$2838,2,FALSE)),"X",$P75)</f>
        <v>*</v>
      </c>
      <c r="S75" s="190" t="str">
        <f>IF(ISTEXT(VLOOKUP(CONCATENATE($A75,"_",S$3),'Unit List'!$A$14:$H$2838,2,FALSE)),"X",$P75)</f>
        <v>*</v>
      </c>
      <c r="T75" s="193" t="str">
        <f>IF(ISTEXT(VLOOKUP(CONCATENATE($A75,"_",T$3),'Unit List'!$A$14:$H$2838,2,FALSE)),"X",$P75)</f>
        <v>*</v>
      </c>
      <c r="U75" s="190" t="str">
        <f>IF(ISTEXT(VLOOKUP(CONCATENATE($A75,"_",U$3),'Unit List'!$A$14:$H$2838,2,FALSE)),"X",$P75)</f>
        <v>*</v>
      </c>
      <c r="V75" s="190" t="str">
        <f>IF(ISTEXT(VLOOKUP(CONCATENATE($A75,"_",V$3),'Unit List'!$A$14:$H$2838,2,FALSE)),"X",$P75)</f>
        <v>*</v>
      </c>
      <c r="W75" s="191" t="str">
        <f>IF(ISTEXT(VLOOKUP(CONCATENATE($A75,"_",W$3),'Unit List'!$A$14:$H$2838,2,FALSE)),"X",$P75)</f>
        <v>*</v>
      </c>
      <c r="X75" s="64" t="s">
        <v>2321</v>
      </c>
      <c r="Y75" s="190" t="str">
        <f>IF(ISTEXT(VLOOKUP(CONCATENATE($A75,"_",Y$3),'Unit List'!$A$14:$H$2838,2,FALSE)),"X",$X75)</f>
        <v>*</v>
      </c>
      <c r="Z75" s="190" t="str">
        <f>IF(ISTEXT(VLOOKUP(CONCATENATE($A75,"_",Z$3),'Unit List'!$A$14:$H$2838,2,FALSE)),"X",$X75)</f>
        <v>*</v>
      </c>
      <c r="AA75" s="190" t="str">
        <f>IF(ISTEXT(VLOOKUP(CONCATENATE($A75,"_",AA$3),'Unit List'!$A$14:$H$2838,2,FALSE)),"X",$X75)</f>
        <v>*</v>
      </c>
      <c r="AB75" s="190" t="str">
        <f>IF(ISTEXT(VLOOKUP(CONCATENATE($A75,"_",AB$3),'Unit List'!$A$14:$H$2838,2,FALSE)),"X",$X75)</f>
        <v>*</v>
      </c>
      <c r="AC75" s="192" t="str">
        <f>IF(ISTEXT(VLOOKUP(CONCATENATE($A75,"_",AC$3),'Unit List'!$A$14:$H$2838,2,FALSE)),"X",$X75)</f>
        <v>*</v>
      </c>
      <c r="AD75" s="64" t="s">
        <v>2321</v>
      </c>
      <c r="AE75" s="190" t="str">
        <f>IF(ISTEXT(VLOOKUP(CONCATENATE($A75,"_",AE$3),'Unit List'!$A$14:$H$2838,2,FALSE)),"X",$AD75)</f>
        <v>*</v>
      </c>
      <c r="AF75" s="190" t="str">
        <f>IF(ISTEXT(VLOOKUP(CONCATENATE($A75,"_",AF$3),'Unit List'!$A$14:$H$2838,2,FALSE)),"X",$AD75)</f>
        <v>*</v>
      </c>
      <c r="AG75" s="64" t="s">
        <v>2321</v>
      </c>
      <c r="AH75" s="190" t="str">
        <f>IF(ISTEXT(VLOOKUP(CONCATENATE($A75,"_",AH$3),'Unit List'!$A$14:$H$2838,2,FALSE)),"X",$AG75)</f>
        <v>*</v>
      </c>
      <c r="AI75" s="190" t="str">
        <f>IF(ISTEXT(VLOOKUP(CONCATENATE($A75,"_",AI$3),'Unit List'!$A$14:$H$2838,2,FALSE)),"X",$AG75)</f>
        <v>*</v>
      </c>
      <c r="AJ75" s="191" t="str">
        <f>IF(ISTEXT(VLOOKUP(CONCATENATE($A75,"_",AJ$3),'Unit List'!$A$14:$H$2838,2,FALSE)),"X",$AG75)</f>
        <v>*</v>
      </c>
      <c r="AK75" s="64" t="str">
        <f>IF(ISTEXT(VLOOKUP(CONCATENATE($A75,"_",AK$3),'Unit List'!$A$14:$H$2838,2,FALSE)),"+","")</f>
        <v/>
      </c>
      <c r="AL75" s="193" t="str">
        <f>IF(ISTEXT(VLOOKUP(CONCATENATE($A75,"_",AL$3),'Unit List'!$A$14:$H$2838,2,FALSE)),"X",$AK75)</f>
        <v/>
      </c>
      <c r="AM75" s="181" t="str">
        <f>IF(ISTEXT(VLOOKUP(CONCATENATE($A75,"_",AM$3),'Unit List'!$A$14:$H$2838,2,FALSE)),"X",$AK75)</f>
        <v/>
      </c>
      <c r="AN75" s="194" t="s">
        <v>2321</v>
      </c>
      <c r="AO75" s="191" t="str">
        <f>IF(ISTEXT(VLOOKUP(CONCATENATE($A75,"_",AO$3),'Unit List'!$A$14:$H$2838,2,FALSE)),"X",$AN75)</f>
        <v>*</v>
      </c>
      <c r="AP75" s="97" t="s">
        <v>2321</v>
      </c>
      <c r="AQ75" s="190" t="str">
        <f>IF(ISTEXT(VLOOKUP(CONCATENATE($A75,"_",AQ$3),'Unit List'!$A$14:$H$2838,2,FALSE)),"X",$AP75)</f>
        <v>*</v>
      </c>
      <c r="AR75" s="190" t="str">
        <f>IF(ISTEXT(VLOOKUP(CONCATENATE($A75,"_",AR$3),'Unit List'!$A$14:$H$2838,2,FALSE)),"X",$AP75)</f>
        <v>*</v>
      </c>
      <c r="AS75" s="190" t="str">
        <f>IF(ISTEXT(VLOOKUP(CONCATENATE($A75,"_",AS$3),'Unit List'!$A$14:$H$2838,2,FALSE)),"X",$AP75)</f>
        <v>*</v>
      </c>
      <c r="AT75" s="191" t="str">
        <f>IF(ISTEXT(VLOOKUP(CONCATENATE($A75,"_",AT$3),'Unit List'!$A$14:$H$2838,2,FALSE)),"X",$AP75)</f>
        <v>*</v>
      </c>
      <c r="AU75" s="149" t="s">
        <v>2321</v>
      </c>
      <c r="AV75" s="190" t="str">
        <f>IF(ISTEXT(VLOOKUP(CONCATENATE($A75,"_",AV$3),'Unit List'!$A$14:$H$2838,2,FALSE)),"X",$AU75)</f>
        <v>*</v>
      </c>
      <c r="AW75" s="191" t="str">
        <f>IF(ISTEXT(VLOOKUP(CONCATENATE($A75,"_",AW$3),'Unit List'!$A$14:$H$2838,2,FALSE)),"X",$AU75)</f>
        <v>*</v>
      </c>
      <c r="AX75" s="68" t="str">
        <f>IF(ISTEXT(VLOOKUP(CONCATENATE($A75,"_",AX$3),'Unit List'!$A$14:$H$2838,2,FALSE)),"+","")</f>
        <v/>
      </c>
      <c r="AY75" s="179" t="str">
        <f>IF(ISTEXT(VLOOKUP(CONCATENATE($A75,"_",AY$3),'Unit List'!$A$14:$H$2838,2,FALSE)),"X",$AX75)</f>
        <v/>
      </c>
      <c r="AZ75" s="191" t="str">
        <f>IF(ISTEXT(VLOOKUP(CONCATENATE($A75,"_",AZ$3),'Unit List'!$A$14:$H$2838,2,FALSE)),"X",$AX75)</f>
        <v/>
      </c>
      <c r="BA75" s="78" t="str">
        <f>IF(ISTEXT(VLOOKUP(CONCATENATE($A75,"_",BA$3),'Unit List'!$A$14:$H$2838,2,FALSE)),"+","")</f>
        <v/>
      </c>
      <c r="BB75" s="179" t="str">
        <f>IF(ISTEXT(VLOOKUP(CONCATENATE($A75,"_",BB$3),'Unit List'!$A$14:$H$2838,2,FALSE)),"X",$BA75)</f>
        <v/>
      </c>
      <c r="BC75" s="179" t="str">
        <f>IF(ISTEXT(VLOOKUP(CONCATENATE($A75,"_",BC$3),'Unit List'!$A$14:$H$2838,2,FALSE)),"X",$BA75)</f>
        <v/>
      </c>
      <c r="BD75" s="181" t="str">
        <f>IF(ISTEXT(VLOOKUP(CONCATENATE($A75,"_",BD$3),'Unit List'!$A$14:$H$2838,2,FALSE)),"X",$BA75)</f>
        <v/>
      </c>
      <c r="BE75" s="91" t="str">
        <f>IF(ISTEXT(VLOOKUP(CONCATENATE($A75,"_",BE$3),'Unit List'!$A$14:$H$2838,2,FALSE)),"+","")</f>
        <v/>
      </c>
      <c r="BF75" s="192" t="str">
        <f>IF(ISTEXT(VLOOKUP(CONCATENATE($A75,"_",BF$3),'Unit List'!$A$14:$H$2838,2,FALSE)),"X",$BE75)</f>
        <v/>
      </c>
      <c r="BG75" s="92"/>
      <c r="BH75" s="93" t="s">
        <v>0</v>
      </c>
      <c r="BI75" s="261" t="s">
        <v>5</v>
      </c>
      <c r="BJ75" s="262"/>
      <c r="BK75" s="262"/>
      <c r="BL75" s="262"/>
      <c r="BM75" s="263"/>
      <c r="BN75" s="81"/>
      <c r="BO75" s="81"/>
      <c r="BP75" s="81"/>
      <c r="BQ75" s="81"/>
      <c r="BR75" s="81"/>
      <c r="BS75" s="81"/>
      <c r="DZ75" s="82"/>
      <c r="EA75" s="82"/>
    </row>
    <row r="76" spans="1:131" ht="12.75" customHeight="1" x14ac:dyDescent="0.2">
      <c r="A76" s="208" t="s">
        <v>1120</v>
      </c>
      <c r="B76" s="162" t="str">
        <f>IF(ISTEXT(VLOOKUP(CONCATENATE($A76,"_",B$3),'Unit List'!$A$14:$H$2838,2,FALSE)),"+","")</f>
        <v/>
      </c>
      <c r="C76" s="209" t="str">
        <f>IF(ISTEXT(VLOOKUP(CONCATENATE($A76,"_",C$3),'Unit List'!$A$14:$H$2838,2,FALSE)),"X",$B76)</f>
        <v/>
      </c>
      <c r="D76" s="210" t="str">
        <f>IF(ISTEXT(VLOOKUP(CONCATENATE($A76,"_",D$3),'Unit List'!$A$14:$H$2838,2,FALSE)),"X",$B76)</f>
        <v/>
      </c>
      <c r="E76" s="210" t="str">
        <f>IF(ISTEXT(VLOOKUP(CONCATENATE($A76,"_",E$3),'Unit List'!$A$14:$H$2838,2,FALSE)),"X",$B76)</f>
        <v/>
      </c>
      <c r="F76" s="210" t="str">
        <f>IF(ISTEXT(VLOOKUP(CONCATENATE($A76,"_",F$3),'Unit List'!$A$14:$H$2838,2,FALSE)),"X",$B76)</f>
        <v/>
      </c>
      <c r="G76" s="210" t="str">
        <f>IF(ISTEXT(VLOOKUP(CONCATENATE($A76,"_",G$3),'Unit List'!$A$14:$H$2838,2,FALSE)),"X",$B76)</f>
        <v/>
      </c>
      <c r="H76" s="210" t="str">
        <f>IF(ISTEXT(VLOOKUP(CONCATENATE($A76,"_",H$3),'Unit List'!$A$14:$H$2838,2,FALSE)),"X",$B76)</f>
        <v/>
      </c>
      <c r="I76" s="211" t="str">
        <f>IF(ISTEXT(VLOOKUP(CONCATENATE($A76,"_",I$3),'Unit List'!$A$14:$H$2838,2,FALSE)),"X",$B76)</f>
        <v/>
      </c>
      <c r="J76" s="166" t="str">
        <f>IF(ISTEXT(VLOOKUP(CONCATENATE($A76,"_",J$3),'Unit List'!$A$14:$H$2838,2,FALSE)),"+","")</f>
        <v/>
      </c>
      <c r="K76" s="210" t="str">
        <f>IF(ISTEXT(VLOOKUP(CONCATENATE($A76,"_",K$3),'Unit List'!$A$14:$H$2838,2,FALSE)),"X",$J76)</f>
        <v/>
      </c>
      <c r="L76" s="175" t="str">
        <f>IF(ISTEXT(VLOOKUP(CONCATENATE($A76,"_",L$3),'Unit List'!$A$14:$H$2838,2,FALSE)),"X",$J76)</f>
        <v/>
      </c>
      <c r="M76" s="166" t="str">
        <f>IF(ISTEXT(VLOOKUP(CONCATENATE($A76,"_",M$3),'Unit List'!$A$14:$H$2838,2,FALSE)),"+","")</f>
        <v/>
      </c>
      <c r="N76" s="210" t="str">
        <f>IF(ISTEXT(VLOOKUP(CONCATENATE($A76,"_",N$3),'Unit List'!$A$14:$H$2838,2,FALSE)),"X",$M76)</f>
        <v/>
      </c>
      <c r="O76" s="211" t="str">
        <f>IF(ISTEXT(VLOOKUP(CONCATENATE($A76,"_",O$3),'Unit List'!$A$14:$H$2838,2,FALSE)),"X",$M76)</f>
        <v/>
      </c>
      <c r="P76" s="169" t="str">
        <f>IF(ISTEXT(VLOOKUP(CONCATENATE($A76,"_",P$3),'Unit List'!$A$14:$H$2838,2,FALSE)),"+","")</f>
        <v/>
      </c>
      <c r="Q76" s="210" t="str">
        <f>IF(ISTEXT(VLOOKUP(CONCATENATE($A76,"_",Q$3),'Unit List'!$A$14:$H$2838,2,FALSE)),"X",$P76)</f>
        <v/>
      </c>
      <c r="R76" s="210" t="str">
        <f>IF(ISTEXT(VLOOKUP(CONCATENATE($A76,"_",R$3),'Unit List'!$A$14:$H$2838,2,FALSE)),"X",$P76)</f>
        <v/>
      </c>
      <c r="S76" s="210" t="str">
        <f>IF(ISTEXT(VLOOKUP(CONCATENATE($A76,"_",S$3),'Unit List'!$A$14:$H$2838,2,FALSE)),"X",$P76)</f>
        <v/>
      </c>
      <c r="T76" s="212" t="str">
        <f>IF(ISTEXT(VLOOKUP(CONCATENATE($A76,"_",T$3),'Unit List'!$A$14:$H$2838,2,FALSE)),"X",$P76)</f>
        <v/>
      </c>
      <c r="U76" s="210" t="str">
        <f>IF(ISTEXT(VLOOKUP(CONCATENATE($A76,"_",U$3),'Unit List'!$A$14:$H$2838,2,FALSE)),"X",$P76)</f>
        <v/>
      </c>
      <c r="V76" s="210" t="str">
        <f>IF(ISTEXT(VLOOKUP(CONCATENATE($A76,"_",V$3),'Unit List'!$A$14:$H$2838,2,FALSE)),"X",$P76)</f>
        <v/>
      </c>
      <c r="W76" s="211" t="str">
        <f>IF(ISTEXT(VLOOKUP(CONCATENATE($A76,"_",W$3),'Unit List'!$A$14:$H$2838,2,FALSE)),"X",$P76)</f>
        <v/>
      </c>
      <c r="X76" s="169" t="str">
        <f>IF(ISTEXT(VLOOKUP(CONCATENATE($A76,"_",X$3),'Unit List'!$A$14:$H$2838,2,FALSE)),"+","")</f>
        <v/>
      </c>
      <c r="Y76" s="210" t="str">
        <f>IF(ISTEXT(VLOOKUP(CONCATENATE($A76,"_",Y$3),'Unit List'!$A$14:$H$2838,2,FALSE)),"X",$X76)</f>
        <v/>
      </c>
      <c r="Z76" s="210" t="str">
        <f>IF(ISTEXT(VLOOKUP(CONCATENATE($A76,"_",Z$3),'Unit List'!$A$14:$H$2838,2,FALSE)),"X",$X76)</f>
        <v/>
      </c>
      <c r="AA76" s="210" t="str">
        <f>IF(ISTEXT(VLOOKUP(CONCATENATE($A76,"_",AA$3),'Unit List'!$A$14:$H$2838,2,FALSE)),"X",$X76)</f>
        <v/>
      </c>
      <c r="AB76" s="210" t="str">
        <f>IF(ISTEXT(VLOOKUP(CONCATENATE($A76,"_",AB$3),'Unit List'!$A$14:$H$2838,2,FALSE)),"X",$X76)</f>
        <v/>
      </c>
      <c r="AC76" s="175" t="str">
        <f>IF(ISTEXT(VLOOKUP(CONCATENATE($A76,"_",AC$3),'Unit List'!$A$14:$H$2838,2,FALSE)),"X",$X76)</f>
        <v/>
      </c>
      <c r="AD76" s="169" t="str">
        <f>IF(ISTEXT(VLOOKUP(CONCATENATE($A76,"_",AD$3),'Unit List'!$A$14:$H$2838,2,FALSE)),"+","")</f>
        <v/>
      </c>
      <c r="AE76" s="210" t="str">
        <f>IF(ISTEXT(VLOOKUP(CONCATENATE($A76,"_",AE$3),'Unit List'!$A$14:$H$2838,2,FALSE)),"X",$AD76)</f>
        <v/>
      </c>
      <c r="AF76" s="210" t="str">
        <f>IF(ISTEXT(VLOOKUP(CONCATENATE($A76,"_",AF$3),'Unit List'!$A$14:$H$2838,2,FALSE)),"X",$AD76)</f>
        <v/>
      </c>
      <c r="AG76" s="169" t="str">
        <f>IF(ISTEXT(VLOOKUP(CONCATENATE($A76,"_",AG$3),'Unit List'!$A$14:$H$2838,2,FALSE)),"+","")</f>
        <v/>
      </c>
      <c r="AH76" s="210" t="str">
        <f>IF(ISTEXT(VLOOKUP(CONCATENATE($A76,"_",AH$3),'Unit List'!$A$14:$H$2838,2,FALSE)),"X",$AG76)</f>
        <v/>
      </c>
      <c r="AI76" s="210" t="str">
        <f>IF(ISTEXT(VLOOKUP(CONCATENATE($A76,"_",AI$3),'Unit List'!$A$14:$H$2838,2,FALSE)),"X",$AG76)</f>
        <v/>
      </c>
      <c r="AJ76" s="211" t="str">
        <f>IF(ISTEXT(VLOOKUP(CONCATENATE($A76,"_",AJ$3),'Unit List'!$A$14:$H$2838,2,FALSE)),"X",$AG76)</f>
        <v/>
      </c>
      <c r="AK76" s="166" t="str">
        <f>IF(ISTEXT(VLOOKUP(CONCATENATE($A76,"_",AK$3),'Unit List'!$A$14:$H$2838,2,FALSE)),"+","")</f>
        <v/>
      </c>
      <c r="AL76" s="212" t="str">
        <f>IF(ISTEXT(VLOOKUP(CONCATENATE($A76,"_",AL$3),'Unit List'!$A$14:$H$2838,2,FALSE)),"X",$AK76)</f>
        <v/>
      </c>
      <c r="AM76" s="211" t="str">
        <f>IF(ISTEXT(VLOOKUP(CONCATENATE($A76,"_",AM$3),'Unit List'!$A$14:$H$2838,2,FALSE)),"X",$AK76)</f>
        <v/>
      </c>
      <c r="AN76" s="172" t="str">
        <f>IF(ISTEXT(VLOOKUP(CONCATENATE($A76,"_",AN$3),'Unit List'!$A$14:$H$2838,2,FALSE)),"+","")</f>
        <v/>
      </c>
      <c r="AO76" s="211" t="str">
        <f>IF(ISTEXT(VLOOKUP(CONCATENATE($A76,"_",AO$3),'Unit List'!$A$14:$H$2838,2,FALSE)),"X",$AN76)</f>
        <v/>
      </c>
      <c r="AP76" s="169" t="str">
        <f>IF(ISTEXT(VLOOKUP(CONCATENATE($A76,"_",AP$3),'Unit List'!$A$14:$H$2838,2,FALSE)),"+","")</f>
        <v/>
      </c>
      <c r="AQ76" s="210" t="str">
        <f>IF(ISTEXT(VLOOKUP(CONCATENATE($A76,"_",AQ$3),'Unit List'!$A$14:$H$2838,2,FALSE)),"X",$AP76)</f>
        <v/>
      </c>
      <c r="AR76" s="210" t="str">
        <f>IF(ISTEXT(VLOOKUP(CONCATENATE($A76,"_",AR$3),'Unit List'!$A$14:$H$2838,2,FALSE)),"X",$AP76)</f>
        <v/>
      </c>
      <c r="AS76" s="210" t="str">
        <f>IF(ISTEXT(VLOOKUP(CONCATENATE($A76,"_",AS$3),'Unit List'!$A$14:$H$2838,2,FALSE)),"X",$AP76)</f>
        <v/>
      </c>
      <c r="AT76" s="211" t="str">
        <f>IF(ISTEXT(VLOOKUP(CONCATENATE($A76,"_",AT$3),'Unit List'!$A$14:$H$2838,2,FALSE)),"X",$AP76)</f>
        <v/>
      </c>
      <c r="AU76" s="173" t="str">
        <f>IF(ISTEXT(VLOOKUP(CONCATENATE($A76,"_",AU$3),'Unit List'!$A$14:$H$2838,2,FALSE)),"+","")</f>
        <v/>
      </c>
      <c r="AV76" s="210" t="str">
        <f>IF(ISTEXT(VLOOKUP(CONCATENATE($A76,"_",AV$3),'Unit List'!$A$14:$H$2838,2,FALSE)),"X",$AU76)</f>
        <v/>
      </c>
      <c r="AW76" s="211" t="str">
        <f>IF(ISTEXT(VLOOKUP(CONCATENATE($A76,"_",AW$3),'Unit List'!$A$14:$H$2838,2,FALSE)),"X",$AU76)</f>
        <v/>
      </c>
      <c r="AX76" s="169" t="str">
        <f>IF(ISTEXT(VLOOKUP(CONCATENATE($A76,"_",AX$3),'Unit List'!$A$14:$H$2838,2,FALSE)),"+","")</f>
        <v/>
      </c>
      <c r="AY76" s="210" t="str">
        <f>IF(ISTEXT(VLOOKUP(CONCATENATE($A76,"_",AY$3),'Unit List'!$A$14:$H$2838,2,FALSE)),"X",$AX76)</f>
        <v/>
      </c>
      <c r="AZ76" s="211" t="str">
        <f>IF(ISTEXT(VLOOKUP(CONCATENATE($A76,"_",AZ$3),'Unit List'!$A$14:$H$2838,2,FALSE)),"X",$AX76)</f>
        <v/>
      </c>
      <c r="BA76" s="174" t="str">
        <f>IF(ISTEXT(VLOOKUP(CONCATENATE($A76,"_",BA$3),'Unit List'!$A$14:$H$2838,2,FALSE)),"+","")</f>
        <v/>
      </c>
      <c r="BB76" s="210" t="str">
        <f>IF(ISTEXT(VLOOKUP(CONCATENATE($A76,"_",BB$3),'Unit List'!$A$14:$H$2838,2,FALSE)),"X",$BA76)</f>
        <v/>
      </c>
      <c r="BC76" s="210" t="str">
        <f>IF(ISTEXT(VLOOKUP(CONCATENATE($A76,"_",BC$3),'Unit List'!$A$14:$H$2838,2,FALSE)),"X",$BA76)</f>
        <v/>
      </c>
      <c r="BD76" s="211" t="str">
        <f>IF(ISTEXT(VLOOKUP(CONCATENATE($A76,"_",BD$3),'Unit List'!$A$14:$H$2838,2,FALSE)),"X",$BA76)</f>
        <v/>
      </c>
      <c r="BE76" s="172" t="str">
        <f>IF(ISTEXT(VLOOKUP(CONCATENATE($A76,"_",BE$3),'Unit List'!$A$14:$H$2838,2,FALSE)),"+","")</f>
        <v/>
      </c>
      <c r="BF76" s="175" t="str">
        <f>IF(ISTEXT(VLOOKUP(CONCATENATE($A76,"_",BF$3),'Unit List'!$A$14:$H$2838,2,FALSE)),"X",$BE76)</f>
        <v/>
      </c>
      <c r="BG76" s="218"/>
      <c r="BH76" s="219" t="s">
        <v>0</v>
      </c>
      <c r="BI76" s="276"/>
      <c r="BJ76" s="277"/>
      <c r="BK76" s="277"/>
      <c r="BL76" s="277"/>
      <c r="BM76" s="278"/>
      <c r="BN76" s="81"/>
      <c r="BO76" s="81"/>
      <c r="BP76" s="81"/>
      <c r="BQ76" s="81"/>
      <c r="BR76" s="81"/>
      <c r="BS76" s="81"/>
      <c r="DZ76" s="82"/>
      <c r="EA76" s="82"/>
    </row>
    <row r="77" spans="1:131" ht="12.75" customHeight="1" x14ac:dyDescent="0.2">
      <c r="A77" s="177" t="s">
        <v>1914</v>
      </c>
      <c r="B77" s="59"/>
      <c r="C77" s="178"/>
      <c r="D77" s="179"/>
      <c r="E77" s="179"/>
      <c r="F77" s="179"/>
      <c r="G77" s="179"/>
      <c r="H77" s="179"/>
      <c r="I77" s="111"/>
      <c r="J77" s="68"/>
      <c r="K77" s="180"/>
      <c r="L77" s="181"/>
      <c r="M77" s="78"/>
      <c r="N77" s="179"/>
      <c r="O77" s="111"/>
      <c r="P77" s="78"/>
      <c r="Q77" s="179"/>
      <c r="R77" s="179"/>
      <c r="S77" s="180"/>
      <c r="T77" s="180"/>
      <c r="U77" s="179"/>
      <c r="V77" s="179"/>
      <c r="W77" s="111"/>
      <c r="X77" s="78"/>
      <c r="Y77" s="179"/>
      <c r="Z77" s="182"/>
      <c r="AA77" s="182"/>
      <c r="AB77" s="179"/>
      <c r="AC77" s="111"/>
      <c r="AD77" s="78"/>
      <c r="AE77" s="179"/>
      <c r="AF77" s="182"/>
      <c r="AG77" s="78"/>
      <c r="AH77" s="183"/>
      <c r="AI77" s="183"/>
      <c r="AJ77" s="111"/>
      <c r="AK77" s="78"/>
      <c r="AL77" s="180"/>
      <c r="AM77" s="111"/>
      <c r="AN77" s="78"/>
      <c r="AO77" s="111"/>
      <c r="AP77" s="78"/>
      <c r="AQ77" s="179"/>
      <c r="AR77" s="179"/>
      <c r="AS77" s="179"/>
      <c r="AT77" s="111"/>
      <c r="AU77" s="184"/>
      <c r="AV77" s="179"/>
      <c r="AW77" s="181"/>
      <c r="AX77" s="78"/>
      <c r="AY77" s="179"/>
      <c r="AZ77" s="111"/>
      <c r="BA77" s="78"/>
      <c r="BB77" s="185"/>
      <c r="BC77" s="179"/>
      <c r="BD77" s="181"/>
      <c r="BE77" s="186"/>
      <c r="BF77" s="181"/>
      <c r="BG77" s="111"/>
      <c r="BH77" s="93"/>
      <c r="BI77" s="220"/>
      <c r="BJ77" s="221"/>
      <c r="BK77" s="221"/>
      <c r="BL77" s="221"/>
      <c r="BM77" s="221"/>
      <c r="BN77" s="81"/>
      <c r="BO77" s="81"/>
      <c r="BP77" s="81"/>
      <c r="BQ77" s="81"/>
      <c r="BR77" s="81"/>
      <c r="BS77" s="81"/>
      <c r="DZ77" s="82"/>
      <c r="EA77" s="82"/>
    </row>
    <row r="78" spans="1:131" ht="12.75" customHeight="1" x14ac:dyDescent="0.2">
      <c r="A78" s="222" t="s">
        <v>1124</v>
      </c>
      <c r="B78" s="59" t="s">
        <v>1</v>
      </c>
      <c r="C78" s="178" t="s">
        <v>1</v>
      </c>
      <c r="D78" s="179" t="s">
        <v>1</v>
      </c>
      <c r="E78" s="179" t="s">
        <v>1</v>
      </c>
      <c r="F78" s="179" t="s">
        <v>1</v>
      </c>
      <c r="G78" s="179" t="s">
        <v>1</v>
      </c>
      <c r="H78" s="179" t="s">
        <v>1</v>
      </c>
      <c r="I78" s="181" t="s">
        <v>1</v>
      </c>
      <c r="J78" s="68" t="s">
        <v>1</v>
      </c>
      <c r="K78" s="179" t="s">
        <v>1</v>
      </c>
      <c r="L78" s="111" t="s">
        <v>1</v>
      </c>
      <c r="M78" s="68" t="s">
        <v>1</v>
      </c>
      <c r="N78" s="179" t="s">
        <v>1</v>
      </c>
      <c r="O78" s="181" t="s">
        <v>1</v>
      </c>
      <c r="P78" s="68" t="s">
        <v>1</v>
      </c>
      <c r="Q78" s="179" t="s">
        <v>1</v>
      </c>
      <c r="R78" s="179" t="s">
        <v>1</v>
      </c>
      <c r="S78" s="179" t="s">
        <v>1</v>
      </c>
      <c r="T78" s="180" t="s">
        <v>1</v>
      </c>
      <c r="U78" s="179" t="s">
        <v>1</v>
      </c>
      <c r="V78" s="179" t="s">
        <v>1</v>
      </c>
      <c r="W78" s="181" t="s">
        <v>1</v>
      </c>
      <c r="X78" s="68" t="s">
        <v>1</v>
      </c>
      <c r="Y78" s="179" t="s">
        <v>1</v>
      </c>
      <c r="Z78" s="179" t="s">
        <v>1</v>
      </c>
      <c r="AA78" s="179" t="s">
        <v>1</v>
      </c>
      <c r="AB78" s="179" t="s">
        <v>1</v>
      </c>
      <c r="AC78" s="111" t="s">
        <v>1</v>
      </c>
      <c r="AD78" s="68" t="s">
        <v>1</v>
      </c>
      <c r="AE78" s="179" t="s">
        <v>1</v>
      </c>
      <c r="AF78" s="179" t="s">
        <v>1</v>
      </c>
      <c r="AG78" s="68" t="s">
        <v>1</v>
      </c>
      <c r="AH78" s="179" t="s">
        <v>1</v>
      </c>
      <c r="AI78" s="179" t="s">
        <v>1</v>
      </c>
      <c r="AJ78" s="181" t="s">
        <v>1</v>
      </c>
      <c r="AK78" s="68" t="s">
        <v>1</v>
      </c>
      <c r="AL78" s="180" t="s">
        <v>1</v>
      </c>
      <c r="AM78" s="181" t="s">
        <v>1</v>
      </c>
      <c r="AN78" s="91" t="s">
        <v>1</v>
      </c>
      <c r="AO78" s="181" t="s">
        <v>1</v>
      </c>
      <c r="AP78" s="68" t="s">
        <v>1</v>
      </c>
      <c r="AQ78" s="179" t="s">
        <v>1</v>
      </c>
      <c r="AR78" s="179" t="s">
        <v>1</v>
      </c>
      <c r="AS78" s="179" t="s">
        <v>1</v>
      </c>
      <c r="AT78" s="181" t="s">
        <v>1</v>
      </c>
      <c r="AU78" s="77" t="s">
        <v>1</v>
      </c>
      <c r="AV78" s="179" t="s">
        <v>1</v>
      </c>
      <c r="AW78" s="181" t="s">
        <v>1</v>
      </c>
      <c r="AX78" s="68" t="s">
        <v>1</v>
      </c>
      <c r="AY78" s="179" t="s">
        <v>1</v>
      </c>
      <c r="AZ78" s="181" t="s">
        <v>1</v>
      </c>
      <c r="BA78" s="78" t="s">
        <v>1</v>
      </c>
      <c r="BB78" s="179" t="s">
        <v>1</v>
      </c>
      <c r="BC78" s="179" t="s">
        <v>1</v>
      </c>
      <c r="BD78" s="181" t="s">
        <v>1</v>
      </c>
      <c r="BE78" s="91" t="s">
        <v>1</v>
      </c>
      <c r="BF78" s="111" t="s">
        <v>1</v>
      </c>
      <c r="BG78" s="181" t="s">
        <v>1</v>
      </c>
      <c r="BH78" s="93" t="s">
        <v>0</v>
      </c>
      <c r="BI78" s="223"/>
      <c r="BJ78" s="224"/>
      <c r="BK78" s="224"/>
      <c r="BL78" s="224"/>
      <c r="BM78" s="224"/>
      <c r="BN78" s="81"/>
      <c r="BO78" s="81"/>
      <c r="BP78" s="81"/>
      <c r="BQ78" s="81"/>
      <c r="BR78" s="81"/>
      <c r="BS78" s="81"/>
      <c r="DZ78" s="82"/>
      <c r="EA78" s="82"/>
    </row>
    <row r="79" spans="1:131" ht="12.75" customHeight="1" x14ac:dyDescent="0.2">
      <c r="A79" s="222" t="s">
        <v>1125</v>
      </c>
      <c r="B79" s="225" t="s">
        <v>1</v>
      </c>
      <c r="C79" s="178" t="s">
        <v>1</v>
      </c>
      <c r="D79" s="179" t="s">
        <v>1</v>
      </c>
      <c r="E79" s="179" t="s">
        <v>1</v>
      </c>
      <c r="F79" s="179" t="s">
        <v>1</v>
      </c>
      <c r="G79" s="179" t="s">
        <v>1</v>
      </c>
      <c r="H79" s="179" t="s">
        <v>1</v>
      </c>
      <c r="I79" s="181" t="s">
        <v>1</v>
      </c>
      <c r="J79" s="68" t="s">
        <v>1</v>
      </c>
      <c r="K79" s="179" t="s">
        <v>1</v>
      </c>
      <c r="L79" s="111" t="s">
        <v>1</v>
      </c>
      <c r="M79" s="68" t="s">
        <v>1</v>
      </c>
      <c r="N79" s="179" t="s">
        <v>1</v>
      </c>
      <c r="O79" s="181" t="s">
        <v>1</v>
      </c>
      <c r="P79" s="68" t="s">
        <v>1</v>
      </c>
      <c r="Q79" s="179" t="s">
        <v>1</v>
      </c>
      <c r="R79" s="179" t="s">
        <v>1</v>
      </c>
      <c r="S79" s="179" t="s">
        <v>1</v>
      </c>
      <c r="T79" s="180" t="s">
        <v>1</v>
      </c>
      <c r="U79" s="179" t="s">
        <v>1</v>
      </c>
      <c r="V79" s="179" t="s">
        <v>1</v>
      </c>
      <c r="W79" s="181" t="s">
        <v>1</v>
      </c>
      <c r="X79" s="68" t="s">
        <v>1</v>
      </c>
      <c r="Y79" s="179" t="s">
        <v>1</v>
      </c>
      <c r="Z79" s="179" t="s">
        <v>1</v>
      </c>
      <c r="AA79" s="179" t="s">
        <v>1</v>
      </c>
      <c r="AB79" s="179" t="s">
        <v>1</v>
      </c>
      <c r="AC79" s="111" t="s">
        <v>1</v>
      </c>
      <c r="AD79" s="68" t="s">
        <v>1</v>
      </c>
      <c r="AE79" s="179" t="s">
        <v>1</v>
      </c>
      <c r="AF79" s="179" t="s">
        <v>1</v>
      </c>
      <c r="AG79" s="68" t="s">
        <v>1</v>
      </c>
      <c r="AH79" s="179" t="s">
        <v>1</v>
      </c>
      <c r="AI79" s="179" t="s">
        <v>1</v>
      </c>
      <c r="AJ79" s="181" t="s">
        <v>1</v>
      </c>
      <c r="AK79" s="68" t="s">
        <v>1</v>
      </c>
      <c r="AL79" s="180" t="s">
        <v>1</v>
      </c>
      <c r="AM79" s="181" t="s">
        <v>1</v>
      </c>
      <c r="AN79" s="91" t="s">
        <v>1</v>
      </c>
      <c r="AO79" s="181" t="s">
        <v>1</v>
      </c>
      <c r="AP79" s="68" t="s">
        <v>1</v>
      </c>
      <c r="AQ79" s="179" t="s">
        <v>1</v>
      </c>
      <c r="AR79" s="179" t="s">
        <v>1</v>
      </c>
      <c r="AS79" s="179" t="s">
        <v>1</v>
      </c>
      <c r="AT79" s="181" t="s">
        <v>1</v>
      </c>
      <c r="AU79" s="77" t="s">
        <v>1</v>
      </c>
      <c r="AV79" s="179" t="s">
        <v>1</v>
      </c>
      <c r="AW79" s="181" t="s">
        <v>1</v>
      </c>
      <c r="AX79" s="68" t="s">
        <v>1</v>
      </c>
      <c r="AY79" s="179" t="s">
        <v>1</v>
      </c>
      <c r="AZ79" s="181" t="s">
        <v>1</v>
      </c>
      <c r="BA79" s="78" t="s">
        <v>1</v>
      </c>
      <c r="BB79" s="179" t="s">
        <v>1</v>
      </c>
      <c r="BC79" s="179" t="s">
        <v>1</v>
      </c>
      <c r="BD79" s="181" t="s">
        <v>1</v>
      </c>
      <c r="BE79" s="91" t="s">
        <v>1</v>
      </c>
      <c r="BF79" s="111" t="s">
        <v>1</v>
      </c>
      <c r="BG79" s="181" t="s">
        <v>1</v>
      </c>
      <c r="BH79" s="93" t="s">
        <v>0</v>
      </c>
      <c r="BI79" s="223"/>
      <c r="BJ79" s="224"/>
      <c r="BK79" s="224"/>
      <c r="BL79" s="224"/>
      <c r="BM79" s="224"/>
      <c r="BN79" s="81"/>
      <c r="BO79" s="81"/>
      <c r="BP79" s="81"/>
      <c r="BQ79" s="81"/>
      <c r="BR79" s="81"/>
      <c r="BS79" s="81"/>
      <c r="DZ79" s="82"/>
      <c r="EA79" s="82"/>
    </row>
    <row r="80" spans="1:131" ht="12.75" customHeight="1" x14ac:dyDescent="0.2">
      <c r="A80" s="226" t="s">
        <v>2</v>
      </c>
      <c r="B80" s="59" t="s">
        <v>2321</v>
      </c>
      <c r="C80" s="178" t="s">
        <v>1</v>
      </c>
      <c r="D80" s="179" t="s">
        <v>1</v>
      </c>
      <c r="E80" s="179" t="s">
        <v>1</v>
      </c>
      <c r="F80" s="179" t="s">
        <v>1</v>
      </c>
      <c r="G80" s="179" t="s">
        <v>1</v>
      </c>
      <c r="H80" s="179" t="s">
        <v>1</v>
      </c>
      <c r="I80" s="181" t="s">
        <v>1</v>
      </c>
      <c r="J80" s="68" t="s">
        <v>1</v>
      </c>
      <c r="K80" s="179" t="s">
        <v>1</v>
      </c>
      <c r="L80" s="111" t="s">
        <v>1</v>
      </c>
      <c r="M80" s="68" t="s">
        <v>1</v>
      </c>
      <c r="N80" s="179" t="s">
        <v>1</v>
      </c>
      <c r="O80" s="181" t="s">
        <v>1</v>
      </c>
      <c r="P80" s="68" t="s">
        <v>1</v>
      </c>
      <c r="Q80" s="179" t="s">
        <v>1</v>
      </c>
      <c r="R80" s="179" t="s">
        <v>1</v>
      </c>
      <c r="S80" s="179" t="s">
        <v>1</v>
      </c>
      <c r="T80" s="180" t="s">
        <v>1</v>
      </c>
      <c r="U80" s="179" t="s">
        <v>1</v>
      </c>
      <c r="V80" s="179" t="s">
        <v>1</v>
      </c>
      <c r="W80" s="181" t="s">
        <v>1</v>
      </c>
      <c r="X80" s="68" t="s">
        <v>1</v>
      </c>
      <c r="Y80" s="179" t="s">
        <v>1</v>
      </c>
      <c r="Z80" s="179" t="s">
        <v>1</v>
      </c>
      <c r="AA80" s="179" t="s">
        <v>1</v>
      </c>
      <c r="AB80" s="179" t="s">
        <v>1</v>
      </c>
      <c r="AC80" s="111" t="s">
        <v>1</v>
      </c>
      <c r="AD80" s="68" t="s">
        <v>1</v>
      </c>
      <c r="AE80" s="179" t="s">
        <v>1</v>
      </c>
      <c r="AF80" s="179" t="s">
        <v>1</v>
      </c>
      <c r="AG80" s="68" t="s">
        <v>1</v>
      </c>
      <c r="AH80" s="179" t="s">
        <v>1</v>
      </c>
      <c r="AI80" s="179" t="s">
        <v>1</v>
      </c>
      <c r="AJ80" s="181" t="s">
        <v>1</v>
      </c>
      <c r="AK80" s="68" t="s">
        <v>1</v>
      </c>
      <c r="AL80" s="180" t="s">
        <v>1</v>
      </c>
      <c r="AM80" s="181" t="s">
        <v>1</v>
      </c>
      <c r="AN80" s="91" t="s">
        <v>1</v>
      </c>
      <c r="AO80" s="181" t="s">
        <v>1</v>
      </c>
      <c r="AP80" s="68" t="s">
        <v>1</v>
      </c>
      <c r="AQ80" s="179" t="s">
        <v>1</v>
      </c>
      <c r="AR80" s="179" t="s">
        <v>1</v>
      </c>
      <c r="AS80" s="179" t="s">
        <v>1</v>
      </c>
      <c r="AT80" s="181" t="s">
        <v>1</v>
      </c>
      <c r="AU80" s="77" t="s">
        <v>1</v>
      </c>
      <c r="AV80" s="179" t="s">
        <v>1</v>
      </c>
      <c r="AW80" s="181" t="s">
        <v>1</v>
      </c>
      <c r="AX80" s="68" t="s">
        <v>1</v>
      </c>
      <c r="AY80" s="179" t="s">
        <v>1</v>
      </c>
      <c r="AZ80" s="181" t="s">
        <v>1</v>
      </c>
      <c r="BA80" s="78" t="s">
        <v>1</v>
      </c>
      <c r="BB80" s="179" t="s">
        <v>1</v>
      </c>
      <c r="BC80" s="179" t="s">
        <v>1</v>
      </c>
      <c r="BD80" s="181" t="s">
        <v>1</v>
      </c>
      <c r="BE80" s="91" t="s">
        <v>1</v>
      </c>
      <c r="BF80" s="111" t="s">
        <v>1</v>
      </c>
      <c r="BG80" s="227" t="s">
        <v>0</v>
      </c>
      <c r="BH80" s="121" t="s">
        <v>1</v>
      </c>
      <c r="BI80" s="228"/>
      <c r="BJ80" s="229"/>
      <c r="BK80" s="229"/>
      <c r="BL80" s="230"/>
      <c r="BM80" s="230"/>
      <c r="BN80" s="81"/>
      <c r="BO80" s="81"/>
      <c r="BP80" s="81"/>
      <c r="BQ80" s="81"/>
      <c r="BR80" s="81"/>
      <c r="BS80" s="81"/>
      <c r="DZ80" s="82"/>
      <c r="EA80" s="82"/>
    </row>
    <row r="81" spans="1:131" ht="12.75" customHeight="1" x14ac:dyDescent="0.2">
      <c r="A81" s="222" t="s">
        <v>1126</v>
      </c>
      <c r="B81" s="59" t="s">
        <v>1</v>
      </c>
      <c r="C81" s="178" t="s">
        <v>1</v>
      </c>
      <c r="D81" s="179" t="s">
        <v>1</v>
      </c>
      <c r="E81" s="179" t="s">
        <v>1</v>
      </c>
      <c r="F81" s="179" t="s">
        <v>1</v>
      </c>
      <c r="G81" s="179" t="s">
        <v>1</v>
      </c>
      <c r="H81" s="179" t="s">
        <v>1</v>
      </c>
      <c r="I81" s="181" t="s">
        <v>1</v>
      </c>
      <c r="J81" s="68" t="s">
        <v>1</v>
      </c>
      <c r="K81" s="179" t="s">
        <v>1</v>
      </c>
      <c r="L81" s="111" t="s">
        <v>1</v>
      </c>
      <c r="M81" s="68" t="s">
        <v>1</v>
      </c>
      <c r="N81" s="179" t="s">
        <v>1</v>
      </c>
      <c r="O81" s="181" t="s">
        <v>1</v>
      </c>
      <c r="P81" s="68" t="s">
        <v>1</v>
      </c>
      <c r="Q81" s="179" t="s">
        <v>1</v>
      </c>
      <c r="R81" s="179" t="s">
        <v>1</v>
      </c>
      <c r="S81" s="179" t="s">
        <v>1</v>
      </c>
      <c r="T81" s="180" t="s">
        <v>1</v>
      </c>
      <c r="U81" s="179" t="s">
        <v>1</v>
      </c>
      <c r="V81" s="179" t="s">
        <v>1</v>
      </c>
      <c r="W81" s="181" t="s">
        <v>1</v>
      </c>
      <c r="X81" s="68" t="s">
        <v>1</v>
      </c>
      <c r="Y81" s="179" t="s">
        <v>1</v>
      </c>
      <c r="Z81" s="179" t="s">
        <v>1</v>
      </c>
      <c r="AA81" s="179" t="s">
        <v>1</v>
      </c>
      <c r="AB81" s="179" t="s">
        <v>1</v>
      </c>
      <c r="AC81" s="111" t="s">
        <v>1</v>
      </c>
      <c r="AD81" s="68" t="s">
        <v>1</v>
      </c>
      <c r="AE81" s="179" t="s">
        <v>1</v>
      </c>
      <c r="AF81" s="179" t="s">
        <v>1</v>
      </c>
      <c r="AG81" s="68" t="s">
        <v>1</v>
      </c>
      <c r="AH81" s="179" t="s">
        <v>1</v>
      </c>
      <c r="AI81" s="179" t="s">
        <v>1</v>
      </c>
      <c r="AJ81" s="181" t="s">
        <v>1</v>
      </c>
      <c r="AK81" s="68" t="s">
        <v>1</v>
      </c>
      <c r="AL81" s="180" t="s">
        <v>1</v>
      </c>
      <c r="AM81" s="181" t="s">
        <v>1</v>
      </c>
      <c r="AN81" s="91" t="s">
        <v>1</v>
      </c>
      <c r="AO81" s="181" t="s">
        <v>1</v>
      </c>
      <c r="AP81" s="68" t="s">
        <v>1</v>
      </c>
      <c r="AQ81" s="179" t="s">
        <v>1</v>
      </c>
      <c r="AR81" s="179" t="s">
        <v>1</v>
      </c>
      <c r="AS81" s="179" t="s">
        <v>1</v>
      </c>
      <c r="AT81" s="181" t="s">
        <v>1</v>
      </c>
      <c r="AU81" s="77" t="s">
        <v>1</v>
      </c>
      <c r="AV81" s="179" t="s">
        <v>1</v>
      </c>
      <c r="AW81" s="181" t="s">
        <v>1</v>
      </c>
      <c r="AX81" s="68" t="s">
        <v>1</v>
      </c>
      <c r="AY81" s="179" t="s">
        <v>1</v>
      </c>
      <c r="AZ81" s="181" t="s">
        <v>1</v>
      </c>
      <c r="BA81" s="78" t="s">
        <v>1</v>
      </c>
      <c r="BB81" s="179" t="s">
        <v>1</v>
      </c>
      <c r="BC81" s="179" t="s">
        <v>1</v>
      </c>
      <c r="BD81" s="181" t="s">
        <v>1</v>
      </c>
      <c r="BE81" s="91" t="s">
        <v>1</v>
      </c>
      <c r="BF81" s="111" t="s">
        <v>1</v>
      </c>
      <c r="BG81" s="227" t="s">
        <v>0</v>
      </c>
      <c r="BH81" s="121" t="s">
        <v>1</v>
      </c>
      <c r="BI81" s="228"/>
      <c r="BJ81" s="229"/>
      <c r="BK81" s="229"/>
      <c r="BL81" s="230"/>
      <c r="BM81" s="230"/>
      <c r="BN81" s="81"/>
      <c r="BO81" s="81"/>
      <c r="BP81" s="81"/>
      <c r="BQ81" s="81"/>
      <c r="BR81" s="81"/>
      <c r="BS81" s="81"/>
      <c r="DZ81" s="82"/>
      <c r="EA81" s="82"/>
    </row>
    <row r="82" spans="1:131" ht="12.75" customHeight="1" x14ac:dyDescent="0.2">
      <c r="A82" s="222" t="s">
        <v>1127</v>
      </c>
      <c r="B82" s="59" t="s">
        <v>1</v>
      </c>
      <c r="C82" s="178" t="s">
        <v>1</v>
      </c>
      <c r="D82" s="179" t="s">
        <v>1</v>
      </c>
      <c r="E82" s="179" t="s">
        <v>1</v>
      </c>
      <c r="F82" s="179" t="s">
        <v>1</v>
      </c>
      <c r="G82" s="179" t="s">
        <v>1</v>
      </c>
      <c r="H82" s="179" t="s">
        <v>1</v>
      </c>
      <c r="I82" s="181" t="s">
        <v>1</v>
      </c>
      <c r="J82" s="68" t="s">
        <v>1</v>
      </c>
      <c r="K82" s="179" t="s">
        <v>1</v>
      </c>
      <c r="L82" s="111" t="s">
        <v>1</v>
      </c>
      <c r="M82" s="68" t="s">
        <v>1</v>
      </c>
      <c r="N82" s="179" t="s">
        <v>1</v>
      </c>
      <c r="O82" s="181" t="s">
        <v>1</v>
      </c>
      <c r="P82" s="68" t="s">
        <v>1</v>
      </c>
      <c r="Q82" s="179" t="s">
        <v>1</v>
      </c>
      <c r="R82" s="179" t="s">
        <v>1</v>
      </c>
      <c r="S82" s="179" t="s">
        <v>1</v>
      </c>
      <c r="T82" s="180" t="s">
        <v>1</v>
      </c>
      <c r="U82" s="179" t="s">
        <v>1</v>
      </c>
      <c r="V82" s="179" t="s">
        <v>1</v>
      </c>
      <c r="W82" s="181" t="s">
        <v>1</v>
      </c>
      <c r="X82" s="68" t="s">
        <v>1</v>
      </c>
      <c r="Y82" s="179" t="s">
        <v>1</v>
      </c>
      <c r="Z82" s="179" t="s">
        <v>1</v>
      </c>
      <c r="AA82" s="179" t="s">
        <v>1</v>
      </c>
      <c r="AB82" s="179" t="s">
        <v>1</v>
      </c>
      <c r="AC82" s="111" t="s">
        <v>1</v>
      </c>
      <c r="AD82" s="68" t="s">
        <v>1</v>
      </c>
      <c r="AE82" s="179" t="s">
        <v>1</v>
      </c>
      <c r="AF82" s="179" t="s">
        <v>1</v>
      </c>
      <c r="AG82" s="68" t="s">
        <v>1</v>
      </c>
      <c r="AH82" s="179" t="s">
        <v>1</v>
      </c>
      <c r="AI82" s="179" t="s">
        <v>1</v>
      </c>
      <c r="AJ82" s="181" t="s">
        <v>1</v>
      </c>
      <c r="AK82" s="68" t="s">
        <v>1</v>
      </c>
      <c r="AL82" s="180" t="s">
        <v>1</v>
      </c>
      <c r="AM82" s="181" t="s">
        <v>1</v>
      </c>
      <c r="AN82" s="91" t="s">
        <v>1</v>
      </c>
      <c r="AO82" s="181" t="s">
        <v>1</v>
      </c>
      <c r="AP82" s="68" t="s">
        <v>1</v>
      </c>
      <c r="AQ82" s="179" t="s">
        <v>1</v>
      </c>
      <c r="AR82" s="179" t="s">
        <v>1</v>
      </c>
      <c r="AS82" s="179" t="s">
        <v>1</v>
      </c>
      <c r="AT82" s="181" t="s">
        <v>1</v>
      </c>
      <c r="AU82" s="77" t="s">
        <v>1</v>
      </c>
      <c r="AV82" s="179" t="s">
        <v>1</v>
      </c>
      <c r="AW82" s="181" t="s">
        <v>1</v>
      </c>
      <c r="AX82" s="68" t="s">
        <v>1</v>
      </c>
      <c r="AY82" s="179" t="s">
        <v>1</v>
      </c>
      <c r="AZ82" s="181" t="s">
        <v>1</v>
      </c>
      <c r="BA82" s="78" t="s">
        <v>1</v>
      </c>
      <c r="BB82" s="179" t="s">
        <v>1</v>
      </c>
      <c r="BC82" s="179" t="s">
        <v>1</v>
      </c>
      <c r="BD82" s="181" t="s">
        <v>1</v>
      </c>
      <c r="BE82" s="91" t="s">
        <v>1</v>
      </c>
      <c r="BF82" s="111" t="s">
        <v>1</v>
      </c>
      <c r="BG82" s="227" t="s">
        <v>0</v>
      </c>
      <c r="BH82" s="121" t="s">
        <v>1</v>
      </c>
      <c r="BI82" s="228"/>
      <c r="BJ82" s="229"/>
      <c r="BK82" s="229"/>
      <c r="BL82" s="230"/>
      <c r="BM82" s="230"/>
      <c r="BN82" s="81"/>
      <c r="BO82" s="81"/>
      <c r="BP82" s="81"/>
      <c r="BQ82" s="81"/>
      <c r="BR82" s="81"/>
      <c r="BS82" s="81"/>
      <c r="DZ82" s="82"/>
      <c r="EA82" s="82"/>
    </row>
    <row r="83" spans="1:131" ht="12.75" customHeight="1" x14ac:dyDescent="0.2">
      <c r="A83" s="222" t="s">
        <v>1128</v>
      </c>
      <c r="B83" s="59" t="s">
        <v>1</v>
      </c>
      <c r="C83" s="178" t="s">
        <v>1</v>
      </c>
      <c r="D83" s="179" t="s">
        <v>1</v>
      </c>
      <c r="E83" s="179" t="s">
        <v>1</v>
      </c>
      <c r="F83" s="179" t="s">
        <v>1</v>
      </c>
      <c r="G83" s="179" t="s">
        <v>1</v>
      </c>
      <c r="H83" s="179" t="s">
        <v>1</v>
      </c>
      <c r="I83" s="181" t="s">
        <v>1</v>
      </c>
      <c r="J83" s="68" t="s">
        <v>1</v>
      </c>
      <c r="K83" s="179" t="s">
        <v>1</v>
      </c>
      <c r="L83" s="111" t="s">
        <v>1</v>
      </c>
      <c r="M83" s="68" t="s">
        <v>1</v>
      </c>
      <c r="N83" s="179" t="s">
        <v>1</v>
      </c>
      <c r="O83" s="181" t="s">
        <v>1</v>
      </c>
      <c r="P83" s="68" t="s">
        <v>2321</v>
      </c>
      <c r="Q83" s="179" t="s">
        <v>1</v>
      </c>
      <c r="R83" s="179" t="s">
        <v>1</v>
      </c>
      <c r="S83" s="179" t="s">
        <v>1</v>
      </c>
      <c r="T83" s="180" t="s">
        <v>1</v>
      </c>
      <c r="U83" s="179" t="s">
        <v>1</v>
      </c>
      <c r="V83" s="179" t="s">
        <v>1</v>
      </c>
      <c r="W83" s="181" t="s">
        <v>1</v>
      </c>
      <c r="X83" s="68" t="s">
        <v>1</v>
      </c>
      <c r="Y83" s="179" t="s">
        <v>1</v>
      </c>
      <c r="Z83" s="179" t="s">
        <v>1</v>
      </c>
      <c r="AA83" s="179" t="s">
        <v>1</v>
      </c>
      <c r="AB83" s="179" t="s">
        <v>1</v>
      </c>
      <c r="AC83" s="111" t="s">
        <v>1</v>
      </c>
      <c r="AD83" s="68" t="s">
        <v>2321</v>
      </c>
      <c r="AE83" s="179" t="s">
        <v>1</v>
      </c>
      <c r="AF83" s="179" t="s">
        <v>1</v>
      </c>
      <c r="AG83" s="68" t="s">
        <v>1</v>
      </c>
      <c r="AH83" s="179" t="s">
        <v>1</v>
      </c>
      <c r="AI83" s="179" t="s">
        <v>1</v>
      </c>
      <c r="AJ83" s="181" t="s">
        <v>1</v>
      </c>
      <c r="AK83" s="68" t="s">
        <v>1</v>
      </c>
      <c r="AL83" s="180" t="s">
        <v>1</v>
      </c>
      <c r="AM83" s="181" t="s">
        <v>1</v>
      </c>
      <c r="AN83" s="91" t="s">
        <v>1</v>
      </c>
      <c r="AO83" s="181" t="s">
        <v>1</v>
      </c>
      <c r="AP83" s="68" t="s">
        <v>1</v>
      </c>
      <c r="AQ83" s="179" t="s">
        <v>1</v>
      </c>
      <c r="AR83" s="179" t="s">
        <v>1</v>
      </c>
      <c r="AS83" s="179" t="s">
        <v>1</v>
      </c>
      <c r="AT83" s="181" t="s">
        <v>1</v>
      </c>
      <c r="AU83" s="77" t="s">
        <v>1</v>
      </c>
      <c r="AV83" s="179" t="s">
        <v>1</v>
      </c>
      <c r="AW83" s="181" t="s">
        <v>1</v>
      </c>
      <c r="AX83" s="68" t="s">
        <v>1</v>
      </c>
      <c r="AY83" s="179" t="s">
        <v>1</v>
      </c>
      <c r="AZ83" s="181" t="s">
        <v>1</v>
      </c>
      <c r="BA83" s="78" t="s">
        <v>1</v>
      </c>
      <c r="BB83" s="179" t="s">
        <v>1</v>
      </c>
      <c r="BC83" s="179" t="s">
        <v>1</v>
      </c>
      <c r="BD83" s="181" t="s">
        <v>1</v>
      </c>
      <c r="BE83" s="91" t="s">
        <v>1</v>
      </c>
      <c r="BF83" s="111" t="s">
        <v>1</v>
      </c>
      <c r="BG83" s="227" t="s">
        <v>0</v>
      </c>
      <c r="BH83" s="121" t="s">
        <v>1</v>
      </c>
      <c r="BI83" s="228"/>
      <c r="BJ83" s="229"/>
      <c r="BK83" s="229"/>
      <c r="BL83" s="230"/>
      <c r="BM83" s="230"/>
      <c r="BN83" s="81"/>
      <c r="BO83" s="81"/>
      <c r="BP83" s="81"/>
      <c r="BQ83" s="81"/>
      <c r="BR83" s="81"/>
      <c r="BS83" s="81"/>
      <c r="DZ83" s="82"/>
      <c r="EA83" s="82"/>
    </row>
    <row r="84" spans="1:131" ht="12.75" customHeight="1" x14ac:dyDescent="0.2">
      <c r="A84" s="222" t="s">
        <v>1129</v>
      </c>
      <c r="B84" s="59" t="s">
        <v>1</v>
      </c>
      <c r="C84" s="178" t="s">
        <v>1</v>
      </c>
      <c r="D84" s="179" t="s">
        <v>1</v>
      </c>
      <c r="E84" s="179" t="s">
        <v>1</v>
      </c>
      <c r="F84" s="179" t="s">
        <v>1</v>
      </c>
      <c r="G84" s="179" t="s">
        <v>1</v>
      </c>
      <c r="H84" s="179" t="s">
        <v>1</v>
      </c>
      <c r="I84" s="181" t="s">
        <v>1</v>
      </c>
      <c r="J84" s="68" t="s">
        <v>1</v>
      </c>
      <c r="K84" s="179" t="s">
        <v>1</v>
      </c>
      <c r="L84" s="111" t="s">
        <v>1</v>
      </c>
      <c r="M84" s="68" t="s">
        <v>1</v>
      </c>
      <c r="N84" s="179" t="s">
        <v>1</v>
      </c>
      <c r="O84" s="181" t="s">
        <v>1</v>
      </c>
      <c r="P84" s="68" t="s">
        <v>1</v>
      </c>
      <c r="Q84" s="179" t="s">
        <v>1</v>
      </c>
      <c r="R84" s="179" t="s">
        <v>1</v>
      </c>
      <c r="S84" s="179" t="s">
        <v>1</v>
      </c>
      <c r="T84" s="180" t="s">
        <v>1</v>
      </c>
      <c r="U84" s="179" t="s">
        <v>1</v>
      </c>
      <c r="V84" s="179" t="s">
        <v>1</v>
      </c>
      <c r="W84" s="181" t="s">
        <v>1</v>
      </c>
      <c r="X84" s="68" t="s">
        <v>1</v>
      </c>
      <c r="Y84" s="179" t="s">
        <v>1</v>
      </c>
      <c r="Z84" s="179" t="s">
        <v>1</v>
      </c>
      <c r="AA84" s="179" t="s">
        <v>1</v>
      </c>
      <c r="AB84" s="179" t="s">
        <v>1</v>
      </c>
      <c r="AC84" s="111" t="s">
        <v>1</v>
      </c>
      <c r="AD84" s="68" t="s">
        <v>1</v>
      </c>
      <c r="AE84" s="179" t="s">
        <v>1</v>
      </c>
      <c r="AF84" s="179" t="s">
        <v>1</v>
      </c>
      <c r="AG84" s="68" t="s">
        <v>1</v>
      </c>
      <c r="AH84" s="179" t="s">
        <v>1</v>
      </c>
      <c r="AI84" s="179" t="s">
        <v>1</v>
      </c>
      <c r="AJ84" s="181" t="s">
        <v>1</v>
      </c>
      <c r="AK84" s="68" t="s">
        <v>1</v>
      </c>
      <c r="AL84" s="180" t="s">
        <v>1</v>
      </c>
      <c r="AM84" s="181" t="s">
        <v>1</v>
      </c>
      <c r="AN84" s="91" t="s">
        <v>1</v>
      </c>
      <c r="AO84" s="181" t="s">
        <v>1</v>
      </c>
      <c r="AP84" s="68" t="s">
        <v>1</v>
      </c>
      <c r="AQ84" s="179" t="s">
        <v>1</v>
      </c>
      <c r="AR84" s="179" t="s">
        <v>1</v>
      </c>
      <c r="AS84" s="179" t="s">
        <v>1</v>
      </c>
      <c r="AT84" s="181" t="s">
        <v>1</v>
      </c>
      <c r="AU84" s="77" t="s">
        <v>1</v>
      </c>
      <c r="AV84" s="179" t="s">
        <v>1</v>
      </c>
      <c r="AW84" s="181" t="s">
        <v>1</v>
      </c>
      <c r="AX84" s="68" t="s">
        <v>1</v>
      </c>
      <c r="AY84" s="179" t="s">
        <v>1</v>
      </c>
      <c r="AZ84" s="181" t="s">
        <v>1</v>
      </c>
      <c r="BA84" s="78" t="s">
        <v>1</v>
      </c>
      <c r="BB84" s="179" t="s">
        <v>1</v>
      </c>
      <c r="BC84" s="179" t="s">
        <v>1</v>
      </c>
      <c r="BD84" s="181" t="s">
        <v>1</v>
      </c>
      <c r="BE84" s="91" t="s">
        <v>1</v>
      </c>
      <c r="BF84" s="111" t="s">
        <v>1</v>
      </c>
      <c r="BG84" s="227" t="s">
        <v>0</v>
      </c>
      <c r="BH84" s="121" t="s">
        <v>1</v>
      </c>
      <c r="BI84" s="228"/>
      <c r="BJ84" s="229"/>
      <c r="BK84" s="229"/>
      <c r="BL84" s="230"/>
      <c r="BM84" s="230"/>
      <c r="BN84" s="81"/>
      <c r="BO84" s="81"/>
      <c r="BP84" s="81"/>
      <c r="BQ84" s="81"/>
      <c r="BR84" s="81"/>
      <c r="BS84" s="81"/>
      <c r="DZ84" s="82"/>
      <c r="EA84" s="82"/>
    </row>
    <row r="85" spans="1:131" ht="12.75" customHeight="1" x14ac:dyDescent="0.2">
      <c r="A85" s="222" t="s">
        <v>1133</v>
      </c>
      <c r="B85" s="59" t="s">
        <v>1</v>
      </c>
      <c r="C85" s="178" t="s">
        <v>1</v>
      </c>
      <c r="D85" s="179" t="s">
        <v>1</v>
      </c>
      <c r="E85" s="179" t="s">
        <v>1</v>
      </c>
      <c r="F85" s="179" t="s">
        <v>1</v>
      </c>
      <c r="G85" s="179" t="s">
        <v>1</v>
      </c>
      <c r="H85" s="179" t="s">
        <v>1</v>
      </c>
      <c r="I85" s="181" t="s">
        <v>1</v>
      </c>
      <c r="J85" s="68" t="s">
        <v>1</v>
      </c>
      <c r="K85" s="179" t="s">
        <v>1</v>
      </c>
      <c r="L85" s="111" t="s">
        <v>1</v>
      </c>
      <c r="M85" s="68" t="s">
        <v>1</v>
      </c>
      <c r="N85" s="179" t="s">
        <v>1</v>
      </c>
      <c r="O85" s="181" t="s">
        <v>1</v>
      </c>
      <c r="P85" s="68" t="s">
        <v>1</v>
      </c>
      <c r="Q85" s="179" t="s">
        <v>1</v>
      </c>
      <c r="R85" s="179" t="s">
        <v>1</v>
      </c>
      <c r="S85" s="179" t="s">
        <v>1</v>
      </c>
      <c r="T85" s="180" t="s">
        <v>1</v>
      </c>
      <c r="U85" s="179" t="s">
        <v>1</v>
      </c>
      <c r="V85" s="179" t="s">
        <v>1</v>
      </c>
      <c r="W85" s="181" t="s">
        <v>1</v>
      </c>
      <c r="X85" s="68" t="s">
        <v>1</v>
      </c>
      <c r="Y85" s="179" t="s">
        <v>1</v>
      </c>
      <c r="Z85" s="179" t="s">
        <v>1</v>
      </c>
      <c r="AA85" s="179" t="s">
        <v>1</v>
      </c>
      <c r="AB85" s="179" t="s">
        <v>1</v>
      </c>
      <c r="AC85" s="111" t="s">
        <v>1</v>
      </c>
      <c r="AD85" s="68" t="s">
        <v>1</v>
      </c>
      <c r="AE85" s="179" t="s">
        <v>1</v>
      </c>
      <c r="AF85" s="179" t="s">
        <v>1</v>
      </c>
      <c r="AG85" s="68" t="s">
        <v>1</v>
      </c>
      <c r="AH85" s="179" t="s">
        <v>1</v>
      </c>
      <c r="AI85" s="179" t="s">
        <v>1</v>
      </c>
      <c r="AJ85" s="181" t="s">
        <v>1</v>
      </c>
      <c r="AK85" s="68" t="s">
        <v>1</v>
      </c>
      <c r="AL85" s="180" t="s">
        <v>1</v>
      </c>
      <c r="AM85" s="181" t="s">
        <v>1</v>
      </c>
      <c r="AN85" s="91" t="s">
        <v>1</v>
      </c>
      <c r="AO85" s="181" t="s">
        <v>1</v>
      </c>
      <c r="AP85" s="68" t="s">
        <v>1</v>
      </c>
      <c r="AQ85" s="179" t="s">
        <v>1</v>
      </c>
      <c r="AR85" s="179" t="s">
        <v>1</v>
      </c>
      <c r="AS85" s="179" t="s">
        <v>1</v>
      </c>
      <c r="AT85" s="181" t="s">
        <v>1</v>
      </c>
      <c r="AU85" s="77" t="s">
        <v>1</v>
      </c>
      <c r="AV85" s="179" t="s">
        <v>1</v>
      </c>
      <c r="AW85" s="181" t="s">
        <v>1</v>
      </c>
      <c r="AX85" s="68" t="s">
        <v>1</v>
      </c>
      <c r="AY85" s="179" t="s">
        <v>1</v>
      </c>
      <c r="AZ85" s="181" t="s">
        <v>1</v>
      </c>
      <c r="BA85" s="78" t="s">
        <v>1</v>
      </c>
      <c r="BB85" s="179" t="s">
        <v>1</v>
      </c>
      <c r="BC85" s="179" t="s">
        <v>1</v>
      </c>
      <c r="BD85" s="181" t="s">
        <v>1</v>
      </c>
      <c r="BE85" s="91" t="s">
        <v>1</v>
      </c>
      <c r="BF85" s="111" t="s">
        <v>1</v>
      </c>
      <c r="BG85" s="181" t="s">
        <v>1</v>
      </c>
      <c r="BH85" s="93" t="s">
        <v>0</v>
      </c>
      <c r="BI85" s="228"/>
      <c r="BJ85" s="229"/>
      <c r="BK85" s="229"/>
      <c r="BL85" s="230"/>
      <c r="BM85" s="230"/>
      <c r="BN85" s="81"/>
      <c r="BO85" s="81"/>
      <c r="BP85" s="81"/>
      <c r="BQ85" s="81"/>
      <c r="BR85" s="81"/>
      <c r="BS85" s="81"/>
      <c r="DZ85" s="82"/>
      <c r="EA85" s="82"/>
    </row>
    <row r="86" spans="1:131" ht="12.75" customHeight="1" x14ac:dyDescent="0.2">
      <c r="A86" s="222" t="s">
        <v>1134</v>
      </c>
      <c r="B86" s="225" t="s">
        <v>1</v>
      </c>
      <c r="C86" s="178" t="s">
        <v>1</v>
      </c>
      <c r="D86" s="179" t="s">
        <v>1</v>
      </c>
      <c r="E86" s="179" t="s">
        <v>1</v>
      </c>
      <c r="F86" s="179" t="s">
        <v>1</v>
      </c>
      <c r="G86" s="179" t="s">
        <v>1</v>
      </c>
      <c r="H86" s="179" t="s">
        <v>1</v>
      </c>
      <c r="I86" s="181" t="s">
        <v>1</v>
      </c>
      <c r="J86" s="68" t="s">
        <v>1</v>
      </c>
      <c r="K86" s="179" t="s">
        <v>1</v>
      </c>
      <c r="L86" s="111" t="s">
        <v>1</v>
      </c>
      <c r="M86" s="68" t="s">
        <v>1</v>
      </c>
      <c r="N86" s="179" t="s">
        <v>1</v>
      </c>
      <c r="O86" s="181" t="s">
        <v>1</v>
      </c>
      <c r="P86" s="68" t="s">
        <v>1</v>
      </c>
      <c r="Q86" s="179" t="s">
        <v>1</v>
      </c>
      <c r="R86" s="179" t="s">
        <v>1</v>
      </c>
      <c r="S86" s="179" t="s">
        <v>1</v>
      </c>
      <c r="T86" s="180" t="s">
        <v>1</v>
      </c>
      <c r="U86" s="179" t="s">
        <v>1</v>
      </c>
      <c r="V86" s="179" t="s">
        <v>1</v>
      </c>
      <c r="W86" s="181" t="s">
        <v>1</v>
      </c>
      <c r="X86" s="68" t="s">
        <v>1</v>
      </c>
      <c r="Y86" s="179" t="s">
        <v>1</v>
      </c>
      <c r="Z86" s="179" t="s">
        <v>1</v>
      </c>
      <c r="AA86" s="179" t="s">
        <v>1</v>
      </c>
      <c r="AB86" s="179" t="s">
        <v>1</v>
      </c>
      <c r="AC86" s="111" t="s">
        <v>1</v>
      </c>
      <c r="AD86" s="68" t="s">
        <v>1</v>
      </c>
      <c r="AE86" s="179" t="s">
        <v>1</v>
      </c>
      <c r="AF86" s="179" t="s">
        <v>1</v>
      </c>
      <c r="AG86" s="68" t="s">
        <v>1</v>
      </c>
      <c r="AH86" s="179" t="s">
        <v>1</v>
      </c>
      <c r="AI86" s="179" t="s">
        <v>1</v>
      </c>
      <c r="AJ86" s="181" t="s">
        <v>1</v>
      </c>
      <c r="AK86" s="68" t="s">
        <v>1</v>
      </c>
      <c r="AL86" s="180" t="s">
        <v>1</v>
      </c>
      <c r="AM86" s="181" t="s">
        <v>1</v>
      </c>
      <c r="AN86" s="91" t="s">
        <v>1</v>
      </c>
      <c r="AO86" s="181" t="s">
        <v>1</v>
      </c>
      <c r="AP86" s="68" t="s">
        <v>1</v>
      </c>
      <c r="AQ86" s="179" t="s">
        <v>1</v>
      </c>
      <c r="AR86" s="179" t="s">
        <v>1</v>
      </c>
      <c r="AS86" s="179" t="s">
        <v>1</v>
      </c>
      <c r="AT86" s="181" t="s">
        <v>1</v>
      </c>
      <c r="AU86" s="77" t="s">
        <v>1</v>
      </c>
      <c r="AV86" s="179" t="s">
        <v>1</v>
      </c>
      <c r="AW86" s="181" t="s">
        <v>1</v>
      </c>
      <c r="AX86" s="68" t="s">
        <v>1</v>
      </c>
      <c r="AY86" s="179" t="s">
        <v>1</v>
      </c>
      <c r="AZ86" s="181" t="s">
        <v>1</v>
      </c>
      <c r="BA86" s="78" t="s">
        <v>1</v>
      </c>
      <c r="BB86" s="179" t="s">
        <v>1</v>
      </c>
      <c r="BC86" s="179" t="s">
        <v>1</v>
      </c>
      <c r="BD86" s="181" t="s">
        <v>1</v>
      </c>
      <c r="BE86" s="91" t="s">
        <v>1</v>
      </c>
      <c r="BF86" s="111" t="s">
        <v>1</v>
      </c>
      <c r="BG86" s="181" t="s">
        <v>1</v>
      </c>
      <c r="BH86" s="93" t="s">
        <v>0</v>
      </c>
      <c r="BI86" s="228"/>
      <c r="BJ86" s="229"/>
      <c r="BK86" s="229"/>
      <c r="BL86" s="230"/>
      <c r="BM86" s="230"/>
      <c r="BN86" s="81"/>
      <c r="BO86" s="81"/>
      <c r="BP86" s="81"/>
      <c r="BQ86" s="81"/>
      <c r="BR86" s="81"/>
      <c r="BS86" s="81"/>
      <c r="DZ86" s="82"/>
      <c r="EA86" s="82"/>
    </row>
    <row r="87" spans="1:131" ht="12.75" customHeight="1" x14ac:dyDescent="0.2">
      <c r="A87" s="222" t="s">
        <v>1135</v>
      </c>
      <c r="B87" s="225" t="s">
        <v>1</v>
      </c>
      <c r="C87" s="178" t="s">
        <v>1</v>
      </c>
      <c r="D87" s="179" t="s">
        <v>1</v>
      </c>
      <c r="E87" s="179" t="s">
        <v>1</v>
      </c>
      <c r="F87" s="179" t="s">
        <v>1</v>
      </c>
      <c r="G87" s="179" t="s">
        <v>1</v>
      </c>
      <c r="H87" s="179" t="s">
        <v>1</v>
      </c>
      <c r="I87" s="181" t="s">
        <v>1</v>
      </c>
      <c r="J87" s="68" t="s">
        <v>1</v>
      </c>
      <c r="K87" s="179" t="s">
        <v>1</v>
      </c>
      <c r="L87" s="111" t="s">
        <v>1</v>
      </c>
      <c r="M87" s="68" t="s">
        <v>1</v>
      </c>
      <c r="N87" s="179" t="s">
        <v>1</v>
      </c>
      <c r="O87" s="181" t="s">
        <v>1</v>
      </c>
      <c r="P87" s="68" t="s">
        <v>1</v>
      </c>
      <c r="Q87" s="179" t="s">
        <v>1</v>
      </c>
      <c r="R87" s="179" t="s">
        <v>1</v>
      </c>
      <c r="S87" s="179" t="s">
        <v>1</v>
      </c>
      <c r="T87" s="180" t="s">
        <v>1</v>
      </c>
      <c r="U87" s="179" t="s">
        <v>1</v>
      </c>
      <c r="V87" s="179" t="s">
        <v>1</v>
      </c>
      <c r="W87" s="181" t="s">
        <v>1</v>
      </c>
      <c r="X87" s="68" t="s">
        <v>1</v>
      </c>
      <c r="Y87" s="179" t="s">
        <v>1</v>
      </c>
      <c r="Z87" s="179" t="s">
        <v>1</v>
      </c>
      <c r="AA87" s="179" t="s">
        <v>1</v>
      </c>
      <c r="AB87" s="179" t="s">
        <v>1</v>
      </c>
      <c r="AC87" s="111" t="s">
        <v>1</v>
      </c>
      <c r="AD87" s="68" t="s">
        <v>1</v>
      </c>
      <c r="AE87" s="179" t="s">
        <v>1</v>
      </c>
      <c r="AF87" s="179" t="s">
        <v>1</v>
      </c>
      <c r="AG87" s="68" t="s">
        <v>1</v>
      </c>
      <c r="AH87" s="179" t="s">
        <v>1</v>
      </c>
      <c r="AI87" s="179" t="s">
        <v>1</v>
      </c>
      <c r="AJ87" s="181" t="s">
        <v>1</v>
      </c>
      <c r="AK87" s="68" t="s">
        <v>1</v>
      </c>
      <c r="AL87" s="180" t="s">
        <v>1</v>
      </c>
      <c r="AM87" s="181" t="s">
        <v>1</v>
      </c>
      <c r="AN87" s="91" t="s">
        <v>1</v>
      </c>
      <c r="AO87" s="181" t="s">
        <v>1</v>
      </c>
      <c r="AP87" s="68" t="s">
        <v>1</v>
      </c>
      <c r="AQ87" s="179" t="s">
        <v>1</v>
      </c>
      <c r="AR87" s="179" t="s">
        <v>1</v>
      </c>
      <c r="AS87" s="179" t="s">
        <v>1</v>
      </c>
      <c r="AT87" s="231" t="s">
        <v>0</v>
      </c>
      <c r="AU87" s="77" t="s">
        <v>1</v>
      </c>
      <c r="AV87" s="179" t="s">
        <v>1</v>
      </c>
      <c r="AW87" s="181" t="s">
        <v>1</v>
      </c>
      <c r="AX87" s="68" t="s">
        <v>1</v>
      </c>
      <c r="AY87" s="179" t="s">
        <v>1</v>
      </c>
      <c r="AZ87" s="181" t="s">
        <v>1</v>
      </c>
      <c r="BA87" s="78" t="s">
        <v>1</v>
      </c>
      <c r="BB87" s="179" t="s">
        <v>1</v>
      </c>
      <c r="BC87" s="179" t="s">
        <v>1</v>
      </c>
      <c r="BD87" s="181" t="s">
        <v>1</v>
      </c>
      <c r="BE87" s="91" t="s">
        <v>1</v>
      </c>
      <c r="BF87" s="111" t="s">
        <v>1</v>
      </c>
      <c r="BG87" s="181" t="s">
        <v>1</v>
      </c>
      <c r="BH87" s="121" t="s">
        <v>1</v>
      </c>
      <c r="BI87" s="228"/>
      <c r="BJ87" s="229"/>
      <c r="BK87" s="229"/>
      <c r="BL87" s="230"/>
      <c r="BM87" s="230"/>
      <c r="BN87" s="81"/>
      <c r="BO87" s="81"/>
      <c r="BP87" s="81"/>
      <c r="BQ87" s="81"/>
      <c r="BR87" s="81"/>
      <c r="BS87" s="81"/>
      <c r="DZ87" s="82"/>
      <c r="EA87" s="82"/>
    </row>
    <row r="88" spans="1:131" ht="12.75" customHeight="1" x14ac:dyDescent="0.2">
      <c r="A88" s="222" t="s">
        <v>1136</v>
      </c>
      <c r="B88" s="225" t="s">
        <v>1</v>
      </c>
      <c r="C88" s="178" t="s">
        <v>1</v>
      </c>
      <c r="D88" s="179" t="s">
        <v>1</v>
      </c>
      <c r="E88" s="179" t="s">
        <v>1</v>
      </c>
      <c r="F88" s="179" t="s">
        <v>1</v>
      </c>
      <c r="G88" s="179" t="s">
        <v>1</v>
      </c>
      <c r="H88" s="179" t="s">
        <v>1</v>
      </c>
      <c r="I88" s="181" t="s">
        <v>1</v>
      </c>
      <c r="J88" s="68" t="s">
        <v>1</v>
      </c>
      <c r="K88" s="179" t="s">
        <v>1</v>
      </c>
      <c r="L88" s="111" t="s">
        <v>1</v>
      </c>
      <c r="M88" s="68" t="s">
        <v>1</v>
      </c>
      <c r="N88" s="179" t="s">
        <v>1</v>
      </c>
      <c r="O88" s="181" t="s">
        <v>1</v>
      </c>
      <c r="P88" s="68" t="s">
        <v>1</v>
      </c>
      <c r="Q88" s="179" t="s">
        <v>1</v>
      </c>
      <c r="R88" s="179" t="s">
        <v>1</v>
      </c>
      <c r="S88" s="179" t="s">
        <v>1</v>
      </c>
      <c r="T88" s="180" t="s">
        <v>1</v>
      </c>
      <c r="U88" s="179" t="s">
        <v>1</v>
      </c>
      <c r="V88" s="179" t="s">
        <v>1</v>
      </c>
      <c r="W88" s="181" t="s">
        <v>1</v>
      </c>
      <c r="X88" s="68" t="s">
        <v>1</v>
      </c>
      <c r="Y88" s="179" t="s">
        <v>1</v>
      </c>
      <c r="Z88" s="179" t="s">
        <v>1</v>
      </c>
      <c r="AA88" s="179" t="s">
        <v>1</v>
      </c>
      <c r="AB88" s="179" t="s">
        <v>1</v>
      </c>
      <c r="AC88" s="111" t="s">
        <v>1</v>
      </c>
      <c r="AD88" s="68" t="s">
        <v>1</v>
      </c>
      <c r="AE88" s="179" t="s">
        <v>1</v>
      </c>
      <c r="AF88" s="179" t="s">
        <v>1</v>
      </c>
      <c r="AG88" s="68" t="s">
        <v>1</v>
      </c>
      <c r="AH88" s="179" t="s">
        <v>1</v>
      </c>
      <c r="AI88" s="179" t="s">
        <v>1</v>
      </c>
      <c r="AJ88" s="181" t="s">
        <v>1</v>
      </c>
      <c r="AK88" s="68" t="s">
        <v>1</v>
      </c>
      <c r="AL88" s="180" t="s">
        <v>1</v>
      </c>
      <c r="AM88" s="181" t="s">
        <v>1</v>
      </c>
      <c r="AN88" s="91" t="s">
        <v>1</v>
      </c>
      <c r="AO88" s="181" t="s">
        <v>1</v>
      </c>
      <c r="AP88" s="68" t="s">
        <v>1</v>
      </c>
      <c r="AQ88" s="179" t="s">
        <v>1</v>
      </c>
      <c r="AR88" s="179" t="s">
        <v>1</v>
      </c>
      <c r="AS88" s="179" t="s">
        <v>1</v>
      </c>
      <c r="AT88" s="181" t="s">
        <v>1</v>
      </c>
      <c r="AU88" s="77" t="s">
        <v>1</v>
      </c>
      <c r="AV88" s="179" t="s">
        <v>1</v>
      </c>
      <c r="AW88" s="181" t="s">
        <v>1</v>
      </c>
      <c r="AX88" s="68" t="s">
        <v>1</v>
      </c>
      <c r="AY88" s="179" t="s">
        <v>1</v>
      </c>
      <c r="AZ88" s="181" t="s">
        <v>1</v>
      </c>
      <c r="BA88" s="78" t="s">
        <v>1</v>
      </c>
      <c r="BB88" s="179" t="s">
        <v>1</v>
      </c>
      <c r="BC88" s="179" t="s">
        <v>1</v>
      </c>
      <c r="BD88" s="181" t="s">
        <v>1</v>
      </c>
      <c r="BE88" s="91" t="s">
        <v>1</v>
      </c>
      <c r="BF88" s="111" t="s">
        <v>1</v>
      </c>
      <c r="BG88" s="181" t="s">
        <v>1</v>
      </c>
      <c r="BH88" s="121" t="s">
        <v>1</v>
      </c>
      <c r="BI88" s="228"/>
      <c r="BJ88" s="229"/>
      <c r="BK88" s="229"/>
      <c r="BL88" s="230"/>
      <c r="BM88" s="230"/>
      <c r="BN88" s="81"/>
      <c r="BO88" s="81"/>
      <c r="BP88" s="81"/>
      <c r="BQ88" s="81"/>
      <c r="BR88" s="81"/>
      <c r="BS88" s="81"/>
      <c r="DZ88" s="82"/>
      <c r="EA88" s="82"/>
    </row>
    <row r="89" spans="1:131" ht="12.75" customHeight="1" x14ac:dyDescent="0.2">
      <c r="A89" s="222" t="s">
        <v>1122</v>
      </c>
      <c r="B89" s="59" t="s">
        <v>1</v>
      </c>
      <c r="C89" s="178" t="s">
        <v>1</v>
      </c>
      <c r="D89" s="179" t="s">
        <v>1</v>
      </c>
      <c r="E89" s="179" t="s">
        <v>1</v>
      </c>
      <c r="F89" s="179" t="s">
        <v>1</v>
      </c>
      <c r="G89" s="179" t="s">
        <v>1</v>
      </c>
      <c r="H89" s="179" t="s">
        <v>1</v>
      </c>
      <c r="I89" s="181" t="s">
        <v>1</v>
      </c>
      <c r="J89" s="64" t="s">
        <v>1</v>
      </c>
      <c r="K89" s="179" t="s">
        <v>1</v>
      </c>
      <c r="L89" s="111" t="s">
        <v>1</v>
      </c>
      <c r="M89" s="64" t="s">
        <v>1</v>
      </c>
      <c r="N89" s="179" t="s">
        <v>1</v>
      </c>
      <c r="O89" s="181" t="s">
        <v>1</v>
      </c>
      <c r="P89" s="68" t="s">
        <v>1</v>
      </c>
      <c r="Q89" s="179" t="s">
        <v>1</v>
      </c>
      <c r="R89" s="179" t="s">
        <v>1</v>
      </c>
      <c r="S89" s="179" t="s">
        <v>1</v>
      </c>
      <c r="T89" s="180" t="s">
        <v>1</v>
      </c>
      <c r="U89" s="179" t="s">
        <v>1</v>
      </c>
      <c r="V89" s="179" t="s">
        <v>1</v>
      </c>
      <c r="W89" s="181" t="s">
        <v>1</v>
      </c>
      <c r="X89" s="68" t="s">
        <v>1</v>
      </c>
      <c r="Y89" s="179" t="s">
        <v>1</v>
      </c>
      <c r="Z89" s="179" t="s">
        <v>1</v>
      </c>
      <c r="AA89" s="179" t="s">
        <v>1</v>
      </c>
      <c r="AB89" s="179" t="s">
        <v>1</v>
      </c>
      <c r="AC89" s="111" t="s">
        <v>1</v>
      </c>
      <c r="AD89" s="68" t="s">
        <v>1</v>
      </c>
      <c r="AE89" s="179" t="s">
        <v>1</v>
      </c>
      <c r="AF89" s="179" t="s">
        <v>1</v>
      </c>
      <c r="AG89" s="68" t="s">
        <v>1</v>
      </c>
      <c r="AH89" s="179" t="s">
        <v>1</v>
      </c>
      <c r="AI89" s="179" t="s">
        <v>1</v>
      </c>
      <c r="AJ89" s="181" t="s">
        <v>1</v>
      </c>
      <c r="AK89" s="64" t="s">
        <v>1</v>
      </c>
      <c r="AL89" s="180" t="s">
        <v>1</v>
      </c>
      <c r="AM89" s="181" t="s">
        <v>1</v>
      </c>
      <c r="AN89" s="91" t="s">
        <v>1</v>
      </c>
      <c r="AO89" s="181" t="s">
        <v>1</v>
      </c>
      <c r="AP89" s="68" t="s">
        <v>1</v>
      </c>
      <c r="AQ89" s="179" t="s">
        <v>1</v>
      </c>
      <c r="AR89" s="179" t="s">
        <v>1</v>
      </c>
      <c r="AS89" s="179" t="s">
        <v>1</v>
      </c>
      <c r="AT89" s="181" t="s">
        <v>1</v>
      </c>
      <c r="AU89" s="77" t="s">
        <v>1</v>
      </c>
      <c r="AV89" s="179" t="s">
        <v>1</v>
      </c>
      <c r="AW89" s="181" t="s">
        <v>1</v>
      </c>
      <c r="AX89" s="68" t="s">
        <v>1</v>
      </c>
      <c r="AY89" s="179" t="s">
        <v>1</v>
      </c>
      <c r="AZ89" s="181" t="s">
        <v>1</v>
      </c>
      <c r="BA89" s="78" t="s">
        <v>1</v>
      </c>
      <c r="BB89" s="179" t="s">
        <v>1</v>
      </c>
      <c r="BC89" s="179" t="s">
        <v>1</v>
      </c>
      <c r="BD89" s="181" t="s">
        <v>1</v>
      </c>
      <c r="BE89" s="91" t="s">
        <v>1</v>
      </c>
      <c r="BF89" s="111" t="s">
        <v>1</v>
      </c>
      <c r="BG89" s="181" t="s">
        <v>1</v>
      </c>
      <c r="BH89" s="121" t="s">
        <v>1</v>
      </c>
      <c r="BI89" s="228"/>
      <c r="BJ89" s="229"/>
      <c r="BK89" s="229"/>
      <c r="BL89" s="230"/>
      <c r="BM89" s="230"/>
      <c r="BN89" s="81"/>
      <c r="BO89" s="81"/>
      <c r="BP89" s="81"/>
      <c r="BQ89" s="81"/>
      <c r="BR89" s="81"/>
      <c r="BS89" s="81"/>
      <c r="DZ89" s="82"/>
      <c r="EA89" s="82"/>
    </row>
    <row r="90" spans="1:131" ht="12.75" customHeight="1" x14ac:dyDescent="0.2">
      <c r="A90" s="222" t="s">
        <v>1123</v>
      </c>
      <c r="B90" s="59" t="s">
        <v>1</v>
      </c>
      <c r="C90" s="178" t="s">
        <v>1</v>
      </c>
      <c r="D90" s="179" t="s">
        <v>1</v>
      </c>
      <c r="E90" s="179" t="s">
        <v>1</v>
      </c>
      <c r="F90" s="179" t="s">
        <v>1</v>
      </c>
      <c r="G90" s="179" t="s">
        <v>1</v>
      </c>
      <c r="H90" s="179" t="s">
        <v>1</v>
      </c>
      <c r="I90" s="181" t="s">
        <v>1</v>
      </c>
      <c r="J90" s="64" t="s">
        <v>1</v>
      </c>
      <c r="K90" s="179" t="s">
        <v>1</v>
      </c>
      <c r="L90" s="111" t="s">
        <v>1</v>
      </c>
      <c r="M90" s="64" t="s">
        <v>1</v>
      </c>
      <c r="N90" s="179" t="s">
        <v>1</v>
      </c>
      <c r="O90" s="181" t="s">
        <v>1</v>
      </c>
      <c r="P90" s="68" t="s">
        <v>1</v>
      </c>
      <c r="Q90" s="179" t="s">
        <v>1</v>
      </c>
      <c r="R90" s="179" t="s">
        <v>1</v>
      </c>
      <c r="S90" s="179" t="s">
        <v>1</v>
      </c>
      <c r="T90" s="180" t="s">
        <v>1</v>
      </c>
      <c r="U90" s="179" t="s">
        <v>1</v>
      </c>
      <c r="V90" s="179" t="s">
        <v>1</v>
      </c>
      <c r="W90" s="181" t="s">
        <v>1</v>
      </c>
      <c r="X90" s="68" t="s">
        <v>1</v>
      </c>
      <c r="Y90" s="179" t="s">
        <v>1</v>
      </c>
      <c r="Z90" s="179" t="s">
        <v>1</v>
      </c>
      <c r="AA90" s="179" t="s">
        <v>1</v>
      </c>
      <c r="AB90" s="179" t="s">
        <v>1</v>
      </c>
      <c r="AC90" s="111" t="s">
        <v>1</v>
      </c>
      <c r="AD90" s="68" t="s">
        <v>1</v>
      </c>
      <c r="AE90" s="179" t="s">
        <v>1</v>
      </c>
      <c r="AF90" s="179" t="s">
        <v>1</v>
      </c>
      <c r="AG90" s="68" t="s">
        <v>1</v>
      </c>
      <c r="AH90" s="179" t="s">
        <v>1</v>
      </c>
      <c r="AI90" s="179" t="s">
        <v>1</v>
      </c>
      <c r="AJ90" s="181" t="s">
        <v>1</v>
      </c>
      <c r="AK90" s="64" t="s">
        <v>1</v>
      </c>
      <c r="AL90" s="180" t="s">
        <v>1</v>
      </c>
      <c r="AM90" s="181" t="s">
        <v>1</v>
      </c>
      <c r="AN90" s="91" t="s">
        <v>1</v>
      </c>
      <c r="AO90" s="181" t="s">
        <v>1</v>
      </c>
      <c r="AP90" s="68" t="s">
        <v>1</v>
      </c>
      <c r="AQ90" s="179" t="s">
        <v>1</v>
      </c>
      <c r="AR90" s="179" t="s">
        <v>1</v>
      </c>
      <c r="AS90" s="179" t="s">
        <v>1</v>
      </c>
      <c r="AT90" s="181" t="s">
        <v>1</v>
      </c>
      <c r="AU90" s="77" t="s">
        <v>1</v>
      </c>
      <c r="AV90" s="179" t="s">
        <v>1</v>
      </c>
      <c r="AW90" s="181" t="s">
        <v>1</v>
      </c>
      <c r="AX90" s="68" t="s">
        <v>1</v>
      </c>
      <c r="AY90" s="179" t="s">
        <v>1</v>
      </c>
      <c r="AZ90" s="181" t="s">
        <v>1</v>
      </c>
      <c r="BA90" s="78" t="s">
        <v>1</v>
      </c>
      <c r="BB90" s="179" t="s">
        <v>1</v>
      </c>
      <c r="BC90" s="179" t="s">
        <v>1</v>
      </c>
      <c r="BD90" s="181" t="s">
        <v>1</v>
      </c>
      <c r="BE90" s="91" t="s">
        <v>1</v>
      </c>
      <c r="BF90" s="111" t="s">
        <v>1</v>
      </c>
      <c r="BG90" s="181" t="s">
        <v>1</v>
      </c>
      <c r="BH90" s="121" t="s">
        <v>1</v>
      </c>
      <c r="BI90" s="228"/>
      <c r="BJ90" s="229"/>
      <c r="BK90" s="229"/>
      <c r="BL90" s="230"/>
      <c r="BM90" s="230"/>
      <c r="BN90" s="81"/>
      <c r="BO90" s="81"/>
      <c r="BP90" s="81"/>
      <c r="BQ90" s="81"/>
      <c r="BR90" s="81"/>
      <c r="BS90" s="81"/>
      <c r="DZ90" s="82"/>
      <c r="EA90" s="82"/>
    </row>
    <row r="91" spans="1:131" ht="12.75" customHeight="1" x14ac:dyDescent="0.2">
      <c r="A91" s="222" t="s">
        <v>1132</v>
      </c>
      <c r="B91" s="59" t="s">
        <v>1</v>
      </c>
      <c r="C91" s="178" t="s">
        <v>1</v>
      </c>
      <c r="D91" s="179" t="s">
        <v>1</v>
      </c>
      <c r="E91" s="179" t="s">
        <v>1</v>
      </c>
      <c r="F91" s="179" t="s">
        <v>1</v>
      </c>
      <c r="G91" s="179" t="s">
        <v>1</v>
      </c>
      <c r="H91" s="179" t="s">
        <v>1</v>
      </c>
      <c r="I91" s="181" t="s">
        <v>1</v>
      </c>
      <c r="J91" s="68" t="s">
        <v>1</v>
      </c>
      <c r="K91" s="179" t="s">
        <v>1</v>
      </c>
      <c r="L91" s="111" t="s">
        <v>1</v>
      </c>
      <c r="M91" s="68" t="s">
        <v>1</v>
      </c>
      <c r="N91" s="179" t="s">
        <v>1</v>
      </c>
      <c r="O91" s="181" t="s">
        <v>1</v>
      </c>
      <c r="P91" s="68" t="s">
        <v>1</v>
      </c>
      <c r="Q91" s="179" t="s">
        <v>1</v>
      </c>
      <c r="R91" s="179" t="s">
        <v>1</v>
      </c>
      <c r="S91" s="179" t="s">
        <v>1</v>
      </c>
      <c r="T91" s="180" t="s">
        <v>1</v>
      </c>
      <c r="U91" s="179" t="s">
        <v>1</v>
      </c>
      <c r="V91" s="179" t="s">
        <v>1</v>
      </c>
      <c r="W91" s="181" t="s">
        <v>1</v>
      </c>
      <c r="X91" s="68" t="s">
        <v>1</v>
      </c>
      <c r="Y91" s="179" t="s">
        <v>1</v>
      </c>
      <c r="Z91" s="179" t="s">
        <v>1</v>
      </c>
      <c r="AA91" s="179" t="s">
        <v>1</v>
      </c>
      <c r="AB91" s="179" t="s">
        <v>1</v>
      </c>
      <c r="AC91" s="111" t="s">
        <v>1</v>
      </c>
      <c r="AD91" s="68" t="s">
        <v>1</v>
      </c>
      <c r="AE91" s="179" t="s">
        <v>1</v>
      </c>
      <c r="AF91" s="179" t="s">
        <v>1</v>
      </c>
      <c r="AG91" s="68" t="s">
        <v>1</v>
      </c>
      <c r="AH91" s="179" t="s">
        <v>1</v>
      </c>
      <c r="AI91" s="179" t="s">
        <v>1</v>
      </c>
      <c r="AJ91" s="181" t="s">
        <v>1</v>
      </c>
      <c r="AK91" s="68" t="s">
        <v>1</v>
      </c>
      <c r="AL91" s="180" t="s">
        <v>1</v>
      </c>
      <c r="AM91" s="181" t="s">
        <v>1</v>
      </c>
      <c r="AN91" s="91" t="s">
        <v>1</v>
      </c>
      <c r="AO91" s="181" t="s">
        <v>1</v>
      </c>
      <c r="AP91" s="68" t="s">
        <v>1</v>
      </c>
      <c r="AQ91" s="179" t="s">
        <v>1</v>
      </c>
      <c r="AR91" s="179" t="s">
        <v>1</v>
      </c>
      <c r="AS91" s="179" t="s">
        <v>1</v>
      </c>
      <c r="AT91" s="181" t="s">
        <v>1</v>
      </c>
      <c r="AU91" s="77" t="s">
        <v>1</v>
      </c>
      <c r="AV91" s="179" t="s">
        <v>1</v>
      </c>
      <c r="AW91" s="181" t="s">
        <v>1</v>
      </c>
      <c r="AX91" s="68" t="s">
        <v>1</v>
      </c>
      <c r="AY91" s="179" t="s">
        <v>1</v>
      </c>
      <c r="AZ91" s="181" t="s">
        <v>1</v>
      </c>
      <c r="BA91" s="78" t="s">
        <v>1</v>
      </c>
      <c r="BB91" s="179" t="s">
        <v>1</v>
      </c>
      <c r="BC91" s="179" t="s">
        <v>1</v>
      </c>
      <c r="BD91" s="181" t="s">
        <v>1</v>
      </c>
      <c r="BE91" s="91" t="s">
        <v>1</v>
      </c>
      <c r="BF91" s="111" t="s">
        <v>1</v>
      </c>
      <c r="BG91" s="181" t="s">
        <v>1</v>
      </c>
      <c r="BH91" s="93" t="s">
        <v>0</v>
      </c>
      <c r="BI91" s="228"/>
      <c r="BJ91" s="229"/>
      <c r="BK91" s="229"/>
      <c r="BL91" s="230"/>
      <c r="BM91" s="230"/>
      <c r="BN91" s="81"/>
      <c r="BO91" s="81"/>
      <c r="BP91" s="81"/>
      <c r="BQ91" s="81"/>
      <c r="BR91" s="81"/>
      <c r="BS91" s="81"/>
      <c r="DZ91" s="82"/>
      <c r="EA91" s="82"/>
    </row>
    <row r="92" spans="1:131" ht="12.75" customHeight="1" x14ac:dyDescent="0.2">
      <c r="A92" s="222" t="s">
        <v>1137</v>
      </c>
      <c r="B92" s="59" t="s">
        <v>1</v>
      </c>
      <c r="C92" s="178" t="s">
        <v>1</v>
      </c>
      <c r="D92" s="179" t="s">
        <v>1</v>
      </c>
      <c r="E92" s="179" t="s">
        <v>1</v>
      </c>
      <c r="F92" s="179" t="s">
        <v>1</v>
      </c>
      <c r="G92" s="179" t="s">
        <v>1</v>
      </c>
      <c r="H92" s="179" t="s">
        <v>1</v>
      </c>
      <c r="I92" s="181" t="s">
        <v>1</v>
      </c>
      <c r="J92" s="68" t="s">
        <v>1</v>
      </c>
      <c r="K92" s="179" t="s">
        <v>1</v>
      </c>
      <c r="L92" s="111" t="s">
        <v>1</v>
      </c>
      <c r="M92" s="68" t="s">
        <v>1</v>
      </c>
      <c r="N92" s="179" t="s">
        <v>1</v>
      </c>
      <c r="O92" s="181" t="s">
        <v>1</v>
      </c>
      <c r="P92" s="68" t="s">
        <v>1</v>
      </c>
      <c r="Q92" s="179" t="s">
        <v>1</v>
      </c>
      <c r="R92" s="179" t="s">
        <v>1</v>
      </c>
      <c r="S92" s="179" t="s">
        <v>1</v>
      </c>
      <c r="T92" s="180" t="s">
        <v>1</v>
      </c>
      <c r="U92" s="179" t="s">
        <v>1</v>
      </c>
      <c r="V92" s="179" t="s">
        <v>1</v>
      </c>
      <c r="W92" s="181" t="s">
        <v>1</v>
      </c>
      <c r="X92" s="68" t="s">
        <v>1</v>
      </c>
      <c r="Y92" s="179" t="s">
        <v>1</v>
      </c>
      <c r="Z92" s="179" t="s">
        <v>1</v>
      </c>
      <c r="AA92" s="179" t="s">
        <v>1</v>
      </c>
      <c r="AB92" s="179" t="s">
        <v>1</v>
      </c>
      <c r="AC92" s="111" t="s">
        <v>1</v>
      </c>
      <c r="AD92" s="68" t="s">
        <v>1</v>
      </c>
      <c r="AE92" s="179" t="s">
        <v>1</v>
      </c>
      <c r="AF92" s="179" t="s">
        <v>1</v>
      </c>
      <c r="AG92" s="68" t="s">
        <v>1</v>
      </c>
      <c r="AH92" s="179" t="s">
        <v>1</v>
      </c>
      <c r="AI92" s="179" t="s">
        <v>1</v>
      </c>
      <c r="AJ92" s="181" t="s">
        <v>1</v>
      </c>
      <c r="AK92" s="68" t="s">
        <v>1</v>
      </c>
      <c r="AL92" s="180" t="s">
        <v>1</v>
      </c>
      <c r="AM92" s="181" t="s">
        <v>1</v>
      </c>
      <c r="AN92" s="91" t="s">
        <v>1</v>
      </c>
      <c r="AO92" s="181" t="s">
        <v>1</v>
      </c>
      <c r="AP92" s="68" t="s">
        <v>1</v>
      </c>
      <c r="AQ92" s="179" t="s">
        <v>1</v>
      </c>
      <c r="AR92" s="179" t="s">
        <v>1</v>
      </c>
      <c r="AS92" s="179" t="s">
        <v>1</v>
      </c>
      <c r="AT92" s="181" t="s">
        <v>1</v>
      </c>
      <c r="AU92" s="77" t="s">
        <v>1</v>
      </c>
      <c r="AV92" s="179" t="s">
        <v>1</v>
      </c>
      <c r="AW92" s="181" t="s">
        <v>1</v>
      </c>
      <c r="AX92" s="68" t="s">
        <v>1</v>
      </c>
      <c r="AY92" s="179" t="s">
        <v>1</v>
      </c>
      <c r="AZ92" s="181" t="s">
        <v>1</v>
      </c>
      <c r="BA92" s="78" t="s">
        <v>1</v>
      </c>
      <c r="BB92" s="179" t="s">
        <v>1</v>
      </c>
      <c r="BC92" s="179" t="s">
        <v>1</v>
      </c>
      <c r="BD92" s="181" t="s">
        <v>1</v>
      </c>
      <c r="BE92" s="91" t="s">
        <v>1</v>
      </c>
      <c r="BF92" s="111" t="s">
        <v>1</v>
      </c>
      <c r="BG92" s="181" t="s">
        <v>1</v>
      </c>
      <c r="BH92" s="93" t="s">
        <v>0</v>
      </c>
      <c r="BI92" s="228"/>
      <c r="BJ92" s="229"/>
      <c r="BK92" s="229"/>
      <c r="BL92" s="230"/>
      <c r="BM92" s="230"/>
      <c r="BN92" s="81"/>
      <c r="BO92" s="81"/>
      <c r="BP92" s="81"/>
      <c r="BQ92" s="81"/>
      <c r="BR92" s="81"/>
      <c r="BS92" s="81"/>
      <c r="DZ92" s="82"/>
      <c r="EA92" s="82"/>
    </row>
    <row r="93" spans="1:131" ht="12.75" customHeight="1" x14ac:dyDescent="0.2">
      <c r="A93" s="222" t="s">
        <v>1138</v>
      </c>
      <c r="B93" s="59" t="s">
        <v>1</v>
      </c>
      <c r="C93" s="178" t="s">
        <v>1</v>
      </c>
      <c r="D93" s="179" t="s">
        <v>1</v>
      </c>
      <c r="E93" s="179" t="s">
        <v>1</v>
      </c>
      <c r="F93" s="179" t="s">
        <v>1</v>
      </c>
      <c r="G93" s="179" t="s">
        <v>1</v>
      </c>
      <c r="H93" s="179" t="s">
        <v>1</v>
      </c>
      <c r="I93" s="181" t="s">
        <v>1</v>
      </c>
      <c r="J93" s="68" t="s">
        <v>1</v>
      </c>
      <c r="K93" s="179" t="s">
        <v>1</v>
      </c>
      <c r="L93" s="111" t="s">
        <v>1</v>
      </c>
      <c r="M93" s="68" t="s">
        <v>1</v>
      </c>
      <c r="N93" s="179" t="s">
        <v>1</v>
      </c>
      <c r="O93" s="181" t="s">
        <v>1</v>
      </c>
      <c r="P93" s="68" t="s">
        <v>1</v>
      </c>
      <c r="Q93" s="179" t="s">
        <v>1</v>
      </c>
      <c r="R93" s="179" t="s">
        <v>1</v>
      </c>
      <c r="S93" s="179" t="s">
        <v>1</v>
      </c>
      <c r="T93" s="180" t="s">
        <v>1</v>
      </c>
      <c r="U93" s="179" t="s">
        <v>1</v>
      </c>
      <c r="V93" s="179" t="s">
        <v>1</v>
      </c>
      <c r="W93" s="181" t="s">
        <v>1</v>
      </c>
      <c r="X93" s="68" t="s">
        <v>1</v>
      </c>
      <c r="Y93" s="179" t="s">
        <v>1</v>
      </c>
      <c r="Z93" s="179" t="s">
        <v>1</v>
      </c>
      <c r="AA93" s="179" t="s">
        <v>1</v>
      </c>
      <c r="AB93" s="179" t="s">
        <v>1</v>
      </c>
      <c r="AC93" s="111" t="s">
        <v>1</v>
      </c>
      <c r="AD93" s="68" t="s">
        <v>1</v>
      </c>
      <c r="AE93" s="179" t="s">
        <v>1</v>
      </c>
      <c r="AF93" s="179" t="s">
        <v>1</v>
      </c>
      <c r="AG93" s="68" t="s">
        <v>1</v>
      </c>
      <c r="AH93" s="179" t="s">
        <v>1</v>
      </c>
      <c r="AI93" s="179" t="s">
        <v>1</v>
      </c>
      <c r="AJ93" s="181" t="s">
        <v>1</v>
      </c>
      <c r="AK93" s="68" t="s">
        <v>1</v>
      </c>
      <c r="AL93" s="180" t="s">
        <v>1</v>
      </c>
      <c r="AM93" s="181" t="s">
        <v>1</v>
      </c>
      <c r="AN93" s="91" t="s">
        <v>1</v>
      </c>
      <c r="AO93" s="181" t="s">
        <v>1</v>
      </c>
      <c r="AP93" s="68" t="s">
        <v>1</v>
      </c>
      <c r="AQ93" s="179" t="s">
        <v>1</v>
      </c>
      <c r="AR93" s="179" t="s">
        <v>1</v>
      </c>
      <c r="AS93" s="179" t="s">
        <v>1</v>
      </c>
      <c r="AT93" s="181" t="s">
        <v>1</v>
      </c>
      <c r="AU93" s="77" t="s">
        <v>1</v>
      </c>
      <c r="AV93" s="179" t="s">
        <v>1</v>
      </c>
      <c r="AW93" s="181" t="s">
        <v>1</v>
      </c>
      <c r="AX93" s="68" t="s">
        <v>1</v>
      </c>
      <c r="AY93" s="179" t="s">
        <v>1</v>
      </c>
      <c r="AZ93" s="181" t="s">
        <v>1</v>
      </c>
      <c r="BA93" s="78" t="s">
        <v>1</v>
      </c>
      <c r="BB93" s="179" t="s">
        <v>1</v>
      </c>
      <c r="BC93" s="179" t="s">
        <v>1</v>
      </c>
      <c r="BD93" s="181" t="s">
        <v>1</v>
      </c>
      <c r="BE93" s="91" t="s">
        <v>1</v>
      </c>
      <c r="BF93" s="111" t="s">
        <v>1</v>
      </c>
      <c r="BG93" s="181" t="s">
        <v>1</v>
      </c>
      <c r="BH93" s="93" t="s">
        <v>0</v>
      </c>
      <c r="BI93" s="228"/>
      <c r="BJ93" s="229"/>
      <c r="BK93" s="229"/>
      <c r="BL93" s="230"/>
      <c r="BM93" s="230"/>
      <c r="BN93" s="81"/>
      <c r="BO93" s="81"/>
      <c r="BP93" s="81"/>
      <c r="BQ93" s="81"/>
      <c r="BR93" s="81"/>
      <c r="BS93" s="81"/>
      <c r="DZ93" s="82"/>
      <c r="EA93" s="82"/>
    </row>
    <row r="94" spans="1:131" ht="12.75" customHeight="1" x14ac:dyDescent="0.2">
      <c r="A94" s="222" t="s">
        <v>1139</v>
      </c>
      <c r="B94" s="59" t="s">
        <v>1</v>
      </c>
      <c r="C94" s="178" t="s">
        <v>1</v>
      </c>
      <c r="D94" s="179" t="s">
        <v>1</v>
      </c>
      <c r="E94" s="179" t="s">
        <v>1</v>
      </c>
      <c r="F94" s="179" t="s">
        <v>1</v>
      </c>
      <c r="G94" s="179" t="s">
        <v>1</v>
      </c>
      <c r="H94" s="179" t="s">
        <v>1</v>
      </c>
      <c r="I94" s="181" t="s">
        <v>1</v>
      </c>
      <c r="J94" s="68" t="s">
        <v>1</v>
      </c>
      <c r="K94" s="179" t="s">
        <v>1</v>
      </c>
      <c r="L94" s="111" t="s">
        <v>1</v>
      </c>
      <c r="M94" s="68" t="s">
        <v>1</v>
      </c>
      <c r="N94" s="179" t="s">
        <v>1</v>
      </c>
      <c r="O94" s="181" t="s">
        <v>1</v>
      </c>
      <c r="P94" s="68" t="s">
        <v>1</v>
      </c>
      <c r="Q94" s="179" t="s">
        <v>1</v>
      </c>
      <c r="R94" s="179" t="s">
        <v>1</v>
      </c>
      <c r="S94" s="179" t="s">
        <v>1</v>
      </c>
      <c r="T94" s="180" t="s">
        <v>1</v>
      </c>
      <c r="U94" s="179" t="s">
        <v>1</v>
      </c>
      <c r="V94" s="179" t="s">
        <v>1</v>
      </c>
      <c r="W94" s="181" t="s">
        <v>1</v>
      </c>
      <c r="X94" s="68" t="s">
        <v>1</v>
      </c>
      <c r="Y94" s="179" t="s">
        <v>1</v>
      </c>
      <c r="Z94" s="179" t="s">
        <v>1</v>
      </c>
      <c r="AA94" s="179" t="s">
        <v>1</v>
      </c>
      <c r="AB94" s="179" t="s">
        <v>1</v>
      </c>
      <c r="AC94" s="111" t="s">
        <v>1</v>
      </c>
      <c r="AD94" s="68" t="s">
        <v>1</v>
      </c>
      <c r="AE94" s="179" t="s">
        <v>1</v>
      </c>
      <c r="AF94" s="179" t="s">
        <v>1</v>
      </c>
      <c r="AG94" s="68" t="s">
        <v>1</v>
      </c>
      <c r="AH94" s="179" t="s">
        <v>1</v>
      </c>
      <c r="AI94" s="179" t="s">
        <v>1</v>
      </c>
      <c r="AJ94" s="181" t="s">
        <v>1</v>
      </c>
      <c r="AK94" s="68" t="s">
        <v>1</v>
      </c>
      <c r="AL94" s="180" t="s">
        <v>1</v>
      </c>
      <c r="AM94" s="181" t="s">
        <v>1</v>
      </c>
      <c r="AN94" s="91" t="s">
        <v>1</v>
      </c>
      <c r="AO94" s="181" t="s">
        <v>1</v>
      </c>
      <c r="AP94" s="68" t="s">
        <v>1</v>
      </c>
      <c r="AQ94" s="179" t="s">
        <v>1</v>
      </c>
      <c r="AR94" s="179" t="s">
        <v>1</v>
      </c>
      <c r="AS94" s="179" t="s">
        <v>1</v>
      </c>
      <c r="AT94" s="181" t="s">
        <v>1</v>
      </c>
      <c r="AU94" s="77" t="s">
        <v>1</v>
      </c>
      <c r="AV94" s="179" t="s">
        <v>1</v>
      </c>
      <c r="AW94" s="181" t="s">
        <v>1</v>
      </c>
      <c r="AX94" s="68" t="s">
        <v>1</v>
      </c>
      <c r="AY94" s="179" t="s">
        <v>1</v>
      </c>
      <c r="AZ94" s="181" t="s">
        <v>1</v>
      </c>
      <c r="BA94" s="78" t="s">
        <v>1</v>
      </c>
      <c r="BB94" s="179" t="s">
        <v>1</v>
      </c>
      <c r="BC94" s="179" t="s">
        <v>1</v>
      </c>
      <c r="BD94" s="181" t="s">
        <v>1</v>
      </c>
      <c r="BE94" s="91" t="s">
        <v>1</v>
      </c>
      <c r="BF94" s="111" t="s">
        <v>1</v>
      </c>
      <c r="BG94" s="181" t="s">
        <v>1</v>
      </c>
      <c r="BH94" s="93" t="s">
        <v>0</v>
      </c>
      <c r="BI94" s="228"/>
      <c r="BJ94" s="229"/>
      <c r="BK94" s="229"/>
      <c r="BL94" s="230"/>
      <c r="BM94" s="230"/>
      <c r="BN94" s="81"/>
      <c r="BO94" s="81"/>
      <c r="BP94" s="81"/>
      <c r="BQ94" s="81"/>
      <c r="BR94" s="81"/>
      <c r="BS94" s="81"/>
      <c r="DZ94" s="82"/>
      <c r="EA94" s="82"/>
    </row>
    <row r="95" spans="1:131" ht="12.75" customHeight="1" x14ac:dyDescent="0.2">
      <c r="A95" s="222" t="s">
        <v>1130</v>
      </c>
      <c r="B95" s="59" t="s">
        <v>1</v>
      </c>
      <c r="C95" s="178" t="s">
        <v>1</v>
      </c>
      <c r="D95" s="179" t="s">
        <v>1</v>
      </c>
      <c r="E95" s="179" t="s">
        <v>1</v>
      </c>
      <c r="F95" s="179" t="s">
        <v>1</v>
      </c>
      <c r="G95" s="179" t="s">
        <v>1</v>
      </c>
      <c r="H95" s="179" t="s">
        <v>1</v>
      </c>
      <c r="I95" s="181" t="s">
        <v>1</v>
      </c>
      <c r="J95" s="68" t="s">
        <v>1</v>
      </c>
      <c r="K95" s="179" t="s">
        <v>1</v>
      </c>
      <c r="L95" s="111" t="s">
        <v>1</v>
      </c>
      <c r="M95" s="68" t="s">
        <v>1</v>
      </c>
      <c r="N95" s="179" t="s">
        <v>1</v>
      </c>
      <c r="O95" s="181" t="s">
        <v>1</v>
      </c>
      <c r="P95" s="68" t="s">
        <v>1</v>
      </c>
      <c r="Q95" s="179" t="s">
        <v>1</v>
      </c>
      <c r="R95" s="179" t="s">
        <v>1</v>
      </c>
      <c r="S95" s="179" t="s">
        <v>1</v>
      </c>
      <c r="T95" s="180" t="s">
        <v>1</v>
      </c>
      <c r="U95" s="179" t="s">
        <v>1</v>
      </c>
      <c r="V95" s="179" t="s">
        <v>1</v>
      </c>
      <c r="W95" s="181" t="s">
        <v>1</v>
      </c>
      <c r="X95" s="68" t="s">
        <v>1</v>
      </c>
      <c r="Y95" s="179" t="s">
        <v>1</v>
      </c>
      <c r="Z95" s="179" t="s">
        <v>1</v>
      </c>
      <c r="AA95" s="179" t="s">
        <v>1</v>
      </c>
      <c r="AB95" s="179" t="s">
        <v>1</v>
      </c>
      <c r="AC95" s="111" t="s">
        <v>1</v>
      </c>
      <c r="AD95" s="68" t="s">
        <v>1</v>
      </c>
      <c r="AE95" s="179" t="s">
        <v>1</v>
      </c>
      <c r="AF95" s="179" t="s">
        <v>1</v>
      </c>
      <c r="AG95" s="68" t="s">
        <v>1</v>
      </c>
      <c r="AH95" s="179" t="s">
        <v>1</v>
      </c>
      <c r="AI95" s="179" t="s">
        <v>1</v>
      </c>
      <c r="AJ95" s="181" t="s">
        <v>1</v>
      </c>
      <c r="AK95" s="68" t="s">
        <v>1</v>
      </c>
      <c r="AL95" s="180" t="s">
        <v>1</v>
      </c>
      <c r="AM95" s="181" t="s">
        <v>1</v>
      </c>
      <c r="AN95" s="91" t="s">
        <v>1</v>
      </c>
      <c r="AO95" s="181" t="s">
        <v>1</v>
      </c>
      <c r="AP95" s="68" t="s">
        <v>1</v>
      </c>
      <c r="AQ95" s="179" t="s">
        <v>1</v>
      </c>
      <c r="AR95" s="179" t="s">
        <v>1</v>
      </c>
      <c r="AS95" s="179" t="s">
        <v>1</v>
      </c>
      <c r="AT95" s="181" t="s">
        <v>1</v>
      </c>
      <c r="AU95" s="77" t="s">
        <v>1</v>
      </c>
      <c r="AV95" s="179" t="s">
        <v>1</v>
      </c>
      <c r="AW95" s="181" t="s">
        <v>1</v>
      </c>
      <c r="AX95" s="68" t="s">
        <v>1</v>
      </c>
      <c r="AY95" s="179" t="s">
        <v>1</v>
      </c>
      <c r="AZ95" s="181" t="s">
        <v>1</v>
      </c>
      <c r="BA95" s="78" t="s">
        <v>1</v>
      </c>
      <c r="BB95" s="179" t="s">
        <v>1</v>
      </c>
      <c r="BC95" s="179" t="s">
        <v>1</v>
      </c>
      <c r="BD95" s="181" t="s">
        <v>1</v>
      </c>
      <c r="BE95" s="91" t="s">
        <v>1</v>
      </c>
      <c r="BF95" s="111" t="s">
        <v>1</v>
      </c>
      <c r="BG95" s="181" t="s">
        <v>1</v>
      </c>
      <c r="BH95" s="93" t="s">
        <v>0</v>
      </c>
      <c r="BI95" s="228"/>
      <c r="BJ95" s="229"/>
      <c r="BK95" s="229"/>
      <c r="BL95" s="230"/>
      <c r="BM95" s="230"/>
      <c r="BN95" s="81"/>
      <c r="BO95" s="81"/>
      <c r="BP95" s="81"/>
      <c r="BQ95" s="81"/>
      <c r="BR95" s="81"/>
      <c r="BS95" s="81"/>
      <c r="DZ95" s="82"/>
      <c r="EA95" s="82"/>
    </row>
    <row r="96" spans="1:131" ht="12.75" customHeight="1" x14ac:dyDescent="0.2">
      <c r="A96" s="222" t="s">
        <v>1131</v>
      </c>
      <c r="B96" s="59" t="s">
        <v>1</v>
      </c>
      <c r="C96" s="178" t="s">
        <v>1</v>
      </c>
      <c r="D96" s="179" t="s">
        <v>1</v>
      </c>
      <c r="E96" s="179" t="s">
        <v>1</v>
      </c>
      <c r="F96" s="179" t="s">
        <v>1</v>
      </c>
      <c r="G96" s="179" t="s">
        <v>1</v>
      </c>
      <c r="H96" s="179" t="s">
        <v>1</v>
      </c>
      <c r="I96" s="181" t="s">
        <v>1</v>
      </c>
      <c r="J96" s="68" t="s">
        <v>1</v>
      </c>
      <c r="K96" s="179" t="s">
        <v>1</v>
      </c>
      <c r="L96" s="111" t="s">
        <v>1</v>
      </c>
      <c r="M96" s="68" t="s">
        <v>1</v>
      </c>
      <c r="N96" s="179" t="s">
        <v>1</v>
      </c>
      <c r="O96" s="181" t="s">
        <v>1</v>
      </c>
      <c r="P96" s="68" t="s">
        <v>1</v>
      </c>
      <c r="Q96" s="179" t="s">
        <v>1</v>
      </c>
      <c r="R96" s="179" t="s">
        <v>1</v>
      </c>
      <c r="S96" s="179" t="s">
        <v>1</v>
      </c>
      <c r="T96" s="180" t="s">
        <v>1</v>
      </c>
      <c r="U96" s="179" t="s">
        <v>1</v>
      </c>
      <c r="V96" s="179" t="s">
        <v>1</v>
      </c>
      <c r="W96" s="181" t="s">
        <v>1</v>
      </c>
      <c r="X96" s="68" t="s">
        <v>1</v>
      </c>
      <c r="Y96" s="179" t="s">
        <v>1</v>
      </c>
      <c r="Z96" s="179" t="s">
        <v>1</v>
      </c>
      <c r="AA96" s="179" t="s">
        <v>1</v>
      </c>
      <c r="AB96" s="179" t="s">
        <v>1</v>
      </c>
      <c r="AC96" s="111" t="s">
        <v>1</v>
      </c>
      <c r="AD96" s="68" t="s">
        <v>1</v>
      </c>
      <c r="AE96" s="179" t="s">
        <v>1</v>
      </c>
      <c r="AF96" s="179" t="s">
        <v>1</v>
      </c>
      <c r="AG96" s="68" t="s">
        <v>1</v>
      </c>
      <c r="AH96" s="179" t="s">
        <v>1</v>
      </c>
      <c r="AI96" s="179" t="s">
        <v>1</v>
      </c>
      <c r="AJ96" s="181" t="s">
        <v>1</v>
      </c>
      <c r="AK96" s="68" t="s">
        <v>1</v>
      </c>
      <c r="AL96" s="180" t="s">
        <v>1</v>
      </c>
      <c r="AM96" s="181" t="s">
        <v>1</v>
      </c>
      <c r="AN96" s="91" t="s">
        <v>1</v>
      </c>
      <c r="AO96" s="181" t="s">
        <v>1</v>
      </c>
      <c r="AP96" s="68" t="s">
        <v>1</v>
      </c>
      <c r="AQ96" s="179" t="s">
        <v>1</v>
      </c>
      <c r="AR96" s="179" t="s">
        <v>1</v>
      </c>
      <c r="AS96" s="179" t="s">
        <v>1</v>
      </c>
      <c r="AT96" s="181" t="s">
        <v>1</v>
      </c>
      <c r="AU96" s="77" t="s">
        <v>1</v>
      </c>
      <c r="AV96" s="179" t="s">
        <v>1</v>
      </c>
      <c r="AW96" s="181" t="s">
        <v>1</v>
      </c>
      <c r="AX96" s="68" t="s">
        <v>1</v>
      </c>
      <c r="AY96" s="179" t="s">
        <v>1</v>
      </c>
      <c r="AZ96" s="181" t="s">
        <v>1</v>
      </c>
      <c r="BA96" s="78" t="s">
        <v>1</v>
      </c>
      <c r="BB96" s="179" t="s">
        <v>1</v>
      </c>
      <c r="BC96" s="179" t="s">
        <v>1</v>
      </c>
      <c r="BD96" s="181" t="s">
        <v>1</v>
      </c>
      <c r="BE96" s="91" t="s">
        <v>1</v>
      </c>
      <c r="BF96" s="111" t="s">
        <v>1</v>
      </c>
      <c r="BG96" s="181" t="s">
        <v>1</v>
      </c>
      <c r="BH96" s="93" t="s">
        <v>0</v>
      </c>
      <c r="BI96" s="228"/>
      <c r="BJ96" s="229"/>
      <c r="BK96" s="229"/>
      <c r="BL96" s="230"/>
      <c r="BM96" s="230"/>
      <c r="BN96" s="81"/>
      <c r="BO96" s="81"/>
      <c r="BP96" s="81"/>
      <c r="BQ96" s="81"/>
      <c r="BR96" s="81"/>
      <c r="BS96" s="81"/>
      <c r="DZ96" s="82"/>
      <c r="EA96" s="82"/>
    </row>
    <row r="97" spans="1:137" ht="12.75" customHeight="1" x14ac:dyDescent="0.2">
      <c r="A97" s="222" t="s">
        <v>1140</v>
      </c>
      <c r="B97" s="225" t="s">
        <v>1</v>
      </c>
      <c r="C97" s="178" t="s">
        <v>1</v>
      </c>
      <c r="D97" s="179" t="s">
        <v>1</v>
      </c>
      <c r="E97" s="179" t="s">
        <v>1</v>
      </c>
      <c r="F97" s="179" t="s">
        <v>1</v>
      </c>
      <c r="G97" s="179" t="s">
        <v>1</v>
      </c>
      <c r="H97" s="179" t="s">
        <v>1</v>
      </c>
      <c r="I97" s="181" t="s">
        <v>1</v>
      </c>
      <c r="J97" s="68" t="s">
        <v>1</v>
      </c>
      <c r="K97" s="179" t="s">
        <v>1</v>
      </c>
      <c r="L97" s="111" t="s">
        <v>1</v>
      </c>
      <c r="M97" s="68" t="s">
        <v>1</v>
      </c>
      <c r="N97" s="179" t="s">
        <v>1</v>
      </c>
      <c r="O97" s="181" t="s">
        <v>1</v>
      </c>
      <c r="P97" s="68" t="s">
        <v>1</v>
      </c>
      <c r="Q97" s="179" t="s">
        <v>1</v>
      </c>
      <c r="R97" s="179" t="s">
        <v>1</v>
      </c>
      <c r="S97" s="179" t="s">
        <v>1</v>
      </c>
      <c r="T97" s="180" t="s">
        <v>1</v>
      </c>
      <c r="U97" s="179" t="s">
        <v>1</v>
      </c>
      <c r="V97" s="179" t="s">
        <v>1</v>
      </c>
      <c r="W97" s="231" t="s">
        <v>0</v>
      </c>
      <c r="X97" s="68" t="s">
        <v>1</v>
      </c>
      <c r="Y97" s="179" t="s">
        <v>1</v>
      </c>
      <c r="Z97" s="179" t="s">
        <v>1</v>
      </c>
      <c r="AA97" s="179" t="s">
        <v>1</v>
      </c>
      <c r="AB97" s="179" t="s">
        <v>1</v>
      </c>
      <c r="AC97" s="111" t="s">
        <v>1</v>
      </c>
      <c r="AD97" s="68" t="s">
        <v>1</v>
      </c>
      <c r="AE97" s="179" t="s">
        <v>1</v>
      </c>
      <c r="AF97" s="179" t="s">
        <v>1</v>
      </c>
      <c r="AG97" s="68" t="s">
        <v>1</v>
      </c>
      <c r="AH97" s="179" t="s">
        <v>1</v>
      </c>
      <c r="AI97" s="179" t="s">
        <v>1</v>
      </c>
      <c r="AJ97" s="181" t="s">
        <v>1</v>
      </c>
      <c r="AK97" s="68" t="s">
        <v>1</v>
      </c>
      <c r="AL97" s="180" t="s">
        <v>1</v>
      </c>
      <c r="AM97" s="181" t="s">
        <v>1</v>
      </c>
      <c r="AN97" s="91" t="s">
        <v>1</v>
      </c>
      <c r="AO97" s="181" t="s">
        <v>1</v>
      </c>
      <c r="AP97" s="68" t="s">
        <v>1</v>
      </c>
      <c r="AQ97" s="179" t="s">
        <v>1</v>
      </c>
      <c r="AR97" s="179" t="s">
        <v>1</v>
      </c>
      <c r="AS97" s="179" t="s">
        <v>1</v>
      </c>
      <c r="AT97" s="181" t="s">
        <v>1</v>
      </c>
      <c r="AU97" s="77" t="s">
        <v>1</v>
      </c>
      <c r="AV97" s="179" t="s">
        <v>1</v>
      </c>
      <c r="AW97" s="181" t="s">
        <v>1</v>
      </c>
      <c r="AX97" s="68" t="s">
        <v>1</v>
      </c>
      <c r="AY97" s="179" t="s">
        <v>1</v>
      </c>
      <c r="AZ97" s="181" t="s">
        <v>1</v>
      </c>
      <c r="BA97" s="78" t="s">
        <v>1</v>
      </c>
      <c r="BB97" s="179" t="s">
        <v>1</v>
      </c>
      <c r="BC97" s="179" t="s">
        <v>1</v>
      </c>
      <c r="BD97" s="181" t="s">
        <v>1</v>
      </c>
      <c r="BE97" s="91" t="s">
        <v>1</v>
      </c>
      <c r="BF97" s="111" t="s">
        <v>1</v>
      </c>
      <c r="BG97" s="181" t="s">
        <v>1</v>
      </c>
      <c r="BH97" s="93" t="s">
        <v>0</v>
      </c>
      <c r="BI97" s="228"/>
      <c r="BJ97" s="229"/>
      <c r="BK97" s="229"/>
      <c r="BL97" s="230"/>
      <c r="BM97" s="230"/>
      <c r="BN97" s="81"/>
      <c r="BO97" s="81"/>
      <c r="BP97" s="81"/>
      <c r="BQ97" s="81"/>
      <c r="BR97" s="81"/>
      <c r="BS97" s="81"/>
      <c r="DZ97" s="82"/>
      <c r="EA97" s="82"/>
    </row>
    <row r="98" spans="1:137" ht="12.75" customHeight="1" x14ac:dyDescent="0.2">
      <c r="A98" s="222" t="s">
        <v>1141</v>
      </c>
      <c r="B98" s="225" t="s">
        <v>1</v>
      </c>
      <c r="C98" s="178" t="s">
        <v>1</v>
      </c>
      <c r="D98" s="179" t="s">
        <v>1</v>
      </c>
      <c r="E98" s="179" t="s">
        <v>1</v>
      </c>
      <c r="F98" s="179" t="s">
        <v>1</v>
      </c>
      <c r="G98" s="179" t="s">
        <v>1</v>
      </c>
      <c r="H98" s="179" t="s">
        <v>1</v>
      </c>
      <c r="I98" s="181" t="s">
        <v>1</v>
      </c>
      <c r="J98" s="68" t="s">
        <v>1</v>
      </c>
      <c r="K98" s="179" t="s">
        <v>1</v>
      </c>
      <c r="L98" s="111" t="s">
        <v>1</v>
      </c>
      <c r="M98" s="68" t="s">
        <v>1</v>
      </c>
      <c r="N98" s="179" t="s">
        <v>1</v>
      </c>
      <c r="O98" s="181" t="s">
        <v>1</v>
      </c>
      <c r="P98" s="68" t="s">
        <v>1</v>
      </c>
      <c r="Q98" s="179" t="s">
        <v>1</v>
      </c>
      <c r="R98" s="179" t="s">
        <v>1</v>
      </c>
      <c r="S98" s="179" t="s">
        <v>1</v>
      </c>
      <c r="T98" s="180" t="s">
        <v>1</v>
      </c>
      <c r="U98" s="179" t="s">
        <v>1</v>
      </c>
      <c r="V98" s="179" t="s">
        <v>1</v>
      </c>
      <c r="W98" s="181" t="s">
        <v>1</v>
      </c>
      <c r="X98" s="68" t="s">
        <v>1</v>
      </c>
      <c r="Y98" s="179" t="s">
        <v>1</v>
      </c>
      <c r="Z98" s="179" t="s">
        <v>1</v>
      </c>
      <c r="AA98" s="179" t="s">
        <v>1</v>
      </c>
      <c r="AB98" s="179" t="s">
        <v>1</v>
      </c>
      <c r="AC98" s="111" t="s">
        <v>1</v>
      </c>
      <c r="AD98" s="68" t="s">
        <v>1</v>
      </c>
      <c r="AE98" s="179" t="s">
        <v>1</v>
      </c>
      <c r="AF98" s="179" t="s">
        <v>1</v>
      </c>
      <c r="AG98" s="68" t="s">
        <v>1</v>
      </c>
      <c r="AH98" s="179" t="s">
        <v>1</v>
      </c>
      <c r="AI98" s="179" t="s">
        <v>1</v>
      </c>
      <c r="AJ98" s="181" t="s">
        <v>1</v>
      </c>
      <c r="AK98" s="68" t="s">
        <v>1</v>
      </c>
      <c r="AL98" s="180" t="s">
        <v>1</v>
      </c>
      <c r="AM98" s="181" t="s">
        <v>1</v>
      </c>
      <c r="AN98" s="91" t="s">
        <v>1</v>
      </c>
      <c r="AO98" s="181" t="s">
        <v>1</v>
      </c>
      <c r="AP98" s="68" t="s">
        <v>1</v>
      </c>
      <c r="AQ98" s="179" t="s">
        <v>1</v>
      </c>
      <c r="AR98" s="179" t="s">
        <v>1</v>
      </c>
      <c r="AS98" s="179" t="s">
        <v>1</v>
      </c>
      <c r="AT98" s="181" t="s">
        <v>1</v>
      </c>
      <c r="AU98" s="77" t="s">
        <v>1</v>
      </c>
      <c r="AV98" s="179" t="s">
        <v>1</v>
      </c>
      <c r="AW98" s="181" t="s">
        <v>1</v>
      </c>
      <c r="AX98" s="68" t="s">
        <v>1</v>
      </c>
      <c r="AY98" s="179" t="s">
        <v>1</v>
      </c>
      <c r="AZ98" s="181" t="s">
        <v>1</v>
      </c>
      <c r="BA98" s="78" t="s">
        <v>1</v>
      </c>
      <c r="BB98" s="179" t="s">
        <v>1</v>
      </c>
      <c r="BC98" s="179" t="s">
        <v>1</v>
      </c>
      <c r="BD98" s="181" t="s">
        <v>1</v>
      </c>
      <c r="BE98" s="91" t="s">
        <v>1</v>
      </c>
      <c r="BF98" s="111" t="s">
        <v>1</v>
      </c>
      <c r="BG98" s="181" t="s">
        <v>1</v>
      </c>
      <c r="BH98" s="93" t="s">
        <v>0</v>
      </c>
      <c r="BI98" s="228"/>
      <c r="BJ98" s="229"/>
      <c r="BK98" s="229"/>
      <c r="BL98" s="230"/>
      <c r="BM98" s="230"/>
      <c r="BN98" s="81"/>
      <c r="BO98" s="81"/>
      <c r="BP98" s="81"/>
      <c r="BQ98" s="81"/>
      <c r="BR98" s="81"/>
      <c r="BS98" s="81"/>
      <c r="DZ98" s="82"/>
      <c r="EA98" s="82"/>
    </row>
    <row r="99" spans="1:137" ht="12.75" customHeight="1" x14ac:dyDescent="0.2">
      <c r="A99" s="222" t="s">
        <v>1142</v>
      </c>
      <c r="B99" s="225" t="s">
        <v>1</v>
      </c>
      <c r="C99" s="178" t="s">
        <v>1</v>
      </c>
      <c r="D99" s="179" t="s">
        <v>1</v>
      </c>
      <c r="E99" s="179" t="s">
        <v>1</v>
      </c>
      <c r="F99" s="179" t="s">
        <v>1</v>
      </c>
      <c r="G99" s="179" t="s">
        <v>1</v>
      </c>
      <c r="H99" s="179" t="s">
        <v>1</v>
      </c>
      <c r="I99" s="181" t="s">
        <v>1</v>
      </c>
      <c r="J99" s="68" t="s">
        <v>1</v>
      </c>
      <c r="K99" s="179" t="s">
        <v>1</v>
      </c>
      <c r="L99" s="111" t="s">
        <v>1</v>
      </c>
      <c r="M99" s="68" t="s">
        <v>1</v>
      </c>
      <c r="N99" s="179" t="s">
        <v>1</v>
      </c>
      <c r="O99" s="181" t="s">
        <v>1</v>
      </c>
      <c r="P99" s="68" t="s">
        <v>1</v>
      </c>
      <c r="Q99" s="179" t="s">
        <v>1</v>
      </c>
      <c r="R99" s="179" t="s">
        <v>1</v>
      </c>
      <c r="S99" s="179" t="s">
        <v>1</v>
      </c>
      <c r="T99" s="180" t="s">
        <v>1</v>
      </c>
      <c r="U99" s="179" t="s">
        <v>1</v>
      </c>
      <c r="V99" s="179" t="s">
        <v>1</v>
      </c>
      <c r="W99" s="181" t="s">
        <v>1</v>
      </c>
      <c r="X99" s="68" t="s">
        <v>1</v>
      </c>
      <c r="Y99" s="179" t="s">
        <v>1</v>
      </c>
      <c r="Z99" s="179" t="s">
        <v>1</v>
      </c>
      <c r="AA99" s="179" t="s">
        <v>1</v>
      </c>
      <c r="AB99" s="179" t="s">
        <v>1</v>
      </c>
      <c r="AC99" s="111" t="s">
        <v>1</v>
      </c>
      <c r="AD99" s="68" t="s">
        <v>1</v>
      </c>
      <c r="AE99" s="179" t="s">
        <v>1</v>
      </c>
      <c r="AF99" s="179" t="s">
        <v>1</v>
      </c>
      <c r="AG99" s="68" t="s">
        <v>1</v>
      </c>
      <c r="AH99" s="179" t="s">
        <v>1</v>
      </c>
      <c r="AI99" s="179" t="s">
        <v>1</v>
      </c>
      <c r="AJ99" s="181" t="s">
        <v>1</v>
      </c>
      <c r="AK99" s="68" t="s">
        <v>1</v>
      </c>
      <c r="AL99" s="180" t="s">
        <v>1</v>
      </c>
      <c r="AM99" s="181" t="s">
        <v>1</v>
      </c>
      <c r="AN99" s="91" t="s">
        <v>1</v>
      </c>
      <c r="AO99" s="181" t="s">
        <v>1</v>
      </c>
      <c r="AP99" s="68" t="s">
        <v>1</v>
      </c>
      <c r="AQ99" s="179" t="s">
        <v>1</v>
      </c>
      <c r="AR99" s="179" t="s">
        <v>1</v>
      </c>
      <c r="AS99" s="179" t="s">
        <v>1</v>
      </c>
      <c r="AT99" s="181" t="s">
        <v>1</v>
      </c>
      <c r="AU99" s="77" t="s">
        <v>1</v>
      </c>
      <c r="AV99" s="179" t="s">
        <v>1</v>
      </c>
      <c r="AW99" s="181" t="s">
        <v>1</v>
      </c>
      <c r="AX99" s="68" t="s">
        <v>1</v>
      </c>
      <c r="AY99" s="179" t="s">
        <v>1</v>
      </c>
      <c r="AZ99" s="181" t="s">
        <v>1</v>
      </c>
      <c r="BA99" s="78" t="s">
        <v>1</v>
      </c>
      <c r="BB99" s="179" t="s">
        <v>1</v>
      </c>
      <c r="BC99" s="179" t="s">
        <v>1</v>
      </c>
      <c r="BD99" s="181" t="s">
        <v>1</v>
      </c>
      <c r="BE99" s="91" t="s">
        <v>1</v>
      </c>
      <c r="BF99" s="111" t="s">
        <v>1</v>
      </c>
      <c r="BG99" s="181" t="s">
        <v>1</v>
      </c>
      <c r="BH99" s="93" t="s">
        <v>0</v>
      </c>
      <c r="BI99" s="228"/>
      <c r="BJ99" s="229"/>
      <c r="BK99" s="229"/>
      <c r="BL99" s="230"/>
      <c r="BM99" s="230"/>
      <c r="BN99" s="81"/>
      <c r="BO99" s="81"/>
      <c r="BP99" s="81"/>
      <c r="BQ99" s="81"/>
      <c r="BR99" s="81"/>
      <c r="BS99" s="81"/>
      <c r="DZ99" s="82"/>
      <c r="EA99" s="82"/>
    </row>
    <row r="100" spans="1:137" ht="12.75" customHeight="1" x14ac:dyDescent="0.2">
      <c r="A100" s="222" t="s">
        <v>1143</v>
      </c>
      <c r="B100" s="225" t="s">
        <v>1</v>
      </c>
      <c r="C100" s="178" t="s">
        <v>1</v>
      </c>
      <c r="D100" s="179" t="s">
        <v>1</v>
      </c>
      <c r="E100" s="179" t="s">
        <v>1</v>
      </c>
      <c r="F100" s="179" t="s">
        <v>1</v>
      </c>
      <c r="G100" s="179" t="s">
        <v>1</v>
      </c>
      <c r="H100" s="179" t="s">
        <v>1</v>
      </c>
      <c r="I100" s="181" t="s">
        <v>1</v>
      </c>
      <c r="J100" s="68" t="s">
        <v>1</v>
      </c>
      <c r="K100" s="179" t="s">
        <v>1</v>
      </c>
      <c r="L100" s="111" t="s">
        <v>1</v>
      </c>
      <c r="M100" s="68" t="s">
        <v>1</v>
      </c>
      <c r="N100" s="179" t="s">
        <v>1</v>
      </c>
      <c r="O100" s="181" t="s">
        <v>1</v>
      </c>
      <c r="P100" s="68" t="s">
        <v>1</v>
      </c>
      <c r="Q100" s="179" t="s">
        <v>1</v>
      </c>
      <c r="R100" s="179" t="s">
        <v>1</v>
      </c>
      <c r="S100" s="179" t="s">
        <v>1</v>
      </c>
      <c r="T100" s="180" t="s">
        <v>1</v>
      </c>
      <c r="U100" s="179" t="s">
        <v>1</v>
      </c>
      <c r="V100" s="179" t="s">
        <v>1</v>
      </c>
      <c r="W100" s="181" t="s">
        <v>1</v>
      </c>
      <c r="X100" s="68" t="s">
        <v>1</v>
      </c>
      <c r="Y100" s="179" t="s">
        <v>1</v>
      </c>
      <c r="Z100" s="179" t="s">
        <v>1</v>
      </c>
      <c r="AA100" s="179" t="s">
        <v>1</v>
      </c>
      <c r="AB100" s="179" t="s">
        <v>1</v>
      </c>
      <c r="AC100" s="111" t="s">
        <v>1</v>
      </c>
      <c r="AD100" s="68" t="s">
        <v>1</v>
      </c>
      <c r="AE100" s="179" t="s">
        <v>1</v>
      </c>
      <c r="AF100" s="179" t="s">
        <v>1</v>
      </c>
      <c r="AG100" s="68" t="s">
        <v>1</v>
      </c>
      <c r="AH100" s="179" t="s">
        <v>1</v>
      </c>
      <c r="AI100" s="179" t="s">
        <v>1</v>
      </c>
      <c r="AJ100" s="181" t="s">
        <v>1</v>
      </c>
      <c r="AK100" s="68" t="s">
        <v>1</v>
      </c>
      <c r="AL100" s="180" t="s">
        <v>1</v>
      </c>
      <c r="AM100" s="181" t="s">
        <v>1</v>
      </c>
      <c r="AN100" s="91" t="s">
        <v>1</v>
      </c>
      <c r="AO100" s="181" t="s">
        <v>1</v>
      </c>
      <c r="AP100" s="68" t="s">
        <v>1</v>
      </c>
      <c r="AQ100" s="179" t="s">
        <v>1</v>
      </c>
      <c r="AR100" s="179" t="s">
        <v>1</v>
      </c>
      <c r="AS100" s="179" t="s">
        <v>1</v>
      </c>
      <c r="AT100" s="181" t="s">
        <v>1</v>
      </c>
      <c r="AU100" s="77" t="s">
        <v>1</v>
      </c>
      <c r="AV100" s="179" t="s">
        <v>1</v>
      </c>
      <c r="AW100" s="181" t="s">
        <v>1</v>
      </c>
      <c r="AX100" s="68" t="s">
        <v>1</v>
      </c>
      <c r="AY100" s="179" t="s">
        <v>1</v>
      </c>
      <c r="AZ100" s="181" t="s">
        <v>1</v>
      </c>
      <c r="BA100" s="78" t="s">
        <v>1</v>
      </c>
      <c r="BB100" s="179" t="s">
        <v>1</v>
      </c>
      <c r="BC100" s="179" t="s">
        <v>1</v>
      </c>
      <c r="BD100" s="181" t="s">
        <v>1</v>
      </c>
      <c r="BE100" s="91" t="s">
        <v>1</v>
      </c>
      <c r="BF100" s="111" t="s">
        <v>1</v>
      </c>
      <c r="BG100" s="181" t="s">
        <v>1</v>
      </c>
      <c r="BH100" s="93" t="s">
        <v>0</v>
      </c>
      <c r="BI100" s="228"/>
      <c r="BJ100" s="229"/>
      <c r="BK100" s="229"/>
      <c r="BL100" s="230"/>
      <c r="BM100" s="230"/>
      <c r="BN100" s="81"/>
      <c r="BO100" s="81"/>
      <c r="BP100" s="81"/>
      <c r="BQ100" s="81"/>
      <c r="BR100" s="81"/>
      <c r="BS100" s="81"/>
      <c r="DZ100" s="82"/>
      <c r="EA100" s="82"/>
    </row>
    <row r="101" spans="1:137" ht="12.75" customHeight="1" x14ac:dyDescent="0.2">
      <c r="A101" s="222" t="s">
        <v>4</v>
      </c>
      <c r="B101" s="59" t="s">
        <v>1</v>
      </c>
      <c r="C101" s="178" t="s">
        <v>1</v>
      </c>
      <c r="D101" s="179" t="s">
        <v>1</v>
      </c>
      <c r="E101" s="179" t="s">
        <v>1</v>
      </c>
      <c r="F101" s="179" t="s">
        <v>1</v>
      </c>
      <c r="G101" s="179" t="s">
        <v>1</v>
      </c>
      <c r="H101" s="179" t="s">
        <v>1</v>
      </c>
      <c r="I101" s="181" t="s">
        <v>1</v>
      </c>
      <c r="J101" s="68" t="s">
        <v>1</v>
      </c>
      <c r="K101" s="179" t="s">
        <v>1</v>
      </c>
      <c r="L101" s="111" t="s">
        <v>1</v>
      </c>
      <c r="M101" s="68" t="s">
        <v>1</v>
      </c>
      <c r="N101" s="179" t="s">
        <v>1</v>
      </c>
      <c r="O101" s="181" t="s">
        <v>1</v>
      </c>
      <c r="P101" s="68" t="s">
        <v>1</v>
      </c>
      <c r="Q101" s="179" t="s">
        <v>1</v>
      </c>
      <c r="R101" s="179" t="s">
        <v>1</v>
      </c>
      <c r="S101" s="179" t="s">
        <v>1</v>
      </c>
      <c r="T101" s="180" t="s">
        <v>1</v>
      </c>
      <c r="U101" s="179" t="s">
        <v>1</v>
      </c>
      <c r="V101" s="179" t="s">
        <v>1</v>
      </c>
      <c r="W101" s="181" t="s">
        <v>1</v>
      </c>
      <c r="X101" s="68" t="s">
        <v>1</v>
      </c>
      <c r="Y101" s="179" t="s">
        <v>1</v>
      </c>
      <c r="Z101" s="179" t="s">
        <v>1</v>
      </c>
      <c r="AA101" s="179" t="s">
        <v>1</v>
      </c>
      <c r="AB101" s="179" t="s">
        <v>1</v>
      </c>
      <c r="AC101" s="111" t="s">
        <v>1</v>
      </c>
      <c r="AD101" s="68" t="s">
        <v>1</v>
      </c>
      <c r="AE101" s="179" t="s">
        <v>1</v>
      </c>
      <c r="AF101" s="179" t="s">
        <v>1</v>
      </c>
      <c r="AG101" s="68" t="s">
        <v>1</v>
      </c>
      <c r="AH101" s="179" t="s">
        <v>1</v>
      </c>
      <c r="AI101" s="179" t="s">
        <v>1</v>
      </c>
      <c r="AJ101" s="181" t="s">
        <v>1</v>
      </c>
      <c r="AK101" s="68" t="s">
        <v>1</v>
      </c>
      <c r="AL101" s="180" t="s">
        <v>1</v>
      </c>
      <c r="AM101" s="181" t="s">
        <v>1</v>
      </c>
      <c r="AN101" s="91" t="s">
        <v>1</v>
      </c>
      <c r="AO101" s="181" t="s">
        <v>1</v>
      </c>
      <c r="AP101" s="68" t="s">
        <v>1</v>
      </c>
      <c r="AQ101" s="179" t="s">
        <v>1</v>
      </c>
      <c r="AR101" s="179" t="s">
        <v>1</v>
      </c>
      <c r="AS101" s="179" t="s">
        <v>1</v>
      </c>
      <c r="AT101" s="181" t="s">
        <v>1</v>
      </c>
      <c r="AU101" s="77" t="s">
        <v>1</v>
      </c>
      <c r="AV101" s="179" t="s">
        <v>1</v>
      </c>
      <c r="AW101" s="181" t="s">
        <v>1</v>
      </c>
      <c r="AX101" s="68" t="s">
        <v>1</v>
      </c>
      <c r="AY101" s="179" t="s">
        <v>1</v>
      </c>
      <c r="AZ101" s="181" t="s">
        <v>1</v>
      </c>
      <c r="BA101" s="78" t="s">
        <v>1</v>
      </c>
      <c r="BB101" s="179" t="s">
        <v>1</v>
      </c>
      <c r="BC101" s="179" t="s">
        <v>1</v>
      </c>
      <c r="BD101" s="181" t="s">
        <v>1</v>
      </c>
      <c r="BE101" s="91" t="s">
        <v>1</v>
      </c>
      <c r="BF101" s="111" t="s">
        <v>1</v>
      </c>
      <c r="BG101" s="181" t="s">
        <v>1</v>
      </c>
      <c r="BH101" s="93" t="s">
        <v>0</v>
      </c>
      <c r="BI101" s="223"/>
      <c r="BJ101" s="224"/>
      <c r="BK101" s="224"/>
      <c r="BL101" s="224"/>
      <c r="BM101" s="224"/>
      <c r="BN101" s="81"/>
      <c r="BO101" s="81"/>
      <c r="BP101" s="81"/>
      <c r="BQ101" s="81"/>
      <c r="BR101" s="81"/>
      <c r="BS101" s="81"/>
      <c r="DZ101" s="82"/>
      <c r="EA101" s="82"/>
    </row>
    <row r="102" spans="1:137" ht="12.75" customHeight="1" x14ac:dyDescent="0.2">
      <c r="A102" s="222" t="s">
        <v>1121</v>
      </c>
      <c r="B102" s="225" t="s">
        <v>1</v>
      </c>
      <c r="C102" s="178" t="s">
        <v>1</v>
      </c>
      <c r="D102" s="179" t="s">
        <v>1</v>
      </c>
      <c r="E102" s="179" t="s">
        <v>1</v>
      </c>
      <c r="F102" s="179" t="s">
        <v>1</v>
      </c>
      <c r="G102" s="179" t="s">
        <v>1</v>
      </c>
      <c r="H102" s="179" t="s">
        <v>1</v>
      </c>
      <c r="I102" s="181" t="s">
        <v>1</v>
      </c>
      <c r="J102" s="68" t="s">
        <v>1</v>
      </c>
      <c r="K102" s="179" t="s">
        <v>1</v>
      </c>
      <c r="L102" s="111" t="s">
        <v>1</v>
      </c>
      <c r="M102" s="68" t="s">
        <v>1</v>
      </c>
      <c r="N102" s="179" t="s">
        <v>1</v>
      </c>
      <c r="O102" s="181" t="s">
        <v>1</v>
      </c>
      <c r="P102" s="68" t="s">
        <v>1</v>
      </c>
      <c r="Q102" s="179" t="s">
        <v>1</v>
      </c>
      <c r="R102" s="179" t="s">
        <v>1</v>
      </c>
      <c r="S102" s="179" t="s">
        <v>1</v>
      </c>
      <c r="T102" s="180" t="s">
        <v>1</v>
      </c>
      <c r="U102" s="179" t="s">
        <v>1</v>
      </c>
      <c r="V102" s="179" t="s">
        <v>1</v>
      </c>
      <c r="W102" s="181" t="s">
        <v>1</v>
      </c>
      <c r="X102" s="68" t="s">
        <v>1</v>
      </c>
      <c r="Y102" s="179" t="s">
        <v>1</v>
      </c>
      <c r="Z102" s="179" t="s">
        <v>1</v>
      </c>
      <c r="AA102" s="179" t="s">
        <v>1</v>
      </c>
      <c r="AB102" s="179" t="s">
        <v>1</v>
      </c>
      <c r="AC102" s="111" t="s">
        <v>1</v>
      </c>
      <c r="AD102" s="68" t="s">
        <v>1</v>
      </c>
      <c r="AE102" s="179" t="s">
        <v>1</v>
      </c>
      <c r="AF102" s="179" t="s">
        <v>1</v>
      </c>
      <c r="AG102" s="68" t="s">
        <v>1</v>
      </c>
      <c r="AH102" s="179" t="s">
        <v>1</v>
      </c>
      <c r="AI102" s="179" t="s">
        <v>1</v>
      </c>
      <c r="AJ102" s="181" t="s">
        <v>1</v>
      </c>
      <c r="AK102" s="68" t="s">
        <v>1</v>
      </c>
      <c r="AL102" s="180" t="s">
        <v>1</v>
      </c>
      <c r="AM102" s="181" t="s">
        <v>1</v>
      </c>
      <c r="AN102" s="91" t="s">
        <v>1</v>
      </c>
      <c r="AO102" s="181" t="s">
        <v>1</v>
      </c>
      <c r="AP102" s="68" t="s">
        <v>1</v>
      </c>
      <c r="AQ102" s="179" t="s">
        <v>1</v>
      </c>
      <c r="AR102" s="179" t="s">
        <v>1</v>
      </c>
      <c r="AS102" s="179" t="s">
        <v>1</v>
      </c>
      <c r="AT102" s="181" t="s">
        <v>1</v>
      </c>
      <c r="AU102" s="77" t="s">
        <v>1</v>
      </c>
      <c r="AV102" s="179" t="s">
        <v>1</v>
      </c>
      <c r="AW102" s="181" t="s">
        <v>1</v>
      </c>
      <c r="AX102" s="68" t="s">
        <v>1</v>
      </c>
      <c r="AY102" s="179" t="s">
        <v>1</v>
      </c>
      <c r="AZ102" s="181" t="s">
        <v>1</v>
      </c>
      <c r="BA102" s="78" t="s">
        <v>1</v>
      </c>
      <c r="BB102" s="179" t="s">
        <v>1</v>
      </c>
      <c r="BC102" s="179" t="s">
        <v>1</v>
      </c>
      <c r="BD102" s="181" t="s">
        <v>1</v>
      </c>
      <c r="BE102" s="91" t="s">
        <v>1</v>
      </c>
      <c r="BF102" s="111" t="s">
        <v>1</v>
      </c>
      <c r="BG102" s="181" t="s">
        <v>1</v>
      </c>
      <c r="BH102" s="93" t="s">
        <v>0</v>
      </c>
      <c r="BI102" s="223"/>
      <c r="BJ102" s="224"/>
      <c r="BK102" s="224"/>
      <c r="BL102" s="224"/>
      <c r="BM102" s="224"/>
      <c r="BN102" s="81"/>
      <c r="BO102" s="81"/>
      <c r="BP102" s="81"/>
      <c r="BQ102" s="81"/>
      <c r="BR102" s="81"/>
      <c r="BS102" s="81"/>
      <c r="DZ102" s="82"/>
      <c r="EA102" s="82"/>
    </row>
    <row r="103" spans="1:137" ht="12.75" customHeight="1" x14ac:dyDescent="0.2">
      <c r="A103" s="222" t="s">
        <v>1154</v>
      </c>
      <c r="B103" s="225" t="s">
        <v>1</v>
      </c>
      <c r="C103" s="178" t="s">
        <v>1</v>
      </c>
      <c r="D103" s="179" t="s">
        <v>1</v>
      </c>
      <c r="E103" s="179" t="s">
        <v>1</v>
      </c>
      <c r="F103" s="179" t="s">
        <v>1</v>
      </c>
      <c r="G103" s="179" t="s">
        <v>1</v>
      </c>
      <c r="H103" s="179" t="s">
        <v>1</v>
      </c>
      <c r="I103" s="181" t="s">
        <v>1</v>
      </c>
      <c r="J103" s="68" t="s">
        <v>1</v>
      </c>
      <c r="K103" s="179" t="s">
        <v>1</v>
      </c>
      <c r="L103" s="111" t="s">
        <v>1</v>
      </c>
      <c r="M103" s="68" t="s">
        <v>1</v>
      </c>
      <c r="N103" s="179" t="s">
        <v>1</v>
      </c>
      <c r="O103" s="181" t="s">
        <v>1</v>
      </c>
      <c r="P103" s="68" t="s">
        <v>1</v>
      </c>
      <c r="Q103" s="179" t="s">
        <v>1</v>
      </c>
      <c r="R103" s="179" t="s">
        <v>1</v>
      </c>
      <c r="S103" s="179" t="s">
        <v>1</v>
      </c>
      <c r="T103" s="180" t="s">
        <v>1</v>
      </c>
      <c r="U103" s="179" t="s">
        <v>1</v>
      </c>
      <c r="V103" s="179" t="s">
        <v>1</v>
      </c>
      <c r="W103" s="181" t="s">
        <v>1</v>
      </c>
      <c r="X103" s="68" t="s">
        <v>1</v>
      </c>
      <c r="Y103" s="179" t="s">
        <v>1</v>
      </c>
      <c r="Z103" s="179" t="s">
        <v>1</v>
      </c>
      <c r="AA103" s="179" t="s">
        <v>1</v>
      </c>
      <c r="AB103" s="179" t="s">
        <v>1</v>
      </c>
      <c r="AC103" s="111" t="s">
        <v>1</v>
      </c>
      <c r="AD103" s="68" t="s">
        <v>1</v>
      </c>
      <c r="AE103" s="179" t="s">
        <v>1</v>
      </c>
      <c r="AF103" s="179" t="s">
        <v>1</v>
      </c>
      <c r="AG103" s="68" t="s">
        <v>1</v>
      </c>
      <c r="AH103" s="179" t="s">
        <v>1</v>
      </c>
      <c r="AI103" s="179" t="s">
        <v>1</v>
      </c>
      <c r="AJ103" s="181" t="s">
        <v>1</v>
      </c>
      <c r="AK103" s="68" t="s">
        <v>1</v>
      </c>
      <c r="AL103" s="180" t="s">
        <v>1</v>
      </c>
      <c r="AM103" s="181" t="s">
        <v>1</v>
      </c>
      <c r="AN103" s="91" t="s">
        <v>1</v>
      </c>
      <c r="AO103" s="181" t="s">
        <v>1</v>
      </c>
      <c r="AP103" s="68" t="s">
        <v>2321</v>
      </c>
      <c r="AQ103" s="179" t="s">
        <v>1</v>
      </c>
      <c r="AR103" s="179" t="s">
        <v>1</v>
      </c>
      <c r="AS103" s="179" t="s">
        <v>1</v>
      </c>
      <c r="AT103" s="181" t="s">
        <v>1</v>
      </c>
      <c r="AU103" s="77" t="s">
        <v>1</v>
      </c>
      <c r="AV103" s="179" t="s">
        <v>1</v>
      </c>
      <c r="AW103" s="181" t="s">
        <v>1</v>
      </c>
      <c r="AX103" s="68" t="s">
        <v>1</v>
      </c>
      <c r="AY103" s="179" t="s">
        <v>1</v>
      </c>
      <c r="AZ103" s="181" t="s">
        <v>1</v>
      </c>
      <c r="BA103" s="78" t="s">
        <v>2321</v>
      </c>
      <c r="BB103" s="179" t="s">
        <v>1</v>
      </c>
      <c r="BC103" s="179" t="s">
        <v>1</v>
      </c>
      <c r="BD103" s="181" t="s">
        <v>1</v>
      </c>
      <c r="BE103" s="91" t="s">
        <v>1</v>
      </c>
      <c r="BF103" s="111" t="s">
        <v>1</v>
      </c>
      <c r="BG103" s="181" t="s">
        <v>1</v>
      </c>
      <c r="BH103" s="121" t="s">
        <v>1</v>
      </c>
      <c r="BI103" s="228"/>
      <c r="BJ103" s="229"/>
      <c r="BK103" s="229"/>
      <c r="BL103" s="230"/>
      <c r="BM103" s="230"/>
      <c r="BN103" s="81"/>
      <c r="BO103" s="81"/>
      <c r="BP103" s="81"/>
      <c r="BQ103" s="81"/>
      <c r="BR103" s="81"/>
      <c r="BS103" s="81"/>
      <c r="DZ103" s="82"/>
      <c r="EA103" s="82"/>
    </row>
    <row r="104" spans="1:137" ht="12.75" customHeight="1" x14ac:dyDescent="0.2">
      <c r="A104" s="232" t="s">
        <v>1155</v>
      </c>
      <c r="B104" s="162" t="s">
        <v>1</v>
      </c>
      <c r="C104" s="209" t="s">
        <v>1</v>
      </c>
      <c r="D104" s="210" t="s">
        <v>1</v>
      </c>
      <c r="E104" s="210" t="s">
        <v>1</v>
      </c>
      <c r="F104" s="210" t="s">
        <v>1</v>
      </c>
      <c r="G104" s="210" t="s">
        <v>1</v>
      </c>
      <c r="H104" s="210" t="s">
        <v>1</v>
      </c>
      <c r="I104" s="211" t="s">
        <v>1</v>
      </c>
      <c r="J104" s="169" t="s">
        <v>1</v>
      </c>
      <c r="K104" s="210" t="s">
        <v>1</v>
      </c>
      <c r="L104" s="175" t="s">
        <v>1</v>
      </c>
      <c r="M104" s="169" t="s">
        <v>1</v>
      </c>
      <c r="N104" s="210" t="s">
        <v>1</v>
      </c>
      <c r="O104" s="211" t="s">
        <v>1</v>
      </c>
      <c r="P104" s="169" t="s">
        <v>1</v>
      </c>
      <c r="Q104" s="210" t="s">
        <v>1</v>
      </c>
      <c r="R104" s="210" t="s">
        <v>1</v>
      </c>
      <c r="S104" s="210" t="s">
        <v>1</v>
      </c>
      <c r="T104" s="212" t="s">
        <v>1</v>
      </c>
      <c r="U104" s="210" t="s">
        <v>1</v>
      </c>
      <c r="V104" s="210" t="s">
        <v>1</v>
      </c>
      <c r="W104" s="211" t="s">
        <v>1</v>
      </c>
      <c r="X104" s="169" t="s">
        <v>1</v>
      </c>
      <c r="Y104" s="210" t="s">
        <v>1</v>
      </c>
      <c r="Z104" s="210" t="s">
        <v>1</v>
      </c>
      <c r="AA104" s="210" t="s">
        <v>1</v>
      </c>
      <c r="AB104" s="210" t="s">
        <v>1</v>
      </c>
      <c r="AC104" s="175" t="s">
        <v>1</v>
      </c>
      <c r="AD104" s="169" t="s">
        <v>1</v>
      </c>
      <c r="AE104" s="210" t="s">
        <v>1</v>
      </c>
      <c r="AF104" s="210" t="s">
        <v>1</v>
      </c>
      <c r="AG104" s="169" t="s">
        <v>1</v>
      </c>
      <c r="AH104" s="210" t="s">
        <v>1</v>
      </c>
      <c r="AI104" s="210" t="s">
        <v>1</v>
      </c>
      <c r="AJ104" s="211" t="s">
        <v>1</v>
      </c>
      <c r="AK104" s="169" t="s">
        <v>1</v>
      </c>
      <c r="AL104" s="212" t="s">
        <v>1</v>
      </c>
      <c r="AM104" s="211" t="s">
        <v>1</v>
      </c>
      <c r="AN104" s="172" t="s">
        <v>1</v>
      </c>
      <c r="AO104" s="211" t="s">
        <v>1</v>
      </c>
      <c r="AP104" s="169" t="s">
        <v>1</v>
      </c>
      <c r="AQ104" s="210" t="s">
        <v>1</v>
      </c>
      <c r="AR104" s="210" t="s">
        <v>1</v>
      </c>
      <c r="AS104" s="210" t="s">
        <v>1</v>
      </c>
      <c r="AT104" s="211" t="s">
        <v>1</v>
      </c>
      <c r="AU104" s="173" t="s">
        <v>1</v>
      </c>
      <c r="AV104" s="210" t="s">
        <v>1</v>
      </c>
      <c r="AW104" s="211" t="s">
        <v>1</v>
      </c>
      <c r="AX104" s="169" t="s">
        <v>1</v>
      </c>
      <c r="AY104" s="210" t="s">
        <v>1</v>
      </c>
      <c r="AZ104" s="211" t="s">
        <v>1</v>
      </c>
      <c r="BA104" s="174" t="s">
        <v>1</v>
      </c>
      <c r="BB104" s="210" t="s">
        <v>1</v>
      </c>
      <c r="BC104" s="210" t="s">
        <v>1</v>
      </c>
      <c r="BD104" s="211" t="s">
        <v>1</v>
      </c>
      <c r="BE104" s="172" t="s">
        <v>1</v>
      </c>
      <c r="BF104" s="175" t="s">
        <v>1</v>
      </c>
      <c r="BG104" s="211" t="s">
        <v>1</v>
      </c>
      <c r="BH104" s="176" t="s">
        <v>1</v>
      </c>
      <c r="BI104" s="228"/>
      <c r="BJ104" s="229"/>
      <c r="BK104" s="229"/>
      <c r="BL104" s="230"/>
      <c r="BM104" s="230"/>
      <c r="BN104" s="81"/>
      <c r="BO104" s="81"/>
      <c r="BP104" s="81"/>
      <c r="BQ104" s="81"/>
      <c r="BR104" s="81"/>
      <c r="BS104" s="81"/>
      <c r="DZ104" s="82"/>
      <c r="EA104" s="82"/>
    </row>
    <row r="105" spans="1:137" x14ac:dyDescent="0.25">
      <c r="C105" s="233"/>
      <c r="F105" s="81"/>
      <c r="G105" s="81"/>
      <c r="H105" s="81"/>
      <c r="J105" s="81"/>
      <c r="K105" s="81"/>
      <c r="L105" s="81"/>
      <c r="O105" s="81"/>
      <c r="Q105" s="81"/>
      <c r="Z105" s="81"/>
      <c r="AA105" s="81"/>
      <c r="AC105" s="81"/>
      <c r="AD105" s="81"/>
      <c r="AG105" s="81"/>
      <c r="AI105" s="81"/>
      <c r="AJ105" s="81"/>
      <c r="AS105" s="81"/>
      <c r="BC105" s="81"/>
      <c r="BF105" s="81"/>
      <c r="BK105" s="81"/>
      <c r="BY105" s="81"/>
      <c r="BZ105" s="81"/>
      <c r="CG105" s="81"/>
      <c r="CH105" s="81"/>
      <c r="CK105" s="81"/>
      <c r="CN105" s="81"/>
      <c r="CP105" s="81"/>
      <c r="CS105" s="81"/>
      <c r="CU105" s="81"/>
      <c r="CY105" s="81"/>
      <c r="CZ105" s="81"/>
      <c r="DA105" s="81"/>
      <c r="DB105" s="81"/>
      <c r="DC105" s="81"/>
      <c r="DD105" s="81"/>
      <c r="DE105" s="81"/>
      <c r="DF105" s="81"/>
      <c r="DG105" s="81"/>
      <c r="DH105" s="81"/>
      <c r="DI105" s="81"/>
      <c r="DJ105" s="81"/>
      <c r="DK105" s="81"/>
      <c r="DL105" s="81"/>
      <c r="DM105" s="81"/>
      <c r="DN105" s="81"/>
      <c r="DO105" s="81"/>
      <c r="DP105" s="81"/>
      <c r="DR105" s="81"/>
      <c r="DS105" s="81"/>
      <c r="DT105" s="81"/>
      <c r="DU105" s="81"/>
      <c r="DV105" s="81"/>
      <c r="DY105" s="81"/>
      <c r="DZ105" s="188"/>
      <c r="EA105" s="188"/>
      <c r="EB105" s="81"/>
      <c r="EC105" s="81"/>
      <c r="ED105" s="81"/>
      <c r="EE105" s="81"/>
      <c r="EF105" s="81"/>
      <c r="EG105" s="81"/>
    </row>
    <row r="106" spans="1:137" x14ac:dyDescent="0.25">
      <c r="C106" s="233"/>
      <c r="F106" s="81"/>
      <c r="G106" s="81"/>
      <c r="H106" s="81"/>
      <c r="J106" s="81"/>
      <c r="K106" s="81"/>
      <c r="L106" s="81"/>
      <c r="O106" s="81"/>
      <c r="Q106" s="81"/>
      <c r="Z106" s="81"/>
      <c r="AA106" s="81"/>
      <c r="AC106" s="81"/>
      <c r="AD106" s="81"/>
      <c r="AG106" s="81"/>
      <c r="AI106" s="81"/>
      <c r="AJ106" s="81"/>
      <c r="AS106" s="81"/>
      <c r="BC106" s="81"/>
      <c r="BF106" s="81"/>
      <c r="BK106" s="81"/>
      <c r="BY106" s="81"/>
      <c r="BZ106" s="81"/>
      <c r="CG106" s="81"/>
      <c r="CH106" s="81"/>
      <c r="CK106" s="81"/>
      <c r="CN106" s="81"/>
      <c r="CP106" s="81"/>
      <c r="CS106" s="81"/>
      <c r="CU106" s="81"/>
      <c r="CY106" s="81"/>
      <c r="CZ106" s="81"/>
      <c r="DA106" s="81"/>
      <c r="DB106" s="81"/>
      <c r="DC106" s="81"/>
      <c r="DD106" s="81"/>
      <c r="DE106" s="81"/>
      <c r="DF106" s="81"/>
      <c r="DG106" s="81"/>
      <c r="DH106" s="81"/>
      <c r="DI106" s="81"/>
      <c r="DJ106" s="81"/>
      <c r="DK106" s="81"/>
      <c r="DL106" s="81"/>
      <c r="DM106" s="81"/>
      <c r="DN106" s="81"/>
      <c r="DO106" s="81"/>
      <c r="DP106" s="81"/>
      <c r="DR106" s="81"/>
      <c r="DS106" s="81"/>
      <c r="DT106" s="81"/>
      <c r="DU106" s="81"/>
      <c r="DV106" s="81"/>
      <c r="DY106" s="81"/>
      <c r="DZ106" s="188"/>
      <c r="EA106" s="188"/>
      <c r="EB106" s="81"/>
      <c r="EC106" s="81"/>
      <c r="ED106" s="81"/>
      <c r="EE106" s="81"/>
      <c r="EF106" s="81"/>
      <c r="EG106" s="81"/>
    </row>
    <row r="107" spans="1:137" x14ac:dyDescent="0.25">
      <c r="C107" s="233"/>
      <c r="F107" s="81"/>
      <c r="G107" s="81"/>
      <c r="H107" s="81"/>
      <c r="J107" s="81"/>
      <c r="K107" s="81"/>
      <c r="L107" s="81"/>
      <c r="O107" s="81"/>
      <c r="Q107" s="81"/>
      <c r="Z107" s="81"/>
      <c r="AA107" s="81"/>
      <c r="AC107" s="81"/>
      <c r="AD107" s="81"/>
      <c r="AG107" s="81"/>
      <c r="AI107" s="81"/>
      <c r="AJ107" s="81"/>
      <c r="AS107" s="81"/>
      <c r="BC107" s="81"/>
      <c r="BF107" s="81"/>
      <c r="BK107" s="81"/>
      <c r="BY107" s="81"/>
      <c r="BZ107" s="81"/>
      <c r="CG107" s="81"/>
      <c r="CH107" s="81"/>
      <c r="CK107" s="81"/>
      <c r="CN107" s="81"/>
      <c r="CP107" s="81"/>
      <c r="CS107" s="81"/>
      <c r="CU107" s="81"/>
      <c r="CY107" s="81"/>
      <c r="CZ107" s="81"/>
      <c r="DA107" s="81"/>
      <c r="DB107" s="81"/>
      <c r="DC107" s="81"/>
      <c r="DD107" s="81"/>
      <c r="DE107" s="81"/>
      <c r="DF107" s="81"/>
      <c r="DG107" s="81"/>
      <c r="DH107" s="81"/>
      <c r="DI107" s="81"/>
      <c r="DJ107" s="81"/>
      <c r="DK107" s="81"/>
      <c r="DL107" s="81"/>
      <c r="DM107" s="81"/>
      <c r="DN107" s="81"/>
      <c r="DO107" s="81"/>
      <c r="DP107" s="81"/>
      <c r="DR107" s="81"/>
      <c r="DS107" s="81"/>
      <c r="DT107" s="81"/>
      <c r="DU107" s="81"/>
      <c r="DV107" s="81"/>
      <c r="DY107" s="81"/>
      <c r="DZ107" s="188"/>
      <c r="EA107" s="188"/>
      <c r="EB107" s="81"/>
      <c r="EC107" s="81"/>
      <c r="ED107" s="81"/>
      <c r="EE107" s="81"/>
      <c r="EF107" s="81"/>
      <c r="EG107" s="81"/>
    </row>
    <row r="108" spans="1:137" x14ac:dyDescent="0.25">
      <c r="C108" s="233"/>
      <c r="F108" s="81"/>
      <c r="G108" s="81"/>
      <c r="H108" s="81"/>
      <c r="J108" s="81"/>
      <c r="K108" s="81"/>
      <c r="L108" s="81"/>
      <c r="O108" s="81"/>
      <c r="Q108" s="81"/>
      <c r="Z108" s="81"/>
      <c r="AA108" s="81"/>
      <c r="AC108" s="81"/>
      <c r="AD108" s="81"/>
      <c r="AG108" s="81"/>
      <c r="AI108" s="81"/>
      <c r="AJ108" s="81"/>
      <c r="AS108" s="81"/>
      <c r="BC108" s="81"/>
      <c r="BF108" s="81"/>
      <c r="BK108" s="81"/>
      <c r="BY108" s="81"/>
      <c r="BZ108" s="81"/>
      <c r="CG108" s="81"/>
      <c r="CH108" s="81"/>
      <c r="CK108" s="81"/>
      <c r="CN108" s="81"/>
      <c r="CP108" s="81"/>
      <c r="CS108" s="81"/>
      <c r="CU108" s="81"/>
      <c r="CY108" s="81"/>
      <c r="CZ108" s="81"/>
      <c r="DA108" s="81"/>
      <c r="DB108" s="81"/>
      <c r="DC108" s="81"/>
      <c r="DD108" s="81"/>
      <c r="DE108" s="81"/>
      <c r="DF108" s="81"/>
      <c r="DG108" s="81"/>
      <c r="DH108" s="81"/>
      <c r="DI108" s="81"/>
      <c r="DJ108" s="81"/>
      <c r="DK108" s="81"/>
      <c r="DL108" s="81"/>
      <c r="DM108" s="81"/>
      <c r="DN108" s="81"/>
      <c r="DO108" s="81"/>
      <c r="DP108" s="81"/>
      <c r="DR108" s="81"/>
      <c r="DS108" s="81"/>
      <c r="DT108" s="81"/>
      <c r="DU108" s="81"/>
      <c r="DV108" s="81"/>
      <c r="DY108" s="81"/>
      <c r="DZ108" s="188"/>
      <c r="EA108" s="188"/>
      <c r="EB108" s="81"/>
      <c r="EC108" s="81"/>
      <c r="ED108" s="81"/>
      <c r="EE108" s="81"/>
      <c r="EF108" s="81"/>
      <c r="EG108" s="81"/>
    </row>
    <row r="109" spans="1:137" x14ac:dyDescent="0.25">
      <c r="C109" s="233"/>
      <c r="F109" s="81"/>
      <c r="G109" s="81"/>
      <c r="H109" s="81"/>
      <c r="J109" s="81"/>
      <c r="K109" s="81"/>
      <c r="L109" s="81"/>
      <c r="O109" s="81"/>
      <c r="Q109" s="81"/>
      <c r="Z109" s="81"/>
      <c r="AA109" s="81"/>
      <c r="AC109" s="81"/>
      <c r="AD109" s="81"/>
      <c r="AG109" s="81"/>
      <c r="AI109" s="81"/>
      <c r="AJ109" s="81"/>
      <c r="AS109" s="81"/>
      <c r="BC109" s="81"/>
      <c r="BF109" s="81"/>
      <c r="BK109" s="81"/>
      <c r="BY109" s="81"/>
      <c r="BZ109" s="81"/>
      <c r="CG109" s="81"/>
      <c r="CH109" s="81"/>
      <c r="CK109" s="81"/>
      <c r="CN109" s="81"/>
      <c r="CP109" s="81"/>
      <c r="CS109" s="81"/>
      <c r="CU109" s="81"/>
      <c r="CY109" s="81"/>
      <c r="CZ109" s="81"/>
      <c r="DA109" s="81"/>
      <c r="DB109" s="81"/>
      <c r="DC109" s="81"/>
      <c r="DD109" s="81"/>
      <c r="DE109" s="81"/>
      <c r="DF109" s="81"/>
      <c r="DG109" s="81"/>
      <c r="DH109" s="81"/>
      <c r="DI109" s="81"/>
      <c r="DJ109" s="81"/>
      <c r="DK109" s="81"/>
      <c r="DL109" s="81"/>
      <c r="DM109" s="81"/>
      <c r="DN109" s="81"/>
      <c r="DO109" s="81"/>
      <c r="DP109" s="81"/>
      <c r="DR109" s="81"/>
      <c r="DS109" s="81"/>
      <c r="DT109" s="81"/>
      <c r="DU109" s="81"/>
      <c r="DV109" s="81"/>
      <c r="DY109" s="81"/>
      <c r="DZ109" s="188"/>
      <c r="EA109" s="188"/>
      <c r="EB109" s="81"/>
      <c r="EC109" s="81"/>
      <c r="ED109" s="81"/>
      <c r="EE109" s="81"/>
      <c r="EF109" s="81"/>
      <c r="EG109" s="81"/>
    </row>
    <row r="110" spans="1:137" x14ac:dyDescent="0.25">
      <c r="C110" s="233"/>
      <c r="F110" s="81"/>
      <c r="G110" s="81"/>
      <c r="H110" s="81"/>
      <c r="J110" s="81"/>
      <c r="K110" s="81"/>
      <c r="L110" s="81"/>
      <c r="O110" s="81"/>
      <c r="Q110" s="81"/>
      <c r="Z110" s="81"/>
      <c r="AA110" s="81"/>
      <c r="AC110" s="81"/>
      <c r="AD110" s="81"/>
      <c r="AG110" s="81"/>
      <c r="AI110" s="81"/>
      <c r="AJ110" s="81"/>
      <c r="AS110" s="81"/>
      <c r="BC110" s="81"/>
      <c r="BF110" s="81"/>
      <c r="BK110" s="81"/>
      <c r="BY110" s="81"/>
      <c r="BZ110" s="81"/>
      <c r="CG110" s="81"/>
      <c r="CH110" s="81"/>
      <c r="CK110" s="81"/>
      <c r="CN110" s="81"/>
      <c r="CP110" s="81"/>
      <c r="CS110" s="81"/>
      <c r="CU110" s="81"/>
      <c r="CY110" s="81"/>
      <c r="CZ110" s="81"/>
      <c r="DA110" s="81"/>
      <c r="DB110" s="81"/>
      <c r="DC110" s="81"/>
      <c r="DD110" s="81"/>
      <c r="DE110" s="81"/>
      <c r="DF110" s="81"/>
      <c r="DG110" s="81"/>
      <c r="DH110" s="81"/>
      <c r="DI110" s="81"/>
      <c r="DJ110" s="81"/>
      <c r="DK110" s="81"/>
      <c r="DL110" s="81"/>
      <c r="DM110" s="81"/>
      <c r="DN110" s="81"/>
      <c r="DO110" s="81"/>
      <c r="DP110" s="81"/>
      <c r="DR110" s="81"/>
      <c r="DS110" s="81"/>
      <c r="DT110" s="81"/>
      <c r="DU110" s="81"/>
      <c r="DV110" s="81"/>
      <c r="DY110" s="81"/>
      <c r="DZ110" s="188"/>
      <c r="EA110" s="188"/>
      <c r="EB110" s="81"/>
      <c r="EC110" s="81"/>
      <c r="ED110" s="81"/>
      <c r="EE110" s="81"/>
      <c r="EF110" s="81"/>
      <c r="EG110" s="81"/>
    </row>
    <row r="111" spans="1:137" x14ac:dyDescent="0.25">
      <c r="C111" s="233"/>
      <c r="F111" s="81"/>
      <c r="G111" s="81"/>
      <c r="H111" s="81"/>
      <c r="J111" s="81"/>
      <c r="K111" s="81"/>
      <c r="L111" s="81"/>
      <c r="O111" s="81"/>
      <c r="Q111" s="81"/>
      <c r="Z111" s="81"/>
      <c r="AA111" s="81"/>
      <c r="AC111" s="81"/>
      <c r="AD111" s="81"/>
      <c r="AG111" s="81"/>
      <c r="AI111" s="81"/>
      <c r="AJ111" s="81"/>
      <c r="AS111" s="81"/>
      <c r="BC111" s="81"/>
      <c r="BF111" s="81"/>
      <c r="BK111" s="81"/>
      <c r="BY111" s="81"/>
      <c r="BZ111" s="81"/>
      <c r="CG111" s="81"/>
      <c r="CH111" s="81"/>
      <c r="CK111" s="81"/>
      <c r="CN111" s="81"/>
      <c r="CP111" s="81"/>
      <c r="CS111" s="81"/>
      <c r="CU111" s="81"/>
      <c r="CY111" s="81"/>
      <c r="CZ111" s="81"/>
      <c r="DA111" s="81"/>
      <c r="DB111" s="81"/>
      <c r="DC111" s="81"/>
      <c r="DD111" s="81"/>
      <c r="DE111" s="81"/>
      <c r="DF111" s="81"/>
      <c r="DG111" s="81"/>
      <c r="DH111" s="81"/>
      <c r="DI111" s="81"/>
      <c r="DJ111" s="81"/>
      <c r="DK111" s="81"/>
      <c r="DL111" s="81"/>
      <c r="DM111" s="81"/>
      <c r="DN111" s="81"/>
      <c r="DO111" s="81"/>
      <c r="DP111" s="81"/>
      <c r="DR111" s="81"/>
      <c r="DS111" s="81"/>
      <c r="DT111" s="81"/>
      <c r="DU111" s="81"/>
      <c r="DV111" s="81"/>
      <c r="DY111" s="81"/>
      <c r="DZ111" s="188"/>
      <c r="EA111" s="188"/>
      <c r="EB111" s="81"/>
      <c r="EC111" s="81"/>
      <c r="ED111" s="81"/>
      <c r="EE111" s="81"/>
      <c r="EF111" s="81"/>
      <c r="EG111" s="81"/>
    </row>
    <row r="112" spans="1:137" x14ac:dyDescent="0.25">
      <c r="C112" s="233"/>
      <c r="F112" s="81"/>
      <c r="G112" s="81"/>
      <c r="H112" s="81"/>
      <c r="J112" s="81"/>
      <c r="K112" s="81"/>
      <c r="L112" s="81"/>
      <c r="O112" s="81"/>
      <c r="Q112" s="81"/>
      <c r="Z112" s="81"/>
      <c r="AA112" s="81"/>
      <c r="AC112" s="81"/>
      <c r="AD112" s="81"/>
      <c r="AG112" s="81"/>
      <c r="AI112" s="81"/>
      <c r="AJ112" s="81"/>
      <c r="AS112" s="81"/>
      <c r="BC112" s="81"/>
      <c r="BF112" s="81"/>
      <c r="BK112" s="81"/>
      <c r="BY112" s="81"/>
      <c r="BZ112" s="81"/>
      <c r="CG112" s="81"/>
      <c r="CH112" s="81"/>
      <c r="CK112" s="81"/>
      <c r="CN112" s="81"/>
      <c r="CP112" s="81"/>
      <c r="CS112" s="81"/>
      <c r="CU112" s="81"/>
      <c r="CY112" s="81"/>
      <c r="CZ112" s="81"/>
      <c r="DA112" s="81"/>
      <c r="DB112" s="81"/>
      <c r="DC112" s="81"/>
      <c r="DD112" s="81"/>
      <c r="DE112" s="81"/>
      <c r="DF112" s="81"/>
      <c r="DG112" s="81"/>
      <c r="DH112" s="81"/>
      <c r="DI112" s="81"/>
      <c r="DJ112" s="81"/>
      <c r="DK112" s="81"/>
      <c r="DL112" s="81"/>
      <c r="DM112" s="81"/>
      <c r="DN112" s="81"/>
      <c r="DO112" s="81"/>
      <c r="DP112" s="81"/>
      <c r="DR112" s="81"/>
      <c r="DS112" s="81"/>
      <c r="DT112" s="81"/>
      <c r="DU112" s="81"/>
      <c r="DV112" s="81"/>
      <c r="DY112" s="81"/>
      <c r="DZ112" s="188"/>
      <c r="EA112" s="188"/>
      <c r="EB112" s="81"/>
      <c r="EC112" s="81"/>
      <c r="ED112" s="81"/>
      <c r="EE112" s="81"/>
      <c r="EF112" s="81"/>
      <c r="EG112" s="81"/>
    </row>
    <row r="113" spans="3:137" x14ac:dyDescent="0.25">
      <c r="C113" s="233"/>
      <c r="F113" s="81"/>
      <c r="G113" s="81"/>
      <c r="H113" s="81"/>
      <c r="J113" s="81"/>
      <c r="K113" s="81"/>
      <c r="L113" s="81"/>
      <c r="O113" s="81"/>
      <c r="Q113" s="81"/>
      <c r="Z113" s="81"/>
      <c r="AA113" s="81"/>
      <c r="AC113" s="81"/>
      <c r="AD113" s="81"/>
      <c r="AG113" s="81"/>
      <c r="AI113" s="81"/>
      <c r="AJ113" s="81"/>
      <c r="AS113" s="81"/>
      <c r="BC113" s="81"/>
      <c r="BF113" s="81"/>
      <c r="BK113" s="81"/>
      <c r="BY113" s="81"/>
      <c r="BZ113" s="81"/>
      <c r="CG113" s="81"/>
      <c r="CH113" s="81"/>
      <c r="CK113" s="81"/>
      <c r="CN113" s="81"/>
      <c r="CP113" s="81"/>
      <c r="CS113" s="81"/>
      <c r="CU113" s="81"/>
      <c r="CY113" s="81"/>
      <c r="CZ113" s="81"/>
      <c r="DA113" s="81"/>
      <c r="DB113" s="81"/>
      <c r="DC113" s="81"/>
      <c r="DD113" s="81"/>
      <c r="DE113" s="81"/>
      <c r="DF113" s="81"/>
      <c r="DG113" s="81"/>
      <c r="DH113" s="81"/>
      <c r="DI113" s="81"/>
      <c r="DJ113" s="81"/>
      <c r="DK113" s="81"/>
      <c r="DL113" s="81"/>
      <c r="DM113" s="81"/>
      <c r="DN113" s="81"/>
      <c r="DO113" s="81"/>
      <c r="DP113" s="81"/>
      <c r="DR113" s="81"/>
      <c r="DS113" s="81"/>
      <c r="DT113" s="81"/>
      <c r="DU113" s="81"/>
      <c r="DV113" s="81"/>
      <c r="DY113" s="81"/>
      <c r="DZ113" s="188"/>
      <c r="EA113" s="188"/>
      <c r="EB113" s="81"/>
      <c r="EC113" s="81"/>
      <c r="ED113" s="81"/>
      <c r="EE113" s="81"/>
      <c r="EF113" s="81"/>
      <c r="EG113" s="81"/>
    </row>
    <row r="114" spans="3:137" x14ac:dyDescent="0.25">
      <c r="C114" s="233"/>
      <c r="F114" s="81"/>
      <c r="G114" s="81"/>
      <c r="H114" s="81"/>
      <c r="J114" s="81"/>
      <c r="K114" s="81"/>
      <c r="L114" s="81"/>
      <c r="O114" s="81"/>
      <c r="Q114" s="81"/>
      <c r="Z114" s="81"/>
      <c r="AA114" s="81"/>
      <c r="AC114" s="81"/>
      <c r="AD114" s="81"/>
      <c r="AG114" s="81"/>
      <c r="AI114" s="81"/>
      <c r="AJ114" s="81"/>
      <c r="AS114" s="81"/>
      <c r="BC114" s="81"/>
      <c r="BF114" s="81"/>
      <c r="BK114" s="81"/>
      <c r="BY114" s="81"/>
      <c r="BZ114" s="81"/>
      <c r="CG114" s="81"/>
      <c r="CH114" s="81"/>
      <c r="CK114" s="81"/>
      <c r="CN114" s="81"/>
      <c r="CP114" s="81"/>
      <c r="CS114" s="81"/>
      <c r="CU114" s="81"/>
      <c r="CY114" s="81"/>
      <c r="CZ114" s="81"/>
      <c r="DA114" s="81"/>
      <c r="DB114" s="81"/>
      <c r="DC114" s="81"/>
      <c r="DD114" s="81"/>
      <c r="DE114" s="81"/>
      <c r="DF114" s="81"/>
      <c r="DG114" s="81"/>
      <c r="DH114" s="81"/>
      <c r="DI114" s="81"/>
      <c r="DJ114" s="81"/>
      <c r="DK114" s="81"/>
      <c r="DL114" s="81"/>
      <c r="DM114" s="81"/>
      <c r="DN114" s="81"/>
      <c r="DO114" s="81"/>
      <c r="DP114" s="81"/>
      <c r="DR114" s="81"/>
      <c r="DS114" s="81"/>
      <c r="DT114" s="81"/>
      <c r="DU114" s="81"/>
      <c r="DV114" s="81"/>
      <c r="DY114" s="81"/>
      <c r="DZ114" s="188"/>
      <c r="EA114" s="188"/>
      <c r="EB114" s="81"/>
      <c r="EC114" s="81"/>
      <c r="ED114" s="81"/>
      <c r="EE114" s="81"/>
      <c r="EF114" s="81"/>
      <c r="EG114" s="81"/>
    </row>
    <row r="115" spans="3:137" x14ac:dyDescent="0.25">
      <c r="C115" s="233"/>
      <c r="F115" s="81"/>
      <c r="G115" s="81"/>
      <c r="H115" s="81"/>
      <c r="J115" s="81"/>
      <c r="K115" s="81"/>
      <c r="L115" s="81"/>
      <c r="O115" s="81"/>
      <c r="Q115" s="81"/>
      <c r="Z115" s="81"/>
      <c r="AA115" s="81"/>
      <c r="AC115" s="81"/>
      <c r="AD115" s="81"/>
      <c r="AG115" s="81"/>
      <c r="AI115" s="81"/>
      <c r="AJ115" s="81"/>
      <c r="AS115" s="81"/>
      <c r="BC115" s="81"/>
      <c r="BF115" s="81"/>
      <c r="BK115" s="81"/>
      <c r="BY115" s="81"/>
      <c r="BZ115" s="81"/>
      <c r="CG115" s="81"/>
      <c r="CH115" s="81"/>
      <c r="CK115" s="81"/>
      <c r="CN115" s="81"/>
      <c r="CP115" s="81"/>
      <c r="CS115" s="81"/>
      <c r="CU115" s="81"/>
      <c r="CY115" s="81"/>
      <c r="CZ115" s="81"/>
      <c r="DA115" s="81"/>
      <c r="DB115" s="81"/>
      <c r="DC115" s="81"/>
      <c r="DD115" s="81"/>
      <c r="DE115" s="81"/>
      <c r="DF115" s="81"/>
      <c r="DG115" s="81"/>
      <c r="DH115" s="81"/>
      <c r="DI115" s="81"/>
      <c r="DJ115" s="81"/>
      <c r="DK115" s="81"/>
      <c r="DL115" s="81"/>
      <c r="DM115" s="81"/>
      <c r="DN115" s="81"/>
      <c r="DO115" s="81"/>
      <c r="DP115" s="81"/>
      <c r="DR115" s="81"/>
      <c r="DS115" s="81"/>
      <c r="DT115" s="81"/>
      <c r="DU115" s="81"/>
      <c r="DV115" s="81"/>
      <c r="DY115" s="81"/>
      <c r="DZ115" s="188"/>
      <c r="EA115" s="188"/>
      <c r="EB115" s="81"/>
      <c r="EC115" s="81"/>
      <c r="ED115" s="81"/>
      <c r="EE115" s="81"/>
      <c r="EF115" s="81"/>
      <c r="EG115" s="81"/>
    </row>
    <row r="116" spans="3:137" x14ac:dyDescent="0.25">
      <c r="C116" s="233"/>
      <c r="F116" s="81"/>
      <c r="G116" s="81"/>
      <c r="H116" s="81"/>
      <c r="J116" s="81"/>
      <c r="K116" s="81"/>
      <c r="L116" s="81"/>
      <c r="O116" s="81"/>
      <c r="Q116" s="81"/>
      <c r="Z116" s="81"/>
      <c r="AA116" s="81"/>
      <c r="AC116" s="81"/>
      <c r="AD116" s="81"/>
      <c r="AG116" s="81"/>
      <c r="AI116" s="81"/>
      <c r="AJ116" s="81"/>
      <c r="AS116" s="81"/>
      <c r="BC116" s="81"/>
      <c r="BF116" s="81"/>
      <c r="BK116" s="81"/>
      <c r="BY116" s="81"/>
      <c r="BZ116" s="81"/>
      <c r="CG116" s="81"/>
      <c r="CH116" s="81"/>
      <c r="CK116" s="81"/>
      <c r="CN116" s="81"/>
      <c r="CP116" s="81"/>
      <c r="CS116" s="81"/>
      <c r="CU116" s="81"/>
      <c r="CY116" s="81"/>
      <c r="CZ116" s="81"/>
      <c r="DA116" s="81"/>
      <c r="DB116" s="81"/>
      <c r="DC116" s="81"/>
      <c r="DD116" s="81"/>
      <c r="DE116" s="81"/>
      <c r="DF116" s="81"/>
      <c r="DG116" s="81"/>
      <c r="DH116" s="81"/>
      <c r="DI116" s="81"/>
      <c r="DJ116" s="81"/>
      <c r="DK116" s="81"/>
      <c r="DL116" s="81"/>
      <c r="DM116" s="81"/>
      <c r="DN116" s="81"/>
      <c r="DO116" s="81"/>
      <c r="DP116" s="81"/>
      <c r="DR116" s="81"/>
      <c r="DS116" s="81"/>
      <c r="DT116" s="81"/>
      <c r="DU116" s="81"/>
      <c r="DV116" s="81"/>
      <c r="DY116" s="81"/>
      <c r="DZ116" s="188"/>
      <c r="EA116" s="188"/>
      <c r="EB116" s="81"/>
      <c r="EC116" s="81"/>
      <c r="ED116" s="81"/>
      <c r="EE116" s="81"/>
      <c r="EF116" s="81"/>
      <c r="EG116" s="81"/>
    </row>
    <row r="117" spans="3:137" x14ac:dyDescent="0.25">
      <c r="C117" s="233"/>
      <c r="F117" s="81"/>
      <c r="G117" s="81"/>
      <c r="H117" s="81"/>
      <c r="J117" s="81"/>
      <c r="K117" s="81"/>
      <c r="L117" s="81"/>
      <c r="O117" s="81"/>
      <c r="Q117" s="81"/>
      <c r="Z117" s="81"/>
      <c r="AA117" s="81"/>
      <c r="AC117" s="81"/>
      <c r="AD117" s="81"/>
      <c r="AG117" s="81"/>
      <c r="AI117" s="81"/>
      <c r="AJ117" s="81"/>
      <c r="AS117" s="81"/>
      <c r="BC117" s="81"/>
      <c r="BF117" s="81"/>
      <c r="BK117" s="81"/>
      <c r="BY117" s="81"/>
      <c r="BZ117" s="81"/>
      <c r="CG117" s="81"/>
      <c r="CH117" s="81"/>
      <c r="CK117" s="81"/>
      <c r="CN117" s="81"/>
      <c r="CP117" s="81"/>
      <c r="CS117" s="81"/>
      <c r="CU117" s="81"/>
      <c r="CY117" s="81"/>
      <c r="CZ117" s="81"/>
      <c r="DA117" s="81"/>
      <c r="DB117" s="81"/>
      <c r="DC117" s="81"/>
      <c r="DD117" s="81"/>
      <c r="DE117" s="81"/>
      <c r="DF117" s="81"/>
      <c r="DG117" s="81"/>
      <c r="DH117" s="81"/>
      <c r="DI117" s="81"/>
      <c r="DJ117" s="81"/>
      <c r="DK117" s="81"/>
      <c r="DL117" s="81"/>
      <c r="DM117" s="81"/>
      <c r="DN117" s="81"/>
      <c r="DO117" s="81"/>
      <c r="DP117" s="81"/>
      <c r="DR117" s="81"/>
      <c r="DS117" s="81"/>
      <c r="DT117" s="81"/>
      <c r="DU117" s="81"/>
      <c r="DV117" s="81"/>
      <c r="DY117" s="81"/>
      <c r="DZ117" s="188"/>
      <c r="EA117" s="188"/>
      <c r="EB117" s="81"/>
      <c r="EC117" s="81"/>
      <c r="ED117" s="81"/>
      <c r="EE117" s="81"/>
      <c r="EF117" s="81"/>
      <c r="EG117" s="81"/>
    </row>
    <row r="118" spans="3:137" x14ac:dyDescent="0.25">
      <c r="C118" s="233"/>
      <c r="F118" s="81"/>
      <c r="G118" s="81"/>
      <c r="H118" s="81"/>
      <c r="J118" s="81"/>
      <c r="K118" s="81"/>
      <c r="L118" s="81"/>
      <c r="O118" s="81"/>
      <c r="Q118" s="81"/>
      <c r="Z118" s="81"/>
      <c r="AA118" s="81"/>
      <c r="AC118" s="81"/>
      <c r="AD118" s="81"/>
      <c r="AG118" s="81"/>
      <c r="AI118" s="81"/>
      <c r="AJ118" s="81"/>
      <c r="AS118" s="81"/>
      <c r="BC118" s="81"/>
      <c r="BF118" s="81"/>
      <c r="BK118" s="81"/>
      <c r="BY118" s="81"/>
      <c r="BZ118" s="81"/>
      <c r="CG118" s="81"/>
      <c r="CH118" s="81"/>
      <c r="CK118" s="81"/>
      <c r="CN118" s="81"/>
      <c r="CP118" s="81"/>
      <c r="CS118" s="81"/>
      <c r="CU118" s="81"/>
      <c r="CY118" s="81"/>
      <c r="CZ118" s="81"/>
      <c r="DA118" s="81"/>
      <c r="DB118" s="81"/>
      <c r="DC118" s="81"/>
      <c r="DD118" s="81"/>
      <c r="DE118" s="81"/>
      <c r="DF118" s="81"/>
      <c r="DG118" s="81"/>
      <c r="DH118" s="81"/>
      <c r="DI118" s="81"/>
      <c r="DJ118" s="81"/>
      <c r="DK118" s="81"/>
      <c r="DL118" s="81"/>
      <c r="DM118" s="81"/>
      <c r="DN118" s="81"/>
      <c r="DO118" s="81"/>
      <c r="DP118" s="81"/>
      <c r="DR118" s="81"/>
      <c r="DS118" s="81"/>
      <c r="DT118" s="81"/>
      <c r="DU118" s="81"/>
      <c r="DV118" s="81"/>
      <c r="DY118" s="81"/>
      <c r="DZ118" s="188"/>
      <c r="EA118" s="188"/>
      <c r="EB118" s="81"/>
      <c r="EC118" s="81"/>
      <c r="ED118" s="81"/>
      <c r="EE118" s="81"/>
      <c r="EF118" s="81"/>
      <c r="EG118" s="81"/>
    </row>
    <row r="119" spans="3:137" x14ac:dyDescent="0.25">
      <c r="C119" s="233"/>
      <c r="F119" s="81"/>
      <c r="G119" s="81"/>
      <c r="H119" s="81"/>
      <c r="J119" s="81"/>
      <c r="K119" s="81"/>
      <c r="L119" s="81"/>
      <c r="O119" s="81"/>
      <c r="Q119" s="81"/>
      <c r="Z119" s="81"/>
      <c r="AA119" s="81"/>
      <c r="AC119" s="81"/>
      <c r="AD119" s="81"/>
      <c r="AG119" s="81"/>
      <c r="AI119" s="81"/>
      <c r="AJ119" s="81"/>
      <c r="AS119" s="81"/>
      <c r="BC119" s="81"/>
      <c r="BF119" s="81"/>
      <c r="BK119" s="81"/>
      <c r="BY119" s="81"/>
      <c r="BZ119" s="81"/>
      <c r="CG119" s="81"/>
      <c r="CH119" s="81"/>
      <c r="CK119" s="81"/>
      <c r="CN119" s="81"/>
      <c r="CP119" s="81"/>
      <c r="CS119" s="81"/>
      <c r="CU119" s="81"/>
      <c r="CY119" s="81"/>
      <c r="CZ119" s="81"/>
      <c r="DA119" s="81"/>
      <c r="DB119" s="81"/>
      <c r="DC119" s="81"/>
      <c r="DD119" s="81"/>
      <c r="DE119" s="81"/>
      <c r="DF119" s="81"/>
      <c r="DG119" s="81"/>
      <c r="DH119" s="81"/>
      <c r="DI119" s="81"/>
      <c r="DJ119" s="81"/>
      <c r="DK119" s="81"/>
      <c r="DL119" s="81"/>
      <c r="DM119" s="81"/>
      <c r="DN119" s="81"/>
      <c r="DO119" s="81"/>
      <c r="DP119" s="81"/>
      <c r="DR119" s="81"/>
      <c r="DS119" s="81"/>
      <c r="DT119" s="81"/>
      <c r="DU119" s="81"/>
      <c r="DV119" s="81"/>
      <c r="DY119" s="81"/>
      <c r="DZ119" s="188"/>
      <c r="EA119" s="188"/>
      <c r="EB119" s="81"/>
      <c r="EC119" s="81"/>
      <c r="ED119" s="81"/>
      <c r="EE119" s="81"/>
      <c r="EF119" s="81"/>
      <c r="EG119" s="81"/>
    </row>
    <row r="120" spans="3:137" x14ac:dyDescent="0.25">
      <c r="C120" s="233"/>
      <c r="F120" s="81"/>
      <c r="G120" s="81"/>
      <c r="H120" s="81"/>
      <c r="J120" s="81"/>
      <c r="K120" s="81"/>
      <c r="L120" s="81"/>
      <c r="O120" s="81"/>
      <c r="Q120" s="81"/>
      <c r="Z120" s="81"/>
      <c r="AA120" s="81"/>
      <c r="AC120" s="81"/>
      <c r="AD120" s="81"/>
      <c r="AG120" s="81"/>
      <c r="AI120" s="81"/>
      <c r="AJ120" s="81"/>
      <c r="AS120" s="81"/>
      <c r="BC120" s="81"/>
      <c r="BF120" s="81"/>
      <c r="BK120" s="81"/>
      <c r="BY120" s="81"/>
      <c r="BZ120" s="81"/>
      <c r="CG120" s="81"/>
      <c r="CH120" s="81"/>
      <c r="CK120" s="81"/>
      <c r="CN120" s="81"/>
      <c r="CP120" s="81"/>
      <c r="CS120" s="81"/>
      <c r="CU120" s="81"/>
      <c r="CY120" s="81"/>
      <c r="CZ120" s="81"/>
      <c r="DA120" s="81"/>
      <c r="DB120" s="81"/>
      <c r="DC120" s="81"/>
      <c r="DD120" s="81"/>
      <c r="DE120" s="81"/>
      <c r="DF120" s="81"/>
      <c r="DG120" s="81"/>
      <c r="DH120" s="81"/>
      <c r="DI120" s="81"/>
      <c r="DJ120" s="81"/>
      <c r="DK120" s="81"/>
      <c r="DL120" s="81"/>
      <c r="DM120" s="81"/>
      <c r="DN120" s="81"/>
      <c r="DO120" s="81"/>
      <c r="DP120" s="81"/>
      <c r="DR120" s="81"/>
      <c r="DS120" s="81"/>
      <c r="DT120" s="81"/>
      <c r="DU120" s="81"/>
      <c r="DV120" s="81"/>
      <c r="DY120" s="81"/>
      <c r="DZ120" s="188"/>
      <c r="EA120" s="188"/>
      <c r="EB120" s="81"/>
      <c r="EC120" s="81"/>
      <c r="ED120" s="81"/>
      <c r="EE120" s="81"/>
      <c r="EF120" s="81"/>
      <c r="EG120" s="81"/>
    </row>
    <row r="121" spans="3:137" x14ac:dyDescent="0.25">
      <c r="C121" s="233"/>
      <c r="F121" s="81"/>
      <c r="G121" s="81"/>
      <c r="H121" s="81"/>
      <c r="J121" s="81"/>
      <c r="K121" s="81"/>
      <c r="L121" s="81"/>
      <c r="O121" s="81"/>
      <c r="Q121" s="81"/>
      <c r="Z121" s="81"/>
      <c r="AA121" s="81"/>
      <c r="AC121" s="81"/>
      <c r="AD121" s="81"/>
      <c r="AG121" s="81"/>
      <c r="AI121" s="81"/>
      <c r="AJ121" s="81"/>
      <c r="AS121" s="81"/>
      <c r="BC121" s="81"/>
      <c r="BF121" s="81"/>
      <c r="BK121" s="81"/>
      <c r="BY121" s="81"/>
      <c r="BZ121" s="81"/>
      <c r="CG121" s="81"/>
      <c r="CH121" s="81"/>
      <c r="CK121" s="81"/>
      <c r="CN121" s="81"/>
      <c r="CP121" s="81"/>
      <c r="CS121" s="81"/>
      <c r="CU121" s="81"/>
      <c r="CY121" s="81"/>
      <c r="CZ121" s="81"/>
      <c r="DA121" s="81"/>
      <c r="DB121" s="81"/>
      <c r="DC121" s="81"/>
      <c r="DD121" s="81"/>
      <c r="DE121" s="81"/>
      <c r="DF121" s="81"/>
      <c r="DG121" s="81"/>
      <c r="DH121" s="81"/>
      <c r="DI121" s="81"/>
      <c r="DJ121" s="81"/>
      <c r="DK121" s="81"/>
      <c r="DL121" s="81"/>
      <c r="DM121" s="81"/>
      <c r="DN121" s="81"/>
      <c r="DO121" s="81"/>
      <c r="DP121" s="81"/>
      <c r="DR121" s="81"/>
      <c r="DS121" s="81"/>
      <c r="DT121" s="81"/>
      <c r="DU121" s="81"/>
      <c r="DV121" s="81"/>
      <c r="DY121" s="81"/>
      <c r="DZ121" s="188"/>
      <c r="EA121" s="188"/>
      <c r="EB121" s="81"/>
      <c r="EC121" s="81"/>
      <c r="ED121" s="81"/>
      <c r="EE121" s="81"/>
      <c r="EF121" s="81"/>
      <c r="EG121" s="81"/>
    </row>
    <row r="122" spans="3:137" x14ac:dyDescent="0.25">
      <c r="C122" s="233"/>
      <c r="F122" s="81"/>
      <c r="G122" s="81"/>
      <c r="H122" s="81"/>
      <c r="J122" s="81"/>
      <c r="K122" s="81"/>
      <c r="L122" s="81"/>
      <c r="O122" s="81"/>
      <c r="Q122" s="81"/>
      <c r="Z122" s="81"/>
      <c r="AA122" s="81"/>
      <c r="AC122" s="81"/>
      <c r="AD122" s="81"/>
      <c r="AG122" s="81"/>
      <c r="AI122" s="81"/>
      <c r="AJ122" s="81"/>
      <c r="AS122" s="81"/>
      <c r="BC122" s="81"/>
      <c r="BF122" s="81"/>
      <c r="BK122" s="81"/>
      <c r="BY122" s="81"/>
      <c r="BZ122" s="81"/>
      <c r="CG122" s="81"/>
      <c r="CH122" s="81"/>
      <c r="CK122" s="81"/>
      <c r="CN122" s="81"/>
      <c r="CP122" s="81"/>
      <c r="CS122" s="81"/>
      <c r="CU122" s="81"/>
      <c r="CY122" s="81"/>
      <c r="CZ122" s="81"/>
      <c r="DA122" s="81"/>
      <c r="DB122" s="81"/>
      <c r="DC122" s="81"/>
      <c r="DD122" s="81"/>
      <c r="DE122" s="81"/>
      <c r="DF122" s="81"/>
      <c r="DG122" s="81"/>
      <c r="DH122" s="81"/>
      <c r="DI122" s="81"/>
      <c r="DJ122" s="81"/>
      <c r="DK122" s="81"/>
      <c r="DL122" s="81"/>
      <c r="DM122" s="81"/>
      <c r="DN122" s="81"/>
      <c r="DO122" s="81"/>
      <c r="DP122" s="81"/>
      <c r="DR122" s="81"/>
      <c r="DS122" s="81"/>
      <c r="DT122" s="81"/>
      <c r="DU122" s="81"/>
      <c r="DV122" s="81"/>
      <c r="DY122" s="81"/>
      <c r="DZ122" s="188"/>
      <c r="EA122" s="188"/>
      <c r="EB122" s="81"/>
      <c r="EC122" s="81"/>
      <c r="ED122" s="81"/>
      <c r="EE122" s="81"/>
      <c r="EF122" s="81"/>
      <c r="EG122" s="81"/>
    </row>
    <row r="123" spans="3:137" x14ac:dyDescent="0.25">
      <c r="C123" s="233"/>
      <c r="F123" s="81"/>
      <c r="G123" s="81"/>
      <c r="H123" s="81"/>
      <c r="J123" s="81"/>
      <c r="K123" s="81"/>
      <c r="L123" s="81"/>
      <c r="O123" s="81"/>
      <c r="Q123" s="81"/>
      <c r="Z123" s="81"/>
      <c r="AA123" s="81"/>
      <c r="AC123" s="81"/>
      <c r="AD123" s="81"/>
      <c r="AG123" s="81"/>
      <c r="AI123" s="81"/>
      <c r="AJ123" s="81"/>
      <c r="AS123" s="81"/>
      <c r="BC123" s="81"/>
      <c r="BF123" s="81"/>
      <c r="BK123" s="81"/>
      <c r="BY123" s="81"/>
      <c r="BZ123" s="81"/>
      <c r="CG123" s="81"/>
      <c r="CH123" s="81"/>
      <c r="CK123" s="81"/>
      <c r="CN123" s="81"/>
      <c r="CP123" s="81"/>
      <c r="CS123" s="81"/>
      <c r="CU123" s="81"/>
      <c r="CY123" s="81"/>
      <c r="CZ123" s="81"/>
      <c r="DA123" s="81"/>
      <c r="DB123" s="81"/>
      <c r="DC123" s="81"/>
      <c r="DD123" s="81"/>
      <c r="DE123" s="81"/>
      <c r="DF123" s="81"/>
      <c r="DG123" s="81"/>
      <c r="DH123" s="81"/>
      <c r="DI123" s="81"/>
      <c r="DJ123" s="81"/>
      <c r="DK123" s="81"/>
      <c r="DL123" s="81"/>
      <c r="DM123" s="81"/>
      <c r="DN123" s="81"/>
      <c r="DO123" s="81"/>
      <c r="DP123" s="81"/>
      <c r="DR123" s="81"/>
      <c r="DS123" s="81"/>
      <c r="DT123" s="81"/>
      <c r="DU123" s="81"/>
      <c r="DV123" s="81"/>
      <c r="DY123" s="81"/>
      <c r="DZ123" s="188"/>
      <c r="EA123" s="188"/>
      <c r="EB123" s="81"/>
      <c r="EC123" s="81"/>
      <c r="ED123" s="81"/>
      <c r="EE123" s="81"/>
      <c r="EF123" s="81"/>
      <c r="EG123" s="81"/>
    </row>
    <row r="124" spans="3:137" x14ac:dyDescent="0.25">
      <c r="C124" s="233"/>
      <c r="F124" s="81"/>
      <c r="G124" s="81"/>
      <c r="H124" s="81"/>
      <c r="J124" s="81"/>
      <c r="K124" s="81"/>
      <c r="L124" s="81"/>
      <c r="O124" s="81"/>
      <c r="Q124" s="81"/>
      <c r="Z124" s="81"/>
      <c r="AA124" s="81"/>
      <c r="AC124" s="81"/>
      <c r="AD124" s="81"/>
      <c r="AG124" s="81"/>
      <c r="AI124" s="81"/>
      <c r="AJ124" s="81"/>
      <c r="AS124" s="81"/>
      <c r="BC124" s="81"/>
      <c r="BF124" s="81"/>
      <c r="BK124" s="81"/>
      <c r="BY124" s="81"/>
      <c r="BZ124" s="81"/>
      <c r="CG124" s="81"/>
      <c r="CH124" s="81"/>
      <c r="CK124" s="81"/>
      <c r="CN124" s="81"/>
      <c r="CP124" s="81"/>
      <c r="CS124" s="81"/>
      <c r="CU124" s="81"/>
      <c r="CY124" s="81"/>
      <c r="CZ124" s="81"/>
      <c r="DA124" s="81"/>
      <c r="DB124" s="81"/>
      <c r="DC124" s="81"/>
      <c r="DD124" s="81"/>
      <c r="DE124" s="81"/>
      <c r="DF124" s="81"/>
      <c r="DG124" s="81"/>
      <c r="DH124" s="81"/>
      <c r="DI124" s="81"/>
      <c r="DJ124" s="81"/>
      <c r="DK124" s="81"/>
      <c r="DL124" s="81"/>
      <c r="DM124" s="81"/>
      <c r="DN124" s="81"/>
      <c r="DO124" s="81"/>
      <c r="DP124" s="81"/>
      <c r="DR124" s="81"/>
      <c r="DS124" s="81"/>
      <c r="DT124" s="81"/>
      <c r="DU124" s="81"/>
      <c r="DV124" s="81"/>
      <c r="DY124" s="81"/>
      <c r="DZ124" s="188"/>
      <c r="EA124" s="188"/>
      <c r="EB124" s="81"/>
      <c r="EC124" s="81"/>
      <c r="ED124" s="81"/>
      <c r="EE124" s="81"/>
      <c r="EF124" s="81"/>
      <c r="EG124" s="81"/>
    </row>
    <row r="125" spans="3:137" x14ac:dyDescent="0.25">
      <c r="C125" s="233"/>
      <c r="F125" s="81"/>
      <c r="G125" s="81"/>
      <c r="H125" s="81"/>
      <c r="J125" s="81"/>
      <c r="K125" s="81"/>
      <c r="L125" s="81"/>
      <c r="O125" s="81"/>
      <c r="Q125" s="81"/>
      <c r="Z125" s="81"/>
      <c r="AA125" s="81"/>
      <c r="AC125" s="81"/>
      <c r="AD125" s="81"/>
      <c r="AG125" s="81"/>
      <c r="AI125" s="81"/>
      <c r="AJ125" s="81"/>
      <c r="AS125" s="81"/>
      <c r="BC125" s="81"/>
      <c r="BF125" s="81"/>
      <c r="BK125" s="81"/>
      <c r="BY125" s="81"/>
      <c r="BZ125" s="81"/>
      <c r="CG125" s="81"/>
      <c r="CH125" s="81"/>
      <c r="CK125" s="81"/>
      <c r="CN125" s="81"/>
      <c r="CP125" s="81"/>
      <c r="CS125" s="81"/>
      <c r="CU125" s="81"/>
      <c r="CY125" s="81"/>
      <c r="CZ125" s="81"/>
      <c r="DA125" s="81"/>
      <c r="DB125" s="81"/>
      <c r="DC125" s="81"/>
      <c r="DD125" s="81"/>
      <c r="DE125" s="81"/>
      <c r="DF125" s="81"/>
      <c r="DG125" s="81"/>
      <c r="DH125" s="81"/>
      <c r="DI125" s="81"/>
      <c r="DJ125" s="81"/>
      <c r="DK125" s="81"/>
      <c r="DL125" s="81"/>
      <c r="DM125" s="81"/>
      <c r="DN125" s="81"/>
      <c r="DO125" s="81"/>
      <c r="DP125" s="81"/>
      <c r="DR125" s="81"/>
      <c r="DS125" s="81"/>
      <c r="DT125" s="81"/>
      <c r="DU125" s="81"/>
      <c r="DV125" s="81"/>
      <c r="DY125" s="81"/>
      <c r="DZ125" s="188"/>
      <c r="EA125" s="188"/>
      <c r="EB125" s="81"/>
      <c r="EC125" s="81"/>
      <c r="ED125" s="81"/>
      <c r="EE125" s="81"/>
      <c r="EF125" s="81"/>
      <c r="EG125" s="81"/>
    </row>
    <row r="126" spans="3:137" x14ac:dyDescent="0.25">
      <c r="C126" s="233"/>
      <c r="F126" s="81"/>
      <c r="G126" s="81"/>
      <c r="H126" s="81"/>
      <c r="J126" s="81"/>
      <c r="K126" s="81"/>
      <c r="L126" s="81"/>
      <c r="O126" s="81"/>
      <c r="Q126" s="81"/>
      <c r="Z126" s="81"/>
      <c r="AA126" s="81"/>
      <c r="AC126" s="81"/>
      <c r="AD126" s="81"/>
      <c r="AG126" s="81"/>
      <c r="AI126" s="81"/>
      <c r="AJ126" s="81"/>
      <c r="AS126" s="81"/>
      <c r="BC126" s="81"/>
      <c r="BF126" s="81"/>
      <c r="BK126" s="81"/>
      <c r="BY126" s="81"/>
      <c r="BZ126" s="81"/>
      <c r="CG126" s="81"/>
      <c r="CH126" s="81"/>
      <c r="CK126" s="81"/>
      <c r="CN126" s="81"/>
      <c r="CP126" s="81"/>
      <c r="CS126" s="81"/>
      <c r="CU126" s="81"/>
      <c r="CY126" s="81"/>
      <c r="CZ126" s="81"/>
      <c r="DA126" s="81"/>
      <c r="DB126" s="81"/>
      <c r="DC126" s="81"/>
      <c r="DD126" s="81"/>
      <c r="DE126" s="81"/>
      <c r="DF126" s="81"/>
      <c r="DG126" s="81"/>
      <c r="DH126" s="81"/>
      <c r="DI126" s="81"/>
      <c r="DJ126" s="81"/>
      <c r="DK126" s="81"/>
      <c r="DL126" s="81"/>
      <c r="DM126" s="81"/>
      <c r="DN126" s="81"/>
      <c r="DO126" s="81"/>
      <c r="DP126" s="81"/>
      <c r="DR126" s="81"/>
      <c r="DS126" s="81"/>
      <c r="DT126" s="81"/>
      <c r="DU126" s="81"/>
      <c r="DV126" s="81"/>
      <c r="DY126" s="81"/>
      <c r="DZ126" s="188"/>
      <c r="EA126" s="188"/>
      <c r="EB126" s="81"/>
      <c r="EC126" s="81"/>
      <c r="ED126" s="81"/>
      <c r="EE126" s="81"/>
      <c r="EF126" s="81"/>
      <c r="EG126" s="81"/>
    </row>
    <row r="127" spans="3:137" x14ac:dyDescent="0.25">
      <c r="C127" s="233"/>
      <c r="F127" s="81"/>
      <c r="G127" s="81"/>
      <c r="H127" s="81"/>
      <c r="J127" s="81"/>
      <c r="K127" s="81"/>
      <c r="L127" s="81"/>
      <c r="O127" s="81"/>
      <c r="Q127" s="81"/>
      <c r="Z127" s="81"/>
      <c r="AA127" s="81"/>
      <c r="AC127" s="81"/>
      <c r="AD127" s="81"/>
      <c r="AG127" s="81"/>
      <c r="AI127" s="81"/>
      <c r="AJ127" s="81"/>
      <c r="AS127" s="81"/>
      <c r="BC127" s="81"/>
      <c r="BF127" s="81"/>
      <c r="BK127" s="81"/>
      <c r="BY127" s="81"/>
      <c r="BZ127" s="81"/>
      <c r="CG127" s="81"/>
      <c r="CH127" s="81"/>
      <c r="CK127" s="81"/>
      <c r="CN127" s="81"/>
      <c r="CP127" s="81"/>
      <c r="CS127" s="81"/>
      <c r="CU127" s="81"/>
      <c r="CY127" s="81"/>
      <c r="CZ127" s="81"/>
      <c r="DA127" s="81"/>
      <c r="DB127" s="81"/>
      <c r="DC127" s="81"/>
      <c r="DD127" s="81"/>
      <c r="DE127" s="81"/>
      <c r="DF127" s="81"/>
      <c r="DG127" s="81"/>
      <c r="DH127" s="81"/>
      <c r="DI127" s="81"/>
      <c r="DJ127" s="81"/>
      <c r="DK127" s="81"/>
      <c r="DL127" s="81"/>
      <c r="DM127" s="81"/>
      <c r="DN127" s="81"/>
      <c r="DO127" s="81"/>
      <c r="DP127" s="81"/>
      <c r="DR127" s="81"/>
      <c r="DS127" s="81"/>
      <c r="DT127" s="81"/>
      <c r="DU127" s="81"/>
      <c r="DV127" s="81"/>
      <c r="DY127" s="81"/>
      <c r="DZ127" s="188"/>
      <c r="EA127" s="188"/>
      <c r="EB127" s="81"/>
      <c r="EC127" s="81"/>
      <c r="ED127" s="81"/>
      <c r="EE127" s="81"/>
      <c r="EF127" s="81"/>
      <c r="EG127" s="81"/>
    </row>
    <row r="128" spans="3:137" x14ac:dyDescent="0.25">
      <c r="C128" s="233"/>
      <c r="F128" s="81"/>
      <c r="G128" s="81"/>
      <c r="H128" s="81"/>
      <c r="J128" s="81"/>
      <c r="K128" s="81"/>
      <c r="L128" s="81"/>
      <c r="O128" s="81"/>
      <c r="Q128" s="81"/>
      <c r="Z128" s="81"/>
      <c r="AA128" s="81"/>
      <c r="AC128" s="81"/>
      <c r="AD128" s="81"/>
      <c r="AG128" s="81"/>
      <c r="AI128" s="81"/>
      <c r="AJ128" s="81"/>
      <c r="AS128" s="81"/>
      <c r="BC128" s="81"/>
      <c r="BF128" s="81"/>
      <c r="BK128" s="81"/>
      <c r="BY128" s="81"/>
      <c r="BZ128" s="81"/>
      <c r="CG128" s="81"/>
      <c r="CH128" s="81"/>
      <c r="CK128" s="81"/>
      <c r="CN128" s="81"/>
      <c r="CP128" s="81"/>
      <c r="CS128" s="81"/>
      <c r="CU128" s="81"/>
      <c r="CY128" s="81"/>
      <c r="CZ128" s="81"/>
      <c r="DA128" s="81"/>
      <c r="DB128" s="81"/>
      <c r="DC128" s="81"/>
      <c r="DD128" s="81"/>
      <c r="DE128" s="81"/>
      <c r="DF128" s="81"/>
      <c r="DG128" s="81"/>
      <c r="DH128" s="81"/>
      <c r="DI128" s="81"/>
      <c r="DJ128" s="81"/>
      <c r="DK128" s="81"/>
      <c r="DL128" s="81"/>
      <c r="DM128" s="81"/>
      <c r="DN128" s="81"/>
      <c r="DO128" s="81"/>
      <c r="DP128" s="81"/>
      <c r="DR128" s="81"/>
      <c r="DS128" s="81"/>
      <c r="DT128" s="81"/>
      <c r="DU128" s="81"/>
      <c r="DV128" s="81"/>
      <c r="DY128" s="81"/>
      <c r="DZ128" s="188"/>
      <c r="EA128" s="188"/>
      <c r="EB128" s="81"/>
      <c r="EC128" s="81"/>
      <c r="ED128" s="81"/>
      <c r="EE128" s="81"/>
      <c r="EF128" s="81"/>
      <c r="EG128" s="81"/>
    </row>
    <row r="129" spans="3:137" x14ac:dyDescent="0.25">
      <c r="C129" s="233"/>
      <c r="F129" s="81"/>
      <c r="G129" s="81"/>
      <c r="H129" s="81"/>
      <c r="J129" s="81"/>
      <c r="K129" s="81"/>
      <c r="L129" s="81"/>
      <c r="O129" s="81"/>
      <c r="Q129" s="81"/>
      <c r="Z129" s="81"/>
      <c r="AA129" s="81"/>
      <c r="AC129" s="81"/>
      <c r="AD129" s="81"/>
      <c r="AG129" s="81"/>
      <c r="AI129" s="81"/>
      <c r="AJ129" s="81"/>
      <c r="AS129" s="81"/>
      <c r="BC129" s="81"/>
      <c r="BF129" s="81"/>
      <c r="BK129" s="81"/>
      <c r="BY129" s="81"/>
      <c r="BZ129" s="81"/>
      <c r="CG129" s="81"/>
      <c r="CH129" s="81"/>
      <c r="CK129" s="81"/>
      <c r="CN129" s="81"/>
      <c r="CP129" s="81"/>
      <c r="CS129" s="81"/>
      <c r="CU129" s="81"/>
      <c r="CY129" s="81"/>
      <c r="CZ129" s="81"/>
      <c r="DA129" s="81"/>
      <c r="DB129" s="81"/>
      <c r="DC129" s="81"/>
      <c r="DD129" s="81"/>
      <c r="DE129" s="81"/>
      <c r="DF129" s="81"/>
      <c r="DG129" s="81"/>
      <c r="DH129" s="81"/>
      <c r="DI129" s="81"/>
      <c r="DJ129" s="81"/>
      <c r="DK129" s="81"/>
      <c r="DL129" s="81"/>
      <c r="DM129" s="81"/>
      <c r="DN129" s="81"/>
      <c r="DO129" s="81"/>
      <c r="DP129" s="81"/>
      <c r="DR129" s="81"/>
      <c r="DS129" s="81"/>
      <c r="DT129" s="81"/>
      <c r="DU129" s="81"/>
      <c r="DV129" s="81"/>
      <c r="DY129" s="81"/>
      <c r="DZ129" s="188"/>
      <c r="EA129" s="188"/>
      <c r="EB129" s="81"/>
      <c r="EC129" s="81"/>
      <c r="ED129" s="81"/>
      <c r="EE129" s="81"/>
      <c r="EF129" s="81"/>
      <c r="EG129" s="81"/>
    </row>
    <row r="130" spans="3:137" x14ac:dyDescent="0.25">
      <c r="C130" s="233"/>
      <c r="F130" s="81"/>
      <c r="G130" s="81"/>
      <c r="H130" s="81"/>
      <c r="J130" s="81"/>
      <c r="K130" s="81"/>
      <c r="L130" s="81"/>
      <c r="O130" s="81"/>
      <c r="Q130" s="81"/>
      <c r="Z130" s="81"/>
      <c r="AA130" s="81"/>
      <c r="AC130" s="81"/>
      <c r="AD130" s="81"/>
      <c r="AG130" s="81"/>
      <c r="AI130" s="81"/>
      <c r="AJ130" s="81"/>
      <c r="AS130" s="81"/>
      <c r="BC130" s="81"/>
      <c r="BF130" s="81"/>
      <c r="BK130" s="81"/>
      <c r="BY130" s="81"/>
      <c r="BZ130" s="81"/>
      <c r="CG130" s="81"/>
      <c r="CH130" s="81"/>
      <c r="CK130" s="81"/>
      <c r="CN130" s="81"/>
      <c r="CP130" s="81"/>
      <c r="CS130" s="81"/>
      <c r="CU130" s="81"/>
      <c r="CY130" s="81"/>
      <c r="CZ130" s="81"/>
      <c r="DA130" s="81"/>
      <c r="DB130" s="81"/>
      <c r="DC130" s="81"/>
      <c r="DD130" s="81"/>
      <c r="DE130" s="81"/>
      <c r="DF130" s="81"/>
      <c r="DG130" s="81"/>
      <c r="DH130" s="81"/>
      <c r="DI130" s="81"/>
      <c r="DJ130" s="81"/>
      <c r="DK130" s="81"/>
      <c r="DL130" s="81"/>
      <c r="DM130" s="81"/>
      <c r="DN130" s="81"/>
      <c r="DO130" s="81"/>
      <c r="DP130" s="81"/>
      <c r="DR130" s="81"/>
      <c r="DS130" s="81"/>
      <c r="DT130" s="81"/>
      <c r="DU130" s="81"/>
      <c r="DV130" s="81"/>
      <c r="DY130" s="81"/>
      <c r="DZ130" s="188"/>
      <c r="EA130" s="188"/>
      <c r="EB130" s="81"/>
      <c r="EC130" s="81"/>
      <c r="ED130" s="81"/>
      <c r="EE130" s="81"/>
      <c r="EF130" s="81"/>
      <c r="EG130" s="81"/>
    </row>
    <row r="131" spans="3:137" x14ac:dyDescent="0.25">
      <c r="C131" s="233"/>
      <c r="F131" s="81"/>
      <c r="G131" s="81"/>
      <c r="H131" s="81"/>
      <c r="J131" s="81"/>
      <c r="K131" s="81"/>
      <c r="L131" s="81"/>
      <c r="O131" s="81"/>
      <c r="Q131" s="81"/>
      <c r="Z131" s="81"/>
      <c r="AA131" s="81"/>
      <c r="AC131" s="81"/>
      <c r="AD131" s="81"/>
      <c r="AG131" s="81"/>
      <c r="AI131" s="81"/>
      <c r="AJ131" s="81"/>
      <c r="AS131" s="81"/>
      <c r="BC131" s="81"/>
      <c r="BF131" s="81"/>
      <c r="BK131" s="81"/>
      <c r="BY131" s="81"/>
      <c r="BZ131" s="81"/>
      <c r="CG131" s="81"/>
      <c r="CH131" s="81"/>
      <c r="CK131" s="81"/>
      <c r="CN131" s="81"/>
      <c r="CP131" s="81"/>
      <c r="CS131" s="81"/>
      <c r="CU131" s="81"/>
      <c r="CY131" s="81"/>
      <c r="CZ131" s="81"/>
      <c r="DA131" s="81"/>
      <c r="DB131" s="81"/>
      <c r="DC131" s="81"/>
      <c r="DD131" s="81"/>
      <c r="DE131" s="81"/>
      <c r="DF131" s="81"/>
      <c r="DG131" s="81"/>
      <c r="DH131" s="81"/>
      <c r="DI131" s="81"/>
      <c r="DJ131" s="81"/>
      <c r="DK131" s="81"/>
      <c r="DL131" s="81"/>
      <c r="DM131" s="81"/>
      <c r="DN131" s="81"/>
      <c r="DO131" s="81"/>
      <c r="DP131" s="81"/>
      <c r="DR131" s="81"/>
      <c r="DS131" s="81"/>
      <c r="DT131" s="81"/>
      <c r="DU131" s="81"/>
      <c r="DV131" s="81"/>
      <c r="DY131" s="81"/>
      <c r="DZ131" s="188"/>
      <c r="EA131" s="188"/>
      <c r="EB131" s="81"/>
      <c r="EC131" s="81"/>
      <c r="ED131" s="81"/>
      <c r="EE131" s="81"/>
      <c r="EF131" s="81"/>
      <c r="EG131" s="81"/>
    </row>
    <row r="132" spans="3:137" x14ac:dyDescent="0.25">
      <c r="C132" s="233"/>
      <c r="F132" s="81"/>
      <c r="G132" s="81"/>
      <c r="H132" s="81"/>
      <c r="J132" s="81"/>
      <c r="K132" s="81"/>
      <c r="L132" s="81"/>
      <c r="O132" s="81"/>
      <c r="Q132" s="81"/>
      <c r="Z132" s="81"/>
      <c r="AA132" s="81"/>
      <c r="AC132" s="81"/>
      <c r="AD132" s="81"/>
      <c r="AG132" s="81"/>
      <c r="AI132" s="81"/>
      <c r="AJ132" s="81"/>
      <c r="AS132" s="81"/>
      <c r="BC132" s="81"/>
      <c r="BF132" s="81"/>
      <c r="BK132" s="81"/>
      <c r="BY132" s="81"/>
      <c r="BZ132" s="81"/>
      <c r="CG132" s="81"/>
      <c r="CH132" s="81"/>
      <c r="CK132" s="81"/>
      <c r="CN132" s="81"/>
      <c r="CP132" s="81"/>
      <c r="CS132" s="81"/>
      <c r="CU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J132" s="81"/>
      <c r="DK132" s="81"/>
      <c r="DL132" s="81"/>
      <c r="DM132" s="81"/>
      <c r="DN132" s="81"/>
      <c r="DO132" s="81"/>
      <c r="DP132" s="81"/>
      <c r="DR132" s="81"/>
      <c r="DS132" s="81"/>
      <c r="DT132" s="81"/>
      <c r="DU132" s="81"/>
      <c r="DV132" s="81"/>
      <c r="DY132" s="81"/>
      <c r="DZ132" s="188"/>
      <c r="EA132" s="188"/>
      <c r="EB132" s="81"/>
      <c r="EC132" s="81"/>
      <c r="ED132" s="81"/>
      <c r="EE132" s="81"/>
      <c r="EF132" s="81"/>
      <c r="EG132" s="81"/>
    </row>
    <row r="133" spans="3:137" x14ac:dyDescent="0.25">
      <c r="C133" s="233"/>
      <c r="F133" s="81"/>
      <c r="G133" s="81"/>
      <c r="H133" s="81"/>
      <c r="J133" s="81"/>
      <c r="K133" s="81"/>
      <c r="L133" s="81"/>
      <c r="O133" s="81"/>
      <c r="Q133" s="81"/>
      <c r="Z133" s="81"/>
      <c r="AA133" s="81"/>
      <c r="AC133" s="81"/>
      <c r="AD133" s="81"/>
      <c r="AG133" s="81"/>
      <c r="AI133" s="81"/>
      <c r="AJ133" s="81"/>
      <c r="AS133" s="81"/>
      <c r="BC133" s="81"/>
      <c r="BF133" s="81"/>
      <c r="BK133" s="81"/>
      <c r="BY133" s="81"/>
      <c r="BZ133" s="81"/>
      <c r="CG133" s="81"/>
      <c r="CH133" s="81"/>
      <c r="CK133" s="81"/>
      <c r="CN133" s="81"/>
      <c r="CP133" s="81"/>
      <c r="CS133" s="81"/>
      <c r="CU133" s="81"/>
      <c r="CY133" s="81"/>
      <c r="CZ133" s="81"/>
      <c r="DA133" s="81"/>
      <c r="DB133" s="81"/>
      <c r="DC133" s="81"/>
      <c r="DD133" s="81"/>
      <c r="DE133" s="81"/>
      <c r="DF133" s="81"/>
      <c r="DG133" s="81"/>
      <c r="DH133" s="81"/>
      <c r="DI133" s="81"/>
      <c r="DJ133" s="81"/>
      <c r="DK133" s="81"/>
      <c r="DL133" s="81"/>
      <c r="DM133" s="81"/>
      <c r="DN133" s="81"/>
      <c r="DO133" s="81"/>
      <c r="DP133" s="81"/>
      <c r="DR133" s="81"/>
      <c r="DS133" s="81"/>
      <c r="DT133" s="81"/>
      <c r="DU133" s="81"/>
      <c r="DV133" s="81"/>
      <c r="DY133" s="81"/>
      <c r="DZ133" s="188"/>
      <c r="EA133" s="188"/>
      <c r="EB133" s="81"/>
      <c r="EC133" s="81"/>
      <c r="ED133" s="81"/>
      <c r="EE133" s="81"/>
      <c r="EF133" s="81"/>
      <c r="EG133" s="81"/>
    </row>
    <row r="134" spans="3:137" x14ac:dyDescent="0.25">
      <c r="C134" s="233"/>
      <c r="F134" s="81"/>
      <c r="G134" s="81"/>
      <c r="H134" s="81"/>
      <c r="J134" s="81"/>
      <c r="K134" s="81"/>
      <c r="L134" s="81"/>
      <c r="O134" s="81"/>
      <c r="Q134" s="81"/>
      <c r="Z134" s="81"/>
      <c r="AA134" s="81"/>
      <c r="AC134" s="81"/>
      <c r="AD134" s="81"/>
      <c r="AG134" s="81"/>
      <c r="AI134" s="81"/>
      <c r="AJ134" s="81"/>
      <c r="AS134" s="81"/>
      <c r="BC134" s="81"/>
      <c r="BF134" s="81"/>
      <c r="BK134" s="81"/>
      <c r="BY134" s="81"/>
      <c r="BZ134" s="81"/>
      <c r="CG134" s="81"/>
      <c r="CH134" s="81"/>
      <c r="CK134" s="81"/>
      <c r="CN134" s="81"/>
      <c r="CP134" s="81"/>
      <c r="CS134" s="81"/>
      <c r="CU134" s="81"/>
      <c r="CY134" s="81"/>
      <c r="CZ134" s="81"/>
      <c r="DA134" s="81"/>
      <c r="DB134" s="81"/>
      <c r="DC134" s="81"/>
      <c r="DD134" s="81"/>
      <c r="DE134" s="81"/>
      <c r="DF134" s="81"/>
      <c r="DG134" s="81"/>
      <c r="DH134" s="81"/>
      <c r="DI134" s="81"/>
      <c r="DJ134" s="81"/>
      <c r="DK134" s="81"/>
      <c r="DL134" s="81"/>
      <c r="DM134" s="81"/>
      <c r="DN134" s="81"/>
      <c r="DO134" s="81"/>
      <c r="DP134" s="81"/>
      <c r="DR134" s="81"/>
      <c r="DS134" s="81"/>
      <c r="DT134" s="81"/>
      <c r="DU134" s="81"/>
      <c r="DV134" s="81"/>
      <c r="DY134" s="81"/>
      <c r="DZ134" s="188"/>
      <c r="EA134" s="188"/>
      <c r="EB134" s="81"/>
      <c r="EC134" s="81"/>
      <c r="ED134" s="81"/>
      <c r="EE134" s="81"/>
      <c r="EF134" s="81"/>
      <c r="EG134" s="81"/>
    </row>
    <row r="135" spans="3:137" x14ac:dyDescent="0.25">
      <c r="C135" s="233"/>
      <c r="F135" s="81"/>
      <c r="G135" s="81"/>
      <c r="H135" s="81"/>
      <c r="J135" s="81"/>
      <c r="K135" s="81"/>
      <c r="L135" s="81"/>
      <c r="O135" s="81"/>
      <c r="Q135" s="81"/>
      <c r="Z135" s="81"/>
      <c r="AA135" s="81"/>
      <c r="AC135" s="81"/>
      <c r="AD135" s="81"/>
      <c r="AG135" s="81"/>
      <c r="AI135" s="81"/>
      <c r="AJ135" s="81"/>
      <c r="AS135" s="81"/>
      <c r="BC135" s="81"/>
      <c r="BF135" s="81"/>
      <c r="BK135" s="81"/>
      <c r="BY135" s="81"/>
      <c r="BZ135" s="81"/>
      <c r="CG135" s="81"/>
      <c r="CH135" s="81"/>
      <c r="CK135" s="81"/>
      <c r="CN135" s="81"/>
      <c r="CP135" s="81"/>
      <c r="CS135" s="81"/>
      <c r="CU135" s="81"/>
      <c r="CY135" s="81"/>
      <c r="CZ135" s="81"/>
      <c r="DA135" s="81"/>
      <c r="DB135" s="81"/>
      <c r="DC135" s="81"/>
      <c r="DD135" s="81"/>
      <c r="DE135" s="81"/>
      <c r="DF135" s="81"/>
      <c r="DG135" s="81"/>
      <c r="DH135" s="81"/>
      <c r="DI135" s="81"/>
      <c r="DJ135" s="81"/>
      <c r="DK135" s="81"/>
      <c r="DL135" s="81"/>
      <c r="DM135" s="81"/>
      <c r="DN135" s="81"/>
      <c r="DO135" s="81"/>
      <c r="DP135" s="81"/>
      <c r="DR135" s="81"/>
      <c r="DS135" s="81"/>
      <c r="DT135" s="81"/>
      <c r="DU135" s="81"/>
      <c r="DV135" s="81"/>
      <c r="DY135" s="81"/>
      <c r="DZ135" s="188"/>
      <c r="EA135" s="188"/>
      <c r="EB135" s="81"/>
      <c r="EC135" s="81"/>
      <c r="ED135" s="81"/>
      <c r="EE135" s="81"/>
      <c r="EF135" s="81"/>
      <c r="EG135" s="81"/>
    </row>
    <row r="136" spans="3:137" x14ac:dyDescent="0.25">
      <c r="C136" s="233"/>
      <c r="F136" s="81"/>
      <c r="G136" s="81"/>
      <c r="H136" s="81"/>
      <c r="J136" s="81"/>
      <c r="K136" s="81"/>
      <c r="L136" s="81"/>
      <c r="O136" s="81"/>
      <c r="Q136" s="81"/>
      <c r="Z136" s="81"/>
      <c r="AA136" s="81"/>
      <c r="AC136" s="81"/>
      <c r="AD136" s="81"/>
      <c r="AG136" s="81"/>
      <c r="AI136" s="81"/>
      <c r="AJ136" s="81"/>
      <c r="AS136" s="81"/>
      <c r="BC136" s="81"/>
      <c r="BF136" s="81"/>
      <c r="BK136" s="81"/>
      <c r="BY136" s="81"/>
      <c r="BZ136" s="81"/>
      <c r="CG136" s="81"/>
      <c r="CH136" s="81"/>
      <c r="CK136" s="81"/>
      <c r="CN136" s="81"/>
      <c r="CP136" s="81"/>
      <c r="CS136" s="81"/>
      <c r="CU136" s="81"/>
      <c r="CY136" s="81"/>
      <c r="CZ136" s="81"/>
      <c r="DA136" s="81"/>
      <c r="DB136" s="81"/>
      <c r="DC136" s="81"/>
      <c r="DD136" s="81"/>
      <c r="DE136" s="81"/>
      <c r="DF136" s="81"/>
      <c r="DG136" s="81"/>
      <c r="DH136" s="81"/>
      <c r="DI136" s="81"/>
      <c r="DJ136" s="81"/>
      <c r="DK136" s="81"/>
      <c r="DL136" s="81"/>
      <c r="DM136" s="81"/>
      <c r="DN136" s="81"/>
      <c r="DO136" s="81"/>
      <c r="DP136" s="81"/>
      <c r="DR136" s="81"/>
      <c r="DS136" s="81"/>
      <c r="DT136" s="81"/>
      <c r="DU136" s="81"/>
      <c r="DV136" s="81"/>
      <c r="DY136" s="81"/>
      <c r="DZ136" s="188"/>
      <c r="EA136" s="188"/>
      <c r="EB136" s="81"/>
      <c r="EC136" s="81"/>
      <c r="ED136" s="81"/>
      <c r="EE136" s="81"/>
      <c r="EF136" s="81"/>
      <c r="EG136" s="81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7:BM37"/>
    <mergeCell ref="BI38:BM38"/>
    <mergeCell ref="BI30:BM30"/>
    <mergeCell ref="BI31:BM31"/>
    <mergeCell ref="BI32:BM32"/>
    <mergeCell ref="BI12:BM12"/>
    <mergeCell ref="BI29:BM29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28:BM28"/>
    <mergeCell ref="BI25:BM25"/>
    <mergeCell ref="BI21:BM21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6:BM56"/>
    <mergeCell ref="BI45:BM45"/>
    <mergeCell ref="BI46:BM46"/>
    <mergeCell ref="BI47:BM47"/>
    <mergeCell ref="BI48:BM48"/>
    <mergeCell ref="BI49:BM49"/>
    <mergeCell ref="BI50:BM50"/>
    <mergeCell ref="BI51:BM51"/>
    <mergeCell ref="BI69:BM69"/>
    <mergeCell ref="BI70:BM70"/>
    <mergeCell ref="BI66:BM66"/>
    <mergeCell ref="BI75:BM75"/>
    <mergeCell ref="BI71:BM71"/>
    <mergeCell ref="BI72:BM72"/>
    <mergeCell ref="BI52:BM52"/>
    <mergeCell ref="BI74:BM74"/>
    <mergeCell ref="BI68:BM68"/>
    <mergeCell ref="BI65:BM65"/>
    <mergeCell ref="BI67:BM67"/>
    <mergeCell ref="BI60:BM60"/>
    <mergeCell ref="BI61:BM61"/>
    <mergeCell ref="BI53:BM53"/>
    <mergeCell ref="BI54:BM54"/>
    <mergeCell ref="BI55:BM55"/>
    <mergeCell ref="BI73:BM73"/>
    <mergeCell ref="BI63:BM63"/>
    <mergeCell ref="BI57:BM57"/>
    <mergeCell ref="BI58:BM58"/>
    <mergeCell ref="BI64:BM64"/>
    <mergeCell ref="BI59:BM59"/>
    <mergeCell ref="BI35:BM35"/>
    <mergeCell ref="BI39:BM39"/>
    <mergeCell ref="BI40:BM40"/>
    <mergeCell ref="BI41:BM41"/>
    <mergeCell ref="BI33:BM33"/>
    <mergeCell ref="BI36:BM36"/>
    <mergeCell ref="BI42:BM42"/>
    <mergeCell ref="BI44:BM44"/>
    <mergeCell ref="BI43:BM43"/>
    <mergeCell ref="BI34:BM3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72 AO18:AO6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17"/>
  <sheetViews>
    <sheetView tabSelected="1"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297" sqref="A297"/>
    </sheetView>
  </sheetViews>
  <sheetFormatPr defaultRowHeight="15" x14ac:dyDescent="0.25"/>
  <cols>
    <col min="1" max="1" width="46.140625" style="253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2025</v>
      </c>
      <c r="C1" s="24" t="s">
        <v>2045</v>
      </c>
      <c r="D1" s="24" t="s">
        <v>2129</v>
      </c>
      <c r="E1" s="24" t="s">
        <v>1732</v>
      </c>
      <c r="F1" s="24" t="s">
        <v>1731</v>
      </c>
      <c r="G1" s="24" t="s">
        <v>1730</v>
      </c>
      <c r="H1" s="24" t="s">
        <v>2046</v>
      </c>
      <c r="I1" s="24" t="s">
        <v>1750</v>
      </c>
      <c r="J1" s="256" t="s">
        <v>1972</v>
      </c>
      <c r="K1" s="256" t="s">
        <v>1922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258"/>
      <c r="K2" s="257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1924</v>
      </c>
      <c r="F3" s="16"/>
      <c r="G3" s="16"/>
      <c r="H3" s="16"/>
      <c r="I3" s="19"/>
      <c r="J3" s="258"/>
      <c r="K3" s="257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258"/>
      <c r="K4" s="257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2412</v>
      </c>
      <c r="F5" s="16"/>
      <c r="G5" s="16"/>
      <c r="H5" s="16"/>
      <c r="J5" s="258"/>
      <c r="K5" s="257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2023</v>
      </c>
      <c r="F6" s="16"/>
      <c r="G6" s="16"/>
      <c r="H6" s="16"/>
      <c r="J6" s="258"/>
      <c r="K6" s="257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2335</v>
      </c>
      <c r="F7" s="16"/>
      <c r="G7" s="16"/>
      <c r="H7" s="16"/>
      <c r="J7" s="258"/>
      <c r="K7" s="257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2336</v>
      </c>
      <c r="F8" s="16"/>
      <c r="G8" s="16"/>
      <c r="H8" s="16"/>
      <c r="I8" s="26"/>
      <c r="J8" s="258"/>
      <c r="K8" s="257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2413</v>
      </c>
      <c r="F9" s="16"/>
      <c r="G9" s="16"/>
      <c r="H9" s="16"/>
      <c r="J9" s="258"/>
      <c r="K9" s="257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258"/>
      <c r="K10" s="257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258"/>
      <c r="K11" s="257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258"/>
      <c r="K12" s="257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2025</v>
      </c>
      <c r="C13" s="249" t="s">
        <v>1733</v>
      </c>
      <c r="D13" s="249" t="s">
        <v>1734</v>
      </c>
      <c r="E13" s="24" t="s">
        <v>1732</v>
      </c>
      <c r="F13" s="24" t="s">
        <v>1731</v>
      </c>
      <c r="G13" s="24" t="s">
        <v>1730</v>
      </c>
      <c r="H13" s="249" t="s">
        <v>1102</v>
      </c>
      <c r="I13" s="24" t="s">
        <v>1750</v>
      </c>
      <c r="J13" s="256" t="s">
        <v>1972</v>
      </c>
      <c r="K13" s="256" t="s">
        <v>1922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253" t="str">
        <f t="shared" ref="A14:A62" si="0">CONCATENATE(E14,IF(ISBLANK(C14),"",CONCATENATE("_",C14)))</f>
        <v>_SETTLER</v>
      </c>
      <c r="B14" s="9" t="s">
        <v>2260</v>
      </c>
      <c r="C14" s="5"/>
      <c r="D14" s="5"/>
      <c r="E14" s="5" t="s">
        <v>1078</v>
      </c>
      <c r="F14" s="5" t="s">
        <v>2260</v>
      </c>
      <c r="G14" s="5" t="s">
        <v>2022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253" t="str">
        <f t="shared" si="0"/>
        <v>_SETTLER</v>
      </c>
      <c r="B15" s="9" t="s">
        <v>2260</v>
      </c>
      <c r="C15" s="5"/>
      <c r="D15" s="5"/>
      <c r="E15" s="5" t="s">
        <v>1078</v>
      </c>
      <c r="F15" s="5" t="s">
        <v>2260</v>
      </c>
      <c r="G15" s="5" t="s">
        <v>2048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253" t="str">
        <f t="shared" si="0"/>
        <v>_SETTLER</v>
      </c>
      <c r="B16" s="9" t="s">
        <v>2260</v>
      </c>
      <c r="C16" s="5"/>
      <c r="D16" s="5"/>
      <c r="E16" s="5" t="s">
        <v>1078</v>
      </c>
      <c r="F16" s="5" t="s">
        <v>2260</v>
      </c>
      <c r="G16" s="5" t="s">
        <v>2049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253" t="str">
        <f t="shared" si="0"/>
        <v>_SETTLER</v>
      </c>
      <c r="B17" s="9" t="s">
        <v>2260</v>
      </c>
      <c r="C17" s="5"/>
      <c r="D17" s="5"/>
      <c r="E17" s="5" t="s">
        <v>1078</v>
      </c>
      <c r="F17" s="5" t="s">
        <v>2260</v>
      </c>
      <c r="G17" s="5" t="s">
        <v>2050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253" t="str">
        <f t="shared" si="0"/>
        <v>_SETTLER</v>
      </c>
      <c r="B18" s="9" t="s">
        <v>2260</v>
      </c>
      <c r="C18" s="5"/>
      <c r="D18" s="5"/>
      <c r="E18" s="5" t="s">
        <v>1078</v>
      </c>
      <c r="F18" s="5" t="s">
        <v>2260</v>
      </c>
      <c r="G18" s="5" t="s">
        <v>2051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253" t="str">
        <f t="shared" si="0"/>
        <v>_SETTLER</v>
      </c>
      <c r="B19" s="9" t="s">
        <v>2260</v>
      </c>
      <c r="C19" s="5"/>
      <c r="D19" s="5"/>
      <c r="E19" s="5" t="s">
        <v>1078</v>
      </c>
      <c r="F19" s="5" t="s">
        <v>2260</v>
      </c>
      <c r="G19" s="5" t="s">
        <v>2052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253" t="str">
        <f t="shared" si="0"/>
        <v>_SETTLER</v>
      </c>
      <c r="B20" s="9" t="s">
        <v>2260</v>
      </c>
      <c r="C20" s="5"/>
      <c r="D20" s="5"/>
      <c r="E20" s="5" t="s">
        <v>1078</v>
      </c>
      <c r="F20" s="5" t="s">
        <v>2260</v>
      </c>
      <c r="G20" s="5" t="s">
        <v>2053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253" t="str">
        <f t="shared" si="0"/>
        <v>_SETTLER</v>
      </c>
      <c r="B21" s="9" t="s">
        <v>2260</v>
      </c>
      <c r="C21" s="5"/>
      <c r="D21" s="5"/>
      <c r="E21" s="5" t="s">
        <v>1078</v>
      </c>
      <c r="F21" s="5" t="s">
        <v>2260</v>
      </c>
      <c r="G21" s="5" t="s">
        <v>2054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253" t="str">
        <f t="shared" si="0"/>
        <v>_SETTLER</v>
      </c>
      <c r="B22" s="9" t="s">
        <v>2260</v>
      </c>
      <c r="C22" s="5"/>
      <c r="D22" s="5"/>
      <c r="E22" s="5" t="s">
        <v>1078</v>
      </c>
      <c r="F22" s="5" t="s">
        <v>2260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253" t="str">
        <f t="shared" si="0"/>
        <v>_SETTLER_AFRI</v>
      </c>
      <c r="B23" s="9" t="s">
        <v>2260</v>
      </c>
      <c r="C23" s="5" t="s">
        <v>694</v>
      </c>
      <c r="D23" s="5"/>
      <c r="E23" s="5" t="s">
        <v>1078</v>
      </c>
      <c r="F23" s="5" t="s">
        <v>2260</v>
      </c>
      <c r="G23" s="5" t="s">
        <v>2020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253" t="str">
        <f t="shared" si="0"/>
        <v>_SETTLER_AFRI</v>
      </c>
      <c r="B24" s="9" t="s">
        <v>2260</v>
      </c>
      <c r="C24" s="5" t="s">
        <v>694</v>
      </c>
      <c r="D24" s="5"/>
      <c r="E24" s="5" t="s">
        <v>1078</v>
      </c>
      <c r="F24" s="5" t="s">
        <v>2260</v>
      </c>
      <c r="G24" s="5" t="s">
        <v>2048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253" t="str">
        <f t="shared" si="0"/>
        <v>_SETTLER_AFRI</v>
      </c>
      <c r="B25" s="9" t="s">
        <v>2260</v>
      </c>
      <c r="C25" s="5" t="s">
        <v>694</v>
      </c>
      <c r="D25" s="5"/>
      <c r="E25" s="5" t="s">
        <v>1078</v>
      </c>
      <c r="F25" s="5" t="s">
        <v>2260</v>
      </c>
      <c r="G25" s="5" t="s">
        <v>2049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253" t="str">
        <f t="shared" si="0"/>
        <v>_SETTLER_AFRI</v>
      </c>
      <c r="B26" s="9" t="s">
        <v>2260</v>
      </c>
      <c r="C26" s="5" t="s">
        <v>694</v>
      </c>
      <c r="D26" s="5"/>
      <c r="E26" s="5" t="s">
        <v>1078</v>
      </c>
      <c r="F26" s="5" t="s">
        <v>2260</v>
      </c>
      <c r="G26" s="5" t="s">
        <v>2050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253" t="str">
        <f t="shared" si="0"/>
        <v>_SETTLER_AFRI</v>
      </c>
      <c r="B27" s="9" t="s">
        <v>2260</v>
      </c>
      <c r="C27" s="5" t="s">
        <v>694</v>
      </c>
      <c r="D27" s="5"/>
      <c r="E27" s="5" t="s">
        <v>1078</v>
      </c>
      <c r="F27" s="5" t="s">
        <v>2260</v>
      </c>
      <c r="G27" s="5" t="s">
        <v>2051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253" t="str">
        <f t="shared" si="0"/>
        <v>_SETTLER_AFRI</v>
      </c>
      <c r="B28" s="9" t="s">
        <v>2260</v>
      </c>
      <c r="C28" s="5" t="s">
        <v>694</v>
      </c>
      <c r="D28" s="5"/>
      <c r="E28" s="5" t="s">
        <v>1078</v>
      </c>
      <c r="F28" s="5" t="s">
        <v>2260</v>
      </c>
      <c r="G28" s="5" t="s">
        <v>2052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253" t="str">
        <f t="shared" si="0"/>
        <v>_SETTLER_AFRI</v>
      </c>
      <c r="B29" s="9" t="s">
        <v>2260</v>
      </c>
      <c r="C29" s="5" t="s">
        <v>694</v>
      </c>
      <c r="D29" s="5"/>
      <c r="E29" s="5" t="s">
        <v>1078</v>
      </c>
      <c r="F29" s="5" t="s">
        <v>2260</v>
      </c>
      <c r="G29" s="5" t="s">
        <v>2053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253" t="str">
        <f t="shared" si="0"/>
        <v>_SETTLER_AFRI</v>
      </c>
      <c r="B30" s="9" t="s">
        <v>2260</v>
      </c>
      <c r="C30" s="5" t="s">
        <v>694</v>
      </c>
      <c r="D30" s="5"/>
      <c r="E30" s="5" t="s">
        <v>1078</v>
      </c>
      <c r="F30" s="5" t="s">
        <v>2260</v>
      </c>
      <c r="G30" s="5" t="s">
        <v>2054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253" t="str">
        <f t="shared" si="0"/>
        <v>_SETTLER_AFRI</v>
      </c>
      <c r="B31" s="9" t="s">
        <v>2260</v>
      </c>
      <c r="C31" s="5" t="s">
        <v>694</v>
      </c>
      <c r="D31" s="5"/>
      <c r="E31" s="5" t="s">
        <v>1078</v>
      </c>
      <c r="F31" s="5" t="s">
        <v>2260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253" t="str">
        <f t="shared" si="0"/>
        <v>_SETTLER_AMER</v>
      </c>
      <c r="B32" s="9" t="s">
        <v>2260</v>
      </c>
      <c r="C32" s="5" t="s">
        <v>697</v>
      </c>
      <c r="D32" s="5"/>
      <c r="E32" s="5" t="s">
        <v>1078</v>
      </c>
      <c r="F32" s="5" t="s">
        <v>2260</v>
      </c>
      <c r="G32" s="5" t="s">
        <v>2021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253" t="str">
        <f t="shared" si="0"/>
        <v>_SETTLER_AMER</v>
      </c>
      <c r="B33" s="9" t="s">
        <v>2260</v>
      </c>
      <c r="C33" s="5" t="s">
        <v>697</v>
      </c>
      <c r="D33" s="5"/>
      <c r="E33" s="5" t="s">
        <v>1078</v>
      </c>
      <c r="F33" s="5" t="s">
        <v>2260</v>
      </c>
      <c r="G33" s="5" t="s">
        <v>2048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253" t="str">
        <f t="shared" si="0"/>
        <v>_SETTLER_AMER</v>
      </c>
      <c r="B34" s="9" t="s">
        <v>2260</v>
      </c>
      <c r="C34" s="5" t="s">
        <v>697</v>
      </c>
      <c r="D34" s="5"/>
      <c r="E34" s="5" t="s">
        <v>1078</v>
      </c>
      <c r="F34" s="5" t="s">
        <v>2260</v>
      </c>
      <c r="G34" s="5" t="s">
        <v>2049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253" t="str">
        <f t="shared" si="0"/>
        <v>_SETTLER_AMER</v>
      </c>
      <c r="B35" s="9" t="s">
        <v>2260</v>
      </c>
      <c r="C35" s="5" t="s">
        <v>697</v>
      </c>
      <c r="D35" s="5"/>
      <c r="E35" s="5" t="s">
        <v>1078</v>
      </c>
      <c r="F35" s="5" t="s">
        <v>2260</v>
      </c>
      <c r="G35" s="5" t="s">
        <v>2050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253" t="str">
        <f t="shared" si="0"/>
        <v>_SETTLER_AMER</v>
      </c>
      <c r="B36" s="9" t="s">
        <v>2260</v>
      </c>
      <c r="C36" s="5" t="s">
        <v>697</v>
      </c>
      <c r="D36" s="5"/>
      <c r="E36" s="5" t="s">
        <v>1078</v>
      </c>
      <c r="F36" s="5" t="s">
        <v>2260</v>
      </c>
      <c r="G36" s="5" t="s">
        <v>2051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253" t="str">
        <f t="shared" si="0"/>
        <v>_SETTLER_AMER</v>
      </c>
      <c r="B37" s="9" t="s">
        <v>2260</v>
      </c>
      <c r="C37" s="5" t="s">
        <v>697</v>
      </c>
      <c r="D37" s="5"/>
      <c r="E37" s="5" t="s">
        <v>1078</v>
      </c>
      <c r="F37" s="5" t="s">
        <v>2260</v>
      </c>
      <c r="G37" s="5" t="s">
        <v>2052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253" t="str">
        <f t="shared" si="0"/>
        <v>_SETTLER_AMER</v>
      </c>
      <c r="B38" s="9" t="s">
        <v>2260</v>
      </c>
      <c r="C38" s="5" t="s">
        <v>697</v>
      </c>
      <c r="D38" s="5"/>
      <c r="E38" s="5" t="s">
        <v>1078</v>
      </c>
      <c r="F38" s="5" t="s">
        <v>2260</v>
      </c>
      <c r="G38" s="5" t="s">
        <v>2053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253" t="str">
        <f t="shared" si="0"/>
        <v>_SETTLER_AMER</v>
      </c>
      <c r="B39" s="9" t="s">
        <v>2260</v>
      </c>
      <c r="C39" s="5" t="s">
        <v>697</v>
      </c>
      <c r="D39" s="5"/>
      <c r="E39" s="5" t="s">
        <v>1078</v>
      </c>
      <c r="F39" s="5" t="s">
        <v>2260</v>
      </c>
      <c r="G39" s="5" t="s">
        <v>2054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253" t="str">
        <f t="shared" si="0"/>
        <v>_SETTLER_AMER</v>
      </c>
      <c r="B40" s="9" t="s">
        <v>2260</v>
      </c>
      <c r="C40" s="5" t="s">
        <v>697</v>
      </c>
      <c r="D40" s="5"/>
      <c r="E40" s="5" t="s">
        <v>1078</v>
      </c>
      <c r="F40" s="5" t="s">
        <v>2260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253" t="str">
        <f t="shared" si="0"/>
        <v>_SETTLER_ASIA</v>
      </c>
      <c r="B41" s="9" t="s">
        <v>2260</v>
      </c>
      <c r="C41" s="5" t="s">
        <v>693</v>
      </c>
      <c r="D41" s="5"/>
      <c r="E41" s="5" t="s">
        <v>1078</v>
      </c>
      <c r="F41" s="5" t="s">
        <v>2260</v>
      </c>
      <c r="G41" s="5" t="s">
        <v>2047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253" t="str">
        <f t="shared" si="0"/>
        <v>_SETTLER_ASIA</v>
      </c>
      <c r="B42" s="9" t="s">
        <v>2260</v>
      </c>
      <c r="C42" s="5" t="s">
        <v>693</v>
      </c>
      <c r="D42" s="5"/>
      <c r="E42" s="5" t="s">
        <v>1078</v>
      </c>
      <c r="F42" s="5" t="s">
        <v>2260</v>
      </c>
      <c r="G42" s="5" t="s">
        <v>2048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253" t="str">
        <f t="shared" si="0"/>
        <v>_SETTLER_ASIA</v>
      </c>
      <c r="B43" s="9" t="s">
        <v>2260</v>
      </c>
      <c r="C43" s="5" t="s">
        <v>693</v>
      </c>
      <c r="D43" s="5"/>
      <c r="E43" s="5" t="s">
        <v>1078</v>
      </c>
      <c r="F43" s="5" t="s">
        <v>2260</v>
      </c>
      <c r="G43" s="5" t="s">
        <v>2049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253" t="str">
        <f t="shared" si="0"/>
        <v>_SETTLER_ASIA</v>
      </c>
      <c r="B44" s="9" t="s">
        <v>2260</v>
      </c>
      <c r="C44" s="5" t="s">
        <v>693</v>
      </c>
      <c r="D44" s="5"/>
      <c r="E44" s="5" t="s">
        <v>1078</v>
      </c>
      <c r="F44" s="5" t="s">
        <v>2260</v>
      </c>
      <c r="G44" s="5" t="s">
        <v>2050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253" t="str">
        <f t="shared" si="0"/>
        <v>_SETTLER_ASIA</v>
      </c>
      <c r="B45" s="9" t="s">
        <v>2260</v>
      </c>
      <c r="C45" s="5" t="s">
        <v>693</v>
      </c>
      <c r="D45" s="5"/>
      <c r="E45" s="5" t="s">
        <v>1078</v>
      </c>
      <c r="F45" s="5" t="s">
        <v>2260</v>
      </c>
      <c r="G45" s="5" t="s">
        <v>2051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253" t="str">
        <f t="shared" si="0"/>
        <v>_SETTLER_ASIA</v>
      </c>
      <c r="B46" s="9" t="s">
        <v>2260</v>
      </c>
      <c r="C46" s="5" t="s">
        <v>693</v>
      </c>
      <c r="D46" s="5"/>
      <c r="E46" s="5" t="s">
        <v>1078</v>
      </c>
      <c r="F46" s="5" t="s">
        <v>2260</v>
      </c>
      <c r="G46" s="5" t="s">
        <v>2052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253" t="str">
        <f t="shared" si="0"/>
        <v>_SETTLER_ASIA</v>
      </c>
      <c r="B47" s="9" t="s">
        <v>2260</v>
      </c>
      <c r="C47" s="5" t="s">
        <v>693</v>
      </c>
      <c r="D47" s="5"/>
      <c r="E47" s="5" t="s">
        <v>1078</v>
      </c>
      <c r="F47" s="5" t="s">
        <v>2260</v>
      </c>
      <c r="G47" s="5" t="s">
        <v>2053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253" t="str">
        <f t="shared" si="0"/>
        <v>_SETTLER_ASIA</v>
      </c>
      <c r="B48" s="9" t="s">
        <v>2260</v>
      </c>
      <c r="C48" s="5" t="s">
        <v>693</v>
      </c>
      <c r="D48" s="5"/>
      <c r="E48" s="5" t="s">
        <v>1078</v>
      </c>
      <c r="F48" s="5" t="s">
        <v>2260</v>
      </c>
      <c r="G48" s="5" t="s">
        <v>2054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253" t="str">
        <f t="shared" si="0"/>
        <v>_SETTLER_ASIA</v>
      </c>
      <c r="B49" s="9" t="s">
        <v>2260</v>
      </c>
      <c r="C49" s="5" t="s">
        <v>693</v>
      </c>
      <c r="D49" s="5"/>
      <c r="E49" s="5" t="s">
        <v>1078</v>
      </c>
      <c r="F49" s="5" t="s">
        <v>2260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253" t="str">
        <f t="shared" si="0"/>
        <v>_SETTLER_CENTAS</v>
      </c>
      <c r="B50" s="9" t="s">
        <v>2260</v>
      </c>
      <c r="C50" s="4" t="s">
        <v>918</v>
      </c>
      <c r="D50" s="4" t="s">
        <v>694</v>
      </c>
      <c r="E50" s="4" t="s">
        <v>1078</v>
      </c>
      <c r="F50" s="5" t="s">
        <v>2260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253" t="str">
        <f t="shared" si="0"/>
        <v>_SETTLER_MIDEAST</v>
      </c>
      <c r="B51" s="9" t="s">
        <v>2260</v>
      </c>
      <c r="C51" s="4" t="s">
        <v>690</v>
      </c>
      <c r="D51" s="4" t="s">
        <v>694</v>
      </c>
      <c r="E51" s="4" t="s">
        <v>1078</v>
      </c>
      <c r="F51" s="5" t="s">
        <v>2260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253" t="str">
        <f t="shared" si="0"/>
        <v>_SETTLER_NORTHAF</v>
      </c>
      <c r="B52" s="9" t="s">
        <v>2260</v>
      </c>
      <c r="C52" s="4" t="s">
        <v>2014</v>
      </c>
      <c r="D52" s="4" t="s">
        <v>694</v>
      </c>
      <c r="E52" s="4" t="s">
        <v>1078</v>
      </c>
      <c r="F52" s="5" t="s">
        <v>2260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253" t="str">
        <f t="shared" si="0"/>
        <v>_SETTLER_OCEAN</v>
      </c>
      <c r="B53" s="9" t="s">
        <v>2260</v>
      </c>
      <c r="C53" s="4" t="s">
        <v>994</v>
      </c>
      <c r="D53" s="4" t="s">
        <v>697</v>
      </c>
      <c r="E53" s="4" t="s">
        <v>1078</v>
      </c>
      <c r="F53" s="5" t="s">
        <v>2260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253" t="str">
        <f t="shared" si="0"/>
        <v>_SETTLER_SOUTHAM</v>
      </c>
      <c r="B54" s="9" t="s">
        <v>2260</v>
      </c>
      <c r="C54" s="4" t="s">
        <v>691</v>
      </c>
      <c r="D54" s="4" t="s">
        <v>697</v>
      </c>
      <c r="E54" s="4" t="s">
        <v>1078</v>
      </c>
      <c r="F54" s="5" t="s">
        <v>2260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253" t="str">
        <f t="shared" si="0"/>
        <v>_SETTLER_SOUTHAS</v>
      </c>
      <c r="B55" s="9" t="s">
        <v>2260</v>
      </c>
      <c r="C55" s="4" t="s">
        <v>695</v>
      </c>
      <c r="D55" s="4" t="s">
        <v>693</v>
      </c>
      <c r="E55" s="4" t="s">
        <v>1078</v>
      </c>
      <c r="F55" s="5" t="s">
        <v>2260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253" t="str">
        <f t="shared" si="0"/>
        <v>_SETTLER_SEASIA</v>
      </c>
      <c r="B56" s="9" t="s">
        <v>2260</v>
      </c>
      <c r="C56" s="4" t="s">
        <v>696</v>
      </c>
      <c r="D56" s="4" t="s">
        <v>693</v>
      </c>
      <c r="E56" s="4" t="s">
        <v>1078</v>
      </c>
      <c r="F56" s="5" t="s">
        <v>2260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253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2055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253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2057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253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253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2055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253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2057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253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1945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253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2055</v>
      </c>
      <c r="H63" s="4" t="s">
        <v>861</v>
      </c>
      <c r="I63" s="4" t="s">
        <v>1945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253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2057</v>
      </c>
      <c r="H64" s="4" t="s">
        <v>860</v>
      </c>
      <c r="I64" s="4" t="s">
        <v>1945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253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2056</v>
      </c>
      <c r="H65" s="4" t="s">
        <v>682</v>
      </c>
      <c r="I65" s="4" t="s">
        <v>1945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253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1945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253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2055</v>
      </c>
      <c r="H67" s="4" t="s">
        <v>861</v>
      </c>
      <c r="I67" s="4" t="s">
        <v>1945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253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2057</v>
      </c>
      <c r="H68" s="4" t="s">
        <v>860</v>
      </c>
      <c r="I68" s="4" t="s">
        <v>1945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253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2056</v>
      </c>
      <c r="H69" s="4" t="s">
        <v>682</v>
      </c>
      <c r="I69" s="4" t="s">
        <v>1945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253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253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2055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253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253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2055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253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253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253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253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2055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253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253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2055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253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253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2055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253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253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2055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253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253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2055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253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253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2055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253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253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253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2055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253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253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2055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253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253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2055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253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253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2055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253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253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2055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253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253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2055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253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253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2055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253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253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2055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253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2057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253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2056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253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253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2055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253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2057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253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2056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253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253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2055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253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253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2055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253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2057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253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253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2055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253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253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2055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253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253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253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253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253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253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2055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253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253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2055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253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253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2205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253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253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253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253" t="str">
        <f>CONCATENATE(E133,IF(ISBLANK(C133),"",CONCATENATE("_",C133)))</f>
        <v>_WARRIOR_NORTHAF</v>
      </c>
      <c r="B133" s="9" t="s">
        <v>787</v>
      </c>
      <c r="C133" s="4" t="s">
        <v>2014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253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253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2055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253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253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2055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253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2</v>
      </c>
      <c r="S138" s="4"/>
      <c r="T138" s="11"/>
      <c r="U138" s="11">
        <v>1.5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253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253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253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253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253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2055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253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2057</v>
      </c>
      <c r="H144" s="4" t="s">
        <v>417</v>
      </c>
      <c r="I144" s="4" t="s">
        <v>2111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253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253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2055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253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2057</v>
      </c>
      <c r="H147" s="4" t="s">
        <v>417</v>
      </c>
      <c r="I147" s="4" t="s">
        <v>2111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253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253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2055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253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2057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253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253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2055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253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2057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253" t="str">
        <f t="shared" si="2"/>
        <v>_WORKER</v>
      </c>
      <c r="B154" s="9" t="s">
        <v>2090</v>
      </c>
      <c r="C154" s="5"/>
      <c r="D154" s="5"/>
      <c r="E154" s="5" t="s">
        <v>1316</v>
      </c>
      <c r="F154" s="5" t="s">
        <v>2090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253" t="str">
        <f t="shared" si="2"/>
        <v>_WORKER_ASIA</v>
      </c>
      <c r="B155" s="9" t="s">
        <v>2090</v>
      </c>
      <c r="C155" s="5" t="s">
        <v>693</v>
      </c>
      <c r="D155" s="5"/>
      <c r="E155" s="5" t="s">
        <v>1316</v>
      </c>
      <c r="F155" s="5" t="s">
        <v>2090</v>
      </c>
      <c r="G155" s="5"/>
      <c r="H155" s="5" t="s">
        <v>2110</v>
      </c>
      <c r="I155" s="5"/>
      <c r="J155" s="6">
        <v>1</v>
      </c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253" t="str">
        <f t="shared" si="2"/>
        <v>_WORKER_SOUTHAM</v>
      </c>
      <c r="B156" s="9" t="s">
        <v>2090</v>
      </c>
      <c r="C156" s="5" t="s">
        <v>691</v>
      </c>
      <c r="D156" s="5"/>
      <c r="E156" s="5" t="s">
        <v>1316</v>
      </c>
      <c r="F156" s="5" t="s">
        <v>2090</v>
      </c>
      <c r="G156" s="5"/>
      <c r="H156" s="5" t="s">
        <v>2091</v>
      </c>
      <c r="I156" s="5" t="s">
        <v>963</v>
      </c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253" t="str">
        <f t="shared" si="2"/>
        <v>_WORKER_OCEAN</v>
      </c>
      <c r="B157" s="9" t="s">
        <v>2090</v>
      </c>
      <c r="C157" s="5" t="s">
        <v>994</v>
      </c>
      <c r="D157" s="5"/>
      <c r="E157" s="5" t="s">
        <v>1316</v>
      </c>
      <c r="F157" s="5" t="s">
        <v>2090</v>
      </c>
      <c r="G157" s="5"/>
      <c r="H157" s="5"/>
      <c r="I157" s="5"/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253" t="str">
        <f t="shared" si="2"/>
        <v>_WORKER_LATE</v>
      </c>
      <c r="B158" s="9" t="s">
        <v>2090</v>
      </c>
      <c r="C158" s="5"/>
      <c r="D158" s="5"/>
      <c r="E158" s="5" t="s">
        <v>1317</v>
      </c>
      <c r="F158" s="5" t="s">
        <v>2093</v>
      </c>
      <c r="G158" s="5"/>
      <c r="H158" s="5" t="s">
        <v>1541</v>
      </c>
      <c r="I158" s="5" t="s">
        <v>128</v>
      </c>
      <c r="J158" s="6"/>
      <c r="K158" s="6"/>
      <c r="L158" s="5" t="s">
        <v>1708</v>
      </c>
      <c r="M158" s="8"/>
      <c r="N158" s="5"/>
      <c r="O158" s="5"/>
      <c r="P158" s="5"/>
      <c r="Q158" s="7">
        <v>8</v>
      </c>
      <c r="R158" s="7" t="s">
        <v>1737</v>
      </c>
      <c r="S158" s="5" t="s">
        <v>1610</v>
      </c>
      <c r="T158" s="6"/>
      <c r="U158" s="7" t="s">
        <v>1737</v>
      </c>
      <c r="V158" s="5"/>
      <c r="W158" s="7" t="s">
        <v>3</v>
      </c>
      <c r="X158" s="6" t="s">
        <v>3</v>
      </c>
      <c r="Y158" s="5"/>
      <c r="Z158" s="7">
        <v>1</v>
      </c>
      <c r="AA158" s="6"/>
      <c r="AB158" s="5"/>
      <c r="AC158" s="6"/>
      <c r="AD158" s="6" t="s">
        <v>3</v>
      </c>
      <c r="AE158" s="5"/>
      <c r="AF158" s="6"/>
      <c r="AG158" s="6"/>
      <c r="AH158" s="5"/>
      <c r="AI158" s="7">
        <v>5</v>
      </c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253" t="str">
        <f>CONCATENATE(E159,IF(ISBLANK(C159),"",CONCATENATE("_",C159)))</f>
        <v>_WORKER_LATE_NETHERLANDS</v>
      </c>
      <c r="B159" s="9" t="s">
        <v>2090</v>
      </c>
      <c r="C159" s="5" t="s">
        <v>730</v>
      </c>
      <c r="D159" s="5"/>
      <c r="E159" s="5" t="s">
        <v>1317</v>
      </c>
      <c r="F159" s="5" t="s">
        <v>2093</v>
      </c>
      <c r="G159" s="5"/>
      <c r="H159" s="5" t="s">
        <v>2092</v>
      </c>
      <c r="I159" s="5" t="s">
        <v>835</v>
      </c>
      <c r="J159" s="6"/>
      <c r="K159" s="6"/>
      <c r="L159" s="5"/>
      <c r="M159" s="8"/>
      <c r="N159" s="5"/>
      <c r="O159" s="5"/>
      <c r="P159" s="5"/>
      <c r="Q159" s="7"/>
      <c r="R159" s="7"/>
      <c r="S159" s="5"/>
      <c r="T159" s="6"/>
      <c r="U159" s="7"/>
      <c r="V159" s="5"/>
      <c r="W159" s="7"/>
      <c r="X159" s="6"/>
      <c r="Y159" s="5"/>
      <c r="Z159" s="7"/>
      <c r="AA159" s="6"/>
      <c r="AB159" s="5"/>
      <c r="AC159" s="6"/>
      <c r="AD159" s="6"/>
      <c r="AE159" s="5"/>
      <c r="AF159" s="6"/>
      <c r="AG159" s="6"/>
      <c r="AH159" s="5"/>
      <c r="AI159" s="7"/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253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253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253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253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2048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253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2049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253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2055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253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2057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253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253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2055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253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2057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253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253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253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2055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253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253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2055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253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253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2055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253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1970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253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1938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253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253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253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253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253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2111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253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2055</v>
      </c>
      <c r="H184" s="4" t="s">
        <v>526</v>
      </c>
      <c r="I184" s="4" t="s">
        <v>2111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253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2111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253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2055</v>
      </c>
      <c r="H186" s="4" t="s">
        <v>526</v>
      </c>
      <c r="I186" s="4" t="s">
        <v>2111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253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2111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253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2055</v>
      </c>
      <c r="H188" s="4" t="s">
        <v>526</v>
      </c>
      <c r="I188" s="4" t="s">
        <v>2111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253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2111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253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2111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253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253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253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253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253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2111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253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253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253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253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253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2111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253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2111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253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253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253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253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253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253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253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253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253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253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253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253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2243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253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2244</v>
      </c>
      <c r="I214" s="4" t="s">
        <v>2245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253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2058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253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2059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253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253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2060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253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2061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253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2062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253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253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253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253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2055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253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2057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253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253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2055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253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2057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253" t="str">
        <f t="shared" si="3"/>
        <v>BARBARIAN_BRUTE</v>
      </c>
      <c r="B229" s="9" t="s">
        <v>2337</v>
      </c>
      <c r="C229" s="5"/>
      <c r="D229" s="5"/>
      <c r="E229" s="5" t="s">
        <v>2128</v>
      </c>
      <c r="F229" s="5" t="s">
        <v>2128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253" t="str">
        <f t="shared" si="3"/>
        <v>BARBARIAN_BRUTE</v>
      </c>
      <c r="B230" s="9" t="s">
        <v>2337</v>
      </c>
      <c r="C230" s="5"/>
      <c r="D230" s="5"/>
      <c r="E230" s="5" t="s">
        <v>2128</v>
      </c>
      <c r="F230" s="5" t="s">
        <v>2128</v>
      </c>
      <c r="G230" s="5" t="s">
        <v>2055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253" t="str">
        <f t="shared" si="3"/>
        <v>BARBARIAN_BRUTE</v>
      </c>
      <c r="B231" s="9" t="s">
        <v>2337</v>
      </c>
      <c r="C231" s="5"/>
      <c r="D231" s="5"/>
      <c r="E231" s="5" t="s">
        <v>2128</v>
      </c>
      <c r="F231" s="5" t="s">
        <v>2128</v>
      </c>
      <c r="G231" s="5" t="s">
        <v>2057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253" t="str">
        <f t="shared" si="3"/>
        <v>BARBARIAN_BRUTE</v>
      </c>
      <c r="B232" s="9" t="s">
        <v>2337</v>
      </c>
      <c r="C232" s="5"/>
      <c r="D232" s="5"/>
      <c r="E232" s="5" t="s">
        <v>2128</v>
      </c>
      <c r="F232" s="5" t="s">
        <v>2128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253" t="str">
        <f t="shared" si="3"/>
        <v>BARBARIAN_BRUTE</v>
      </c>
      <c r="B233" s="9" t="s">
        <v>2337</v>
      </c>
      <c r="C233" s="5"/>
      <c r="D233" s="5"/>
      <c r="E233" s="5" t="s">
        <v>2128</v>
      </c>
      <c r="F233" s="5" t="s">
        <v>2128</v>
      </c>
      <c r="G233" s="5" t="s">
        <v>2055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253" t="str">
        <f t="shared" si="3"/>
        <v>BARBARIAN_BRUTE</v>
      </c>
      <c r="B234" s="9" t="s">
        <v>2337</v>
      </c>
      <c r="C234" s="5"/>
      <c r="D234" s="5"/>
      <c r="E234" s="5" t="s">
        <v>2128</v>
      </c>
      <c r="F234" s="5" t="s">
        <v>2128</v>
      </c>
      <c r="G234" s="5" t="s">
        <v>2057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253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253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253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2055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253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2057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253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253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2055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253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2057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253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253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2055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253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2057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253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253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2055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253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2057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253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253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253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253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253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253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253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253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253" t="str">
        <f t="shared" si="4"/>
        <v>BATTLESHIP_CANADA</v>
      </c>
      <c r="B256" s="9" t="s">
        <v>126</v>
      </c>
      <c r="C256" s="4" t="s">
        <v>2231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253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253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253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253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253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253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253" t="str">
        <f t="shared" si="4"/>
        <v>BAZOOKA_INFANTRY</v>
      </c>
      <c r="B263" s="9" t="s">
        <v>2338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253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253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253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/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253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/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253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253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/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253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/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253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/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253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253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/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253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253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/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253" t="str">
        <f t="shared" si="4"/>
        <v>BOMBER_CANADA</v>
      </c>
      <c r="B276" s="9" t="s">
        <v>118</v>
      </c>
      <c r="C276" s="4" t="s">
        <v>2231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253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253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/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253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/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253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/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253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/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253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/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253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/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253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/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253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/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253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/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253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253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253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253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253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 t="s">
        <v>1695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253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2048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 t="s">
        <v>1695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253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2049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 t="s">
        <v>1695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253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253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253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2127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8.5000000000000006E-2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253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253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253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2048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253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2049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253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253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253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0.08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253" t="str">
        <f>CONCATENATE(E304,IF(ISBLANK(C304),"",CONCATENATE("_",C304)))</f>
        <v>CARGO_SHIP_RENAISSANCE_POSTMODERN</v>
      </c>
      <c r="B304" s="9"/>
      <c r="C304" s="5"/>
      <c r="D304" s="5"/>
      <c r="E304" s="5" t="s">
        <v>2415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0.08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253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 t="s">
        <v>1737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253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1984</v>
      </c>
      <c r="I306" s="5" t="s">
        <v>1987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253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253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1980</v>
      </c>
      <c r="I308" s="5" t="s">
        <v>1987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253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1981</v>
      </c>
      <c r="I309" s="5" t="s">
        <v>1987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253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1982</v>
      </c>
      <c r="I310" s="5" t="s">
        <v>1987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253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1959</v>
      </c>
      <c r="I311" s="5" t="s">
        <v>1960</v>
      </c>
      <c r="J311" s="6">
        <v>1</v>
      </c>
      <c r="K311" s="7"/>
      <c r="L311" s="13"/>
      <c r="M311" s="8"/>
      <c r="N311" s="13"/>
      <c r="O311" s="13"/>
      <c r="P311" s="13"/>
      <c r="Q311" s="7"/>
      <c r="R311" s="6"/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253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253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253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253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2073</v>
      </c>
      <c r="I315" s="5" t="s">
        <v>1987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253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1986</v>
      </c>
      <c r="I316" s="5" t="s">
        <v>1987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253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253" t="str">
        <f t="shared" si="5"/>
        <v>CARGO_SHIP_RENAISSANCE_NORTHAF</v>
      </c>
      <c r="B318" s="9" t="s">
        <v>1322</v>
      </c>
      <c r="C318" s="5" t="s">
        <v>2014</v>
      </c>
      <c r="D318" s="5"/>
      <c r="E318" s="5" t="s">
        <v>1324</v>
      </c>
      <c r="F318" s="5" t="s">
        <v>1326</v>
      </c>
      <c r="G318" s="5"/>
      <c r="H318" s="5" t="s">
        <v>1983</v>
      </c>
      <c r="I318" s="5" t="s">
        <v>1987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253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1985</v>
      </c>
      <c r="I319" s="5" t="s">
        <v>1987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253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253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253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253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1939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253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253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253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253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253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253" t="str">
        <f t="shared" si="4"/>
        <v>CARRIER_CANADA</v>
      </c>
      <c r="B329" s="9" t="s">
        <v>117</v>
      </c>
      <c r="C329" s="4" t="s">
        <v>2231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253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253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253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253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253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253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253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253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253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253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253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253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253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259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253" t="str">
        <f t="shared" si="4"/>
        <v>CAVALRY_NORTHAF</v>
      </c>
      <c r="B343" s="9" t="s">
        <v>751</v>
      </c>
      <c r="C343" s="4" t="s">
        <v>2014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259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253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253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1966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253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253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2055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253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253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2133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253" t="str">
        <f t="shared" si="4"/>
        <v>CHARIOT_ARCHER_NORTHAF</v>
      </c>
      <c r="B350" s="9" t="s">
        <v>752</v>
      </c>
      <c r="C350" s="4" t="s">
        <v>2014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253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253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253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1969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253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1938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253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253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253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253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253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2111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253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2111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253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2111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253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253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253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253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253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253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2111</v>
      </c>
      <c r="Z367" s="9"/>
    </row>
    <row r="368" spans="1:43" x14ac:dyDescent="0.25">
      <c r="A368" s="253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253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253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253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2111</v>
      </c>
      <c r="Z371" s="9"/>
    </row>
    <row r="372" spans="1:26" x14ac:dyDescent="0.25">
      <c r="A372" s="253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253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2111</v>
      </c>
      <c r="Z373" s="9"/>
    </row>
    <row r="374" spans="1:26" x14ac:dyDescent="0.25">
      <c r="A374" s="253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253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253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253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253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253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2111</v>
      </c>
      <c r="Z379" s="9"/>
    </row>
    <row r="380" spans="1:26" x14ac:dyDescent="0.25">
      <c r="A380" s="253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253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2111</v>
      </c>
      <c r="Z381" s="9"/>
    </row>
    <row r="382" spans="1:26" x14ac:dyDescent="0.25">
      <c r="A382" s="253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2111</v>
      </c>
      <c r="Z382" s="9"/>
    </row>
    <row r="383" spans="1:26" x14ac:dyDescent="0.25">
      <c r="A383" s="253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253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253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253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253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253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253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253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2063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253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2055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253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253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2063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253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253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2055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253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2063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253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253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2063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253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2055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253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253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2063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253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253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253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253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253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1965</v>
      </c>
      <c r="I406" s="4" t="s">
        <v>1025</v>
      </c>
      <c r="Z406" s="9"/>
    </row>
    <row r="407" spans="1:43" x14ac:dyDescent="0.25">
      <c r="A407" s="253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1938</v>
      </c>
      <c r="Z407" s="9"/>
      <c r="AF407" s="9"/>
      <c r="AI407" s="9"/>
    </row>
    <row r="408" spans="1:43" x14ac:dyDescent="0.25">
      <c r="A408" s="253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1938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253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2055</v>
      </c>
      <c r="H409" s="4" t="s">
        <v>932</v>
      </c>
      <c r="I409" s="4" t="s">
        <v>1938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253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2057</v>
      </c>
      <c r="H410" s="4" t="s">
        <v>933</v>
      </c>
      <c r="I410" s="4" t="s">
        <v>1938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253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2056</v>
      </c>
      <c r="H411" s="4" t="s">
        <v>461</v>
      </c>
      <c r="I411" s="4" t="s">
        <v>1938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253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1938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253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2055</v>
      </c>
      <c r="H413" s="4" t="s">
        <v>932</v>
      </c>
      <c r="I413" s="4" t="s">
        <v>1938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253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2057</v>
      </c>
      <c r="H414" s="4" t="s">
        <v>933</v>
      </c>
      <c r="I414" s="4" t="s">
        <v>1938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253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2056</v>
      </c>
      <c r="H415" s="4" t="s">
        <v>461</v>
      </c>
      <c r="I415" s="4" t="s">
        <v>1938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253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253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253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253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2111</v>
      </c>
      <c r="Z419" s="9"/>
      <c r="AF419" s="9"/>
      <c r="AI419" s="9"/>
    </row>
    <row r="420" spans="1:35" x14ac:dyDescent="0.25">
      <c r="A420" s="253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2111</v>
      </c>
      <c r="Z420" s="9"/>
      <c r="AF420" s="9"/>
      <c r="AI420" s="9"/>
    </row>
    <row r="421" spans="1:35" x14ac:dyDescent="0.25">
      <c r="A421" s="253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2111</v>
      </c>
      <c r="Z421" s="9"/>
      <c r="AF421" s="9"/>
      <c r="AI421" s="9"/>
    </row>
    <row r="422" spans="1:35" x14ac:dyDescent="0.25">
      <c r="A422" s="253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1944</v>
      </c>
      <c r="Z422" s="9"/>
      <c r="AF422" s="9"/>
      <c r="AI422" s="9"/>
    </row>
    <row r="423" spans="1:35" x14ac:dyDescent="0.25">
      <c r="A423" s="253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253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253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2111</v>
      </c>
      <c r="Z425" s="9"/>
      <c r="AF425" s="9"/>
      <c r="AI425" s="9"/>
    </row>
    <row r="426" spans="1:35" x14ac:dyDescent="0.25">
      <c r="A426" s="253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253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253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253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2111</v>
      </c>
      <c r="Z429" s="9"/>
      <c r="AF429" s="9"/>
      <c r="AI429" s="9"/>
    </row>
    <row r="430" spans="1:35" x14ac:dyDescent="0.25">
      <c r="A430" s="253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253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253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2111</v>
      </c>
      <c r="Z432" s="9"/>
      <c r="AF432" s="9"/>
      <c r="AI432" s="9"/>
    </row>
    <row r="433" spans="1:43" x14ac:dyDescent="0.25">
      <c r="A433" s="253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253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253" t="str">
        <f>CONCATENATE(E435,IF(ISBLANK(C435),"",CONCATENATE("_",C435)))</f>
        <v>CROSSBOWMAN_NORTHAF</v>
      </c>
      <c r="B435" s="9" t="s">
        <v>115</v>
      </c>
      <c r="C435" s="4" t="s">
        <v>2014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253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253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253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253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2111</v>
      </c>
      <c r="Z439" s="9"/>
      <c r="AF439" s="9"/>
      <c r="AI439" s="9"/>
    </row>
    <row r="440" spans="1:43" x14ac:dyDescent="0.25">
      <c r="A440" s="253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253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2111</v>
      </c>
      <c r="Z441" s="9"/>
      <c r="AF441" s="9"/>
      <c r="AI441" s="9"/>
    </row>
    <row r="442" spans="1:43" x14ac:dyDescent="0.25">
      <c r="A442" s="253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2111</v>
      </c>
      <c r="Z442" s="9"/>
      <c r="AF442" s="9"/>
      <c r="AI442" s="9"/>
    </row>
    <row r="443" spans="1:43" x14ac:dyDescent="0.25">
      <c r="A443" s="253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253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253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253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253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253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253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253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253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253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253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253" t="str">
        <f t="shared" si="7"/>
        <v>DESTROYER_CANADA</v>
      </c>
      <c r="B454" s="9" t="s">
        <v>114</v>
      </c>
      <c r="C454" s="4" t="s">
        <v>2231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253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253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253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253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253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253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253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253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253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253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253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253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253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2048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253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2049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253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253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253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253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253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259"/>
    </row>
    <row r="474" spans="1:43" x14ac:dyDescent="0.25">
      <c r="A474" s="253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253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253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253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253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253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2262</v>
      </c>
      <c r="I479" s="4" t="s">
        <v>120</v>
      </c>
    </row>
    <row r="480" spans="1:43" x14ac:dyDescent="0.25">
      <c r="A480" s="253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253" t="str">
        <f t="shared" si="7"/>
        <v>FIGHTER_CANADA</v>
      </c>
      <c r="B481" s="9" t="s">
        <v>113</v>
      </c>
      <c r="C481" s="4" t="s">
        <v>2231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253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253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253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253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253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253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253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253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253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253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253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253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253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253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253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253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253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253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253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253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253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253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0.1</v>
      </c>
    </row>
    <row r="504" spans="1:43" x14ac:dyDescent="0.25">
      <c r="A504" s="253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259"/>
    </row>
    <row r="505" spans="1:43" x14ac:dyDescent="0.25">
      <c r="A505" s="253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253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  <c r="U506" s="11">
        <v>0.1</v>
      </c>
    </row>
    <row r="507" spans="1:43" x14ac:dyDescent="0.25">
      <c r="A507" s="253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  <c r="U507" s="11">
        <v>0.1</v>
      </c>
    </row>
    <row r="508" spans="1:43" x14ac:dyDescent="0.25">
      <c r="A508" s="253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  <c r="U508" s="11">
        <v>0.1</v>
      </c>
    </row>
    <row r="509" spans="1:43" x14ac:dyDescent="0.25">
      <c r="A509" s="253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  <c r="U509" s="11">
        <v>0.1</v>
      </c>
    </row>
    <row r="510" spans="1:43" x14ac:dyDescent="0.25">
      <c r="A510" s="253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  <c r="U510" s="11">
        <v>0.1</v>
      </c>
    </row>
    <row r="511" spans="1:43" x14ac:dyDescent="0.25">
      <c r="A511" s="253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  <c r="U511" s="11">
        <v>0.1</v>
      </c>
    </row>
    <row r="512" spans="1:43" x14ac:dyDescent="0.25">
      <c r="A512" s="253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  <c r="U512" s="11">
        <v>0.1</v>
      </c>
    </row>
    <row r="513" spans="1:43" x14ac:dyDescent="0.25">
      <c r="A513" s="253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  <c r="U513" s="11">
        <v>0.1</v>
      </c>
    </row>
    <row r="514" spans="1:43" x14ac:dyDescent="0.25">
      <c r="A514" s="253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  <c r="U514" s="11">
        <v>0.1</v>
      </c>
    </row>
    <row r="515" spans="1:43" x14ac:dyDescent="0.25">
      <c r="A515" s="253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253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253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  <c r="U517" s="11">
        <v>0.1</v>
      </c>
    </row>
    <row r="518" spans="1:43" x14ac:dyDescent="0.25">
      <c r="A518" s="253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  <c r="U518" s="11">
        <v>0.1</v>
      </c>
    </row>
    <row r="519" spans="1:43" x14ac:dyDescent="0.25">
      <c r="A519" s="253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253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253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253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253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253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253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U525" s="11">
        <v>0.1</v>
      </c>
    </row>
    <row r="526" spans="1:43" x14ac:dyDescent="0.25">
      <c r="A526" s="253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253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253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259"/>
      <c r="R528" s="11">
        <v>5.5E-2</v>
      </c>
      <c r="U528" s="11">
        <v>5.5E-2</v>
      </c>
    </row>
    <row r="529" spans="1:43" x14ac:dyDescent="0.25">
      <c r="A529" s="253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259"/>
      <c r="R529" s="11">
        <v>0.04</v>
      </c>
      <c r="U529" s="11">
        <v>0.04</v>
      </c>
    </row>
    <row r="530" spans="1:43" x14ac:dyDescent="0.25">
      <c r="A530" s="253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253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253" t="str">
        <f t="shared" si="8"/>
        <v>GENERAL</v>
      </c>
      <c r="B532" s="9" t="s">
        <v>2340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253" t="str">
        <f t="shared" si="8"/>
        <v>GENERAL_ROME</v>
      </c>
      <c r="B533" s="9" t="s">
        <v>2340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2019</v>
      </c>
      <c r="I533" s="5" t="s">
        <v>1974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253" t="str">
        <f t="shared" si="8"/>
        <v>GENERAL_KHAN</v>
      </c>
      <c r="B534" s="9" t="s">
        <v>2404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253" t="str">
        <f t="shared" si="8"/>
        <v>GENERAL_LATE</v>
      </c>
      <c r="B535" s="9" t="s">
        <v>2340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253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 t="s">
        <v>1695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253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253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253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2048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253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2049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253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253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2048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253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2049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253" t="str">
        <f t="shared" si="8"/>
        <v>GREAT_MUSICIAN</v>
      </c>
      <c r="B544" s="9" t="s">
        <v>2341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253" t="str">
        <f t="shared" si="8"/>
        <v>GREAT_MUSICIAN</v>
      </c>
      <c r="B545" s="9" t="s">
        <v>2341</v>
      </c>
      <c r="C545" s="5"/>
      <c r="D545" s="5"/>
      <c r="E545" s="5" t="s">
        <v>1351</v>
      </c>
      <c r="F545" s="5" t="s">
        <v>1351</v>
      </c>
      <c r="G545" s="5" t="s">
        <v>2048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253" t="str">
        <f t="shared" si="8"/>
        <v>GREAT_MUSICIAN</v>
      </c>
      <c r="B546" s="9" t="s">
        <v>2341</v>
      </c>
      <c r="C546" s="5"/>
      <c r="D546" s="5"/>
      <c r="E546" s="5" t="s">
        <v>1351</v>
      </c>
      <c r="F546" s="5" t="s">
        <v>1351</v>
      </c>
      <c r="G546" s="5" t="s">
        <v>2049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253" t="str">
        <f t="shared" si="8"/>
        <v>GREAT_MUSICIAN_POSTMODERN</v>
      </c>
      <c r="B547" s="9" t="s">
        <v>2341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 t="s">
        <v>1695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253" t="str">
        <f t="shared" si="8"/>
        <v>GREAT_MUSICIAN_POSTMODERN</v>
      </c>
      <c r="B548" s="9" t="s">
        <v>2341</v>
      </c>
      <c r="C548" s="5"/>
      <c r="D548" s="5"/>
      <c r="E548" s="5" t="s">
        <v>1352</v>
      </c>
      <c r="F548" s="5" t="s">
        <v>1356</v>
      </c>
      <c r="G548" s="5" t="s">
        <v>2048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 t="s">
        <v>1695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253" t="str">
        <f t="shared" si="8"/>
        <v>GREAT_MUSICIAN_POSTMODERN</v>
      </c>
      <c r="B549" s="9" t="s">
        <v>2341</v>
      </c>
      <c r="C549" s="5"/>
      <c r="D549" s="5"/>
      <c r="E549" s="5" t="s">
        <v>1352</v>
      </c>
      <c r="F549" s="5" t="s">
        <v>1356</v>
      </c>
      <c r="G549" s="5" t="s">
        <v>2049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 t="s">
        <v>1695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253" t="str">
        <f t="shared" si="8"/>
        <v>GREAT_PROPHET</v>
      </c>
      <c r="B550" s="9" t="s">
        <v>2342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253" t="str">
        <f t="shared" si="8"/>
        <v>GREAT_PROPHET</v>
      </c>
      <c r="B551" s="9" t="s">
        <v>2342</v>
      </c>
      <c r="C551" s="5"/>
      <c r="D551" s="5"/>
      <c r="E551" s="5" t="s">
        <v>756</v>
      </c>
      <c r="F551" s="5" t="s">
        <v>756</v>
      </c>
      <c r="G551" s="5" t="s">
        <v>2064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253" t="str">
        <f t="shared" si="8"/>
        <v>GREAT_PROPHET</v>
      </c>
      <c r="B552" s="9" t="s">
        <v>2342</v>
      </c>
      <c r="C552" s="5"/>
      <c r="D552" s="5"/>
      <c r="E552" s="5" t="s">
        <v>756</v>
      </c>
      <c r="F552" s="5" t="s">
        <v>756</v>
      </c>
      <c r="G552" s="5" t="s">
        <v>2065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253" t="str">
        <f>CONCATENATE(E553,IF(ISBLANK(C553),"",CONCATENATE("_",C553)))</f>
        <v>GREAT_PROPHET_RENAISSANCE</v>
      </c>
      <c r="B553" s="9" t="s">
        <v>2342</v>
      </c>
      <c r="C553" s="5"/>
      <c r="D553" s="5"/>
      <c r="E553" s="5" t="s">
        <v>2141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253" t="str">
        <f>CONCATENATE(E554,IF(ISBLANK(C554),"",CONCATENATE("_",C554)))</f>
        <v>GREAT_PROPHET_RENAISSANCE</v>
      </c>
      <c r="B554" s="9" t="s">
        <v>2342</v>
      </c>
      <c r="C554" s="5"/>
      <c r="D554" s="5"/>
      <c r="E554" s="5" t="s">
        <v>2141</v>
      </c>
      <c r="F554" s="5" t="s">
        <v>756</v>
      </c>
      <c r="G554" s="5" t="s">
        <v>2064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253" t="str">
        <f>CONCATENATE(E555,IF(ISBLANK(C555),"",CONCATENATE("_",C555)))</f>
        <v>GREAT_PROPHET_RENAISSANCE</v>
      </c>
      <c r="B555" s="9" t="s">
        <v>2342</v>
      </c>
      <c r="C555" s="5"/>
      <c r="D555" s="5"/>
      <c r="E555" s="5" t="s">
        <v>2141</v>
      </c>
      <c r="F555" s="5" t="s">
        <v>756</v>
      </c>
      <c r="G555" s="5" t="s">
        <v>2065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253" t="str">
        <f t="shared" si="8"/>
        <v>GREAT_WRITER</v>
      </c>
      <c r="B556" s="9" t="s">
        <v>2343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253" t="str">
        <f t="shared" si="8"/>
        <v>GREAT_WRITER</v>
      </c>
      <c r="B557" s="9" t="s">
        <v>2343</v>
      </c>
      <c r="C557" s="5"/>
      <c r="D557" s="5"/>
      <c r="E557" s="5" t="s">
        <v>1353</v>
      </c>
      <c r="F557" s="5" t="s">
        <v>1353</v>
      </c>
      <c r="G557" s="5" t="s">
        <v>2048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253" t="str">
        <f t="shared" si="8"/>
        <v>GREAT_WRITER</v>
      </c>
      <c r="B558" s="9" t="s">
        <v>2343</v>
      </c>
      <c r="C558" s="5"/>
      <c r="D558" s="5"/>
      <c r="E558" s="5" t="s">
        <v>1353</v>
      </c>
      <c r="F558" s="5" t="s">
        <v>1353</v>
      </c>
      <c r="G558" s="5" t="s">
        <v>2049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253" t="str">
        <f t="shared" si="8"/>
        <v>GREAT_WRITER_POSTMODERN</v>
      </c>
      <c r="B559" s="9" t="s">
        <v>2343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 t="s">
        <v>1695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253" t="str">
        <f t="shared" si="8"/>
        <v>GREAT_WRITER_POSTMODERN</v>
      </c>
      <c r="B560" s="9" t="s">
        <v>2343</v>
      </c>
      <c r="C560" s="5"/>
      <c r="D560" s="5"/>
      <c r="E560" s="5" t="s">
        <v>1354</v>
      </c>
      <c r="F560" s="5" t="s">
        <v>1357</v>
      </c>
      <c r="G560" s="5" t="s">
        <v>2048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 t="s">
        <v>1695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253" t="str">
        <f t="shared" si="8"/>
        <v>GREAT_WRITER_POSTMODERN</v>
      </c>
      <c r="B561" s="9" t="s">
        <v>2343</v>
      </c>
      <c r="C561" s="5"/>
      <c r="D561" s="5"/>
      <c r="E561" s="5" t="s">
        <v>1354</v>
      </c>
      <c r="F561" s="5" t="s">
        <v>1357</v>
      </c>
      <c r="G561" s="5" t="s">
        <v>2049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 t="s">
        <v>1695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253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253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253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253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253" t="str">
        <f t="shared" si="9"/>
        <v>HAND_AXE_BARBARIAN</v>
      </c>
      <c r="B566" s="9" t="s">
        <v>2345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253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253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253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253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253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253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253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253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1948</v>
      </c>
      <c r="I574" s="4" t="s">
        <v>120</v>
      </c>
    </row>
    <row r="575" spans="1:43" x14ac:dyDescent="0.25">
      <c r="A575" s="253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253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1949</v>
      </c>
      <c r="I576" s="4" t="s">
        <v>120</v>
      </c>
    </row>
    <row r="577" spans="1:9" x14ac:dyDescent="0.25">
      <c r="A577" s="253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253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253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253" t="str">
        <f t="shared" si="9"/>
        <v>HELICOPTER_GUNSHIP_CANADA</v>
      </c>
      <c r="B580" s="9" t="s">
        <v>758</v>
      </c>
      <c r="C580" s="4" t="s">
        <v>2231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253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253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253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253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253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253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253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253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253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253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253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253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253" t="str">
        <f>CONCATENATE(E593,IF(ISBLANK(C593),"",CONCATENATE("_",C593)))</f>
        <v>HELICOPTER_GUNSHIP_NORTHAF</v>
      </c>
      <c r="B593" s="9" t="s">
        <v>758</v>
      </c>
      <c r="C593" s="4" t="s">
        <v>2014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253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253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253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253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253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253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253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253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253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2055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253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253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2055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253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253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1971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253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2055</v>
      </c>
      <c r="H607" s="4" t="s">
        <v>1989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253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1971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253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2055</v>
      </c>
      <c r="H609" s="4" t="s">
        <v>1989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253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1938</v>
      </c>
    </row>
    <row r="611" spans="1:32" x14ac:dyDescent="0.25">
      <c r="A611" s="253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1938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253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2055</v>
      </c>
      <c r="H612" s="4" t="s">
        <v>935</v>
      </c>
      <c r="I612" s="4" t="s">
        <v>1938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253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2057</v>
      </c>
      <c r="H613" s="4" t="s">
        <v>936</v>
      </c>
      <c r="I613" s="4" t="s">
        <v>1938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253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2056</v>
      </c>
      <c r="H614" s="4" t="s">
        <v>937</v>
      </c>
      <c r="I614" s="4" t="s">
        <v>1938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253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2066</v>
      </c>
      <c r="H615" s="4" t="s">
        <v>462</v>
      </c>
      <c r="I615" s="4" t="s">
        <v>1938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253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253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253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253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253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2111</v>
      </c>
    </row>
    <row r="621" spans="1:32" x14ac:dyDescent="0.25">
      <c r="A621" s="253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253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2111</v>
      </c>
    </row>
    <row r="623" spans="1:32" x14ac:dyDescent="0.25">
      <c r="A623" s="253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2111</v>
      </c>
    </row>
    <row r="624" spans="1:32" x14ac:dyDescent="0.25">
      <c r="A624" s="253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2111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253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2055</v>
      </c>
      <c r="H625" s="4" t="s">
        <v>613</v>
      </c>
      <c r="I625" s="4" t="s">
        <v>2111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253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2111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253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2055</v>
      </c>
      <c r="H627" s="4" t="s">
        <v>613</v>
      </c>
      <c r="I627" s="4" t="s">
        <v>2111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253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253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253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253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253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253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2055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253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253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2055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253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2111</v>
      </c>
    </row>
    <row r="637" spans="1:32" x14ac:dyDescent="0.25">
      <c r="A637" s="253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2111</v>
      </c>
    </row>
    <row r="638" spans="1:32" x14ac:dyDescent="0.25">
      <c r="A638" s="253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253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253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2111</v>
      </c>
    </row>
    <row r="641" spans="1:43" x14ac:dyDescent="0.25">
      <c r="A641" s="253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253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253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253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253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253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2111</v>
      </c>
    </row>
    <row r="647" spans="1:43" x14ac:dyDescent="0.25">
      <c r="A647" s="253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2111</v>
      </c>
    </row>
    <row r="648" spans="1:43" x14ac:dyDescent="0.25">
      <c r="A648" s="253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2111</v>
      </c>
    </row>
    <row r="649" spans="1:43" x14ac:dyDescent="0.25">
      <c r="A649" s="253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253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253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253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253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2088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253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2089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253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253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253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2048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253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253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2048</v>
      </c>
      <c r="H659" s="4" t="s">
        <v>1793</v>
      </c>
      <c r="I659" s="4" t="s">
        <v>102</v>
      </c>
      <c r="J659" s="11">
        <v>1</v>
      </c>
      <c r="Q659" s="11">
        <v>2</v>
      </c>
      <c r="Z659" s="11">
        <v>0</v>
      </c>
      <c r="AF659" s="11">
        <v>1</v>
      </c>
    </row>
    <row r="660" spans="1:43" x14ac:dyDescent="0.25">
      <c r="A660" s="253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253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253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1.7</v>
      </c>
      <c r="U662" s="11">
        <v>1.3</v>
      </c>
      <c r="Z662" s="9">
        <v>1</v>
      </c>
      <c r="AF662" s="11">
        <v>2</v>
      </c>
    </row>
    <row r="663" spans="1:43" x14ac:dyDescent="0.25">
      <c r="A663" s="253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253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253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2200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253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2048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253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253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2140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253" t="str">
        <f t="shared" si="11"/>
        <v>INQUISITOR_RENAISSANCE</v>
      </c>
      <c r="B669" s="9" t="s">
        <v>759</v>
      </c>
      <c r="C669" s="5"/>
      <c r="D669" s="5"/>
      <c r="E669" s="5" t="s">
        <v>2140</v>
      </c>
      <c r="F669" s="5" t="s">
        <v>759</v>
      </c>
      <c r="G669" s="5" t="s">
        <v>2088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253" t="str">
        <f t="shared" si="11"/>
        <v>INQUISITOR_RENAISSANCE</v>
      </c>
      <c r="B670" s="9" t="s">
        <v>759</v>
      </c>
      <c r="C670" s="5"/>
      <c r="D670" s="5"/>
      <c r="E670" s="5" t="s">
        <v>2140</v>
      </c>
      <c r="F670" s="5" t="s">
        <v>759</v>
      </c>
      <c r="G670" s="5" t="s">
        <v>2089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253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2140</v>
      </c>
      <c r="F671" s="4" t="s">
        <v>759</v>
      </c>
    </row>
    <row r="672" spans="1:43" x14ac:dyDescent="0.25">
      <c r="A672" s="253" t="str">
        <f t="shared" si="11"/>
        <v>INQUISITOR_RENAISSANCE_AMER</v>
      </c>
      <c r="B672" s="9" t="s">
        <v>759</v>
      </c>
      <c r="C672" s="4" t="s">
        <v>697</v>
      </c>
      <c r="E672" s="4" t="s">
        <v>2140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253" t="str">
        <f t="shared" si="11"/>
        <v>INQUISITOR_RENAISSANCE_AMER</v>
      </c>
      <c r="B673" s="9" t="s">
        <v>759</v>
      </c>
      <c r="C673" s="4" t="s">
        <v>697</v>
      </c>
      <c r="E673" s="4" t="s">
        <v>2140</v>
      </c>
      <c r="F673" s="4" t="s">
        <v>759</v>
      </c>
      <c r="G673" s="4" t="s">
        <v>2048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253" t="str">
        <f t="shared" si="11"/>
        <v>INQUISITOR_RENAISSANCE_ASIA</v>
      </c>
      <c r="B674" s="9" t="s">
        <v>759</v>
      </c>
      <c r="C674" s="4" t="s">
        <v>693</v>
      </c>
      <c r="E674" s="4" t="s">
        <v>2140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253" t="str">
        <f t="shared" si="11"/>
        <v>INQUISITOR_RENAISSANCE_ASIA</v>
      </c>
      <c r="B675" s="9" t="s">
        <v>759</v>
      </c>
      <c r="C675" s="4" t="s">
        <v>693</v>
      </c>
      <c r="E675" s="4" t="s">
        <v>2140</v>
      </c>
      <c r="F675" s="4" t="s">
        <v>759</v>
      </c>
      <c r="G675" s="4" t="s">
        <v>2048</v>
      </c>
      <c r="H675" s="4" t="s">
        <v>1793</v>
      </c>
      <c r="I675" s="4" t="s">
        <v>102</v>
      </c>
      <c r="Q675" s="11">
        <v>2</v>
      </c>
      <c r="Z675" s="11">
        <v>0</v>
      </c>
      <c r="AF675" s="11">
        <v>1</v>
      </c>
    </row>
    <row r="676" spans="1:43" x14ac:dyDescent="0.25">
      <c r="A676" s="253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2140</v>
      </c>
      <c r="F676" s="4" t="s">
        <v>759</v>
      </c>
      <c r="G676" s="14" t="s">
        <v>132</v>
      </c>
      <c r="H676" s="14"/>
    </row>
    <row r="677" spans="1:43" x14ac:dyDescent="0.25">
      <c r="A677" s="253" t="str">
        <f t="shared" si="11"/>
        <v>INQUISITOR_RENAISSANCE_CELTS</v>
      </c>
      <c r="B677" s="9" t="s">
        <v>759</v>
      </c>
      <c r="C677" s="4" t="s">
        <v>709</v>
      </c>
      <c r="E677" s="4" t="s">
        <v>2140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253" t="str">
        <f t="shared" si="11"/>
        <v>INQUISITOR_RENAISSANCE_MIDEAST</v>
      </c>
      <c r="B678" s="9" t="s">
        <v>759</v>
      </c>
      <c r="C678" s="4" t="s">
        <v>690</v>
      </c>
      <c r="E678" s="4" t="s">
        <v>2140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1.5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253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2140</v>
      </c>
      <c r="F679" s="4" t="s">
        <v>759</v>
      </c>
    </row>
    <row r="680" spans="1:43" x14ac:dyDescent="0.25">
      <c r="A680" s="253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2140</v>
      </c>
      <c r="F680" s="4" t="s">
        <v>759</v>
      </c>
    </row>
    <row r="681" spans="1:43" x14ac:dyDescent="0.25">
      <c r="A681" s="253" t="str">
        <f t="shared" si="11"/>
        <v>INQUISITOR_RENAISSANCE_SOUTHAM</v>
      </c>
      <c r="B681" s="9" t="s">
        <v>759</v>
      </c>
      <c r="C681" s="4" t="s">
        <v>691</v>
      </c>
      <c r="E681" s="4" t="s">
        <v>2140</v>
      </c>
      <c r="F681" s="4" t="s">
        <v>759</v>
      </c>
      <c r="H681" s="4" t="s">
        <v>2200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253" t="str">
        <f t="shared" si="11"/>
        <v>INQUISITOR_RENAISSANCE_SOUTHAM</v>
      </c>
      <c r="B682" s="9" t="s">
        <v>759</v>
      </c>
      <c r="C682" s="4" t="s">
        <v>691</v>
      </c>
      <c r="E682" s="4" t="s">
        <v>2140</v>
      </c>
      <c r="F682" s="4" t="s">
        <v>759</v>
      </c>
      <c r="G682" s="4" t="s">
        <v>2048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253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2140</v>
      </c>
      <c r="F683" s="4" t="s">
        <v>759</v>
      </c>
    </row>
    <row r="684" spans="1:43" x14ac:dyDescent="0.25">
      <c r="A684" s="253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253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253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1937</v>
      </c>
      <c r="I686" s="5" t="s">
        <v>1946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253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253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253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1930</v>
      </c>
      <c r="I689" s="5" t="s">
        <v>1946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253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253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1934</v>
      </c>
      <c r="I691" s="5" t="s">
        <v>1946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253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1936</v>
      </c>
      <c r="I692" s="5" t="s">
        <v>1946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253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253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1935</v>
      </c>
      <c r="I694" s="5" t="s">
        <v>1946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253" t="str">
        <f t="shared" si="10"/>
        <v>IRONCLAD_CANADA</v>
      </c>
      <c r="B695" s="9" t="s">
        <v>760</v>
      </c>
      <c r="C695" s="5" t="s">
        <v>2231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253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253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253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1933</v>
      </c>
      <c r="I698" s="5" t="s">
        <v>1946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253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1932</v>
      </c>
      <c r="I699" s="5" t="s">
        <v>1946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253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1929</v>
      </c>
      <c r="I700" s="5" t="s">
        <v>1946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253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1931</v>
      </c>
      <c r="I701" s="5" t="s">
        <v>1946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253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253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253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253" t="str">
        <f t="shared" si="10"/>
        <v>JET_FIGHTER_AMER</v>
      </c>
      <c r="B705" s="9" t="s">
        <v>761</v>
      </c>
      <c r="C705" s="5" t="s">
        <v>697</v>
      </c>
      <c r="D705" s="5" t="s">
        <v>2231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253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253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253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253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253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1942</v>
      </c>
      <c r="I710" s="4" t="s">
        <v>120</v>
      </c>
      <c r="J710" s="6"/>
    </row>
    <row r="711" spans="1:43" x14ac:dyDescent="0.25">
      <c r="A711" s="253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1943</v>
      </c>
      <c r="I711" s="4" t="s">
        <v>120</v>
      </c>
      <c r="J711" s="6"/>
    </row>
    <row r="712" spans="1:43" x14ac:dyDescent="0.25">
      <c r="A712" s="253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253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1938</v>
      </c>
      <c r="U713" s="11">
        <v>0.11</v>
      </c>
    </row>
    <row r="714" spans="1:43" x14ac:dyDescent="0.25">
      <c r="A714" s="253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253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253" t="str">
        <f t="shared" si="10"/>
        <v>JET_FIGHTER_CANADA</v>
      </c>
      <c r="B716" s="9" t="s">
        <v>761</v>
      </c>
      <c r="C716" s="4" t="s">
        <v>2231</v>
      </c>
      <c r="E716" s="4" t="s">
        <v>761</v>
      </c>
      <c r="F716" s="4" t="s">
        <v>794</v>
      </c>
      <c r="G716" s="14"/>
      <c r="H716" s="4" t="s">
        <v>2234</v>
      </c>
      <c r="I716" s="4" t="s">
        <v>2235</v>
      </c>
    </row>
    <row r="717" spans="1:43" x14ac:dyDescent="0.25">
      <c r="A717" s="253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253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253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253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253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253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253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253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253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253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253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253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253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2242</v>
      </c>
      <c r="I729" s="4" t="s">
        <v>1062</v>
      </c>
    </row>
    <row r="730" spans="1:43" x14ac:dyDescent="0.25">
      <c r="A730" s="253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253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253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253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253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253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253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253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1938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253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2055</v>
      </c>
      <c r="H738" s="4" t="s">
        <v>939</v>
      </c>
      <c r="I738" s="4" t="s">
        <v>1938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253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2057</v>
      </c>
      <c r="H739" s="4" t="s">
        <v>940</v>
      </c>
      <c r="I739" s="4" t="s">
        <v>1938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253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2056</v>
      </c>
      <c r="H740" s="4" t="s">
        <v>941</v>
      </c>
      <c r="I740" s="4" t="s">
        <v>1938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253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2066</v>
      </c>
      <c r="H741" s="4" t="s">
        <v>464</v>
      </c>
      <c r="I741" s="4" t="s">
        <v>1938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253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2111</v>
      </c>
    </row>
    <row r="743" spans="1:35" x14ac:dyDescent="0.25">
      <c r="A743" s="253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253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253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253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253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2111</v>
      </c>
    </row>
    <row r="748" spans="1:35" x14ac:dyDescent="0.25">
      <c r="A748" s="253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2112</v>
      </c>
      <c r="I748" s="4" t="s">
        <v>1024</v>
      </c>
    </row>
    <row r="749" spans="1:35" x14ac:dyDescent="0.25">
      <c r="A749" s="253" t="str">
        <f t="shared" si="12"/>
        <v>KNIGHT_POLAN D</v>
      </c>
      <c r="B749" s="9" t="s">
        <v>110</v>
      </c>
      <c r="C749" s="4" t="s">
        <v>2204</v>
      </c>
      <c r="E749" s="4" t="s">
        <v>110</v>
      </c>
      <c r="F749" s="4" t="s">
        <v>110</v>
      </c>
      <c r="H749" s="4" t="s">
        <v>2203</v>
      </c>
      <c r="I749" s="4" t="s">
        <v>1024</v>
      </c>
    </row>
    <row r="750" spans="1:35" x14ac:dyDescent="0.25">
      <c r="A750" s="253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2111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253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2055</v>
      </c>
      <c r="H751" s="4" t="s">
        <v>1003</v>
      </c>
      <c r="I751" s="4" t="s">
        <v>2111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253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2057</v>
      </c>
      <c r="H752" s="4" t="s">
        <v>1004</v>
      </c>
      <c r="I752" s="4" t="s">
        <v>2111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253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2111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253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253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2055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253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253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2055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253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253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2055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253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2057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253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253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2055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253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2057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253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253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2055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253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2057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253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2056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253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2066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253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2067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253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1961</v>
      </c>
      <c r="I770" s="4" t="s">
        <v>1962</v>
      </c>
      <c r="Q770" s="9"/>
      <c r="Z770" s="9"/>
    </row>
    <row r="771" spans="1:35" x14ac:dyDescent="0.25">
      <c r="A771" s="253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253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253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253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253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253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2055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253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253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2055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253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2111</v>
      </c>
    </row>
    <row r="780" spans="1:35" x14ac:dyDescent="0.25">
      <c r="A780" s="253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2111</v>
      </c>
    </row>
    <row r="781" spans="1:35" x14ac:dyDescent="0.25">
      <c r="A781" s="253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253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253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2111</v>
      </c>
    </row>
    <row r="784" spans="1:35" x14ac:dyDescent="0.25">
      <c r="A784" s="253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253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253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2055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253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253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2055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253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253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253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253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2111</v>
      </c>
    </row>
    <row r="793" spans="1:35" x14ac:dyDescent="0.25">
      <c r="A793" s="253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2111</v>
      </c>
    </row>
    <row r="794" spans="1:35" x14ac:dyDescent="0.25">
      <c r="A794" s="253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2111</v>
      </c>
    </row>
    <row r="795" spans="1:35" x14ac:dyDescent="0.25">
      <c r="A795" s="253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253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253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2055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253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2057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253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2056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253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2066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253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253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253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253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253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253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253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253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253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2130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253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2055</v>
      </c>
      <c r="H810" s="5" t="s">
        <v>2131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253" t="s">
        <v>2132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2130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253" t="s">
        <v>2132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2055</v>
      </c>
      <c r="H812" s="4" t="s">
        <v>2131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253" t="s">
        <v>2132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2130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253" t="s">
        <v>2132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2055</v>
      </c>
      <c r="H814" s="4" t="s">
        <v>2131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253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253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1967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253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2055</v>
      </c>
      <c r="H817" s="4" t="s">
        <v>1968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253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1967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253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2055</v>
      </c>
      <c r="H819" s="4" t="s">
        <v>1968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253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1967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253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2055</v>
      </c>
      <c r="H821" s="4" t="s">
        <v>1968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253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1938</v>
      </c>
    </row>
    <row r="823" spans="1:35" x14ac:dyDescent="0.25">
      <c r="A823" s="253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1938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253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2055</v>
      </c>
      <c r="H824" s="4" t="s">
        <v>942</v>
      </c>
      <c r="I824" s="4" t="s">
        <v>1938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253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2057</v>
      </c>
      <c r="H825" s="4" t="s">
        <v>943</v>
      </c>
      <c r="I825" s="4" t="s">
        <v>1938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253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2056</v>
      </c>
      <c r="H826" s="4" t="s">
        <v>634</v>
      </c>
      <c r="I826" s="4" t="s">
        <v>1938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253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1938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253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253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253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2055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253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2057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253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253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2055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253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2057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253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253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253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2111</v>
      </c>
    </row>
    <row r="838" spans="1:35" x14ac:dyDescent="0.25">
      <c r="A838" s="253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2111</v>
      </c>
    </row>
    <row r="839" spans="1:35" x14ac:dyDescent="0.25">
      <c r="A839" s="253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253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2111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253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2055</v>
      </c>
      <c r="H841" s="4" t="s">
        <v>1031</v>
      </c>
      <c r="I841" s="4" t="s">
        <v>2111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253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2057</v>
      </c>
      <c r="H842" s="4" t="s">
        <v>1032</v>
      </c>
      <c r="I842" s="4" t="s">
        <v>2111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253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2111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253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2055</v>
      </c>
      <c r="H844" s="4" t="s">
        <v>1031</v>
      </c>
      <c r="I844" s="4" t="s">
        <v>2111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253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2057</v>
      </c>
      <c r="H845" s="4" t="s">
        <v>1032</v>
      </c>
      <c r="I845" s="4" t="s">
        <v>2111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253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253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2111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253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2055</v>
      </c>
      <c r="H848" s="4" t="s">
        <v>1006</v>
      </c>
      <c r="I848" s="4" t="s">
        <v>2111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253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2057</v>
      </c>
      <c r="H849" s="4" t="s">
        <v>617</v>
      </c>
      <c r="I849" s="4" t="s">
        <v>2111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253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2111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253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2055</v>
      </c>
      <c r="H851" s="4" t="s">
        <v>1006</v>
      </c>
      <c r="I851" s="4" t="s">
        <v>2111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253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2057</v>
      </c>
      <c r="H852" s="4" t="s">
        <v>617</v>
      </c>
      <c r="I852" s="4" t="s">
        <v>2111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253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253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253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253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253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2055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253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253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2055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253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253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2055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253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2057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253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253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2055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253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2057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253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253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2055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253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2057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253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2056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253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253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2055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253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2057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253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2056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253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253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2055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253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2057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253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2056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253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2066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253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2067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253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2068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253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253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2055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253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2057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253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2056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253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2066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253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2067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253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2068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253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253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253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253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2055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253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253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2055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253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253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253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253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253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2055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253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253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2055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253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253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2111</v>
      </c>
    </row>
    <row r="903" spans="1:35" x14ac:dyDescent="0.25">
      <c r="A903" s="253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253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253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2111</v>
      </c>
    </row>
    <row r="906" spans="1:35" x14ac:dyDescent="0.25">
      <c r="A906" s="253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253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253" t="str">
        <f>CONCATENATE(E908,IF(ISBLANK(C908),"",CONCATENATE("_",C908)))</f>
        <v>LONGSWORDSMAN_NORTHAF</v>
      </c>
      <c r="B908" s="9" t="s">
        <v>109</v>
      </c>
      <c r="C908" s="4" t="s">
        <v>2014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253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253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253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2055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253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2057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253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253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2055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253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2057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253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253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253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253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253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2111</v>
      </c>
    </row>
    <row r="921" spans="1:43" x14ac:dyDescent="0.25">
      <c r="A921" s="253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253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253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2055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253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253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2055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253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253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2055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253" t="str">
        <f t="shared" si="14"/>
        <v>MACHINEGUN</v>
      </c>
      <c r="B928" s="9" t="s">
        <v>2346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253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253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253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253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253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253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1950</v>
      </c>
      <c r="I934" s="4" t="s">
        <v>1249</v>
      </c>
    </row>
    <row r="935" spans="1:43" x14ac:dyDescent="0.25">
      <c r="A935" s="253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253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253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253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253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1951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253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253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253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253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253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253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253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253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253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253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253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1938</v>
      </c>
    </row>
    <row r="951" spans="1:9" x14ac:dyDescent="0.25">
      <c r="A951" s="253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1938</v>
      </c>
    </row>
    <row r="952" spans="1:9" x14ac:dyDescent="0.25">
      <c r="A952" s="253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253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253" t="str">
        <f t="shared" si="15"/>
        <v>MECHANIZED_INFANTRY_CANADA</v>
      </c>
      <c r="B954" s="9" t="s">
        <v>766</v>
      </c>
      <c r="C954" s="4" t="s">
        <v>2231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253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253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2241</v>
      </c>
      <c r="I956" s="4" t="s">
        <v>1068</v>
      </c>
    </row>
    <row r="957" spans="1:9" x14ac:dyDescent="0.25">
      <c r="A957" s="253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253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253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253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1938</v>
      </c>
    </row>
    <row r="961" spans="1:43" x14ac:dyDescent="0.25">
      <c r="A961" s="253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253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253" t="str">
        <f>CONCATENATE(E963,IF(ISBLANK(C963),"",CONCATENATE("_",C963)))</f>
        <v>MECHANIZED_INFANTRY_NORTHAF</v>
      </c>
      <c r="B963" s="9" t="s">
        <v>766</v>
      </c>
      <c r="C963" s="4" t="s">
        <v>2014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253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253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253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253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253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2070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253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2071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253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253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253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253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253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253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1940</v>
      </c>
      <c r="I975" s="5" t="s">
        <v>1941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253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253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2088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253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2089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253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</row>
    <row r="980" spans="1:43" x14ac:dyDescent="0.25">
      <c r="A980" s="253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253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Z981" s="11">
        <v>1</v>
      </c>
      <c r="AF981" s="11">
        <v>1</v>
      </c>
    </row>
    <row r="982" spans="1:43" x14ac:dyDescent="0.25">
      <c r="A982" s="253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2048</v>
      </c>
      <c r="H982" s="4" t="s">
        <v>833</v>
      </c>
      <c r="I982" s="4" t="s">
        <v>963</v>
      </c>
      <c r="J982" s="11">
        <v>1</v>
      </c>
      <c r="Q982" s="11">
        <v>1</v>
      </c>
      <c r="Z982" s="11">
        <v>0</v>
      </c>
      <c r="AF982" s="11">
        <v>1</v>
      </c>
    </row>
    <row r="983" spans="1:43" x14ac:dyDescent="0.25">
      <c r="A983" s="253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2049</v>
      </c>
      <c r="H983" s="4" t="s">
        <v>253</v>
      </c>
      <c r="I983" s="4" t="s">
        <v>963</v>
      </c>
      <c r="J983" s="11">
        <v>1</v>
      </c>
      <c r="Q983" s="9">
        <v>1</v>
      </c>
      <c r="Z983" s="11">
        <v>0</v>
      </c>
      <c r="AF983" s="9">
        <v>0</v>
      </c>
    </row>
    <row r="984" spans="1:43" x14ac:dyDescent="0.25">
      <c r="A984" s="253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253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253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253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253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253" t="str">
        <f t="shared" si="15"/>
        <v>MISSIONARY_RENAISSANCE</v>
      </c>
      <c r="B989" s="9" t="s">
        <v>768</v>
      </c>
      <c r="E989" s="4" t="s">
        <v>1975</v>
      </c>
      <c r="F989" s="4" t="s">
        <v>1975</v>
      </c>
      <c r="H989" s="4" t="s">
        <v>1977</v>
      </c>
      <c r="I989" s="4" t="s">
        <v>1976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253" t="str">
        <f t="shared" si="15"/>
        <v>MISSIONARY_RENAISSANCE</v>
      </c>
      <c r="B990" s="9" t="s">
        <v>768</v>
      </c>
      <c r="E990" s="4" t="s">
        <v>1975</v>
      </c>
      <c r="F990" s="4" t="s">
        <v>1975</v>
      </c>
      <c r="G990" s="4" t="s">
        <v>2048</v>
      </c>
      <c r="H990" s="4" t="s">
        <v>1978</v>
      </c>
      <c r="I990" s="4" t="s">
        <v>1976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253" t="str">
        <f t="shared" ref="A991:A1000" si="16">CONCATENATE(E991,IF(ISBLANK(C991),"",CONCATENATE("_",C991)))</f>
        <v>MISSIONARY_RENAISSANCE</v>
      </c>
      <c r="B991" s="9" t="s">
        <v>768</v>
      </c>
      <c r="E991" s="4" t="s">
        <v>1975</v>
      </c>
      <c r="F991" s="4" t="s">
        <v>1975</v>
      </c>
      <c r="G991" s="4" t="s">
        <v>2049</v>
      </c>
      <c r="H991" s="4" t="s">
        <v>1979</v>
      </c>
      <c r="I991" s="4" t="s">
        <v>1976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253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1975</v>
      </c>
      <c r="F992" s="4" t="s">
        <v>768</v>
      </c>
      <c r="H992" s="4" t="s">
        <v>330</v>
      </c>
      <c r="I992" s="4" t="s">
        <v>1796</v>
      </c>
      <c r="Q992" s="11">
        <v>3</v>
      </c>
    </row>
    <row r="993" spans="1:43" x14ac:dyDescent="0.25">
      <c r="A993" s="253" t="str">
        <f t="shared" si="16"/>
        <v>MISSIONARY_RENAISSANCE_AMER</v>
      </c>
      <c r="B993" s="9" t="s">
        <v>768</v>
      </c>
      <c r="C993" s="4" t="s">
        <v>697</v>
      </c>
      <c r="E993" s="4" t="s">
        <v>1975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253" t="str">
        <f t="shared" si="16"/>
        <v>MISSIONARY_RENAISSANCE_ASIA</v>
      </c>
      <c r="B994" s="9" t="s">
        <v>768</v>
      </c>
      <c r="C994" s="4" t="s">
        <v>693</v>
      </c>
      <c r="E994" s="4" t="s">
        <v>1975</v>
      </c>
      <c r="F994" s="4" t="s">
        <v>768</v>
      </c>
      <c r="H994" s="4" t="s">
        <v>832</v>
      </c>
      <c r="I994" s="4" t="s">
        <v>963</v>
      </c>
      <c r="Q994" s="11">
        <v>1</v>
      </c>
      <c r="Z994" s="11">
        <v>1</v>
      </c>
      <c r="AF994" s="11">
        <v>1</v>
      </c>
    </row>
    <row r="995" spans="1:43" x14ac:dyDescent="0.25">
      <c r="A995" s="253" t="str">
        <f t="shared" si="16"/>
        <v>MISSIONARY_RENAISSANCE_ASIA</v>
      </c>
      <c r="B995" s="9" t="s">
        <v>768</v>
      </c>
      <c r="C995" s="4" t="s">
        <v>693</v>
      </c>
      <c r="E995" s="4" t="s">
        <v>1975</v>
      </c>
      <c r="F995" s="4" t="s">
        <v>768</v>
      </c>
      <c r="G995" s="4" t="s">
        <v>2048</v>
      </c>
      <c r="H995" s="4" t="s">
        <v>833</v>
      </c>
      <c r="I995" s="4" t="s">
        <v>963</v>
      </c>
      <c r="Q995" s="11">
        <v>1</v>
      </c>
      <c r="Z995" s="11">
        <v>0</v>
      </c>
      <c r="AF995" s="11">
        <v>1</v>
      </c>
    </row>
    <row r="996" spans="1:43" x14ac:dyDescent="0.25">
      <c r="A996" s="253" t="str">
        <f t="shared" si="16"/>
        <v>MISSIONARY_RENAISSANCE_ASIA</v>
      </c>
      <c r="B996" s="9" t="s">
        <v>768</v>
      </c>
      <c r="C996" s="4" t="s">
        <v>693</v>
      </c>
      <c r="E996" s="4" t="s">
        <v>1975</v>
      </c>
      <c r="F996" s="4" t="s">
        <v>768</v>
      </c>
      <c r="G996" s="4" t="s">
        <v>2049</v>
      </c>
      <c r="H996" s="4" t="s">
        <v>253</v>
      </c>
      <c r="I996" s="4" t="s">
        <v>963</v>
      </c>
      <c r="Q996" s="9">
        <v>1</v>
      </c>
      <c r="Z996" s="11">
        <v>0</v>
      </c>
      <c r="AF996" s="9">
        <v>0</v>
      </c>
    </row>
    <row r="997" spans="1:43" x14ac:dyDescent="0.25">
      <c r="A997" s="253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1975</v>
      </c>
      <c r="F997" s="4" t="s">
        <v>768</v>
      </c>
    </row>
    <row r="998" spans="1:43" x14ac:dyDescent="0.25">
      <c r="A998" s="253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1975</v>
      </c>
      <c r="F998" s="4" t="s">
        <v>768</v>
      </c>
    </row>
    <row r="999" spans="1:43" x14ac:dyDescent="0.25">
      <c r="A999" s="253" t="str">
        <f t="shared" si="16"/>
        <v>MISSIONARY_RENAISSANCE_SOUTHAM</v>
      </c>
      <c r="B999" s="9" t="s">
        <v>768</v>
      </c>
      <c r="C999" s="4" t="s">
        <v>691</v>
      </c>
      <c r="E999" s="4" t="s">
        <v>1975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253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1975</v>
      </c>
      <c r="F1000" s="4" t="s">
        <v>768</v>
      </c>
    </row>
    <row r="1001" spans="1:43" x14ac:dyDescent="0.25">
      <c r="A1001" s="253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253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253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253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253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253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253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253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253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253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253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253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253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253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253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253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253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1938</v>
      </c>
    </row>
    <row r="1018" spans="1:9" x14ac:dyDescent="0.25">
      <c r="A1018" s="253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253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253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253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253" t="str">
        <f t="shared" si="15"/>
        <v>MODERN_ARMOR_CANADA</v>
      </c>
      <c r="B1022" s="9" t="s">
        <v>121</v>
      </c>
      <c r="C1022" s="4" t="s">
        <v>2231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253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253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253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253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253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253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253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253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1938</v>
      </c>
    </row>
    <row r="1031" spans="1:9" x14ac:dyDescent="0.25">
      <c r="A1031" s="253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253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1938</v>
      </c>
    </row>
    <row r="1033" spans="1:9" x14ac:dyDescent="0.25">
      <c r="A1033" s="253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253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1938</v>
      </c>
    </row>
    <row r="1035" spans="1:9" x14ac:dyDescent="0.25">
      <c r="A1035" s="253" t="str">
        <f>CONCATENATE(E1035,IF(ISBLANK(C1035),"",CONCATENATE("_",C1035)))</f>
        <v>MODERN_ARMOR_NORTHAF</v>
      </c>
      <c r="B1035" s="9" t="s">
        <v>121</v>
      </c>
      <c r="C1035" s="4" t="s">
        <v>2014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1938</v>
      </c>
    </row>
    <row r="1036" spans="1:9" x14ac:dyDescent="0.25">
      <c r="A1036" s="253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253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253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253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253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253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1938</v>
      </c>
    </row>
    <row r="1042" spans="1:43" x14ac:dyDescent="0.25">
      <c r="A1042" s="253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253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1947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253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2055</v>
      </c>
      <c r="H1044" s="4" t="s">
        <v>872</v>
      </c>
      <c r="I1044" s="4" t="s">
        <v>1947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253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2057</v>
      </c>
      <c r="H1045" s="4" t="s">
        <v>328</v>
      </c>
      <c r="I1045" s="4" t="s">
        <v>1947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253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1947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253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2055</v>
      </c>
      <c r="H1047" s="4" t="s">
        <v>872</v>
      </c>
      <c r="I1047" s="4" t="s">
        <v>1947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253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2057</v>
      </c>
      <c r="H1048" s="4" t="s">
        <v>328</v>
      </c>
      <c r="I1048" s="4" t="s">
        <v>1947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253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253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1938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253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2055</v>
      </c>
      <c r="H1051" s="4" t="s">
        <v>467</v>
      </c>
      <c r="I1051" s="4" t="s">
        <v>1938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253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1938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253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2055</v>
      </c>
      <c r="H1053" s="4" t="s">
        <v>467</v>
      </c>
      <c r="I1053" s="4" t="s">
        <v>1938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253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1938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253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2055</v>
      </c>
      <c r="H1055" s="4" t="s">
        <v>467</v>
      </c>
      <c r="I1055" s="4" t="s">
        <v>1938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253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253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253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253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2017</v>
      </c>
      <c r="I1059" s="4" t="s">
        <v>2018</v>
      </c>
    </row>
    <row r="1060" spans="1:35" x14ac:dyDescent="0.25">
      <c r="A1060" s="253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253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2055</v>
      </c>
      <c r="H1061" s="4" t="s">
        <v>1957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253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2057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253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2056</v>
      </c>
      <c r="H1063" s="4" t="s">
        <v>1954</v>
      </c>
      <c r="I1063" s="4" t="s">
        <v>1955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253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2066</v>
      </c>
      <c r="H1064" s="4" t="s">
        <v>1956</v>
      </c>
      <c r="I1064" s="4" t="s">
        <v>1955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253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253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253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253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253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253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2055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253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2057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253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253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2055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253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2057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253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253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253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253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253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253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253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253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253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253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253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253" t="str">
        <f t="shared" si="17"/>
        <v>NUCLEAR_SUBMARINE_CANADA</v>
      </c>
      <c r="B1086" s="9" t="s">
        <v>771</v>
      </c>
      <c r="C1086" s="4" t="s">
        <v>2231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253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253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253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253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2135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253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2055</v>
      </c>
      <c r="H1091" s="5" t="s">
        <v>2137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253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2057</v>
      </c>
      <c r="H1092" s="5" t="s">
        <v>2134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253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2055</v>
      </c>
      <c r="H1093" s="5" t="s">
        <v>2137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253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2135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253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2056</v>
      </c>
      <c r="H1095" s="5" t="s">
        <v>2136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253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253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253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2055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253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253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2055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253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253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2055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253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253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2055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253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253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253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2055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253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253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2055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253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253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2055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253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253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2055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253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253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2055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253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253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2055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253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253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2055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253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253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2055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253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253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2055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253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253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2055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253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253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2055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253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253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2055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253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253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2055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253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253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2055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253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253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2055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253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253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2055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253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253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2055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253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253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2055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253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253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2055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253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253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2055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253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253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2055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253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253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2055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253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253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2055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253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253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2055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253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253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2055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253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253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2055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253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253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2055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253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253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2055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253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253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253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253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253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253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1964</v>
      </c>
      <c r="I1167" s="4" t="s">
        <v>1025</v>
      </c>
    </row>
    <row r="1168" spans="1:43" x14ac:dyDescent="0.25">
      <c r="A1168" s="253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1938</v>
      </c>
    </row>
    <row r="1169" spans="1:35" x14ac:dyDescent="0.25">
      <c r="A1169" s="253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253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253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253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253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2111</v>
      </c>
    </row>
    <row r="1174" spans="1:35" x14ac:dyDescent="0.25">
      <c r="A1174" s="253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2111</v>
      </c>
    </row>
    <row r="1175" spans="1:35" x14ac:dyDescent="0.25">
      <c r="A1175" s="253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2111</v>
      </c>
    </row>
    <row r="1176" spans="1:35" x14ac:dyDescent="0.25">
      <c r="A1176" s="253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1944</v>
      </c>
    </row>
    <row r="1177" spans="1:35" x14ac:dyDescent="0.25">
      <c r="A1177" s="253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253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253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253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253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2111</v>
      </c>
    </row>
    <row r="1182" spans="1:35" x14ac:dyDescent="0.25">
      <c r="A1182" s="253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253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253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253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2055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253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253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2055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253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253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2055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253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253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253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2111</v>
      </c>
    </row>
    <row r="1193" spans="1:35" x14ac:dyDescent="0.25">
      <c r="A1193" s="253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253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253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2111</v>
      </c>
    </row>
    <row r="1196" spans="1:35" x14ac:dyDescent="0.25">
      <c r="A1196" s="253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253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253" t="str">
        <f>CONCATENATE(E1198,IF(ISBLANK(C1198),"",CONCATENATE("_",C1198)))</f>
        <v>PIKEMAN_NORTHAF</v>
      </c>
      <c r="B1198" s="9" t="s">
        <v>107</v>
      </c>
      <c r="C1198" s="4" t="s">
        <v>2014</v>
      </c>
      <c r="E1198" s="4" t="s">
        <v>107</v>
      </c>
      <c r="F1198" s="4" t="s">
        <v>107</v>
      </c>
      <c r="G1198" s="14"/>
      <c r="H1198" s="4" t="s">
        <v>643</v>
      </c>
      <c r="I1198" s="4" t="s">
        <v>1938</v>
      </c>
    </row>
    <row r="1199" spans="1:35" x14ac:dyDescent="0.25">
      <c r="A1199" s="253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253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253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253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253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253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253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253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253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253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253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253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253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2055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253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2057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253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253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2055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253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2057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253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253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253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2055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253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2057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253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253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2055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253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2057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253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253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2055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253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2057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253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253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2055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253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2057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253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253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2055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253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2057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253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253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2055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253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2057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253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253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253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2055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253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2057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253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253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2055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253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2057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253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253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2055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253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2057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253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253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2055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253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2057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253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253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2055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253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2057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253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253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2055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253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2057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253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253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2055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253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2057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253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253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2055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253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2057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253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253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2055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253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2057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253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253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2055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253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2057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253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253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2055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253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2057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253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253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2055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253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2057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253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253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2055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253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2057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253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253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2055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253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2057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253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253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253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2055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253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2057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253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253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2055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253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2057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253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253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2055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253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2057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253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253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2055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253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2057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253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253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253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2055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253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2057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253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253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2055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253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2057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253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253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2055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253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2057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253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253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2055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253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2057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253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253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2055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253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2057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253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253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2055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253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2057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253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253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2055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253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2057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253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253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2055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253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2057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253" t="str">
        <f t="shared" ref="A1322:A1327" si="22">CONCATENATE(E1322,IF(ISBLANK(C1322),"",CONCATENATE("_",C1322)))</f>
        <v>RIFLEMAN_NORTHAF</v>
      </c>
      <c r="B1322" s="9" t="s">
        <v>123</v>
      </c>
      <c r="C1322" s="4" t="s">
        <v>2014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253" t="str">
        <f t="shared" si="22"/>
        <v>RIFLEMAN_NORTHAF</v>
      </c>
      <c r="B1323" s="9" t="s">
        <v>123</v>
      </c>
      <c r="C1323" s="4" t="s">
        <v>2014</v>
      </c>
      <c r="E1323" s="4" t="s">
        <v>123</v>
      </c>
      <c r="F1323" s="4" t="s">
        <v>123</v>
      </c>
      <c r="G1323" s="4" t="s">
        <v>2055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253" t="str">
        <f t="shared" si="22"/>
        <v>RIFLEMAN_NORTHAF</v>
      </c>
      <c r="B1324" s="9" t="s">
        <v>123</v>
      </c>
      <c r="C1324" s="4" t="s">
        <v>2014</v>
      </c>
      <c r="E1324" s="4" t="s">
        <v>123</v>
      </c>
      <c r="F1324" s="4" t="s">
        <v>123</v>
      </c>
      <c r="G1324" s="4" t="s">
        <v>2057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253" t="str">
        <f t="shared" si="22"/>
        <v>RIFLEMAN_NORTHAF</v>
      </c>
      <c r="B1325" s="9" t="s">
        <v>123</v>
      </c>
      <c r="C1325" s="4" t="s">
        <v>2014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253" t="str">
        <f t="shared" si="22"/>
        <v>RIFLEMAN_NORTHAF</v>
      </c>
      <c r="B1326" s="9" t="s">
        <v>123</v>
      </c>
      <c r="C1326" s="4" t="s">
        <v>2014</v>
      </c>
      <c r="E1326" s="4" t="s">
        <v>123</v>
      </c>
      <c r="F1326" s="4" t="s">
        <v>123</v>
      </c>
      <c r="G1326" s="4" t="s">
        <v>2055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253" t="str">
        <f t="shared" si="22"/>
        <v>RIFLEMAN_NORTHAF</v>
      </c>
      <c r="B1327" s="9" t="s">
        <v>123</v>
      </c>
      <c r="C1327" s="4" t="s">
        <v>2014</v>
      </c>
      <c r="E1327" s="4" t="s">
        <v>123</v>
      </c>
      <c r="F1327" s="4" t="s">
        <v>123</v>
      </c>
      <c r="G1327" s="4" t="s">
        <v>2057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253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253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253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253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253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253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253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2055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253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2057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253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253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2055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253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2057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253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253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253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253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253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2055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253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2057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253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253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2055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253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2057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253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253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253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253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253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253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1938</v>
      </c>
    </row>
    <row r="1354" spans="1:43" x14ac:dyDescent="0.25">
      <c r="A1354" s="253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1938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253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2055</v>
      </c>
      <c r="H1355" s="4" t="s">
        <v>470</v>
      </c>
      <c r="I1355" s="4" t="s">
        <v>1938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253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1938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253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2055</v>
      </c>
      <c r="H1357" s="4" t="s">
        <v>470</v>
      </c>
      <c r="I1357" s="4" t="s">
        <v>1938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253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2111</v>
      </c>
    </row>
    <row r="1359" spans="1:43" x14ac:dyDescent="0.25">
      <c r="A1359" s="253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253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253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253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253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253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253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253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253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253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253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253" t="str">
        <f>CONCATENATE(E1370,IF(ISBLANK(C1370),"",CONCATENATE("_",C1370)))</f>
        <v>SCOUT_NORTHAF</v>
      </c>
      <c r="B1370" s="9" t="s">
        <v>773</v>
      </c>
      <c r="C1370" s="4" t="s">
        <v>2014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253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1988</v>
      </c>
      <c r="I1371" s="4" t="s">
        <v>835</v>
      </c>
    </row>
    <row r="1372" spans="1:9" x14ac:dyDescent="0.25">
      <c r="A1372" s="253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253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253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253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253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253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253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253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253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253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253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253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253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253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253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253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253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2055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253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253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2057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253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2055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253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253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2057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253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1938</v>
      </c>
      <c r="Q1394" s="11" t="s">
        <v>1737</v>
      </c>
    </row>
    <row r="1395" spans="1:43" x14ac:dyDescent="0.25">
      <c r="A1395" s="253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253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253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1963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253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1938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253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1938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253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2055</v>
      </c>
      <c r="H1400" s="4" t="s">
        <v>949</v>
      </c>
      <c r="I1400" s="4" t="s">
        <v>1938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253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2057</v>
      </c>
      <c r="H1401" s="4" t="s">
        <v>950</v>
      </c>
      <c r="I1401" s="4" t="s">
        <v>1938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253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2056</v>
      </c>
      <c r="H1402" s="4" t="s">
        <v>471</v>
      </c>
      <c r="I1402" s="4" t="s">
        <v>1938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253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1938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253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2055</v>
      </c>
      <c r="H1404" s="4" t="s">
        <v>949</v>
      </c>
      <c r="I1404" s="4" t="s">
        <v>1938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253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2057</v>
      </c>
      <c r="H1405" s="4" t="s">
        <v>950</v>
      </c>
      <c r="I1405" s="4" t="s">
        <v>1938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253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2056</v>
      </c>
      <c r="H1406" s="4" t="s">
        <v>471</v>
      </c>
      <c r="I1406" s="4" t="s">
        <v>1938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253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253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253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253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253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2111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253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2111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253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2111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253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1944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253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253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253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253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253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253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253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253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253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253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253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253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2055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253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2057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253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253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2055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253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2057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253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2111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253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2055</v>
      </c>
      <c r="H1432" s="4" t="s">
        <v>662</v>
      </c>
      <c r="I1432" s="4" t="s">
        <v>2111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253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2111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253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2055</v>
      </c>
      <c r="H1434" s="4" t="s">
        <v>662</v>
      </c>
      <c r="I1434" s="4" t="s">
        <v>2111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253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2111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253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2055</v>
      </c>
      <c r="H1436" s="4" t="s">
        <v>662</v>
      </c>
      <c r="I1436" s="4" t="s">
        <v>2111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253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253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2111</v>
      </c>
      <c r="Q1438" s="9" t="s">
        <v>1737</v>
      </c>
      <c r="T1438" s="9"/>
      <c r="W1438" s="9"/>
      <c r="AF1438" s="9"/>
      <c r="AI1438" s="9"/>
    </row>
    <row r="1439" spans="1:43" x14ac:dyDescent="0.25">
      <c r="A1439" s="253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253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2111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253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253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253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253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253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253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253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253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253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2055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253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253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2055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253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253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2055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253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253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253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253" t="str">
        <f t="shared" si="24"/>
        <v>SS_CAPSULE</v>
      </c>
      <c r="B1457" s="9" t="s">
        <v>2347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253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253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253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253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253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253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253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253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253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253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253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253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253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253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253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253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253" t="str">
        <f t="shared" si="24"/>
        <v>SUBMARINE_CANADA</v>
      </c>
      <c r="B1474" s="9" t="s">
        <v>105</v>
      </c>
      <c r="C1474" s="4" t="s">
        <v>2231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253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253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253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253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253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253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253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253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253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253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2055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253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253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2057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253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2055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253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253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2057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253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253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253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253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253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253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2055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253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253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2055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253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253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2055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253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253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253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2111</v>
      </c>
      <c r="Q1502" s="9" t="s">
        <v>1737</v>
      </c>
      <c r="T1502" s="9"/>
      <c r="W1502" s="9"/>
    </row>
    <row r="1503" spans="1:43" x14ac:dyDescent="0.25">
      <c r="A1503" s="253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253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253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2111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253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2055</v>
      </c>
      <c r="H1506" s="4" t="s">
        <v>1958</v>
      </c>
      <c r="I1506" s="4" t="s">
        <v>2111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253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2111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253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2055</v>
      </c>
      <c r="H1508" s="4" t="s">
        <v>1958</v>
      </c>
      <c r="I1508" s="4" t="s">
        <v>2111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253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2111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253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2055</v>
      </c>
      <c r="H1510" s="4" t="s">
        <v>1958</v>
      </c>
      <c r="I1510" s="4" t="s">
        <v>2111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253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253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2055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253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253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2055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253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253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2055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253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2113</v>
      </c>
      <c r="I1517" s="4" t="s">
        <v>1938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253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2111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253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2055</v>
      </c>
      <c r="H1519" s="4" t="s">
        <v>1010</v>
      </c>
      <c r="I1519" s="4" t="s">
        <v>2111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253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2057</v>
      </c>
      <c r="H1520" s="4" t="s">
        <v>627</v>
      </c>
      <c r="I1520" s="4" t="s">
        <v>2111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253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2111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253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2055</v>
      </c>
      <c r="H1522" s="4" t="s">
        <v>1010</v>
      </c>
      <c r="I1522" s="4" t="s">
        <v>2111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253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2057</v>
      </c>
      <c r="H1523" s="4" t="s">
        <v>627</v>
      </c>
      <c r="I1523" s="4" t="s">
        <v>2111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253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1944</v>
      </c>
      <c r="Q1524" s="9" t="s">
        <v>1737</v>
      </c>
      <c r="T1524" s="9"/>
      <c r="W1524" s="9"/>
      <c r="AF1524" s="9"/>
      <c r="AI1524" s="9"/>
    </row>
    <row r="1525" spans="1:35" x14ac:dyDescent="0.25">
      <c r="A1525" s="253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253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253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253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253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253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253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2111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253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2055</v>
      </c>
      <c r="H1532" s="4" t="s">
        <v>663</v>
      </c>
      <c r="I1532" s="4" t="s">
        <v>2111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253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2111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253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2055</v>
      </c>
      <c r="H1534" s="4" t="s">
        <v>663</v>
      </c>
      <c r="I1534" s="4" t="s">
        <v>2111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253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253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2111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253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2055</v>
      </c>
      <c r="H1537" s="4" t="s">
        <v>807</v>
      </c>
      <c r="I1537" s="4" t="s">
        <v>2111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253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2057</v>
      </c>
      <c r="H1538" s="4" t="s">
        <v>171</v>
      </c>
      <c r="I1538" s="4" t="s">
        <v>2111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253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2111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253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2055</v>
      </c>
      <c r="H1540" s="4" t="s">
        <v>807</v>
      </c>
      <c r="I1540" s="4" t="s">
        <v>2111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253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2057</v>
      </c>
      <c r="H1541" s="4" t="s">
        <v>171</v>
      </c>
      <c r="I1541" s="4" t="s">
        <v>2111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253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253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2055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253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2057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253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253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2055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253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2057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253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253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253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253" t="str">
        <f t="shared" si="26"/>
        <v>SWORDSMAN_NORTHAF</v>
      </c>
      <c r="B1551" s="9" t="s">
        <v>104</v>
      </c>
      <c r="C1551" s="4" t="s">
        <v>2014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253" t="str">
        <f t="shared" si="26"/>
        <v>SWORDSMAN_NORTHAF</v>
      </c>
      <c r="B1552" s="9" t="s">
        <v>104</v>
      </c>
      <c r="C1552" s="4" t="s">
        <v>2014</v>
      </c>
      <c r="E1552" s="4" t="s">
        <v>104</v>
      </c>
      <c r="F1552" s="4" t="s">
        <v>104</v>
      </c>
      <c r="G1552" s="4" t="s">
        <v>2055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253" t="str">
        <f t="shared" si="26"/>
        <v>SWORDSMAN_NORTHAF</v>
      </c>
      <c r="B1553" s="9" t="s">
        <v>104</v>
      </c>
      <c r="C1553" s="4" t="s">
        <v>2014</v>
      </c>
      <c r="E1553" s="4" t="s">
        <v>104</v>
      </c>
      <c r="F1553" s="4" t="s">
        <v>104</v>
      </c>
      <c r="G1553" s="4" t="s">
        <v>2057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253" t="str">
        <f t="shared" si="26"/>
        <v>SWORDSMAN_NORTHAF</v>
      </c>
      <c r="B1554" s="9" t="s">
        <v>104</v>
      </c>
      <c r="C1554" s="4" t="s">
        <v>2014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253" t="str">
        <f t="shared" si="26"/>
        <v>SWORDSMAN_NORTHAF</v>
      </c>
      <c r="B1555" s="9" t="s">
        <v>104</v>
      </c>
      <c r="C1555" s="4" t="s">
        <v>2014</v>
      </c>
      <c r="E1555" s="4" t="s">
        <v>104</v>
      </c>
      <c r="F1555" s="4" t="s">
        <v>104</v>
      </c>
      <c r="G1555" s="4" t="s">
        <v>2055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253" t="str">
        <f t="shared" si="26"/>
        <v>SWORDSMAN_NORTHAF</v>
      </c>
      <c r="B1556" s="9" t="s">
        <v>104</v>
      </c>
      <c r="C1556" s="4" t="s">
        <v>2014</v>
      </c>
      <c r="E1556" s="4" t="s">
        <v>104</v>
      </c>
      <c r="F1556" s="4" t="s">
        <v>104</v>
      </c>
      <c r="G1556" s="4" t="s">
        <v>2057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253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253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253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253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253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2111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253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2111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253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2111</v>
      </c>
      <c r="Q1563" s="9"/>
      <c r="Z1563" s="9"/>
    </row>
    <row r="1564" spans="1:35" x14ac:dyDescent="0.25">
      <c r="A1564" s="253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253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253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2055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253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2057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253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2056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253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2066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253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2067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253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253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2055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253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253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2055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253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253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2055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253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253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253" t="str">
        <f t="shared" si="26"/>
        <v>TANK_AMER</v>
      </c>
      <c r="B1579" s="9" t="s">
        <v>103</v>
      </c>
      <c r="C1579" s="4" t="s">
        <v>697</v>
      </c>
      <c r="D1579" s="4" t="s">
        <v>2231</v>
      </c>
      <c r="E1579" s="4" t="s">
        <v>103</v>
      </c>
      <c r="F1579" s="4" t="s">
        <v>103</v>
      </c>
    </row>
    <row r="1580" spans="1:43" x14ac:dyDescent="0.25">
      <c r="A1580" s="253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253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253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253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253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253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1938</v>
      </c>
    </row>
    <row r="1586" spans="1:9" x14ac:dyDescent="0.25">
      <c r="A1586" s="253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253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253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253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253" t="str">
        <f t="shared" si="26"/>
        <v>TANK_CANADA</v>
      </c>
      <c r="B1590" s="9" t="s">
        <v>103</v>
      </c>
      <c r="C1590" s="4" t="s">
        <v>2231</v>
      </c>
      <c r="E1590" s="4" t="s">
        <v>103</v>
      </c>
      <c r="F1590" s="4" t="s">
        <v>103</v>
      </c>
      <c r="G1590" s="14"/>
      <c r="H1590" s="4" t="s">
        <v>2232</v>
      </c>
      <c r="I1590" s="4" t="s">
        <v>102</v>
      </c>
    </row>
    <row r="1591" spans="1:9" x14ac:dyDescent="0.25">
      <c r="A1591" s="253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253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253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1938</v>
      </c>
    </row>
    <row r="1594" spans="1:9" x14ac:dyDescent="0.25">
      <c r="A1594" s="253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253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253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253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253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253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253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253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253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253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253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253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1952</v>
      </c>
      <c r="I1605" s="5" t="s">
        <v>1953</v>
      </c>
      <c r="J1605" s="6"/>
      <c r="K1605" s="7"/>
      <c r="L1605" s="13"/>
      <c r="M1605" s="8"/>
      <c r="N1605" s="13"/>
      <c r="O1605" s="13"/>
      <c r="P1605" s="13"/>
      <c r="Q1605" s="7"/>
      <c r="R1605" s="6"/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253" t="str">
        <f t="shared" ref="A1606:A1669" si="27">CONCATENATE(E1606,IF(ISBLANK(C1606),"",CONCATENATE("_",C1606)))</f>
        <v>U_AMERICAN_B17</v>
      </c>
      <c r="B1606" s="9" t="s">
        <v>2348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253" t="str">
        <f t="shared" si="27"/>
        <v>U_AMERICAN_MINUTEMAN</v>
      </c>
      <c r="B1607" s="9" t="s">
        <v>2349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253" t="str">
        <f t="shared" si="27"/>
        <v>U_ARABIAN_CAMELARCHER</v>
      </c>
      <c r="B1608" s="9" t="s">
        <v>2350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253" t="str">
        <f t="shared" si="27"/>
        <v>U_ASSYRIAN_SIEGE_TOWER</v>
      </c>
      <c r="B1609" s="9" t="s">
        <v>2351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253" t="str">
        <f t="shared" si="27"/>
        <v>U_AUSTRIAN_HUSSAR</v>
      </c>
      <c r="B1610" s="9" t="s">
        <v>2352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253" t="str">
        <f t="shared" si="27"/>
        <v>U_AZTEC_JAGUAR</v>
      </c>
      <c r="B1611" s="9" t="s">
        <v>2353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253" t="str">
        <f t="shared" si="27"/>
        <v>U_BABYLONIAN_BOWMAN</v>
      </c>
      <c r="B1612" s="9" t="s">
        <v>2354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253" t="str">
        <f t="shared" si="27"/>
        <v>U_BRAZILIAN_PRACINHAS</v>
      </c>
      <c r="B1613" s="9" t="s">
        <v>2393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253" t="str">
        <f t="shared" si="27"/>
        <v>U_BYZANTIUM_CATAPHRACT</v>
      </c>
      <c r="B1614" s="9" t="s">
        <v>2394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253" t="str">
        <f t="shared" si="27"/>
        <v>U_BYZANTIUM_DROMON</v>
      </c>
      <c r="B1615" s="9" t="s">
        <v>2395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253" t="str">
        <f t="shared" si="27"/>
        <v>U_CARTHAGE_AFRICANFOREST_ELEPHANT</v>
      </c>
      <c r="B1616" s="9" t="s">
        <v>2396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253" t="str">
        <f t="shared" si="27"/>
        <v>U_CARTHAGE_QUINQUEREME</v>
      </c>
      <c r="B1617" s="9" t="s">
        <v>2397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253" t="str">
        <f t="shared" si="27"/>
        <v>U_CELT_PICTISH_WARRIOR</v>
      </c>
      <c r="B1618" s="9" t="s">
        <v>2355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253" t="str">
        <f t="shared" si="27"/>
        <v>U_CHINESE_CHUKONU</v>
      </c>
      <c r="B1619" s="9" t="s">
        <v>2356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253" t="str">
        <f t="shared" si="27"/>
        <v>U_DANISH_BERSERKER</v>
      </c>
      <c r="B1620" s="9" t="s">
        <v>2357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253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253" t="str">
        <f t="shared" si="27"/>
        <v>U_DANISH_SKI_INFANTRY</v>
      </c>
      <c r="B1622" s="9" t="s">
        <v>2358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253" t="str">
        <f t="shared" si="27"/>
        <v>U_DUTCH_SEA_BEGGARS</v>
      </c>
      <c r="B1623" s="9" t="s">
        <v>2398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253" t="str">
        <f t="shared" si="27"/>
        <v>U_EGYPTIAN_WARCHARIOT</v>
      </c>
      <c r="B1624" s="9" t="s">
        <v>2359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253" t="str">
        <f t="shared" si="27"/>
        <v>U_ENGLISH_LONGBOWMAN</v>
      </c>
      <c r="B1625" s="9" t="s">
        <v>2360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253" t="str">
        <f t="shared" si="27"/>
        <v>U_ENGLISH_SHIPOFTHELINE</v>
      </c>
      <c r="B1626" s="9" t="s">
        <v>2361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253" t="str">
        <f t="shared" si="27"/>
        <v>U_ETHIOPIA_MEHAL_SEFARI</v>
      </c>
      <c r="B1627" s="9" t="s">
        <v>2399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253" t="str">
        <f t="shared" si="27"/>
        <v>U_FRENCH_FOREIGNLEGION</v>
      </c>
      <c r="B1628" s="9" t="s">
        <v>2362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253" t="str">
        <f t="shared" si="27"/>
        <v>U_FRENCH_MUSKETEER</v>
      </c>
      <c r="B1629" s="9" t="s">
        <v>2363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253" t="str">
        <f t="shared" si="27"/>
        <v>U_GERMAN_LANDSKNECHT</v>
      </c>
      <c r="B1630" s="9" t="s">
        <v>2364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253" t="str">
        <f t="shared" si="27"/>
        <v>U_GERMAN_LANDSKNECHT</v>
      </c>
      <c r="B1631" s="9" t="s">
        <v>2364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253" t="str">
        <f t="shared" si="27"/>
        <v>U_GERMAN_LANDSKNECHT</v>
      </c>
      <c r="B1632" s="9" t="s">
        <v>2364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253" t="str">
        <f t="shared" si="27"/>
        <v>U_GERMAN_PANZER</v>
      </c>
      <c r="B1633" s="9" t="s">
        <v>2365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253" t="str">
        <f t="shared" si="27"/>
        <v>U_GREEK_COMPANIONCAVALRY</v>
      </c>
      <c r="B1634" s="9" t="s">
        <v>2366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253" t="str">
        <f t="shared" si="27"/>
        <v>U_GREEK_HOPLITE</v>
      </c>
      <c r="B1635" s="9" t="s">
        <v>2367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253" t="str">
        <f t="shared" si="27"/>
        <v>U_GREEK_HOPLITE</v>
      </c>
      <c r="B1636" s="9" t="s">
        <v>2367</v>
      </c>
      <c r="E1636" s="4" t="s">
        <v>785</v>
      </c>
      <c r="F1636" s="4" t="s">
        <v>785</v>
      </c>
      <c r="G1636" s="4" t="s">
        <v>2063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253" t="str">
        <f t="shared" si="27"/>
        <v>U_GREEK_HOPLITE</v>
      </c>
      <c r="B1637" s="9" t="s">
        <v>2367</v>
      </c>
      <c r="E1637" s="4" t="s">
        <v>785</v>
      </c>
      <c r="F1637" s="4" t="s">
        <v>785</v>
      </c>
      <c r="G1637" s="4" t="s">
        <v>2055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253" t="str">
        <f t="shared" si="27"/>
        <v>U_GREEK_HOPLITE</v>
      </c>
      <c r="B1638" s="9" t="s">
        <v>2367</v>
      </c>
      <c r="E1638" s="4" t="s">
        <v>785</v>
      </c>
      <c r="F1638" s="4" t="s">
        <v>785</v>
      </c>
      <c r="G1638" s="4" t="s">
        <v>2057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253" t="str">
        <f t="shared" si="27"/>
        <v>U_GREEK_HOPLITE</v>
      </c>
      <c r="B1639" s="9" t="s">
        <v>2367</v>
      </c>
      <c r="E1639" s="4" t="s">
        <v>785</v>
      </c>
      <c r="F1639" s="4" t="s">
        <v>785</v>
      </c>
      <c r="G1639" s="4" t="s">
        <v>2063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253" t="str">
        <f t="shared" si="27"/>
        <v>U_GREEK_HOPLITE</v>
      </c>
      <c r="B1640" s="9" t="s">
        <v>2367</v>
      </c>
      <c r="E1640" s="4" t="s">
        <v>785</v>
      </c>
      <c r="F1640" s="4" t="s">
        <v>785</v>
      </c>
      <c r="G1640" s="4" t="s">
        <v>2055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253" t="str">
        <f t="shared" si="27"/>
        <v>U_GREEK_HOPLITE</v>
      </c>
      <c r="B1641" s="9" t="s">
        <v>2367</v>
      </c>
      <c r="E1641" s="4" t="s">
        <v>785</v>
      </c>
      <c r="F1641" s="4" t="s">
        <v>785</v>
      </c>
      <c r="G1641" s="4" t="s">
        <v>2057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253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253" t="str">
        <f t="shared" si="27"/>
        <v>U_HUNS_BATTERING_RAM</v>
      </c>
      <c r="B1643" s="9" t="s">
        <v>2400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253" t="str">
        <f t="shared" si="27"/>
        <v>U_HUNS_BATTERING_RAM</v>
      </c>
      <c r="B1644" s="9" t="s">
        <v>2400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253" t="str">
        <f t="shared" si="27"/>
        <v>U_HUNS_HORSE_ARCHER</v>
      </c>
      <c r="B1645" s="9" t="s">
        <v>2401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253" t="str">
        <f t="shared" si="27"/>
        <v>U_INCAN_SLINGER</v>
      </c>
      <c r="B1646" s="9" t="s">
        <v>2368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253" t="str">
        <f t="shared" si="27"/>
        <v>U_INDIAN_WARELEPHANT</v>
      </c>
      <c r="B1647" s="9" t="s">
        <v>2369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253" t="str">
        <f t="shared" si="27"/>
        <v>U_INDONESIAN_KRIS_SWORDSMAN</v>
      </c>
      <c r="B1648" s="9" t="s">
        <v>2402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253" t="str">
        <f t="shared" si="27"/>
        <v>U_IROQUOIAN_MOHAWKWARRIOR</v>
      </c>
      <c r="B1649" s="9" t="s">
        <v>2370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253" t="str">
        <f t="shared" si="27"/>
        <v>U_JAPANESE_SAMURAI</v>
      </c>
      <c r="B1650" s="9" t="s">
        <v>2371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253" t="str">
        <f t="shared" si="27"/>
        <v>U_JAPANESE_SAMURAI</v>
      </c>
      <c r="B1651" s="9" t="s">
        <v>2371</v>
      </c>
      <c r="E1651" s="4" t="s">
        <v>786</v>
      </c>
      <c r="F1651" s="4" t="s">
        <v>786</v>
      </c>
      <c r="G1651" s="4" t="s">
        <v>2063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253" t="str">
        <f t="shared" si="27"/>
        <v>U_JAPANESE_SAMURAI</v>
      </c>
      <c r="B1652" s="9" t="s">
        <v>2371</v>
      </c>
      <c r="E1652" s="4" t="s">
        <v>786</v>
      </c>
      <c r="F1652" s="4" t="s">
        <v>786</v>
      </c>
      <c r="G1652" s="4" t="s">
        <v>2055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253" t="str">
        <f t="shared" si="27"/>
        <v>U_JAPANESE_SAMURAI</v>
      </c>
      <c r="B1653" s="9" t="s">
        <v>2371</v>
      </c>
      <c r="E1653" s="4" t="s">
        <v>786</v>
      </c>
      <c r="F1653" s="4" t="s">
        <v>786</v>
      </c>
      <c r="G1653" s="4" t="s">
        <v>2063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253" t="str">
        <f t="shared" si="27"/>
        <v>U_JAPANESE_SAMURAI</v>
      </c>
      <c r="B1654" s="9" t="s">
        <v>2371</v>
      </c>
      <c r="E1654" s="4" t="s">
        <v>786</v>
      </c>
      <c r="F1654" s="4" t="s">
        <v>786</v>
      </c>
      <c r="G1654" s="4" t="s">
        <v>2055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253" t="str">
        <f t="shared" si="27"/>
        <v>U_JAPANESE_SAMURAI</v>
      </c>
      <c r="B1655" s="9" t="s">
        <v>2371</v>
      </c>
      <c r="E1655" s="4" t="s">
        <v>786</v>
      </c>
      <c r="F1655" s="4" t="s">
        <v>786</v>
      </c>
      <c r="G1655" s="4" t="s">
        <v>2063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253" t="str">
        <f t="shared" si="27"/>
        <v>U_JAPANESE_SAMURAI</v>
      </c>
      <c r="B1656" s="9" t="s">
        <v>2371</v>
      </c>
      <c r="E1656" s="4" t="s">
        <v>786</v>
      </c>
      <c r="F1656" s="4" t="s">
        <v>786</v>
      </c>
      <c r="G1656" s="4" t="s">
        <v>2055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253" t="str">
        <f t="shared" si="27"/>
        <v>U_JAPANESE_SAMURAI</v>
      </c>
      <c r="B1657" s="9" t="s">
        <v>2371</v>
      </c>
      <c r="E1657" s="4" t="s">
        <v>786</v>
      </c>
      <c r="F1657" s="4" t="s">
        <v>786</v>
      </c>
      <c r="G1657" s="4" t="s">
        <v>2063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253" t="str">
        <f t="shared" si="27"/>
        <v>U_JAPANESE_SAMURAI</v>
      </c>
      <c r="B1658" s="9" t="s">
        <v>2371</v>
      </c>
      <c r="E1658" s="4" t="s">
        <v>786</v>
      </c>
      <c r="F1658" s="4" t="s">
        <v>786</v>
      </c>
      <c r="G1658" s="4" t="s">
        <v>2055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253" t="str">
        <f t="shared" si="27"/>
        <v>U_JAPANESE_SAMURAI</v>
      </c>
      <c r="B1659" s="9" t="s">
        <v>2371</v>
      </c>
      <c r="E1659" s="4" t="s">
        <v>786</v>
      </c>
      <c r="F1659" s="4" t="s">
        <v>786</v>
      </c>
      <c r="G1659" s="4" t="s">
        <v>2063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253" t="str">
        <f t="shared" si="27"/>
        <v>U_JAPANESE_ZERO</v>
      </c>
      <c r="B1660" s="9" t="s">
        <v>2372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253" t="str">
        <f t="shared" si="27"/>
        <v>U_KOREAN_HWACHA</v>
      </c>
      <c r="B1661" s="9" t="s">
        <v>2373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253" t="str">
        <f t="shared" si="27"/>
        <v>U_KOREAN_TURTLESHIP</v>
      </c>
      <c r="B1662" s="9" t="s">
        <v>2403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253" t="str">
        <f t="shared" si="27"/>
        <v>U_MAYAN_ATLALIST</v>
      </c>
      <c r="B1663" s="9" t="s">
        <v>2374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253" t="str">
        <f t="shared" si="27"/>
        <v>U_MONGOLIAN_KESHIK</v>
      </c>
      <c r="B1664" s="9" t="s">
        <v>2375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253" t="str">
        <f t="shared" si="27"/>
        <v>U_MORROCAN_BERBER_CAVALRY</v>
      </c>
      <c r="B1665" s="9" t="s">
        <v>2405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253" t="str">
        <f t="shared" si="27"/>
        <v>U_OTTOMAN_JANISSARY</v>
      </c>
      <c r="B1666" s="9" t="s">
        <v>2376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253" t="str">
        <f t="shared" si="27"/>
        <v>U_OTTOMAN_SIPAHI</v>
      </c>
      <c r="B1667" s="9" t="s">
        <v>2377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253" t="str">
        <f t="shared" si="27"/>
        <v>U_PERSIAN_IMMORTAL</v>
      </c>
      <c r="B1668" s="9" t="s">
        <v>2378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253" t="str">
        <f t="shared" si="27"/>
        <v>U_POLISH_WINGED_HUSSAR</v>
      </c>
      <c r="B1669" s="9" t="s">
        <v>2379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253" t="str">
        <f t="shared" ref="A1670:A1751" si="28">CONCATENATE(E1670,IF(ISBLANK(C1670),"",CONCATENATE("_",C1670)))</f>
        <v>U_POLYNESIAN_MAORI_WARRIOR</v>
      </c>
      <c r="B1670" s="9" t="s">
        <v>2380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253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253" t="str">
        <f t="shared" si="28"/>
        <v>U_PORTUGUESE_CARRACK</v>
      </c>
      <c r="B1672" s="9" t="s">
        <v>2406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253" t="str">
        <f t="shared" si="28"/>
        <v>U_ROMAN_BALLISTA</v>
      </c>
      <c r="B1673" s="9" t="s">
        <v>2381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253" t="str">
        <f t="shared" si="28"/>
        <v>U_ROMAN_LEGION</v>
      </c>
      <c r="B1674" s="9" t="s">
        <v>2382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253" t="str">
        <f t="shared" si="28"/>
        <v>U_RUSSIAN_COSSACK</v>
      </c>
      <c r="B1675" s="9" t="s">
        <v>2383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253" t="str">
        <f t="shared" si="28"/>
        <v>U_RUSSIAN_COSSACK</v>
      </c>
      <c r="B1676" s="9" t="s">
        <v>2383</v>
      </c>
      <c r="C1676" s="5"/>
      <c r="D1676" s="5"/>
      <c r="E1676" s="5" t="s">
        <v>1593</v>
      </c>
      <c r="F1676" s="5" t="s">
        <v>1593</v>
      </c>
      <c r="G1676" s="5" t="s">
        <v>2055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253" t="str">
        <f t="shared" si="28"/>
        <v>U_RUSSIAN_COSSACK</v>
      </c>
      <c r="B1677" s="9" t="s">
        <v>2383</v>
      </c>
      <c r="C1677" s="5"/>
      <c r="D1677" s="5"/>
      <c r="E1677" s="5" t="s">
        <v>1593</v>
      </c>
      <c r="F1677" s="5" t="s">
        <v>1593</v>
      </c>
      <c r="G1677" s="5" t="s">
        <v>2057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253" t="str">
        <f t="shared" si="28"/>
        <v>U_RUSSIAN_COSSACK</v>
      </c>
      <c r="B1678" s="9" t="s">
        <v>2383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253" t="str">
        <f t="shared" si="28"/>
        <v>U_RUSSIAN_COSSACK</v>
      </c>
      <c r="B1679" s="9" t="s">
        <v>2383</v>
      </c>
      <c r="C1679" s="5"/>
      <c r="D1679" s="5"/>
      <c r="E1679" s="5" t="s">
        <v>1593</v>
      </c>
      <c r="F1679" s="5" t="s">
        <v>1593</v>
      </c>
      <c r="G1679" s="5" t="s">
        <v>2055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253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253" t="str">
        <f t="shared" si="28"/>
        <v>U_SHOSHONE_COMANCHE_RIDERS</v>
      </c>
      <c r="B1681" s="9" t="s">
        <v>2384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253" t="str">
        <f t="shared" si="28"/>
        <v>U_SHOSHONE_PATHFINDER</v>
      </c>
      <c r="B1682" s="9" t="s">
        <v>2385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253" t="str">
        <f t="shared" si="28"/>
        <v>U_SIAMESE_WARELEPHANT</v>
      </c>
      <c r="B1683" s="9" t="s">
        <v>2386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253" t="str">
        <f t="shared" si="28"/>
        <v>U_SONGHAI_MUSLIMCAVALRY</v>
      </c>
      <c r="B1684" s="9" t="s">
        <v>2387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253" t="str">
        <f t="shared" si="28"/>
        <v>U_SPANISH_CONQUISTADOR</v>
      </c>
      <c r="B1685" s="9" t="s">
        <v>2388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253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0.15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253" t="str">
        <f t="shared" si="28"/>
        <v>U_SPANISH_TERCIO</v>
      </c>
      <c r="B1687" s="9" t="s">
        <v>2389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253" t="str">
        <f t="shared" si="28"/>
        <v>U_SPANISH_TERCIO</v>
      </c>
      <c r="B1688" s="9" t="s">
        <v>2389</v>
      </c>
      <c r="C1688" s="5"/>
      <c r="D1688" s="5"/>
      <c r="E1688" s="5" t="s">
        <v>1601</v>
      </c>
      <c r="F1688" s="5" t="s">
        <v>1601</v>
      </c>
      <c r="G1688" s="5" t="s">
        <v>2069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253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253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253" t="str">
        <f t="shared" si="28"/>
        <v>U_SWEDISH_CAROLEAN</v>
      </c>
      <c r="B1691" s="9" t="s">
        <v>2390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253" t="str">
        <f t="shared" si="28"/>
        <v>U_SWEDISH_HAKKAPELITTA</v>
      </c>
      <c r="B1692" s="9" t="s">
        <v>2407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253" t="str">
        <f t="shared" si="28"/>
        <v>U_VENETIAN_GALLEASS</v>
      </c>
      <c r="B1693" s="9" t="s">
        <v>2391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253" t="str">
        <f t="shared" si="28"/>
        <v>U_VENETIAN_MERCHANT</v>
      </c>
      <c r="B1694" s="9" t="s">
        <v>2392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253" t="str">
        <f t="shared" si="28"/>
        <v>U_ZULU_IMPI_WARRIOR</v>
      </c>
      <c r="B1695" s="9" t="s">
        <v>2344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253" t="str">
        <f t="shared" si="28"/>
        <v>U_ZULU_IMPI_WARRIOR</v>
      </c>
      <c r="B1696" s="9" t="s">
        <v>2344</v>
      </c>
      <c r="C1696" s="5"/>
      <c r="D1696" s="5"/>
      <c r="E1696" s="5" t="s">
        <v>1608</v>
      </c>
      <c r="F1696" s="5" t="s">
        <v>1608</v>
      </c>
      <c r="G1696" s="5" t="s">
        <v>2055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253" t="str">
        <f t="shared" si="28"/>
        <v>U_ZULU_IMPI_WARRIOR</v>
      </c>
      <c r="B1697" s="9" t="s">
        <v>2344</v>
      </c>
      <c r="C1697" s="5"/>
      <c r="D1697" s="5"/>
      <c r="E1697" s="5" t="s">
        <v>1608</v>
      </c>
      <c r="F1697" s="5" t="s">
        <v>1608</v>
      </c>
      <c r="G1697" s="5" t="s">
        <v>2057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253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253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253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253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253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253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253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253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253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253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253" t="str">
        <f t="shared" si="28"/>
        <v>WW1_BOMBER</v>
      </c>
      <c r="B1708" s="9" t="s">
        <v>2409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253" t="str">
        <f t="shared" si="28"/>
        <v>WW1_BOMBER_AUSTRALIA</v>
      </c>
      <c r="B1709" s="9" t="s">
        <v>2409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253" t="str">
        <f t="shared" si="28"/>
        <v>WW1_BOMBER_CANADA</v>
      </c>
      <c r="B1710" s="9" t="s">
        <v>2409</v>
      </c>
      <c r="C1710" s="5" t="s">
        <v>2231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253" t="str">
        <f t="shared" si="28"/>
        <v>WW1_BOMBER_CELTS</v>
      </c>
      <c r="B1711" s="9" t="s">
        <v>2409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253" t="str">
        <f t="shared" si="28"/>
        <v>WW1_BOMBER_ENGLAND</v>
      </c>
      <c r="B1712" s="9" t="s">
        <v>2409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2249</v>
      </c>
      <c r="I1712" s="5" t="s">
        <v>2247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253" t="str">
        <f t="shared" si="28"/>
        <v>WW1_FIGHTER</v>
      </c>
      <c r="B1713" s="9" t="s">
        <v>2410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253" t="str">
        <f t="shared" si="28"/>
        <v>WW1_FIGHTER_AMER</v>
      </c>
      <c r="B1714" s="9" t="s">
        <v>2410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253" t="str">
        <f t="shared" si="28"/>
        <v>WW1_FIGHTER_ASIA</v>
      </c>
      <c r="B1715" s="9" t="s">
        <v>2410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253" t="str">
        <f t="shared" si="28"/>
        <v>WW1_FIGHTER_CHINA</v>
      </c>
      <c r="B1716" s="9" t="s">
        <v>2410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253" t="str">
        <f t="shared" si="28"/>
        <v>WW1_FIGHTER_JAPAN</v>
      </c>
      <c r="B1717" s="9" t="s">
        <v>2410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253" t="str">
        <f t="shared" si="28"/>
        <v>WW1_FIGHTER_CENTAS</v>
      </c>
      <c r="B1718" s="9" t="s">
        <v>2410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253" t="str">
        <f t="shared" si="28"/>
        <v>WW1_FIGHTER_HUNS</v>
      </c>
      <c r="B1719" s="9" t="s">
        <v>2410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253" t="str">
        <f t="shared" si="28"/>
        <v>WW1_FIGHTER_EASTEU</v>
      </c>
      <c r="B1720" s="9" t="s">
        <v>2410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253" t="str">
        <f t="shared" si="28"/>
        <v>WW1_FIGHTER_RUSSIA</v>
      </c>
      <c r="B1721" s="9" t="s">
        <v>2410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253" t="str">
        <f t="shared" si="28"/>
        <v>WW1_FIGHTER_AMERICA</v>
      </c>
      <c r="B1722" s="9" t="s">
        <v>2410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253" t="str">
        <f t="shared" si="28"/>
        <v>WW1_FIGHTER_AUSTRALIA</v>
      </c>
      <c r="B1723" s="9" t="s">
        <v>2410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253" t="str">
        <f t="shared" si="28"/>
        <v>WW1_FIGHTER_AUSTRIA</v>
      </c>
      <c r="B1724" s="9" t="s">
        <v>2410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253" t="str">
        <f t="shared" si="28"/>
        <v>WW1_FIGHTER_BELGIUM</v>
      </c>
      <c r="B1725" s="9" t="s">
        <v>2410</v>
      </c>
      <c r="C1725" s="4" t="s">
        <v>704</v>
      </c>
      <c r="E1725" s="4" t="s">
        <v>779</v>
      </c>
      <c r="F1725" s="4" t="s">
        <v>779</v>
      </c>
      <c r="G1725" s="14"/>
      <c r="H1725" s="4" t="s">
        <v>2246</v>
      </c>
      <c r="I1725" s="4" t="s">
        <v>2247</v>
      </c>
    </row>
    <row r="1726" spans="1:43" x14ac:dyDescent="0.25">
      <c r="A1726" s="253" t="str">
        <f t="shared" si="28"/>
        <v>WW1_FIGHTER_CANADA</v>
      </c>
      <c r="B1726" s="9" t="s">
        <v>2410</v>
      </c>
      <c r="C1726" s="4" t="s">
        <v>2231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253" t="str">
        <f t="shared" si="28"/>
        <v>WW1_FIGHTER_CELTS</v>
      </c>
      <c r="B1727" s="9" t="s">
        <v>2410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253" t="str">
        <f t="shared" si="28"/>
        <v>WW1_FIGHTER_ENGLAND</v>
      </c>
      <c r="B1728" s="9" t="s">
        <v>2410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253" t="str">
        <f t="shared" si="28"/>
        <v>WW1_FIGHTER_FRANCE</v>
      </c>
      <c r="B1729" s="9" t="s">
        <v>2410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253" t="str">
        <f t="shared" si="28"/>
        <v>WW1_FIGHTER_GERMANY</v>
      </c>
      <c r="B1730" s="9" t="s">
        <v>2410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253" t="str">
        <f t="shared" si="28"/>
        <v>WW1_FIGHTER_SWISS</v>
      </c>
      <c r="B1731" s="9" t="s">
        <v>2410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253" t="str">
        <f t="shared" si="28"/>
        <v>WW1_FIGHTER_MED</v>
      </c>
      <c r="B1732" s="9" t="s">
        <v>2410</v>
      </c>
      <c r="C1732" s="4" t="s">
        <v>692</v>
      </c>
      <c r="E1732" s="4" t="s">
        <v>779</v>
      </c>
      <c r="F1732" s="4" t="s">
        <v>779</v>
      </c>
      <c r="G1732" s="14"/>
      <c r="H1732" s="4" t="s">
        <v>1926</v>
      </c>
      <c r="I1732" s="4" t="s">
        <v>1927</v>
      </c>
    </row>
    <row r="1733" spans="1:43" x14ac:dyDescent="0.25">
      <c r="A1733" s="253" t="str">
        <f t="shared" si="28"/>
        <v>WW1_FIGHTER_ROME</v>
      </c>
      <c r="B1733" s="9" t="s">
        <v>2410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253" t="str">
        <f t="shared" si="28"/>
        <v>WW1_FIGHTER_OTTOMAN</v>
      </c>
      <c r="B1734" s="9" t="s">
        <v>2410</v>
      </c>
      <c r="C1734" s="4" t="s">
        <v>1037</v>
      </c>
      <c r="E1734" s="4" t="s">
        <v>779</v>
      </c>
      <c r="F1734" s="4" t="s">
        <v>779</v>
      </c>
      <c r="G1734" s="14"/>
      <c r="H1734" s="4" t="s">
        <v>2248</v>
      </c>
      <c r="I1734" s="4" t="s">
        <v>2247</v>
      </c>
    </row>
    <row r="1735" spans="1:43" x14ac:dyDescent="0.25">
      <c r="A1735" s="253" t="str">
        <f t="shared" si="28"/>
        <v>WW1_FIGHTER_SOUTHAM</v>
      </c>
      <c r="B1735" s="9" t="s">
        <v>2410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253" t="str">
        <f t="shared" si="28"/>
        <v>WW1_FIGHTER_SOUTHAS</v>
      </c>
      <c r="B1736" s="9" t="s">
        <v>2410</v>
      </c>
      <c r="C1736" s="4" t="s">
        <v>695</v>
      </c>
      <c r="E1736" s="4" t="s">
        <v>779</v>
      </c>
      <c r="F1736" s="4" t="s">
        <v>779</v>
      </c>
      <c r="G1736" s="14"/>
      <c r="H1736" s="4" t="s">
        <v>1928</v>
      </c>
      <c r="I1736" s="4" t="s">
        <v>1927</v>
      </c>
    </row>
    <row r="1737" spans="1:43" x14ac:dyDescent="0.25">
      <c r="A1737" s="253" t="str">
        <f t="shared" si="28"/>
        <v>WW1_INFANTRY</v>
      </c>
      <c r="B1737" s="9" t="s">
        <v>2411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253" t="str">
        <f t="shared" si="28"/>
        <v>WW1_INFANTRY_AMER</v>
      </c>
      <c r="B1738" s="9" t="s">
        <v>2411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253" t="str">
        <f t="shared" si="28"/>
        <v>WW1_INFANTRY_JAPAN</v>
      </c>
      <c r="B1739" s="9" t="s">
        <v>2411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253" t="str">
        <f t="shared" si="28"/>
        <v>WW1_INFANTRY_CENTAS</v>
      </c>
      <c r="B1740" s="9" t="s">
        <v>2411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259"/>
    </row>
    <row r="1741" spans="1:43" x14ac:dyDescent="0.25">
      <c r="A1741" s="253" t="str">
        <f t="shared" si="28"/>
        <v>WW1_INFANTRY_HUNS</v>
      </c>
      <c r="B1741" s="9" t="s">
        <v>2411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259"/>
    </row>
    <row r="1742" spans="1:43" x14ac:dyDescent="0.25">
      <c r="A1742" s="253" t="str">
        <f t="shared" si="28"/>
        <v>WW1_INFANTRY_EASTEU</v>
      </c>
      <c r="B1742" s="9" t="s">
        <v>2411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253" t="str">
        <f t="shared" si="28"/>
        <v>WW1_INFANTRY_AMERICA</v>
      </c>
      <c r="B1743" s="9" t="s">
        <v>2411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253" t="str">
        <f t="shared" si="28"/>
        <v>WW1_INFANTRY_AUSTRIA</v>
      </c>
      <c r="B1744" s="9" t="s">
        <v>2411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253" t="str">
        <f t="shared" si="28"/>
        <v>WW1_INFANTRY_CELTS</v>
      </c>
      <c r="B1745" s="9" t="s">
        <v>2411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253" t="str">
        <f t="shared" si="28"/>
        <v>WW1_INFANTRY_ENGLAND</v>
      </c>
      <c r="B1746" s="9" t="s">
        <v>2411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253" t="str">
        <f t="shared" si="28"/>
        <v>WW1_INFANTRY_FRANCE</v>
      </c>
      <c r="B1747" s="9" t="s">
        <v>2411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253" t="str">
        <f t="shared" si="28"/>
        <v>WW1_INFANTRY_GERMANY</v>
      </c>
      <c r="B1748" s="9" t="s">
        <v>2411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253" t="str">
        <f t="shared" si="28"/>
        <v>WW1_INFANTRY_MED</v>
      </c>
      <c r="B1749" s="9" t="s">
        <v>2411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253" t="str">
        <f t="shared" si="28"/>
        <v>WW1_INFANTRY_ROME</v>
      </c>
      <c r="B1750" s="9" t="s">
        <v>2411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253" t="str">
        <f t="shared" si="28"/>
        <v>WW1_INFANTRY_MIDEAST</v>
      </c>
      <c r="B1751" s="9" t="s">
        <v>2411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253" t="str">
        <f t="shared" ref="A1752:A1780" si="29">CONCATENATE(E1752,IF(ISBLANK(C1752),"",CONCATENATE("_",C1752)))</f>
        <v>WW1_INFANTRY_SOUTHAS</v>
      </c>
      <c r="B1752" s="9" t="s">
        <v>2411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253" t="str">
        <f t="shared" si="29"/>
        <v>WW1_TANK</v>
      </c>
      <c r="B1753" s="9" t="s">
        <v>2408</v>
      </c>
      <c r="C1753" s="5"/>
      <c r="D1753" s="5"/>
      <c r="E1753" s="5" t="s">
        <v>781</v>
      </c>
      <c r="F1753" s="5" t="s">
        <v>781</v>
      </c>
      <c r="G1753" s="5"/>
      <c r="H1753" s="5" t="s">
        <v>2250</v>
      </c>
      <c r="I1753" s="5" t="s">
        <v>2247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253" t="str">
        <f t="shared" si="29"/>
        <v>WW1_TANK_AMER</v>
      </c>
      <c r="B1754" s="9" t="s">
        <v>2408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253" t="str">
        <f t="shared" si="29"/>
        <v>WW1_TANK_CHINA</v>
      </c>
      <c r="B1755" s="9" t="s">
        <v>2408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253" t="str">
        <f t="shared" si="29"/>
        <v>WW1_TANK_JAPAN</v>
      </c>
      <c r="B1756" s="9" t="s">
        <v>2408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253" t="str">
        <f t="shared" si="29"/>
        <v>WW1_TANK_HUNS</v>
      </c>
      <c r="B1757" s="9" t="s">
        <v>2408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253" t="str">
        <f t="shared" si="29"/>
        <v>WW1_TANK_EASTEU</v>
      </c>
      <c r="B1758" s="9" t="s">
        <v>2408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253" t="str">
        <f t="shared" si="29"/>
        <v>WW1_TANK_POLAND</v>
      </c>
      <c r="B1759" s="9" t="s">
        <v>2408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253" t="str">
        <f t="shared" si="29"/>
        <v>WW1_TANK_RUSSIA</v>
      </c>
      <c r="B1760" s="9" t="s">
        <v>2408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253" t="str">
        <f t="shared" si="29"/>
        <v>WW1_TANK_AMERICA</v>
      </c>
      <c r="B1761" s="9" t="s">
        <v>2408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253" t="str">
        <f t="shared" si="29"/>
        <v>WW1_TANK_AMERICA</v>
      </c>
      <c r="B1762" s="9" t="s">
        <v>2408</v>
      </c>
      <c r="C1762" s="4" t="s">
        <v>699</v>
      </c>
      <c r="E1762" s="4" t="s">
        <v>781</v>
      </c>
      <c r="F1762" s="4" t="s">
        <v>781</v>
      </c>
      <c r="G1762" s="14"/>
      <c r="H1762" s="4" t="s">
        <v>2251</v>
      </c>
      <c r="I1762" s="4" t="s">
        <v>2247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253" t="str">
        <f t="shared" si="29"/>
        <v>WW1_TANK_AUSTRALIA</v>
      </c>
      <c r="B1763" s="9" t="s">
        <v>2408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253" t="str">
        <f t="shared" si="29"/>
        <v>WW1_TANK_AUSTRIA</v>
      </c>
      <c r="B1764" s="9" t="s">
        <v>2408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253" t="str">
        <f t="shared" si="29"/>
        <v>WW1_TANK_BELGIUM</v>
      </c>
      <c r="B1765" s="9" t="s">
        <v>2408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253" t="str">
        <f t="shared" si="29"/>
        <v>WW1_TANK_CANADA</v>
      </c>
      <c r="B1766" s="9" t="s">
        <v>2408</v>
      </c>
      <c r="C1766" s="4" t="s">
        <v>2231</v>
      </c>
      <c r="E1766" s="4" t="s">
        <v>781</v>
      </c>
      <c r="F1766" s="4" t="s">
        <v>781</v>
      </c>
      <c r="G1766" s="14"/>
      <c r="H1766" s="4" t="s">
        <v>2233</v>
      </c>
      <c r="I1766" s="4" t="s">
        <v>120</v>
      </c>
      <c r="R1766" s="11">
        <v>0.13</v>
      </c>
    </row>
    <row r="1767" spans="1:26" x14ac:dyDescent="0.25">
      <c r="A1767" s="253" t="str">
        <f t="shared" si="29"/>
        <v>WW1_TANK_CELTS</v>
      </c>
      <c r="B1767" s="9" t="s">
        <v>2408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253" t="str">
        <f t="shared" si="29"/>
        <v>WW1_TANK_ENGLAND</v>
      </c>
      <c r="B1768" s="9" t="s">
        <v>2408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2230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253" t="str">
        <f>CONCATENATE(E1769,IF(ISBLANK(C1769),"",CONCATENATE("_",C1769)))</f>
        <v>WW1_TANK_ENGLAND</v>
      </c>
      <c r="B1769" s="9" t="s">
        <v>2408</v>
      </c>
      <c r="C1769" s="4" t="s">
        <v>713</v>
      </c>
      <c r="E1769" s="4" t="s">
        <v>781</v>
      </c>
      <c r="F1769" s="4" t="s">
        <v>781</v>
      </c>
      <c r="G1769" s="14" t="s">
        <v>2055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253" t="str">
        <f t="shared" si="29"/>
        <v>WW1_TANK_FRANCE</v>
      </c>
      <c r="B1770" s="9" t="s">
        <v>2408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253" t="str">
        <f t="shared" si="29"/>
        <v>WW1_TANK_FRANCE</v>
      </c>
      <c r="B1771" s="9" t="s">
        <v>2408</v>
      </c>
      <c r="C1771" s="4" t="s">
        <v>715</v>
      </c>
      <c r="E1771" s="4" t="s">
        <v>781</v>
      </c>
      <c r="F1771" s="4" t="s">
        <v>781</v>
      </c>
      <c r="G1771" s="4" t="s">
        <v>2055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253" t="str">
        <f t="shared" si="29"/>
        <v>WW1_TANK_FRANCE</v>
      </c>
      <c r="B1772" s="9" t="s">
        <v>2408</v>
      </c>
      <c r="C1772" s="4" t="s">
        <v>715</v>
      </c>
      <c r="E1772" s="4" t="s">
        <v>781</v>
      </c>
      <c r="F1772" s="4" t="s">
        <v>781</v>
      </c>
      <c r="G1772" s="4" t="s">
        <v>2057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253" t="str">
        <f t="shared" si="29"/>
        <v>WW1_TANK_GERMANY</v>
      </c>
      <c r="B1773" s="9" t="s">
        <v>2408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253" t="str">
        <f t="shared" si="29"/>
        <v>WW1_TANK_GERMANY</v>
      </c>
      <c r="B1774" s="9" t="s">
        <v>2408</v>
      </c>
      <c r="C1774" s="4" t="s">
        <v>717</v>
      </c>
      <c r="E1774" s="4" t="s">
        <v>781</v>
      </c>
      <c r="F1774" s="4" t="s">
        <v>781</v>
      </c>
      <c r="G1774" s="14" t="s">
        <v>2055</v>
      </c>
      <c r="H1774" s="4" t="s">
        <v>2236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253" t="str">
        <f t="shared" si="29"/>
        <v>WW1_TANK_BRAZIL</v>
      </c>
      <c r="B1775" s="9" t="s">
        <v>2408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253" t="str">
        <f t="shared" si="29"/>
        <v>WW1_TANK_GREECE</v>
      </c>
      <c r="B1776" s="9" t="s">
        <v>2408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253" t="str">
        <f t="shared" si="29"/>
        <v>WW1_TANK_ROME</v>
      </c>
      <c r="B1777" s="9" t="s">
        <v>2408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253" t="str">
        <f t="shared" si="29"/>
        <v>WW1_TANK_SPAIN</v>
      </c>
      <c r="B1778" s="9" t="s">
        <v>2408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253" t="str">
        <f t="shared" si="29"/>
        <v>WW1_TANK_SWEDEN</v>
      </c>
      <c r="B1779" s="9" t="s">
        <v>2408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253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253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253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253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253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253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253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2055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253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253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2055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253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253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253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253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253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2238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253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2055</v>
      </c>
      <c r="H1794" s="4" t="s">
        <v>2239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253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2238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253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2055</v>
      </c>
      <c r="H1796" s="4" t="s">
        <v>2239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253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253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253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253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253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253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253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253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253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253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253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2237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253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2055</v>
      </c>
      <c r="H1808" s="4" t="s">
        <v>2240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253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2237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253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2055</v>
      </c>
      <c r="H1810" s="4" t="s">
        <v>2240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253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253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253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253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253" t="str">
        <f>CONCATENATE(E1815,IF(ISBLANK(C1815),"",CONCATENATE("_",C1815)))</f>
        <v>AUTOCHTHON</v>
      </c>
      <c r="C1815" s="5"/>
      <c r="D1815" s="5"/>
      <c r="E1815" s="5" t="s">
        <v>2094</v>
      </c>
      <c r="F1815" s="5" t="s">
        <v>2094</v>
      </c>
      <c r="G1815" s="5"/>
      <c r="H1815" s="5" t="s">
        <v>2099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253" t="str">
        <f t="shared" ref="A1816:A1879" si="31">CONCATENATE(E1816,IF(ISBLANK(C1816),"",CONCATENATE("_",C1816)))</f>
        <v>CAVEMAN</v>
      </c>
      <c r="B1816" s="9"/>
      <c r="C1816" s="5"/>
      <c r="D1816" s="5"/>
      <c r="E1816" s="5" t="s">
        <v>2095</v>
      </c>
      <c r="F1816" s="5" t="s">
        <v>2095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253" t="str">
        <f t="shared" si="31"/>
        <v>CAVEMAN</v>
      </c>
      <c r="B1817" s="9"/>
      <c r="C1817" s="5"/>
      <c r="D1817" s="5"/>
      <c r="E1817" s="5" t="s">
        <v>2095</v>
      </c>
      <c r="F1817" s="5" t="s">
        <v>2095</v>
      </c>
      <c r="G1817" s="5" t="s">
        <v>2055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253" t="str">
        <f t="shared" si="31"/>
        <v>CAVEMAN</v>
      </c>
      <c r="B1818" s="9"/>
      <c r="C1818" s="5"/>
      <c r="D1818" s="5"/>
      <c r="E1818" s="5" t="s">
        <v>2095</v>
      </c>
      <c r="F1818" s="5" t="s">
        <v>2095</v>
      </c>
      <c r="G1818" s="5" t="s">
        <v>2057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253" t="str">
        <f t="shared" si="31"/>
        <v>CAVEMAN</v>
      </c>
      <c r="B1819" s="9"/>
      <c r="C1819" s="5"/>
      <c r="D1819" s="5"/>
      <c r="E1819" s="5" t="s">
        <v>2095</v>
      </c>
      <c r="F1819" s="5" t="s">
        <v>2095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253" t="str">
        <f t="shared" si="31"/>
        <v>CAVEMAN</v>
      </c>
      <c r="B1820" s="9"/>
      <c r="C1820" s="5"/>
      <c r="D1820" s="5"/>
      <c r="E1820" s="5" t="s">
        <v>2095</v>
      </c>
      <c r="F1820" s="5" t="s">
        <v>2095</v>
      </c>
      <c r="G1820" s="5" t="s">
        <v>2055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253" t="str">
        <f t="shared" si="31"/>
        <v>CAVEMAN</v>
      </c>
      <c r="B1821" s="9"/>
      <c r="C1821" s="5"/>
      <c r="D1821" s="5"/>
      <c r="E1821" s="5" t="s">
        <v>2095</v>
      </c>
      <c r="F1821" s="5" t="s">
        <v>2095</v>
      </c>
      <c r="G1821" s="5" t="s">
        <v>2057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253" t="str">
        <f>CONCATENATE(E1822,IF(ISBLANK(C1822),"",CONCATENATE("_",C1822)))</f>
        <v>CAVEMAN_AFRI</v>
      </c>
      <c r="C1822" s="5" t="s">
        <v>694</v>
      </c>
      <c r="D1822" s="5"/>
      <c r="E1822" s="5" t="s">
        <v>2095</v>
      </c>
      <c r="F1822" s="5" t="s">
        <v>2095</v>
      </c>
      <c r="G1822" s="5"/>
      <c r="H1822" s="5" t="s">
        <v>2105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253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2095</v>
      </c>
      <c r="F1823" s="4" t="s">
        <v>2095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253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2095</v>
      </c>
      <c r="F1824" s="4" t="s">
        <v>2095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253" t="str">
        <f t="shared" si="31"/>
        <v>CAVEMAN_NORTHAF</v>
      </c>
      <c r="B1825" s="9"/>
      <c r="C1825" s="5" t="s">
        <v>2014</v>
      </c>
      <c r="D1825" s="5"/>
      <c r="E1825" s="5" t="s">
        <v>2095</v>
      </c>
      <c r="F1825" s="5" t="s">
        <v>2095</v>
      </c>
      <c r="G1825" s="5"/>
      <c r="H1825" s="5" t="s">
        <v>2107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253" t="str">
        <f t="shared" si="31"/>
        <v>CAVEMAN_NORTHEU</v>
      </c>
      <c r="B1826" s="9"/>
      <c r="C1826" s="4" t="s">
        <v>962</v>
      </c>
      <c r="D1826" s="4"/>
      <c r="E1826" s="4" t="s">
        <v>2095</v>
      </c>
      <c r="F1826" s="4" t="s">
        <v>2095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253" t="str">
        <f t="shared" si="31"/>
        <v>CAVEMAN_NORTHEU</v>
      </c>
      <c r="B1827" s="9"/>
      <c r="C1827" s="4" t="s">
        <v>962</v>
      </c>
      <c r="D1827" s="4"/>
      <c r="E1827" s="4" t="s">
        <v>2095</v>
      </c>
      <c r="F1827" s="4" t="s">
        <v>2095</v>
      </c>
      <c r="G1827" s="4" t="s">
        <v>2055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253" t="str">
        <f t="shared" si="31"/>
        <v>CAVEMAN_NORTHEU</v>
      </c>
      <c r="B1828" s="9"/>
      <c r="C1828" s="4" t="s">
        <v>962</v>
      </c>
      <c r="D1828" s="4"/>
      <c r="E1828" s="4" t="s">
        <v>2095</v>
      </c>
      <c r="F1828" s="4" t="s">
        <v>2095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253" t="str">
        <f t="shared" si="31"/>
        <v>CAVEMAN_NORTHEU</v>
      </c>
      <c r="B1829" s="9"/>
      <c r="C1829" s="4" t="s">
        <v>962</v>
      </c>
      <c r="D1829" s="4"/>
      <c r="E1829" s="4" t="s">
        <v>2095</v>
      </c>
      <c r="F1829" s="4" t="s">
        <v>2095</v>
      </c>
      <c r="G1829" s="4" t="s">
        <v>2055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253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2111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253" t="str">
        <f t="shared" si="31"/>
        <v>PRIMITIVE_ARCHER</v>
      </c>
      <c r="C1831" s="5"/>
      <c r="D1831" s="5"/>
      <c r="E1831" s="5" t="s">
        <v>2096</v>
      </c>
      <c r="F1831" s="5" t="s">
        <v>2096</v>
      </c>
      <c r="G1831" s="5"/>
      <c r="H1831" s="5" t="s">
        <v>2098</v>
      </c>
      <c r="I1831" s="5" t="s">
        <v>1938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253" t="str">
        <f t="shared" si="31"/>
        <v>SAVAGE</v>
      </c>
      <c r="C1832" s="5"/>
      <c r="D1832" s="5"/>
      <c r="E1832" s="5" t="s">
        <v>2097</v>
      </c>
      <c r="F1832" s="5" t="s">
        <v>2097</v>
      </c>
      <c r="G1832" s="5"/>
      <c r="H1832" s="5" t="s">
        <v>2138</v>
      </c>
      <c r="I1832" s="5" t="s">
        <v>2139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253" t="str">
        <f t="shared" si="31"/>
        <v>SAVAGE_AFRI</v>
      </c>
      <c r="B1833" s="9"/>
      <c r="C1833" s="5" t="s">
        <v>694</v>
      </c>
      <c r="D1833" s="5"/>
      <c r="E1833" s="5" t="s">
        <v>2097</v>
      </c>
      <c r="F1833" s="5" t="s">
        <v>2097</v>
      </c>
      <c r="G1833" s="5"/>
      <c r="H1833" s="5" t="s">
        <v>2106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253" t="str">
        <f t="shared" si="31"/>
        <v>SAVAGE_CELTS</v>
      </c>
      <c r="B1834" s="9"/>
      <c r="C1834" s="5" t="s">
        <v>709</v>
      </c>
      <c r="D1834" s="5" t="s">
        <v>962</v>
      </c>
      <c r="E1834" s="5" t="s">
        <v>2097</v>
      </c>
      <c r="F1834" s="5" t="s">
        <v>2097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253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2097</v>
      </c>
      <c r="F1835" s="4" t="s">
        <v>2097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253" t="str">
        <f t="shared" si="31"/>
        <v>SAVAGE_NORTHEU</v>
      </c>
      <c r="B1836" s="9"/>
      <c r="C1836" s="5" t="s">
        <v>962</v>
      </c>
      <c r="D1836" s="5"/>
      <c r="E1836" s="5" t="s">
        <v>2097</v>
      </c>
      <c r="F1836" s="5" t="s">
        <v>2097</v>
      </c>
      <c r="G1836" s="5"/>
      <c r="H1836" s="5" t="s">
        <v>2102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253" t="str">
        <f t="shared" si="31"/>
        <v>SAVAGE_NORTHAF</v>
      </c>
      <c r="C1837" s="5" t="s">
        <v>2014</v>
      </c>
      <c r="D1837" s="5"/>
      <c r="E1837" s="5" t="s">
        <v>2097</v>
      </c>
      <c r="F1837" s="5" t="s">
        <v>2097</v>
      </c>
      <c r="G1837" s="5"/>
      <c r="H1837" s="5" t="s">
        <v>2108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253" t="str">
        <f t="shared" si="31"/>
        <v>SAVAGE_NORTHAF</v>
      </c>
      <c r="C1838" s="5" t="s">
        <v>2014</v>
      </c>
      <c r="D1838" s="5"/>
      <c r="E1838" s="5" t="s">
        <v>2097</v>
      </c>
      <c r="F1838" s="5" t="s">
        <v>2097</v>
      </c>
      <c r="G1838" s="5"/>
      <c r="H1838" s="5" t="s">
        <v>2109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253" t="str">
        <f t="shared" si="31"/>
        <v>SAVAGE_NORTHAF</v>
      </c>
      <c r="C1839" s="5" t="s">
        <v>2014</v>
      </c>
      <c r="D1839" s="5"/>
      <c r="E1839" s="5" t="s">
        <v>2097</v>
      </c>
      <c r="F1839" s="5" t="s">
        <v>2097</v>
      </c>
      <c r="G1839" s="5"/>
      <c r="H1839" s="5" t="s">
        <v>2108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253" t="str">
        <f t="shared" si="31"/>
        <v>SAVAGE_NORTHAF</v>
      </c>
      <c r="C1840" s="5" t="s">
        <v>2014</v>
      </c>
      <c r="D1840" s="5"/>
      <c r="E1840" s="5" t="s">
        <v>2097</v>
      </c>
      <c r="F1840" s="5" t="s">
        <v>2097</v>
      </c>
      <c r="G1840" s="5"/>
      <c r="H1840" s="5" t="s">
        <v>2109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253" t="str">
        <f t="shared" si="31"/>
        <v>SHAMAN</v>
      </c>
      <c r="C1841" s="5"/>
      <c r="D1841" s="5"/>
      <c r="E1841" s="5" t="s">
        <v>2103</v>
      </c>
      <c r="F1841" s="5" t="s">
        <v>2103</v>
      </c>
      <c r="G1841" s="5"/>
      <c r="H1841" s="5" t="s">
        <v>2104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253" t="str">
        <f t="shared" si="31"/>
        <v>2HANDER</v>
      </c>
      <c r="C1842" s="5"/>
      <c r="D1842" s="5"/>
      <c r="E1842" s="5" t="s">
        <v>2178</v>
      </c>
      <c r="F1842" s="5" t="s">
        <v>2178</v>
      </c>
      <c r="G1842" s="5"/>
      <c r="H1842" s="5" t="s">
        <v>2182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253" t="str">
        <f t="shared" si="31"/>
        <v>REITER</v>
      </c>
      <c r="C1843" s="5"/>
      <c r="D1843" s="5"/>
      <c r="E1843" s="5" t="s">
        <v>2179</v>
      </c>
      <c r="F1843" s="5" t="s">
        <v>2179</v>
      </c>
      <c r="G1843" s="5"/>
      <c r="H1843" s="5" t="s">
        <v>2183</v>
      </c>
      <c r="I1843" s="5" t="s">
        <v>1938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253" t="str">
        <f t="shared" si="31"/>
        <v>RODELEROS</v>
      </c>
      <c r="C1844" s="5"/>
      <c r="D1844" s="5"/>
      <c r="E1844" s="5" t="s">
        <v>2180</v>
      </c>
      <c r="F1844" s="5" t="s">
        <v>2180</v>
      </c>
      <c r="G1844" s="5"/>
      <c r="H1844" s="5" t="s">
        <v>2184</v>
      </c>
      <c r="I1844" s="5" t="s">
        <v>1938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253" t="str">
        <f t="shared" si="31"/>
        <v>FREE_COMPANY</v>
      </c>
      <c r="C1845" s="5"/>
      <c r="D1845" s="5"/>
      <c r="E1845" s="5" t="s">
        <v>2181</v>
      </c>
      <c r="F1845" s="5" t="s">
        <v>2181</v>
      </c>
      <c r="G1845" s="5"/>
      <c r="H1845" s="5" t="s">
        <v>2185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253" t="str">
        <f t="shared" si="31"/>
        <v>FREE_COMPANY</v>
      </c>
      <c r="C1846" s="5"/>
      <c r="D1846" s="5"/>
      <c r="E1846" s="5" t="s">
        <v>2181</v>
      </c>
      <c r="F1846" s="5" t="s">
        <v>2181</v>
      </c>
      <c r="G1846" s="5" t="s">
        <v>2048</v>
      </c>
      <c r="H1846" s="5" t="s">
        <v>2186</v>
      </c>
      <c r="I1846" s="5" t="s">
        <v>1813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s="2" customFormat="1" x14ac:dyDescent="0.25">
      <c r="A1847" s="253" t="str">
        <f t="shared" si="31"/>
        <v>EE_CARRACK</v>
      </c>
      <c r="B1847" s="9"/>
      <c r="C1847" s="5"/>
      <c r="D1847" s="5"/>
      <c r="E1847" s="5" t="s">
        <v>2072</v>
      </c>
      <c r="F1847" s="5" t="s">
        <v>2072</v>
      </c>
      <c r="G1847" s="5"/>
      <c r="H1847" s="5" t="s">
        <v>2073</v>
      </c>
      <c r="I1847" s="5" t="s">
        <v>1987</v>
      </c>
      <c r="J1847" s="6"/>
      <c r="K1847" s="7">
        <v>1</v>
      </c>
      <c r="L1847" s="13" t="s">
        <v>1708</v>
      </c>
      <c r="M1847" s="8"/>
      <c r="N1847" s="13" t="s">
        <v>1727</v>
      </c>
      <c r="O1847" s="13"/>
      <c r="P1847" s="13"/>
      <c r="Q1847" s="7">
        <v>1</v>
      </c>
      <c r="R1847" s="6" t="s">
        <v>1695</v>
      </c>
      <c r="S1847" s="13"/>
      <c r="T1847" s="7">
        <v>3</v>
      </c>
      <c r="U1847" s="7" t="s">
        <v>1737</v>
      </c>
      <c r="V1847" s="5" t="s">
        <v>1696</v>
      </c>
      <c r="W1847" s="6"/>
      <c r="X1847" s="6"/>
      <c r="Y1847" s="5"/>
      <c r="Z1847" s="6">
        <v>1</v>
      </c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253" t="str">
        <f t="shared" si="31"/>
        <v>EE_CARRACK_OTTOMAN</v>
      </c>
      <c r="C1848" s="5" t="s">
        <v>1037</v>
      </c>
      <c r="D1848" s="5"/>
      <c r="E1848" s="5" t="s">
        <v>2072</v>
      </c>
      <c r="F1848" s="5" t="s">
        <v>2072</v>
      </c>
      <c r="G1848" s="5"/>
      <c r="H1848" s="5" t="s">
        <v>1984</v>
      </c>
      <c r="I1848" s="5" t="s">
        <v>1987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7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253" t="str">
        <f t="shared" si="31"/>
        <v>EE_CARRACK_RUSSIA</v>
      </c>
      <c r="C1849" s="5" t="s">
        <v>735</v>
      </c>
      <c r="D1849" s="5"/>
      <c r="E1849" s="5" t="s">
        <v>2072</v>
      </c>
      <c r="F1849" s="5" t="s">
        <v>2072</v>
      </c>
      <c r="G1849" s="5"/>
      <c r="H1849" s="5" t="s">
        <v>1980</v>
      </c>
      <c r="I1849" s="5" t="s">
        <v>1987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7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x14ac:dyDescent="0.25">
      <c r="A1850" s="253" t="str">
        <f t="shared" si="31"/>
        <v>EE_CARRACK_ENGLAND</v>
      </c>
      <c r="C1850" s="5" t="s">
        <v>713</v>
      </c>
      <c r="D1850" s="5"/>
      <c r="E1850" s="5" t="s">
        <v>2072</v>
      </c>
      <c r="F1850" s="5" t="s">
        <v>2072</v>
      </c>
      <c r="G1850" s="5"/>
      <c r="H1850" s="5" t="s">
        <v>1981</v>
      </c>
      <c r="I1850" s="5" t="s">
        <v>1987</v>
      </c>
      <c r="J1850" s="6"/>
      <c r="K1850" s="7">
        <v>1</v>
      </c>
      <c r="L1850" s="13"/>
      <c r="M1850" s="8"/>
      <c r="N1850" s="13"/>
      <c r="O1850" s="13"/>
      <c r="P1850" s="13"/>
      <c r="Q1850" s="7"/>
      <c r="R1850" s="6"/>
      <c r="S1850" s="5"/>
      <c r="T1850" s="7"/>
      <c r="U1850" s="7"/>
      <c r="V1850" s="5"/>
      <c r="W1850" s="6"/>
      <c r="X1850" s="6"/>
      <c r="Y1850" s="5"/>
      <c r="Z1850" s="6"/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253" t="str">
        <f t="shared" si="31"/>
        <v>EE_CARRACK_FRANCE</v>
      </c>
      <c r="C1851" s="5" t="s">
        <v>715</v>
      </c>
      <c r="D1851" s="5"/>
      <c r="E1851" s="5" t="s">
        <v>2072</v>
      </c>
      <c r="F1851" s="5" t="s">
        <v>2072</v>
      </c>
      <c r="G1851" s="5"/>
      <c r="H1851" s="5" t="s">
        <v>1982</v>
      </c>
      <c r="I1851" s="5" t="s">
        <v>1987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253" t="str">
        <f t="shared" si="31"/>
        <v>EE_CARRACK_ROME</v>
      </c>
      <c r="C1852" s="5" t="s">
        <v>734</v>
      </c>
      <c r="D1852" s="5"/>
      <c r="E1852" s="5" t="s">
        <v>2072</v>
      </c>
      <c r="F1852" s="5" t="s">
        <v>2072</v>
      </c>
      <c r="G1852" s="5"/>
      <c r="H1852" s="5" t="s">
        <v>1986</v>
      </c>
      <c r="I1852" s="5" t="s">
        <v>1987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253" t="str">
        <f t="shared" si="31"/>
        <v>EE_CARRACK_NORTHAF</v>
      </c>
      <c r="C1853" s="5" t="s">
        <v>2014</v>
      </c>
      <c r="D1853" s="5"/>
      <c r="E1853" s="5" t="s">
        <v>2072</v>
      </c>
      <c r="F1853" s="5" t="s">
        <v>2072</v>
      </c>
      <c r="G1853" s="5"/>
      <c r="H1853" s="5" t="s">
        <v>1983</v>
      </c>
      <c r="I1853" s="5" t="s">
        <v>1987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253" t="str">
        <f t="shared" si="31"/>
        <v>EE_CARRACK_SWEDEN</v>
      </c>
      <c r="C1854" s="5" t="s">
        <v>739</v>
      </c>
      <c r="D1854" s="5"/>
      <c r="E1854" s="5" t="s">
        <v>2072</v>
      </c>
      <c r="F1854" s="5" t="s">
        <v>2072</v>
      </c>
      <c r="G1854" s="5"/>
      <c r="H1854" s="5" t="s">
        <v>1985</v>
      </c>
      <c r="I1854" s="5" t="s">
        <v>1987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253" t="str">
        <f t="shared" si="31"/>
        <v>EE_CRUISER</v>
      </c>
      <c r="C1855" s="5"/>
      <c r="D1855" s="5"/>
      <c r="E1855" s="5" t="s">
        <v>2198</v>
      </c>
      <c r="F1855" s="5" t="s">
        <v>2198</v>
      </c>
      <c r="G1855" s="5"/>
      <c r="H1855" s="5" t="s">
        <v>2199</v>
      </c>
      <c r="I1855" s="5" t="s">
        <v>1938</v>
      </c>
      <c r="J1855" s="6"/>
      <c r="K1855" s="7">
        <v>1</v>
      </c>
      <c r="L1855" s="13"/>
      <c r="M1855" s="8"/>
      <c r="N1855" s="13"/>
      <c r="O1855" s="13"/>
      <c r="P1855" s="13"/>
      <c r="Q1855" s="7">
        <v>1</v>
      </c>
      <c r="R1855" s="6">
        <v>0.08</v>
      </c>
      <c r="S1855" s="5"/>
      <c r="T1855" s="7"/>
      <c r="U1855" s="7">
        <v>6.5000000000000002E-2</v>
      </c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253" t="str">
        <f t="shared" si="31"/>
        <v>EE_CUIRASSIER</v>
      </c>
      <c r="C1856" s="5"/>
      <c r="D1856" s="5"/>
      <c r="E1856" s="5" t="s">
        <v>2085</v>
      </c>
      <c r="F1856" s="5" t="s">
        <v>2085</v>
      </c>
      <c r="G1856" s="5"/>
      <c r="H1856" s="5" t="s">
        <v>2087</v>
      </c>
      <c r="I1856" s="5" t="s">
        <v>2086</v>
      </c>
      <c r="J1856" s="6"/>
      <c r="K1856" s="7">
        <v>1</v>
      </c>
      <c r="L1856" s="13"/>
      <c r="M1856" s="8"/>
      <c r="N1856" s="13"/>
      <c r="O1856" s="13"/>
      <c r="P1856" s="13"/>
      <c r="Q1856" s="7" t="s">
        <v>1695</v>
      </c>
      <c r="R1856" s="6" t="s">
        <v>1695</v>
      </c>
      <c r="S1856" s="13" t="s">
        <v>1695</v>
      </c>
      <c r="T1856" s="6" t="s">
        <v>1695</v>
      </c>
      <c r="U1856" s="7" t="s">
        <v>1695</v>
      </c>
      <c r="V1856" s="5" t="s">
        <v>1701</v>
      </c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1695</v>
      </c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253" t="str">
        <f t="shared" si="31"/>
        <v>EE_EXPLORER</v>
      </c>
      <c r="C1857" s="5"/>
      <c r="D1857" s="5"/>
      <c r="E1857" s="5" t="s">
        <v>2190</v>
      </c>
      <c r="F1857" s="5" t="s">
        <v>2190</v>
      </c>
      <c r="G1857" s="5" t="s">
        <v>1973</v>
      </c>
      <c r="H1857" s="5" t="s">
        <v>2194</v>
      </c>
      <c r="I1857" s="5" t="s">
        <v>1938</v>
      </c>
      <c r="J1857" s="6"/>
      <c r="K1857" s="7">
        <v>1</v>
      </c>
      <c r="L1857" s="13"/>
      <c r="M1857" s="8"/>
      <c r="N1857" s="13"/>
      <c r="O1857" s="13"/>
      <c r="P1857" s="13"/>
      <c r="Q1857" s="7">
        <v>2</v>
      </c>
      <c r="R1857" s="6" t="s">
        <v>1737</v>
      </c>
      <c r="S1857" s="13" t="s">
        <v>20</v>
      </c>
      <c r="T1857" s="6"/>
      <c r="U1857" s="6">
        <v>0.08</v>
      </c>
      <c r="V1857" s="5"/>
      <c r="W1857" s="6" t="s">
        <v>3</v>
      </c>
      <c r="X1857" s="6" t="s">
        <v>3</v>
      </c>
      <c r="Y1857" s="5"/>
      <c r="Z1857" s="6">
        <v>1</v>
      </c>
      <c r="AA1857" s="6"/>
      <c r="AB1857" s="5"/>
      <c r="AC1857" s="6"/>
      <c r="AD1857" s="6" t="s">
        <v>3</v>
      </c>
      <c r="AE1857" s="5"/>
      <c r="AF1857" s="6">
        <v>1</v>
      </c>
      <c r="AG1857" s="6"/>
      <c r="AH1857" s="5"/>
      <c r="AI1857" s="6">
        <v>1</v>
      </c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253" t="str">
        <f t="shared" si="31"/>
        <v>EE_EXPLORER</v>
      </c>
      <c r="C1858" s="5"/>
      <c r="D1858" s="5"/>
      <c r="E1858" s="5" t="s">
        <v>2190</v>
      </c>
      <c r="F1858" s="5" t="s">
        <v>2190</v>
      </c>
      <c r="G1858" s="5" t="s">
        <v>2191</v>
      </c>
      <c r="H1858" s="5" t="s">
        <v>2195</v>
      </c>
      <c r="I1858" s="5" t="s">
        <v>1938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 t="s">
        <v>1737</v>
      </c>
      <c r="S1858" s="13" t="s">
        <v>20</v>
      </c>
      <c r="T1858" s="6"/>
      <c r="U1858" s="6">
        <v>0.08</v>
      </c>
      <c r="V1858" s="5"/>
      <c r="W1858" s="6" t="s">
        <v>3</v>
      </c>
      <c r="X1858" s="6" t="s">
        <v>3</v>
      </c>
      <c r="Y1858" s="5"/>
      <c r="Z1858" s="6">
        <v>0</v>
      </c>
      <c r="AA1858" s="6"/>
      <c r="AB1858" s="5"/>
      <c r="AC1858" s="6"/>
      <c r="AD1858" s="6" t="s">
        <v>3</v>
      </c>
      <c r="AE1858" s="5"/>
      <c r="AF1858" s="6">
        <v>1</v>
      </c>
      <c r="AG1858" s="6"/>
      <c r="AH1858" s="5"/>
      <c r="AI1858" s="6">
        <v>2</v>
      </c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253" t="str">
        <f t="shared" si="31"/>
        <v>EE_EXPLORER</v>
      </c>
      <c r="C1859" s="5"/>
      <c r="D1859" s="5"/>
      <c r="E1859" s="5" t="s">
        <v>2190</v>
      </c>
      <c r="F1859" s="5" t="s">
        <v>2190</v>
      </c>
      <c r="G1859" s="5" t="s">
        <v>2192</v>
      </c>
      <c r="H1859" s="5" t="s">
        <v>2196</v>
      </c>
      <c r="I1859" s="5" t="s">
        <v>1938</v>
      </c>
      <c r="J1859" s="6"/>
      <c r="K1859" s="7">
        <v>1</v>
      </c>
      <c r="L1859" s="13"/>
      <c r="M1859" s="8"/>
      <c r="N1859" s="13"/>
      <c r="O1859" s="13"/>
      <c r="P1859" s="13"/>
      <c r="Q1859" s="7">
        <v>2</v>
      </c>
      <c r="R1859" s="6" t="s">
        <v>1737</v>
      </c>
      <c r="S1859" s="13" t="s">
        <v>20</v>
      </c>
      <c r="T1859" s="6"/>
      <c r="U1859" s="6">
        <v>0.08</v>
      </c>
      <c r="V1859" s="5"/>
      <c r="W1859" s="6" t="s">
        <v>3</v>
      </c>
      <c r="X1859" s="6" t="s">
        <v>3</v>
      </c>
      <c r="Y1859" s="5"/>
      <c r="Z1859" s="6">
        <v>0</v>
      </c>
      <c r="AA1859" s="6"/>
      <c r="AB1859" s="5"/>
      <c r="AC1859" s="6"/>
      <c r="AD1859" s="6" t="s">
        <v>3</v>
      </c>
      <c r="AE1859" s="5"/>
      <c r="AF1859" s="6">
        <v>0</v>
      </c>
      <c r="AG1859" s="6"/>
      <c r="AH1859" s="5"/>
      <c r="AI1859" s="6">
        <v>1</v>
      </c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253" t="str">
        <f t="shared" si="31"/>
        <v>EE_EXPLORER</v>
      </c>
      <c r="C1860" s="5"/>
      <c r="D1860" s="5"/>
      <c r="E1860" s="5" t="s">
        <v>2190</v>
      </c>
      <c r="F1860" s="5" t="s">
        <v>2190</v>
      </c>
      <c r="G1860" s="5" t="s">
        <v>2193</v>
      </c>
      <c r="H1860" s="5" t="s">
        <v>2197</v>
      </c>
      <c r="I1860" s="5" t="s">
        <v>1938</v>
      </c>
      <c r="J1860" s="6"/>
      <c r="K1860" s="7">
        <v>1</v>
      </c>
      <c r="L1860" s="13"/>
      <c r="M1860" s="8"/>
      <c r="N1860" s="13"/>
      <c r="O1860" s="13"/>
      <c r="P1860" s="13"/>
      <c r="Q1860" s="7">
        <v>1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0</v>
      </c>
      <c r="AA1860" s="6"/>
      <c r="AB1860" s="5"/>
      <c r="AC1860" s="6"/>
      <c r="AD1860" s="6" t="s">
        <v>3</v>
      </c>
      <c r="AE1860" s="5"/>
      <c r="AF1860" s="6">
        <v>0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253" t="str">
        <f t="shared" si="31"/>
        <v>EE_FIELD_GUN</v>
      </c>
      <c r="C1861" s="5"/>
      <c r="D1861" s="5"/>
      <c r="E1861" s="5" t="s">
        <v>2077</v>
      </c>
      <c r="F1861" s="5" t="s">
        <v>2077</v>
      </c>
      <c r="G1861" s="5"/>
      <c r="H1861" s="5" t="s">
        <v>337</v>
      </c>
      <c r="I1861" s="5" t="s">
        <v>1059</v>
      </c>
      <c r="J1861" s="6"/>
      <c r="K1861" s="7">
        <v>1</v>
      </c>
      <c r="L1861" s="13"/>
      <c r="M1861" s="8"/>
      <c r="N1861" s="13"/>
      <c r="O1861" s="13"/>
      <c r="P1861" s="13"/>
      <c r="Q1861" s="7">
        <v>3</v>
      </c>
      <c r="R1861" s="6" t="s">
        <v>1695</v>
      </c>
      <c r="S1861" s="5" t="s">
        <v>1611</v>
      </c>
      <c r="T1861" s="7"/>
      <c r="U1861" s="7" t="s">
        <v>1737</v>
      </c>
      <c r="V1861" s="5" t="s">
        <v>1697</v>
      </c>
      <c r="W1861" s="6" t="s">
        <v>3</v>
      </c>
      <c r="X1861" s="6" t="s">
        <v>3</v>
      </c>
      <c r="Y1861" s="5"/>
      <c r="Z1861" s="6">
        <v>1</v>
      </c>
      <c r="AA1861" s="6"/>
      <c r="AB1861" s="5"/>
      <c r="AC1861" s="6"/>
      <c r="AD1861" s="6" t="s">
        <v>3</v>
      </c>
      <c r="AE1861" s="5"/>
      <c r="AF1861" s="6">
        <v>3</v>
      </c>
      <c r="AG1861" s="6"/>
      <c r="AH1861" s="5"/>
      <c r="AI1861" s="6">
        <v>7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253" t="str">
        <f t="shared" si="31"/>
        <v>EE_FIELD_GUN_ENGLAND</v>
      </c>
      <c r="C1862" s="5" t="s">
        <v>713</v>
      </c>
      <c r="D1862" s="5"/>
      <c r="E1862" s="5" t="s">
        <v>2077</v>
      </c>
      <c r="F1862" s="5" t="s">
        <v>2077</v>
      </c>
      <c r="G1862" s="5"/>
      <c r="H1862" s="5" t="s">
        <v>2078</v>
      </c>
      <c r="I1862" s="5" t="s">
        <v>966</v>
      </c>
      <c r="J1862" s="6"/>
      <c r="K1862" s="7">
        <v>1</v>
      </c>
      <c r="L1862" s="13"/>
      <c r="M1862" s="8"/>
      <c r="N1862" s="13"/>
      <c r="O1862" s="13"/>
      <c r="P1862" s="13"/>
      <c r="Q1862" s="7"/>
      <c r="R1862" s="6"/>
      <c r="S1862" s="5"/>
      <c r="T1862" s="7"/>
      <c r="U1862" s="7"/>
      <c r="V1862" s="5"/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253" t="str">
        <f t="shared" si="31"/>
        <v>EE_LINE_INFANTRY</v>
      </c>
      <c r="E1863" s="4" t="s">
        <v>1990</v>
      </c>
      <c r="F1863" s="4" t="s">
        <v>1990</v>
      </c>
      <c r="G1863" s="14"/>
      <c r="H1863" s="4" t="s">
        <v>1993</v>
      </c>
      <c r="I1863" s="4" t="s">
        <v>122</v>
      </c>
      <c r="K1863" s="7">
        <v>1</v>
      </c>
      <c r="Q1863" s="11">
        <v>4</v>
      </c>
      <c r="R1863" s="11" t="s">
        <v>1737</v>
      </c>
      <c r="S1863" s="4" t="s">
        <v>1619</v>
      </c>
      <c r="T1863" s="11">
        <v>5</v>
      </c>
      <c r="U1863" s="11" t="s">
        <v>1737</v>
      </c>
      <c r="W1863" s="11" t="s">
        <v>3</v>
      </c>
      <c r="X1863" s="11" t="s">
        <v>3</v>
      </c>
      <c r="Z1863" s="11">
        <v>1</v>
      </c>
      <c r="AD1863" s="11" t="s">
        <v>3</v>
      </c>
      <c r="AF1863" s="11">
        <v>1</v>
      </c>
      <c r="AI1863" s="11">
        <v>2</v>
      </c>
    </row>
    <row r="1864" spans="1:43" x14ac:dyDescent="0.25">
      <c r="A1864" s="253" t="str">
        <f t="shared" si="31"/>
        <v>EE_LINE_INFANTRY</v>
      </c>
      <c r="E1864" s="4" t="s">
        <v>1990</v>
      </c>
      <c r="F1864" s="4" t="s">
        <v>1990</v>
      </c>
      <c r="G1864" s="14" t="s">
        <v>2055</v>
      </c>
      <c r="H1864" s="4" t="s">
        <v>1991</v>
      </c>
      <c r="I1864" s="4" t="s">
        <v>122</v>
      </c>
      <c r="K1864" s="7">
        <v>1</v>
      </c>
      <c r="Q1864" s="11">
        <v>2</v>
      </c>
      <c r="R1864" s="11" t="s">
        <v>1737</v>
      </c>
      <c r="S1864" s="4" t="s">
        <v>1619</v>
      </c>
      <c r="T1864" s="11">
        <v>2</v>
      </c>
      <c r="U1864" s="11" t="s">
        <v>1737</v>
      </c>
      <c r="W1864" s="11" t="s">
        <v>3</v>
      </c>
      <c r="X1864" s="11" t="s">
        <v>3</v>
      </c>
      <c r="Z1864" s="11">
        <v>0</v>
      </c>
      <c r="AD1864" s="11" t="s">
        <v>3</v>
      </c>
      <c r="AF1864" s="11">
        <v>1</v>
      </c>
      <c r="AI1864" s="11">
        <v>1</v>
      </c>
    </row>
    <row r="1865" spans="1:43" x14ac:dyDescent="0.25">
      <c r="A1865" s="253" t="str">
        <f t="shared" si="31"/>
        <v>EE_LINE_INFANTRY</v>
      </c>
      <c r="E1865" s="4" t="s">
        <v>1990</v>
      </c>
      <c r="F1865" s="4" t="s">
        <v>1990</v>
      </c>
      <c r="G1865" s="14" t="s">
        <v>2057</v>
      </c>
      <c r="H1865" s="4" t="s">
        <v>1992</v>
      </c>
      <c r="I1865" s="4" t="s">
        <v>122</v>
      </c>
      <c r="K1865" s="7">
        <v>1</v>
      </c>
      <c r="Q1865" s="11">
        <v>1</v>
      </c>
      <c r="R1865" s="11" t="s">
        <v>1737</v>
      </c>
      <c r="S1865" s="4" t="s">
        <v>1619</v>
      </c>
      <c r="T1865" s="11">
        <v>1</v>
      </c>
      <c r="U1865" s="11" t="s">
        <v>1737</v>
      </c>
      <c r="W1865" s="11" t="s">
        <v>3</v>
      </c>
      <c r="X1865" s="11" t="s">
        <v>3</v>
      </c>
      <c r="Z1865" s="11">
        <v>0</v>
      </c>
      <c r="AD1865" s="11" t="s">
        <v>3</v>
      </c>
      <c r="AF1865" s="11">
        <v>1</v>
      </c>
      <c r="AI1865" s="11">
        <v>1</v>
      </c>
    </row>
    <row r="1866" spans="1:43" x14ac:dyDescent="0.25">
      <c r="A1866" s="253" t="str">
        <f t="shared" si="31"/>
        <v>EE_LINE_INFANTRY</v>
      </c>
      <c r="E1866" s="4" t="s">
        <v>1990</v>
      </c>
      <c r="F1866" s="4" t="s">
        <v>1990</v>
      </c>
      <c r="G1866" s="14"/>
      <c r="H1866" s="4" t="s">
        <v>1993</v>
      </c>
      <c r="I1866" s="4" t="s">
        <v>122</v>
      </c>
      <c r="K1866" s="7">
        <v>1</v>
      </c>
      <c r="Q1866" s="11">
        <v>4</v>
      </c>
      <c r="R1866" s="11" t="s">
        <v>1737</v>
      </c>
      <c r="S1866" s="4" t="s">
        <v>1619</v>
      </c>
      <c r="T1866" s="11">
        <v>6</v>
      </c>
      <c r="U1866" s="11" t="s">
        <v>1737</v>
      </c>
      <c r="W1866" s="11" t="s">
        <v>3</v>
      </c>
      <c r="X1866" s="11" t="s">
        <v>3</v>
      </c>
      <c r="Z1866" s="11">
        <v>0</v>
      </c>
      <c r="AD1866" s="11" t="s">
        <v>3</v>
      </c>
      <c r="AF1866" s="11">
        <v>0</v>
      </c>
      <c r="AI1866" s="11">
        <v>3</v>
      </c>
    </row>
    <row r="1867" spans="1:43" x14ac:dyDescent="0.25">
      <c r="A1867" s="253" t="str">
        <f t="shared" si="31"/>
        <v>EE_LINE_INFANTRY</v>
      </c>
      <c r="E1867" s="4" t="s">
        <v>1990</v>
      </c>
      <c r="F1867" s="4" t="s">
        <v>1990</v>
      </c>
      <c r="G1867" s="14" t="s">
        <v>2055</v>
      </c>
      <c r="H1867" s="4" t="s">
        <v>1991</v>
      </c>
      <c r="I1867" s="4" t="s">
        <v>122</v>
      </c>
      <c r="K1867" s="7">
        <v>1</v>
      </c>
      <c r="Q1867" s="11">
        <v>2</v>
      </c>
      <c r="R1867" s="11" t="s">
        <v>1737</v>
      </c>
      <c r="S1867" s="4" t="s">
        <v>1619</v>
      </c>
      <c r="T1867" s="11">
        <v>3</v>
      </c>
      <c r="U1867" s="11" t="s">
        <v>1737</v>
      </c>
      <c r="W1867" s="11" t="s">
        <v>3</v>
      </c>
      <c r="X1867" s="11" t="s">
        <v>3</v>
      </c>
      <c r="Z1867" s="11">
        <v>0</v>
      </c>
      <c r="AD1867" s="11" t="s">
        <v>3</v>
      </c>
      <c r="AF1867" s="11">
        <v>0</v>
      </c>
      <c r="AI1867" s="11">
        <v>0</v>
      </c>
    </row>
    <row r="1868" spans="1:43" x14ac:dyDescent="0.25">
      <c r="A1868" s="253" t="str">
        <f t="shared" si="31"/>
        <v>EE_LINE_INFANTRY</v>
      </c>
      <c r="E1868" s="4" t="s">
        <v>1990</v>
      </c>
      <c r="F1868" s="4" t="s">
        <v>1990</v>
      </c>
      <c r="G1868" s="14" t="s">
        <v>2057</v>
      </c>
      <c r="H1868" s="4" t="s">
        <v>1992</v>
      </c>
      <c r="I1868" s="4" t="s">
        <v>122</v>
      </c>
      <c r="K1868" s="7">
        <v>1</v>
      </c>
      <c r="Q1868" s="11">
        <v>1</v>
      </c>
      <c r="R1868" s="11" t="s">
        <v>1737</v>
      </c>
      <c r="S1868" s="4" t="s">
        <v>1619</v>
      </c>
      <c r="T1868" s="11">
        <v>2</v>
      </c>
      <c r="U1868" s="11" t="s">
        <v>1737</v>
      </c>
      <c r="W1868" s="11" t="s">
        <v>3</v>
      </c>
      <c r="X1868" s="11" t="s">
        <v>3</v>
      </c>
      <c r="Z1868" s="11">
        <v>0</v>
      </c>
      <c r="AD1868" s="11" t="s">
        <v>3</v>
      </c>
      <c r="AF1868" s="11">
        <v>0</v>
      </c>
      <c r="AI1868" s="11">
        <v>0</v>
      </c>
    </row>
    <row r="1869" spans="1:43" x14ac:dyDescent="0.25">
      <c r="A1869" s="253" t="str">
        <f t="shared" si="31"/>
        <v>EE_LINE_INFANTRY_AUSTRIA</v>
      </c>
      <c r="C1869" s="4" t="s">
        <v>701</v>
      </c>
      <c r="E1869" s="4" t="s">
        <v>1990</v>
      </c>
      <c r="F1869" s="4" t="s">
        <v>1990</v>
      </c>
      <c r="G1869" s="14"/>
      <c r="H1869" s="4" t="s">
        <v>1994</v>
      </c>
      <c r="I1869" s="4" t="s">
        <v>122</v>
      </c>
      <c r="K1869" s="7">
        <v>1</v>
      </c>
      <c r="Q1869" s="11">
        <v>4</v>
      </c>
      <c r="T1869" s="11">
        <v>5</v>
      </c>
      <c r="Z1869" s="11">
        <v>1</v>
      </c>
      <c r="AF1869" s="11">
        <v>1</v>
      </c>
      <c r="AI1869" s="11">
        <v>2</v>
      </c>
    </row>
    <row r="1870" spans="1:43" x14ac:dyDescent="0.25">
      <c r="A1870" s="253" t="str">
        <f t="shared" si="31"/>
        <v>EE_LINE_INFANTRY_AUSTRIA</v>
      </c>
      <c r="C1870" s="4" t="s">
        <v>701</v>
      </c>
      <c r="E1870" s="4" t="s">
        <v>1990</v>
      </c>
      <c r="F1870" s="4" t="s">
        <v>1990</v>
      </c>
      <c r="G1870" s="14" t="s">
        <v>2055</v>
      </c>
      <c r="H1870" s="4" t="s">
        <v>1996</v>
      </c>
      <c r="I1870" s="4" t="s">
        <v>122</v>
      </c>
      <c r="K1870" s="7">
        <v>1</v>
      </c>
      <c r="Q1870" s="11">
        <v>2</v>
      </c>
      <c r="T1870" s="11">
        <v>2</v>
      </c>
      <c r="Z1870" s="11">
        <v>0</v>
      </c>
      <c r="AF1870" s="11">
        <v>1</v>
      </c>
      <c r="AI1870" s="11">
        <v>1</v>
      </c>
    </row>
    <row r="1871" spans="1:43" x14ac:dyDescent="0.25">
      <c r="A1871" s="253" t="str">
        <f t="shared" si="31"/>
        <v>EE_LINE_INFANTRY_AUSTRIA</v>
      </c>
      <c r="C1871" s="4" t="s">
        <v>701</v>
      </c>
      <c r="E1871" s="4" t="s">
        <v>1990</v>
      </c>
      <c r="F1871" s="4" t="s">
        <v>1990</v>
      </c>
      <c r="G1871" s="14" t="s">
        <v>2057</v>
      </c>
      <c r="H1871" s="4" t="s">
        <v>1997</v>
      </c>
      <c r="I1871" s="4" t="s">
        <v>122</v>
      </c>
      <c r="K1871" s="7">
        <v>1</v>
      </c>
      <c r="Q1871" s="11">
        <v>1</v>
      </c>
      <c r="T1871" s="11">
        <v>1</v>
      </c>
      <c r="Z1871" s="11">
        <v>0</v>
      </c>
      <c r="AF1871" s="11">
        <v>1</v>
      </c>
      <c r="AI1871" s="11">
        <v>1</v>
      </c>
    </row>
    <row r="1872" spans="1:43" s="11" customFormat="1" x14ac:dyDescent="0.25">
      <c r="A1872" s="253" t="str">
        <f t="shared" si="31"/>
        <v>EE_LINE_INFANTRY_AUSTRIA</v>
      </c>
      <c r="B1872" s="9"/>
      <c r="C1872" s="4" t="s">
        <v>701</v>
      </c>
      <c r="D1872" s="4"/>
      <c r="E1872" s="4" t="s">
        <v>1990</v>
      </c>
      <c r="F1872" s="4" t="s">
        <v>1990</v>
      </c>
      <c r="G1872" s="14"/>
      <c r="H1872" s="4" t="s">
        <v>1994</v>
      </c>
      <c r="I1872" s="4" t="s">
        <v>122</v>
      </c>
      <c r="K1872" s="7">
        <v>1</v>
      </c>
      <c r="L1872" s="4"/>
      <c r="M1872" s="12"/>
      <c r="N1872" s="4"/>
      <c r="O1872" s="4"/>
      <c r="P1872" s="4"/>
      <c r="Q1872" s="11">
        <v>4</v>
      </c>
      <c r="S1872" s="4"/>
      <c r="T1872" s="11">
        <v>6</v>
      </c>
      <c r="V1872" s="4"/>
      <c r="Y1872" s="4"/>
      <c r="Z1872" s="11">
        <v>0</v>
      </c>
      <c r="AB1872" s="4"/>
      <c r="AE1872" s="4"/>
      <c r="AF1872" s="11">
        <v>0</v>
      </c>
      <c r="AH1872" s="4"/>
      <c r="AI1872" s="11">
        <v>3</v>
      </c>
      <c r="AK1872" s="4"/>
      <c r="AL1872" s="4"/>
      <c r="AM1872" s="4"/>
      <c r="AN1872" s="4"/>
      <c r="AO1872" s="4"/>
      <c r="AP1872" s="4"/>
      <c r="AQ1872" s="4"/>
    </row>
    <row r="1873" spans="1:43" s="11" customFormat="1" x14ac:dyDescent="0.25">
      <c r="A1873" s="253" t="str">
        <f t="shared" si="31"/>
        <v>EE_LINE_INFANTRY_AUSTRIA</v>
      </c>
      <c r="B1873" s="9"/>
      <c r="C1873" s="4" t="s">
        <v>701</v>
      </c>
      <c r="D1873" s="4"/>
      <c r="E1873" s="4" t="s">
        <v>1990</v>
      </c>
      <c r="F1873" s="4" t="s">
        <v>1990</v>
      </c>
      <c r="G1873" s="14" t="s">
        <v>2055</v>
      </c>
      <c r="H1873" s="4" t="s">
        <v>1996</v>
      </c>
      <c r="I1873" s="4" t="s">
        <v>122</v>
      </c>
      <c r="K1873" s="7">
        <v>1</v>
      </c>
      <c r="L1873" s="4"/>
      <c r="M1873" s="12"/>
      <c r="N1873" s="4"/>
      <c r="O1873" s="4"/>
      <c r="P1873" s="4"/>
      <c r="Q1873" s="11">
        <v>2</v>
      </c>
      <c r="S1873" s="4"/>
      <c r="T1873" s="11">
        <v>3</v>
      </c>
      <c r="V1873" s="4"/>
      <c r="Y1873" s="4"/>
      <c r="Z1873" s="11">
        <v>0</v>
      </c>
      <c r="AB1873" s="4"/>
      <c r="AE1873" s="4"/>
      <c r="AF1873" s="11">
        <v>0</v>
      </c>
      <c r="AH1873" s="4"/>
      <c r="AI1873" s="11">
        <v>0</v>
      </c>
      <c r="AK1873" s="4"/>
      <c r="AL1873" s="4"/>
      <c r="AM1873" s="4"/>
      <c r="AN1873" s="4"/>
      <c r="AO1873" s="4"/>
      <c r="AP1873" s="4"/>
      <c r="AQ1873" s="4"/>
    </row>
    <row r="1874" spans="1:43" s="11" customFormat="1" x14ac:dyDescent="0.25">
      <c r="A1874" s="253" t="str">
        <f t="shared" si="31"/>
        <v>EE_LINE_INFANTRY_AUSTRIA</v>
      </c>
      <c r="B1874" s="9"/>
      <c r="C1874" s="4" t="s">
        <v>701</v>
      </c>
      <c r="D1874" s="4"/>
      <c r="E1874" s="4" t="s">
        <v>1990</v>
      </c>
      <c r="F1874" s="4" t="s">
        <v>1990</v>
      </c>
      <c r="G1874" s="14" t="s">
        <v>2057</v>
      </c>
      <c r="H1874" s="4" t="s">
        <v>1997</v>
      </c>
      <c r="I1874" s="4" t="s">
        <v>122</v>
      </c>
      <c r="K1874" s="7">
        <v>1</v>
      </c>
      <c r="L1874" s="4"/>
      <c r="M1874" s="12"/>
      <c r="N1874" s="4"/>
      <c r="O1874" s="4"/>
      <c r="P1874" s="4"/>
      <c r="Q1874" s="11">
        <v>1</v>
      </c>
      <c r="S1874" s="4"/>
      <c r="T1874" s="11">
        <v>2</v>
      </c>
      <c r="V1874" s="4"/>
      <c r="Y1874" s="4"/>
      <c r="Z1874" s="11">
        <v>0</v>
      </c>
      <c r="AB1874" s="4"/>
      <c r="AE1874" s="4"/>
      <c r="AF1874" s="11">
        <v>0</v>
      </c>
      <c r="AH1874" s="4"/>
      <c r="AI1874" s="11">
        <v>0</v>
      </c>
      <c r="AK1874" s="4"/>
      <c r="AL1874" s="4"/>
      <c r="AM1874" s="4"/>
      <c r="AN1874" s="4"/>
      <c r="AO1874" s="4"/>
      <c r="AP1874" s="4"/>
      <c r="AQ1874" s="4"/>
    </row>
    <row r="1875" spans="1:43" s="11" customFormat="1" x14ac:dyDescent="0.25">
      <c r="A1875" s="253" t="str">
        <f t="shared" si="31"/>
        <v>EE_LINE_INFANTRY_DENMARK</v>
      </c>
      <c r="B1875" s="9"/>
      <c r="C1875" s="4" t="s">
        <v>711</v>
      </c>
      <c r="D1875" s="4"/>
      <c r="E1875" s="4" t="s">
        <v>1990</v>
      </c>
      <c r="F1875" s="4" t="s">
        <v>1990</v>
      </c>
      <c r="G1875" s="14"/>
      <c r="H1875" s="4" t="s">
        <v>1995</v>
      </c>
      <c r="I1875" s="4" t="s">
        <v>122</v>
      </c>
      <c r="K1875" s="7">
        <v>1</v>
      </c>
      <c r="L1875" s="4"/>
      <c r="M1875" s="12"/>
      <c r="N1875" s="4"/>
      <c r="O1875" s="4"/>
      <c r="P1875" s="4"/>
      <c r="Q1875" s="11">
        <v>14</v>
      </c>
      <c r="S1875" s="4"/>
      <c r="T1875" s="11">
        <v>19</v>
      </c>
      <c r="V1875" s="4"/>
      <c r="Y1875" s="4"/>
      <c r="Z1875" s="11">
        <v>1</v>
      </c>
      <c r="AB1875" s="4"/>
      <c r="AE1875" s="4"/>
      <c r="AF1875" s="11">
        <v>3</v>
      </c>
      <c r="AH1875" s="4"/>
      <c r="AI1875" s="11">
        <v>7</v>
      </c>
      <c r="AK1875" s="4"/>
      <c r="AL1875" s="4"/>
      <c r="AM1875" s="4"/>
      <c r="AN1875" s="4"/>
      <c r="AO1875" s="4"/>
      <c r="AP1875" s="4"/>
      <c r="AQ1875" s="4"/>
    </row>
    <row r="1876" spans="1:43" s="11" customFormat="1" x14ac:dyDescent="0.25">
      <c r="A1876" s="253" t="str">
        <f t="shared" si="31"/>
        <v>EE_LINE_INFANTRY_ENGLAND</v>
      </c>
      <c r="B1876" s="9"/>
      <c r="C1876" s="4" t="s">
        <v>713</v>
      </c>
      <c r="D1876" s="4"/>
      <c r="E1876" s="4" t="s">
        <v>1990</v>
      </c>
      <c r="F1876" s="4" t="s">
        <v>1990</v>
      </c>
      <c r="G1876" s="1"/>
      <c r="H1876" s="4" t="s">
        <v>1998</v>
      </c>
      <c r="I1876" s="4" t="s">
        <v>122</v>
      </c>
      <c r="K1876" s="7">
        <v>1</v>
      </c>
      <c r="L1876" s="4"/>
      <c r="M1876" s="12"/>
      <c r="N1876" s="4"/>
      <c r="O1876" s="4"/>
      <c r="P1876" s="4"/>
      <c r="Q1876" s="11">
        <v>4</v>
      </c>
      <c r="S1876" s="4"/>
      <c r="T1876" s="11">
        <v>5</v>
      </c>
      <c r="V1876" s="4"/>
      <c r="Y1876" s="4"/>
      <c r="Z1876" s="11">
        <v>1</v>
      </c>
      <c r="AB1876" s="4"/>
      <c r="AE1876" s="4"/>
      <c r="AF1876" s="11">
        <v>1</v>
      </c>
      <c r="AH1876" s="4"/>
      <c r="AI1876" s="11">
        <v>2</v>
      </c>
      <c r="AK1876" s="4"/>
      <c r="AL1876" s="4"/>
      <c r="AM1876" s="4"/>
      <c r="AN1876" s="4"/>
      <c r="AO1876" s="4"/>
      <c r="AP1876" s="4"/>
      <c r="AQ1876" s="4"/>
    </row>
    <row r="1877" spans="1:43" s="11" customFormat="1" x14ac:dyDescent="0.25">
      <c r="A1877" s="253" t="str">
        <f t="shared" si="31"/>
        <v>EE_LINE_INFANTRY_ENGLAND</v>
      </c>
      <c r="B1877" s="9"/>
      <c r="C1877" s="4" t="s">
        <v>713</v>
      </c>
      <c r="D1877" s="4"/>
      <c r="E1877" s="4" t="s">
        <v>1990</v>
      </c>
      <c r="F1877" s="4" t="s">
        <v>1990</v>
      </c>
      <c r="G1877" s="14" t="s">
        <v>2055</v>
      </c>
      <c r="H1877" s="4" t="s">
        <v>2012</v>
      </c>
      <c r="I1877" s="4" t="s">
        <v>122</v>
      </c>
      <c r="K1877" s="7">
        <v>1</v>
      </c>
      <c r="L1877" s="4"/>
      <c r="M1877" s="12"/>
      <c r="N1877" s="4"/>
      <c r="O1877" s="4"/>
      <c r="P1877" s="4"/>
      <c r="Q1877" s="11">
        <v>2</v>
      </c>
      <c r="S1877" s="4"/>
      <c r="T1877" s="11">
        <v>2</v>
      </c>
      <c r="V1877" s="4"/>
      <c r="Y1877" s="4"/>
      <c r="Z1877" s="11">
        <v>0</v>
      </c>
      <c r="AB1877" s="4"/>
      <c r="AE1877" s="4"/>
      <c r="AF1877" s="11">
        <v>1</v>
      </c>
      <c r="AH1877" s="4"/>
      <c r="AI1877" s="11">
        <v>1</v>
      </c>
      <c r="AK1877" s="4"/>
      <c r="AL1877" s="4"/>
      <c r="AM1877" s="4"/>
      <c r="AN1877" s="4"/>
      <c r="AO1877" s="4"/>
      <c r="AP1877" s="4"/>
      <c r="AQ1877" s="4"/>
    </row>
    <row r="1878" spans="1:43" s="11" customFormat="1" x14ac:dyDescent="0.25">
      <c r="A1878" s="253" t="str">
        <f t="shared" si="31"/>
        <v>EE_LINE_INFANTRY_ENGLAND</v>
      </c>
      <c r="B1878" s="9"/>
      <c r="C1878" s="4" t="s">
        <v>713</v>
      </c>
      <c r="D1878" s="4"/>
      <c r="E1878" s="4" t="s">
        <v>1990</v>
      </c>
      <c r="F1878" s="4" t="s">
        <v>1990</v>
      </c>
      <c r="G1878" s="14" t="s">
        <v>2057</v>
      </c>
      <c r="H1878" s="4" t="s">
        <v>2013</v>
      </c>
      <c r="I1878" s="4" t="s">
        <v>122</v>
      </c>
      <c r="K1878" s="7">
        <v>1</v>
      </c>
      <c r="L1878" s="4"/>
      <c r="M1878" s="12"/>
      <c r="N1878" s="4"/>
      <c r="O1878" s="4"/>
      <c r="P1878" s="4"/>
      <c r="Q1878" s="11">
        <v>1</v>
      </c>
      <c r="S1878" s="4"/>
      <c r="T1878" s="11">
        <v>1</v>
      </c>
      <c r="V1878" s="4"/>
      <c r="Y1878" s="4"/>
      <c r="Z1878" s="11">
        <v>0</v>
      </c>
      <c r="AB1878" s="4"/>
      <c r="AE1878" s="4"/>
      <c r="AF1878" s="11">
        <v>1</v>
      </c>
      <c r="AH1878" s="4"/>
      <c r="AI1878" s="11">
        <v>1</v>
      </c>
      <c r="AK1878" s="4"/>
      <c r="AL1878" s="4"/>
      <c r="AM1878" s="4"/>
      <c r="AN1878" s="4"/>
      <c r="AO1878" s="4"/>
      <c r="AP1878" s="4"/>
      <c r="AQ1878" s="4"/>
    </row>
    <row r="1879" spans="1:43" s="11" customFormat="1" x14ac:dyDescent="0.25">
      <c r="A1879" s="253" t="str">
        <f t="shared" si="31"/>
        <v>EE_LINE_INFANTRY_ENGLAND</v>
      </c>
      <c r="B1879" s="9"/>
      <c r="C1879" s="4" t="s">
        <v>713</v>
      </c>
      <c r="D1879" s="4"/>
      <c r="E1879" s="4" t="s">
        <v>1990</v>
      </c>
      <c r="F1879" s="4" t="s">
        <v>1990</v>
      </c>
      <c r="G1879" s="1"/>
      <c r="H1879" s="4" t="s">
        <v>1998</v>
      </c>
      <c r="I1879" s="4" t="s">
        <v>122</v>
      </c>
      <c r="K1879" s="7">
        <v>1</v>
      </c>
      <c r="L1879" s="4"/>
      <c r="M1879" s="12"/>
      <c r="N1879" s="4"/>
      <c r="O1879" s="4"/>
      <c r="P1879" s="4"/>
      <c r="Q1879" s="11">
        <v>4</v>
      </c>
      <c r="S1879" s="4"/>
      <c r="T1879" s="11">
        <v>6</v>
      </c>
      <c r="V1879" s="4"/>
      <c r="Y1879" s="4"/>
      <c r="Z1879" s="11">
        <v>0</v>
      </c>
      <c r="AB1879" s="4"/>
      <c r="AE1879" s="4"/>
      <c r="AF1879" s="11">
        <v>0</v>
      </c>
      <c r="AH1879" s="4"/>
      <c r="AI1879" s="11">
        <v>3</v>
      </c>
      <c r="AK1879" s="4"/>
      <c r="AL1879" s="4"/>
      <c r="AM1879" s="4"/>
      <c r="AN1879" s="4"/>
      <c r="AO1879" s="4"/>
      <c r="AP1879" s="4"/>
      <c r="AQ1879" s="4"/>
    </row>
    <row r="1880" spans="1:43" s="11" customFormat="1" x14ac:dyDescent="0.25">
      <c r="A1880" s="253" t="str">
        <f t="shared" ref="A1880:A1895" si="32">CONCATENATE(E1880,IF(ISBLANK(C1880),"",CONCATENATE("_",C1880)))</f>
        <v>EE_LINE_INFANTRY_ENGLAND</v>
      </c>
      <c r="B1880" s="9"/>
      <c r="C1880" s="4" t="s">
        <v>713</v>
      </c>
      <c r="D1880" s="4"/>
      <c r="E1880" s="4" t="s">
        <v>1990</v>
      </c>
      <c r="F1880" s="4" t="s">
        <v>1990</v>
      </c>
      <c r="G1880" s="14" t="s">
        <v>2055</v>
      </c>
      <c r="H1880" s="4" t="s">
        <v>2012</v>
      </c>
      <c r="I1880" s="4" t="s">
        <v>122</v>
      </c>
      <c r="K1880" s="7">
        <v>1</v>
      </c>
      <c r="L1880" s="4"/>
      <c r="M1880" s="12"/>
      <c r="N1880" s="4"/>
      <c r="O1880" s="4"/>
      <c r="P1880" s="4"/>
      <c r="Q1880" s="11">
        <v>2</v>
      </c>
      <c r="S1880" s="4"/>
      <c r="T1880" s="11">
        <v>3</v>
      </c>
      <c r="V1880" s="4"/>
      <c r="Y1880" s="4"/>
      <c r="Z1880" s="11">
        <v>0</v>
      </c>
      <c r="AB1880" s="4"/>
      <c r="AE1880" s="4"/>
      <c r="AF1880" s="11">
        <v>0</v>
      </c>
      <c r="AH1880" s="4"/>
      <c r="AI1880" s="11">
        <v>0</v>
      </c>
      <c r="AK1880" s="4"/>
      <c r="AL1880" s="4"/>
      <c r="AM1880" s="4"/>
      <c r="AN1880" s="4"/>
      <c r="AO1880" s="4"/>
      <c r="AP1880" s="4"/>
      <c r="AQ1880" s="4"/>
    </row>
    <row r="1881" spans="1:43" s="11" customFormat="1" x14ac:dyDescent="0.25">
      <c r="A1881" s="253" t="str">
        <f t="shared" si="32"/>
        <v>EE_LINE_INFANTRY_ENGLAND</v>
      </c>
      <c r="B1881" s="9"/>
      <c r="C1881" s="4" t="s">
        <v>713</v>
      </c>
      <c r="D1881" s="4"/>
      <c r="E1881" s="4" t="s">
        <v>1990</v>
      </c>
      <c r="F1881" s="4" t="s">
        <v>1990</v>
      </c>
      <c r="G1881" s="14" t="s">
        <v>2057</v>
      </c>
      <c r="H1881" s="4" t="s">
        <v>2013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1</v>
      </c>
      <c r="S1881" s="4"/>
      <c r="T1881" s="11">
        <v>2</v>
      </c>
      <c r="V1881" s="4"/>
      <c r="Y1881" s="4"/>
      <c r="Z1881" s="11">
        <v>0</v>
      </c>
      <c r="AB1881" s="4"/>
      <c r="AE1881" s="4"/>
      <c r="AF1881" s="11">
        <v>0</v>
      </c>
      <c r="AH1881" s="4"/>
      <c r="AI1881" s="11">
        <v>0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253" t="str">
        <f t="shared" si="32"/>
        <v>EE_LINE_INFANTRY_FRANCE</v>
      </c>
      <c r="B1882" s="9"/>
      <c r="C1882" s="4" t="s">
        <v>715</v>
      </c>
      <c r="D1882" s="4"/>
      <c r="E1882" s="4" t="s">
        <v>1990</v>
      </c>
      <c r="F1882" s="4" t="s">
        <v>1990</v>
      </c>
      <c r="G1882" s="14"/>
      <c r="H1882" s="4" t="s">
        <v>1999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4</v>
      </c>
      <c r="S1882" s="4"/>
      <c r="T1882" s="11">
        <v>5</v>
      </c>
      <c r="V1882" s="4"/>
      <c r="Y1882" s="4"/>
      <c r="Z1882" s="11">
        <v>1</v>
      </c>
      <c r="AB1882" s="4"/>
      <c r="AE1882" s="4"/>
      <c r="AF1882" s="11">
        <v>1</v>
      </c>
      <c r="AH1882" s="4"/>
      <c r="AI1882" s="11">
        <v>2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253" t="str">
        <f t="shared" si="32"/>
        <v>EE_LINE_INFANTRY_FRANCE</v>
      </c>
      <c r="B1883" s="9"/>
      <c r="C1883" s="4" t="s">
        <v>715</v>
      </c>
      <c r="D1883" s="4"/>
      <c r="E1883" s="4" t="s">
        <v>1990</v>
      </c>
      <c r="F1883" s="4" t="s">
        <v>1990</v>
      </c>
      <c r="G1883" s="14" t="s">
        <v>2055</v>
      </c>
      <c r="H1883" s="4" t="s">
        <v>2010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2</v>
      </c>
      <c r="S1883" s="4"/>
      <c r="T1883" s="11">
        <v>2</v>
      </c>
      <c r="V1883" s="4"/>
      <c r="Y1883" s="4"/>
      <c r="Z1883" s="11">
        <v>0</v>
      </c>
      <c r="AB1883" s="4"/>
      <c r="AE1883" s="4"/>
      <c r="AF1883" s="11">
        <v>1</v>
      </c>
      <c r="AH1883" s="4"/>
      <c r="AI1883" s="11">
        <v>1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253" t="str">
        <f t="shared" si="32"/>
        <v>EE_LINE_INFANTRY_FRANCE</v>
      </c>
      <c r="B1884" s="9"/>
      <c r="C1884" s="4" t="s">
        <v>715</v>
      </c>
      <c r="D1884" s="4"/>
      <c r="E1884" s="4" t="s">
        <v>1990</v>
      </c>
      <c r="F1884" s="4" t="s">
        <v>1990</v>
      </c>
      <c r="G1884" s="14" t="s">
        <v>2057</v>
      </c>
      <c r="H1884" s="4" t="s">
        <v>2011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</v>
      </c>
      <c r="S1884" s="4"/>
      <c r="T1884" s="11">
        <v>1</v>
      </c>
      <c r="V1884" s="4"/>
      <c r="Y1884" s="4"/>
      <c r="Z1884" s="11">
        <v>0</v>
      </c>
      <c r="AB1884" s="4"/>
      <c r="AE1884" s="4"/>
      <c r="AF1884" s="11">
        <v>1</v>
      </c>
      <c r="AH1884" s="4"/>
      <c r="AI1884" s="11">
        <v>1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253" t="str">
        <f t="shared" si="32"/>
        <v>EE_LINE_INFANTRY_FRANCE</v>
      </c>
      <c r="B1885" s="9"/>
      <c r="C1885" s="4" t="s">
        <v>715</v>
      </c>
      <c r="D1885" s="4"/>
      <c r="E1885" s="4" t="s">
        <v>1990</v>
      </c>
      <c r="F1885" s="4" t="s">
        <v>1990</v>
      </c>
      <c r="G1885" s="14"/>
      <c r="H1885" s="4" t="s">
        <v>1999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6</v>
      </c>
      <c r="V1885" s="4"/>
      <c r="Y1885" s="4"/>
      <c r="Z1885" s="11">
        <v>0</v>
      </c>
      <c r="AB1885" s="4"/>
      <c r="AE1885" s="4"/>
      <c r="AF1885" s="11">
        <v>0</v>
      </c>
      <c r="AH1885" s="4"/>
      <c r="AI1885" s="11">
        <v>3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253" t="str">
        <f t="shared" si="32"/>
        <v>EE_LINE_INFANTRY_FRANCE</v>
      </c>
      <c r="B1886" s="9"/>
      <c r="C1886" s="4" t="s">
        <v>715</v>
      </c>
      <c r="D1886" s="4"/>
      <c r="E1886" s="4" t="s">
        <v>1990</v>
      </c>
      <c r="F1886" s="4" t="s">
        <v>1990</v>
      </c>
      <c r="G1886" s="14" t="s">
        <v>2055</v>
      </c>
      <c r="H1886" s="4" t="s">
        <v>2010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3</v>
      </c>
      <c r="V1886" s="4"/>
      <c r="Y1886" s="4"/>
      <c r="Z1886" s="11">
        <v>0</v>
      </c>
      <c r="AB1886" s="4"/>
      <c r="AE1886" s="4"/>
      <c r="AF1886" s="11">
        <v>0</v>
      </c>
      <c r="AH1886" s="4"/>
      <c r="AI1886" s="11">
        <v>0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253" t="str">
        <f t="shared" si="32"/>
        <v>EE_LINE_INFANTRY_FRANCE</v>
      </c>
      <c r="B1887" s="9"/>
      <c r="C1887" s="4" t="s">
        <v>715</v>
      </c>
      <c r="D1887" s="4"/>
      <c r="E1887" s="4" t="s">
        <v>1990</v>
      </c>
      <c r="F1887" s="4" t="s">
        <v>1990</v>
      </c>
      <c r="G1887" s="14" t="s">
        <v>2057</v>
      </c>
      <c r="H1887" s="4" t="s">
        <v>2011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2</v>
      </c>
      <c r="V1887" s="4"/>
      <c r="Y1887" s="4"/>
      <c r="Z1887" s="11">
        <v>0</v>
      </c>
      <c r="AB1887" s="4"/>
      <c r="AE1887" s="4"/>
      <c r="AF1887" s="11">
        <v>0</v>
      </c>
      <c r="AH1887" s="4"/>
      <c r="AI1887" s="11">
        <v>0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253" t="str">
        <f t="shared" si="32"/>
        <v>EE_LINE_INFANTRY_GERMANY</v>
      </c>
      <c r="B1888" s="9"/>
      <c r="C1888" s="4" t="s">
        <v>717</v>
      </c>
      <c r="D1888" s="4"/>
      <c r="E1888" s="4" t="s">
        <v>1990</v>
      </c>
      <c r="F1888" s="4" t="s">
        <v>1990</v>
      </c>
      <c r="G1888" s="14"/>
      <c r="H1888" s="4" t="s">
        <v>2000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5</v>
      </c>
      <c r="V1888" s="4"/>
      <c r="Y1888" s="4"/>
      <c r="Z1888" s="11">
        <v>1</v>
      </c>
      <c r="AB1888" s="4"/>
      <c r="AE1888" s="4"/>
      <c r="AF1888" s="11">
        <v>1</v>
      </c>
      <c r="AH1888" s="4"/>
      <c r="AI1888" s="11">
        <v>2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253" t="str">
        <f t="shared" si="32"/>
        <v>EE_LINE_INFANTRY_GERMANY</v>
      </c>
      <c r="B1889" s="9"/>
      <c r="C1889" s="4" t="s">
        <v>717</v>
      </c>
      <c r="D1889" s="4"/>
      <c r="E1889" s="4" t="s">
        <v>1990</v>
      </c>
      <c r="F1889" s="4" t="s">
        <v>1990</v>
      </c>
      <c r="G1889" s="14" t="s">
        <v>2055</v>
      </c>
      <c r="H1889" s="4" t="s">
        <v>2008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2</v>
      </c>
      <c r="V1889" s="4"/>
      <c r="Y1889" s="4"/>
      <c r="Z1889" s="11">
        <v>0</v>
      </c>
      <c r="AB1889" s="4"/>
      <c r="AE1889" s="4"/>
      <c r="AF1889" s="11">
        <v>1</v>
      </c>
      <c r="AH1889" s="4"/>
      <c r="AI1889" s="11">
        <v>1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253" t="str">
        <f t="shared" si="32"/>
        <v>EE_LINE_INFANTRY_GERMANY</v>
      </c>
      <c r="B1890" s="9"/>
      <c r="C1890" s="4" t="s">
        <v>717</v>
      </c>
      <c r="D1890" s="4"/>
      <c r="E1890" s="4" t="s">
        <v>1990</v>
      </c>
      <c r="F1890" s="4" t="s">
        <v>1990</v>
      </c>
      <c r="G1890" s="14" t="s">
        <v>2057</v>
      </c>
      <c r="H1890" s="4" t="s">
        <v>2009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1</v>
      </c>
      <c r="V1890" s="4"/>
      <c r="Y1890" s="4"/>
      <c r="Z1890" s="11">
        <v>0</v>
      </c>
      <c r="AB1890" s="4"/>
      <c r="AE1890" s="4"/>
      <c r="AF1890" s="11">
        <v>1</v>
      </c>
      <c r="AH1890" s="4"/>
      <c r="AI1890" s="11">
        <v>1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253" t="str">
        <f t="shared" si="32"/>
        <v>EE_LINE_INFANTRY_GERMANY</v>
      </c>
      <c r="B1891" s="9"/>
      <c r="C1891" s="4" t="s">
        <v>717</v>
      </c>
      <c r="D1891" s="4"/>
      <c r="E1891" s="4" t="s">
        <v>1990</v>
      </c>
      <c r="F1891" s="4" t="s">
        <v>1990</v>
      </c>
      <c r="G1891" s="14"/>
      <c r="H1891" s="4" t="s">
        <v>2000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6</v>
      </c>
      <c r="V1891" s="4"/>
      <c r="Y1891" s="4"/>
      <c r="Z1891" s="11">
        <v>0</v>
      </c>
      <c r="AB1891" s="4"/>
      <c r="AE1891" s="4"/>
      <c r="AF1891" s="11">
        <v>0</v>
      </c>
      <c r="AH1891" s="4"/>
      <c r="AI1891" s="11">
        <v>3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253" t="str">
        <f t="shared" si="32"/>
        <v>EE_LINE_INFANTRY_GERMANY</v>
      </c>
      <c r="B1892" s="9"/>
      <c r="C1892" s="4" t="s">
        <v>717</v>
      </c>
      <c r="D1892" s="4"/>
      <c r="E1892" s="4" t="s">
        <v>1990</v>
      </c>
      <c r="F1892" s="4" t="s">
        <v>1990</v>
      </c>
      <c r="G1892" s="14" t="s">
        <v>2055</v>
      </c>
      <c r="H1892" s="4" t="s">
        <v>2008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3</v>
      </c>
      <c r="V1892" s="4"/>
      <c r="Y1892" s="4"/>
      <c r="Z1892" s="11">
        <v>0</v>
      </c>
      <c r="AB1892" s="4"/>
      <c r="AE1892" s="4"/>
      <c r="AF1892" s="11">
        <v>0</v>
      </c>
      <c r="AH1892" s="4"/>
      <c r="AI1892" s="11">
        <v>0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253" t="str">
        <f t="shared" si="32"/>
        <v>EE_LINE_INFANTRY_GERMANY</v>
      </c>
      <c r="B1893" s="9"/>
      <c r="C1893" s="4" t="s">
        <v>717</v>
      </c>
      <c r="D1893" s="4"/>
      <c r="E1893" s="4" t="s">
        <v>1990</v>
      </c>
      <c r="F1893" s="4" t="s">
        <v>1990</v>
      </c>
      <c r="G1893" s="14" t="s">
        <v>2057</v>
      </c>
      <c r="H1893" s="4" t="s">
        <v>2009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2</v>
      </c>
      <c r="V1893" s="4"/>
      <c r="Y1893" s="4"/>
      <c r="Z1893" s="11">
        <v>0</v>
      </c>
      <c r="AB1893" s="4"/>
      <c r="AE1893" s="4"/>
      <c r="AF1893" s="11">
        <v>0</v>
      </c>
      <c r="AH1893" s="4"/>
      <c r="AI1893" s="11">
        <v>0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253" t="str">
        <f t="shared" si="32"/>
        <v>EE_LINE_INFANTRY_NETHERLANDS</v>
      </c>
      <c r="B1894" s="9"/>
      <c r="C1894" s="4" t="s">
        <v>730</v>
      </c>
      <c r="D1894" s="4"/>
      <c r="E1894" s="4" t="s">
        <v>1990</v>
      </c>
      <c r="F1894" s="4" t="s">
        <v>1990</v>
      </c>
      <c r="G1894" s="14"/>
      <c r="H1894" s="4" t="s">
        <v>2001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5</v>
      </c>
      <c r="V1894" s="4"/>
      <c r="Y1894" s="4"/>
      <c r="Z1894" s="11">
        <v>1</v>
      </c>
      <c r="AB1894" s="4"/>
      <c r="AE1894" s="4"/>
      <c r="AF1894" s="11">
        <v>1</v>
      </c>
      <c r="AH1894" s="4"/>
      <c r="AI1894" s="11">
        <v>2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253" t="str">
        <f t="shared" si="32"/>
        <v>EE_LINE_INFANTRY_NETHERLANDS</v>
      </c>
      <c r="B1895" s="9"/>
      <c r="C1895" s="4" t="s">
        <v>730</v>
      </c>
      <c r="D1895" s="4"/>
      <c r="E1895" s="4" t="s">
        <v>1990</v>
      </c>
      <c r="F1895" s="4" t="s">
        <v>1990</v>
      </c>
      <c r="G1895" s="14" t="s">
        <v>2055</v>
      </c>
      <c r="H1895" s="4" t="s">
        <v>2006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2</v>
      </c>
      <c r="V1895" s="4"/>
      <c r="Y1895" s="4"/>
      <c r="Z1895" s="11">
        <v>0</v>
      </c>
      <c r="AB1895" s="4"/>
      <c r="AE1895" s="4"/>
      <c r="AF1895" s="11">
        <v>1</v>
      </c>
      <c r="AH1895" s="4"/>
      <c r="AI1895" s="11">
        <v>1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253" t="str">
        <f>CONCATENATE(E1896,IF(ISBLANK(C1896),"",CONCATENATE("_",C1896)))</f>
        <v>EE_LINE_INFANTRY_NETHERLANDS</v>
      </c>
      <c r="B1896" s="9"/>
      <c r="C1896" s="4" t="s">
        <v>730</v>
      </c>
      <c r="D1896" s="4"/>
      <c r="E1896" s="4" t="s">
        <v>1990</v>
      </c>
      <c r="F1896" s="4" t="s">
        <v>1990</v>
      </c>
      <c r="G1896" s="14" t="s">
        <v>2057</v>
      </c>
      <c r="H1896" s="4" t="s">
        <v>2007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1</v>
      </c>
      <c r="V1896" s="4"/>
      <c r="Y1896" s="4"/>
      <c r="Z1896" s="11">
        <v>0</v>
      </c>
      <c r="AB1896" s="4"/>
      <c r="AE1896" s="4"/>
      <c r="AF1896" s="11">
        <v>1</v>
      </c>
      <c r="AH1896" s="4"/>
      <c r="AI1896" s="11">
        <v>1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253" t="str">
        <f t="shared" ref="A1897:A1917" si="33">CONCATENATE(E1897,IF(ISBLANK(C1897),"",CONCATENATE("_",C1897)))</f>
        <v>EE_LINE_INFANTRY_NETHERLANDS</v>
      </c>
      <c r="B1897" s="9"/>
      <c r="C1897" s="4" t="s">
        <v>730</v>
      </c>
      <c r="D1897" s="4"/>
      <c r="E1897" s="4" t="s">
        <v>1990</v>
      </c>
      <c r="F1897" s="4" t="s">
        <v>1990</v>
      </c>
      <c r="G1897" s="14"/>
      <c r="H1897" s="4" t="s">
        <v>2001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6</v>
      </c>
      <c r="V1897" s="4"/>
      <c r="Y1897" s="4"/>
      <c r="Z1897" s="11">
        <v>0</v>
      </c>
      <c r="AB1897" s="4"/>
      <c r="AE1897" s="4"/>
      <c r="AF1897" s="11">
        <v>0</v>
      </c>
      <c r="AH1897" s="4"/>
      <c r="AI1897" s="11">
        <v>3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253" t="str">
        <f t="shared" si="33"/>
        <v>EE_LINE_INFANTRY_NETHERLANDS</v>
      </c>
      <c r="B1898" s="9"/>
      <c r="C1898" s="4" t="s">
        <v>730</v>
      </c>
      <c r="D1898" s="4"/>
      <c r="E1898" s="4" t="s">
        <v>1990</v>
      </c>
      <c r="F1898" s="4" t="s">
        <v>1990</v>
      </c>
      <c r="G1898" s="14" t="s">
        <v>2055</v>
      </c>
      <c r="H1898" s="4" t="s">
        <v>2006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3</v>
      </c>
      <c r="V1898" s="4"/>
      <c r="Y1898" s="4"/>
      <c r="Z1898" s="11">
        <v>0</v>
      </c>
      <c r="AB1898" s="4"/>
      <c r="AE1898" s="4"/>
      <c r="AF1898" s="11">
        <v>0</v>
      </c>
      <c r="AH1898" s="4"/>
      <c r="AI1898" s="11">
        <v>0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253" t="str">
        <f t="shared" si="33"/>
        <v>EE_LINE_INFANTRY_NETHERLANDS</v>
      </c>
      <c r="B1899" s="9"/>
      <c r="C1899" s="4" t="s">
        <v>730</v>
      </c>
      <c r="D1899" s="4"/>
      <c r="E1899" s="4" t="s">
        <v>1990</v>
      </c>
      <c r="F1899" s="4" t="s">
        <v>1990</v>
      </c>
      <c r="G1899" s="14" t="s">
        <v>2057</v>
      </c>
      <c r="H1899" s="4" t="s">
        <v>2007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2</v>
      </c>
      <c r="V1899" s="4"/>
      <c r="Y1899" s="4"/>
      <c r="Z1899" s="11">
        <v>0</v>
      </c>
      <c r="AB1899" s="4"/>
      <c r="AE1899" s="4"/>
      <c r="AF1899" s="11">
        <v>0</v>
      </c>
      <c r="AH1899" s="4"/>
      <c r="AI1899" s="11">
        <v>0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253" t="str">
        <f t="shared" si="33"/>
        <v>EE_LINE_INFANTRY_RUSSIA</v>
      </c>
      <c r="B1900" s="9"/>
      <c r="C1900" s="4" t="s">
        <v>735</v>
      </c>
      <c r="D1900" s="4"/>
      <c r="E1900" s="4" t="s">
        <v>1990</v>
      </c>
      <c r="F1900" s="4" t="s">
        <v>1990</v>
      </c>
      <c r="G1900" s="14"/>
      <c r="H1900" s="4" t="s">
        <v>2002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5</v>
      </c>
      <c r="V1900" s="4"/>
      <c r="Y1900" s="4"/>
      <c r="Z1900" s="11">
        <v>1</v>
      </c>
      <c r="AB1900" s="4"/>
      <c r="AE1900" s="4"/>
      <c r="AF1900" s="11">
        <v>1</v>
      </c>
      <c r="AH1900" s="4"/>
      <c r="AI1900" s="11">
        <v>2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253" t="str">
        <f t="shared" si="33"/>
        <v>EE_LINE_INFANTRY_RUSSIA</v>
      </c>
      <c r="B1901" s="9"/>
      <c r="C1901" s="4" t="s">
        <v>735</v>
      </c>
      <c r="D1901" s="4"/>
      <c r="E1901" s="4" t="s">
        <v>1990</v>
      </c>
      <c r="F1901" s="4" t="s">
        <v>1990</v>
      </c>
      <c r="G1901" s="14" t="s">
        <v>2055</v>
      </c>
      <c r="H1901" s="4" t="s">
        <v>2004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2</v>
      </c>
      <c r="V1901" s="4"/>
      <c r="Y1901" s="4"/>
      <c r="Z1901" s="11">
        <v>0</v>
      </c>
      <c r="AB1901" s="4"/>
      <c r="AE1901" s="4"/>
      <c r="AF1901" s="11">
        <v>1</v>
      </c>
      <c r="AH1901" s="4"/>
      <c r="AI1901" s="11">
        <v>1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253" t="str">
        <f t="shared" si="33"/>
        <v>EE_LINE_INFANTRY_RUSSIA</v>
      </c>
      <c r="B1902" s="9"/>
      <c r="C1902" s="4" t="s">
        <v>735</v>
      </c>
      <c r="D1902" s="4"/>
      <c r="E1902" s="4" t="s">
        <v>1990</v>
      </c>
      <c r="F1902" s="4" t="s">
        <v>1990</v>
      </c>
      <c r="G1902" s="14" t="s">
        <v>2057</v>
      </c>
      <c r="H1902" s="4" t="s">
        <v>2005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1</v>
      </c>
      <c r="V1902" s="4"/>
      <c r="Y1902" s="4"/>
      <c r="Z1902" s="11">
        <v>0</v>
      </c>
      <c r="AB1902" s="4"/>
      <c r="AE1902" s="4"/>
      <c r="AF1902" s="11">
        <v>1</v>
      </c>
      <c r="AH1902" s="4"/>
      <c r="AI1902" s="11">
        <v>1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253" t="str">
        <f t="shared" si="33"/>
        <v>EE_LINE_INFANTRY_RUSSIA</v>
      </c>
      <c r="B1903" s="9"/>
      <c r="C1903" s="4" t="s">
        <v>735</v>
      </c>
      <c r="D1903" s="4"/>
      <c r="E1903" s="4" t="s">
        <v>1990</v>
      </c>
      <c r="F1903" s="4" t="s">
        <v>1990</v>
      </c>
      <c r="G1903" s="14"/>
      <c r="H1903" s="4" t="s">
        <v>2002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6</v>
      </c>
      <c r="V1903" s="4"/>
      <c r="Y1903" s="4"/>
      <c r="Z1903" s="11">
        <v>0</v>
      </c>
      <c r="AB1903" s="4"/>
      <c r="AE1903" s="4"/>
      <c r="AF1903" s="11">
        <v>0</v>
      </c>
      <c r="AH1903" s="4"/>
      <c r="AI1903" s="11">
        <v>3</v>
      </c>
      <c r="AK1903" s="4"/>
      <c r="AL1903" s="4"/>
      <c r="AM1903" s="4"/>
      <c r="AN1903" s="4"/>
      <c r="AO1903" s="4"/>
      <c r="AP1903" s="4"/>
      <c r="AQ1903" s="4"/>
    </row>
    <row r="1904" spans="1:43" x14ac:dyDescent="0.25">
      <c r="A1904" s="253" t="str">
        <f t="shared" si="33"/>
        <v>EE_LINE_INFANTRY_RUSSIA</v>
      </c>
      <c r="C1904" s="4" t="s">
        <v>735</v>
      </c>
      <c r="E1904" s="4" t="s">
        <v>1990</v>
      </c>
      <c r="F1904" s="4" t="s">
        <v>1990</v>
      </c>
      <c r="G1904" s="14" t="s">
        <v>2055</v>
      </c>
      <c r="H1904" s="4" t="s">
        <v>2004</v>
      </c>
      <c r="I1904" s="4" t="s">
        <v>122</v>
      </c>
      <c r="K1904" s="7">
        <v>1</v>
      </c>
      <c r="Q1904" s="11">
        <v>2</v>
      </c>
      <c r="T1904" s="11">
        <v>3</v>
      </c>
      <c r="Z1904" s="11">
        <v>0</v>
      </c>
      <c r="AF1904" s="11">
        <v>0</v>
      </c>
      <c r="AI1904" s="11">
        <v>0</v>
      </c>
    </row>
    <row r="1905" spans="1:43" x14ac:dyDescent="0.25">
      <c r="A1905" s="253" t="str">
        <f t="shared" si="33"/>
        <v>EE_LINE_INFANTRY_RUSSIA</v>
      </c>
      <c r="C1905" s="4" t="s">
        <v>735</v>
      </c>
      <c r="E1905" s="4" t="s">
        <v>1990</v>
      </c>
      <c r="F1905" s="4" t="s">
        <v>1990</v>
      </c>
      <c r="G1905" s="14" t="s">
        <v>2057</v>
      </c>
      <c r="H1905" s="4" t="s">
        <v>2005</v>
      </c>
      <c r="I1905" s="4" t="s">
        <v>122</v>
      </c>
      <c r="K1905" s="7">
        <v>1</v>
      </c>
      <c r="Q1905" s="11">
        <v>1</v>
      </c>
      <c r="T1905" s="11">
        <v>2</v>
      </c>
      <c r="Z1905" s="11">
        <v>0</v>
      </c>
      <c r="AF1905" s="11">
        <v>0</v>
      </c>
      <c r="AI1905" s="11">
        <v>0</v>
      </c>
    </row>
    <row r="1906" spans="1:43" x14ac:dyDescent="0.25">
      <c r="A1906" s="253" t="str">
        <f t="shared" si="33"/>
        <v>EE_LINE_INFANTRY_SPAIN</v>
      </c>
      <c r="C1906" s="4" t="s">
        <v>738</v>
      </c>
      <c r="E1906" s="4" t="s">
        <v>1990</v>
      </c>
      <c r="F1906" s="4" t="s">
        <v>1990</v>
      </c>
      <c r="G1906" s="14"/>
      <c r="H1906" s="4" t="s">
        <v>2003</v>
      </c>
      <c r="I1906" s="4" t="s">
        <v>122</v>
      </c>
      <c r="K1906" s="7">
        <v>1</v>
      </c>
      <c r="Q1906" s="11">
        <v>14</v>
      </c>
      <c r="T1906" s="11">
        <v>19</v>
      </c>
      <c r="Z1906" s="11">
        <v>1</v>
      </c>
      <c r="AF1906" s="11">
        <v>3</v>
      </c>
      <c r="AI1906" s="11">
        <v>7</v>
      </c>
    </row>
    <row r="1907" spans="1:43" x14ac:dyDescent="0.25">
      <c r="A1907" s="253" t="str">
        <f t="shared" si="33"/>
        <v>EE_LINE_INFANTRY_WITTENBERG</v>
      </c>
      <c r="C1907" s="4" t="s">
        <v>1215</v>
      </c>
      <c r="D1907" s="4" t="s">
        <v>738</v>
      </c>
      <c r="E1907" s="4" t="s">
        <v>1990</v>
      </c>
      <c r="F1907" s="4" t="s">
        <v>1990</v>
      </c>
      <c r="G1907" s="14"/>
      <c r="K1907" s="7">
        <v>1</v>
      </c>
    </row>
    <row r="1908" spans="1:43" x14ac:dyDescent="0.25">
      <c r="A1908" s="253" t="str">
        <f t="shared" si="33"/>
        <v>EE_SHIP_OF_THE_LINE</v>
      </c>
      <c r="E1908" s="4" t="s">
        <v>2188</v>
      </c>
      <c r="F1908" s="4" t="s">
        <v>2188</v>
      </c>
      <c r="G1908" s="14"/>
      <c r="H1908" s="4" t="s">
        <v>2189</v>
      </c>
      <c r="K1908" s="7">
        <v>1</v>
      </c>
      <c r="Q1908" s="7">
        <v>1</v>
      </c>
      <c r="R1908" s="6" t="s">
        <v>1737</v>
      </c>
      <c r="S1908" s="13"/>
      <c r="T1908" s="7">
        <v>2</v>
      </c>
      <c r="U1908" s="6">
        <v>0.115</v>
      </c>
      <c r="V1908" s="5" t="s">
        <v>1700</v>
      </c>
      <c r="W1908" s="6"/>
      <c r="X1908" s="6"/>
      <c r="Y1908" s="5"/>
      <c r="Z1908" s="6"/>
      <c r="AA1908" s="6"/>
      <c r="AB1908" s="5"/>
      <c r="AC1908" s="6"/>
      <c r="AD1908" s="6"/>
      <c r="AE1908" s="5"/>
      <c r="AF1908" s="6"/>
      <c r="AG1908" s="6"/>
      <c r="AH1908" s="5"/>
      <c r="AI1908" s="6"/>
      <c r="AJ1908" s="6"/>
      <c r="AK1908" s="5"/>
      <c r="AL1908" s="5"/>
      <c r="AM1908" s="5"/>
      <c r="AN1908" s="5"/>
      <c r="AO1908" s="5"/>
      <c r="AP1908" s="5"/>
      <c r="AQ1908" s="5"/>
    </row>
    <row r="1909" spans="1:43" x14ac:dyDescent="0.25">
      <c r="A1909" s="253" t="str">
        <f t="shared" si="33"/>
        <v>EE_SKIRMISHER</v>
      </c>
      <c r="E1909" s="4" t="s">
        <v>2074</v>
      </c>
      <c r="F1909" s="4" t="s">
        <v>2074</v>
      </c>
      <c r="H1909" s="4" t="s">
        <v>2075</v>
      </c>
      <c r="I1909" s="4" t="s">
        <v>2076</v>
      </c>
      <c r="K1909" s="7">
        <v>1</v>
      </c>
      <c r="Q1909" s="11">
        <v>14</v>
      </c>
      <c r="R1909" s="11" t="s">
        <v>1737</v>
      </c>
      <c r="T1909" s="11">
        <v>19</v>
      </c>
      <c r="Z1909" s="11">
        <v>1</v>
      </c>
      <c r="AF1909" s="11">
        <v>3</v>
      </c>
      <c r="AI1909" s="11">
        <v>7</v>
      </c>
    </row>
    <row r="1910" spans="1:43" x14ac:dyDescent="0.25">
      <c r="A1910" s="253" t="str">
        <f t="shared" si="33"/>
        <v>EE_SKIRMISHER_MED</v>
      </c>
      <c r="C1910" s="4" t="s">
        <v>692</v>
      </c>
      <c r="E1910" s="4" t="s">
        <v>2074</v>
      </c>
      <c r="F1910" s="4" t="s">
        <v>2074</v>
      </c>
      <c r="G1910" s="4" t="s">
        <v>2057</v>
      </c>
      <c r="H1910" s="4" t="s">
        <v>2084</v>
      </c>
      <c r="I1910" s="4" t="s">
        <v>2082</v>
      </c>
      <c r="K1910" s="7">
        <v>1</v>
      </c>
      <c r="Q1910" s="11">
        <v>6</v>
      </c>
      <c r="T1910" s="11">
        <v>8</v>
      </c>
      <c r="Z1910" s="11">
        <v>1</v>
      </c>
      <c r="AF1910" s="11">
        <v>1</v>
      </c>
      <c r="AI1910" s="11">
        <v>3</v>
      </c>
    </row>
    <row r="1911" spans="1:43" x14ac:dyDescent="0.25">
      <c r="A1911" s="253" t="str">
        <f t="shared" si="33"/>
        <v>EE_SKIRMISHER_MED</v>
      </c>
      <c r="C1911" s="4" t="s">
        <v>692</v>
      </c>
      <c r="E1911" s="4" t="s">
        <v>2074</v>
      </c>
      <c r="F1911" s="4" t="s">
        <v>2074</v>
      </c>
      <c r="G1911" s="4" t="s">
        <v>2055</v>
      </c>
      <c r="H1911" s="4" t="s">
        <v>2083</v>
      </c>
      <c r="I1911" s="4" t="s">
        <v>2082</v>
      </c>
      <c r="K1911" s="7">
        <v>1</v>
      </c>
      <c r="Q1911" s="11">
        <v>1</v>
      </c>
      <c r="T1911" s="11">
        <v>3</v>
      </c>
      <c r="Z1911" s="11">
        <v>0</v>
      </c>
      <c r="AF1911" s="11">
        <v>1</v>
      </c>
      <c r="AI1911" s="11">
        <v>1</v>
      </c>
    </row>
    <row r="1912" spans="1:43" x14ac:dyDescent="0.25">
      <c r="A1912" s="253" t="str">
        <f t="shared" si="33"/>
        <v>EE_SKIRMISHER_MED</v>
      </c>
      <c r="C1912" s="4" t="s">
        <v>692</v>
      </c>
      <c r="E1912" s="4" t="s">
        <v>2074</v>
      </c>
      <c r="F1912" s="4" t="s">
        <v>2074</v>
      </c>
      <c r="H1912" s="4" t="s">
        <v>2081</v>
      </c>
      <c r="I1912" s="4" t="s">
        <v>2082</v>
      </c>
      <c r="K1912" s="7">
        <v>1</v>
      </c>
      <c r="Q1912" s="11">
        <v>2</v>
      </c>
      <c r="T1912" s="11">
        <v>2</v>
      </c>
      <c r="Z1912" s="11">
        <v>0</v>
      </c>
      <c r="AF1912" s="11">
        <v>1</v>
      </c>
      <c r="AI1912" s="11">
        <v>1</v>
      </c>
    </row>
    <row r="1913" spans="1:43" x14ac:dyDescent="0.25">
      <c r="A1913" s="253" t="str">
        <f t="shared" si="33"/>
        <v>EE_SKIRMISHER_MED</v>
      </c>
      <c r="C1913" s="4" t="s">
        <v>692</v>
      </c>
      <c r="E1913" s="4" t="s">
        <v>2074</v>
      </c>
      <c r="F1913" s="4" t="s">
        <v>2074</v>
      </c>
      <c r="G1913" s="4" t="s">
        <v>2057</v>
      </c>
      <c r="H1913" s="4" t="s">
        <v>2084</v>
      </c>
      <c r="I1913" s="4" t="s">
        <v>2082</v>
      </c>
      <c r="K1913" s="7">
        <v>1</v>
      </c>
      <c r="Q1913" s="11">
        <v>4</v>
      </c>
      <c r="T1913" s="11">
        <v>5</v>
      </c>
      <c r="Z1913" s="11">
        <v>0</v>
      </c>
      <c r="AF1913" s="11">
        <v>0</v>
      </c>
      <c r="AI1913" s="11">
        <v>2</v>
      </c>
    </row>
    <row r="1914" spans="1:43" x14ac:dyDescent="0.25">
      <c r="A1914" s="253" t="str">
        <f t="shared" si="33"/>
        <v>EE_SKIRMISHER_MED</v>
      </c>
      <c r="C1914" s="4" t="s">
        <v>692</v>
      </c>
      <c r="E1914" s="4" t="s">
        <v>2074</v>
      </c>
      <c r="F1914" s="4" t="s">
        <v>2074</v>
      </c>
      <c r="H1914" s="4" t="s">
        <v>2081</v>
      </c>
      <c r="I1914" s="4" t="s">
        <v>2082</v>
      </c>
      <c r="K1914" s="7">
        <v>1</v>
      </c>
      <c r="Q1914" s="11">
        <v>0</v>
      </c>
      <c r="T1914" s="11">
        <v>1</v>
      </c>
      <c r="Z1914" s="11">
        <v>0</v>
      </c>
      <c r="AF1914" s="11">
        <v>0</v>
      </c>
      <c r="AI1914" s="11">
        <v>0</v>
      </c>
    </row>
    <row r="1915" spans="1:43" x14ac:dyDescent="0.25">
      <c r="A1915" s="253" t="str">
        <f t="shared" si="33"/>
        <v>EE_SKIRMISHER_SOUTHAM</v>
      </c>
      <c r="C1915" s="4" t="s">
        <v>691</v>
      </c>
      <c r="E1915" s="4" t="s">
        <v>2074</v>
      </c>
      <c r="F1915" s="4" t="s">
        <v>2074</v>
      </c>
      <c r="H1915" s="4" t="s">
        <v>2079</v>
      </c>
      <c r="I1915" s="4" t="s">
        <v>2080</v>
      </c>
      <c r="K1915" s="7">
        <v>1</v>
      </c>
    </row>
    <row r="1916" spans="1:43" x14ac:dyDescent="0.25">
      <c r="A1916" s="253" t="str">
        <f t="shared" si="33"/>
        <v>EE_UHLAN</v>
      </c>
      <c r="E1916" s="4" t="s">
        <v>2187</v>
      </c>
      <c r="F1916" s="4" t="s">
        <v>2187</v>
      </c>
      <c r="H1916" s="4" t="s">
        <v>380</v>
      </c>
      <c r="I1916" s="4" t="s">
        <v>122</v>
      </c>
      <c r="K1916" s="7">
        <v>1</v>
      </c>
      <c r="Q1916" s="7" t="s">
        <v>1695</v>
      </c>
      <c r="R1916" s="6" t="s">
        <v>1695</v>
      </c>
      <c r="S1916" s="13" t="s">
        <v>1695</v>
      </c>
      <c r="T1916" s="6" t="s">
        <v>1695</v>
      </c>
      <c r="U1916" s="7" t="s">
        <v>1695</v>
      </c>
      <c r="V1916" s="5" t="s">
        <v>1701</v>
      </c>
      <c r="W1916" s="6" t="s">
        <v>3</v>
      </c>
      <c r="X1916" s="6" t="s">
        <v>3</v>
      </c>
      <c r="Y1916" s="5"/>
      <c r="Z1916" s="7">
        <v>1</v>
      </c>
      <c r="AA1916" s="6"/>
      <c r="AB1916" s="5"/>
      <c r="AC1916" s="6"/>
      <c r="AD1916" s="6" t="s">
        <v>3</v>
      </c>
      <c r="AE1916" s="5"/>
      <c r="AF1916" s="7" t="s">
        <v>1695</v>
      </c>
      <c r="AG1916" s="6"/>
      <c r="AH1916" s="5"/>
      <c r="AI1916" s="6"/>
      <c r="AJ1916" s="6"/>
      <c r="AK1916" s="5"/>
      <c r="AL1916" s="5"/>
      <c r="AM1916" s="5"/>
      <c r="AN1916" s="5"/>
      <c r="AO1916" s="5"/>
      <c r="AP1916" s="5"/>
      <c r="AQ1916" s="5"/>
    </row>
    <row r="1917" spans="1:43" x14ac:dyDescent="0.25">
      <c r="A1917" s="253" t="str">
        <f t="shared" si="33"/>
        <v>SWORDSMAN_GOTHS</v>
      </c>
      <c r="B1917" s="9" t="s">
        <v>104</v>
      </c>
      <c r="C1917" s="4" t="s">
        <v>2266</v>
      </c>
      <c r="E1917" s="4" t="s">
        <v>104</v>
      </c>
      <c r="F1917" s="4" t="s">
        <v>104</v>
      </c>
      <c r="H1917" s="5" t="s">
        <v>1442</v>
      </c>
      <c r="I1917" s="5" t="s">
        <v>128</v>
      </c>
      <c r="J1917" s="6"/>
      <c r="K1917" s="6"/>
      <c r="L1917" s="13" t="s">
        <v>1708</v>
      </c>
      <c r="M1917" s="8"/>
      <c r="N1917" s="5"/>
      <c r="O1917" s="5"/>
      <c r="P1917" s="5"/>
      <c r="Q1917" s="7">
        <v>10</v>
      </c>
      <c r="R1917" s="6" t="s">
        <v>1737</v>
      </c>
      <c r="S1917" s="13" t="s">
        <v>1620</v>
      </c>
      <c r="T1917" s="7" t="s">
        <v>1737</v>
      </c>
      <c r="U1917" s="7" t="s">
        <v>1737</v>
      </c>
      <c r="V1917" s="5"/>
      <c r="W1917" s="6" t="s">
        <v>3</v>
      </c>
      <c r="X1917" s="6" t="s">
        <v>3</v>
      </c>
      <c r="Y1917" s="5"/>
      <c r="Z1917" s="6">
        <v>1</v>
      </c>
      <c r="AA1917" s="6"/>
      <c r="AB1917" s="5"/>
      <c r="AC1917" s="6"/>
      <c r="AD1917" s="6" t="s">
        <v>3</v>
      </c>
      <c r="AE1917" s="5"/>
      <c r="AF1917" s="7" t="s">
        <v>1737</v>
      </c>
      <c r="AG1917" s="6"/>
      <c r="AH1917" s="5"/>
      <c r="AI1917" s="7">
        <v>6</v>
      </c>
      <c r="AJ1917" s="6"/>
      <c r="AK1917" s="5"/>
      <c r="AL1917" s="5"/>
      <c r="AM1917" s="5"/>
      <c r="AN1917" s="5"/>
      <c r="AO1917" s="5"/>
      <c r="AP1917" s="5"/>
      <c r="AQ1917" s="5"/>
    </row>
  </sheetData>
  <sheetProtection insertRows="0" deleteRows="0" sort="0" autoFilter="0"/>
  <conditionalFormatting sqref="H1:H1048576 D1:D1048576 Q1:Q1048576">
    <cfRule type="expression" dxfId="2" priority="52" stopIfTrue="1">
      <formula>ISBLANK($H1)</formula>
    </cfRule>
  </conditionalFormatting>
  <conditionalFormatting sqref="H1:H1048576">
    <cfRule type="duplicateValues" dxfId="1" priority="2" stopIfTrue="1"/>
  </conditionalFormatting>
  <conditionalFormatting sqref="C1:C1048576">
    <cfRule type="expression" dxfId="0" priority="5" stopIfTrue="1">
      <formula>COUNTIFS(#REF!,#REF!,#REF!,#REF!)&gt;1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251" customFormat="1" x14ac:dyDescent="0.25">
      <c r="A1" s="250" t="s">
        <v>1250</v>
      </c>
      <c r="B1" s="250" t="s">
        <v>1749</v>
      </c>
      <c r="C1" s="250" t="s">
        <v>1922</v>
      </c>
      <c r="D1" s="250" t="s">
        <v>1733</v>
      </c>
      <c r="E1" s="250" t="s">
        <v>1734</v>
      </c>
      <c r="F1" s="250" t="s">
        <v>1835</v>
      </c>
      <c r="G1" s="250" t="s">
        <v>1834</v>
      </c>
      <c r="H1" s="251" t="s">
        <v>2275</v>
      </c>
      <c r="I1" s="251" t="s">
        <v>2278</v>
      </c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251" customFormat="1" x14ac:dyDescent="0.25">
      <c r="A5" s="250" t="s">
        <v>1250</v>
      </c>
      <c r="B5" s="250" t="s">
        <v>1749</v>
      </c>
      <c r="C5" s="250" t="s">
        <v>1922</v>
      </c>
      <c r="D5" s="250" t="s">
        <v>1733</v>
      </c>
      <c r="E5" s="250" t="s">
        <v>1734</v>
      </c>
      <c r="F5" s="250" t="s">
        <v>1835</v>
      </c>
      <c r="G5" s="250" t="s">
        <v>1834</v>
      </c>
      <c r="H5" s="251" t="s">
        <v>2275</v>
      </c>
      <c r="I5" s="251" t="s">
        <v>2278</v>
      </c>
      <c r="J5" s="252"/>
      <c r="K5" s="252"/>
      <c r="L5" s="252"/>
      <c r="M5" s="252"/>
      <c r="N5" s="252"/>
      <c r="O5" s="252"/>
      <c r="P5" s="252"/>
      <c r="Q5" s="252"/>
      <c r="R5" s="252"/>
      <c r="S5" s="252"/>
      <c r="T5" s="252"/>
      <c r="U5" s="252"/>
      <c r="V5" s="252"/>
      <c r="W5" s="252"/>
      <c r="X5" s="252"/>
      <c r="Y5" s="252"/>
      <c r="Z5" s="252"/>
      <c r="AA5" s="252"/>
      <c r="AB5" s="252"/>
      <c r="AC5" s="252"/>
      <c r="AD5" s="252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2014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2014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2014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2231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2231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2014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2256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2299</v>
      </c>
      <c r="I124" s="3" t="s">
        <v>2280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2014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2296</v>
      </c>
      <c r="I130" t="s">
        <v>2280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2257</v>
      </c>
      <c r="B134" s="3">
        <v>0</v>
      </c>
      <c r="C134" s="3">
        <v>1</v>
      </c>
      <c r="D134" s="3" t="s">
        <v>1302</v>
      </c>
      <c r="H134"/>
      <c r="I134" t="s">
        <v>2279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2252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2279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2279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2258</v>
      </c>
      <c r="B137" s="3">
        <v>1</v>
      </c>
      <c r="C137" s="3">
        <v>1</v>
      </c>
      <c r="D137" s="3" t="s">
        <v>2231</v>
      </c>
      <c r="H137" t="s">
        <v>2273</v>
      </c>
      <c r="I137" t="s">
        <v>2279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2295</v>
      </c>
      <c r="I141" t="s">
        <v>2280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2271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2268</v>
      </c>
      <c r="B143" s="3">
        <v>0</v>
      </c>
      <c r="C143" s="3">
        <v>1</v>
      </c>
      <c r="D143" s="3" t="s">
        <v>704</v>
      </c>
      <c r="H143" t="s">
        <v>2290</v>
      </c>
      <c r="I143" t="s">
        <v>2280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2269</v>
      </c>
      <c r="B145" s="3">
        <v>0</v>
      </c>
      <c r="C145" s="3">
        <v>1</v>
      </c>
      <c r="D145" s="3" t="s">
        <v>692</v>
      </c>
      <c r="H145" t="s">
        <v>2298</v>
      </c>
      <c r="I145" t="s">
        <v>2280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2267</v>
      </c>
      <c r="B146" s="3">
        <v>0</v>
      </c>
      <c r="C146" s="3">
        <v>1</v>
      </c>
      <c r="D146" s="3" t="s">
        <v>2266</v>
      </c>
      <c r="E146" s="3" t="s">
        <v>962</v>
      </c>
      <c r="H146" t="s">
        <v>2290</v>
      </c>
      <c r="I146" t="s">
        <v>2280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2297</v>
      </c>
      <c r="I149" t="s">
        <v>2280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2294</v>
      </c>
      <c r="I150" t="s">
        <v>2280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2287</v>
      </c>
      <c r="I151" t="s">
        <v>2280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2287</v>
      </c>
      <c r="I155" t="s">
        <v>2280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2272</v>
      </c>
      <c r="B156" s="3">
        <v>0</v>
      </c>
      <c r="C156" s="3">
        <v>1</v>
      </c>
      <c r="D156" s="3" t="s">
        <v>717</v>
      </c>
      <c r="H156"/>
      <c r="I156" t="s">
        <v>2285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2259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2285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2270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2285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2288</v>
      </c>
      <c r="I163" s="3" t="s">
        <v>2279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2286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2014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2296</v>
      </c>
      <c r="I168" t="s">
        <v>2280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2291</v>
      </c>
      <c r="I173" t="s">
        <v>2280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2295</v>
      </c>
      <c r="I183" t="s">
        <v>2280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2255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2014</v>
      </c>
      <c r="H186" t="s">
        <v>2294</v>
      </c>
      <c r="I186" t="s">
        <v>2280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2293</v>
      </c>
      <c r="I187" t="s">
        <v>2280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2281</v>
      </c>
      <c r="I192" t="s">
        <v>2280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2292</v>
      </c>
      <c r="I193" t="s">
        <v>2280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2274</v>
      </c>
      <c r="I196" t="s">
        <v>2280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2274</v>
      </c>
      <c r="I201" s="3" t="s">
        <v>2280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2291</v>
      </c>
      <c r="I205" t="s">
        <v>2280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2290</v>
      </c>
      <c r="I207" t="s">
        <v>2280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2276</v>
      </c>
      <c r="I208" t="s">
        <v>2280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2264</v>
      </c>
      <c r="B210" s="3">
        <v>0</v>
      </c>
      <c r="C210" s="3">
        <v>1</v>
      </c>
      <c r="D210" s="3" t="s">
        <v>2266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2263</v>
      </c>
      <c r="B211" s="3">
        <v>0</v>
      </c>
      <c r="C211" s="3">
        <v>1</v>
      </c>
      <c r="D211" s="3" t="s">
        <v>2266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2281</v>
      </c>
      <c r="I213" t="s">
        <v>2280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2282</v>
      </c>
      <c r="B214" s="3">
        <v>0</v>
      </c>
      <c r="C214" s="3">
        <v>1</v>
      </c>
      <c r="D214" s="3" t="s">
        <v>918</v>
      </c>
      <c r="H214" t="s">
        <v>2283</v>
      </c>
      <c r="I214" t="s">
        <v>2284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2253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2289</v>
      </c>
      <c r="I219" s="3" t="s">
        <v>2279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2254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2277</v>
      </c>
      <c r="I220" s="3" t="s">
        <v>2280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2265</v>
      </c>
      <c r="B222" s="3">
        <v>0</v>
      </c>
      <c r="C222" s="3">
        <v>1</v>
      </c>
      <c r="D222" s="3" t="s">
        <v>2266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2014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0"/>
  <sheetViews>
    <sheetView zoomScale="70" zoomScaleNormal="70" workbookViewId="0">
      <selection activeCell="A2" sqref="A2"/>
    </sheetView>
  </sheetViews>
  <sheetFormatPr defaultRowHeight="15" x14ac:dyDescent="0.25"/>
  <cols>
    <col min="1" max="1" width="31.140625" style="238" bestFit="1" customWidth="1"/>
    <col min="2" max="4" width="11" style="238" customWidth="1"/>
    <col min="5" max="5" width="11" style="238" bestFit="1" customWidth="1"/>
    <col min="6" max="6" width="18.5703125" style="238" bestFit="1" customWidth="1"/>
    <col min="7" max="7" width="14" style="238" bestFit="1" customWidth="1"/>
    <col min="8" max="16384" width="9.140625" style="238"/>
  </cols>
  <sheetData>
    <row r="1" spans="1:7" s="251" customFormat="1" x14ac:dyDescent="0.25">
      <c r="A1" s="251" t="s">
        <v>2025</v>
      </c>
      <c r="B1" s="251" t="s">
        <v>1922</v>
      </c>
      <c r="C1" s="251" t="s">
        <v>2027</v>
      </c>
      <c r="D1" s="251" t="s">
        <v>1972</v>
      </c>
      <c r="E1" s="251" t="s">
        <v>2026</v>
      </c>
      <c r="F1" s="251" t="s">
        <v>2275</v>
      </c>
      <c r="G1" s="251" t="s">
        <v>2278</v>
      </c>
    </row>
    <row r="2" spans="1:7" x14ac:dyDescent="0.25">
      <c r="A2" s="239" t="s">
        <v>1153</v>
      </c>
      <c r="B2" s="238">
        <v>0</v>
      </c>
      <c r="C2" s="238">
        <v>0</v>
      </c>
      <c r="D2" s="238">
        <v>0</v>
      </c>
      <c r="E2" s="238">
        <v>0</v>
      </c>
    </row>
    <row r="3" spans="1:7" x14ac:dyDescent="0.25">
      <c r="A3" s="240" t="s">
        <v>2042</v>
      </c>
      <c r="B3" s="238">
        <v>0</v>
      </c>
      <c r="C3" s="238">
        <v>0</v>
      </c>
      <c r="D3" s="238">
        <v>0</v>
      </c>
      <c r="E3" s="238">
        <v>0</v>
      </c>
    </row>
    <row r="4" spans="1:7" x14ac:dyDescent="0.25">
      <c r="A4" s="240" t="s">
        <v>2043</v>
      </c>
      <c r="B4" s="238">
        <v>0</v>
      </c>
      <c r="C4" s="238">
        <v>0</v>
      </c>
      <c r="D4" s="238">
        <v>0</v>
      </c>
      <c r="E4" s="238">
        <v>0</v>
      </c>
    </row>
    <row r="5" spans="1:7" x14ac:dyDescent="0.25">
      <c r="A5" s="240" t="s">
        <v>2044</v>
      </c>
      <c r="B5" s="238">
        <v>0</v>
      </c>
      <c r="C5" s="238">
        <v>0</v>
      </c>
      <c r="D5" s="248">
        <v>0</v>
      </c>
      <c r="E5" s="238">
        <v>0</v>
      </c>
    </row>
    <row r="6" spans="1:7" x14ac:dyDescent="0.25">
      <c r="A6" s="239" t="s">
        <v>1152</v>
      </c>
      <c r="B6" s="238">
        <v>0</v>
      </c>
      <c r="C6" s="238">
        <v>0</v>
      </c>
      <c r="D6" s="248">
        <v>0</v>
      </c>
      <c r="E6" s="238">
        <v>0</v>
      </c>
    </row>
    <row r="7" spans="1:7" x14ac:dyDescent="0.25">
      <c r="A7" s="240" t="s">
        <v>1154</v>
      </c>
      <c r="B7" s="238">
        <v>0</v>
      </c>
      <c r="C7" s="238">
        <v>0</v>
      </c>
      <c r="D7" s="238">
        <v>1</v>
      </c>
      <c r="E7" s="238">
        <v>0</v>
      </c>
    </row>
    <row r="8" spans="1:7" x14ac:dyDescent="0.25">
      <c r="A8" s="240" t="s">
        <v>2034</v>
      </c>
      <c r="B8" s="238">
        <v>0</v>
      </c>
      <c r="C8" s="238">
        <v>0</v>
      </c>
      <c r="D8" s="238">
        <v>1</v>
      </c>
      <c r="E8" s="238">
        <v>4</v>
      </c>
    </row>
    <row r="9" spans="1:7" x14ac:dyDescent="0.25">
      <c r="A9" s="239" t="s">
        <v>1103</v>
      </c>
      <c r="B9" s="238">
        <v>0</v>
      </c>
      <c r="C9" s="238">
        <v>0</v>
      </c>
      <c r="D9" s="248">
        <v>0</v>
      </c>
      <c r="E9" s="248">
        <v>0</v>
      </c>
    </row>
    <row r="10" spans="1:7" x14ac:dyDescent="0.25">
      <c r="A10" s="239" t="s">
        <v>1104</v>
      </c>
      <c r="B10" s="238">
        <v>0</v>
      </c>
      <c r="C10" s="238">
        <v>0</v>
      </c>
      <c r="D10" s="248">
        <v>0</v>
      </c>
      <c r="E10" s="248">
        <v>0</v>
      </c>
    </row>
    <row r="11" spans="1:7" x14ac:dyDescent="0.25">
      <c r="A11" s="239" t="s">
        <v>6</v>
      </c>
      <c r="B11" s="238">
        <v>0</v>
      </c>
      <c r="C11" s="238">
        <v>0</v>
      </c>
      <c r="D11" s="248">
        <v>0</v>
      </c>
      <c r="E11" s="248">
        <v>0</v>
      </c>
    </row>
    <row r="12" spans="1:7" x14ac:dyDescent="0.25">
      <c r="A12" s="239" t="s">
        <v>44</v>
      </c>
      <c r="B12" s="238">
        <v>0</v>
      </c>
      <c r="C12" s="238">
        <v>0</v>
      </c>
      <c r="D12" s="248">
        <v>0</v>
      </c>
      <c r="E12" s="248">
        <v>0</v>
      </c>
    </row>
    <row r="13" spans="1:7" x14ac:dyDescent="0.25">
      <c r="A13" s="239" t="s">
        <v>43</v>
      </c>
      <c r="B13" s="238">
        <v>0</v>
      </c>
      <c r="C13" s="238">
        <v>0</v>
      </c>
      <c r="D13" s="248">
        <v>0</v>
      </c>
      <c r="E13" s="248">
        <v>0</v>
      </c>
    </row>
    <row r="14" spans="1:7" x14ac:dyDescent="0.25">
      <c r="A14" s="240" t="s">
        <v>1124</v>
      </c>
      <c r="B14" s="238">
        <v>0</v>
      </c>
      <c r="C14" s="238">
        <v>0</v>
      </c>
      <c r="D14" s="238">
        <v>1</v>
      </c>
      <c r="E14" s="248">
        <v>0</v>
      </c>
    </row>
    <row r="15" spans="1:7" x14ac:dyDescent="0.25">
      <c r="A15" s="240" t="s">
        <v>2035</v>
      </c>
      <c r="B15" s="238">
        <v>0</v>
      </c>
      <c r="C15" s="238">
        <v>0</v>
      </c>
      <c r="D15" s="238">
        <v>1</v>
      </c>
      <c r="E15" s="238">
        <v>4</v>
      </c>
    </row>
    <row r="16" spans="1:7" x14ac:dyDescent="0.25">
      <c r="A16" s="239" t="s">
        <v>1105</v>
      </c>
      <c r="B16" s="238">
        <v>0</v>
      </c>
      <c r="C16" s="238">
        <v>0</v>
      </c>
      <c r="D16" s="248">
        <v>0</v>
      </c>
      <c r="E16" s="248">
        <v>0</v>
      </c>
    </row>
    <row r="17" spans="1:5" x14ac:dyDescent="0.25">
      <c r="A17" s="239" t="s">
        <v>41</v>
      </c>
      <c r="B17" s="238">
        <v>0</v>
      </c>
      <c r="C17" s="238">
        <v>0</v>
      </c>
      <c r="D17" s="248">
        <v>0</v>
      </c>
      <c r="E17" s="248">
        <v>0</v>
      </c>
    </row>
    <row r="18" spans="1:5" x14ac:dyDescent="0.25">
      <c r="A18" s="239" t="s">
        <v>1112</v>
      </c>
      <c r="B18" s="238">
        <v>0</v>
      </c>
      <c r="C18" s="238">
        <v>0</v>
      </c>
      <c r="D18" s="248">
        <v>0</v>
      </c>
      <c r="E18" s="248">
        <v>0</v>
      </c>
    </row>
    <row r="19" spans="1:5" x14ac:dyDescent="0.25">
      <c r="A19" s="239" t="s">
        <v>40</v>
      </c>
      <c r="B19" s="238">
        <v>0</v>
      </c>
      <c r="C19" s="238">
        <v>0</v>
      </c>
      <c r="D19" s="248">
        <v>0</v>
      </c>
      <c r="E19" s="248">
        <v>0</v>
      </c>
    </row>
    <row r="20" spans="1:5" x14ac:dyDescent="0.25">
      <c r="A20" s="239" t="s">
        <v>39</v>
      </c>
      <c r="B20" s="238">
        <v>0</v>
      </c>
      <c r="C20" s="238">
        <v>0</v>
      </c>
      <c r="D20" s="248">
        <v>0</v>
      </c>
      <c r="E20" s="248">
        <v>0</v>
      </c>
    </row>
    <row r="21" spans="1:5" x14ac:dyDescent="0.25">
      <c r="A21" s="240" t="s">
        <v>2</v>
      </c>
      <c r="B21" s="238">
        <v>0</v>
      </c>
      <c r="C21" s="238">
        <v>0</v>
      </c>
      <c r="D21" s="238">
        <v>1</v>
      </c>
      <c r="E21" s="248">
        <v>0</v>
      </c>
    </row>
    <row r="22" spans="1:5" x14ac:dyDescent="0.25">
      <c r="A22" s="240" t="s">
        <v>2028</v>
      </c>
      <c r="B22" s="238">
        <v>0</v>
      </c>
      <c r="C22" s="238">
        <v>0</v>
      </c>
      <c r="D22" s="238">
        <v>1</v>
      </c>
      <c r="E22" s="238">
        <v>6</v>
      </c>
    </row>
    <row r="23" spans="1:5" x14ac:dyDescent="0.25">
      <c r="A23" s="239" t="s">
        <v>38</v>
      </c>
      <c r="B23" s="238">
        <v>0</v>
      </c>
      <c r="C23" s="238">
        <v>0</v>
      </c>
      <c r="D23" s="248">
        <v>0</v>
      </c>
      <c r="E23" s="248">
        <v>0</v>
      </c>
    </row>
    <row r="24" spans="1:5" x14ac:dyDescent="0.25">
      <c r="A24" s="240" t="s">
        <v>1127</v>
      </c>
      <c r="B24" s="238">
        <v>0</v>
      </c>
      <c r="C24" s="238">
        <v>0</v>
      </c>
      <c r="D24" s="238">
        <v>1</v>
      </c>
      <c r="E24" s="248">
        <v>0</v>
      </c>
    </row>
    <row r="25" spans="1:5" x14ac:dyDescent="0.25">
      <c r="A25" s="240" t="s">
        <v>2029</v>
      </c>
      <c r="B25" s="238">
        <v>0</v>
      </c>
      <c r="C25" s="238">
        <v>0</v>
      </c>
      <c r="D25" s="248">
        <v>1</v>
      </c>
      <c r="E25" s="238">
        <v>6</v>
      </c>
    </row>
    <row r="26" spans="1:5" x14ac:dyDescent="0.25">
      <c r="A26" s="240" t="s">
        <v>2033</v>
      </c>
      <c r="B26" s="238">
        <v>0</v>
      </c>
      <c r="C26" s="238">
        <v>0</v>
      </c>
      <c r="D26" s="248">
        <v>1</v>
      </c>
      <c r="E26" s="238">
        <v>3</v>
      </c>
    </row>
    <row r="27" spans="1:5" x14ac:dyDescent="0.25">
      <c r="A27" s="239" t="s">
        <v>37</v>
      </c>
      <c r="B27" s="238">
        <v>0</v>
      </c>
      <c r="C27" s="238">
        <v>0</v>
      </c>
      <c r="D27" s="248">
        <v>0</v>
      </c>
      <c r="E27" s="248">
        <v>0</v>
      </c>
    </row>
    <row r="28" spans="1:5" x14ac:dyDescent="0.25">
      <c r="A28" s="239" t="s">
        <v>36</v>
      </c>
      <c r="B28" s="238">
        <v>0</v>
      </c>
      <c r="C28" s="238">
        <v>0</v>
      </c>
      <c r="D28" s="248">
        <v>0</v>
      </c>
      <c r="E28" s="248">
        <v>0</v>
      </c>
    </row>
    <row r="29" spans="1:5" x14ac:dyDescent="0.25">
      <c r="A29" s="239" t="s">
        <v>35</v>
      </c>
      <c r="B29" s="238">
        <v>0</v>
      </c>
      <c r="C29" s="238">
        <v>0</v>
      </c>
      <c r="D29" s="248">
        <v>0</v>
      </c>
      <c r="E29" s="248">
        <v>0</v>
      </c>
    </row>
    <row r="30" spans="1:5" x14ac:dyDescent="0.25">
      <c r="A30" s="239" t="s">
        <v>1106</v>
      </c>
      <c r="B30" s="238">
        <v>0</v>
      </c>
      <c r="C30" s="238">
        <v>0</v>
      </c>
      <c r="D30" s="248">
        <v>0</v>
      </c>
      <c r="E30" s="248">
        <v>0</v>
      </c>
    </row>
    <row r="31" spans="1:5" x14ac:dyDescent="0.25">
      <c r="A31" s="239" t="s">
        <v>1273</v>
      </c>
      <c r="B31" s="238">
        <v>0</v>
      </c>
      <c r="C31" s="238">
        <v>0</v>
      </c>
      <c r="D31" s="248">
        <v>0</v>
      </c>
      <c r="E31" s="248">
        <v>0</v>
      </c>
    </row>
    <row r="32" spans="1:5" x14ac:dyDescent="0.25">
      <c r="A32" s="239" t="s">
        <v>34</v>
      </c>
      <c r="B32" s="238">
        <v>0</v>
      </c>
      <c r="C32" s="238">
        <v>0</v>
      </c>
      <c r="D32" s="248">
        <v>0</v>
      </c>
      <c r="E32" s="248">
        <v>0</v>
      </c>
    </row>
    <row r="33" spans="1:5" x14ac:dyDescent="0.25">
      <c r="A33" s="239" t="s">
        <v>33</v>
      </c>
      <c r="B33" s="238">
        <v>0</v>
      </c>
      <c r="C33" s="238">
        <v>0</v>
      </c>
      <c r="D33" s="248">
        <v>0</v>
      </c>
      <c r="E33" s="248">
        <v>0</v>
      </c>
    </row>
    <row r="34" spans="1:5" x14ac:dyDescent="0.25">
      <c r="A34" s="240" t="s">
        <v>1133</v>
      </c>
      <c r="B34" s="238">
        <v>0</v>
      </c>
      <c r="C34" s="238">
        <v>0</v>
      </c>
      <c r="D34" s="238">
        <v>1</v>
      </c>
      <c r="E34" s="248">
        <v>0</v>
      </c>
    </row>
    <row r="35" spans="1:5" x14ac:dyDescent="0.25">
      <c r="A35" s="240" t="s">
        <v>2036</v>
      </c>
      <c r="B35" s="238">
        <v>0</v>
      </c>
      <c r="C35" s="238">
        <v>0</v>
      </c>
      <c r="D35" s="238">
        <v>1</v>
      </c>
      <c r="E35" s="238">
        <v>4</v>
      </c>
    </row>
    <row r="36" spans="1:5" x14ac:dyDescent="0.25">
      <c r="A36" s="239" t="s">
        <v>32</v>
      </c>
      <c r="B36" s="238">
        <v>0</v>
      </c>
      <c r="C36" s="238">
        <v>0</v>
      </c>
      <c r="D36" s="248">
        <v>0</v>
      </c>
      <c r="E36" s="248">
        <v>0</v>
      </c>
    </row>
    <row r="37" spans="1:5" x14ac:dyDescent="0.25">
      <c r="A37" s="239" t="s">
        <v>31</v>
      </c>
      <c r="B37" s="238">
        <v>0</v>
      </c>
      <c r="C37" s="238">
        <v>0</v>
      </c>
      <c r="D37" s="248">
        <v>0</v>
      </c>
      <c r="E37" s="248">
        <v>0</v>
      </c>
    </row>
    <row r="38" spans="1:5" x14ac:dyDescent="0.25">
      <c r="A38" s="239" t="s">
        <v>1278</v>
      </c>
      <c r="B38" s="238">
        <v>0</v>
      </c>
      <c r="C38" s="238">
        <v>0</v>
      </c>
      <c r="D38" s="248">
        <v>0</v>
      </c>
      <c r="E38" s="248">
        <v>0</v>
      </c>
    </row>
    <row r="39" spans="1:5" x14ac:dyDescent="0.25">
      <c r="A39" s="239" t="s">
        <v>1276</v>
      </c>
      <c r="B39" s="238">
        <v>0</v>
      </c>
      <c r="C39" s="238">
        <v>0</v>
      </c>
      <c r="D39" s="248">
        <v>0</v>
      </c>
      <c r="E39" s="248">
        <v>0</v>
      </c>
    </row>
    <row r="40" spans="1:5" x14ac:dyDescent="0.25">
      <c r="A40" s="240" t="s">
        <v>1135</v>
      </c>
      <c r="B40" s="238">
        <v>0</v>
      </c>
      <c r="C40" s="238">
        <v>0</v>
      </c>
      <c r="D40" s="238">
        <v>1</v>
      </c>
      <c r="E40" s="248">
        <v>0</v>
      </c>
    </row>
    <row r="41" spans="1:5" x14ac:dyDescent="0.25">
      <c r="A41" s="240" t="s">
        <v>2037</v>
      </c>
      <c r="B41" s="238">
        <v>0</v>
      </c>
      <c r="C41" s="238">
        <v>0</v>
      </c>
      <c r="D41" s="238">
        <v>1</v>
      </c>
      <c r="E41" s="238">
        <v>4</v>
      </c>
    </row>
    <row r="42" spans="1:5" x14ac:dyDescent="0.25">
      <c r="A42" s="240" t="s">
        <v>1122</v>
      </c>
      <c r="B42" s="238">
        <v>0</v>
      </c>
      <c r="C42" s="238">
        <v>0</v>
      </c>
      <c r="D42" s="238">
        <v>1</v>
      </c>
      <c r="E42" s="248">
        <v>0</v>
      </c>
    </row>
    <row r="43" spans="1:5" x14ac:dyDescent="0.25">
      <c r="A43" s="240" t="s">
        <v>2038</v>
      </c>
      <c r="B43" s="238">
        <v>0</v>
      </c>
      <c r="C43" s="238">
        <v>0</v>
      </c>
      <c r="D43" s="248">
        <v>1</v>
      </c>
      <c r="E43" s="238">
        <v>4</v>
      </c>
    </row>
    <row r="44" spans="1:5" x14ac:dyDescent="0.25">
      <c r="A44" s="240" t="s">
        <v>1132</v>
      </c>
      <c r="B44" s="238">
        <v>0</v>
      </c>
      <c r="C44" s="238">
        <v>0</v>
      </c>
      <c r="D44" s="248">
        <v>1</v>
      </c>
      <c r="E44" s="248">
        <v>0</v>
      </c>
    </row>
    <row r="45" spans="1:5" x14ac:dyDescent="0.25">
      <c r="A45" s="240" t="s">
        <v>2030</v>
      </c>
      <c r="B45" s="238">
        <v>0</v>
      </c>
      <c r="C45" s="238">
        <v>0</v>
      </c>
      <c r="D45" s="248">
        <v>1</v>
      </c>
      <c r="E45" s="238">
        <v>6</v>
      </c>
    </row>
    <row r="46" spans="1:5" x14ac:dyDescent="0.25">
      <c r="A46" s="240" t="s">
        <v>1138</v>
      </c>
      <c r="B46" s="238">
        <v>0</v>
      </c>
      <c r="C46" s="238">
        <v>0</v>
      </c>
      <c r="D46" s="248">
        <v>1</v>
      </c>
      <c r="E46" s="248">
        <v>0</v>
      </c>
    </row>
    <row r="47" spans="1:5" x14ac:dyDescent="0.25">
      <c r="A47" s="240" t="s">
        <v>2031</v>
      </c>
      <c r="B47" s="238">
        <v>0</v>
      </c>
      <c r="C47" s="238">
        <v>0</v>
      </c>
      <c r="D47" s="248">
        <v>1</v>
      </c>
      <c r="E47" s="238">
        <v>6</v>
      </c>
    </row>
    <row r="48" spans="1:5" x14ac:dyDescent="0.25">
      <c r="A48" s="239" t="s">
        <v>1113</v>
      </c>
      <c r="B48" s="238">
        <v>0</v>
      </c>
      <c r="C48" s="238">
        <v>0</v>
      </c>
      <c r="D48" s="248">
        <v>0</v>
      </c>
      <c r="E48" s="248">
        <v>0</v>
      </c>
    </row>
    <row r="49" spans="1:5" x14ac:dyDescent="0.25">
      <c r="A49" s="240" t="s">
        <v>1130</v>
      </c>
      <c r="B49" s="238">
        <v>0</v>
      </c>
      <c r="C49" s="238">
        <v>0</v>
      </c>
      <c r="D49" s="248">
        <v>1</v>
      </c>
      <c r="E49" s="248">
        <v>0</v>
      </c>
    </row>
    <row r="50" spans="1:5" x14ac:dyDescent="0.25">
      <c r="A50" s="240" t="s">
        <v>2032</v>
      </c>
      <c r="B50" s="238">
        <v>0</v>
      </c>
      <c r="C50" s="238">
        <v>0</v>
      </c>
      <c r="D50" s="248">
        <v>1</v>
      </c>
      <c r="E50" s="238">
        <v>6</v>
      </c>
    </row>
    <row r="51" spans="1:5" x14ac:dyDescent="0.25">
      <c r="A51" s="239" t="s">
        <v>1156</v>
      </c>
      <c r="B51" s="238">
        <v>0</v>
      </c>
      <c r="C51" s="238">
        <v>0</v>
      </c>
      <c r="D51" s="248">
        <v>0</v>
      </c>
      <c r="E51" s="248">
        <v>0</v>
      </c>
    </row>
    <row r="52" spans="1:5" x14ac:dyDescent="0.25">
      <c r="A52" s="239" t="s">
        <v>1107</v>
      </c>
      <c r="B52" s="238">
        <v>0</v>
      </c>
      <c r="C52" s="238">
        <v>0</v>
      </c>
      <c r="D52" s="248">
        <v>0</v>
      </c>
      <c r="E52" s="248">
        <v>0</v>
      </c>
    </row>
    <row r="53" spans="1:5" x14ac:dyDescent="0.25">
      <c r="A53" s="239" t="s">
        <v>30</v>
      </c>
      <c r="B53" s="238">
        <v>0</v>
      </c>
      <c r="C53" s="238">
        <v>0</v>
      </c>
      <c r="D53" s="248">
        <v>0</v>
      </c>
      <c r="E53" s="248">
        <v>0</v>
      </c>
    </row>
    <row r="54" spans="1:5" x14ac:dyDescent="0.25">
      <c r="A54" s="239" t="s">
        <v>1108</v>
      </c>
      <c r="B54" s="238">
        <v>0</v>
      </c>
      <c r="C54" s="238">
        <v>0</v>
      </c>
      <c r="D54" s="248">
        <v>0</v>
      </c>
      <c r="E54" s="248">
        <v>0</v>
      </c>
    </row>
    <row r="55" spans="1:5" x14ac:dyDescent="0.25">
      <c r="A55" s="239" t="s">
        <v>7</v>
      </c>
      <c r="B55" s="238">
        <v>0</v>
      </c>
      <c r="C55" s="238">
        <v>0</v>
      </c>
      <c r="D55" s="248">
        <v>0</v>
      </c>
      <c r="E55" s="248">
        <v>0</v>
      </c>
    </row>
    <row r="56" spans="1:5" x14ac:dyDescent="0.25">
      <c r="A56" s="239" t="s">
        <v>29</v>
      </c>
      <c r="B56" s="238">
        <v>0</v>
      </c>
      <c r="C56" s="238">
        <v>0</v>
      </c>
      <c r="D56" s="248">
        <v>0</v>
      </c>
      <c r="E56" s="248">
        <v>0</v>
      </c>
    </row>
    <row r="57" spans="1:5" x14ac:dyDescent="0.25">
      <c r="A57" s="239" t="s">
        <v>1109</v>
      </c>
      <c r="B57" s="238">
        <v>0</v>
      </c>
      <c r="C57" s="238">
        <v>0</v>
      </c>
      <c r="D57" s="248">
        <v>0</v>
      </c>
      <c r="E57" s="248">
        <v>0</v>
      </c>
    </row>
    <row r="58" spans="1:5" x14ac:dyDescent="0.25">
      <c r="A58" s="239" t="s">
        <v>28</v>
      </c>
      <c r="B58" s="238">
        <v>0</v>
      </c>
      <c r="C58" s="238">
        <v>0</v>
      </c>
      <c r="D58" s="248">
        <v>0</v>
      </c>
      <c r="E58" s="248">
        <v>0</v>
      </c>
    </row>
    <row r="59" spans="1:5" x14ac:dyDescent="0.25">
      <c r="A59" s="239" t="s">
        <v>27</v>
      </c>
      <c r="B59" s="238">
        <v>0</v>
      </c>
      <c r="C59" s="238">
        <v>0</v>
      </c>
      <c r="D59" s="248">
        <v>0</v>
      </c>
      <c r="E59" s="248">
        <v>0</v>
      </c>
    </row>
    <row r="60" spans="1:5" x14ac:dyDescent="0.25">
      <c r="A60" s="239" t="s">
        <v>26</v>
      </c>
      <c r="B60" s="238">
        <v>0</v>
      </c>
      <c r="C60" s="238">
        <v>0</v>
      </c>
      <c r="D60" s="248">
        <v>0</v>
      </c>
      <c r="E60" s="248">
        <v>0</v>
      </c>
    </row>
    <row r="61" spans="1:5" x14ac:dyDescent="0.25">
      <c r="A61" s="239" t="s">
        <v>1277</v>
      </c>
      <c r="B61" s="238">
        <v>0</v>
      </c>
      <c r="C61" s="238">
        <v>0</v>
      </c>
      <c r="D61" s="248">
        <v>0</v>
      </c>
      <c r="E61" s="248">
        <v>0</v>
      </c>
    </row>
    <row r="62" spans="1:5" x14ac:dyDescent="0.25">
      <c r="A62" s="239" t="s">
        <v>11</v>
      </c>
      <c r="B62" s="238">
        <v>0</v>
      </c>
      <c r="C62" s="238">
        <v>0</v>
      </c>
      <c r="D62" s="248">
        <v>0</v>
      </c>
      <c r="E62" s="248">
        <v>0</v>
      </c>
    </row>
    <row r="63" spans="1:5" x14ac:dyDescent="0.25">
      <c r="A63" s="239" t="s">
        <v>1144</v>
      </c>
      <c r="B63" s="238">
        <v>0</v>
      </c>
      <c r="C63" s="238">
        <v>0</v>
      </c>
      <c r="D63" s="248">
        <v>0</v>
      </c>
      <c r="E63" s="248">
        <v>0</v>
      </c>
    </row>
    <row r="64" spans="1:5" x14ac:dyDescent="0.25">
      <c r="A64" s="239" t="s">
        <v>1145</v>
      </c>
      <c r="B64" s="238">
        <v>0</v>
      </c>
      <c r="C64" s="238">
        <v>0</v>
      </c>
      <c r="D64" s="248">
        <v>0</v>
      </c>
      <c r="E64" s="248">
        <v>0</v>
      </c>
    </row>
    <row r="65" spans="1:5" x14ac:dyDescent="0.25">
      <c r="A65" s="240" t="s">
        <v>1140</v>
      </c>
      <c r="B65" s="238">
        <v>0</v>
      </c>
      <c r="C65" s="238">
        <v>0</v>
      </c>
      <c r="D65" s="238">
        <v>1</v>
      </c>
      <c r="E65" s="248">
        <v>0</v>
      </c>
    </row>
    <row r="66" spans="1:5" x14ac:dyDescent="0.25">
      <c r="A66" s="240" t="s">
        <v>2039</v>
      </c>
      <c r="B66" s="238">
        <v>0</v>
      </c>
      <c r="C66" s="238">
        <v>0</v>
      </c>
      <c r="D66" s="238">
        <v>1</v>
      </c>
      <c r="E66" s="238">
        <v>4</v>
      </c>
    </row>
    <row r="67" spans="1:5" x14ac:dyDescent="0.25">
      <c r="A67" s="239" t="s">
        <v>1146</v>
      </c>
      <c r="B67" s="238">
        <v>0</v>
      </c>
      <c r="C67" s="238">
        <v>0</v>
      </c>
      <c r="D67" s="238">
        <v>0</v>
      </c>
      <c r="E67" s="248">
        <v>0</v>
      </c>
    </row>
    <row r="68" spans="1:5" x14ac:dyDescent="0.25">
      <c r="A68" s="239" t="s">
        <v>8</v>
      </c>
      <c r="B68" s="238">
        <v>0</v>
      </c>
      <c r="C68" s="238">
        <v>0</v>
      </c>
      <c r="D68" s="238">
        <v>0</v>
      </c>
      <c r="E68" s="248">
        <v>0</v>
      </c>
    </row>
    <row r="69" spans="1:5" x14ac:dyDescent="0.25">
      <c r="A69" s="239" t="s">
        <v>1147</v>
      </c>
      <c r="B69" s="238">
        <v>0</v>
      </c>
      <c r="C69" s="238">
        <v>0</v>
      </c>
      <c r="D69" s="238">
        <v>0</v>
      </c>
      <c r="E69" s="248">
        <v>0</v>
      </c>
    </row>
    <row r="70" spans="1:5" x14ac:dyDescent="0.25">
      <c r="A70" s="239" t="s">
        <v>1148</v>
      </c>
      <c r="B70" s="238">
        <v>0</v>
      </c>
      <c r="C70" s="238">
        <v>0</v>
      </c>
      <c r="D70" s="238">
        <v>0</v>
      </c>
      <c r="E70" s="248">
        <v>0</v>
      </c>
    </row>
    <row r="71" spans="1:5" x14ac:dyDescent="0.25">
      <c r="A71" s="239" t="s">
        <v>25</v>
      </c>
      <c r="B71" s="238">
        <v>0</v>
      </c>
      <c r="C71" s="238">
        <v>0</v>
      </c>
      <c r="D71" s="238">
        <v>0</v>
      </c>
      <c r="E71" s="248">
        <v>0</v>
      </c>
    </row>
    <row r="72" spans="1:5" x14ac:dyDescent="0.25">
      <c r="A72" s="239" t="s">
        <v>1275</v>
      </c>
      <c r="B72" s="238">
        <v>0</v>
      </c>
      <c r="C72" s="238">
        <v>0</v>
      </c>
      <c r="D72" s="238">
        <v>0</v>
      </c>
      <c r="E72" s="248">
        <v>0</v>
      </c>
    </row>
    <row r="73" spans="1:5" x14ac:dyDescent="0.25">
      <c r="A73" s="239" t="s">
        <v>1149</v>
      </c>
      <c r="B73" s="238">
        <v>0</v>
      </c>
      <c r="C73" s="238">
        <v>0</v>
      </c>
      <c r="D73" s="238">
        <v>0</v>
      </c>
      <c r="E73" s="248">
        <v>0</v>
      </c>
    </row>
    <row r="74" spans="1:5" x14ac:dyDescent="0.25">
      <c r="A74" s="239" t="s">
        <v>23</v>
      </c>
      <c r="B74" s="238">
        <v>0</v>
      </c>
      <c r="C74" s="238">
        <v>0</v>
      </c>
      <c r="D74" s="238">
        <v>0</v>
      </c>
      <c r="E74" s="248">
        <v>0</v>
      </c>
    </row>
    <row r="75" spans="1:5" x14ac:dyDescent="0.25">
      <c r="A75" s="239" t="s">
        <v>22</v>
      </c>
      <c r="B75" s="238">
        <v>0</v>
      </c>
      <c r="C75" s="238">
        <v>0</v>
      </c>
      <c r="D75" s="238">
        <v>0</v>
      </c>
      <c r="E75" s="248">
        <v>0</v>
      </c>
    </row>
    <row r="76" spans="1:5" x14ac:dyDescent="0.25">
      <c r="A76" s="239" t="s">
        <v>21</v>
      </c>
      <c r="B76" s="238">
        <v>0</v>
      </c>
      <c r="C76" s="238">
        <v>0</v>
      </c>
      <c r="D76" s="238">
        <v>0</v>
      </c>
      <c r="E76" s="248">
        <v>0</v>
      </c>
    </row>
    <row r="77" spans="1:5" x14ac:dyDescent="0.25">
      <c r="A77" s="239" t="s">
        <v>1150</v>
      </c>
      <c r="B77" s="238">
        <v>0</v>
      </c>
      <c r="C77" s="238">
        <v>0</v>
      </c>
      <c r="D77" s="238">
        <v>0</v>
      </c>
      <c r="E77" s="248">
        <v>0</v>
      </c>
    </row>
    <row r="78" spans="1:5" x14ac:dyDescent="0.25">
      <c r="A78" s="240" t="s">
        <v>1142</v>
      </c>
      <c r="B78" s="238">
        <v>0</v>
      </c>
      <c r="C78" s="238">
        <v>0</v>
      </c>
      <c r="D78" s="238">
        <v>1</v>
      </c>
      <c r="E78" s="248">
        <v>0</v>
      </c>
    </row>
    <row r="79" spans="1:5" x14ac:dyDescent="0.25">
      <c r="A79" s="240" t="s">
        <v>2040</v>
      </c>
      <c r="B79" s="238">
        <v>0</v>
      </c>
      <c r="C79" s="238">
        <v>0</v>
      </c>
      <c r="D79" s="238">
        <v>1</v>
      </c>
      <c r="E79" s="238">
        <v>4</v>
      </c>
    </row>
    <row r="80" spans="1:5" x14ac:dyDescent="0.25">
      <c r="A80" s="239" t="s">
        <v>20</v>
      </c>
      <c r="B80" s="238">
        <v>0</v>
      </c>
      <c r="C80" s="238">
        <v>0</v>
      </c>
      <c r="D80" s="238">
        <v>0</v>
      </c>
      <c r="E80" s="248">
        <v>0</v>
      </c>
    </row>
    <row r="81" spans="1:5" x14ac:dyDescent="0.25">
      <c r="A81" s="239" t="s">
        <v>19</v>
      </c>
      <c r="B81" s="238">
        <v>0</v>
      </c>
      <c r="C81" s="238">
        <v>0</v>
      </c>
      <c r="D81" s="238">
        <v>0</v>
      </c>
      <c r="E81" s="248">
        <v>0</v>
      </c>
    </row>
    <row r="82" spans="1:5" x14ac:dyDescent="0.25">
      <c r="A82" s="239" t="s">
        <v>1114</v>
      </c>
      <c r="B82" s="238">
        <v>0</v>
      </c>
      <c r="C82" s="238">
        <v>0</v>
      </c>
      <c r="D82" s="238">
        <v>0</v>
      </c>
      <c r="E82" s="248">
        <v>0</v>
      </c>
    </row>
    <row r="83" spans="1:5" x14ac:dyDescent="0.25">
      <c r="A83" s="239" t="s">
        <v>1115</v>
      </c>
      <c r="B83" s="238">
        <v>0</v>
      </c>
      <c r="C83" s="238">
        <v>0</v>
      </c>
      <c r="D83" s="238">
        <v>0</v>
      </c>
      <c r="E83" s="248">
        <v>0</v>
      </c>
    </row>
    <row r="84" spans="1:5" x14ac:dyDescent="0.25">
      <c r="A84" s="239" t="s">
        <v>1116</v>
      </c>
      <c r="B84" s="238">
        <v>0</v>
      </c>
      <c r="C84" s="238">
        <v>0</v>
      </c>
      <c r="D84" s="238">
        <v>0</v>
      </c>
      <c r="E84" s="248">
        <v>0</v>
      </c>
    </row>
    <row r="85" spans="1:5" x14ac:dyDescent="0.25">
      <c r="A85" s="239" t="s">
        <v>1117</v>
      </c>
      <c r="B85" s="238">
        <v>0</v>
      </c>
      <c r="C85" s="238">
        <v>0</v>
      </c>
      <c r="D85" s="238">
        <v>0</v>
      </c>
      <c r="E85" s="248">
        <v>0</v>
      </c>
    </row>
    <row r="86" spans="1:5" x14ac:dyDescent="0.25">
      <c r="A86" s="239" t="s">
        <v>1151</v>
      </c>
      <c r="B86" s="238">
        <v>0</v>
      </c>
      <c r="C86" s="238">
        <v>0</v>
      </c>
      <c r="D86" s="238">
        <v>0</v>
      </c>
      <c r="E86" s="248">
        <v>0</v>
      </c>
    </row>
    <row r="87" spans="1:5" x14ac:dyDescent="0.25">
      <c r="A87" s="239" t="s">
        <v>17</v>
      </c>
      <c r="B87" s="238">
        <v>0</v>
      </c>
      <c r="C87" s="238">
        <v>0</v>
      </c>
      <c r="D87" s="238">
        <v>0</v>
      </c>
      <c r="E87" s="248">
        <v>0</v>
      </c>
    </row>
    <row r="88" spans="1:5" x14ac:dyDescent="0.25">
      <c r="A88" s="239" t="s">
        <v>16</v>
      </c>
      <c r="B88" s="238">
        <v>0</v>
      </c>
      <c r="C88" s="238">
        <v>0</v>
      </c>
      <c r="D88" s="238">
        <v>0</v>
      </c>
      <c r="E88" s="248">
        <v>0</v>
      </c>
    </row>
    <row r="89" spans="1:5" x14ac:dyDescent="0.25">
      <c r="A89" s="239" t="s">
        <v>15</v>
      </c>
      <c r="B89" s="238">
        <v>0</v>
      </c>
      <c r="C89" s="238">
        <v>0</v>
      </c>
      <c r="D89" s="238">
        <v>0</v>
      </c>
      <c r="E89" s="248">
        <v>0</v>
      </c>
    </row>
    <row r="90" spans="1:5" x14ac:dyDescent="0.25">
      <c r="A90" s="239" t="s">
        <v>14</v>
      </c>
      <c r="B90" s="238">
        <v>0</v>
      </c>
      <c r="C90" s="238">
        <v>0</v>
      </c>
      <c r="D90" s="238">
        <v>0</v>
      </c>
      <c r="E90" s="248">
        <v>0</v>
      </c>
    </row>
    <row r="91" spans="1:5" x14ac:dyDescent="0.25">
      <c r="A91" s="239" t="s">
        <v>13</v>
      </c>
      <c r="B91" s="238">
        <v>0</v>
      </c>
      <c r="C91" s="238">
        <v>0</v>
      </c>
      <c r="D91" s="238">
        <v>0</v>
      </c>
      <c r="E91" s="248">
        <v>0</v>
      </c>
    </row>
    <row r="92" spans="1:5" x14ac:dyDescent="0.25">
      <c r="A92" s="240" t="s">
        <v>4</v>
      </c>
      <c r="B92" s="238">
        <v>0</v>
      </c>
      <c r="C92" s="238">
        <v>0</v>
      </c>
      <c r="D92" s="238">
        <v>1</v>
      </c>
      <c r="E92" s="248">
        <v>0</v>
      </c>
    </row>
    <row r="93" spans="1:5" x14ac:dyDescent="0.25">
      <c r="A93" s="240" t="s">
        <v>2041</v>
      </c>
      <c r="B93" s="238">
        <v>0</v>
      </c>
      <c r="C93" s="238">
        <v>0</v>
      </c>
      <c r="D93" s="238">
        <v>1</v>
      </c>
      <c r="E93" s="238">
        <v>4</v>
      </c>
    </row>
    <row r="94" spans="1:5" x14ac:dyDescent="0.25">
      <c r="A94" s="239" t="s">
        <v>1160</v>
      </c>
      <c r="B94" s="238">
        <v>0</v>
      </c>
      <c r="C94" s="238">
        <v>0</v>
      </c>
      <c r="D94" s="238">
        <v>0</v>
      </c>
      <c r="E94" s="248">
        <v>0</v>
      </c>
    </row>
    <row r="95" spans="1:5" x14ac:dyDescent="0.25">
      <c r="A95" s="239" t="s">
        <v>1159</v>
      </c>
      <c r="B95" s="238">
        <v>0</v>
      </c>
      <c r="C95" s="238">
        <v>0</v>
      </c>
      <c r="D95" s="238">
        <v>0</v>
      </c>
      <c r="E95" s="248">
        <v>0</v>
      </c>
    </row>
    <row r="96" spans="1:5" x14ac:dyDescent="0.25">
      <c r="A96" s="239" t="s">
        <v>1158</v>
      </c>
      <c r="B96" s="238">
        <v>0</v>
      </c>
      <c r="C96" s="238">
        <v>0</v>
      </c>
      <c r="D96" s="238">
        <v>0</v>
      </c>
      <c r="E96" s="248">
        <v>0</v>
      </c>
    </row>
    <row r="97" spans="1:7" x14ac:dyDescent="0.25">
      <c r="A97" s="239" t="s">
        <v>1157</v>
      </c>
      <c r="B97" s="238">
        <v>0</v>
      </c>
      <c r="C97" s="238">
        <v>0</v>
      </c>
      <c r="D97" s="238">
        <v>0</v>
      </c>
      <c r="E97" s="248">
        <v>0</v>
      </c>
    </row>
    <row r="98" spans="1:7" x14ac:dyDescent="0.25">
      <c r="A98" s="239" t="s">
        <v>1274</v>
      </c>
      <c r="B98" s="238">
        <v>0</v>
      </c>
      <c r="C98" s="238">
        <v>0</v>
      </c>
      <c r="D98" s="238">
        <v>0</v>
      </c>
      <c r="E98" s="248">
        <v>0</v>
      </c>
    </row>
    <row r="99" spans="1:7" x14ac:dyDescent="0.25">
      <c r="A99" s="239" t="s">
        <v>1161</v>
      </c>
      <c r="B99" s="238">
        <v>0</v>
      </c>
      <c r="C99" s="238">
        <v>0</v>
      </c>
      <c r="D99" s="238">
        <v>0</v>
      </c>
      <c r="E99" s="248">
        <v>0</v>
      </c>
    </row>
    <row r="100" spans="1:7" x14ac:dyDescent="0.25">
      <c r="A100" s="239" t="s">
        <v>1118</v>
      </c>
      <c r="B100" s="238">
        <v>0</v>
      </c>
      <c r="C100" s="238">
        <v>1</v>
      </c>
      <c r="D100" s="248">
        <v>1</v>
      </c>
      <c r="E100" s="248">
        <v>0</v>
      </c>
    </row>
    <row r="101" spans="1:7" x14ac:dyDescent="0.25">
      <c r="A101" s="239" t="s">
        <v>1119</v>
      </c>
      <c r="B101" s="238">
        <v>0</v>
      </c>
      <c r="C101" s="238">
        <v>1</v>
      </c>
      <c r="D101" s="248">
        <v>1</v>
      </c>
      <c r="E101" s="248">
        <v>2</v>
      </c>
    </row>
    <row r="102" spans="1:7" x14ac:dyDescent="0.25">
      <c r="A102" s="239" t="s">
        <v>1120</v>
      </c>
      <c r="B102" s="238">
        <v>0</v>
      </c>
      <c r="C102" s="238">
        <v>1</v>
      </c>
      <c r="D102" s="238">
        <v>1</v>
      </c>
      <c r="E102" s="248">
        <v>5</v>
      </c>
    </row>
    <row r="103" spans="1:7" x14ac:dyDescent="0.25">
      <c r="A103" s="239" t="s">
        <v>2099</v>
      </c>
      <c r="B103" s="248">
        <v>1</v>
      </c>
      <c r="C103" s="248">
        <v>0</v>
      </c>
      <c r="D103" s="248">
        <v>0</v>
      </c>
      <c r="E103" s="248">
        <v>0</v>
      </c>
      <c r="F103" s="248" t="s">
        <v>2309</v>
      </c>
      <c r="G103" s="248" t="s">
        <v>2308</v>
      </c>
    </row>
    <row r="104" spans="1:7" x14ac:dyDescent="0.25">
      <c r="A104" s="239" t="s">
        <v>2100</v>
      </c>
      <c r="B104" s="248">
        <v>1</v>
      </c>
      <c r="C104" s="248">
        <v>0</v>
      </c>
      <c r="D104" s="248">
        <v>0</v>
      </c>
      <c r="E104" s="248">
        <v>0</v>
      </c>
      <c r="F104" s="248" t="s">
        <v>2309</v>
      </c>
      <c r="G104" s="248" t="s">
        <v>2308</v>
      </c>
    </row>
    <row r="105" spans="1:7" x14ac:dyDescent="0.25">
      <c r="A105" s="239" t="s">
        <v>2101</v>
      </c>
      <c r="B105" s="248">
        <v>1</v>
      </c>
      <c r="C105" s="248">
        <v>0</v>
      </c>
      <c r="D105" s="248">
        <v>0</v>
      </c>
      <c r="E105" s="248">
        <v>0</v>
      </c>
      <c r="F105" s="248" t="s">
        <v>2309</v>
      </c>
      <c r="G105" s="248" t="s">
        <v>2308</v>
      </c>
    </row>
    <row r="106" spans="1:7" x14ac:dyDescent="0.25">
      <c r="A106" s="239" t="s">
        <v>2118</v>
      </c>
      <c r="B106" s="248">
        <v>1</v>
      </c>
      <c r="C106" s="248">
        <v>0</v>
      </c>
      <c r="D106" s="248">
        <v>0</v>
      </c>
      <c r="E106" s="248">
        <v>0</v>
      </c>
      <c r="F106" s="248" t="s">
        <v>2309</v>
      </c>
      <c r="G106" s="248" t="s">
        <v>2308</v>
      </c>
    </row>
    <row r="107" spans="1:7" x14ac:dyDescent="0.25">
      <c r="A107" s="239" t="s">
        <v>2102</v>
      </c>
      <c r="B107" s="248">
        <v>1</v>
      </c>
      <c r="C107" s="248">
        <v>0</v>
      </c>
      <c r="D107" s="248">
        <v>0</v>
      </c>
      <c r="E107" s="248">
        <v>0</v>
      </c>
      <c r="F107" s="248" t="s">
        <v>2309</v>
      </c>
      <c r="G107" s="248" t="s">
        <v>2308</v>
      </c>
    </row>
    <row r="108" spans="1:7" x14ac:dyDescent="0.25">
      <c r="A108" s="239" t="s">
        <v>2104</v>
      </c>
      <c r="B108" s="248">
        <v>1</v>
      </c>
      <c r="C108" s="248">
        <v>0</v>
      </c>
      <c r="D108" s="248">
        <v>0</v>
      </c>
      <c r="E108" s="248">
        <v>0</v>
      </c>
      <c r="F108" s="248" t="s">
        <v>2309</v>
      </c>
      <c r="G108" s="248" t="s">
        <v>2308</v>
      </c>
    </row>
    <row r="109" spans="1:7" x14ac:dyDescent="0.25">
      <c r="A109" s="239" t="s">
        <v>2117</v>
      </c>
      <c r="B109" s="248">
        <v>1</v>
      </c>
      <c r="C109" s="248">
        <v>0</v>
      </c>
      <c r="D109" s="248">
        <v>0</v>
      </c>
      <c r="E109" s="248">
        <v>0</v>
      </c>
      <c r="F109" s="248" t="s">
        <v>2119</v>
      </c>
      <c r="G109" s="248" t="s">
        <v>2307</v>
      </c>
    </row>
    <row r="110" spans="1:7" x14ac:dyDescent="0.25">
      <c r="A110" s="239" t="s">
        <v>2120</v>
      </c>
      <c r="B110" s="248">
        <v>1</v>
      </c>
      <c r="C110" s="248">
        <v>0</v>
      </c>
      <c r="D110" s="248">
        <v>0</v>
      </c>
      <c r="E110" s="248">
        <v>0</v>
      </c>
      <c r="F110" s="248" t="s">
        <v>2119</v>
      </c>
      <c r="G110" s="248" t="s">
        <v>2307</v>
      </c>
    </row>
    <row r="111" spans="1:7" x14ac:dyDescent="0.25">
      <c r="A111" s="239" t="s">
        <v>2116</v>
      </c>
      <c r="B111" s="248">
        <v>1</v>
      </c>
      <c r="C111" s="248">
        <v>0</v>
      </c>
      <c r="D111" s="248">
        <v>0</v>
      </c>
      <c r="E111" s="248">
        <v>0</v>
      </c>
      <c r="F111" s="248" t="s">
        <v>2119</v>
      </c>
      <c r="G111" s="248" t="s">
        <v>2307</v>
      </c>
    </row>
    <row r="112" spans="1:7" x14ac:dyDescent="0.25">
      <c r="A112" s="239" t="s">
        <v>2121</v>
      </c>
      <c r="B112" s="248">
        <v>1</v>
      </c>
      <c r="C112" s="248">
        <v>0</v>
      </c>
      <c r="D112" s="248">
        <v>0</v>
      </c>
      <c r="E112" s="248">
        <v>0</v>
      </c>
      <c r="F112" s="248" t="s">
        <v>2119</v>
      </c>
      <c r="G112" s="248" t="s">
        <v>2307</v>
      </c>
    </row>
    <row r="113" spans="1:7" x14ac:dyDescent="0.25">
      <c r="A113" s="239" t="s">
        <v>2115</v>
      </c>
      <c r="B113" s="248">
        <v>1</v>
      </c>
      <c r="C113" s="248">
        <v>0</v>
      </c>
      <c r="D113" s="248">
        <v>0</v>
      </c>
      <c r="E113" s="248">
        <v>0</v>
      </c>
      <c r="F113" s="248" t="s">
        <v>2119</v>
      </c>
      <c r="G113" s="248" t="s">
        <v>2307</v>
      </c>
    </row>
    <row r="114" spans="1:7" x14ac:dyDescent="0.25">
      <c r="A114" s="239" t="s">
        <v>2122</v>
      </c>
      <c r="B114" s="248">
        <v>1</v>
      </c>
      <c r="C114" s="248">
        <v>0</v>
      </c>
      <c r="D114" s="248">
        <v>0</v>
      </c>
      <c r="E114" s="248">
        <v>0</v>
      </c>
      <c r="F114" s="248" t="s">
        <v>2119</v>
      </c>
      <c r="G114" s="248" t="s">
        <v>2307</v>
      </c>
    </row>
    <row r="115" spans="1:7" x14ac:dyDescent="0.25">
      <c r="A115" s="239" t="s">
        <v>2123</v>
      </c>
      <c r="B115" s="248">
        <v>1</v>
      </c>
      <c r="C115" s="248">
        <v>0</v>
      </c>
      <c r="D115" s="248">
        <v>0</v>
      </c>
      <c r="E115" s="248">
        <v>0</v>
      </c>
      <c r="F115" s="248" t="s">
        <v>2119</v>
      </c>
      <c r="G115" s="248" t="s">
        <v>2307</v>
      </c>
    </row>
    <row r="116" spans="1:7" x14ac:dyDescent="0.25">
      <c r="A116" s="239" t="s">
        <v>2024</v>
      </c>
      <c r="B116" s="238">
        <v>1</v>
      </c>
      <c r="C116" s="248">
        <v>0</v>
      </c>
      <c r="D116" s="248">
        <v>0</v>
      </c>
      <c r="E116" s="248">
        <v>0</v>
      </c>
      <c r="F116" s="248" t="s">
        <v>2119</v>
      </c>
      <c r="G116" s="248" t="s">
        <v>2307</v>
      </c>
    </row>
    <row r="117" spans="1:7" x14ac:dyDescent="0.25">
      <c r="A117" s="239" t="s">
        <v>2124</v>
      </c>
      <c r="B117" s="248">
        <v>1</v>
      </c>
      <c r="C117" s="248">
        <v>0</v>
      </c>
      <c r="D117" s="248">
        <v>0</v>
      </c>
      <c r="E117" s="248">
        <v>0</v>
      </c>
      <c r="F117" s="248" t="s">
        <v>2119</v>
      </c>
      <c r="G117" s="248" t="s">
        <v>2307</v>
      </c>
    </row>
    <row r="118" spans="1:7" x14ac:dyDescent="0.25">
      <c r="A118" s="239" t="s">
        <v>2114</v>
      </c>
      <c r="B118" s="248">
        <v>1</v>
      </c>
      <c r="C118" s="248">
        <v>0</v>
      </c>
      <c r="D118" s="248">
        <v>0</v>
      </c>
      <c r="E118" s="248">
        <v>0</v>
      </c>
      <c r="F118" s="248" t="s">
        <v>2119</v>
      </c>
      <c r="G118" s="248" t="s">
        <v>2307</v>
      </c>
    </row>
    <row r="119" spans="1:7" x14ac:dyDescent="0.25">
      <c r="A119" s="239" t="s">
        <v>2125</v>
      </c>
      <c r="B119" s="248">
        <v>1</v>
      </c>
      <c r="C119" s="248">
        <v>0</v>
      </c>
      <c r="D119" s="248">
        <v>0</v>
      </c>
      <c r="E119" s="248">
        <v>0</v>
      </c>
      <c r="F119" s="248" t="s">
        <v>2119</v>
      </c>
      <c r="G119" s="248" t="s">
        <v>2307</v>
      </c>
    </row>
    <row r="120" spans="1:7" x14ac:dyDescent="0.25">
      <c r="A120" s="239" t="s">
        <v>2126</v>
      </c>
      <c r="B120" s="248">
        <v>1</v>
      </c>
      <c r="C120" s="248">
        <v>0</v>
      </c>
      <c r="D120" s="248">
        <v>0</v>
      </c>
      <c r="E120" s="248">
        <v>0</v>
      </c>
      <c r="F120" s="248" t="s">
        <v>2119</v>
      </c>
      <c r="G120" s="248" t="s">
        <v>2307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1"/>
  <sheetViews>
    <sheetView workbookViewId="0">
      <selection activeCell="A12" sqref="A1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254" t="s">
        <v>2313</v>
      </c>
      <c r="B1" s="254" t="s">
        <v>2320</v>
      </c>
      <c r="C1" s="254" t="s">
        <v>1102</v>
      </c>
      <c r="D1" s="254" t="s">
        <v>2319</v>
      </c>
    </row>
    <row r="2" spans="1:4" x14ac:dyDescent="0.25">
      <c r="B2" s="254"/>
      <c r="C2" s="254"/>
      <c r="D2" s="254"/>
    </row>
    <row r="3" spans="1:4" x14ac:dyDescent="0.25">
      <c r="B3" s="254" t="s">
        <v>2314</v>
      </c>
    </row>
    <row r="4" spans="1:4" x14ac:dyDescent="0.25">
      <c r="B4" t="s">
        <v>2315</v>
      </c>
    </row>
    <row r="5" spans="1:4" x14ac:dyDescent="0.25">
      <c r="B5" s="255" t="s">
        <v>2414</v>
      </c>
    </row>
    <row r="6" spans="1:4" x14ac:dyDescent="0.25">
      <c r="B6" s="254"/>
    </row>
    <row r="7" spans="1:4" x14ac:dyDescent="0.25">
      <c r="B7" s="254" t="s">
        <v>2213</v>
      </c>
    </row>
    <row r="8" spans="1:4" x14ac:dyDescent="0.25">
      <c r="A8" t="s">
        <v>2333</v>
      </c>
      <c r="B8" t="s">
        <v>2210</v>
      </c>
      <c r="C8" t="s">
        <v>2228</v>
      </c>
      <c r="D8" t="s">
        <v>2318</v>
      </c>
    </row>
    <row r="10" spans="1:4" x14ac:dyDescent="0.25">
      <c r="B10" s="254" t="s">
        <v>2310</v>
      </c>
    </row>
    <row r="11" spans="1:4" x14ac:dyDescent="0.25">
      <c r="A11" t="s">
        <v>2332</v>
      </c>
      <c r="B11" t="s">
        <v>2329</v>
      </c>
      <c r="C11" t="s">
        <v>1790</v>
      </c>
      <c r="D11" s="260" t="s">
        <v>2334</v>
      </c>
    </row>
    <row r="12" spans="1:4" x14ac:dyDescent="0.25">
      <c r="B12" t="s">
        <v>2306</v>
      </c>
      <c r="C12" t="s">
        <v>666</v>
      </c>
      <c r="D12" s="260" t="s">
        <v>2323</v>
      </c>
    </row>
    <row r="14" spans="1:4" x14ac:dyDescent="0.25">
      <c r="B14" s="254" t="s">
        <v>2209</v>
      </c>
    </row>
    <row r="15" spans="1:4" x14ac:dyDescent="0.25">
      <c r="A15" t="s">
        <v>1828</v>
      </c>
      <c r="B15" t="s">
        <v>2324</v>
      </c>
    </row>
    <row r="16" spans="1:4" x14ac:dyDescent="0.25">
      <c r="A16" t="s">
        <v>1828</v>
      </c>
      <c r="B16" t="s">
        <v>2325</v>
      </c>
    </row>
    <row r="17" spans="1:4" x14ac:dyDescent="0.25">
      <c r="A17" t="s">
        <v>1828</v>
      </c>
      <c r="B17" t="s">
        <v>2326</v>
      </c>
    </row>
    <row r="18" spans="1:4" x14ac:dyDescent="0.25">
      <c r="A18" t="s">
        <v>1828</v>
      </c>
      <c r="B18" t="s">
        <v>2327</v>
      </c>
    </row>
    <row r="19" spans="1:4" x14ac:dyDescent="0.25">
      <c r="A19" t="s">
        <v>1828</v>
      </c>
      <c r="B19" t="s">
        <v>2328</v>
      </c>
    </row>
    <row r="20" spans="1:4" x14ac:dyDescent="0.25">
      <c r="A20" t="s">
        <v>1828</v>
      </c>
      <c r="B20" t="s">
        <v>2261</v>
      </c>
    </row>
    <row r="21" spans="1:4" x14ac:dyDescent="0.25">
      <c r="A21" t="s">
        <v>1828</v>
      </c>
      <c r="B21" t="s">
        <v>2302</v>
      </c>
    </row>
    <row r="22" spans="1:4" x14ac:dyDescent="0.25">
      <c r="D22" s="260"/>
    </row>
    <row r="23" spans="1:4" x14ac:dyDescent="0.25">
      <c r="B23" s="254" t="s">
        <v>2212</v>
      </c>
    </row>
    <row r="24" spans="1:4" x14ac:dyDescent="0.25">
      <c r="B24" t="s">
        <v>2227</v>
      </c>
    </row>
    <row r="26" spans="1:4" x14ac:dyDescent="0.25">
      <c r="B26" s="254" t="s">
        <v>2211</v>
      </c>
    </row>
    <row r="27" spans="1:4" x14ac:dyDescent="0.25">
      <c r="B27" t="s">
        <v>2305</v>
      </c>
    </row>
    <row r="29" spans="1:4" x14ac:dyDescent="0.25">
      <c r="B29" s="254" t="s">
        <v>2202</v>
      </c>
    </row>
    <row r="30" spans="1:4" x14ac:dyDescent="0.25">
      <c r="B30" t="s">
        <v>2305</v>
      </c>
    </row>
    <row r="32" spans="1:4" x14ac:dyDescent="0.25">
      <c r="B32" s="254" t="s">
        <v>2317</v>
      </c>
    </row>
    <row r="33" spans="1:4" x14ac:dyDescent="0.25">
      <c r="A33" t="s">
        <v>2331</v>
      </c>
      <c r="B33" s="255" t="s">
        <v>2300</v>
      </c>
      <c r="D33" t="s">
        <v>2207</v>
      </c>
    </row>
    <row r="34" spans="1:4" x14ac:dyDescent="0.25">
      <c r="A34" t="s">
        <v>2331</v>
      </c>
      <c r="B34" s="255" t="s">
        <v>2339</v>
      </c>
      <c r="D34" t="s">
        <v>2207</v>
      </c>
    </row>
    <row r="35" spans="1:4" x14ac:dyDescent="0.25">
      <c r="A35" t="s">
        <v>2331</v>
      </c>
      <c r="B35" s="255" t="s">
        <v>2303</v>
      </c>
      <c r="D35" t="s">
        <v>2207</v>
      </c>
    </row>
    <row r="36" spans="1:4" x14ac:dyDescent="0.25">
      <c r="A36" t="s">
        <v>2331</v>
      </c>
      <c r="B36" s="255" t="s">
        <v>2304</v>
      </c>
      <c r="D36" t="s">
        <v>2207</v>
      </c>
    </row>
    <row r="37" spans="1:4" x14ac:dyDescent="0.25">
      <c r="A37" t="s">
        <v>2331</v>
      </c>
      <c r="B37" t="s">
        <v>2206</v>
      </c>
      <c r="C37" t="s">
        <v>501</v>
      </c>
      <c r="D37" t="s">
        <v>2208</v>
      </c>
    </row>
    <row r="38" spans="1:4" x14ac:dyDescent="0.25">
      <c r="A38" t="s">
        <v>2331</v>
      </c>
      <c r="B38" t="s">
        <v>2214</v>
      </c>
      <c r="C38" t="s">
        <v>283</v>
      </c>
      <c r="D38" t="s">
        <v>2207</v>
      </c>
    </row>
    <row r="39" spans="1:4" x14ac:dyDescent="0.25">
      <c r="A39" t="s">
        <v>2331</v>
      </c>
      <c r="B39" t="s">
        <v>2215</v>
      </c>
      <c r="C39" t="s">
        <v>593</v>
      </c>
      <c r="D39" t="s">
        <v>2207</v>
      </c>
    </row>
    <row r="40" spans="1:4" x14ac:dyDescent="0.25">
      <c r="A40" t="s">
        <v>2331</v>
      </c>
      <c r="B40" t="s">
        <v>2217</v>
      </c>
      <c r="C40" t="s">
        <v>164</v>
      </c>
      <c r="D40" t="s">
        <v>2207</v>
      </c>
    </row>
    <row r="41" spans="1:4" x14ac:dyDescent="0.25">
      <c r="A41" t="s">
        <v>2331</v>
      </c>
      <c r="B41" t="s">
        <v>2301</v>
      </c>
      <c r="D41" t="s">
        <v>2207</v>
      </c>
    </row>
    <row r="42" spans="1:4" x14ac:dyDescent="0.25">
      <c r="A42" t="s">
        <v>2331</v>
      </c>
      <c r="B42" t="s">
        <v>2216</v>
      </c>
      <c r="C42" t="s">
        <v>864</v>
      </c>
      <c r="D42" t="s">
        <v>2207</v>
      </c>
    </row>
    <row r="43" spans="1:4" x14ac:dyDescent="0.25">
      <c r="A43" t="s">
        <v>2331</v>
      </c>
      <c r="B43" t="s">
        <v>2218</v>
      </c>
      <c r="C43" t="s">
        <v>450</v>
      </c>
      <c r="D43" t="s">
        <v>2207</v>
      </c>
    </row>
    <row r="44" spans="1:4" x14ac:dyDescent="0.25">
      <c r="A44" t="s">
        <v>2331</v>
      </c>
      <c r="B44" t="s">
        <v>2219</v>
      </c>
      <c r="C44" t="s">
        <v>407</v>
      </c>
      <c r="D44" t="s">
        <v>2207</v>
      </c>
    </row>
    <row r="45" spans="1:4" x14ac:dyDescent="0.25">
      <c r="A45" t="s">
        <v>2331</v>
      </c>
      <c r="B45" t="s">
        <v>2221</v>
      </c>
      <c r="C45" t="s">
        <v>2222</v>
      </c>
      <c r="D45" t="s">
        <v>2207</v>
      </c>
    </row>
    <row r="46" spans="1:4" x14ac:dyDescent="0.25">
      <c r="A46" t="s">
        <v>2331</v>
      </c>
      <c r="B46" t="s">
        <v>2316</v>
      </c>
    </row>
    <row r="47" spans="1:4" x14ac:dyDescent="0.25">
      <c r="A47" t="s">
        <v>1828</v>
      </c>
      <c r="B47" t="s">
        <v>2330</v>
      </c>
    </row>
    <row r="49" spans="1:3" x14ac:dyDescent="0.25">
      <c r="B49" s="254" t="s">
        <v>2312</v>
      </c>
    </row>
    <row r="50" spans="1:3" x14ac:dyDescent="0.25">
      <c r="A50" t="s">
        <v>0</v>
      </c>
      <c r="B50" s="255" t="s">
        <v>2220</v>
      </c>
      <c r="C50" t="s">
        <v>2019</v>
      </c>
    </row>
    <row r="51" spans="1:3" x14ac:dyDescent="0.25">
      <c r="A51" t="s">
        <v>0</v>
      </c>
      <c r="B51" s="255" t="s">
        <v>2223</v>
      </c>
      <c r="C51" t="s">
        <v>2092</v>
      </c>
    </row>
    <row r="52" spans="1:3" x14ac:dyDescent="0.25">
      <c r="A52" t="s">
        <v>0</v>
      </c>
      <c r="B52" s="255" t="s">
        <v>2224</v>
      </c>
      <c r="C52" t="s">
        <v>2110</v>
      </c>
    </row>
    <row r="53" spans="1:3" x14ac:dyDescent="0.25">
      <c r="A53" t="s">
        <v>0</v>
      </c>
      <c r="B53" s="255" t="s">
        <v>2225</v>
      </c>
      <c r="C53" t="s">
        <v>2091</v>
      </c>
    </row>
    <row r="54" spans="1:3" x14ac:dyDescent="0.25">
      <c r="A54" t="s">
        <v>0</v>
      </c>
      <c r="B54" s="255" t="s">
        <v>2226</v>
      </c>
      <c r="C54" t="s">
        <v>2127</v>
      </c>
    </row>
    <row r="55" spans="1:3" x14ac:dyDescent="0.25">
      <c r="A55" t="s">
        <v>0</v>
      </c>
      <c r="B55" s="255" t="s">
        <v>1324</v>
      </c>
      <c r="C55" t="s">
        <v>2229</v>
      </c>
    </row>
    <row r="56" spans="1:3" x14ac:dyDescent="0.25">
      <c r="A56" t="s">
        <v>0</v>
      </c>
      <c r="B56" s="255" t="s">
        <v>1975</v>
      </c>
      <c r="C56" t="s">
        <v>1977</v>
      </c>
    </row>
    <row r="57" spans="1:3" x14ac:dyDescent="0.25">
      <c r="A57" t="s">
        <v>2321</v>
      </c>
      <c r="B57" s="255" t="s">
        <v>2322</v>
      </c>
    </row>
    <row r="58" spans="1:3" x14ac:dyDescent="0.25">
      <c r="B58" s="255"/>
    </row>
    <row r="59" spans="1:3" x14ac:dyDescent="0.25">
      <c r="B59" s="254" t="s">
        <v>2311</v>
      </c>
    </row>
    <row r="60" spans="1:3" x14ac:dyDescent="0.25">
      <c r="A60" t="s">
        <v>0</v>
      </c>
      <c r="B60" t="s">
        <v>2142</v>
      </c>
      <c r="C60" t="s">
        <v>2105</v>
      </c>
    </row>
    <row r="61" spans="1:3" x14ac:dyDescent="0.25">
      <c r="A61" t="s">
        <v>0</v>
      </c>
      <c r="B61" t="s">
        <v>2201</v>
      </c>
      <c r="C61" t="s">
        <v>1792</v>
      </c>
    </row>
    <row r="62" spans="1:3" x14ac:dyDescent="0.25">
      <c r="A62" t="s">
        <v>0</v>
      </c>
      <c r="B62" t="s">
        <v>2143</v>
      </c>
      <c r="C62" t="s">
        <v>2107</v>
      </c>
    </row>
    <row r="63" spans="1:3" x14ac:dyDescent="0.25">
      <c r="A63" t="s">
        <v>0</v>
      </c>
      <c r="B63" t="s">
        <v>2144</v>
      </c>
      <c r="C63" t="s">
        <v>2168</v>
      </c>
    </row>
    <row r="64" spans="1:3" x14ac:dyDescent="0.25">
      <c r="A64" t="s">
        <v>0</v>
      </c>
      <c r="B64" t="s">
        <v>2097</v>
      </c>
      <c r="C64" t="s">
        <v>2138</v>
      </c>
    </row>
    <row r="65" spans="1:3" x14ac:dyDescent="0.25">
      <c r="A65" t="s">
        <v>0</v>
      </c>
      <c r="B65" t="s">
        <v>2145</v>
      </c>
      <c r="C65" t="s">
        <v>2106</v>
      </c>
    </row>
    <row r="66" spans="1:3" x14ac:dyDescent="0.25">
      <c r="A66" t="s">
        <v>0</v>
      </c>
      <c r="B66" t="s">
        <v>2146</v>
      </c>
      <c r="C66" t="s">
        <v>2102</v>
      </c>
    </row>
    <row r="67" spans="1:3" x14ac:dyDescent="0.25">
      <c r="A67" t="s">
        <v>0</v>
      </c>
      <c r="B67" t="s">
        <v>2147</v>
      </c>
      <c r="C67" t="s">
        <v>2102</v>
      </c>
    </row>
    <row r="68" spans="1:3" x14ac:dyDescent="0.25">
      <c r="A68" t="s">
        <v>0</v>
      </c>
      <c r="B68" t="s">
        <v>2148</v>
      </c>
      <c r="C68" t="s">
        <v>2169</v>
      </c>
    </row>
    <row r="69" spans="1:3" x14ac:dyDescent="0.25">
      <c r="A69" t="s">
        <v>0</v>
      </c>
      <c r="B69" t="s">
        <v>2149</v>
      </c>
      <c r="C69" t="s">
        <v>1984</v>
      </c>
    </row>
    <row r="70" spans="1:3" x14ac:dyDescent="0.25">
      <c r="A70" t="s">
        <v>0</v>
      </c>
      <c r="B70" t="s">
        <v>2150</v>
      </c>
      <c r="C70" t="s">
        <v>1980</v>
      </c>
    </row>
    <row r="71" spans="1:3" x14ac:dyDescent="0.25">
      <c r="A71" t="s">
        <v>0</v>
      </c>
      <c r="B71" t="s">
        <v>2151</v>
      </c>
      <c r="C71" t="s">
        <v>1981</v>
      </c>
    </row>
    <row r="72" spans="1:3" x14ac:dyDescent="0.25">
      <c r="A72" t="s">
        <v>0</v>
      </c>
      <c r="B72" t="s">
        <v>2152</v>
      </c>
      <c r="C72" t="s">
        <v>1982</v>
      </c>
    </row>
    <row r="73" spans="1:3" x14ac:dyDescent="0.25">
      <c r="A73" t="s">
        <v>0</v>
      </c>
      <c r="B73" t="s">
        <v>2153</v>
      </c>
      <c r="C73" t="s">
        <v>1986</v>
      </c>
    </row>
    <row r="74" spans="1:3" x14ac:dyDescent="0.25">
      <c r="A74" t="s">
        <v>0</v>
      </c>
      <c r="B74" t="s">
        <v>2154</v>
      </c>
      <c r="C74" t="s">
        <v>1983</v>
      </c>
    </row>
    <row r="75" spans="1:3" x14ac:dyDescent="0.25">
      <c r="A75" t="s">
        <v>0</v>
      </c>
      <c r="B75" t="s">
        <v>2155</v>
      </c>
      <c r="C75" t="s">
        <v>1985</v>
      </c>
    </row>
    <row r="76" spans="1:3" x14ac:dyDescent="0.25">
      <c r="A76" t="s">
        <v>0</v>
      </c>
      <c r="B76" t="s">
        <v>2085</v>
      </c>
      <c r="C76" t="s">
        <v>2087</v>
      </c>
    </row>
    <row r="77" spans="1:3" x14ac:dyDescent="0.25">
      <c r="A77" t="s">
        <v>0</v>
      </c>
      <c r="B77" t="s">
        <v>2077</v>
      </c>
      <c r="C77" t="s">
        <v>337</v>
      </c>
    </row>
    <row r="78" spans="1:3" x14ac:dyDescent="0.25">
      <c r="A78" t="s">
        <v>0</v>
      </c>
      <c r="B78" t="s">
        <v>2156</v>
      </c>
      <c r="C78" t="s">
        <v>2078</v>
      </c>
    </row>
    <row r="79" spans="1:3" x14ac:dyDescent="0.25">
      <c r="A79" t="s">
        <v>0</v>
      </c>
      <c r="B79" t="s">
        <v>1990</v>
      </c>
      <c r="C79" t="s">
        <v>2170</v>
      </c>
    </row>
    <row r="80" spans="1:3" x14ac:dyDescent="0.25">
      <c r="A80" t="s">
        <v>0</v>
      </c>
      <c r="B80" t="s">
        <v>2157</v>
      </c>
      <c r="C80" t="s">
        <v>2171</v>
      </c>
    </row>
    <row r="81" spans="1:3" x14ac:dyDescent="0.25">
      <c r="A81" t="s">
        <v>0</v>
      </c>
      <c r="B81" t="s">
        <v>2158</v>
      </c>
      <c r="C81" t="s">
        <v>1995</v>
      </c>
    </row>
    <row r="82" spans="1:3" x14ac:dyDescent="0.25">
      <c r="A82" t="s">
        <v>0</v>
      </c>
      <c r="B82" t="s">
        <v>2159</v>
      </c>
      <c r="C82" t="s">
        <v>2172</v>
      </c>
    </row>
    <row r="83" spans="1:3" x14ac:dyDescent="0.25">
      <c r="A83" t="s">
        <v>0</v>
      </c>
      <c r="B83" t="s">
        <v>2160</v>
      </c>
      <c r="C83" t="s">
        <v>2173</v>
      </c>
    </row>
    <row r="84" spans="1:3" x14ac:dyDescent="0.25">
      <c r="A84" t="s">
        <v>0</v>
      </c>
      <c r="B84" t="s">
        <v>2161</v>
      </c>
      <c r="C84" t="s">
        <v>2174</v>
      </c>
    </row>
    <row r="85" spans="1:3" x14ac:dyDescent="0.25">
      <c r="A85" t="s">
        <v>0</v>
      </c>
      <c r="B85" t="s">
        <v>2162</v>
      </c>
      <c r="C85" t="s">
        <v>2175</v>
      </c>
    </row>
    <row r="86" spans="1:3" x14ac:dyDescent="0.25">
      <c r="A86" t="s">
        <v>0</v>
      </c>
      <c r="B86" t="s">
        <v>2163</v>
      </c>
      <c r="C86" t="s">
        <v>2176</v>
      </c>
    </row>
    <row r="87" spans="1:3" x14ac:dyDescent="0.25">
      <c r="A87" t="s">
        <v>0</v>
      </c>
      <c r="B87" t="s">
        <v>2164</v>
      </c>
      <c r="C87" t="s">
        <v>2003</v>
      </c>
    </row>
    <row r="88" spans="1:3" x14ac:dyDescent="0.25">
      <c r="A88" t="s">
        <v>0</v>
      </c>
      <c r="B88" t="s">
        <v>2165</v>
      </c>
      <c r="C88" t="s">
        <v>2003</v>
      </c>
    </row>
    <row r="89" spans="1:3" x14ac:dyDescent="0.25">
      <c r="A89" t="s">
        <v>0</v>
      </c>
      <c r="B89" t="s">
        <v>2074</v>
      </c>
      <c r="C89" t="s">
        <v>2075</v>
      </c>
    </row>
    <row r="90" spans="1:3" x14ac:dyDescent="0.25">
      <c r="A90" t="s">
        <v>0</v>
      </c>
      <c r="B90" t="s">
        <v>2166</v>
      </c>
      <c r="C90" t="s">
        <v>2177</v>
      </c>
    </row>
    <row r="91" spans="1:3" x14ac:dyDescent="0.25">
      <c r="A91" t="s">
        <v>0</v>
      </c>
      <c r="B91" t="s">
        <v>2167</v>
      </c>
      <c r="C91" t="s">
        <v>2079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2016-11-07T08:30:20Z</dcterms:modified>
</cp:coreProperties>
</file>